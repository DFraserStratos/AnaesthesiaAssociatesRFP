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tables/table7.xml" ContentType="application/vnd.openxmlformats-officedocument.spreadsheetml.table+xml"/>
  <Override PartName="/xl/comments3.xml" ContentType="application/vnd.openxmlformats-officedocument.spreadsheetml.comments+xml"/>
  <Override PartName="/xl/tables/table8.xml" ContentType="application/vnd.openxmlformats-officedocument.spreadsheetml.table+xml"/>
  <Override PartName="/xl/comments4.xml" ContentType="application/vnd.openxmlformats-officedocument.spreadsheetml.comments+xml"/>
  <Override PartName="/xl/tables/table9.xml" ContentType="application/vnd.openxmlformats-officedocument.spreadsheetml.table+xml"/>
  <Override PartName="/xl/comments5.xml" ContentType="application/vnd.openxmlformats-officedocument.spreadsheetml.comments+xml"/>
  <Override PartName="/xl/tables/table10.xml" ContentType="application/vnd.openxmlformats-officedocument.spreadsheetml.table+xml"/>
  <Override PartName="/xl/comments6.xml" ContentType="application/vnd.openxmlformats-officedocument.spreadsheetml.comments+xml"/>
  <Override PartName="/xl/tables/table11.xml" ContentType="application/vnd.openxmlformats-officedocument.spreadsheetml.table+xml"/>
  <Override PartName="/xl/comments7.xml" ContentType="application/vnd.openxmlformats-officedocument.spreadsheetml.comments+xml"/>
  <Override PartName="/xl/tables/table12.xml" ContentType="application/vnd.openxmlformats-officedocument.spreadsheetml.table+xml"/>
  <Override PartName="/xl/comments8.xml" ContentType="application/vnd.openxmlformats-officedocument.spreadsheetml.comments+xml"/>
  <Override PartName="/xl/tables/table13.xml" ContentType="application/vnd.openxmlformats-officedocument.spreadsheetml.table+xml"/>
  <Override PartName="/xl/comments9.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d.fraser/Local Dev/Anaesthesia Associates RFP/docs/discovery-reference/Data files/"/>
    </mc:Choice>
  </mc:AlternateContent>
  <xr:revisionPtr revIDLastSave="0" documentId="13_ncr:1_{461806AB-5005-9B43-A0EA-FBEE39087F47}" xr6:coauthVersionLast="47" xr6:coauthVersionMax="47" xr10:uidLastSave="{00000000-0000-0000-0000-000000000000}"/>
  <bookViews>
    <workbookView xWindow="0" yWindow="0" windowWidth="51200" windowHeight="28800" activeTab="3" xr2:uid="{00000000-000D-0000-FFFF-FFFF00000000}"/>
  </bookViews>
  <sheets>
    <sheet name="Info" sheetId="5" r:id="rId1"/>
    <sheet name="Open Questions" sheetId="9" r:id="rId2"/>
    <sheet name="Master Fee List" sheetId="7" r:id="rId3"/>
    <sheet name="Master Fee View" sheetId="20" r:id="rId4"/>
    <sheet name="Contracts" sheetId="19" r:id="rId5"/>
    <sheet name="RVG Codes" sheetId="6" r:id="rId6"/>
    <sheet name="SRC-00 Solusions+ Ops List" sheetId="1" r:id="rId7"/>
    <sheet name="SRC-01 NZSA RVG" sheetId="8" r:id="rId8"/>
    <sheet name="SRC-02 CESL" sheetId="15" r:id="rId9"/>
    <sheet name="SRC-03 SXAP MIGS" sheetId="14" r:id="rId10"/>
    <sheet name="SRC-04 Merivale PS" sheetId="10" r:id="rId11"/>
    <sheet name="SRC-05 SXAP Ectropion" sheetId="11" r:id="rId12"/>
    <sheet name="SRC-06 SXAP Pterygium" sheetId="12" r:id="rId13"/>
    <sheet name="SRC-07 SXAP Ptosis Bleph" sheetId="13" r:id="rId14"/>
    <sheet name="SRC-08 CES HNZ" sheetId="17" r:id="rId15"/>
    <sheet name="HNZ CES ANAES FEES " sheetId="16" r:id="rId16"/>
  </sheets>
  <definedNames>
    <definedName name="_xlnm._FilterDatabase" localSheetId="6" hidden="1">'SRC-00 Solusions+ Ops List'!$A$1:$H$982</definedName>
    <definedName name="GST_Rate" comment="NZ GST rate">Info!$B$60</definedName>
    <definedName name="_xlnm.Print_Titles" localSheetId="6">'SRC-00 Solusions+ Ops List'!$1:$1</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 i="7" l="1"/>
  <c r="AB3" i="7"/>
  <c r="AB4" i="7"/>
  <c r="AB5" i="7"/>
  <c r="AB6" i="7"/>
  <c r="AB7" i="7"/>
  <c r="AB8" i="7"/>
  <c r="AB9" i="7"/>
  <c r="AB10" i="7"/>
  <c r="AB11" i="7"/>
  <c r="AB12" i="7"/>
  <c r="AB13" i="7"/>
  <c r="AB14" i="7"/>
  <c r="AB15" i="7"/>
  <c r="AB16" i="7"/>
  <c r="AB17" i="7"/>
  <c r="AB18" i="7"/>
  <c r="AB19" i="7"/>
  <c r="AB20" i="7"/>
  <c r="AB21" i="7"/>
  <c r="AB22" i="7"/>
  <c r="AB23" i="7"/>
  <c r="AB24" i="7"/>
  <c r="AB25" i="7"/>
  <c r="AB26" i="7"/>
  <c r="AB27" i="7"/>
  <c r="AB28" i="7"/>
  <c r="AB29" i="7"/>
  <c r="AB30" i="7"/>
  <c r="AB31" i="7"/>
  <c r="AB32" i="7"/>
  <c r="AB33" i="7"/>
  <c r="AB34" i="7"/>
  <c r="AB35" i="7"/>
  <c r="AB36" i="7"/>
  <c r="AB37" i="7"/>
  <c r="AB38" i="7"/>
  <c r="AB39" i="7"/>
  <c r="AB40" i="7"/>
  <c r="AB41" i="7"/>
  <c r="AB42" i="7"/>
  <c r="AB43" i="7"/>
  <c r="AB44" i="7"/>
  <c r="AB45" i="7"/>
  <c r="AB46" i="7"/>
  <c r="AB47" i="7"/>
  <c r="AB48" i="7"/>
  <c r="AB49" i="7"/>
  <c r="AB50" i="7"/>
  <c r="AB51" i="7"/>
  <c r="AB52" i="7"/>
  <c r="AB53" i="7"/>
  <c r="AB54" i="7"/>
  <c r="AB55" i="7"/>
  <c r="AB56" i="7"/>
  <c r="AB57" i="7"/>
  <c r="AB58" i="7"/>
  <c r="AB59" i="7"/>
  <c r="AB60" i="7"/>
  <c r="AB61" i="7"/>
  <c r="AB62" i="7"/>
  <c r="AB63" i="7"/>
  <c r="AB64" i="7"/>
  <c r="AB65" i="7"/>
  <c r="AB66" i="7"/>
  <c r="AB67" i="7"/>
  <c r="AB68" i="7"/>
  <c r="AB69" i="7"/>
  <c r="AB70" i="7"/>
  <c r="AB71" i="7"/>
  <c r="AB72" i="7"/>
  <c r="AB73" i="7"/>
  <c r="AB74" i="7"/>
  <c r="AB75" i="7"/>
  <c r="AB76" i="7"/>
  <c r="AB77" i="7"/>
  <c r="AB78" i="7"/>
  <c r="AB79" i="7"/>
  <c r="AB80" i="7"/>
  <c r="AB81" i="7"/>
  <c r="AB82" i="7"/>
  <c r="AB83" i="7"/>
  <c r="AB84" i="7"/>
  <c r="AB85" i="7"/>
  <c r="AB86" i="7"/>
  <c r="AB87" i="7"/>
  <c r="AB88" i="7"/>
  <c r="AB89" i="7"/>
  <c r="AB90" i="7"/>
  <c r="AB91" i="7"/>
  <c r="AB92" i="7"/>
  <c r="AB93" i="7"/>
  <c r="AB94" i="7"/>
  <c r="AB95" i="7"/>
  <c r="AB96" i="7"/>
  <c r="AB97" i="7"/>
  <c r="AB98" i="7"/>
  <c r="AB99" i="7"/>
  <c r="AB100" i="7"/>
  <c r="AB101" i="7"/>
  <c r="AB102" i="7"/>
  <c r="AB103" i="7"/>
  <c r="AB104" i="7"/>
  <c r="AB105" i="7"/>
  <c r="AB106" i="7"/>
  <c r="AB107" i="7"/>
  <c r="AB108" i="7"/>
  <c r="AB109" i="7"/>
  <c r="AB110" i="7"/>
  <c r="AB111" i="7"/>
  <c r="AB112" i="7"/>
  <c r="AB113" i="7"/>
  <c r="AB114" i="7"/>
  <c r="AB115" i="7"/>
  <c r="AB116" i="7"/>
  <c r="AB117" i="7"/>
  <c r="AB118" i="7"/>
  <c r="AB119" i="7"/>
  <c r="AB120" i="7"/>
  <c r="AB121" i="7"/>
  <c r="AB122" i="7"/>
  <c r="AB123" i="7"/>
  <c r="AB124" i="7"/>
  <c r="AB125" i="7"/>
  <c r="AB126" i="7"/>
  <c r="AB127" i="7"/>
  <c r="AB128" i="7"/>
  <c r="AB129" i="7"/>
  <c r="AB130" i="7"/>
  <c r="AB131" i="7"/>
  <c r="AB132" i="7"/>
  <c r="AB133" i="7"/>
  <c r="AB134" i="7"/>
  <c r="AB135" i="7"/>
  <c r="AB136" i="7"/>
  <c r="AB137" i="7"/>
  <c r="AB138" i="7"/>
  <c r="AB139" i="7"/>
  <c r="AB140" i="7"/>
  <c r="AB141" i="7"/>
  <c r="AB142" i="7"/>
  <c r="AB143" i="7"/>
  <c r="AB144" i="7"/>
  <c r="AB145" i="7"/>
  <c r="AB146" i="7"/>
  <c r="AB147" i="7"/>
  <c r="AB148" i="7"/>
  <c r="AB149" i="7"/>
  <c r="AB150" i="7"/>
  <c r="AB151" i="7"/>
  <c r="AB152" i="7"/>
  <c r="AB153" i="7"/>
  <c r="AB154" i="7"/>
  <c r="AB155" i="7"/>
  <c r="AB156" i="7"/>
  <c r="AB157" i="7"/>
  <c r="AB158" i="7"/>
  <c r="AB159" i="7"/>
  <c r="AB160" i="7"/>
  <c r="AB161" i="7"/>
  <c r="AB162" i="7"/>
  <c r="AB163" i="7"/>
  <c r="AB164" i="7"/>
  <c r="AB165" i="7"/>
  <c r="AB166" i="7"/>
  <c r="AB167" i="7"/>
  <c r="AB168" i="7"/>
  <c r="AB169" i="7"/>
  <c r="AB170" i="7"/>
  <c r="AB171" i="7"/>
  <c r="AB172" i="7"/>
  <c r="AB173" i="7"/>
  <c r="AB174" i="7"/>
  <c r="AB175" i="7"/>
  <c r="AB176" i="7"/>
  <c r="AB177" i="7"/>
  <c r="AB178" i="7"/>
  <c r="AB179" i="7"/>
  <c r="AB180" i="7"/>
  <c r="AB181" i="7"/>
  <c r="AB182" i="7"/>
  <c r="AB183" i="7"/>
  <c r="AB184" i="7"/>
  <c r="AB185" i="7"/>
  <c r="AB186" i="7"/>
  <c r="AB187" i="7"/>
  <c r="AB188" i="7"/>
  <c r="AB189" i="7"/>
  <c r="AB190" i="7"/>
  <c r="AB191" i="7"/>
  <c r="AB192" i="7"/>
  <c r="AB193" i="7"/>
  <c r="AB194" i="7"/>
  <c r="AB195" i="7"/>
  <c r="AB196" i="7"/>
  <c r="AB197" i="7"/>
  <c r="AB198" i="7"/>
  <c r="AB199" i="7"/>
  <c r="AB200" i="7"/>
  <c r="AB201" i="7"/>
  <c r="AB202" i="7"/>
  <c r="AB203" i="7"/>
  <c r="AB204" i="7"/>
  <c r="AB205" i="7"/>
  <c r="AB206" i="7"/>
  <c r="AB207" i="7"/>
  <c r="AB208" i="7"/>
  <c r="AB209" i="7"/>
  <c r="AB210" i="7"/>
  <c r="AB211" i="7"/>
  <c r="AB212" i="7"/>
  <c r="AB213" i="7"/>
  <c r="AB214" i="7"/>
  <c r="AB215" i="7"/>
  <c r="AB216" i="7"/>
  <c r="AB217" i="7"/>
  <c r="AB218" i="7"/>
  <c r="AB219" i="7"/>
  <c r="AB220" i="7"/>
  <c r="AB221" i="7"/>
  <c r="AB222" i="7"/>
  <c r="AB223" i="7"/>
  <c r="AB224" i="7"/>
  <c r="AB225" i="7"/>
  <c r="AB226" i="7"/>
  <c r="AB227" i="7"/>
  <c r="AB228" i="7"/>
  <c r="AB229" i="7"/>
  <c r="AB230" i="7"/>
  <c r="AB231" i="7"/>
  <c r="AB232" i="7"/>
  <c r="AB233" i="7"/>
  <c r="AB234" i="7"/>
  <c r="AB235" i="7"/>
  <c r="AB236" i="7"/>
  <c r="AB237" i="7"/>
  <c r="AB238" i="7"/>
  <c r="AB239" i="7"/>
  <c r="AB240" i="7"/>
  <c r="AB241" i="7"/>
  <c r="AB242" i="7"/>
  <c r="AB243" i="7"/>
  <c r="AB244" i="7"/>
  <c r="AB245" i="7"/>
  <c r="AB246" i="7"/>
  <c r="AB247" i="7"/>
  <c r="AB248" i="7"/>
  <c r="AB249" i="7"/>
  <c r="AB250" i="7"/>
  <c r="AB251" i="7"/>
  <c r="AB252" i="7"/>
  <c r="AB253" i="7"/>
  <c r="AB254" i="7"/>
  <c r="AB255" i="7"/>
  <c r="AB256" i="7"/>
  <c r="AB257" i="7"/>
  <c r="AB258" i="7"/>
  <c r="AB259" i="7"/>
  <c r="AB260" i="7"/>
  <c r="AB261" i="7"/>
  <c r="AB262" i="7"/>
  <c r="AB263" i="7"/>
  <c r="AB264" i="7"/>
  <c r="AB265" i="7"/>
  <c r="AB266" i="7"/>
  <c r="AB267" i="7"/>
  <c r="AB268" i="7"/>
  <c r="AB269" i="7"/>
  <c r="AB270" i="7"/>
  <c r="AB271" i="7"/>
  <c r="AB272" i="7"/>
  <c r="AB273" i="7"/>
  <c r="AB274" i="7"/>
  <c r="AB275" i="7"/>
  <c r="AB276" i="7"/>
  <c r="AB277" i="7"/>
  <c r="AB278" i="7"/>
  <c r="AB279" i="7"/>
  <c r="AB280" i="7"/>
  <c r="AB281" i="7"/>
  <c r="AB282" i="7"/>
  <c r="AB283" i="7"/>
  <c r="AB284" i="7"/>
  <c r="AB285" i="7"/>
  <c r="AB286" i="7"/>
  <c r="AB287" i="7"/>
  <c r="AB288" i="7"/>
  <c r="AB289" i="7"/>
  <c r="AB290" i="7"/>
  <c r="AB291" i="7"/>
  <c r="AB292" i="7"/>
  <c r="AB293" i="7"/>
  <c r="AB294" i="7"/>
  <c r="AB295" i="7"/>
  <c r="AB296" i="7"/>
  <c r="AB297" i="7"/>
  <c r="AB298" i="7"/>
  <c r="AB299" i="7"/>
  <c r="AB300" i="7"/>
  <c r="AB301" i="7"/>
  <c r="AB302" i="7"/>
  <c r="AB303" i="7"/>
  <c r="AB304" i="7"/>
  <c r="AB305" i="7"/>
  <c r="AB306" i="7"/>
  <c r="AB307" i="7"/>
  <c r="AB308" i="7"/>
  <c r="AB309" i="7"/>
  <c r="AB310" i="7"/>
  <c r="AB311" i="7"/>
  <c r="AB312" i="7"/>
  <c r="AB313" i="7"/>
  <c r="AB314" i="7"/>
  <c r="AB315" i="7"/>
  <c r="AB316" i="7"/>
  <c r="AB317" i="7"/>
  <c r="AB318" i="7"/>
  <c r="AB319" i="7"/>
  <c r="AB320" i="7"/>
  <c r="AB321" i="7"/>
  <c r="AB322" i="7"/>
  <c r="AB323" i="7"/>
  <c r="AB324" i="7"/>
  <c r="AB325" i="7"/>
  <c r="AB326" i="7"/>
  <c r="AB327" i="7"/>
  <c r="AB328" i="7"/>
  <c r="AB329" i="7"/>
  <c r="AB330" i="7"/>
  <c r="AB331" i="7"/>
  <c r="AB332" i="7"/>
  <c r="AB333" i="7"/>
  <c r="AB334" i="7"/>
  <c r="AB335" i="7"/>
  <c r="AB336" i="7"/>
  <c r="AB337" i="7"/>
  <c r="AB338" i="7"/>
  <c r="AB339" i="7"/>
  <c r="AB340" i="7"/>
  <c r="AB341" i="7"/>
  <c r="AB342" i="7"/>
  <c r="AB343" i="7"/>
  <c r="AB344" i="7"/>
  <c r="AB345" i="7"/>
  <c r="AB346" i="7"/>
  <c r="AB347" i="7"/>
  <c r="AB348" i="7"/>
  <c r="AB349" i="7"/>
  <c r="AB350" i="7"/>
  <c r="AB351" i="7"/>
  <c r="AB352" i="7"/>
  <c r="AB353" i="7"/>
  <c r="AB354" i="7"/>
  <c r="AB355" i="7"/>
  <c r="AB356" i="7"/>
  <c r="AB357" i="7"/>
  <c r="AB358" i="7"/>
  <c r="AB359" i="7"/>
  <c r="AB360" i="7"/>
  <c r="AB361" i="7"/>
  <c r="AB362" i="7"/>
  <c r="AB363" i="7"/>
  <c r="AB364" i="7"/>
  <c r="AB365" i="7"/>
  <c r="AB366" i="7"/>
  <c r="AB367" i="7"/>
  <c r="AB368" i="7"/>
  <c r="AB369" i="7"/>
  <c r="AB370" i="7"/>
  <c r="AB371" i="7"/>
  <c r="AB372" i="7"/>
  <c r="AB373" i="7"/>
  <c r="AB374" i="7"/>
  <c r="AB375" i="7"/>
  <c r="AB376" i="7"/>
  <c r="AB377" i="7"/>
  <c r="AB378" i="7"/>
  <c r="AB379" i="7"/>
  <c r="AB380" i="7"/>
  <c r="AB381" i="7"/>
  <c r="AB382" i="7"/>
  <c r="AB383" i="7"/>
  <c r="AB384" i="7"/>
  <c r="AB385" i="7"/>
  <c r="AB386" i="7"/>
  <c r="AB387" i="7"/>
  <c r="AB388" i="7"/>
  <c r="AB389" i="7"/>
  <c r="AB390" i="7"/>
  <c r="AB391" i="7"/>
  <c r="AB392" i="7"/>
  <c r="AB393" i="7"/>
  <c r="AB394" i="7"/>
  <c r="AB395" i="7"/>
  <c r="AB396" i="7"/>
  <c r="AB397" i="7"/>
  <c r="AB398" i="7"/>
  <c r="AB399" i="7"/>
  <c r="AB400" i="7"/>
  <c r="AB401" i="7"/>
  <c r="AB402" i="7"/>
  <c r="AB403" i="7"/>
  <c r="AB404" i="7"/>
  <c r="AB405" i="7"/>
  <c r="AB406" i="7"/>
  <c r="AB407" i="7"/>
  <c r="AB408" i="7"/>
  <c r="AB409" i="7"/>
  <c r="AB410" i="7"/>
  <c r="AB411" i="7"/>
  <c r="AB412" i="7"/>
  <c r="AB413" i="7"/>
  <c r="AB414" i="7"/>
  <c r="AB415" i="7"/>
  <c r="AB416" i="7"/>
  <c r="AB417" i="7"/>
  <c r="AB418" i="7"/>
  <c r="AB419" i="7"/>
  <c r="AB420" i="7"/>
  <c r="AB421" i="7"/>
  <c r="AB422" i="7"/>
  <c r="AB423" i="7"/>
  <c r="AB424" i="7"/>
  <c r="AB425" i="7"/>
  <c r="AB426" i="7"/>
  <c r="AB427" i="7"/>
  <c r="AB428" i="7"/>
  <c r="AB429" i="7"/>
  <c r="AB430" i="7"/>
  <c r="AB431" i="7"/>
  <c r="AB432" i="7"/>
  <c r="AB433" i="7"/>
  <c r="AB434" i="7"/>
  <c r="AB435" i="7"/>
  <c r="AB436" i="7"/>
  <c r="AB437" i="7"/>
  <c r="AB438" i="7"/>
  <c r="AB439" i="7"/>
  <c r="AB440" i="7"/>
  <c r="AB441" i="7"/>
  <c r="AB442" i="7"/>
  <c r="AB443" i="7"/>
  <c r="AB444" i="7"/>
  <c r="AB445" i="7"/>
  <c r="AB446" i="7"/>
  <c r="AB447" i="7"/>
  <c r="AB448" i="7"/>
  <c r="AB449" i="7"/>
  <c r="AB450" i="7"/>
  <c r="AB451" i="7"/>
  <c r="AB452" i="7"/>
  <c r="AB453" i="7"/>
  <c r="AB454" i="7"/>
  <c r="AB455" i="7"/>
  <c r="AB456" i="7"/>
  <c r="AB457" i="7"/>
  <c r="AB458" i="7"/>
  <c r="AB459" i="7"/>
  <c r="AB460" i="7"/>
  <c r="AB461" i="7"/>
  <c r="AB462" i="7"/>
  <c r="AB463" i="7"/>
  <c r="AB464" i="7"/>
  <c r="AB465" i="7"/>
  <c r="AB466" i="7"/>
  <c r="AB467" i="7"/>
  <c r="AB468" i="7"/>
  <c r="AB469" i="7"/>
  <c r="AB470" i="7"/>
  <c r="AB471" i="7"/>
  <c r="AB472" i="7"/>
  <c r="AB473" i="7"/>
  <c r="AB474" i="7"/>
  <c r="AB475" i="7"/>
  <c r="AB476" i="7"/>
  <c r="AB477" i="7"/>
  <c r="AB478" i="7"/>
  <c r="AB479" i="7"/>
  <c r="AB480" i="7"/>
  <c r="AB481" i="7"/>
  <c r="AB482" i="7"/>
  <c r="AB483" i="7"/>
  <c r="AB484" i="7"/>
  <c r="AB485" i="7"/>
  <c r="AB486" i="7"/>
  <c r="AB487" i="7"/>
  <c r="AB488" i="7"/>
  <c r="AB489" i="7"/>
  <c r="AB490" i="7"/>
  <c r="AB491" i="7"/>
  <c r="AB492" i="7"/>
  <c r="AB493" i="7"/>
  <c r="AB494" i="7"/>
  <c r="AB495" i="7"/>
  <c r="AB496" i="7"/>
  <c r="AB497" i="7"/>
  <c r="AB498" i="7"/>
  <c r="AB499" i="7"/>
  <c r="AB500" i="7"/>
  <c r="AB501" i="7"/>
  <c r="AB502" i="7"/>
  <c r="AB503" i="7"/>
  <c r="AB504" i="7"/>
  <c r="AB505" i="7"/>
  <c r="AB506" i="7"/>
  <c r="AB507" i="7"/>
  <c r="AB508" i="7"/>
  <c r="AB509" i="7"/>
  <c r="AB510" i="7"/>
  <c r="AB511" i="7"/>
  <c r="AB512" i="7"/>
  <c r="AB513" i="7"/>
  <c r="AB514" i="7"/>
  <c r="AB515" i="7"/>
  <c r="AB516" i="7"/>
  <c r="AB517" i="7"/>
  <c r="AB518" i="7"/>
  <c r="AB519" i="7"/>
  <c r="AB520" i="7"/>
  <c r="AB521" i="7"/>
  <c r="AB522" i="7"/>
  <c r="AB523" i="7"/>
  <c r="AB524" i="7"/>
  <c r="AB525" i="7"/>
  <c r="AB526" i="7"/>
  <c r="AB527" i="7"/>
  <c r="AB528" i="7"/>
  <c r="AB529" i="7"/>
  <c r="AB530" i="7"/>
  <c r="AB531" i="7"/>
  <c r="AB532" i="7"/>
  <c r="AB533" i="7"/>
  <c r="AB534" i="7"/>
  <c r="AB535" i="7"/>
  <c r="AB536" i="7"/>
  <c r="AB537" i="7"/>
  <c r="AB538" i="7"/>
  <c r="AB539" i="7"/>
  <c r="AB540" i="7"/>
  <c r="AB541" i="7"/>
  <c r="AB542" i="7"/>
  <c r="AB543" i="7"/>
  <c r="AB544" i="7"/>
  <c r="AB545" i="7"/>
  <c r="AB546" i="7"/>
  <c r="AB547" i="7"/>
  <c r="AB548" i="7"/>
  <c r="AB549" i="7"/>
  <c r="AB550" i="7"/>
  <c r="AB551" i="7"/>
  <c r="AB552" i="7"/>
  <c r="AB553" i="7"/>
  <c r="AB554" i="7"/>
  <c r="AB555" i="7"/>
  <c r="AB556" i="7"/>
  <c r="AB557" i="7"/>
  <c r="AB558" i="7"/>
  <c r="AB559" i="7"/>
  <c r="AB560" i="7"/>
  <c r="AB561" i="7"/>
  <c r="AB562" i="7"/>
  <c r="AB563" i="7"/>
  <c r="AB564" i="7"/>
  <c r="AB565" i="7"/>
  <c r="AB566" i="7"/>
  <c r="AB567" i="7"/>
  <c r="AB568" i="7"/>
  <c r="AB569" i="7"/>
  <c r="AB570" i="7"/>
  <c r="AB571" i="7"/>
  <c r="AB572" i="7"/>
  <c r="AB573" i="7"/>
  <c r="AB574" i="7"/>
  <c r="AB575" i="7"/>
  <c r="AB576" i="7"/>
  <c r="AB577" i="7"/>
  <c r="AB578" i="7"/>
  <c r="AB579" i="7"/>
  <c r="AB580" i="7"/>
  <c r="AB581" i="7"/>
  <c r="AB582" i="7"/>
  <c r="AB583" i="7"/>
  <c r="AB584" i="7"/>
  <c r="AB585" i="7"/>
  <c r="AB586" i="7"/>
  <c r="AB587" i="7"/>
  <c r="AB588" i="7"/>
  <c r="AB589" i="7"/>
  <c r="AB590" i="7"/>
  <c r="AB591" i="7"/>
  <c r="AB592" i="7"/>
  <c r="AB593" i="7"/>
  <c r="AB594" i="7"/>
  <c r="AB595" i="7"/>
  <c r="AB596" i="7"/>
  <c r="AB597" i="7"/>
  <c r="AB598" i="7"/>
  <c r="AB599" i="7"/>
  <c r="AB600" i="7"/>
  <c r="AB601" i="7"/>
  <c r="AB602" i="7"/>
  <c r="AB603" i="7"/>
  <c r="AB604" i="7"/>
  <c r="AB605" i="7"/>
  <c r="AB606" i="7"/>
  <c r="AB607" i="7"/>
  <c r="AB608" i="7"/>
  <c r="AB609" i="7"/>
  <c r="AB610" i="7"/>
  <c r="AB611" i="7"/>
  <c r="AB612" i="7"/>
  <c r="AB613" i="7"/>
  <c r="AB614" i="7"/>
  <c r="AB615" i="7"/>
  <c r="AB616" i="7"/>
  <c r="AB617" i="7"/>
  <c r="AB618" i="7"/>
  <c r="AB619" i="7"/>
  <c r="AB620" i="7"/>
  <c r="AB621" i="7"/>
  <c r="AB622" i="7"/>
  <c r="AB623" i="7"/>
  <c r="AB624" i="7"/>
  <c r="AB625" i="7"/>
  <c r="AB626" i="7"/>
  <c r="AB627" i="7"/>
  <c r="AB628" i="7"/>
  <c r="AB629" i="7"/>
  <c r="AB630" i="7"/>
  <c r="AB631" i="7"/>
  <c r="AB632" i="7"/>
  <c r="AB633" i="7"/>
  <c r="AB634" i="7"/>
  <c r="AB635" i="7"/>
  <c r="AB636" i="7"/>
  <c r="AB637" i="7"/>
  <c r="AB638" i="7"/>
  <c r="AB639" i="7"/>
  <c r="AB640" i="7"/>
  <c r="AB641" i="7"/>
  <c r="AB642" i="7"/>
  <c r="AB643" i="7"/>
  <c r="AB644" i="7"/>
  <c r="AB645" i="7"/>
  <c r="AB646" i="7"/>
  <c r="AB647" i="7"/>
  <c r="AB648" i="7"/>
  <c r="AB649" i="7"/>
  <c r="AB650" i="7"/>
  <c r="AB651" i="7"/>
  <c r="AB652" i="7"/>
  <c r="AB653" i="7"/>
  <c r="AB654" i="7"/>
  <c r="AB655" i="7"/>
  <c r="AB656" i="7"/>
  <c r="AB657" i="7"/>
  <c r="AB658" i="7"/>
  <c r="AB659" i="7"/>
  <c r="AB660" i="7"/>
  <c r="AB661" i="7"/>
  <c r="AB662" i="7"/>
  <c r="AB663" i="7"/>
  <c r="AB664" i="7"/>
  <c r="AB665" i="7"/>
  <c r="AB666" i="7"/>
  <c r="AB667" i="7"/>
  <c r="AB668" i="7"/>
  <c r="AB669" i="7"/>
  <c r="AB670" i="7"/>
  <c r="AB671" i="7"/>
  <c r="AB672" i="7"/>
  <c r="AB673" i="7"/>
  <c r="AB674" i="7"/>
  <c r="AB675" i="7"/>
  <c r="AB676" i="7"/>
  <c r="AB677" i="7"/>
  <c r="AB678" i="7"/>
  <c r="AB679" i="7"/>
  <c r="AB680" i="7"/>
  <c r="AB681" i="7"/>
  <c r="AB682" i="7"/>
  <c r="AB683" i="7"/>
  <c r="AB684" i="7"/>
  <c r="AB685" i="7"/>
  <c r="AB686" i="7"/>
  <c r="AB687" i="7"/>
  <c r="AB688" i="7"/>
  <c r="AB689" i="7"/>
  <c r="AB690" i="7"/>
  <c r="AB691" i="7"/>
  <c r="AB692" i="7"/>
  <c r="AB693" i="7"/>
  <c r="AB694" i="7"/>
  <c r="AB695" i="7"/>
  <c r="AB696" i="7"/>
  <c r="AB697" i="7"/>
  <c r="AB698" i="7"/>
  <c r="AB699" i="7"/>
  <c r="AB700" i="7"/>
  <c r="AB701" i="7"/>
  <c r="AB702" i="7"/>
  <c r="AB703" i="7"/>
  <c r="AB704" i="7"/>
  <c r="AB705" i="7"/>
  <c r="AB706" i="7"/>
  <c r="AB707" i="7"/>
  <c r="AB708" i="7"/>
  <c r="AB709" i="7"/>
  <c r="AB710" i="7"/>
  <c r="AB711" i="7"/>
  <c r="AB712" i="7"/>
  <c r="AB713" i="7"/>
  <c r="AB714" i="7"/>
  <c r="AB715" i="7"/>
  <c r="AB716" i="7"/>
  <c r="AB717" i="7"/>
  <c r="AB718" i="7"/>
  <c r="AB719" i="7"/>
  <c r="AB720" i="7"/>
  <c r="AB721" i="7"/>
  <c r="AB722" i="7"/>
  <c r="AB723" i="7"/>
  <c r="AB724" i="7"/>
  <c r="AB725" i="7"/>
  <c r="AB726" i="7"/>
  <c r="AB727" i="7"/>
  <c r="AB728" i="7"/>
  <c r="AB729" i="7"/>
  <c r="AB730" i="7"/>
  <c r="AB731" i="7"/>
  <c r="AB732" i="7"/>
  <c r="AB733" i="7"/>
  <c r="AB734" i="7"/>
  <c r="AB735" i="7"/>
  <c r="AB736" i="7"/>
  <c r="AB737" i="7"/>
  <c r="AB738" i="7"/>
  <c r="AB739" i="7"/>
  <c r="AB740" i="7"/>
  <c r="AB741" i="7"/>
  <c r="AB742" i="7"/>
  <c r="AB743" i="7"/>
  <c r="AB744" i="7"/>
  <c r="AB745" i="7"/>
  <c r="AB746" i="7"/>
  <c r="AB747" i="7"/>
  <c r="AB748" i="7"/>
  <c r="AB749" i="7"/>
  <c r="AB750" i="7"/>
  <c r="AB751" i="7"/>
  <c r="AB752" i="7"/>
  <c r="AB753" i="7"/>
  <c r="AB754" i="7"/>
  <c r="AB755" i="7"/>
  <c r="AB756" i="7"/>
  <c r="AB757" i="7"/>
  <c r="AB758" i="7"/>
  <c r="AB759" i="7"/>
  <c r="AB760" i="7"/>
  <c r="AB761" i="7"/>
  <c r="AB762" i="7"/>
  <c r="AB763" i="7"/>
  <c r="AB764" i="7"/>
  <c r="AB765" i="7"/>
  <c r="AB766" i="7"/>
  <c r="AB767" i="7"/>
  <c r="AB768" i="7"/>
  <c r="AB769" i="7"/>
  <c r="AB770" i="7"/>
  <c r="AB771" i="7"/>
  <c r="AB772" i="7"/>
  <c r="AB773" i="7"/>
  <c r="AB774" i="7"/>
  <c r="AB775" i="7"/>
  <c r="AB776" i="7"/>
  <c r="AB777" i="7"/>
  <c r="AB778" i="7"/>
  <c r="AB779" i="7"/>
  <c r="AB780" i="7"/>
  <c r="AB781" i="7"/>
  <c r="AB782" i="7"/>
  <c r="AB783" i="7"/>
  <c r="AB784" i="7"/>
  <c r="AB785" i="7"/>
  <c r="AB786" i="7"/>
  <c r="AB787" i="7"/>
  <c r="AB788" i="7"/>
  <c r="AB789" i="7"/>
  <c r="AB790" i="7"/>
  <c r="AB791" i="7"/>
  <c r="AB792" i="7"/>
  <c r="AB793" i="7"/>
  <c r="AB794" i="7"/>
  <c r="AB795" i="7"/>
  <c r="AB796" i="7"/>
  <c r="AB797" i="7"/>
  <c r="AB798" i="7"/>
  <c r="AB799" i="7"/>
  <c r="AB800" i="7"/>
  <c r="AB801" i="7"/>
  <c r="AB802" i="7"/>
  <c r="AB803" i="7"/>
  <c r="AB804" i="7"/>
  <c r="AB805" i="7"/>
  <c r="AB806" i="7"/>
  <c r="AB807" i="7"/>
  <c r="AB808" i="7"/>
  <c r="AB809" i="7"/>
  <c r="AB810" i="7"/>
  <c r="AB811" i="7"/>
  <c r="AB812" i="7"/>
  <c r="AB813" i="7"/>
  <c r="AB814" i="7"/>
  <c r="AB815" i="7"/>
  <c r="AB816" i="7"/>
  <c r="AB817" i="7"/>
  <c r="AB818" i="7"/>
  <c r="AB819" i="7"/>
  <c r="AB820" i="7"/>
  <c r="AB821" i="7"/>
  <c r="AB822" i="7"/>
  <c r="AB823" i="7"/>
  <c r="AB824" i="7"/>
  <c r="AB825" i="7"/>
  <c r="AB826" i="7"/>
  <c r="AB827" i="7"/>
  <c r="AB828" i="7"/>
  <c r="AB829" i="7"/>
  <c r="AB830" i="7"/>
  <c r="AB831" i="7"/>
  <c r="AB832" i="7"/>
  <c r="AB833" i="7"/>
  <c r="AB834" i="7"/>
  <c r="AB835" i="7"/>
  <c r="AB836" i="7"/>
  <c r="AB837" i="7"/>
  <c r="AB838" i="7"/>
  <c r="AB839" i="7"/>
  <c r="AB840" i="7"/>
  <c r="AB841" i="7"/>
  <c r="AB842" i="7"/>
  <c r="AB843" i="7"/>
  <c r="AB844" i="7"/>
  <c r="AB845" i="7"/>
  <c r="AB846" i="7"/>
  <c r="AB847" i="7"/>
  <c r="AB848" i="7"/>
  <c r="AB849" i="7"/>
  <c r="AB850" i="7"/>
  <c r="AB851" i="7"/>
  <c r="AB852" i="7"/>
  <c r="AB853" i="7"/>
  <c r="AB854" i="7"/>
  <c r="AB855" i="7"/>
  <c r="AB856" i="7"/>
  <c r="AB857" i="7"/>
  <c r="AB858" i="7"/>
  <c r="AB859" i="7"/>
  <c r="AB860" i="7"/>
  <c r="AB861" i="7"/>
  <c r="AB862" i="7"/>
  <c r="AB863" i="7"/>
  <c r="AB864" i="7"/>
  <c r="AB865" i="7"/>
  <c r="AB866" i="7"/>
  <c r="AB867" i="7"/>
  <c r="AB868" i="7"/>
  <c r="AB869" i="7"/>
  <c r="AB870" i="7"/>
  <c r="AB871" i="7"/>
  <c r="AB872" i="7"/>
  <c r="AB873" i="7"/>
  <c r="AB874" i="7"/>
  <c r="AB875" i="7"/>
  <c r="AB876" i="7"/>
  <c r="AB877" i="7"/>
  <c r="AB878" i="7"/>
  <c r="AB879" i="7"/>
  <c r="AB880" i="7"/>
  <c r="AB881" i="7"/>
  <c r="AB882" i="7"/>
  <c r="AB883" i="7"/>
  <c r="AB884" i="7"/>
  <c r="AB885" i="7"/>
  <c r="AB886" i="7"/>
  <c r="AB887" i="7"/>
  <c r="AB888" i="7"/>
  <c r="AB889" i="7"/>
  <c r="AB890" i="7"/>
  <c r="AB891" i="7"/>
  <c r="AB892" i="7"/>
  <c r="AB893" i="7"/>
  <c r="AB894" i="7"/>
  <c r="AB895" i="7"/>
  <c r="AB896" i="7"/>
  <c r="AB897" i="7"/>
  <c r="AB898" i="7"/>
  <c r="AB899" i="7"/>
  <c r="AB900" i="7"/>
  <c r="AB901" i="7"/>
  <c r="AB902" i="7"/>
  <c r="AB903" i="7"/>
  <c r="AB904" i="7"/>
  <c r="AB905" i="7"/>
  <c r="AB906" i="7"/>
  <c r="AB907" i="7"/>
  <c r="AB908" i="7"/>
  <c r="AB909" i="7"/>
  <c r="AB910" i="7"/>
  <c r="AB911" i="7"/>
  <c r="AB912" i="7"/>
  <c r="AB913" i="7"/>
  <c r="AB914" i="7"/>
  <c r="AB915" i="7"/>
  <c r="AB916" i="7"/>
  <c r="AB917" i="7"/>
  <c r="AB918" i="7"/>
  <c r="AB919" i="7"/>
  <c r="AB920" i="7"/>
  <c r="AB921" i="7"/>
  <c r="AB922" i="7"/>
  <c r="AB923" i="7"/>
  <c r="AB924" i="7"/>
  <c r="AB925" i="7"/>
  <c r="AB926" i="7"/>
  <c r="AB927" i="7"/>
  <c r="AB928" i="7"/>
  <c r="AB929" i="7"/>
  <c r="AB930" i="7"/>
  <c r="AB931" i="7"/>
  <c r="AB932" i="7"/>
  <c r="AB933" i="7"/>
  <c r="AB934" i="7"/>
  <c r="AB935" i="7"/>
  <c r="AB936" i="7"/>
  <c r="AB937" i="7"/>
  <c r="AB938" i="7"/>
  <c r="AB939" i="7"/>
  <c r="AB940" i="7"/>
  <c r="AB941" i="7"/>
  <c r="AB942" i="7"/>
  <c r="AB943" i="7"/>
  <c r="AB944" i="7"/>
  <c r="AB945" i="7"/>
  <c r="AB946" i="7"/>
  <c r="AB947" i="7"/>
  <c r="AB948" i="7"/>
  <c r="AB949" i="7"/>
  <c r="AB950" i="7"/>
  <c r="AB951" i="7"/>
  <c r="AB952" i="7"/>
  <c r="AB953" i="7"/>
  <c r="AB954" i="7"/>
  <c r="AB955" i="7"/>
  <c r="AB956" i="7"/>
  <c r="AB957" i="7"/>
  <c r="AB958" i="7"/>
  <c r="AB959" i="7"/>
  <c r="AB960" i="7"/>
  <c r="AB961" i="7"/>
  <c r="AB962" i="7"/>
  <c r="AB963" i="7"/>
  <c r="AB964" i="7"/>
  <c r="AB965" i="7"/>
  <c r="AB966" i="7"/>
  <c r="AB967" i="7"/>
  <c r="AB968" i="7"/>
  <c r="AB969" i="7"/>
  <c r="AB970" i="7"/>
  <c r="AB971" i="7"/>
  <c r="AB972" i="7"/>
  <c r="AB973" i="7"/>
  <c r="AB974" i="7"/>
  <c r="AB975" i="7"/>
  <c r="AB976" i="7"/>
  <c r="AB977" i="7"/>
  <c r="AB978" i="7"/>
  <c r="AB979" i="7"/>
  <c r="AB980" i="7"/>
  <c r="AB981" i="7"/>
  <c r="AB982" i="7"/>
  <c r="AB983" i="7"/>
  <c r="AB984" i="7"/>
  <c r="AB985" i="7"/>
  <c r="AB986" i="7"/>
  <c r="AB987" i="7"/>
  <c r="AB988" i="7"/>
  <c r="AB989" i="7"/>
  <c r="AB990" i="7"/>
  <c r="AB991" i="7"/>
  <c r="AB992" i="7"/>
  <c r="AB993" i="7"/>
  <c r="AB994" i="7"/>
  <c r="AB995" i="7"/>
  <c r="AB996" i="7"/>
  <c r="AB997" i="7"/>
  <c r="AB998" i="7"/>
  <c r="AB999" i="7"/>
  <c r="AB1000" i="7"/>
  <c r="AB1001" i="7"/>
  <c r="AB1002" i="7"/>
  <c r="AB1003" i="7"/>
  <c r="AB1004" i="7"/>
  <c r="AB1005" i="7"/>
  <c r="AB1006" i="7"/>
  <c r="AB1007" i="7"/>
  <c r="AB1008" i="7"/>
  <c r="AB1009" i="7"/>
  <c r="AB1010" i="7"/>
  <c r="AB1011" i="7"/>
  <c r="AB1012" i="7"/>
  <c r="AB1013" i="7"/>
  <c r="AB1014" i="7"/>
  <c r="AB1015" i="7"/>
  <c r="AB1016" i="7"/>
  <c r="AB1017" i="7"/>
  <c r="AB1018" i="7"/>
  <c r="AB1019" i="7"/>
  <c r="AB1020" i="7"/>
  <c r="AB1021" i="7"/>
  <c r="AB1022" i="7"/>
  <c r="AB1023" i="7"/>
  <c r="AB1024" i="7"/>
  <c r="AB1025" i="7"/>
  <c r="AB1026" i="7"/>
  <c r="AB1027" i="7"/>
  <c r="AB1028" i="7"/>
  <c r="AB1029" i="7"/>
  <c r="AB1030" i="7"/>
  <c r="AB1031" i="7"/>
  <c r="AB1032" i="7"/>
  <c r="AB1033" i="7"/>
  <c r="AB1034" i="7"/>
  <c r="AB1035" i="7"/>
  <c r="AB1036" i="7"/>
  <c r="AB1037" i="7"/>
  <c r="AB1038" i="7"/>
  <c r="AB1039" i="7"/>
  <c r="AB1040" i="7"/>
  <c r="AB1041" i="7"/>
  <c r="AB1042" i="7"/>
  <c r="AB1043" i="7"/>
  <c r="AB1044" i="7"/>
  <c r="AB1045" i="7"/>
  <c r="AB1046" i="7"/>
  <c r="AB1047" i="7"/>
  <c r="AB1048" i="7"/>
  <c r="AB1049" i="7"/>
  <c r="AB1050" i="7"/>
  <c r="AB1051" i="7"/>
  <c r="AB1052" i="7"/>
  <c r="AB1053" i="7"/>
  <c r="AB1054" i="7"/>
  <c r="AB1055" i="7"/>
  <c r="AB1056" i="7"/>
  <c r="AB1057" i="7"/>
  <c r="AB1058" i="7"/>
  <c r="AB1059" i="7"/>
  <c r="AB1060" i="7"/>
  <c r="AB1061" i="7"/>
  <c r="AB1062" i="7"/>
  <c r="AB1063" i="7"/>
  <c r="AB1064" i="7"/>
  <c r="AB1065" i="7"/>
  <c r="AB1066" i="7"/>
  <c r="AB1067" i="7"/>
  <c r="AB1068" i="7"/>
  <c r="AB1069" i="7"/>
  <c r="AB1070" i="7"/>
  <c r="AB1071" i="7"/>
  <c r="AB1072" i="7"/>
  <c r="AB1073" i="7"/>
  <c r="AB1074" i="7"/>
  <c r="AB1075" i="7"/>
  <c r="AB1076" i="7"/>
  <c r="AB1077" i="7"/>
  <c r="AB1078" i="7"/>
  <c r="AB1079" i="7"/>
  <c r="AB1080" i="7"/>
  <c r="AB1081" i="7"/>
  <c r="AB1082" i="7"/>
  <c r="AB1083" i="7"/>
  <c r="AB1084" i="7"/>
  <c r="AB1085" i="7"/>
  <c r="AB1086" i="7"/>
  <c r="AB1087" i="7"/>
  <c r="AB1088" i="7"/>
  <c r="AB1089" i="7"/>
  <c r="AB1090" i="7"/>
  <c r="AB1091" i="7"/>
  <c r="AB1092" i="7"/>
  <c r="AB1093" i="7"/>
  <c r="AB1094" i="7"/>
  <c r="AB1095" i="7"/>
  <c r="AB1096" i="7"/>
  <c r="AB1097" i="7"/>
  <c r="AB1098" i="7"/>
  <c r="AB1099" i="7"/>
  <c r="AB1100" i="7"/>
  <c r="AB1101" i="7"/>
  <c r="AB1102" i="7"/>
  <c r="AB1103" i="7"/>
  <c r="AB1104" i="7"/>
  <c r="AB1105" i="7"/>
  <c r="AB1106" i="7"/>
  <c r="AB1107" i="7"/>
  <c r="AB1108" i="7"/>
  <c r="AB1109" i="7"/>
  <c r="AB1110" i="7"/>
  <c r="AB1111" i="7"/>
  <c r="AB1112" i="7"/>
  <c r="AB1113" i="7"/>
  <c r="AB1114" i="7"/>
  <c r="AB1115" i="7"/>
  <c r="AB1116" i="7"/>
  <c r="AB1117" i="7"/>
  <c r="AB1118" i="7"/>
  <c r="AB1119" i="7"/>
  <c r="AB1120" i="7"/>
  <c r="AB1121" i="7"/>
  <c r="AB1122" i="7"/>
  <c r="AB1123" i="7"/>
  <c r="AB1124" i="7"/>
  <c r="AB1125" i="7"/>
  <c r="AB1126" i="7"/>
  <c r="AB1127" i="7"/>
  <c r="AB1128" i="7"/>
  <c r="AB1129" i="7"/>
  <c r="AB1130" i="7"/>
  <c r="AB1131" i="7"/>
  <c r="AB1132" i="7"/>
  <c r="AB1133" i="7"/>
  <c r="AB1134" i="7"/>
  <c r="AB1135" i="7"/>
  <c r="AB1136" i="7"/>
  <c r="AB1137" i="7"/>
  <c r="AB1138" i="7"/>
  <c r="AB1139" i="7"/>
  <c r="AB1140" i="7"/>
  <c r="AB1141" i="7"/>
  <c r="AB1142" i="7"/>
  <c r="AB1143" i="7"/>
  <c r="AB1144" i="7"/>
  <c r="AB1145" i="7"/>
  <c r="AB1146" i="7"/>
  <c r="AB1147" i="7"/>
  <c r="AB1148" i="7"/>
  <c r="AB1149" i="7"/>
  <c r="AB1150" i="7"/>
  <c r="AB1151" i="7"/>
  <c r="AB1152" i="7"/>
  <c r="AB1153" i="7"/>
  <c r="AB1154" i="7"/>
  <c r="AB1155" i="7"/>
  <c r="AB1156" i="7"/>
  <c r="AB1157" i="7"/>
  <c r="AB1158" i="7"/>
  <c r="AB1159" i="7"/>
  <c r="AB1160" i="7"/>
  <c r="AB1161" i="7"/>
  <c r="AB1162" i="7"/>
  <c r="AB1163" i="7"/>
  <c r="AB1164" i="7"/>
  <c r="AB1165" i="7"/>
  <c r="AB1166" i="7"/>
  <c r="AB1167" i="7"/>
  <c r="AB1168" i="7"/>
  <c r="AB1169" i="7"/>
  <c r="AB1170" i="7"/>
  <c r="AB1171" i="7"/>
  <c r="AB1172" i="7"/>
  <c r="AB1173" i="7"/>
  <c r="AB1174" i="7"/>
  <c r="AB1175" i="7"/>
  <c r="AB1176" i="7"/>
  <c r="AB1177" i="7"/>
  <c r="AB1178" i="7"/>
  <c r="AB1179" i="7"/>
  <c r="AB1180" i="7"/>
  <c r="AB1181" i="7"/>
  <c r="AB1182" i="7"/>
  <c r="AB1183" i="7"/>
  <c r="AB1184" i="7"/>
  <c r="AB1185" i="7"/>
  <c r="AB1186" i="7"/>
  <c r="AB1187" i="7"/>
  <c r="AB1188" i="7"/>
  <c r="AB1189" i="7"/>
  <c r="AB1190" i="7"/>
  <c r="AB1191" i="7"/>
  <c r="AB1192" i="7"/>
  <c r="AB1193" i="7"/>
  <c r="AB1194" i="7"/>
  <c r="AB1195" i="7"/>
  <c r="AB1196" i="7"/>
  <c r="AB1197" i="7"/>
  <c r="AB1198" i="7"/>
  <c r="AB1199" i="7"/>
  <c r="AB1200" i="7"/>
  <c r="AB1201" i="7"/>
  <c r="AB1202" i="7"/>
  <c r="AB1203" i="7"/>
  <c r="AB1204" i="7"/>
  <c r="AB1205" i="7"/>
  <c r="AB1206" i="7"/>
  <c r="AB1207" i="7"/>
  <c r="AB1208" i="7"/>
  <c r="AB1209" i="7"/>
  <c r="AB1210" i="7"/>
  <c r="AB1211" i="7"/>
  <c r="AB1212" i="7"/>
  <c r="AB1213" i="7"/>
  <c r="AB1214" i="7"/>
  <c r="AB1215" i="7"/>
  <c r="AB1216" i="7"/>
  <c r="AB1217" i="7"/>
  <c r="AB1218" i="7"/>
  <c r="AB1219" i="7"/>
  <c r="AB1220" i="7"/>
  <c r="AB1221" i="7"/>
  <c r="AB1222" i="7"/>
  <c r="AB1223" i="7"/>
  <c r="AB1224" i="7"/>
  <c r="AB1225" i="7"/>
  <c r="AB1226" i="7"/>
  <c r="AB1227" i="7"/>
  <c r="AB1228" i="7"/>
  <c r="AB1229" i="7"/>
  <c r="AB1230" i="7"/>
  <c r="AB1231" i="7"/>
  <c r="AB1232" i="7"/>
  <c r="AB1233" i="7"/>
  <c r="AB1234" i="7"/>
  <c r="AB1235" i="7"/>
  <c r="AB1236" i="7"/>
  <c r="AB1237" i="7"/>
  <c r="AB1238" i="7"/>
  <c r="AB1239" i="7"/>
  <c r="AB1240" i="7"/>
  <c r="AB1241" i="7"/>
  <c r="AB1242" i="7"/>
  <c r="AB1243" i="7"/>
  <c r="AB1244" i="7"/>
  <c r="AB1245" i="7"/>
  <c r="AB1246" i="7"/>
  <c r="AB1247" i="7"/>
  <c r="AB1248" i="7"/>
  <c r="AB1249" i="7"/>
  <c r="AB1250" i="7"/>
  <c r="AB1251" i="7"/>
  <c r="AB1252" i="7"/>
  <c r="AB1253" i="7"/>
  <c r="AB1254" i="7"/>
  <c r="AB1255" i="7"/>
  <c r="AB1256" i="7"/>
  <c r="AB1257" i="7"/>
  <c r="AB1258" i="7"/>
  <c r="AB1259" i="7"/>
  <c r="AB1260" i="7"/>
  <c r="AB1261" i="7"/>
  <c r="AB1262" i="7"/>
  <c r="AB1263" i="7"/>
  <c r="AB1264" i="7"/>
  <c r="AB1265" i="7"/>
  <c r="AB1266" i="7"/>
  <c r="AB1267" i="7"/>
  <c r="AB1268" i="7"/>
  <c r="AB1269" i="7"/>
  <c r="AB1270" i="7"/>
  <c r="AB1271" i="7"/>
  <c r="AB1272" i="7"/>
  <c r="AB1273" i="7"/>
  <c r="AB1274" i="7"/>
  <c r="AB1275" i="7"/>
  <c r="AB1276" i="7"/>
  <c r="AB1277" i="7"/>
  <c r="AB1278" i="7"/>
  <c r="AB1279" i="7"/>
  <c r="AB1280" i="7"/>
  <c r="AB1281" i="7"/>
  <c r="AB1282" i="7"/>
  <c r="AB1283" i="7"/>
  <c r="AB1284" i="7"/>
  <c r="AB1285" i="7"/>
  <c r="AB1286" i="7"/>
  <c r="AB1287" i="7"/>
  <c r="AB1288" i="7"/>
  <c r="AB1289" i="7"/>
  <c r="AB1290" i="7"/>
  <c r="AB1291" i="7"/>
  <c r="AB1292" i="7"/>
  <c r="AB1293" i="7"/>
  <c r="AB1294" i="7"/>
  <c r="AB1295" i="7"/>
  <c r="AB1296" i="7"/>
  <c r="AB1297" i="7"/>
  <c r="Z2" i="7"/>
  <c r="AA2" i="7" s="1"/>
  <c r="AC2" i="7" s="1"/>
  <c r="Z3" i="7"/>
  <c r="AA3" i="7" s="1"/>
  <c r="AC3" i="7" s="1"/>
  <c r="Z4" i="7"/>
  <c r="AA4" i="7" s="1"/>
  <c r="AC4" i="7" s="1"/>
  <c r="Z5" i="7"/>
  <c r="AA5" i="7" s="1"/>
  <c r="AC5" i="7" s="1"/>
  <c r="Z6" i="7"/>
  <c r="AA6" i="7" s="1"/>
  <c r="AC6" i="7" s="1"/>
  <c r="Z7" i="7"/>
  <c r="AA7" i="7" s="1"/>
  <c r="AC7" i="7" s="1"/>
  <c r="Z8" i="7"/>
  <c r="AA8" i="7" s="1"/>
  <c r="AC8" i="7" s="1"/>
  <c r="Z9" i="7"/>
  <c r="AA9" i="7" s="1"/>
  <c r="AC9" i="7" s="1"/>
  <c r="Z10" i="7"/>
  <c r="AA10" i="7" s="1"/>
  <c r="AC10" i="7" s="1"/>
  <c r="Z11" i="7"/>
  <c r="AA11" i="7" s="1"/>
  <c r="AC11" i="7" s="1"/>
  <c r="Z12" i="7"/>
  <c r="AA12" i="7" s="1"/>
  <c r="AC12" i="7" s="1"/>
  <c r="Z13" i="7"/>
  <c r="AA13" i="7" s="1"/>
  <c r="AC13" i="7" s="1"/>
  <c r="Z14" i="7"/>
  <c r="AA14" i="7" s="1"/>
  <c r="AC14" i="7" s="1"/>
  <c r="Z15" i="7"/>
  <c r="AA15" i="7" s="1"/>
  <c r="AC15" i="7" s="1"/>
  <c r="Z16" i="7"/>
  <c r="AA16" i="7" s="1"/>
  <c r="AC16" i="7" s="1"/>
  <c r="Z17" i="7"/>
  <c r="AA17" i="7" s="1"/>
  <c r="AC17" i="7" s="1"/>
  <c r="Z18" i="7"/>
  <c r="AA18" i="7" s="1"/>
  <c r="AC18" i="7" s="1"/>
  <c r="Z19" i="7"/>
  <c r="AA19" i="7" s="1"/>
  <c r="AC19" i="7" s="1"/>
  <c r="Z20" i="7"/>
  <c r="AA20" i="7" s="1"/>
  <c r="AC20" i="7" s="1"/>
  <c r="Z21" i="7"/>
  <c r="AA21" i="7" s="1"/>
  <c r="AC21" i="7" s="1"/>
  <c r="Z22" i="7"/>
  <c r="AA22" i="7" s="1"/>
  <c r="AC22" i="7" s="1"/>
  <c r="Z23" i="7"/>
  <c r="AA23" i="7" s="1"/>
  <c r="AC23" i="7" s="1"/>
  <c r="Z24" i="7"/>
  <c r="AA24" i="7" s="1"/>
  <c r="AC24" i="7" s="1"/>
  <c r="Z25" i="7"/>
  <c r="AA25" i="7" s="1"/>
  <c r="AC25" i="7" s="1"/>
  <c r="Z26" i="7"/>
  <c r="AA26" i="7" s="1"/>
  <c r="AC26" i="7" s="1"/>
  <c r="Z27" i="7"/>
  <c r="AA27" i="7" s="1"/>
  <c r="AC27" i="7" s="1"/>
  <c r="Z28" i="7"/>
  <c r="AA28" i="7" s="1"/>
  <c r="Z29" i="7"/>
  <c r="AA29" i="7" s="1"/>
  <c r="Z30" i="7"/>
  <c r="AA30" i="7" s="1"/>
  <c r="Z31" i="7"/>
  <c r="AA31" i="7" s="1"/>
  <c r="AC31" i="7" s="1"/>
  <c r="Z32" i="7"/>
  <c r="AA32" i="7" s="1"/>
  <c r="AC32" i="7" s="1"/>
  <c r="Z33" i="7"/>
  <c r="AA33" i="7" s="1"/>
  <c r="AC33" i="7" s="1"/>
  <c r="Z34" i="7"/>
  <c r="AA34" i="7" s="1"/>
  <c r="AC34" i="7" s="1"/>
  <c r="Z35" i="7"/>
  <c r="AA35" i="7" s="1"/>
  <c r="AC35" i="7" s="1"/>
  <c r="Z36" i="7"/>
  <c r="AA36" i="7" s="1"/>
  <c r="AC36" i="7" s="1"/>
  <c r="Z37" i="7"/>
  <c r="AA37" i="7" s="1"/>
  <c r="AC37" i="7" s="1"/>
  <c r="Z38" i="7"/>
  <c r="AA38" i="7" s="1"/>
  <c r="AC38" i="7" s="1"/>
  <c r="Z39" i="7"/>
  <c r="AA39" i="7" s="1"/>
  <c r="AC39" i="7" s="1"/>
  <c r="Z40" i="7"/>
  <c r="AA40" i="7" s="1"/>
  <c r="AC40" i="7" s="1"/>
  <c r="Z41" i="7"/>
  <c r="AA41" i="7" s="1"/>
  <c r="AC41" i="7" s="1"/>
  <c r="Z42" i="7"/>
  <c r="AA42" i="7" s="1"/>
  <c r="AC42" i="7" s="1"/>
  <c r="Z43" i="7"/>
  <c r="AA43" i="7" s="1"/>
  <c r="AC43" i="7" s="1"/>
  <c r="Z44" i="7"/>
  <c r="AA44" i="7" s="1"/>
  <c r="AC44" i="7" s="1"/>
  <c r="Z45" i="7"/>
  <c r="AA45" i="7" s="1"/>
  <c r="AC45" i="7" s="1"/>
  <c r="Z46" i="7"/>
  <c r="AA46" i="7" s="1"/>
  <c r="Z47" i="7"/>
  <c r="AA47" i="7" s="1"/>
  <c r="Z48" i="7"/>
  <c r="AA48" i="7" s="1"/>
  <c r="AC48" i="7" s="1"/>
  <c r="Z49" i="7"/>
  <c r="AA49" i="7" s="1"/>
  <c r="Z50" i="7"/>
  <c r="AA50" i="7" s="1"/>
  <c r="Z51" i="7"/>
  <c r="AA51" i="7" s="1"/>
  <c r="Z52" i="7"/>
  <c r="AA52" i="7" s="1"/>
  <c r="Z53" i="7"/>
  <c r="AA53" i="7" s="1"/>
  <c r="Z54" i="7"/>
  <c r="AA54" i="7" s="1"/>
  <c r="Z55" i="7"/>
  <c r="AA55" i="7" s="1"/>
  <c r="Z56" i="7"/>
  <c r="AA56" i="7" s="1"/>
  <c r="Z57" i="7"/>
  <c r="AA57" i="7" s="1"/>
  <c r="AC57" i="7" s="1"/>
  <c r="Z58" i="7"/>
  <c r="AA58" i="7" s="1"/>
  <c r="AC58" i="7" s="1"/>
  <c r="Z59" i="7"/>
  <c r="AA59" i="7" s="1"/>
  <c r="AC59" i="7" s="1"/>
  <c r="Z60" i="7"/>
  <c r="AA60" i="7" s="1"/>
  <c r="Z61" i="7"/>
  <c r="AA61" i="7" s="1"/>
  <c r="Z62" i="7"/>
  <c r="AA62" i="7" s="1"/>
  <c r="Z63" i="7"/>
  <c r="AA63" i="7" s="1"/>
  <c r="Z64" i="7"/>
  <c r="AA64" i="7" s="1"/>
  <c r="AC64" i="7" s="1"/>
  <c r="Z65" i="7"/>
  <c r="AA65" i="7" s="1"/>
  <c r="Z66" i="7"/>
  <c r="AA66" i="7" s="1"/>
  <c r="Z67" i="7"/>
  <c r="AA67" i="7" s="1"/>
  <c r="AC67" i="7" s="1"/>
  <c r="Z68" i="7"/>
  <c r="AA68" i="7" s="1"/>
  <c r="AC68" i="7" s="1"/>
  <c r="Z69" i="7"/>
  <c r="AA69" i="7" s="1"/>
  <c r="AC69" i="7" s="1"/>
  <c r="Z70" i="7"/>
  <c r="AA70" i="7" s="1"/>
  <c r="AC70" i="7" s="1"/>
  <c r="Z71" i="7"/>
  <c r="AA71" i="7" s="1"/>
  <c r="AC71" i="7" s="1"/>
  <c r="Z72" i="7"/>
  <c r="AA72" i="7" s="1"/>
  <c r="AC72" i="7" s="1"/>
  <c r="Z73" i="7"/>
  <c r="AA73" i="7" s="1"/>
  <c r="Z74" i="7"/>
  <c r="AA74" i="7" s="1"/>
  <c r="Z75" i="7"/>
  <c r="AA75" i="7" s="1"/>
  <c r="Z76" i="7"/>
  <c r="AA76" i="7" s="1"/>
  <c r="Z77" i="7"/>
  <c r="AA77" i="7" s="1"/>
  <c r="Z78" i="7"/>
  <c r="AA78" i="7" s="1"/>
  <c r="Z79" i="7"/>
  <c r="AA79" i="7" s="1"/>
  <c r="AC79" i="7" s="1"/>
  <c r="Z80" i="7"/>
  <c r="AA80" i="7" s="1"/>
  <c r="Z81" i="7"/>
  <c r="AA81" i="7" s="1"/>
  <c r="Z82" i="7"/>
  <c r="AA82" i="7" s="1"/>
  <c r="AC82" i="7" s="1"/>
  <c r="Z83" i="7"/>
  <c r="AA83" i="7" s="1"/>
  <c r="Z84" i="7"/>
  <c r="AA84" i="7" s="1"/>
  <c r="Z85" i="7"/>
  <c r="AA85" i="7" s="1"/>
  <c r="Z86" i="7"/>
  <c r="AA86" i="7" s="1"/>
  <c r="Z87" i="7"/>
  <c r="AA87" i="7" s="1"/>
  <c r="AC87" i="7" s="1"/>
  <c r="Z88" i="7"/>
  <c r="AA88" i="7" s="1"/>
  <c r="AC88" i="7" s="1"/>
  <c r="Z89" i="7"/>
  <c r="AA89" i="7" s="1"/>
  <c r="AC89" i="7" s="1"/>
  <c r="Z90" i="7"/>
  <c r="AA90" i="7" s="1"/>
  <c r="AC90" i="7" s="1"/>
  <c r="Z91" i="7"/>
  <c r="AA91" i="7" s="1"/>
  <c r="AC91" i="7" s="1"/>
  <c r="Z92" i="7"/>
  <c r="AA92" i="7" s="1"/>
  <c r="Z93" i="7"/>
  <c r="AA93" i="7" s="1"/>
  <c r="Z94" i="7"/>
  <c r="AA94" i="7" s="1"/>
  <c r="AC94" i="7" s="1"/>
  <c r="Z95" i="7"/>
  <c r="AA95" i="7" s="1"/>
  <c r="AC95" i="7" s="1"/>
  <c r="Z96" i="7"/>
  <c r="AA96" i="7" s="1"/>
  <c r="AC96" i="7" s="1"/>
  <c r="Z97" i="7"/>
  <c r="AA97" i="7" s="1"/>
  <c r="Z98" i="7"/>
  <c r="AA98" i="7" s="1"/>
  <c r="Z99" i="7"/>
  <c r="AA99" i="7" s="1"/>
  <c r="Z100" i="7"/>
  <c r="AA100" i="7" s="1"/>
  <c r="Z101" i="7"/>
  <c r="AA101" i="7" s="1"/>
  <c r="AC101" i="7" s="1"/>
  <c r="Z102" i="7"/>
  <c r="AA102" i="7" s="1"/>
  <c r="AC102" i="7" s="1"/>
  <c r="Z103" i="7"/>
  <c r="AA103" i="7" s="1"/>
  <c r="Z104" i="7"/>
  <c r="AA104" i="7" s="1"/>
  <c r="Z105" i="7"/>
  <c r="AA105" i="7" s="1"/>
  <c r="AC105" i="7" s="1"/>
  <c r="Z106" i="7"/>
  <c r="AA106" i="7" s="1"/>
  <c r="AC106" i="7" s="1"/>
  <c r="Z107" i="7"/>
  <c r="AA107" i="7" s="1"/>
  <c r="AC107" i="7" s="1"/>
  <c r="Z108" i="7"/>
  <c r="AA108" i="7" s="1"/>
  <c r="AC108" i="7" s="1"/>
  <c r="Z109" i="7"/>
  <c r="AA109" i="7" s="1"/>
  <c r="AC109" i="7" s="1"/>
  <c r="Z110" i="7"/>
  <c r="AA110" i="7" s="1"/>
  <c r="AC110" i="7" s="1"/>
  <c r="Z111" i="7"/>
  <c r="AA111" i="7" s="1"/>
  <c r="AC111" i="7" s="1"/>
  <c r="Z112" i="7"/>
  <c r="AA112" i="7" s="1"/>
  <c r="AC112" i="7" s="1"/>
  <c r="Z113" i="7"/>
  <c r="AA113" i="7" s="1"/>
  <c r="AC113" i="7" s="1"/>
  <c r="Z114" i="7"/>
  <c r="AA114" i="7" s="1"/>
  <c r="AC114" i="7" s="1"/>
  <c r="Z115" i="7"/>
  <c r="AA115" i="7" s="1"/>
  <c r="AC115" i="7" s="1"/>
  <c r="Z116" i="7"/>
  <c r="AA116" i="7" s="1"/>
  <c r="AC116" i="7" s="1"/>
  <c r="Z117" i="7"/>
  <c r="AA117" i="7" s="1"/>
  <c r="AC117" i="7" s="1"/>
  <c r="Z118" i="7"/>
  <c r="AA118" i="7" s="1"/>
  <c r="Z119" i="7"/>
  <c r="AA119" i="7" s="1"/>
  <c r="AC119" i="7" s="1"/>
  <c r="Z120" i="7"/>
  <c r="AA120" i="7" s="1"/>
  <c r="Z121" i="7"/>
  <c r="AA121" i="7" s="1"/>
  <c r="Z122" i="7"/>
  <c r="AA122" i="7" s="1"/>
  <c r="AC122" i="7" s="1"/>
  <c r="Z123" i="7"/>
  <c r="AA123" i="7" s="1"/>
  <c r="AC123" i="7" s="1"/>
  <c r="Z124" i="7"/>
  <c r="AA124" i="7" s="1"/>
  <c r="AC124" i="7" s="1"/>
  <c r="Z125" i="7"/>
  <c r="AA125" i="7" s="1"/>
  <c r="AC125" i="7" s="1"/>
  <c r="Z126" i="7"/>
  <c r="AA126" i="7" s="1"/>
  <c r="AC126" i="7" s="1"/>
  <c r="Z127" i="7"/>
  <c r="AA127" i="7" s="1"/>
  <c r="Z128" i="7"/>
  <c r="AA128" i="7" s="1"/>
  <c r="Z129" i="7"/>
  <c r="AA129" i="7" s="1"/>
  <c r="AC129" i="7" s="1"/>
  <c r="Z130" i="7"/>
  <c r="AA130" i="7" s="1"/>
  <c r="Z131" i="7"/>
  <c r="AA131" i="7" s="1"/>
  <c r="Z132" i="7"/>
  <c r="AA132" i="7" s="1"/>
  <c r="Z133" i="7"/>
  <c r="AA133" i="7" s="1"/>
  <c r="Z134" i="7"/>
  <c r="AA134" i="7" s="1"/>
  <c r="AC134" i="7" s="1"/>
  <c r="Z135" i="7"/>
  <c r="AA135" i="7" s="1"/>
  <c r="AC135" i="7" s="1"/>
  <c r="Z136" i="7"/>
  <c r="AA136" i="7" s="1"/>
  <c r="AC136" i="7" s="1"/>
  <c r="Z137" i="7"/>
  <c r="AA137" i="7" s="1"/>
  <c r="AC137" i="7" s="1"/>
  <c r="Z138" i="7"/>
  <c r="AA138" i="7" s="1"/>
  <c r="AC138" i="7" s="1"/>
  <c r="Z139" i="7"/>
  <c r="AA139" i="7" s="1"/>
  <c r="Z140" i="7"/>
  <c r="AA140" i="7" s="1"/>
  <c r="Z141" i="7"/>
  <c r="AA141" i="7" s="1"/>
  <c r="AC141" i="7" s="1"/>
  <c r="Z142" i="7"/>
  <c r="AA142" i="7" s="1"/>
  <c r="Z143" i="7"/>
  <c r="AA143" i="7" s="1"/>
  <c r="Z144" i="7"/>
  <c r="AA144" i="7" s="1"/>
  <c r="AC144" i="7" s="1"/>
  <c r="Z145" i="7"/>
  <c r="AA145" i="7" s="1"/>
  <c r="AC145" i="7" s="1"/>
  <c r="Z146" i="7"/>
  <c r="AA146" i="7" s="1"/>
  <c r="AC146" i="7" s="1"/>
  <c r="Z147" i="7"/>
  <c r="AA147" i="7" s="1"/>
  <c r="AC147" i="7" s="1"/>
  <c r="Z148" i="7"/>
  <c r="AA148" i="7" s="1"/>
  <c r="AC148" i="7" s="1"/>
  <c r="Z149" i="7"/>
  <c r="AA149" i="7" s="1"/>
  <c r="Z150" i="7"/>
  <c r="AA150" i="7" s="1"/>
  <c r="Z151" i="7"/>
  <c r="AA151" i="7" s="1"/>
  <c r="AC151" i="7" s="1"/>
  <c r="Z152" i="7"/>
  <c r="AA152" i="7" s="1"/>
  <c r="AC152" i="7" s="1"/>
  <c r="Z153" i="7"/>
  <c r="AA153" i="7" s="1"/>
  <c r="AC153" i="7" s="1"/>
  <c r="Z154" i="7"/>
  <c r="AA154" i="7" s="1"/>
  <c r="AC154" i="7" s="1"/>
  <c r="Z155" i="7"/>
  <c r="AA155" i="7" s="1"/>
  <c r="AC155" i="7" s="1"/>
  <c r="Z156" i="7"/>
  <c r="AA156" i="7" s="1"/>
  <c r="AC156" i="7" s="1"/>
  <c r="Z157" i="7"/>
  <c r="AA157" i="7" s="1"/>
  <c r="AC157" i="7" s="1"/>
  <c r="Z158" i="7"/>
  <c r="AA158" i="7" s="1"/>
  <c r="AC158" i="7" s="1"/>
  <c r="Z159" i="7"/>
  <c r="AA159" i="7" s="1"/>
  <c r="AC159" i="7" s="1"/>
  <c r="Z160" i="7"/>
  <c r="AA160" i="7" s="1"/>
  <c r="AC160" i="7" s="1"/>
  <c r="Z161" i="7"/>
  <c r="AA161" i="7" s="1"/>
  <c r="AC161" i="7" s="1"/>
  <c r="Z162" i="7"/>
  <c r="AA162" i="7" s="1"/>
  <c r="AC162" i="7" s="1"/>
  <c r="Z163" i="7"/>
  <c r="AA163" i="7" s="1"/>
  <c r="Z164" i="7"/>
  <c r="AA164" i="7" s="1"/>
  <c r="AC164" i="7" s="1"/>
  <c r="Z165" i="7"/>
  <c r="AA165" i="7" s="1"/>
  <c r="AC165" i="7" s="1"/>
  <c r="Z166" i="7"/>
  <c r="AA166" i="7" s="1"/>
  <c r="Z167" i="7"/>
  <c r="AA167" i="7" s="1"/>
  <c r="Z168" i="7"/>
  <c r="AA168" i="7" s="1"/>
  <c r="AC168" i="7" s="1"/>
  <c r="Z169" i="7"/>
  <c r="AA169" i="7" s="1"/>
  <c r="Z170" i="7"/>
  <c r="AA170" i="7" s="1"/>
  <c r="Z171" i="7"/>
  <c r="AA171" i="7" s="1"/>
  <c r="Z172" i="7"/>
  <c r="AA172" i="7" s="1"/>
  <c r="Z173" i="7"/>
  <c r="AA173" i="7" s="1"/>
  <c r="AC173" i="7" s="1"/>
  <c r="Z174" i="7"/>
  <c r="AA174" i="7" s="1"/>
  <c r="AC174" i="7" s="1"/>
  <c r="Z175" i="7"/>
  <c r="AA175" i="7" s="1"/>
  <c r="AC175" i="7" s="1"/>
  <c r="Z176" i="7"/>
  <c r="AA176" i="7" s="1"/>
  <c r="AC176" i="7" s="1"/>
  <c r="Z177" i="7"/>
  <c r="AA177" i="7" s="1"/>
  <c r="AC177" i="7" s="1"/>
  <c r="Z178" i="7"/>
  <c r="AA178" i="7" s="1"/>
  <c r="AC178" i="7" s="1"/>
  <c r="Z179" i="7"/>
  <c r="AA179" i="7" s="1"/>
  <c r="AC179" i="7" s="1"/>
  <c r="Z180" i="7"/>
  <c r="AA180" i="7" s="1"/>
  <c r="AC180" i="7" s="1"/>
  <c r="Z181" i="7"/>
  <c r="AA181" i="7" s="1"/>
  <c r="AC181" i="7" s="1"/>
  <c r="Z182" i="7"/>
  <c r="AA182" i="7" s="1"/>
  <c r="AC182" i="7" s="1"/>
  <c r="Z183" i="7"/>
  <c r="AA183" i="7" s="1"/>
  <c r="AC183" i="7" s="1"/>
  <c r="Z184" i="7"/>
  <c r="AA184" i="7" s="1"/>
  <c r="AC184" i="7" s="1"/>
  <c r="Z185" i="7"/>
  <c r="AA185" i="7" s="1"/>
  <c r="AC185" i="7" s="1"/>
  <c r="Z186" i="7"/>
  <c r="AA186" i="7" s="1"/>
  <c r="AC186" i="7" s="1"/>
  <c r="Z187" i="7"/>
  <c r="AA187" i="7" s="1"/>
  <c r="AC187" i="7" s="1"/>
  <c r="Z188" i="7"/>
  <c r="AA188" i="7" s="1"/>
  <c r="AC188" i="7" s="1"/>
  <c r="Z189" i="7"/>
  <c r="AA189" i="7" s="1"/>
  <c r="AC189" i="7" s="1"/>
  <c r="Z190" i="7"/>
  <c r="AA190" i="7" s="1"/>
  <c r="AC190" i="7" s="1"/>
  <c r="Z191" i="7"/>
  <c r="AA191" i="7" s="1"/>
  <c r="AC191" i="7" s="1"/>
  <c r="Z192" i="7"/>
  <c r="AA192" i="7" s="1"/>
  <c r="AC192" i="7" s="1"/>
  <c r="Z193" i="7"/>
  <c r="AA193" i="7" s="1"/>
  <c r="AC193" i="7" s="1"/>
  <c r="Z194" i="7"/>
  <c r="AA194" i="7" s="1"/>
  <c r="AC194" i="7" s="1"/>
  <c r="Z195" i="7"/>
  <c r="AA195" i="7" s="1"/>
  <c r="AC195" i="7" s="1"/>
  <c r="Z196" i="7"/>
  <c r="AA196" i="7" s="1"/>
  <c r="AC196" i="7" s="1"/>
  <c r="Z197" i="7"/>
  <c r="AA197" i="7" s="1"/>
  <c r="AC197" i="7" s="1"/>
  <c r="Z198" i="7"/>
  <c r="AA198" i="7" s="1"/>
  <c r="AC198" i="7" s="1"/>
  <c r="Z199" i="7"/>
  <c r="AA199" i="7" s="1"/>
  <c r="AC199" i="7" s="1"/>
  <c r="Z200" i="7"/>
  <c r="AA200" i="7" s="1"/>
  <c r="AC200" i="7" s="1"/>
  <c r="Z201" i="7"/>
  <c r="AA201" i="7" s="1"/>
  <c r="Z202" i="7"/>
  <c r="AA202" i="7" s="1"/>
  <c r="Z203" i="7"/>
  <c r="AA203" i="7" s="1"/>
  <c r="AC203" i="7" s="1"/>
  <c r="Z204" i="7"/>
  <c r="AA204" i="7" s="1"/>
  <c r="AC204" i="7" s="1"/>
  <c r="Z205" i="7"/>
  <c r="AA205" i="7" s="1"/>
  <c r="AC205" i="7" s="1"/>
  <c r="Z206" i="7"/>
  <c r="AA206" i="7" s="1"/>
  <c r="AC206" i="7" s="1"/>
  <c r="Z207" i="7"/>
  <c r="AA207" i="7" s="1"/>
  <c r="AC207" i="7" s="1"/>
  <c r="Z208" i="7"/>
  <c r="AA208" i="7" s="1"/>
  <c r="AC208" i="7" s="1"/>
  <c r="Z209" i="7"/>
  <c r="AA209" i="7" s="1"/>
  <c r="AC209" i="7" s="1"/>
  <c r="Z210" i="7"/>
  <c r="AA210" i="7" s="1"/>
  <c r="Z211" i="7"/>
  <c r="AA211" i="7" s="1"/>
  <c r="Z212" i="7"/>
  <c r="AA212" i="7" s="1"/>
  <c r="Z213" i="7"/>
  <c r="AA213" i="7" s="1"/>
  <c r="AC213" i="7" s="1"/>
  <c r="Z214" i="7"/>
  <c r="AA214" i="7" s="1"/>
  <c r="AC214" i="7" s="1"/>
  <c r="Z215" i="7"/>
  <c r="AA215" i="7" s="1"/>
  <c r="AC215" i="7" s="1"/>
  <c r="Z216" i="7"/>
  <c r="AA216" i="7" s="1"/>
  <c r="AC216" i="7" s="1"/>
  <c r="Z217" i="7"/>
  <c r="AA217" i="7" s="1"/>
  <c r="AC217" i="7" s="1"/>
  <c r="Z218" i="7"/>
  <c r="AA218" i="7" s="1"/>
  <c r="AC218" i="7" s="1"/>
  <c r="Z219" i="7"/>
  <c r="AA219" i="7" s="1"/>
  <c r="Z220" i="7"/>
  <c r="AA220" i="7" s="1"/>
  <c r="Z221" i="7"/>
  <c r="AA221" i="7" s="1"/>
  <c r="AC221" i="7" s="1"/>
  <c r="Z222" i="7"/>
  <c r="AA222" i="7" s="1"/>
  <c r="AC222" i="7" s="1"/>
  <c r="Z223" i="7"/>
  <c r="AA223" i="7" s="1"/>
  <c r="AC223" i="7" s="1"/>
  <c r="Z224" i="7"/>
  <c r="AA224" i="7" s="1"/>
  <c r="AC224" i="7" s="1"/>
  <c r="Z225" i="7"/>
  <c r="AA225" i="7" s="1"/>
  <c r="AC225" i="7" s="1"/>
  <c r="Z226" i="7"/>
  <c r="AA226" i="7" s="1"/>
  <c r="AC226" i="7" s="1"/>
  <c r="Z227" i="7"/>
  <c r="AA227" i="7" s="1"/>
  <c r="AC227" i="7" s="1"/>
  <c r="Z228" i="7"/>
  <c r="AA228" i="7" s="1"/>
  <c r="AC228" i="7" s="1"/>
  <c r="Z229" i="7"/>
  <c r="AA229" i="7" s="1"/>
  <c r="AC229" i="7" s="1"/>
  <c r="Z230" i="7"/>
  <c r="AA230" i="7" s="1"/>
  <c r="AC230" i="7" s="1"/>
  <c r="Z231" i="7"/>
  <c r="AA231" i="7" s="1"/>
  <c r="AC231" i="7" s="1"/>
  <c r="Z232" i="7"/>
  <c r="AA232" i="7" s="1"/>
  <c r="AC232" i="7" s="1"/>
  <c r="Z233" i="7"/>
  <c r="AA233" i="7" s="1"/>
  <c r="AC233" i="7" s="1"/>
  <c r="Z234" i="7"/>
  <c r="AA234" i="7" s="1"/>
  <c r="AC234" i="7" s="1"/>
  <c r="Z235" i="7"/>
  <c r="AA235" i="7" s="1"/>
  <c r="AC235" i="7" s="1"/>
  <c r="Z236" i="7"/>
  <c r="AA236" i="7" s="1"/>
  <c r="AC236" i="7" s="1"/>
  <c r="Z237" i="7"/>
  <c r="AA237" i="7" s="1"/>
  <c r="AC237" i="7" s="1"/>
  <c r="Z238" i="7"/>
  <c r="AA238" i="7" s="1"/>
  <c r="AC238" i="7" s="1"/>
  <c r="Z239" i="7"/>
  <c r="AA239" i="7" s="1"/>
  <c r="AC239" i="7" s="1"/>
  <c r="Z240" i="7"/>
  <c r="AA240" i="7" s="1"/>
  <c r="AC240" i="7" s="1"/>
  <c r="Z241" i="7"/>
  <c r="AA241" i="7" s="1"/>
  <c r="AC241" i="7" s="1"/>
  <c r="Z242" i="7"/>
  <c r="AA242" i="7" s="1"/>
  <c r="AC242" i="7" s="1"/>
  <c r="Z243" i="7"/>
  <c r="AA243" i="7" s="1"/>
  <c r="AC243" i="7" s="1"/>
  <c r="Z244" i="7"/>
  <c r="AA244" i="7" s="1"/>
  <c r="AC244" i="7" s="1"/>
  <c r="Z245" i="7"/>
  <c r="AA245" i="7" s="1"/>
  <c r="AC245" i="7" s="1"/>
  <c r="Z246" i="7"/>
  <c r="AA246" i="7" s="1"/>
  <c r="AC246" i="7" s="1"/>
  <c r="Z247" i="7"/>
  <c r="AA247" i="7" s="1"/>
  <c r="AC247" i="7" s="1"/>
  <c r="Z248" i="7"/>
  <c r="AA248" i="7" s="1"/>
  <c r="AC248" i="7" s="1"/>
  <c r="Z249" i="7"/>
  <c r="AA249" i="7" s="1"/>
  <c r="AC249" i="7" s="1"/>
  <c r="Z250" i="7"/>
  <c r="AA250" i="7" s="1"/>
  <c r="AC250" i="7" s="1"/>
  <c r="Z251" i="7"/>
  <c r="AA251" i="7" s="1"/>
  <c r="AC251" i="7" s="1"/>
  <c r="Z252" i="7"/>
  <c r="AA252" i="7" s="1"/>
  <c r="AC252" i="7" s="1"/>
  <c r="Z253" i="7"/>
  <c r="AA253" i="7" s="1"/>
  <c r="AC253" i="7" s="1"/>
  <c r="Z254" i="7"/>
  <c r="AA254" i="7" s="1"/>
  <c r="AC254" i="7" s="1"/>
  <c r="Z255" i="7"/>
  <c r="AA255" i="7" s="1"/>
  <c r="AC255" i="7" s="1"/>
  <c r="Z256" i="7"/>
  <c r="AA256" i="7" s="1"/>
  <c r="AC256" i="7" s="1"/>
  <c r="Z257" i="7"/>
  <c r="AA257" i="7" s="1"/>
  <c r="AC257" i="7" s="1"/>
  <c r="Z258" i="7"/>
  <c r="AA258" i="7" s="1"/>
  <c r="AC258" i="7" s="1"/>
  <c r="Z259" i="7"/>
  <c r="AA259" i="7" s="1"/>
  <c r="AC259" i="7" s="1"/>
  <c r="Z260" i="7"/>
  <c r="AA260" i="7" s="1"/>
  <c r="AC260" i="7" s="1"/>
  <c r="Z261" i="7"/>
  <c r="AA261" i="7" s="1"/>
  <c r="AC261" i="7" s="1"/>
  <c r="Z262" i="7"/>
  <c r="AA262" i="7" s="1"/>
  <c r="AC262" i="7" s="1"/>
  <c r="Z263" i="7"/>
  <c r="AA263" i="7" s="1"/>
  <c r="AC263" i="7" s="1"/>
  <c r="Z264" i="7"/>
  <c r="AA264" i="7" s="1"/>
  <c r="AC264" i="7" s="1"/>
  <c r="Z265" i="7"/>
  <c r="AA265" i="7" s="1"/>
  <c r="AC265" i="7" s="1"/>
  <c r="Z266" i="7"/>
  <c r="AA266" i="7" s="1"/>
  <c r="AC266" i="7" s="1"/>
  <c r="Z267" i="7"/>
  <c r="AA267" i="7" s="1"/>
  <c r="AC267" i="7" s="1"/>
  <c r="Z268" i="7"/>
  <c r="AA268" i="7" s="1"/>
  <c r="AC268" i="7" s="1"/>
  <c r="Z269" i="7"/>
  <c r="AA269" i="7" s="1"/>
  <c r="AC269" i="7" s="1"/>
  <c r="Z270" i="7"/>
  <c r="AA270" i="7" s="1"/>
  <c r="AC270" i="7" s="1"/>
  <c r="Z271" i="7"/>
  <c r="AA271" i="7" s="1"/>
  <c r="AC271" i="7" s="1"/>
  <c r="Z272" i="7"/>
  <c r="AA272" i="7" s="1"/>
  <c r="AC272" i="7" s="1"/>
  <c r="Z273" i="7"/>
  <c r="AA273" i="7" s="1"/>
  <c r="AC273" i="7" s="1"/>
  <c r="Z274" i="7"/>
  <c r="AA274" i="7" s="1"/>
  <c r="AC274" i="7" s="1"/>
  <c r="Z275" i="7"/>
  <c r="AA275" i="7" s="1"/>
  <c r="AC275" i="7" s="1"/>
  <c r="Z276" i="7"/>
  <c r="AA276" i="7" s="1"/>
  <c r="AC276" i="7" s="1"/>
  <c r="Z277" i="7"/>
  <c r="AA277" i="7" s="1"/>
  <c r="AC277" i="7" s="1"/>
  <c r="Z278" i="7"/>
  <c r="AA278" i="7" s="1"/>
  <c r="AC278" i="7" s="1"/>
  <c r="Z279" i="7"/>
  <c r="AA279" i="7" s="1"/>
  <c r="AC279" i="7" s="1"/>
  <c r="Z280" i="7"/>
  <c r="AA280" i="7" s="1"/>
  <c r="AC280" i="7" s="1"/>
  <c r="Z281" i="7"/>
  <c r="AA281" i="7" s="1"/>
  <c r="Z282" i="7"/>
  <c r="AA282" i="7" s="1"/>
  <c r="Z283" i="7"/>
  <c r="AA283" i="7" s="1"/>
  <c r="Z284" i="7"/>
  <c r="AA284" i="7" s="1"/>
  <c r="Z285" i="7"/>
  <c r="AA285" i="7" s="1"/>
  <c r="Z286" i="7"/>
  <c r="AA286" i="7" s="1"/>
  <c r="Z287" i="7"/>
  <c r="AA287" i="7" s="1"/>
  <c r="AC287" i="7" s="1"/>
  <c r="Z288" i="7"/>
  <c r="AA288" i="7" s="1"/>
  <c r="AC288" i="7" s="1"/>
  <c r="Z289" i="7"/>
  <c r="AA289" i="7" s="1"/>
  <c r="Z290" i="7"/>
  <c r="AA290" i="7" s="1"/>
  <c r="AC290" i="7" s="1"/>
  <c r="Z291" i="7"/>
  <c r="AA291" i="7" s="1"/>
  <c r="AC291" i="7" s="1"/>
  <c r="Z292" i="7"/>
  <c r="AA292" i="7" s="1"/>
  <c r="AC292" i="7" s="1"/>
  <c r="Z293" i="7"/>
  <c r="AA293" i="7" s="1"/>
  <c r="Z294" i="7"/>
  <c r="AA294" i="7" s="1"/>
  <c r="Z295" i="7"/>
  <c r="AA295" i="7" s="1"/>
  <c r="AC295" i="7" s="1"/>
  <c r="Z296" i="7"/>
  <c r="AA296" i="7" s="1"/>
  <c r="AC296" i="7" s="1"/>
  <c r="Z297" i="7"/>
  <c r="AA297" i="7" s="1"/>
  <c r="AC297" i="7" s="1"/>
  <c r="Z298" i="7"/>
  <c r="AA298" i="7" s="1"/>
  <c r="AC298" i="7" s="1"/>
  <c r="Z299" i="7"/>
  <c r="AA299" i="7" s="1"/>
  <c r="Z300" i="7"/>
  <c r="AA300" i="7" s="1"/>
  <c r="AC300" i="7" s="1"/>
  <c r="Z301" i="7"/>
  <c r="AA301" i="7" s="1"/>
  <c r="AC301" i="7" s="1"/>
  <c r="Z302" i="7"/>
  <c r="AA302" i="7" s="1"/>
  <c r="AC302" i="7" s="1"/>
  <c r="Z303" i="7"/>
  <c r="AA303" i="7" s="1"/>
  <c r="AC303" i="7" s="1"/>
  <c r="Z304" i="7"/>
  <c r="AA304" i="7" s="1"/>
  <c r="Z305" i="7"/>
  <c r="AA305" i="7" s="1"/>
  <c r="AC305" i="7" s="1"/>
  <c r="Z306" i="7"/>
  <c r="AA306" i="7" s="1"/>
  <c r="Z307" i="7"/>
  <c r="AA307" i="7" s="1"/>
  <c r="Z308" i="7"/>
  <c r="AA308" i="7" s="1"/>
  <c r="AC308" i="7" s="1"/>
  <c r="Z309" i="7"/>
  <c r="AA309" i="7" s="1"/>
  <c r="Z310" i="7"/>
  <c r="AA310" i="7" s="1"/>
  <c r="Z311" i="7"/>
  <c r="AA311" i="7" s="1"/>
  <c r="Z312" i="7"/>
  <c r="AA312" i="7" s="1"/>
  <c r="Z313" i="7"/>
  <c r="AA313" i="7" s="1"/>
  <c r="Z314" i="7"/>
  <c r="AA314" i="7" s="1"/>
  <c r="Z315" i="7"/>
  <c r="AA315" i="7" s="1"/>
  <c r="Z316" i="7"/>
  <c r="AA316" i="7" s="1"/>
  <c r="Z317" i="7"/>
  <c r="AA317" i="7" s="1"/>
  <c r="Z318" i="7"/>
  <c r="AA318" i="7" s="1"/>
  <c r="Z319" i="7"/>
  <c r="AA319" i="7" s="1"/>
  <c r="AC319" i="7" s="1"/>
  <c r="Z320" i="7"/>
  <c r="AA320" i="7" s="1"/>
  <c r="Z321" i="7"/>
  <c r="AA321" i="7" s="1"/>
  <c r="Z322" i="7"/>
  <c r="AA322" i="7" s="1"/>
  <c r="Z323" i="7"/>
  <c r="AA323" i="7" s="1"/>
  <c r="Z324" i="7"/>
  <c r="AA324" i="7" s="1"/>
  <c r="Z325" i="7"/>
  <c r="AA325" i="7" s="1"/>
  <c r="Z326" i="7"/>
  <c r="AA326" i="7" s="1"/>
  <c r="Z327" i="7"/>
  <c r="AA327" i="7" s="1"/>
  <c r="Z328" i="7"/>
  <c r="AA328" i="7" s="1"/>
  <c r="Z329" i="7"/>
  <c r="AA329" i="7" s="1"/>
  <c r="Z330" i="7"/>
  <c r="AA330" i="7" s="1"/>
  <c r="Z331" i="7"/>
  <c r="AA331" i="7" s="1"/>
  <c r="Z332" i="7"/>
  <c r="AA332" i="7" s="1"/>
  <c r="Z333" i="7"/>
  <c r="AA333" i="7" s="1"/>
  <c r="Z334" i="7"/>
  <c r="AA334" i="7" s="1"/>
  <c r="Z335" i="7"/>
  <c r="AA335" i="7" s="1"/>
  <c r="Z336" i="7"/>
  <c r="AA336" i="7" s="1"/>
  <c r="Z337" i="7"/>
  <c r="AA337" i="7" s="1"/>
  <c r="Z338" i="7"/>
  <c r="AA338" i="7" s="1"/>
  <c r="AC338" i="7" s="1"/>
  <c r="Z339" i="7"/>
  <c r="AA339" i="7" s="1"/>
  <c r="AC339" i="7" s="1"/>
  <c r="Z340" i="7"/>
  <c r="AA340" i="7" s="1"/>
  <c r="AC340" i="7" s="1"/>
  <c r="Z341" i="7"/>
  <c r="AA341" i="7" s="1"/>
  <c r="AC341" i="7" s="1"/>
  <c r="Z342" i="7"/>
  <c r="AA342" i="7" s="1"/>
  <c r="AC342" i="7" s="1"/>
  <c r="Z343" i="7"/>
  <c r="AA343" i="7" s="1"/>
  <c r="AC343" i="7" s="1"/>
  <c r="Z344" i="7"/>
  <c r="AA344" i="7" s="1"/>
  <c r="AC344" i="7" s="1"/>
  <c r="Z345" i="7"/>
  <c r="AA345" i="7" s="1"/>
  <c r="AC345" i="7" s="1"/>
  <c r="Z346" i="7"/>
  <c r="AA346" i="7" s="1"/>
  <c r="AC346" i="7" s="1"/>
  <c r="Z347" i="7"/>
  <c r="AA347" i="7" s="1"/>
  <c r="AC347" i="7" s="1"/>
  <c r="Z348" i="7"/>
  <c r="AA348" i="7" s="1"/>
  <c r="AC348" i="7" s="1"/>
  <c r="Z349" i="7"/>
  <c r="AA349" i="7" s="1"/>
  <c r="AC349" i="7" s="1"/>
  <c r="Z350" i="7"/>
  <c r="AA350" i="7" s="1"/>
  <c r="AC350" i="7" s="1"/>
  <c r="Z351" i="7"/>
  <c r="AA351" i="7" s="1"/>
  <c r="AC351" i="7" s="1"/>
  <c r="Z352" i="7"/>
  <c r="AA352" i="7" s="1"/>
  <c r="AC352" i="7" s="1"/>
  <c r="Z353" i="7"/>
  <c r="AA353" i="7" s="1"/>
  <c r="AC353" i="7" s="1"/>
  <c r="Z354" i="7"/>
  <c r="AA354" i="7" s="1"/>
  <c r="AC354" i="7" s="1"/>
  <c r="Z355" i="7"/>
  <c r="AA355" i="7" s="1"/>
  <c r="AC355" i="7" s="1"/>
  <c r="Z356" i="7"/>
  <c r="AA356" i="7" s="1"/>
  <c r="AC356" i="7" s="1"/>
  <c r="Z357" i="7"/>
  <c r="AA357" i="7" s="1"/>
  <c r="AC357" i="7" s="1"/>
  <c r="Z358" i="7"/>
  <c r="AA358" i="7" s="1"/>
  <c r="Z359" i="7"/>
  <c r="AA359" i="7" s="1"/>
  <c r="Z360" i="7"/>
  <c r="AA360" i="7" s="1"/>
  <c r="Z361" i="7"/>
  <c r="AA361" i="7" s="1"/>
  <c r="Z362" i="7"/>
  <c r="AA362" i="7" s="1"/>
  <c r="Z363" i="7"/>
  <c r="AA363" i="7" s="1"/>
  <c r="Z364" i="7"/>
  <c r="AA364" i="7" s="1"/>
  <c r="Z365" i="7"/>
  <c r="AA365" i="7" s="1"/>
  <c r="Z366" i="7"/>
  <c r="AA366" i="7" s="1"/>
  <c r="Z367" i="7"/>
  <c r="AA367" i="7" s="1"/>
  <c r="Z368" i="7"/>
  <c r="AA368" i="7" s="1"/>
  <c r="AC368" i="7" s="1"/>
  <c r="Z369" i="7"/>
  <c r="AA369" i="7" s="1"/>
  <c r="AC369" i="7" s="1"/>
  <c r="Z370" i="7"/>
  <c r="AA370" i="7" s="1"/>
  <c r="AC370" i="7" s="1"/>
  <c r="Z371" i="7"/>
  <c r="AA371" i="7" s="1"/>
  <c r="Z372" i="7"/>
  <c r="AA372" i="7" s="1"/>
  <c r="Z373" i="7"/>
  <c r="AA373" i="7" s="1"/>
  <c r="Z374" i="7"/>
  <c r="AA374" i="7" s="1"/>
  <c r="AC374" i="7" s="1"/>
  <c r="Z375" i="7"/>
  <c r="AA375" i="7" s="1"/>
  <c r="Z376" i="7"/>
  <c r="AA376" i="7" s="1"/>
  <c r="Z377" i="7"/>
  <c r="AA377" i="7" s="1"/>
  <c r="Z378" i="7"/>
  <c r="AA378" i="7" s="1"/>
  <c r="Z379" i="7"/>
  <c r="AA379" i="7" s="1"/>
  <c r="Z380" i="7"/>
  <c r="AA380" i="7" s="1"/>
  <c r="Z381" i="7"/>
  <c r="AA381" i="7" s="1"/>
  <c r="Z382" i="7"/>
  <c r="AA382" i="7" s="1"/>
  <c r="Z383" i="7"/>
  <c r="AA383" i="7" s="1"/>
  <c r="Z384" i="7"/>
  <c r="AA384" i="7" s="1"/>
  <c r="Z385" i="7"/>
  <c r="AA385" i="7" s="1"/>
  <c r="Z386" i="7"/>
  <c r="AA386" i="7" s="1"/>
  <c r="Z387" i="7"/>
  <c r="AA387" i="7" s="1"/>
  <c r="Z388" i="7"/>
  <c r="AA388" i="7" s="1"/>
  <c r="Z389" i="7"/>
  <c r="AA389" i="7" s="1"/>
  <c r="Z390" i="7"/>
  <c r="AA390" i="7" s="1"/>
  <c r="Z391" i="7"/>
  <c r="AA391" i="7" s="1"/>
  <c r="AC391" i="7" s="1"/>
  <c r="Z392" i="7"/>
  <c r="AA392" i="7" s="1"/>
  <c r="AC392" i="7" s="1"/>
  <c r="Z393" i="7"/>
  <c r="AA393" i="7" s="1"/>
  <c r="AC393" i="7" s="1"/>
  <c r="Z394" i="7"/>
  <c r="AA394" i="7" s="1"/>
  <c r="AC394" i="7" s="1"/>
  <c r="Z395" i="7"/>
  <c r="AA395" i="7" s="1"/>
  <c r="AC395" i="7" s="1"/>
  <c r="Z396" i="7"/>
  <c r="AA396" i="7" s="1"/>
  <c r="AC396" i="7" s="1"/>
  <c r="Z397" i="7"/>
  <c r="AA397" i="7" s="1"/>
  <c r="AC397" i="7" s="1"/>
  <c r="Z398" i="7"/>
  <c r="AA398" i="7" s="1"/>
  <c r="AC398" i="7" s="1"/>
  <c r="Z399" i="7"/>
  <c r="AA399" i="7" s="1"/>
  <c r="AC399" i="7" s="1"/>
  <c r="Z400" i="7"/>
  <c r="AA400" i="7" s="1"/>
  <c r="AC400" i="7" s="1"/>
  <c r="Z401" i="7"/>
  <c r="AA401" i="7" s="1"/>
  <c r="AC401" i="7" s="1"/>
  <c r="Z402" i="7"/>
  <c r="AA402" i="7" s="1"/>
  <c r="AC402" i="7" s="1"/>
  <c r="Z403" i="7"/>
  <c r="AA403" i="7" s="1"/>
  <c r="AC403" i="7" s="1"/>
  <c r="Z404" i="7"/>
  <c r="AA404" i="7" s="1"/>
  <c r="AC404" i="7" s="1"/>
  <c r="Z405" i="7"/>
  <c r="AA405" i="7" s="1"/>
  <c r="AC405" i="7" s="1"/>
  <c r="Z406" i="7"/>
  <c r="AA406" i="7" s="1"/>
  <c r="AC406" i="7" s="1"/>
  <c r="Z407" i="7"/>
  <c r="AA407" i="7" s="1"/>
  <c r="AC407" i="7" s="1"/>
  <c r="Z408" i="7"/>
  <c r="AA408" i="7" s="1"/>
  <c r="AC408" i="7" s="1"/>
  <c r="Z409" i="7"/>
  <c r="AA409" i="7" s="1"/>
  <c r="AC409" i="7" s="1"/>
  <c r="Z410" i="7"/>
  <c r="AA410" i="7" s="1"/>
  <c r="AC410" i="7" s="1"/>
  <c r="Z411" i="7"/>
  <c r="AA411" i="7" s="1"/>
  <c r="AC411" i="7" s="1"/>
  <c r="Z412" i="7"/>
  <c r="AA412" i="7" s="1"/>
  <c r="AC412" i="7" s="1"/>
  <c r="Z413" i="7"/>
  <c r="AA413" i="7" s="1"/>
  <c r="AC413" i="7" s="1"/>
  <c r="Z414" i="7"/>
  <c r="AA414" i="7" s="1"/>
  <c r="Z415" i="7"/>
  <c r="AA415" i="7" s="1"/>
  <c r="Z416" i="7"/>
  <c r="AA416" i="7" s="1"/>
  <c r="Z417" i="7"/>
  <c r="AA417" i="7" s="1"/>
  <c r="Z418" i="7"/>
  <c r="AA418" i="7" s="1"/>
  <c r="Z419" i="7"/>
  <c r="AA419" i="7" s="1"/>
  <c r="Z420" i="7"/>
  <c r="AA420" i="7" s="1"/>
  <c r="Z421" i="7"/>
  <c r="AA421" i="7" s="1"/>
  <c r="Z422" i="7"/>
  <c r="AA422" i="7" s="1"/>
  <c r="AC422" i="7" s="1"/>
  <c r="Z423" i="7"/>
  <c r="AA423" i="7" s="1"/>
  <c r="AC423" i="7" s="1"/>
  <c r="Z424" i="7"/>
  <c r="AA424" i="7" s="1"/>
  <c r="AC424" i="7" s="1"/>
  <c r="Z425" i="7"/>
  <c r="AA425" i="7" s="1"/>
  <c r="Z426" i="7"/>
  <c r="AA426" i="7" s="1"/>
  <c r="Z427" i="7"/>
  <c r="AA427" i="7" s="1"/>
  <c r="Z428" i="7"/>
  <c r="AA428" i="7" s="1"/>
  <c r="Z429" i="7"/>
  <c r="AA429" i="7" s="1"/>
  <c r="AC429" i="7" s="1"/>
  <c r="Z430" i="7"/>
  <c r="AA430" i="7" s="1"/>
  <c r="Z431" i="7"/>
  <c r="AA431" i="7" s="1"/>
  <c r="Z432" i="7"/>
  <c r="AA432" i="7" s="1"/>
  <c r="Z433" i="7"/>
  <c r="AA433" i="7" s="1"/>
  <c r="AC433" i="7" s="1"/>
  <c r="Z434" i="7"/>
  <c r="AA434" i="7" s="1"/>
  <c r="AC434" i="7" s="1"/>
  <c r="Z435" i="7"/>
  <c r="AA435" i="7" s="1"/>
  <c r="AC435" i="7" s="1"/>
  <c r="Z436" i="7"/>
  <c r="AA436" i="7" s="1"/>
  <c r="Z437" i="7"/>
  <c r="AA437" i="7" s="1"/>
  <c r="AC437" i="7" s="1"/>
  <c r="Z438" i="7"/>
  <c r="AA438" i="7" s="1"/>
  <c r="Z439" i="7"/>
  <c r="AA439" i="7" s="1"/>
  <c r="Z440" i="7"/>
  <c r="AA440" i="7" s="1"/>
  <c r="Z441" i="7"/>
  <c r="AA441" i="7" s="1"/>
  <c r="Z442" i="7"/>
  <c r="AA442" i="7" s="1"/>
  <c r="AC442" i="7" s="1"/>
  <c r="Z443" i="7"/>
  <c r="AA443" i="7" s="1"/>
  <c r="AC443" i="7" s="1"/>
  <c r="Z444" i="7"/>
  <c r="AA444" i="7" s="1"/>
  <c r="AC444" i="7" s="1"/>
  <c r="Z445" i="7"/>
  <c r="AA445" i="7" s="1"/>
  <c r="AC445" i="7" s="1"/>
  <c r="Z446" i="7"/>
  <c r="AA446" i="7" s="1"/>
  <c r="AC446" i="7" s="1"/>
  <c r="Z447" i="7"/>
  <c r="AA447" i="7" s="1"/>
  <c r="AC447" i="7" s="1"/>
  <c r="Z448" i="7"/>
  <c r="AA448" i="7" s="1"/>
  <c r="AC448" i="7" s="1"/>
  <c r="Z449" i="7"/>
  <c r="AA449" i="7" s="1"/>
  <c r="AC449" i="7" s="1"/>
  <c r="Z450" i="7"/>
  <c r="AA450" i="7" s="1"/>
  <c r="AC450" i="7" s="1"/>
  <c r="Z451" i="7"/>
  <c r="AA451" i="7" s="1"/>
  <c r="AC451" i="7" s="1"/>
  <c r="Z452" i="7"/>
  <c r="AA452" i="7" s="1"/>
  <c r="AC452" i="7" s="1"/>
  <c r="Z453" i="7"/>
  <c r="AA453" i="7" s="1"/>
  <c r="AC453" i="7" s="1"/>
  <c r="Z454" i="7"/>
  <c r="AA454" i="7" s="1"/>
  <c r="AC454" i="7" s="1"/>
  <c r="Z455" i="7"/>
  <c r="AA455" i="7" s="1"/>
  <c r="AC455" i="7" s="1"/>
  <c r="Z456" i="7"/>
  <c r="AA456" i="7" s="1"/>
  <c r="AC456" i="7" s="1"/>
  <c r="Z457" i="7"/>
  <c r="AA457" i="7" s="1"/>
  <c r="AC457" i="7" s="1"/>
  <c r="Z458" i="7"/>
  <c r="AA458" i="7" s="1"/>
  <c r="AC458" i="7" s="1"/>
  <c r="Z459" i="7"/>
  <c r="AA459" i="7" s="1"/>
  <c r="AC459" i="7" s="1"/>
  <c r="Z460" i="7"/>
  <c r="AA460" i="7" s="1"/>
  <c r="AC460" i="7" s="1"/>
  <c r="Z461" i="7"/>
  <c r="AA461" i="7" s="1"/>
  <c r="AC461" i="7" s="1"/>
  <c r="Z462" i="7"/>
  <c r="AA462" i="7" s="1"/>
  <c r="AC462" i="7" s="1"/>
  <c r="Z463" i="7"/>
  <c r="AA463" i="7" s="1"/>
  <c r="AC463" i="7" s="1"/>
  <c r="Z464" i="7"/>
  <c r="AA464" i="7" s="1"/>
  <c r="AC464" i="7" s="1"/>
  <c r="Z465" i="7"/>
  <c r="AA465" i="7" s="1"/>
  <c r="AC465" i="7" s="1"/>
  <c r="Z466" i="7"/>
  <c r="AA466" i="7" s="1"/>
  <c r="AC466" i="7" s="1"/>
  <c r="Z467" i="7"/>
  <c r="AA467" i="7" s="1"/>
  <c r="AC467" i="7" s="1"/>
  <c r="Z468" i="7"/>
  <c r="AA468" i="7" s="1"/>
  <c r="AC468" i="7" s="1"/>
  <c r="Z469" i="7"/>
  <c r="AA469" i="7" s="1"/>
  <c r="AC469" i="7" s="1"/>
  <c r="Z470" i="7"/>
  <c r="AA470" i="7" s="1"/>
  <c r="AC470" i="7" s="1"/>
  <c r="Z471" i="7"/>
  <c r="AA471" i="7" s="1"/>
  <c r="AC471" i="7" s="1"/>
  <c r="Z472" i="7"/>
  <c r="AA472" i="7" s="1"/>
  <c r="AC472" i="7" s="1"/>
  <c r="Z473" i="7"/>
  <c r="AA473" i="7" s="1"/>
  <c r="AC473" i="7" s="1"/>
  <c r="Z474" i="7"/>
  <c r="AA474" i="7" s="1"/>
  <c r="AC474" i="7" s="1"/>
  <c r="Z475" i="7"/>
  <c r="AA475" i="7" s="1"/>
  <c r="AC475" i="7" s="1"/>
  <c r="Z476" i="7"/>
  <c r="AA476" i="7" s="1"/>
  <c r="AC476" i="7" s="1"/>
  <c r="Z477" i="7"/>
  <c r="AA477" i="7" s="1"/>
  <c r="AC477" i="7" s="1"/>
  <c r="Z478" i="7"/>
  <c r="AA478" i="7" s="1"/>
  <c r="AC478" i="7" s="1"/>
  <c r="Z479" i="7"/>
  <c r="AA479" i="7" s="1"/>
  <c r="AC479" i="7" s="1"/>
  <c r="Z480" i="7"/>
  <c r="AA480" i="7" s="1"/>
  <c r="AC480" i="7" s="1"/>
  <c r="Z481" i="7"/>
  <c r="AA481" i="7" s="1"/>
  <c r="AC481" i="7" s="1"/>
  <c r="Z482" i="7"/>
  <c r="AA482" i="7" s="1"/>
  <c r="AC482" i="7" s="1"/>
  <c r="Z483" i="7"/>
  <c r="AA483" i="7" s="1"/>
  <c r="AC483" i="7" s="1"/>
  <c r="Z484" i="7"/>
  <c r="AA484" i="7" s="1"/>
  <c r="AC484" i="7" s="1"/>
  <c r="Z485" i="7"/>
  <c r="AA485" i="7" s="1"/>
  <c r="AC485" i="7" s="1"/>
  <c r="Z486" i="7"/>
  <c r="AA486" i="7" s="1"/>
  <c r="AC486" i="7" s="1"/>
  <c r="Z487" i="7"/>
  <c r="AA487" i="7" s="1"/>
  <c r="AC487" i="7" s="1"/>
  <c r="Z488" i="7"/>
  <c r="AA488" i="7" s="1"/>
  <c r="AC488" i="7" s="1"/>
  <c r="Z489" i="7"/>
  <c r="AA489" i="7" s="1"/>
  <c r="AC489" i="7" s="1"/>
  <c r="Z490" i="7"/>
  <c r="AA490" i="7" s="1"/>
  <c r="AC490" i="7" s="1"/>
  <c r="Z491" i="7"/>
  <c r="AA491" i="7" s="1"/>
  <c r="AC491" i="7" s="1"/>
  <c r="Z492" i="7"/>
  <c r="AA492" i="7" s="1"/>
  <c r="AC492" i="7" s="1"/>
  <c r="Z493" i="7"/>
  <c r="AA493" i="7" s="1"/>
  <c r="AC493" i="7" s="1"/>
  <c r="Z494" i="7"/>
  <c r="AA494" i="7" s="1"/>
  <c r="AC494" i="7" s="1"/>
  <c r="Z495" i="7"/>
  <c r="AA495" i="7" s="1"/>
  <c r="AC495" i="7" s="1"/>
  <c r="Z496" i="7"/>
  <c r="AA496" i="7" s="1"/>
  <c r="AC496" i="7" s="1"/>
  <c r="Z497" i="7"/>
  <c r="AA497" i="7" s="1"/>
  <c r="AC497" i="7" s="1"/>
  <c r="Z498" i="7"/>
  <c r="AA498" i="7" s="1"/>
  <c r="AC498" i="7" s="1"/>
  <c r="Z499" i="7"/>
  <c r="AA499" i="7" s="1"/>
  <c r="AC499" i="7" s="1"/>
  <c r="Z500" i="7"/>
  <c r="AA500" i="7" s="1"/>
  <c r="AC500" i="7" s="1"/>
  <c r="Z501" i="7"/>
  <c r="AA501" i="7" s="1"/>
  <c r="AC501" i="7" s="1"/>
  <c r="Z502" i="7"/>
  <c r="AA502" i="7" s="1"/>
  <c r="AC502" i="7" s="1"/>
  <c r="Z503" i="7"/>
  <c r="AA503" i="7" s="1"/>
  <c r="AC503" i="7" s="1"/>
  <c r="Z504" i="7"/>
  <c r="AA504" i="7" s="1"/>
  <c r="AC504" i="7" s="1"/>
  <c r="Z505" i="7"/>
  <c r="AA505" i="7" s="1"/>
  <c r="AC505" i="7" s="1"/>
  <c r="Z506" i="7"/>
  <c r="AA506" i="7" s="1"/>
  <c r="AC506" i="7" s="1"/>
  <c r="Z507" i="7"/>
  <c r="AA507" i="7" s="1"/>
  <c r="AC507" i="7" s="1"/>
  <c r="Z508" i="7"/>
  <c r="AA508" i="7" s="1"/>
  <c r="AC508" i="7" s="1"/>
  <c r="Z509" i="7"/>
  <c r="AA509" i="7" s="1"/>
  <c r="AC509" i="7" s="1"/>
  <c r="Z510" i="7"/>
  <c r="AA510" i="7" s="1"/>
  <c r="AC510" i="7" s="1"/>
  <c r="Z511" i="7"/>
  <c r="AA511" i="7" s="1"/>
  <c r="AC511" i="7" s="1"/>
  <c r="Z512" i="7"/>
  <c r="AA512" i="7" s="1"/>
  <c r="AC512" i="7" s="1"/>
  <c r="Z513" i="7"/>
  <c r="AA513" i="7" s="1"/>
  <c r="AC513" i="7" s="1"/>
  <c r="Z514" i="7"/>
  <c r="AA514" i="7" s="1"/>
  <c r="AC514" i="7" s="1"/>
  <c r="Z515" i="7"/>
  <c r="AA515" i="7" s="1"/>
  <c r="AC515" i="7" s="1"/>
  <c r="Z516" i="7"/>
  <c r="AA516" i="7" s="1"/>
  <c r="AC516" i="7" s="1"/>
  <c r="Z517" i="7"/>
  <c r="AA517" i="7" s="1"/>
  <c r="AC517" i="7" s="1"/>
  <c r="Z518" i="7"/>
  <c r="AA518" i="7" s="1"/>
  <c r="AC518" i="7" s="1"/>
  <c r="Z519" i="7"/>
  <c r="AA519" i="7" s="1"/>
  <c r="AC519" i="7" s="1"/>
  <c r="Z520" i="7"/>
  <c r="AA520" i="7" s="1"/>
  <c r="AC520" i="7" s="1"/>
  <c r="Z521" i="7"/>
  <c r="AA521" i="7" s="1"/>
  <c r="AC521" i="7" s="1"/>
  <c r="Z522" i="7"/>
  <c r="AA522" i="7" s="1"/>
  <c r="AC522" i="7" s="1"/>
  <c r="Z523" i="7"/>
  <c r="AA523" i="7" s="1"/>
  <c r="AC523" i="7" s="1"/>
  <c r="Z524" i="7"/>
  <c r="AA524" i="7" s="1"/>
  <c r="AC524" i="7" s="1"/>
  <c r="Z525" i="7"/>
  <c r="AA525" i="7" s="1"/>
  <c r="AC525" i="7" s="1"/>
  <c r="Z526" i="7"/>
  <c r="AA526" i="7" s="1"/>
  <c r="AC526" i="7" s="1"/>
  <c r="Z527" i="7"/>
  <c r="AA527" i="7" s="1"/>
  <c r="Z528" i="7"/>
  <c r="AA528" i="7" s="1"/>
  <c r="AC528" i="7" s="1"/>
  <c r="Z529" i="7"/>
  <c r="AA529" i="7" s="1"/>
  <c r="AC529" i="7" s="1"/>
  <c r="Z530" i="7"/>
  <c r="AA530" i="7" s="1"/>
  <c r="AC530" i="7" s="1"/>
  <c r="Z531" i="7"/>
  <c r="AA531" i="7" s="1"/>
  <c r="AC531" i="7" s="1"/>
  <c r="Z532" i="7"/>
  <c r="AA532" i="7" s="1"/>
  <c r="AC532" i="7" s="1"/>
  <c r="Z533" i="7"/>
  <c r="AA533" i="7" s="1"/>
  <c r="AC533" i="7" s="1"/>
  <c r="Z534" i="7"/>
  <c r="AA534" i="7" s="1"/>
  <c r="AC534" i="7" s="1"/>
  <c r="Z535" i="7"/>
  <c r="AA535" i="7" s="1"/>
  <c r="AC535" i="7" s="1"/>
  <c r="Z536" i="7"/>
  <c r="AA536" i="7" s="1"/>
  <c r="AC536" i="7" s="1"/>
  <c r="Z537" i="7"/>
  <c r="AA537" i="7" s="1"/>
  <c r="AC537" i="7" s="1"/>
  <c r="Z538" i="7"/>
  <c r="AA538" i="7" s="1"/>
  <c r="AC538" i="7" s="1"/>
  <c r="Z539" i="7"/>
  <c r="AA539" i="7" s="1"/>
  <c r="AC539" i="7" s="1"/>
  <c r="Z540" i="7"/>
  <c r="AA540" i="7" s="1"/>
  <c r="AC540" i="7" s="1"/>
  <c r="Z541" i="7"/>
  <c r="AA541" i="7" s="1"/>
  <c r="AC541" i="7" s="1"/>
  <c r="Z542" i="7"/>
  <c r="AA542" i="7" s="1"/>
  <c r="AC542" i="7" s="1"/>
  <c r="Z543" i="7"/>
  <c r="AA543" i="7" s="1"/>
  <c r="AC543" i="7" s="1"/>
  <c r="Z544" i="7"/>
  <c r="AA544" i="7" s="1"/>
  <c r="AC544" i="7" s="1"/>
  <c r="Z545" i="7"/>
  <c r="AA545" i="7" s="1"/>
  <c r="AC545" i="7" s="1"/>
  <c r="Z546" i="7"/>
  <c r="AA546" i="7" s="1"/>
  <c r="AC546" i="7" s="1"/>
  <c r="Z547" i="7"/>
  <c r="AA547" i="7" s="1"/>
  <c r="AC547" i="7" s="1"/>
  <c r="Z548" i="7"/>
  <c r="AA548" i="7" s="1"/>
  <c r="AC548" i="7" s="1"/>
  <c r="Z549" i="7"/>
  <c r="AA549" i="7" s="1"/>
  <c r="AC549" i="7" s="1"/>
  <c r="Z550" i="7"/>
  <c r="AA550" i="7" s="1"/>
  <c r="Z551" i="7"/>
  <c r="AA551" i="7" s="1"/>
  <c r="AC551" i="7" s="1"/>
  <c r="Z552" i="7"/>
  <c r="AA552" i="7" s="1"/>
  <c r="AC552" i="7" s="1"/>
  <c r="Z553" i="7"/>
  <c r="AA553" i="7" s="1"/>
  <c r="Z554" i="7"/>
  <c r="AA554" i="7" s="1"/>
  <c r="AC554" i="7" s="1"/>
  <c r="Z555" i="7"/>
  <c r="AA555" i="7" s="1"/>
  <c r="AC555" i="7" s="1"/>
  <c r="Z556" i="7"/>
  <c r="AA556" i="7" s="1"/>
  <c r="Z557" i="7"/>
  <c r="AA557" i="7" s="1"/>
  <c r="Z558" i="7"/>
  <c r="AA558" i="7" s="1"/>
  <c r="AC558" i="7" s="1"/>
  <c r="Z559" i="7"/>
  <c r="AA559" i="7" s="1"/>
  <c r="AC559" i="7" s="1"/>
  <c r="Z560" i="7"/>
  <c r="AA560" i="7" s="1"/>
  <c r="AC560" i="7" s="1"/>
  <c r="Z561" i="7"/>
  <c r="AA561" i="7" s="1"/>
  <c r="AC561" i="7" s="1"/>
  <c r="Z562" i="7"/>
  <c r="AA562" i="7" s="1"/>
  <c r="AC562" i="7" s="1"/>
  <c r="Z563" i="7"/>
  <c r="AA563" i="7" s="1"/>
  <c r="AC563" i="7" s="1"/>
  <c r="Z564" i="7"/>
  <c r="AA564" i="7" s="1"/>
  <c r="AC564" i="7" s="1"/>
  <c r="Z565" i="7"/>
  <c r="AA565" i="7" s="1"/>
  <c r="AC565" i="7" s="1"/>
  <c r="Z566" i="7"/>
  <c r="AA566" i="7" s="1"/>
  <c r="AC566" i="7" s="1"/>
  <c r="Z567" i="7"/>
  <c r="AA567" i="7" s="1"/>
  <c r="AC567" i="7" s="1"/>
  <c r="Z568" i="7"/>
  <c r="AA568" i="7" s="1"/>
  <c r="AC568" i="7" s="1"/>
  <c r="Z569" i="7"/>
  <c r="AA569" i="7" s="1"/>
  <c r="AC569" i="7" s="1"/>
  <c r="Z570" i="7"/>
  <c r="AA570" i="7" s="1"/>
  <c r="AC570" i="7" s="1"/>
  <c r="Z571" i="7"/>
  <c r="AA571" i="7" s="1"/>
  <c r="AC571" i="7" s="1"/>
  <c r="Z572" i="7"/>
  <c r="AA572" i="7" s="1"/>
  <c r="AC572" i="7" s="1"/>
  <c r="Z573" i="7"/>
  <c r="AA573" i="7" s="1"/>
  <c r="AC573" i="7" s="1"/>
  <c r="Z574" i="7"/>
  <c r="AA574" i="7" s="1"/>
  <c r="AC574" i="7" s="1"/>
  <c r="Z575" i="7"/>
  <c r="AA575" i="7" s="1"/>
  <c r="AC575" i="7" s="1"/>
  <c r="Z576" i="7"/>
  <c r="AA576" i="7" s="1"/>
  <c r="AC576" i="7" s="1"/>
  <c r="Z577" i="7"/>
  <c r="AA577" i="7" s="1"/>
  <c r="AC577" i="7" s="1"/>
  <c r="Z578" i="7"/>
  <c r="AA578" i="7" s="1"/>
  <c r="AC578" i="7" s="1"/>
  <c r="Z579" i="7"/>
  <c r="AA579" i="7" s="1"/>
  <c r="AC579" i="7" s="1"/>
  <c r="Z580" i="7"/>
  <c r="AA580" i="7" s="1"/>
  <c r="Z581" i="7"/>
  <c r="AA581" i="7" s="1"/>
  <c r="AC581" i="7" s="1"/>
  <c r="Z582" i="7"/>
  <c r="AA582" i="7" s="1"/>
  <c r="AC582" i="7" s="1"/>
  <c r="Z583" i="7"/>
  <c r="AA583" i="7" s="1"/>
  <c r="AC583" i="7" s="1"/>
  <c r="Z584" i="7"/>
  <c r="AA584" i="7" s="1"/>
  <c r="AC584" i="7" s="1"/>
  <c r="Z585" i="7"/>
  <c r="AA585" i="7" s="1"/>
  <c r="AC585" i="7" s="1"/>
  <c r="Z586" i="7"/>
  <c r="AA586" i="7" s="1"/>
  <c r="AC586" i="7" s="1"/>
  <c r="Z587" i="7"/>
  <c r="AA587" i="7" s="1"/>
  <c r="Z588" i="7"/>
  <c r="AA588" i="7" s="1"/>
  <c r="AC588" i="7" s="1"/>
  <c r="Z589" i="7"/>
  <c r="AA589" i="7" s="1"/>
  <c r="AC589" i="7" s="1"/>
  <c r="Z590" i="7"/>
  <c r="AA590" i="7" s="1"/>
  <c r="AC590" i="7" s="1"/>
  <c r="Z591" i="7"/>
  <c r="AA591" i="7" s="1"/>
  <c r="AC591" i="7" s="1"/>
  <c r="Z592" i="7"/>
  <c r="AA592" i="7" s="1"/>
  <c r="AC592" i="7" s="1"/>
  <c r="Z593" i="7"/>
  <c r="AA593" i="7" s="1"/>
  <c r="AC593" i="7" s="1"/>
  <c r="Z594" i="7"/>
  <c r="AA594" i="7" s="1"/>
  <c r="AC594" i="7" s="1"/>
  <c r="Z595" i="7"/>
  <c r="AA595" i="7" s="1"/>
  <c r="AC595" i="7" s="1"/>
  <c r="Z596" i="7"/>
  <c r="AA596" i="7" s="1"/>
  <c r="AC596" i="7" s="1"/>
  <c r="Z597" i="7"/>
  <c r="AA597" i="7" s="1"/>
  <c r="AC597" i="7" s="1"/>
  <c r="Z598" i="7"/>
  <c r="AA598" i="7" s="1"/>
  <c r="AC598" i="7" s="1"/>
  <c r="Z599" i="7"/>
  <c r="AA599" i="7" s="1"/>
  <c r="AC599" i="7" s="1"/>
  <c r="Z600" i="7"/>
  <c r="AA600" i="7" s="1"/>
  <c r="AC600" i="7" s="1"/>
  <c r="Z601" i="7"/>
  <c r="AA601" i="7" s="1"/>
  <c r="AC601" i="7" s="1"/>
  <c r="Z602" i="7"/>
  <c r="AA602" i="7" s="1"/>
  <c r="AC602" i="7" s="1"/>
  <c r="Z603" i="7"/>
  <c r="AA603" i="7" s="1"/>
  <c r="AC603" i="7" s="1"/>
  <c r="Z604" i="7"/>
  <c r="AA604" i="7" s="1"/>
  <c r="AC604" i="7" s="1"/>
  <c r="Z605" i="7"/>
  <c r="AA605" i="7" s="1"/>
  <c r="AC605" i="7" s="1"/>
  <c r="Z606" i="7"/>
  <c r="AA606" i="7" s="1"/>
  <c r="AC606" i="7" s="1"/>
  <c r="Z607" i="7"/>
  <c r="AA607" i="7" s="1"/>
  <c r="AC607" i="7" s="1"/>
  <c r="Z608" i="7"/>
  <c r="AA608" i="7" s="1"/>
  <c r="AC608" i="7" s="1"/>
  <c r="Z609" i="7"/>
  <c r="AA609" i="7" s="1"/>
  <c r="AC609" i="7" s="1"/>
  <c r="Z610" i="7"/>
  <c r="AA610" i="7" s="1"/>
  <c r="AC610" i="7" s="1"/>
  <c r="Z611" i="7"/>
  <c r="AA611" i="7" s="1"/>
  <c r="AC611" i="7" s="1"/>
  <c r="Z612" i="7"/>
  <c r="AA612" i="7" s="1"/>
  <c r="AC612" i="7" s="1"/>
  <c r="Z613" i="7"/>
  <c r="AA613" i="7" s="1"/>
  <c r="AC613" i="7" s="1"/>
  <c r="Z614" i="7"/>
  <c r="AA614" i="7" s="1"/>
  <c r="AC614" i="7" s="1"/>
  <c r="Z615" i="7"/>
  <c r="AA615" i="7" s="1"/>
  <c r="AC615" i="7" s="1"/>
  <c r="Z616" i="7"/>
  <c r="AA616" i="7" s="1"/>
  <c r="AC616" i="7" s="1"/>
  <c r="Z617" i="7"/>
  <c r="AA617" i="7" s="1"/>
  <c r="AC617" i="7" s="1"/>
  <c r="Z618" i="7"/>
  <c r="AA618" i="7" s="1"/>
  <c r="AC618" i="7" s="1"/>
  <c r="Z619" i="7"/>
  <c r="AA619" i="7" s="1"/>
  <c r="AC619" i="7" s="1"/>
  <c r="Z620" i="7"/>
  <c r="AA620" i="7" s="1"/>
  <c r="AC620" i="7" s="1"/>
  <c r="Z621" i="7"/>
  <c r="AA621" i="7" s="1"/>
  <c r="AC621" i="7" s="1"/>
  <c r="Z622" i="7"/>
  <c r="AA622" i="7" s="1"/>
  <c r="AC622" i="7" s="1"/>
  <c r="Z623" i="7"/>
  <c r="AA623" i="7" s="1"/>
  <c r="AC623" i="7" s="1"/>
  <c r="Z624" i="7"/>
  <c r="AA624" i="7" s="1"/>
  <c r="AC624" i="7" s="1"/>
  <c r="Z625" i="7"/>
  <c r="AA625" i="7" s="1"/>
  <c r="AC625" i="7" s="1"/>
  <c r="Z626" i="7"/>
  <c r="AA626" i="7" s="1"/>
  <c r="AC626" i="7" s="1"/>
  <c r="Z627" i="7"/>
  <c r="AA627" i="7" s="1"/>
  <c r="AC627" i="7" s="1"/>
  <c r="Z628" i="7"/>
  <c r="AA628" i="7" s="1"/>
  <c r="AC628" i="7" s="1"/>
  <c r="Z629" i="7"/>
  <c r="AA629" i="7" s="1"/>
  <c r="AC629" i="7" s="1"/>
  <c r="Z630" i="7"/>
  <c r="AA630" i="7" s="1"/>
  <c r="AC630" i="7" s="1"/>
  <c r="Z631" i="7"/>
  <c r="AA631" i="7" s="1"/>
  <c r="AC631" i="7" s="1"/>
  <c r="Z632" i="7"/>
  <c r="AA632" i="7" s="1"/>
  <c r="AC632" i="7" s="1"/>
  <c r="Z633" i="7"/>
  <c r="AA633" i="7" s="1"/>
  <c r="AC633" i="7" s="1"/>
  <c r="Z634" i="7"/>
  <c r="AA634" i="7" s="1"/>
  <c r="AC634" i="7" s="1"/>
  <c r="Z635" i="7"/>
  <c r="AA635" i="7" s="1"/>
  <c r="AC635" i="7" s="1"/>
  <c r="Z636" i="7"/>
  <c r="AA636" i="7" s="1"/>
  <c r="AC636" i="7" s="1"/>
  <c r="Z637" i="7"/>
  <c r="AA637" i="7" s="1"/>
  <c r="AC637" i="7" s="1"/>
  <c r="Z638" i="7"/>
  <c r="AA638" i="7" s="1"/>
  <c r="AC638" i="7" s="1"/>
  <c r="Z639" i="7"/>
  <c r="AA639" i="7" s="1"/>
  <c r="AC639" i="7" s="1"/>
  <c r="Z640" i="7"/>
  <c r="AA640" i="7" s="1"/>
  <c r="AC640" i="7" s="1"/>
  <c r="Z641" i="7"/>
  <c r="AA641" i="7" s="1"/>
  <c r="AC641" i="7" s="1"/>
  <c r="Z642" i="7"/>
  <c r="AA642" i="7" s="1"/>
  <c r="AC642" i="7" s="1"/>
  <c r="Z643" i="7"/>
  <c r="AA643" i="7" s="1"/>
  <c r="AC643" i="7" s="1"/>
  <c r="Z644" i="7"/>
  <c r="AA644" i="7" s="1"/>
  <c r="AC644" i="7" s="1"/>
  <c r="Z645" i="7"/>
  <c r="AA645" i="7" s="1"/>
  <c r="AC645" i="7" s="1"/>
  <c r="Z646" i="7"/>
  <c r="AA646" i="7" s="1"/>
  <c r="AC646" i="7" s="1"/>
  <c r="Z647" i="7"/>
  <c r="AA647" i="7" s="1"/>
  <c r="AC647" i="7" s="1"/>
  <c r="Z648" i="7"/>
  <c r="AA648" i="7" s="1"/>
  <c r="AC648" i="7" s="1"/>
  <c r="Z649" i="7"/>
  <c r="AA649" i="7" s="1"/>
  <c r="AC649" i="7" s="1"/>
  <c r="Z650" i="7"/>
  <c r="AA650" i="7" s="1"/>
  <c r="AC650" i="7" s="1"/>
  <c r="Z651" i="7"/>
  <c r="AA651" i="7" s="1"/>
  <c r="AC651" i="7" s="1"/>
  <c r="Z652" i="7"/>
  <c r="AA652" i="7" s="1"/>
  <c r="AC652" i="7" s="1"/>
  <c r="Z653" i="7"/>
  <c r="AA653" i="7" s="1"/>
  <c r="AC653" i="7" s="1"/>
  <c r="Z654" i="7"/>
  <c r="AA654" i="7" s="1"/>
  <c r="AC654" i="7" s="1"/>
  <c r="Z655" i="7"/>
  <c r="AA655" i="7" s="1"/>
  <c r="AC655" i="7" s="1"/>
  <c r="Z656" i="7"/>
  <c r="AA656" i="7" s="1"/>
  <c r="AC656" i="7" s="1"/>
  <c r="Z657" i="7"/>
  <c r="AA657" i="7" s="1"/>
  <c r="AC657" i="7" s="1"/>
  <c r="Z658" i="7"/>
  <c r="AA658" i="7" s="1"/>
  <c r="AC658" i="7" s="1"/>
  <c r="Z659" i="7"/>
  <c r="AA659" i="7" s="1"/>
  <c r="AC659" i="7" s="1"/>
  <c r="Z660" i="7"/>
  <c r="AA660" i="7" s="1"/>
  <c r="AC660" i="7" s="1"/>
  <c r="Z661" i="7"/>
  <c r="AA661" i="7" s="1"/>
  <c r="AC661" i="7" s="1"/>
  <c r="Z662" i="7"/>
  <c r="AA662" i="7" s="1"/>
  <c r="AC662" i="7" s="1"/>
  <c r="Z663" i="7"/>
  <c r="AA663" i="7" s="1"/>
  <c r="AC663" i="7" s="1"/>
  <c r="Z664" i="7"/>
  <c r="AA664" i="7" s="1"/>
  <c r="AC664" i="7" s="1"/>
  <c r="Z665" i="7"/>
  <c r="AA665" i="7" s="1"/>
  <c r="AC665" i="7" s="1"/>
  <c r="Z666" i="7"/>
  <c r="AA666" i="7" s="1"/>
  <c r="AC666" i="7" s="1"/>
  <c r="Z667" i="7"/>
  <c r="AA667" i="7" s="1"/>
  <c r="AC667" i="7" s="1"/>
  <c r="Z668" i="7"/>
  <c r="AA668" i="7" s="1"/>
  <c r="AC668" i="7" s="1"/>
  <c r="Z669" i="7"/>
  <c r="AA669" i="7" s="1"/>
  <c r="AC669" i="7" s="1"/>
  <c r="Z670" i="7"/>
  <c r="AA670" i="7" s="1"/>
  <c r="AC670" i="7" s="1"/>
  <c r="Z671" i="7"/>
  <c r="AA671" i="7" s="1"/>
  <c r="AC671" i="7" s="1"/>
  <c r="Z672" i="7"/>
  <c r="AA672" i="7" s="1"/>
  <c r="AC672" i="7" s="1"/>
  <c r="Z673" i="7"/>
  <c r="AA673" i="7" s="1"/>
  <c r="AC673" i="7" s="1"/>
  <c r="Z674" i="7"/>
  <c r="AA674" i="7" s="1"/>
  <c r="AC674" i="7" s="1"/>
  <c r="Z675" i="7"/>
  <c r="AA675" i="7" s="1"/>
  <c r="Z676" i="7"/>
  <c r="AA676" i="7" s="1"/>
  <c r="AC676" i="7" s="1"/>
  <c r="Z677" i="7"/>
  <c r="AA677" i="7" s="1"/>
  <c r="Z678" i="7"/>
  <c r="AA678" i="7" s="1"/>
  <c r="AC678" i="7" s="1"/>
  <c r="Z679" i="7"/>
  <c r="AA679" i="7" s="1"/>
  <c r="AC679" i="7" s="1"/>
  <c r="Z680" i="7"/>
  <c r="AA680" i="7" s="1"/>
  <c r="AC680" i="7" s="1"/>
  <c r="Z681" i="7"/>
  <c r="AA681" i="7" s="1"/>
  <c r="AC681" i="7" s="1"/>
  <c r="Z682" i="7"/>
  <c r="AA682" i="7" s="1"/>
  <c r="AC682" i="7" s="1"/>
  <c r="Z683" i="7"/>
  <c r="AA683" i="7" s="1"/>
  <c r="Z684" i="7"/>
  <c r="AA684" i="7" s="1"/>
  <c r="Z685" i="7"/>
  <c r="AA685" i="7" s="1"/>
  <c r="AC685" i="7" s="1"/>
  <c r="Z686" i="7"/>
  <c r="AA686" i="7" s="1"/>
  <c r="AC686" i="7" s="1"/>
  <c r="Z687" i="7"/>
  <c r="AA687" i="7" s="1"/>
  <c r="AC687" i="7" s="1"/>
  <c r="Z688" i="7"/>
  <c r="AA688" i="7" s="1"/>
  <c r="AC688" i="7" s="1"/>
  <c r="Z689" i="7"/>
  <c r="AA689" i="7" s="1"/>
  <c r="AC689" i="7" s="1"/>
  <c r="Z690" i="7"/>
  <c r="AA690" i="7" s="1"/>
  <c r="AC690" i="7" s="1"/>
  <c r="Z691" i="7"/>
  <c r="AA691" i="7" s="1"/>
  <c r="AC691" i="7" s="1"/>
  <c r="Z692" i="7"/>
  <c r="AA692" i="7" s="1"/>
  <c r="AC692" i="7" s="1"/>
  <c r="Z693" i="7"/>
  <c r="AA693" i="7" s="1"/>
  <c r="AC693" i="7" s="1"/>
  <c r="Z694" i="7"/>
  <c r="AA694" i="7" s="1"/>
  <c r="AC694" i="7" s="1"/>
  <c r="Z695" i="7"/>
  <c r="AA695" i="7" s="1"/>
  <c r="AC695" i="7" s="1"/>
  <c r="Z696" i="7"/>
  <c r="AA696" i="7" s="1"/>
  <c r="AC696" i="7" s="1"/>
  <c r="Z697" i="7"/>
  <c r="AA697" i="7" s="1"/>
  <c r="AC697" i="7" s="1"/>
  <c r="Z698" i="7"/>
  <c r="AA698" i="7" s="1"/>
  <c r="AC698" i="7" s="1"/>
  <c r="Z699" i="7"/>
  <c r="AA699" i="7" s="1"/>
  <c r="AC699" i="7" s="1"/>
  <c r="Z700" i="7"/>
  <c r="AA700" i="7" s="1"/>
  <c r="AC700" i="7" s="1"/>
  <c r="Z701" i="7"/>
  <c r="AA701" i="7" s="1"/>
  <c r="AC701" i="7" s="1"/>
  <c r="Z702" i="7"/>
  <c r="AA702" i="7" s="1"/>
  <c r="AC702" i="7" s="1"/>
  <c r="Z703" i="7"/>
  <c r="AA703" i="7" s="1"/>
  <c r="AC703" i="7" s="1"/>
  <c r="Z704" i="7"/>
  <c r="AA704" i="7" s="1"/>
  <c r="AC704" i="7" s="1"/>
  <c r="Z705" i="7"/>
  <c r="AA705" i="7" s="1"/>
  <c r="AC705" i="7" s="1"/>
  <c r="Z706" i="7"/>
  <c r="AA706" i="7" s="1"/>
  <c r="AC706" i="7" s="1"/>
  <c r="Z707" i="7"/>
  <c r="AA707" i="7" s="1"/>
  <c r="AC707" i="7" s="1"/>
  <c r="Z708" i="7"/>
  <c r="AA708" i="7" s="1"/>
  <c r="AC708" i="7" s="1"/>
  <c r="Z709" i="7"/>
  <c r="AA709" i="7" s="1"/>
  <c r="AC709" i="7" s="1"/>
  <c r="Z710" i="7"/>
  <c r="AA710" i="7" s="1"/>
  <c r="AC710" i="7" s="1"/>
  <c r="Z711" i="7"/>
  <c r="AA711" i="7" s="1"/>
  <c r="AC711" i="7" s="1"/>
  <c r="Z712" i="7"/>
  <c r="AA712" i="7" s="1"/>
  <c r="AC712" i="7" s="1"/>
  <c r="Z713" i="7"/>
  <c r="AA713" i="7" s="1"/>
  <c r="AC713" i="7" s="1"/>
  <c r="Z714" i="7"/>
  <c r="AA714" i="7" s="1"/>
  <c r="AC714" i="7" s="1"/>
  <c r="Z715" i="7"/>
  <c r="AA715" i="7" s="1"/>
  <c r="AC715" i="7" s="1"/>
  <c r="Z716" i="7"/>
  <c r="AA716" i="7" s="1"/>
  <c r="AC716" i="7" s="1"/>
  <c r="Z717" i="7"/>
  <c r="AA717" i="7" s="1"/>
  <c r="AC717" i="7" s="1"/>
  <c r="Z718" i="7"/>
  <c r="AA718" i="7" s="1"/>
  <c r="AC718" i="7" s="1"/>
  <c r="Z719" i="7"/>
  <c r="AA719" i="7" s="1"/>
  <c r="AC719" i="7" s="1"/>
  <c r="Z720" i="7"/>
  <c r="AA720" i="7" s="1"/>
  <c r="AC720" i="7" s="1"/>
  <c r="Z721" i="7"/>
  <c r="AA721" i="7" s="1"/>
  <c r="AC721" i="7" s="1"/>
  <c r="Z722" i="7"/>
  <c r="AA722" i="7" s="1"/>
  <c r="AC722" i="7" s="1"/>
  <c r="Z723" i="7"/>
  <c r="AA723" i="7" s="1"/>
  <c r="AC723" i="7" s="1"/>
  <c r="Z724" i="7"/>
  <c r="AA724" i="7" s="1"/>
  <c r="AC724" i="7" s="1"/>
  <c r="Z725" i="7"/>
  <c r="AA725" i="7" s="1"/>
  <c r="AC725" i="7" s="1"/>
  <c r="Z726" i="7"/>
  <c r="AA726" i="7" s="1"/>
  <c r="AC726" i="7" s="1"/>
  <c r="Z727" i="7"/>
  <c r="AA727" i="7" s="1"/>
  <c r="AC727" i="7" s="1"/>
  <c r="Z728" i="7"/>
  <c r="AA728" i="7" s="1"/>
  <c r="AC728" i="7" s="1"/>
  <c r="Z729" i="7"/>
  <c r="AA729" i="7" s="1"/>
  <c r="AC729" i="7" s="1"/>
  <c r="Z730" i="7"/>
  <c r="AA730" i="7" s="1"/>
  <c r="AC730" i="7" s="1"/>
  <c r="Z731" i="7"/>
  <c r="AA731" i="7" s="1"/>
  <c r="AC731" i="7" s="1"/>
  <c r="Z732" i="7"/>
  <c r="AA732" i="7" s="1"/>
  <c r="AC732" i="7" s="1"/>
  <c r="Z733" i="7"/>
  <c r="AA733" i="7" s="1"/>
  <c r="AC733" i="7" s="1"/>
  <c r="Z734" i="7"/>
  <c r="AA734" i="7" s="1"/>
  <c r="AC734" i="7" s="1"/>
  <c r="Z735" i="7"/>
  <c r="AA735" i="7" s="1"/>
  <c r="AC735" i="7" s="1"/>
  <c r="Z736" i="7"/>
  <c r="AA736" i="7" s="1"/>
  <c r="AC736" i="7" s="1"/>
  <c r="Z737" i="7"/>
  <c r="AA737" i="7" s="1"/>
  <c r="AC737" i="7" s="1"/>
  <c r="Z738" i="7"/>
  <c r="AA738" i="7" s="1"/>
  <c r="AC738" i="7" s="1"/>
  <c r="Z739" i="7"/>
  <c r="AA739" i="7" s="1"/>
  <c r="AC739" i="7" s="1"/>
  <c r="Z740" i="7"/>
  <c r="AA740" i="7" s="1"/>
  <c r="AC740" i="7" s="1"/>
  <c r="Z741" i="7"/>
  <c r="AA741" i="7" s="1"/>
  <c r="AC741" i="7" s="1"/>
  <c r="Z742" i="7"/>
  <c r="AA742" i="7" s="1"/>
  <c r="AC742" i="7" s="1"/>
  <c r="Z743" i="7"/>
  <c r="AA743" i="7" s="1"/>
  <c r="AC743" i="7" s="1"/>
  <c r="Z744" i="7"/>
  <c r="AA744" i="7" s="1"/>
  <c r="AC744" i="7" s="1"/>
  <c r="Z745" i="7"/>
  <c r="AA745" i="7" s="1"/>
  <c r="AC745" i="7" s="1"/>
  <c r="Z746" i="7"/>
  <c r="AA746" i="7" s="1"/>
  <c r="AC746" i="7" s="1"/>
  <c r="Z747" i="7"/>
  <c r="AA747" i="7" s="1"/>
  <c r="AC747" i="7" s="1"/>
  <c r="Z748" i="7"/>
  <c r="AA748" i="7" s="1"/>
  <c r="AC748" i="7" s="1"/>
  <c r="Z749" i="7"/>
  <c r="AA749" i="7" s="1"/>
  <c r="AC749" i="7" s="1"/>
  <c r="Z750" i="7"/>
  <c r="AA750" i="7" s="1"/>
  <c r="AC750" i="7" s="1"/>
  <c r="Z751" i="7"/>
  <c r="AA751" i="7" s="1"/>
  <c r="AC751" i="7" s="1"/>
  <c r="Z752" i="7"/>
  <c r="AA752" i="7" s="1"/>
  <c r="AC752" i="7" s="1"/>
  <c r="Z753" i="7"/>
  <c r="AA753" i="7" s="1"/>
  <c r="AC753" i="7" s="1"/>
  <c r="Z754" i="7"/>
  <c r="AA754" i="7" s="1"/>
  <c r="AC754" i="7" s="1"/>
  <c r="Z755" i="7"/>
  <c r="AA755" i="7" s="1"/>
  <c r="AC755" i="7" s="1"/>
  <c r="Z756" i="7"/>
  <c r="AA756" i="7" s="1"/>
  <c r="AC756" i="7" s="1"/>
  <c r="Z757" i="7"/>
  <c r="AA757" i="7" s="1"/>
  <c r="AC757" i="7" s="1"/>
  <c r="Z758" i="7"/>
  <c r="AA758" i="7" s="1"/>
  <c r="AC758" i="7" s="1"/>
  <c r="Z759" i="7"/>
  <c r="AA759" i="7" s="1"/>
  <c r="AC759" i="7" s="1"/>
  <c r="Z760" i="7"/>
  <c r="AA760" i="7" s="1"/>
  <c r="AC760" i="7" s="1"/>
  <c r="Z761" i="7"/>
  <c r="AA761" i="7" s="1"/>
  <c r="AC761" i="7" s="1"/>
  <c r="Z762" i="7"/>
  <c r="AA762" i="7" s="1"/>
  <c r="AC762" i="7" s="1"/>
  <c r="Z763" i="7"/>
  <c r="AA763" i="7" s="1"/>
  <c r="AC763" i="7" s="1"/>
  <c r="Z764" i="7"/>
  <c r="AA764" i="7" s="1"/>
  <c r="AC764" i="7" s="1"/>
  <c r="Z765" i="7"/>
  <c r="AA765" i="7" s="1"/>
  <c r="AC765" i="7" s="1"/>
  <c r="Z766" i="7"/>
  <c r="AA766" i="7" s="1"/>
  <c r="AC766" i="7" s="1"/>
  <c r="Z767" i="7"/>
  <c r="AA767" i="7" s="1"/>
  <c r="AC767" i="7" s="1"/>
  <c r="Z768" i="7"/>
  <c r="AA768" i="7" s="1"/>
  <c r="AC768" i="7" s="1"/>
  <c r="Z769" i="7"/>
  <c r="AA769" i="7" s="1"/>
  <c r="AC769" i="7" s="1"/>
  <c r="Z770" i="7"/>
  <c r="AA770" i="7" s="1"/>
  <c r="AC770" i="7" s="1"/>
  <c r="Z771" i="7"/>
  <c r="AA771" i="7" s="1"/>
  <c r="AC771" i="7" s="1"/>
  <c r="Z772" i="7"/>
  <c r="AA772" i="7" s="1"/>
  <c r="AC772" i="7" s="1"/>
  <c r="Z773" i="7"/>
  <c r="AA773" i="7" s="1"/>
  <c r="AC773" i="7" s="1"/>
  <c r="Z774" i="7"/>
  <c r="AA774" i="7" s="1"/>
  <c r="AC774" i="7" s="1"/>
  <c r="Z775" i="7"/>
  <c r="AA775" i="7" s="1"/>
  <c r="AC775" i="7" s="1"/>
  <c r="Z776" i="7"/>
  <c r="AA776" i="7" s="1"/>
  <c r="AC776" i="7" s="1"/>
  <c r="Z777" i="7"/>
  <c r="AA777" i="7" s="1"/>
  <c r="AC777" i="7" s="1"/>
  <c r="Z778" i="7"/>
  <c r="AA778" i="7" s="1"/>
  <c r="AC778" i="7" s="1"/>
  <c r="Z779" i="7"/>
  <c r="AA779" i="7" s="1"/>
  <c r="AC779" i="7" s="1"/>
  <c r="Z780" i="7"/>
  <c r="AA780" i="7" s="1"/>
  <c r="AC780" i="7" s="1"/>
  <c r="Z781" i="7"/>
  <c r="AA781" i="7" s="1"/>
  <c r="AC781" i="7" s="1"/>
  <c r="Z782" i="7"/>
  <c r="AA782" i="7" s="1"/>
  <c r="AC782" i="7" s="1"/>
  <c r="Z783" i="7"/>
  <c r="AA783" i="7" s="1"/>
  <c r="AC783" i="7" s="1"/>
  <c r="Z784" i="7"/>
  <c r="AA784" i="7" s="1"/>
  <c r="AC784" i="7" s="1"/>
  <c r="Z785" i="7"/>
  <c r="AA785" i="7" s="1"/>
  <c r="AC785" i="7" s="1"/>
  <c r="Z786" i="7"/>
  <c r="AA786" i="7" s="1"/>
  <c r="AC786" i="7" s="1"/>
  <c r="Z787" i="7"/>
  <c r="AA787" i="7" s="1"/>
  <c r="AC787" i="7" s="1"/>
  <c r="Z788" i="7"/>
  <c r="AA788" i="7" s="1"/>
  <c r="AC788" i="7" s="1"/>
  <c r="Z789" i="7"/>
  <c r="AA789" i="7" s="1"/>
  <c r="AC789" i="7" s="1"/>
  <c r="Z790" i="7"/>
  <c r="AA790" i="7" s="1"/>
  <c r="AC790" i="7" s="1"/>
  <c r="Z791" i="7"/>
  <c r="AA791" i="7" s="1"/>
  <c r="AC791" i="7" s="1"/>
  <c r="Z792" i="7"/>
  <c r="AA792" i="7" s="1"/>
  <c r="AC792" i="7" s="1"/>
  <c r="Z793" i="7"/>
  <c r="AA793" i="7" s="1"/>
  <c r="AC793" i="7" s="1"/>
  <c r="Z794" i="7"/>
  <c r="AA794" i="7" s="1"/>
  <c r="AC794" i="7" s="1"/>
  <c r="Z795" i="7"/>
  <c r="AA795" i="7" s="1"/>
  <c r="AC795" i="7" s="1"/>
  <c r="Z796" i="7"/>
  <c r="AA796" i="7" s="1"/>
  <c r="AC796" i="7" s="1"/>
  <c r="Z797" i="7"/>
  <c r="AA797" i="7" s="1"/>
  <c r="AC797" i="7" s="1"/>
  <c r="Z798" i="7"/>
  <c r="AA798" i="7" s="1"/>
  <c r="AC798" i="7" s="1"/>
  <c r="Z799" i="7"/>
  <c r="AA799" i="7" s="1"/>
  <c r="AC799" i="7" s="1"/>
  <c r="Z800" i="7"/>
  <c r="AA800" i="7" s="1"/>
  <c r="AC800" i="7" s="1"/>
  <c r="Z801" i="7"/>
  <c r="AA801" i="7" s="1"/>
  <c r="AC801" i="7" s="1"/>
  <c r="Z802" i="7"/>
  <c r="AA802" i="7" s="1"/>
  <c r="AC802" i="7" s="1"/>
  <c r="Z803" i="7"/>
  <c r="AA803" i="7" s="1"/>
  <c r="AC803" i="7" s="1"/>
  <c r="Z804" i="7"/>
  <c r="AA804" i="7" s="1"/>
  <c r="AC804" i="7" s="1"/>
  <c r="Z805" i="7"/>
  <c r="AA805" i="7" s="1"/>
  <c r="AC805" i="7" s="1"/>
  <c r="Z806" i="7"/>
  <c r="AA806" i="7" s="1"/>
  <c r="AC806" i="7" s="1"/>
  <c r="Z807" i="7"/>
  <c r="AA807" i="7" s="1"/>
  <c r="AC807" i="7" s="1"/>
  <c r="Z808" i="7"/>
  <c r="AA808" i="7" s="1"/>
  <c r="AC808" i="7" s="1"/>
  <c r="Z809" i="7"/>
  <c r="AA809" i="7" s="1"/>
  <c r="AC809" i="7" s="1"/>
  <c r="Z810" i="7"/>
  <c r="AA810" i="7" s="1"/>
  <c r="AC810" i="7" s="1"/>
  <c r="Z811" i="7"/>
  <c r="AA811" i="7" s="1"/>
  <c r="AC811" i="7" s="1"/>
  <c r="Z812" i="7"/>
  <c r="AA812" i="7" s="1"/>
  <c r="AC812" i="7" s="1"/>
  <c r="Z813" i="7"/>
  <c r="AA813" i="7" s="1"/>
  <c r="AC813" i="7" s="1"/>
  <c r="Z814" i="7"/>
  <c r="AA814" i="7" s="1"/>
  <c r="AC814" i="7" s="1"/>
  <c r="Z815" i="7"/>
  <c r="AA815" i="7" s="1"/>
  <c r="AC815" i="7" s="1"/>
  <c r="Z816" i="7"/>
  <c r="AA816" i="7" s="1"/>
  <c r="AC816" i="7" s="1"/>
  <c r="Z817" i="7"/>
  <c r="AA817" i="7" s="1"/>
  <c r="AC817" i="7" s="1"/>
  <c r="Z818" i="7"/>
  <c r="AA818" i="7" s="1"/>
  <c r="AC818" i="7" s="1"/>
  <c r="Z819" i="7"/>
  <c r="AA819" i="7" s="1"/>
  <c r="AC819" i="7" s="1"/>
  <c r="Z820" i="7"/>
  <c r="AA820" i="7" s="1"/>
  <c r="AC820" i="7" s="1"/>
  <c r="Z821" i="7"/>
  <c r="AA821" i="7" s="1"/>
  <c r="AC821" i="7" s="1"/>
  <c r="Z822" i="7"/>
  <c r="AA822" i="7" s="1"/>
  <c r="AC822" i="7" s="1"/>
  <c r="Z823" i="7"/>
  <c r="AA823" i="7" s="1"/>
  <c r="AC823" i="7" s="1"/>
  <c r="Z824" i="7"/>
  <c r="AA824" i="7" s="1"/>
  <c r="AC824" i="7" s="1"/>
  <c r="Z825" i="7"/>
  <c r="AA825" i="7" s="1"/>
  <c r="AC825" i="7" s="1"/>
  <c r="Z826" i="7"/>
  <c r="AA826" i="7" s="1"/>
  <c r="AC826" i="7" s="1"/>
  <c r="Z827" i="7"/>
  <c r="AA827" i="7" s="1"/>
  <c r="AC827" i="7" s="1"/>
  <c r="Z828" i="7"/>
  <c r="AA828" i="7" s="1"/>
  <c r="AC828" i="7" s="1"/>
  <c r="Z829" i="7"/>
  <c r="AA829" i="7" s="1"/>
  <c r="AC829" i="7" s="1"/>
  <c r="Z830" i="7"/>
  <c r="AA830" i="7" s="1"/>
  <c r="AC830" i="7" s="1"/>
  <c r="Z831" i="7"/>
  <c r="AA831" i="7" s="1"/>
  <c r="AC831" i="7" s="1"/>
  <c r="Z832" i="7"/>
  <c r="AA832" i="7" s="1"/>
  <c r="AC832" i="7" s="1"/>
  <c r="Z833" i="7"/>
  <c r="AA833" i="7" s="1"/>
  <c r="AC833" i="7" s="1"/>
  <c r="Z834" i="7"/>
  <c r="AA834" i="7" s="1"/>
  <c r="AC834" i="7" s="1"/>
  <c r="Z835" i="7"/>
  <c r="AA835" i="7" s="1"/>
  <c r="AC835" i="7" s="1"/>
  <c r="Z836" i="7"/>
  <c r="AA836" i="7" s="1"/>
  <c r="AC836" i="7" s="1"/>
  <c r="Z837" i="7"/>
  <c r="AA837" i="7" s="1"/>
  <c r="AC837" i="7" s="1"/>
  <c r="Z838" i="7"/>
  <c r="AA838" i="7" s="1"/>
  <c r="AC838" i="7" s="1"/>
  <c r="Z839" i="7"/>
  <c r="AA839" i="7" s="1"/>
  <c r="AC839" i="7" s="1"/>
  <c r="Z840" i="7"/>
  <c r="AA840" i="7" s="1"/>
  <c r="AC840" i="7" s="1"/>
  <c r="Z841" i="7"/>
  <c r="AA841" i="7" s="1"/>
  <c r="AC841" i="7" s="1"/>
  <c r="Z842" i="7"/>
  <c r="AA842" i="7" s="1"/>
  <c r="AC842" i="7" s="1"/>
  <c r="Z843" i="7"/>
  <c r="AA843" i="7" s="1"/>
  <c r="AC843" i="7" s="1"/>
  <c r="Z844" i="7"/>
  <c r="AA844" i="7" s="1"/>
  <c r="AC844" i="7" s="1"/>
  <c r="Z845" i="7"/>
  <c r="AA845" i="7" s="1"/>
  <c r="AC845" i="7" s="1"/>
  <c r="Z846" i="7"/>
  <c r="AA846" i="7" s="1"/>
  <c r="AC846" i="7" s="1"/>
  <c r="Z847" i="7"/>
  <c r="AA847" i="7" s="1"/>
  <c r="AC847" i="7" s="1"/>
  <c r="Z848" i="7"/>
  <c r="AA848" i="7" s="1"/>
  <c r="AC848" i="7" s="1"/>
  <c r="Z849" i="7"/>
  <c r="AA849" i="7" s="1"/>
  <c r="AC849" i="7" s="1"/>
  <c r="Z850" i="7"/>
  <c r="AA850" i="7" s="1"/>
  <c r="AC850" i="7" s="1"/>
  <c r="Z851" i="7"/>
  <c r="AA851" i="7" s="1"/>
  <c r="AC851" i="7" s="1"/>
  <c r="Z852" i="7"/>
  <c r="AA852" i="7" s="1"/>
  <c r="AC852" i="7" s="1"/>
  <c r="Z853" i="7"/>
  <c r="AA853" i="7" s="1"/>
  <c r="AC853" i="7" s="1"/>
  <c r="Z854" i="7"/>
  <c r="AA854" i="7" s="1"/>
  <c r="AC854" i="7" s="1"/>
  <c r="Z855" i="7"/>
  <c r="AA855" i="7" s="1"/>
  <c r="AC855" i="7" s="1"/>
  <c r="Z856" i="7"/>
  <c r="AA856" i="7" s="1"/>
  <c r="AC856" i="7" s="1"/>
  <c r="Z857" i="7"/>
  <c r="AA857" i="7" s="1"/>
  <c r="AC857" i="7" s="1"/>
  <c r="Z858" i="7"/>
  <c r="AA858" i="7" s="1"/>
  <c r="AC858" i="7" s="1"/>
  <c r="Z859" i="7"/>
  <c r="AA859" i="7" s="1"/>
  <c r="AC859" i="7" s="1"/>
  <c r="Z860" i="7"/>
  <c r="AA860" i="7" s="1"/>
  <c r="AC860" i="7" s="1"/>
  <c r="Z861" i="7"/>
  <c r="AA861" i="7" s="1"/>
  <c r="AC861" i="7" s="1"/>
  <c r="Z862" i="7"/>
  <c r="AA862" i="7" s="1"/>
  <c r="AC862" i="7" s="1"/>
  <c r="Z863" i="7"/>
  <c r="AA863" i="7" s="1"/>
  <c r="AC863" i="7" s="1"/>
  <c r="Z864" i="7"/>
  <c r="AA864" i="7" s="1"/>
  <c r="AC864" i="7" s="1"/>
  <c r="Z865" i="7"/>
  <c r="AA865" i="7" s="1"/>
  <c r="AC865" i="7" s="1"/>
  <c r="Z866" i="7"/>
  <c r="AA866" i="7" s="1"/>
  <c r="AC866" i="7" s="1"/>
  <c r="Z867" i="7"/>
  <c r="AA867" i="7" s="1"/>
  <c r="AC867" i="7" s="1"/>
  <c r="Z868" i="7"/>
  <c r="AA868" i="7" s="1"/>
  <c r="AC868" i="7" s="1"/>
  <c r="Z869" i="7"/>
  <c r="AA869" i="7" s="1"/>
  <c r="AC869" i="7" s="1"/>
  <c r="Z870" i="7"/>
  <c r="AA870" i="7" s="1"/>
  <c r="AC870" i="7" s="1"/>
  <c r="Z871" i="7"/>
  <c r="AA871" i="7" s="1"/>
  <c r="AC871" i="7" s="1"/>
  <c r="Z872" i="7"/>
  <c r="AA872" i="7" s="1"/>
  <c r="AC872" i="7" s="1"/>
  <c r="Z873" i="7"/>
  <c r="AA873" i="7" s="1"/>
  <c r="AC873" i="7" s="1"/>
  <c r="Z874" i="7"/>
  <c r="AA874" i="7" s="1"/>
  <c r="AC874" i="7" s="1"/>
  <c r="Z875" i="7"/>
  <c r="AA875" i="7" s="1"/>
  <c r="AC875" i="7" s="1"/>
  <c r="Z876" i="7"/>
  <c r="AA876" i="7" s="1"/>
  <c r="AC876" i="7" s="1"/>
  <c r="Z877" i="7"/>
  <c r="AA877" i="7" s="1"/>
  <c r="AC877" i="7" s="1"/>
  <c r="Z878" i="7"/>
  <c r="AA878" i="7" s="1"/>
  <c r="AC878" i="7" s="1"/>
  <c r="Z879" i="7"/>
  <c r="AA879" i="7" s="1"/>
  <c r="AC879" i="7" s="1"/>
  <c r="Z880" i="7"/>
  <c r="AA880" i="7" s="1"/>
  <c r="AC880" i="7" s="1"/>
  <c r="Z881" i="7"/>
  <c r="AA881" i="7" s="1"/>
  <c r="AC881" i="7" s="1"/>
  <c r="Z882" i="7"/>
  <c r="AA882" i="7" s="1"/>
  <c r="AC882" i="7" s="1"/>
  <c r="Z883" i="7"/>
  <c r="AA883" i="7" s="1"/>
  <c r="AC883" i="7" s="1"/>
  <c r="Z884" i="7"/>
  <c r="AA884" i="7" s="1"/>
  <c r="AC884" i="7" s="1"/>
  <c r="Z885" i="7"/>
  <c r="AA885" i="7" s="1"/>
  <c r="AC885" i="7" s="1"/>
  <c r="Z886" i="7"/>
  <c r="AA886" i="7" s="1"/>
  <c r="AC886" i="7" s="1"/>
  <c r="Z887" i="7"/>
  <c r="AA887" i="7" s="1"/>
  <c r="AC887" i="7" s="1"/>
  <c r="Z888" i="7"/>
  <c r="AA888" i="7" s="1"/>
  <c r="AC888" i="7" s="1"/>
  <c r="Z889" i="7"/>
  <c r="AA889" i="7" s="1"/>
  <c r="AC889" i="7" s="1"/>
  <c r="Z890" i="7"/>
  <c r="AA890" i="7" s="1"/>
  <c r="AC890" i="7" s="1"/>
  <c r="Z891" i="7"/>
  <c r="AA891" i="7" s="1"/>
  <c r="AC891" i="7" s="1"/>
  <c r="Z892" i="7"/>
  <c r="AA892" i="7" s="1"/>
  <c r="AC892" i="7" s="1"/>
  <c r="Z893" i="7"/>
  <c r="AA893" i="7" s="1"/>
  <c r="AC893" i="7" s="1"/>
  <c r="Z894" i="7"/>
  <c r="AA894" i="7" s="1"/>
  <c r="AC894" i="7" s="1"/>
  <c r="Z895" i="7"/>
  <c r="AA895" i="7" s="1"/>
  <c r="AC895" i="7" s="1"/>
  <c r="Z896" i="7"/>
  <c r="AA896" i="7" s="1"/>
  <c r="AC896" i="7" s="1"/>
  <c r="Z897" i="7"/>
  <c r="AA897" i="7" s="1"/>
  <c r="AC897" i="7" s="1"/>
  <c r="Z898" i="7"/>
  <c r="AA898" i="7" s="1"/>
  <c r="AC898" i="7" s="1"/>
  <c r="Z899" i="7"/>
  <c r="AA899" i="7" s="1"/>
  <c r="AC899" i="7" s="1"/>
  <c r="Z900" i="7"/>
  <c r="AA900" i="7" s="1"/>
  <c r="AC900" i="7" s="1"/>
  <c r="Z901" i="7"/>
  <c r="AA901" i="7" s="1"/>
  <c r="AC901" i="7" s="1"/>
  <c r="Z902" i="7"/>
  <c r="AA902" i="7" s="1"/>
  <c r="AC902" i="7" s="1"/>
  <c r="Z903" i="7"/>
  <c r="AA903" i="7" s="1"/>
  <c r="AC903" i="7" s="1"/>
  <c r="Z904" i="7"/>
  <c r="AA904" i="7" s="1"/>
  <c r="AC904" i="7" s="1"/>
  <c r="Z905" i="7"/>
  <c r="AA905" i="7" s="1"/>
  <c r="AC905" i="7" s="1"/>
  <c r="Z906" i="7"/>
  <c r="AA906" i="7" s="1"/>
  <c r="AC906" i="7" s="1"/>
  <c r="Z907" i="7"/>
  <c r="AA907" i="7" s="1"/>
  <c r="AC907" i="7" s="1"/>
  <c r="Z908" i="7"/>
  <c r="AA908" i="7" s="1"/>
  <c r="AC908" i="7" s="1"/>
  <c r="Z909" i="7"/>
  <c r="AA909" i="7" s="1"/>
  <c r="AC909" i="7" s="1"/>
  <c r="Z910" i="7"/>
  <c r="AA910" i="7" s="1"/>
  <c r="AC910" i="7" s="1"/>
  <c r="Z911" i="7"/>
  <c r="AA911" i="7" s="1"/>
  <c r="AC911" i="7" s="1"/>
  <c r="Z912" i="7"/>
  <c r="AA912" i="7" s="1"/>
  <c r="AC912" i="7" s="1"/>
  <c r="Z913" i="7"/>
  <c r="AA913" i="7" s="1"/>
  <c r="AC913" i="7" s="1"/>
  <c r="Z914" i="7"/>
  <c r="AA914" i="7" s="1"/>
  <c r="AC914" i="7" s="1"/>
  <c r="Z915" i="7"/>
  <c r="AA915" i="7" s="1"/>
  <c r="AC915" i="7" s="1"/>
  <c r="Z916" i="7"/>
  <c r="AA916" i="7" s="1"/>
  <c r="AC916" i="7" s="1"/>
  <c r="Z917" i="7"/>
  <c r="AA917" i="7" s="1"/>
  <c r="AC917" i="7" s="1"/>
  <c r="Z918" i="7"/>
  <c r="AA918" i="7" s="1"/>
  <c r="AC918" i="7" s="1"/>
  <c r="Z919" i="7"/>
  <c r="AA919" i="7" s="1"/>
  <c r="AC919" i="7" s="1"/>
  <c r="Z920" i="7"/>
  <c r="AA920" i="7" s="1"/>
  <c r="AC920" i="7" s="1"/>
  <c r="Z921" i="7"/>
  <c r="AA921" i="7" s="1"/>
  <c r="AC921" i="7" s="1"/>
  <c r="Z922" i="7"/>
  <c r="AA922" i="7" s="1"/>
  <c r="AC922" i="7" s="1"/>
  <c r="Z923" i="7"/>
  <c r="AA923" i="7" s="1"/>
  <c r="AC923" i="7" s="1"/>
  <c r="Z924" i="7"/>
  <c r="AA924" i="7" s="1"/>
  <c r="AC924" i="7" s="1"/>
  <c r="Z925" i="7"/>
  <c r="AA925" i="7" s="1"/>
  <c r="AC925" i="7" s="1"/>
  <c r="Z926" i="7"/>
  <c r="AA926" i="7" s="1"/>
  <c r="AC926" i="7" s="1"/>
  <c r="Z927" i="7"/>
  <c r="AA927" i="7" s="1"/>
  <c r="AC927" i="7" s="1"/>
  <c r="Z928" i="7"/>
  <c r="AA928" i="7" s="1"/>
  <c r="AC928" i="7" s="1"/>
  <c r="Z929" i="7"/>
  <c r="AA929" i="7" s="1"/>
  <c r="AC929" i="7" s="1"/>
  <c r="Z930" i="7"/>
  <c r="AA930" i="7" s="1"/>
  <c r="AC930" i="7" s="1"/>
  <c r="Z931" i="7"/>
  <c r="AA931" i="7" s="1"/>
  <c r="AC931" i="7" s="1"/>
  <c r="Z932" i="7"/>
  <c r="AA932" i="7" s="1"/>
  <c r="AC932" i="7" s="1"/>
  <c r="Z933" i="7"/>
  <c r="AA933" i="7" s="1"/>
  <c r="AC933" i="7" s="1"/>
  <c r="Z934" i="7"/>
  <c r="AA934" i="7" s="1"/>
  <c r="AC934" i="7" s="1"/>
  <c r="Z935" i="7"/>
  <c r="AA935" i="7" s="1"/>
  <c r="AC935" i="7" s="1"/>
  <c r="Z936" i="7"/>
  <c r="AA936" i="7" s="1"/>
  <c r="AC936" i="7" s="1"/>
  <c r="Z937" i="7"/>
  <c r="AA937" i="7" s="1"/>
  <c r="AC937" i="7" s="1"/>
  <c r="Z938" i="7"/>
  <c r="AA938" i="7" s="1"/>
  <c r="AC938" i="7" s="1"/>
  <c r="Z939" i="7"/>
  <c r="AA939" i="7" s="1"/>
  <c r="AC939" i="7" s="1"/>
  <c r="Z940" i="7"/>
  <c r="AA940" i="7" s="1"/>
  <c r="AC940" i="7" s="1"/>
  <c r="Z941" i="7"/>
  <c r="AA941" i="7" s="1"/>
  <c r="AC941" i="7" s="1"/>
  <c r="Z942" i="7"/>
  <c r="AA942" i="7" s="1"/>
  <c r="AC942" i="7" s="1"/>
  <c r="Z943" i="7"/>
  <c r="AA943" i="7" s="1"/>
  <c r="AC943" i="7" s="1"/>
  <c r="Z944" i="7"/>
  <c r="AA944" i="7" s="1"/>
  <c r="AC944" i="7" s="1"/>
  <c r="Z945" i="7"/>
  <c r="AA945" i="7" s="1"/>
  <c r="AC945" i="7" s="1"/>
  <c r="Z946" i="7"/>
  <c r="AA946" i="7" s="1"/>
  <c r="AC946" i="7" s="1"/>
  <c r="Z947" i="7"/>
  <c r="AA947" i="7" s="1"/>
  <c r="AC947" i="7" s="1"/>
  <c r="Z948" i="7"/>
  <c r="AA948" i="7" s="1"/>
  <c r="AC948" i="7" s="1"/>
  <c r="Z949" i="7"/>
  <c r="AA949" i="7" s="1"/>
  <c r="AC949" i="7" s="1"/>
  <c r="Z950" i="7"/>
  <c r="AA950" i="7" s="1"/>
  <c r="AC950" i="7" s="1"/>
  <c r="Z951" i="7"/>
  <c r="AA951" i="7" s="1"/>
  <c r="AC951" i="7" s="1"/>
  <c r="Z952" i="7"/>
  <c r="AA952" i="7" s="1"/>
  <c r="AC952" i="7" s="1"/>
  <c r="Z953" i="7"/>
  <c r="AA953" i="7" s="1"/>
  <c r="AC953" i="7" s="1"/>
  <c r="Z954" i="7"/>
  <c r="AA954" i="7" s="1"/>
  <c r="AC954" i="7" s="1"/>
  <c r="Z955" i="7"/>
  <c r="AA955" i="7" s="1"/>
  <c r="AC955" i="7" s="1"/>
  <c r="Z956" i="7"/>
  <c r="AA956" i="7" s="1"/>
  <c r="AC956" i="7" s="1"/>
  <c r="Z957" i="7"/>
  <c r="AA957" i="7" s="1"/>
  <c r="AC957" i="7" s="1"/>
  <c r="Z958" i="7"/>
  <c r="AA958" i="7" s="1"/>
  <c r="AC958" i="7" s="1"/>
  <c r="Z959" i="7"/>
  <c r="AA959" i="7" s="1"/>
  <c r="AC959" i="7" s="1"/>
  <c r="Z960" i="7"/>
  <c r="AA960" i="7" s="1"/>
  <c r="AC960" i="7" s="1"/>
  <c r="Z961" i="7"/>
  <c r="AA961" i="7" s="1"/>
  <c r="AC961" i="7" s="1"/>
  <c r="Z962" i="7"/>
  <c r="AA962" i="7" s="1"/>
  <c r="AC962" i="7" s="1"/>
  <c r="Z963" i="7"/>
  <c r="AA963" i="7" s="1"/>
  <c r="AC963" i="7" s="1"/>
  <c r="Z964" i="7"/>
  <c r="AA964" i="7" s="1"/>
  <c r="AC964" i="7" s="1"/>
  <c r="Z965" i="7"/>
  <c r="AA965" i="7" s="1"/>
  <c r="AC965" i="7" s="1"/>
  <c r="Z966" i="7"/>
  <c r="AA966" i="7" s="1"/>
  <c r="AC966" i="7" s="1"/>
  <c r="Z967" i="7"/>
  <c r="AA967" i="7" s="1"/>
  <c r="AC967" i="7" s="1"/>
  <c r="Z968" i="7"/>
  <c r="AA968" i="7" s="1"/>
  <c r="AC968" i="7" s="1"/>
  <c r="Z969" i="7"/>
  <c r="AA969" i="7" s="1"/>
  <c r="AC969" i="7" s="1"/>
  <c r="Z970" i="7"/>
  <c r="AA970" i="7" s="1"/>
  <c r="AC970" i="7" s="1"/>
  <c r="Z971" i="7"/>
  <c r="AA971" i="7" s="1"/>
  <c r="AC971" i="7" s="1"/>
  <c r="Z972" i="7"/>
  <c r="AA972" i="7" s="1"/>
  <c r="AC972" i="7" s="1"/>
  <c r="Z973" i="7"/>
  <c r="AA973" i="7" s="1"/>
  <c r="AC973" i="7" s="1"/>
  <c r="Z974" i="7"/>
  <c r="AA974" i="7" s="1"/>
  <c r="AC974" i="7" s="1"/>
  <c r="Z975" i="7"/>
  <c r="AA975" i="7" s="1"/>
  <c r="AC975" i="7" s="1"/>
  <c r="Z976" i="7"/>
  <c r="AA976" i="7" s="1"/>
  <c r="AC976" i="7" s="1"/>
  <c r="Z977" i="7"/>
  <c r="AA977" i="7" s="1"/>
  <c r="AC977" i="7" s="1"/>
  <c r="Z978" i="7"/>
  <c r="AA978" i="7" s="1"/>
  <c r="AC978" i="7" s="1"/>
  <c r="Z979" i="7"/>
  <c r="AA979" i="7" s="1"/>
  <c r="AC979" i="7" s="1"/>
  <c r="Z980" i="7"/>
  <c r="AA980" i="7" s="1"/>
  <c r="AC980" i="7" s="1"/>
  <c r="Z981" i="7"/>
  <c r="AA981" i="7" s="1"/>
  <c r="AC981" i="7" s="1"/>
  <c r="Z982" i="7"/>
  <c r="AA982" i="7" s="1"/>
  <c r="AC982" i="7" s="1"/>
  <c r="Z983" i="7"/>
  <c r="AA983" i="7" s="1"/>
  <c r="AC983" i="7" s="1"/>
  <c r="Z984" i="7"/>
  <c r="AA984" i="7" s="1"/>
  <c r="AC984" i="7" s="1"/>
  <c r="Z985" i="7"/>
  <c r="AA985" i="7" s="1"/>
  <c r="AC985" i="7" s="1"/>
  <c r="Z986" i="7"/>
  <c r="AA986" i="7" s="1"/>
  <c r="AC986" i="7" s="1"/>
  <c r="Z987" i="7"/>
  <c r="AA987" i="7" s="1"/>
  <c r="AC987" i="7" s="1"/>
  <c r="Z988" i="7"/>
  <c r="AA988" i="7" s="1"/>
  <c r="AC988" i="7" s="1"/>
  <c r="Z989" i="7"/>
  <c r="AA989" i="7" s="1"/>
  <c r="AC989" i="7" s="1"/>
  <c r="Z990" i="7"/>
  <c r="AA990" i="7" s="1"/>
  <c r="AC990" i="7" s="1"/>
  <c r="Z991" i="7"/>
  <c r="AA991" i="7" s="1"/>
  <c r="AC991" i="7" s="1"/>
  <c r="Z992" i="7"/>
  <c r="AA992" i="7" s="1"/>
  <c r="AC992" i="7" s="1"/>
  <c r="Z993" i="7"/>
  <c r="AA993" i="7" s="1"/>
  <c r="AC993" i="7" s="1"/>
  <c r="Z994" i="7"/>
  <c r="AA994" i="7" s="1"/>
  <c r="AC994" i="7" s="1"/>
  <c r="Z995" i="7"/>
  <c r="AA995" i="7" s="1"/>
  <c r="AC995" i="7" s="1"/>
  <c r="Z996" i="7"/>
  <c r="AA996" i="7" s="1"/>
  <c r="AC996" i="7" s="1"/>
  <c r="Z997" i="7"/>
  <c r="AA997" i="7" s="1"/>
  <c r="AC997" i="7" s="1"/>
  <c r="Z998" i="7"/>
  <c r="AA998" i="7" s="1"/>
  <c r="AC998" i="7" s="1"/>
  <c r="Z999" i="7"/>
  <c r="AA999" i="7" s="1"/>
  <c r="AC999" i="7" s="1"/>
  <c r="Z1000" i="7"/>
  <c r="AA1000" i="7" s="1"/>
  <c r="AC1000" i="7" s="1"/>
  <c r="Z1001" i="7"/>
  <c r="AA1001" i="7" s="1"/>
  <c r="AC1001" i="7" s="1"/>
  <c r="Z1002" i="7"/>
  <c r="AA1002" i="7" s="1"/>
  <c r="AC1002" i="7" s="1"/>
  <c r="Z1003" i="7"/>
  <c r="AA1003" i="7" s="1"/>
  <c r="AC1003" i="7" s="1"/>
  <c r="Z1004" i="7"/>
  <c r="AA1004" i="7" s="1"/>
  <c r="AC1004" i="7" s="1"/>
  <c r="Z1005" i="7"/>
  <c r="AA1005" i="7" s="1"/>
  <c r="AC1005" i="7" s="1"/>
  <c r="Z1006" i="7"/>
  <c r="AA1006" i="7" s="1"/>
  <c r="AC1006" i="7" s="1"/>
  <c r="Z1007" i="7"/>
  <c r="AA1007" i="7" s="1"/>
  <c r="AC1007" i="7" s="1"/>
  <c r="Z1008" i="7"/>
  <c r="AA1008" i="7" s="1"/>
  <c r="AC1008" i="7" s="1"/>
  <c r="Z1009" i="7"/>
  <c r="AA1009" i="7" s="1"/>
  <c r="AC1009" i="7" s="1"/>
  <c r="Z1010" i="7"/>
  <c r="AA1010" i="7" s="1"/>
  <c r="AC1010" i="7" s="1"/>
  <c r="Z1011" i="7"/>
  <c r="AA1011" i="7" s="1"/>
  <c r="AC1011" i="7" s="1"/>
  <c r="Z1012" i="7"/>
  <c r="AA1012" i="7" s="1"/>
  <c r="AC1012" i="7" s="1"/>
  <c r="Z1013" i="7"/>
  <c r="AA1013" i="7" s="1"/>
  <c r="AC1013" i="7" s="1"/>
  <c r="Z1014" i="7"/>
  <c r="AA1014" i="7" s="1"/>
  <c r="AC1014" i="7" s="1"/>
  <c r="Z1015" i="7"/>
  <c r="AA1015" i="7" s="1"/>
  <c r="AC1015" i="7" s="1"/>
  <c r="Z1016" i="7"/>
  <c r="AA1016" i="7" s="1"/>
  <c r="AC1016" i="7" s="1"/>
  <c r="Z1017" i="7"/>
  <c r="AA1017" i="7" s="1"/>
  <c r="AC1017" i="7" s="1"/>
  <c r="Z1018" i="7"/>
  <c r="AA1018" i="7" s="1"/>
  <c r="AC1018" i="7" s="1"/>
  <c r="Z1019" i="7"/>
  <c r="AA1019" i="7" s="1"/>
  <c r="AC1019" i="7" s="1"/>
  <c r="Z1020" i="7"/>
  <c r="AA1020" i="7" s="1"/>
  <c r="AC1020" i="7" s="1"/>
  <c r="Z1021" i="7"/>
  <c r="AA1021" i="7" s="1"/>
  <c r="AC1021" i="7" s="1"/>
  <c r="Z1022" i="7"/>
  <c r="AA1022" i="7" s="1"/>
  <c r="AC1022" i="7" s="1"/>
  <c r="Z1023" i="7"/>
  <c r="AA1023" i="7" s="1"/>
  <c r="AC1023" i="7" s="1"/>
  <c r="Z1024" i="7"/>
  <c r="AA1024" i="7" s="1"/>
  <c r="AC1024" i="7" s="1"/>
  <c r="Z1025" i="7"/>
  <c r="AA1025" i="7" s="1"/>
  <c r="AC1025" i="7" s="1"/>
  <c r="Z1026" i="7"/>
  <c r="AA1026" i="7" s="1"/>
  <c r="AC1026" i="7" s="1"/>
  <c r="Z1027" i="7"/>
  <c r="AA1027" i="7" s="1"/>
  <c r="AC1027" i="7" s="1"/>
  <c r="Z1028" i="7"/>
  <c r="AA1028" i="7" s="1"/>
  <c r="AC1028" i="7" s="1"/>
  <c r="Z1029" i="7"/>
  <c r="AA1029" i="7" s="1"/>
  <c r="AC1029" i="7" s="1"/>
  <c r="Z1030" i="7"/>
  <c r="AA1030" i="7" s="1"/>
  <c r="AC1030" i="7" s="1"/>
  <c r="Z1031" i="7"/>
  <c r="AA1031" i="7" s="1"/>
  <c r="AC1031" i="7" s="1"/>
  <c r="Z1032" i="7"/>
  <c r="AA1032" i="7" s="1"/>
  <c r="AC1032" i="7" s="1"/>
  <c r="Z1033" i="7"/>
  <c r="AA1033" i="7" s="1"/>
  <c r="AC1033" i="7" s="1"/>
  <c r="Z1034" i="7"/>
  <c r="AA1034" i="7" s="1"/>
  <c r="AC1034" i="7" s="1"/>
  <c r="Z1035" i="7"/>
  <c r="AA1035" i="7" s="1"/>
  <c r="AC1035" i="7" s="1"/>
  <c r="Z1036" i="7"/>
  <c r="AA1036" i="7" s="1"/>
  <c r="AC1036" i="7" s="1"/>
  <c r="Z1037" i="7"/>
  <c r="AA1037" i="7" s="1"/>
  <c r="AC1037" i="7" s="1"/>
  <c r="Z1038" i="7"/>
  <c r="AA1038" i="7" s="1"/>
  <c r="AC1038" i="7" s="1"/>
  <c r="Z1039" i="7"/>
  <c r="AA1039" i="7" s="1"/>
  <c r="AC1039" i="7" s="1"/>
  <c r="Z1040" i="7"/>
  <c r="AA1040" i="7" s="1"/>
  <c r="AC1040" i="7" s="1"/>
  <c r="Z1041" i="7"/>
  <c r="AA1041" i="7" s="1"/>
  <c r="AC1041" i="7" s="1"/>
  <c r="Z1042" i="7"/>
  <c r="AA1042" i="7" s="1"/>
  <c r="AC1042" i="7" s="1"/>
  <c r="Z1043" i="7"/>
  <c r="AA1043" i="7" s="1"/>
  <c r="AC1043" i="7" s="1"/>
  <c r="Z1044" i="7"/>
  <c r="AA1044" i="7" s="1"/>
  <c r="AC1044" i="7" s="1"/>
  <c r="Z1045" i="7"/>
  <c r="AA1045" i="7" s="1"/>
  <c r="AC1045" i="7" s="1"/>
  <c r="Z1046" i="7"/>
  <c r="AA1046" i="7" s="1"/>
  <c r="AC1046" i="7" s="1"/>
  <c r="Z1047" i="7"/>
  <c r="AA1047" i="7" s="1"/>
  <c r="AC1047" i="7" s="1"/>
  <c r="Z1048" i="7"/>
  <c r="AA1048" i="7" s="1"/>
  <c r="AC1048" i="7" s="1"/>
  <c r="Z1049" i="7"/>
  <c r="AA1049" i="7" s="1"/>
  <c r="AC1049" i="7" s="1"/>
  <c r="Z1050" i="7"/>
  <c r="AA1050" i="7" s="1"/>
  <c r="AC1050" i="7" s="1"/>
  <c r="Z1051" i="7"/>
  <c r="AA1051" i="7" s="1"/>
  <c r="AC1051" i="7" s="1"/>
  <c r="Z1052" i="7"/>
  <c r="AA1052" i="7" s="1"/>
  <c r="AC1052" i="7" s="1"/>
  <c r="Z1053" i="7"/>
  <c r="AA1053" i="7" s="1"/>
  <c r="AC1053" i="7" s="1"/>
  <c r="Z1054" i="7"/>
  <c r="AA1054" i="7" s="1"/>
  <c r="AC1054" i="7" s="1"/>
  <c r="Z1055" i="7"/>
  <c r="AA1055" i="7" s="1"/>
  <c r="AC1055" i="7" s="1"/>
  <c r="Z1056" i="7"/>
  <c r="AA1056" i="7" s="1"/>
  <c r="AC1056" i="7" s="1"/>
  <c r="Z1057" i="7"/>
  <c r="AA1057" i="7" s="1"/>
  <c r="AC1057" i="7" s="1"/>
  <c r="Z1058" i="7"/>
  <c r="AA1058" i="7" s="1"/>
  <c r="AC1058" i="7" s="1"/>
  <c r="Z1059" i="7"/>
  <c r="AA1059" i="7" s="1"/>
  <c r="AC1059" i="7" s="1"/>
  <c r="Z1060" i="7"/>
  <c r="AA1060" i="7" s="1"/>
  <c r="AC1060" i="7" s="1"/>
  <c r="Z1061" i="7"/>
  <c r="AA1061" i="7" s="1"/>
  <c r="AC1061" i="7" s="1"/>
  <c r="Z1062" i="7"/>
  <c r="AA1062" i="7" s="1"/>
  <c r="AC1062" i="7" s="1"/>
  <c r="Z1063" i="7"/>
  <c r="AA1063" i="7" s="1"/>
  <c r="AC1063" i="7" s="1"/>
  <c r="Z1064" i="7"/>
  <c r="AA1064" i="7" s="1"/>
  <c r="AC1064" i="7" s="1"/>
  <c r="Z1065" i="7"/>
  <c r="AA1065" i="7" s="1"/>
  <c r="AC1065" i="7" s="1"/>
  <c r="Z1066" i="7"/>
  <c r="AA1066" i="7" s="1"/>
  <c r="AC1066" i="7" s="1"/>
  <c r="Z1067" i="7"/>
  <c r="AA1067" i="7" s="1"/>
  <c r="AC1067" i="7" s="1"/>
  <c r="Z1068" i="7"/>
  <c r="AA1068" i="7" s="1"/>
  <c r="AC1068" i="7" s="1"/>
  <c r="Z1069" i="7"/>
  <c r="AA1069" i="7" s="1"/>
  <c r="AC1069" i="7" s="1"/>
  <c r="Z1070" i="7"/>
  <c r="AA1070" i="7" s="1"/>
  <c r="AC1070" i="7" s="1"/>
  <c r="Z1071" i="7"/>
  <c r="AA1071" i="7" s="1"/>
  <c r="AC1071" i="7" s="1"/>
  <c r="Z1072" i="7"/>
  <c r="AA1072" i="7" s="1"/>
  <c r="AC1072" i="7" s="1"/>
  <c r="Z1073" i="7"/>
  <c r="AA1073" i="7" s="1"/>
  <c r="AC1073" i="7" s="1"/>
  <c r="Z1074" i="7"/>
  <c r="AA1074" i="7" s="1"/>
  <c r="AC1074" i="7" s="1"/>
  <c r="Z1075" i="7"/>
  <c r="AA1075" i="7" s="1"/>
  <c r="AC1075" i="7" s="1"/>
  <c r="Z1076" i="7"/>
  <c r="AA1076" i="7" s="1"/>
  <c r="AC1076" i="7" s="1"/>
  <c r="Z1077" i="7"/>
  <c r="AA1077" i="7" s="1"/>
  <c r="AC1077" i="7" s="1"/>
  <c r="Z1078" i="7"/>
  <c r="AA1078" i="7" s="1"/>
  <c r="AC1078" i="7" s="1"/>
  <c r="Z1079" i="7"/>
  <c r="AA1079" i="7" s="1"/>
  <c r="AC1079" i="7" s="1"/>
  <c r="Z1080" i="7"/>
  <c r="AA1080" i="7" s="1"/>
  <c r="AC1080" i="7" s="1"/>
  <c r="Z1081" i="7"/>
  <c r="AA1081" i="7" s="1"/>
  <c r="AC1081" i="7" s="1"/>
  <c r="Z1082" i="7"/>
  <c r="AA1082" i="7" s="1"/>
  <c r="AC1082" i="7" s="1"/>
  <c r="Z1083" i="7"/>
  <c r="AA1083" i="7" s="1"/>
  <c r="AC1083" i="7" s="1"/>
  <c r="Z1084" i="7"/>
  <c r="AA1084" i="7" s="1"/>
  <c r="AC1084" i="7" s="1"/>
  <c r="Z1085" i="7"/>
  <c r="AA1085" i="7" s="1"/>
  <c r="AC1085" i="7" s="1"/>
  <c r="Z1086" i="7"/>
  <c r="AA1086" i="7" s="1"/>
  <c r="AC1086" i="7" s="1"/>
  <c r="Z1087" i="7"/>
  <c r="AA1087" i="7" s="1"/>
  <c r="AC1087" i="7" s="1"/>
  <c r="Z1088" i="7"/>
  <c r="AA1088" i="7" s="1"/>
  <c r="AC1088" i="7" s="1"/>
  <c r="Z1089" i="7"/>
  <c r="AA1089" i="7" s="1"/>
  <c r="AC1089" i="7" s="1"/>
  <c r="Z1090" i="7"/>
  <c r="AA1090" i="7" s="1"/>
  <c r="AC1090" i="7" s="1"/>
  <c r="Z1091" i="7"/>
  <c r="AA1091" i="7" s="1"/>
  <c r="AC1091" i="7" s="1"/>
  <c r="Z1092" i="7"/>
  <c r="AA1092" i="7" s="1"/>
  <c r="AC1092" i="7" s="1"/>
  <c r="Z1093" i="7"/>
  <c r="AA1093" i="7" s="1"/>
  <c r="AC1093" i="7" s="1"/>
  <c r="Z1094" i="7"/>
  <c r="AA1094" i="7" s="1"/>
  <c r="AC1094" i="7" s="1"/>
  <c r="Z1095" i="7"/>
  <c r="AA1095" i="7" s="1"/>
  <c r="AC1095" i="7" s="1"/>
  <c r="Z1096" i="7"/>
  <c r="AA1096" i="7" s="1"/>
  <c r="AC1096" i="7" s="1"/>
  <c r="Z1097" i="7"/>
  <c r="AA1097" i="7" s="1"/>
  <c r="AC1097" i="7" s="1"/>
  <c r="Z1098" i="7"/>
  <c r="AA1098" i="7" s="1"/>
  <c r="AC1098" i="7" s="1"/>
  <c r="Z1099" i="7"/>
  <c r="AA1099" i="7" s="1"/>
  <c r="AC1099" i="7" s="1"/>
  <c r="Z1100" i="7"/>
  <c r="AA1100" i="7" s="1"/>
  <c r="AC1100" i="7" s="1"/>
  <c r="Z1101" i="7"/>
  <c r="AA1101" i="7" s="1"/>
  <c r="AC1101" i="7" s="1"/>
  <c r="Z1102" i="7"/>
  <c r="AA1102" i="7" s="1"/>
  <c r="AC1102" i="7" s="1"/>
  <c r="Z1103" i="7"/>
  <c r="AA1103" i="7" s="1"/>
  <c r="AC1103" i="7" s="1"/>
  <c r="Z1104" i="7"/>
  <c r="AA1104" i="7" s="1"/>
  <c r="AC1104" i="7" s="1"/>
  <c r="Z1105" i="7"/>
  <c r="AA1105" i="7" s="1"/>
  <c r="AC1105" i="7" s="1"/>
  <c r="Z1106" i="7"/>
  <c r="AA1106" i="7" s="1"/>
  <c r="AC1106" i="7" s="1"/>
  <c r="Z1107" i="7"/>
  <c r="AA1107" i="7" s="1"/>
  <c r="AC1107" i="7" s="1"/>
  <c r="Z1108" i="7"/>
  <c r="AA1108" i="7" s="1"/>
  <c r="AC1108" i="7" s="1"/>
  <c r="Z1109" i="7"/>
  <c r="AA1109" i="7" s="1"/>
  <c r="AC1109" i="7" s="1"/>
  <c r="Z1110" i="7"/>
  <c r="AA1110" i="7" s="1"/>
  <c r="AC1110" i="7" s="1"/>
  <c r="Z1111" i="7"/>
  <c r="AA1111" i="7" s="1"/>
  <c r="AC1111" i="7" s="1"/>
  <c r="Z1112" i="7"/>
  <c r="AA1112" i="7" s="1"/>
  <c r="AC1112" i="7" s="1"/>
  <c r="Z1113" i="7"/>
  <c r="AA1113" i="7" s="1"/>
  <c r="AC1113" i="7" s="1"/>
  <c r="Z1114" i="7"/>
  <c r="AA1114" i="7" s="1"/>
  <c r="AC1114" i="7" s="1"/>
  <c r="Z1115" i="7"/>
  <c r="AA1115" i="7" s="1"/>
  <c r="AC1115" i="7" s="1"/>
  <c r="Z1116" i="7"/>
  <c r="AA1116" i="7" s="1"/>
  <c r="AC1116" i="7" s="1"/>
  <c r="Z1117" i="7"/>
  <c r="AA1117" i="7" s="1"/>
  <c r="AC1117" i="7" s="1"/>
  <c r="Z1118" i="7"/>
  <c r="AA1118" i="7" s="1"/>
  <c r="AC1118" i="7" s="1"/>
  <c r="Z1119" i="7"/>
  <c r="AA1119" i="7" s="1"/>
  <c r="AC1119" i="7" s="1"/>
  <c r="Z1120" i="7"/>
  <c r="AA1120" i="7" s="1"/>
  <c r="AC1120" i="7" s="1"/>
  <c r="Z1121" i="7"/>
  <c r="AA1121" i="7" s="1"/>
  <c r="AC1121" i="7" s="1"/>
  <c r="Z1122" i="7"/>
  <c r="AA1122" i="7" s="1"/>
  <c r="AC1122" i="7" s="1"/>
  <c r="Z1123" i="7"/>
  <c r="AA1123" i="7" s="1"/>
  <c r="AC1123" i="7" s="1"/>
  <c r="Z1124" i="7"/>
  <c r="AA1124" i="7" s="1"/>
  <c r="AC1124" i="7" s="1"/>
  <c r="Z1125" i="7"/>
  <c r="AA1125" i="7" s="1"/>
  <c r="AC1125" i="7" s="1"/>
  <c r="Z1126" i="7"/>
  <c r="AA1126" i="7" s="1"/>
  <c r="AC1126" i="7" s="1"/>
  <c r="Z1127" i="7"/>
  <c r="AA1127" i="7" s="1"/>
  <c r="AC1127" i="7" s="1"/>
  <c r="Z1128" i="7"/>
  <c r="AA1128" i="7" s="1"/>
  <c r="AC1128" i="7" s="1"/>
  <c r="Z1129" i="7"/>
  <c r="AA1129" i="7" s="1"/>
  <c r="AC1129" i="7" s="1"/>
  <c r="Z1130" i="7"/>
  <c r="AA1130" i="7" s="1"/>
  <c r="AC1130" i="7" s="1"/>
  <c r="Z1131" i="7"/>
  <c r="AA1131" i="7" s="1"/>
  <c r="AC1131" i="7" s="1"/>
  <c r="Z1132" i="7"/>
  <c r="AA1132" i="7" s="1"/>
  <c r="AC1132" i="7" s="1"/>
  <c r="Z1133" i="7"/>
  <c r="AA1133" i="7" s="1"/>
  <c r="AC1133" i="7" s="1"/>
  <c r="Z1134" i="7"/>
  <c r="AA1134" i="7" s="1"/>
  <c r="AC1134" i="7" s="1"/>
  <c r="Z1135" i="7"/>
  <c r="AA1135" i="7" s="1"/>
  <c r="AC1135" i="7" s="1"/>
  <c r="Z1136" i="7"/>
  <c r="AA1136" i="7" s="1"/>
  <c r="AC1136" i="7" s="1"/>
  <c r="Z1137" i="7"/>
  <c r="AA1137" i="7" s="1"/>
  <c r="AC1137" i="7" s="1"/>
  <c r="Z1138" i="7"/>
  <c r="AA1138" i="7" s="1"/>
  <c r="AC1138" i="7" s="1"/>
  <c r="Z1139" i="7"/>
  <c r="AA1139" i="7" s="1"/>
  <c r="AC1139" i="7" s="1"/>
  <c r="Z1140" i="7"/>
  <c r="AA1140" i="7" s="1"/>
  <c r="AC1140" i="7" s="1"/>
  <c r="Z1141" i="7"/>
  <c r="AA1141" i="7" s="1"/>
  <c r="AC1141" i="7" s="1"/>
  <c r="Z1142" i="7"/>
  <c r="AA1142" i="7" s="1"/>
  <c r="AC1142" i="7" s="1"/>
  <c r="Z1143" i="7"/>
  <c r="AA1143" i="7" s="1"/>
  <c r="AC1143" i="7" s="1"/>
  <c r="Z1144" i="7"/>
  <c r="AA1144" i="7" s="1"/>
  <c r="AC1144" i="7" s="1"/>
  <c r="Z1145" i="7"/>
  <c r="AA1145" i="7" s="1"/>
  <c r="AC1145" i="7" s="1"/>
  <c r="Z1146" i="7"/>
  <c r="AA1146" i="7" s="1"/>
  <c r="AC1146" i="7" s="1"/>
  <c r="Z1147" i="7"/>
  <c r="AA1147" i="7" s="1"/>
  <c r="AC1147" i="7" s="1"/>
  <c r="Z1148" i="7"/>
  <c r="AA1148" i="7" s="1"/>
  <c r="AC1148" i="7" s="1"/>
  <c r="Z1149" i="7"/>
  <c r="AA1149" i="7" s="1"/>
  <c r="AC1149" i="7" s="1"/>
  <c r="Z1150" i="7"/>
  <c r="AA1150" i="7" s="1"/>
  <c r="AC1150" i="7" s="1"/>
  <c r="Z1151" i="7"/>
  <c r="AA1151" i="7" s="1"/>
  <c r="AC1151" i="7" s="1"/>
  <c r="Z1152" i="7"/>
  <c r="AA1152" i="7" s="1"/>
  <c r="AC1152" i="7" s="1"/>
  <c r="Z1153" i="7"/>
  <c r="AA1153" i="7" s="1"/>
  <c r="AC1153" i="7" s="1"/>
  <c r="Z1154" i="7"/>
  <c r="AA1154" i="7" s="1"/>
  <c r="AC1154" i="7" s="1"/>
  <c r="Z1155" i="7"/>
  <c r="AA1155" i="7" s="1"/>
  <c r="AC1155" i="7" s="1"/>
  <c r="Z1156" i="7"/>
  <c r="AA1156" i="7" s="1"/>
  <c r="AC1156" i="7" s="1"/>
  <c r="Z1157" i="7"/>
  <c r="AA1157" i="7" s="1"/>
  <c r="AC1157" i="7" s="1"/>
  <c r="Z1158" i="7"/>
  <c r="AA1158" i="7" s="1"/>
  <c r="AC1158" i="7" s="1"/>
  <c r="Z1159" i="7"/>
  <c r="AA1159" i="7" s="1"/>
  <c r="AC1159" i="7" s="1"/>
  <c r="Z1160" i="7"/>
  <c r="AA1160" i="7" s="1"/>
  <c r="AC1160" i="7" s="1"/>
  <c r="Z1161" i="7"/>
  <c r="AA1161" i="7" s="1"/>
  <c r="AC1161" i="7" s="1"/>
  <c r="Z1162" i="7"/>
  <c r="AA1162" i="7" s="1"/>
  <c r="AC1162" i="7" s="1"/>
  <c r="Z1163" i="7"/>
  <c r="AA1163" i="7" s="1"/>
  <c r="AC1163" i="7" s="1"/>
  <c r="Z1164" i="7"/>
  <c r="AA1164" i="7" s="1"/>
  <c r="AC1164" i="7" s="1"/>
  <c r="Z1165" i="7"/>
  <c r="AA1165" i="7" s="1"/>
  <c r="AC1165" i="7" s="1"/>
  <c r="Z1166" i="7"/>
  <c r="AA1166" i="7" s="1"/>
  <c r="AC1166" i="7" s="1"/>
  <c r="Z1167" i="7"/>
  <c r="AA1167" i="7" s="1"/>
  <c r="AC1167" i="7" s="1"/>
  <c r="Z1168" i="7"/>
  <c r="AA1168" i="7" s="1"/>
  <c r="AC1168" i="7" s="1"/>
  <c r="Z1169" i="7"/>
  <c r="AA1169" i="7" s="1"/>
  <c r="AC1169" i="7" s="1"/>
  <c r="Z1170" i="7"/>
  <c r="AA1170" i="7" s="1"/>
  <c r="AC1170" i="7" s="1"/>
  <c r="Z1171" i="7"/>
  <c r="AA1171" i="7" s="1"/>
  <c r="AC1171" i="7" s="1"/>
  <c r="Z1172" i="7"/>
  <c r="AA1172" i="7" s="1"/>
  <c r="AC1172" i="7" s="1"/>
  <c r="Z1173" i="7"/>
  <c r="AA1173" i="7" s="1"/>
  <c r="AC1173" i="7" s="1"/>
  <c r="Z1174" i="7"/>
  <c r="AA1174" i="7" s="1"/>
  <c r="AC1174" i="7" s="1"/>
  <c r="Z1175" i="7"/>
  <c r="AA1175" i="7" s="1"/>
  <c r="AC1175" i="7" s="1"/>
  <c r="Z1176" i="7"/>
  <c r="AA1176" i="7" s="1"/>
  <c r="AC1176" i="7" s="1"/>
  <c r="Z1177" i="7"/>
  <c r="AA1177" i="7" s="1"/>
  <c r="AC1177" i="7" s="1"/>
  <c r="Z1178" i="7"/>
  <c r="AA1178" i="7" s="1"/>
  <c r="AC1178" i="7" s="1"/>
  <c r="Z1179" i="7"/>
  <c r="AA1179" i="7" s="1"/>
  <c r="AC1179" i="7" s="1"/>
  <c r="Z1180" i="7"/>
  <c r="AA1180" i="7" s="1"/>
  <c r="AC1180" i="7" s="1"/>
  <c r="Z1181" i="7"/>
  <c r="AA1181" i="7" s="1"/>
  <c r="AC1181" i="7" s="1"/>
  <c r="Z1182" i="7"/>
  <c r="AA1182" i="7" s="1"/>
  <c r="AC1182" i="7" s="1"/>
  <c r="Z1183" i="7"/>
  <c r="AA1183" i="7" s="1"/>
  <c r="AC1183" i="7" s="1"/>
  <c r="Z1184" i="7"/>
  <c r="AA1184" i="7" s="1"/>
  <c r="AC1184" i="7" s="1"/>
  <c r="Z1185" i="7"/>
  <c r="AA1185" i="7" s="1"/>
  <c r="AC1185" i="7" s="1"/>
  <c r="Z1186" i="7"/>
  <c r="AA1186" i="7" s="1"/>
  <c r="AC1186" i="7" s="1"/>
  <c r="Z1187" i="7"/>
  <c r="AA1187" i="7" s="1"/>
  <c r="AC1187" i="7" s="1"/>
  <c r="Z1188" i="7"/>
  <c r="AA1188" i="7" s="1"/>
  <c r="AC1188" i="7" s="1"/>
  <c r="Z1189" i="7"/>
  <c r="AA1189" i="7" s="1"/>
  <c r="AC1189" i="7" s="1"/>
  <c r="Z1190" i="7"/>
  <c r="AA1190" i="7" s="1"/>
  <c r="AC1190" i="7" s="1"/>
  <c r="Z1191" i="7"/>
  <c r="AA1191" i="7" s="1"/>
  <c r="AC1191" i="7" s="1"/>
  <c r="Z1192" i="7"/>
  <c r="AA1192" i="7" s="1"/>
  <c r="AC1192" i="7" s="1"/>
  <c r="Z1193" i="7"/>
  <c r="AA1193" i="7" s="1"/>
  <c r="AC1193" i="7" s="1"/>
  <c r="Z1194" i="7"/>
  <c r="AA1194" i="7" s="1"/>
  <c r="AC1194" i="7" s="1"/>
  <c r="Z1195" i="7"/>
  <c r="AA1195" i="7" s="1"/>
  <c r="AC1195" i="7" s="1"/>
  <c r="Z1196" i="7"/>
  <c r="AA1196" i="7" s="1"/>
  <c r="AC1196" i="7" s="1"/>
  <c r="Z1197" i="7"/>
  <c r="AA1197" i="7" s="1"/>
  <c r="AC1197" i="7" s="1"/>
  <c r="Z1198" i="7"/>
  <c r="AA1198" i="7" s="1"/>
  <c r="AC1198" i="7" s="1"/>
  <c r="Z1199" i="7"/>
  <c r="AA1199" i="7" s="1"/>
  <c r="AC1199" i="7" s="1"/>
  <c r="Z1200" i="7"/>
  <c r="AA1200" i="7" s="1"/>
  <c r="AC1200" i="7" s="1"/>
  <c r="Z1201" i="7"/>
  <c r="AA1201" i="7" s="1"/>
  <c r="AC1201" i="7" s="1"/>
  <c r="Z1202" i="7"/>
  <c r="AA1202" i="7" s="1"/>
  <c r="AC1202" i="7" s="1"/>
  <c r="Z1203" i="7"/>
  <c r="AA1203" i="7" s="1"/>
  <c r="AC1203" i="7" s="1"/>
  <c r="Z1204" i="7"/>
  <c r="AA1204" i="7" s="1"/>
  <c r="AC1204" i="7" s="1"/>
  <c r="Z1205" i="7"/>
  <c r="AA1205" i="7" s="1"/>
  <c r="AC1205" i="7" s="1"/>
  <c r="Z1206" i="7"/>
  <c r="AA1206" i="7" s="1"/>
  <c r="AC1206" i="7" s="1"/>
  <c r="Z1207" i="7"/>
  <c r="AA1207" i="7" s="1"/>
  <c r="AC1207" i="7" s="1"/>
  <c r="Z1208" i="7"/>
  <c r="AA1208" i="7" s="1"/>
  <c r="AC1208" i="7" s="1"/>
  <c r="Z1209" i="7"/>
  <c r="AA1209" i="7" s="1"/>
  <c r="AC1209" i="7" s="1"/>
  <c r="Z1210" i="7"/>
  <c r="AA1210" i="7" s="1"/>
  <c r="AC1210" i="7" s="1"/>
  <c r="Z1211" i="7"/>
  <c r="AA1211" i="7" s="1"/>
  <c r="AC1211" i="7" s="1"/>
  <c r="Z1212" i="7"/>
  <c r="AA1212" i="7" s="1"/>
  <c r="AC1212" i="7" s="1"/>
  <c r="Z1213" i="7"/>
  <c r="AA1213" i="7" s="1"/>
  <c r="AC1213" i="7" s="1"/>
  <c r="Z1214" i="7"/>
  <c r="AA1214" i="7" s="1"/>
  <c r="AC1214" i="7" s="1"/>
  <c r="Z1215" i="7"/>
  <c r="AA1215" i="7" s="1"/>
  <c r="AC1215" i="7" s="1"/>
  <c r="Z1216" i="7"/>
  <c r="AA1216" i="7" s="1"/>
  <c r="AC1216" i="7" s="1"/>
  <c r="Z1217" i="7"/>
  <c r="AA1217" i="7" s="1"/>
  <c r="AC1217" i="7" s="1"/>
  <c r="Z1218" i="7"/>
  <c r="AA1218" i="7" s="1"/>
  <c r="AC1218" i="7" s="1"/>
  <c r="Z1219" i="7"/>
  <c r="AA1219" i="7" s="1"/>
  <c r="AC1219" i="7" s="1"/>
  <c r="Z1220" i="7"/>
  <c r="AA1220" i="7" s="1"/>
  <c r="AC1220" i="7" s="1"/>
  <c r="Z1221" i="7"/>
  <c r="AA1221" i="7" s="1"/>
  <c r="AC1221" i="7" s="1"/>
  <c r="Z1222" i="7"/>
  <c r="AA1222" i="7" s="1"/>
  <c r="AC1222" i="7" s="1"/>
  <c r="Z1223" i="7"/>
  <c r="AA1223" i="7" s="1"/>
  <c r="AC1223" i="7" s="1"/>
  <c r="Z1224" i="7"/>
  <c r="AA1224" i="7" s="1"/>
  <c r="AC1224" i="7" s="1"/>
  <c r="Z1225" i="7"/>
  <c r="AA1225" i="7" s="1"/>
  <c r="AC1225" i="7" s="1"/>
  <c r="Z1226" i="7"/>
  <c r="AA1226" i="7" s="1"/>
  <c r="Z1227" i="7"/>
  <c r="AA1227" i="7" s="1"/>
  <c r="AC1227" i="7" s="1"/>
  <c r="Z1228" i="7"/>
  <c r="AA1228" i="7" s="1"/>
  <c r="AC1228" i="7" s="1"/>
  <c r="Z1229" i="7"/>
  <c r="AA1229" i="7" s="1"/>
  <c r="AC1229" i="7" s="1"/>
  <c r="Z1230" i="7"/>
  <c r="AA1230" i="7" s="1"/>
  <c r="AC1230" i="7" s="1"/>
  <c r="Z1231" i="7"/>
  <c r="AA1231" i="7" s="1"/>
  <c r="AC1231" i="7" s="1"/>
  <c r="Z1232" i="7"/>
  <c r="AA1232" i="7" s="1"/>
  <c r="AC1232" i="7" s="1"/>
  <c r="Z1233" i="7"/>
  <c r="AA1233" i="7" s="1"/>
  <c r="AC1233" i="7" s="1"/>
  <c r="Z1234" i="7"/>
  <c r="AA1234" i="7" s="1"/>
  <c r="AC1234" i="7" s="1"/>
  <c r="Z1235" i="7"/>
  <c r="AA1235" i="7" s="1"/>
  <c r="AC1235" i="7" s="1"/>
  <c r="Z1236" i="7"/>
  <c r="AA1236" i="7" s="1"/>
  <c r="AC1236" i="7" s="1"/>
  <c r="Z1237" i="7"/>
  <c r="AA1237" i="7" s="1"/>
  <c r="AC1237" i="7" s="1"/>
  <c r="Z1238" i="7"/>
  <c r="AA1238" i="7" s="1"/>
  <c r="AC1238" i="7" s="1"/>
  <c r="Z1239" i="7"/>
  <c r="AA1239" i="7" s="1"/>
  <c r="AC1239" i="7" s="1"/>
  <c r="Z1240" i="7"/>
  <c r="AA1240" i="7" s="1"/>
  <c r="AC1240" i="7" s="1"/>
  <c r="Z1241" i="7"/>
  <c r="AA1241" i="7" s="1"/>
  <c r="AC1241" i="7" s="1"/>
  <c r="Z1242" i="7"/>
  <c r="AA1242" i="7" s="1"/>
  <c r="AC1242" i="7" s="1"/>
  <c r="Z1243" i="7"/>
  <c r="AA1243" i="7" s="1"/>
  <c r="AC1243" i="7" s="1"/>
  <c r="Z1244" i="7"/>
  <c r="AA1244" i="7" s="1"/>
  <c r="AC1244" i="7" s="1"/>
  <c r="Z1245" i="7"/>
  <c r="AA1245" i="7" s="1"/>
  <c r="AC1245" i="7" s="1"/>
  <c r="Z1246" i="7"/>
  <c r="AA1246" i="7" s="1"/>
  <c r="AC1246" i="7" s="1"/>
  <c r="Z1247" i="7"/>
  <c r="AA1247" i="7" s="1"/>
  <c r="AC1247" i="7" s="1"/>
  <c r="Z1248" i="7"/>
  <c r="AA1248" i="7" s="1"/>
  <c r="AC1248" i="7" s="1"/>
  <c r="Z1249" i="7"/>
  <c r="AA1249" i="7" s="1"/>
  <c r="AC1249" i="7" s="1"/>
  <c r="Z1250" i="7"/>
  <c r="AA1250" i="7" s="1"/>
  <c r="AC1250" i="7" s="1"/>
  <c r="Z1251" i="7"/>
  <c r="AA1251" i="7" s="1"/>
  <c r="AC1251" i="7" s="1"/>
  <c r="Z1252" i="7"/>
  <c r="AA1252" i="7" s="1"/>
  <c r="AC1252" i="7" s="1"/>
  <c r="Z1253" i="7"/>
  <c r="AA1253" i="7" s="1"/>
  <c r="AC1253" i="7" s="1"/>
  <c r="Z1254" i="7"/>
  <c r="AA1254" i="7" s="1"/>
  <c r="AC1254" i="7" s="1"/>
  <c r="Z1255" i="7"/>
  <c r="AA1255" i="7" s="1"/>
  <c r="AC1255" i="7" s="1"/>
  <c r="Z1256" i="7"/>
  <c r="AA1256" i="7" s="1"/>
  <c r="AC1256" i="7" s="1"/>
  <c r="Z1257" i="7"/>
  <c r="AA1257" i="7" s="1"/>
  <c r="AC1257" i="7" s="1"/>
  <c r="Z1258" i="7"/>
  <c r="AA1258" i="7" s="1"/>
  <c r="Z1259" i="7"/>
  <c r="AA1259" i="7" s="1"/>
  <c r="Z1260" i="7"/>
  <c r="AA1260" i="7" s="1"/>
  <c r="AC1260" i="7" s="1"/>
  <c r="Z1261" i="7"/>
  <c r="AA1261" i="7" s="1"/>
  <c r="AC1261" i="7" s="1"/>
  <c r="Z1262" i="7"/>
  <c r="AA1262" i="7" s="1"/>
  <c r="AC1262" i="7" s="1"/>
  <c r="Z1263" i="7"/>
  <c r="AA1263" i="7" s="1"/>
  <c r="AC1263" i="7" s="1"/>
  <c r="Z1264" i="7"/>
  <c r="AA1264" i="7" s="1"/>
  <c r="AC1264" i="7" s="1"/>
  <c r="Z1265" i="7"/>
  <c r="AA1265" i="7" s="1"/>
  <c r="AC1265" i="7" s="1"/>
  <c r="Z1266" i="7"/>
  <c r="AA1266" i="7" s="1"/>
  <c r="AC1266" i="7" s="1"/>
  <c r="Z1267" i="7"/>
  <c r="AA1267" i="7" s="1"/>
  <c r="AC1267" i="7" s="1"/>
  <c r="Z1268" i="7"/>
  <c r="AA1268" i="7" s="1"/>
  <c r="AC1268" i="7" s="1"/>
  <c r="Z1269" i="7"/>
  <c r="AA1269" i="7" s="1"/>
  <c r="AC1269" i="7" s="1"/>
  <c r="Z1270" i="7"/>
  <c r="AA1270" i="7" s="1"/>
  <c r="AC1270" i="7" s="1"/>
  <c r="Z1271" i="7"/>
  <c r="AA1271" i="7" s="1"/>
  <c r="AC1271" i="7" s="1"/>
  <c r="Z1272" i="7"/>
  <c r="AA1272" i="7" s="1"/>
  <c r="AC1272" i="7" s="1"/>
  <c r="Z1273" i="7"/>
  <c r="AA1273" i="7" s="1"/>
  <c r="AC1273" i="7" s="1"/>
  <c r="Z1274" i="7"/>
  <c r="AA1274" i="7" s="1"/>
  <c r="AC1274" i="7" s="1"/>
  <c r="Z1275" i="7"/>
  <c r="AA1275" i="7" s="1"/>
  <c r="AC1275" i="7" s="1"/>
  <c r="Z1276" i="7"/>
  <c r="AA1276" i="7" s="1"/>
  <c r="AC1276" i="7" s="1"/>
  <c r="Z1277" i="7"/>
  <c r="AA1277" i="7" s="1"/>
  <c r="AC1277" i="7" s="1"/>
  <c r="Z1278" i="7"/>
  <c r="AA1278" i="7" s="1"/>
  <c r="AC1278" i="7" s="1"/>
  <c r="Z1279" i="7"/>
  <c r="AA1279" i="7" s="1"/>
  <c r="AC1279" i="7" s="1"/>
  <c r="Z1280" i="7"/>
  <c r="AA1280" i="7" s="1"/>
  <c r="AC1280" i="7" s="1"/>
  <c r="Z1281" i="7"/>
  <c r="AA1281" i="7" s="1"/>
  <c r="AC1281" i="7" s="1"/>
  <c r="Z1282" i="7"/>
  <c r="AA1282" i="7" s="1"/>
  <c r="AC1282" i="7" s="1"/>
  <c r="Z1283" i="7"/>
  <c r="AA1283" i="7" s="1"/>
  <c r="AC1283" i="7" s="1"/>
  <c r="Z1284" i="7"/>
  <c r="AA1284" i="7" s="1"/>
  <c r="AC1284" i="7" s="1"/>
  <c r="Z1285" i="7"/>
  <c r="AA1285" i="7" s="1"/>
  <c r="AC1285" i="7" s="1"/>
  <c r="Z1286" i="7"/>
  <c r="AA1286" i="7" s="1"/>
  <c r="AC1286" i="7" s="1"/>
  <c r="Z1287" i="7"/>
  <c r="AA1287" i="7" s="1"/>
  <c r="AC1287" i="7" s="1"/>
  <c r="Z1288" i="7"/>
  <c r="AA1288" i="7" s="1"/>
  <c r="AC1288" i="7" s="1"/>
  <c r="Z1289" i="7"/>
  <c r="AA1289" i="7" s="1"/>
  <c r="AC1289" i="7" s="1"/>
  <c r="Z1290" i="7"/>
  <c r="AA1290" i="7" s="1"/>
  <c r="AC1290" i="7" s="1"/>
  <c r="Z1291" i="7"/>
  <c r="AA1291" i="7" s="1"/>
  <c r="AC1291" i="7" s="1"/>
  <c r="Z1292" i="7"/>
  <c r="AA1292" i="7" s="1"/>
  <c r="AC1292" i="7" s="1"/>
  <c r="Z1293" i="7"/>
  <c r="AA1293" i="7" s="1"/>
  <c r="AC1293" i="7" s="1"/>
  <c r="Z1294" i="7"/>
  <c r="AA1294" i="7" s="1"/>
  <c r="AC1294" i="7" s="1"/>
  <c r="Z1295" i="7"/>
  <c r="AA1295" i="7" s="1"/>
  <c r="AC1295" i="7" s="1"/>
  <c r="Z1296" i="7"/>
  <c r="AA1296" i="7" s="1"/>
  <c r="Z1297" i="7"/>
  <c r="AA1297" i="7" s="1"/>
  <c r="Y2" i="7"/>
  <c r="Y3" i="7"/>
  <c r="Y4" i="7"/>
  <c r="Y5" i="7"/>
  <c r="Y6" i="7"/>
  <c r="Y7" i="7"/>
  <c r="Y8" i="7"/>
  <c r="Y9" i="7"/>
  <c r="Y10" i="7"/>
  <c r="Y11" i="7"/>
  <c r="Y12" i="7"/>
  <c r="Y13" i="7"/>
  <c r="Y14" i="7"/>
  <c r="Y15" i="7"/>
  <c r="Y16" i="7"/>
  <c r="Y17" i="7"/>
  <c r="Y18" i="7"/>
  <c r="Y19" i="7"/>
  <c r="Y20" i="7"/>
  <c r="Y21" i="7"/>
  <c r="Y22" i="7"/>
  <c r="Y23" i="7"/>
  <c r="Y24" i="7"/>
  <c r="Y25" i="7"/>
  <c r="Y26" i="7"/>
  <c r="Y27" i="7"/>
  <c r="Y28" i="7"/>
  <c r="Y29" i="7"/>
  <c r="Y30" i="7"/>
  <c r="Y31" i="7"/>
  <c r="Y32" i="7"/>
  <c r="Y33" i="7"/>
  <c r="Y34" i="7"/>
  <c r="Y35" i="7"/>
  <c r="Y36" i="7"/>
  <c r="Y37" i="7"/>
  <c r="Y38" i="7"/>
  <c r="Y39" i="7"/>
  <c r="Y40" i="7"/>
  <c r="Y41" i="7"/>
  <c r="Y42" i="7"/>
  <c r="Y43" i="7"/>
  <c r="Y44" i="7"/>
  <c r="Y45" i="7"/>
  <c r="Y46" i="7"/>
  <c r="Y47" i="7"/>
  <c r="Y48" i="7"/>
  <c r="Y49" i="7"/>
  <c r="Y50" i="7"/>
  <c r="Y51" i="7"/>
  <c r="Y52" i="7"/>
  <c r="Y53" i="7"/>
  <c r="Y54" i="7"/>
  <c r="Y55" i="7"/>
  <c r="Y56" i="7"/>
  <c r="Y57" i="7"/>
  <c r="Y58" i="7"/>
  <c r="Y59" i="7"/>
  <c r="Y60" i="7"/>
  <c r="Y61" i="7"/>
  <c r="Y62" i="7"/>
  <c r="Y63" i="7"/>
  <c r="Y64" i="7"/>
  <c r="Y65" i="7"/>
  <c r="Y66" i="7"/>
  <c r="Y67" i="7"/>
  <c r="Y68" i="7"/>
  <c r="Y69" i="7"/>
  <c r="Y70" i="7"/>
  <c r="Y71" i="7"/>
  <c r="Y72" i="7"/>
  <c r="Y73" i="7"/>
  <c r="Y74" i="7"/>
  <c r="Y75" i="7"/>
  <c r="Y76" i="7"/>
  <c r="Y77" i="7"/>
  <c r="Y78" i="7"/>
  <c r="Y79" i="7"/>
  <c r="Y80" i="7"/>
  <c r="Y81" i="7"/>
  <c r="Y82" i="7"/>
  <c r="Y83" i="7"/>
  <c r="Y84" i="7"/>
  <c r="Y85" i="7"/>
  <c r="Y86" i="7"/>
  <c r="Y87" i="7"/>
  <c r="Y88" i="7"/>
  <c r="Y89" i="7"/>
  <c r="Y90" i="7"/>
  <c r="Y91" i="7"/>
  <c r="Y92" i="7"/>
  <c r="Y93" i="7"/>
  <c r="Y94" i="7"/>
  <c r="Y95" i="7"/>
  <c r="Y96" i="7"/>
  <c r="Y97" i="7"/>
  <c r="Y98" i="7"/>
  <c r="Y99" i="7"/>
  <c r="Y100" i="7"/>
  <c r="Y101" i="7"/>
  <c r="Y102" i="7"/>
  <c r="Y103" i="7"/>
  <c r="Y104" i="7"/>
  <c r="Y105" i="7"/>
  <c r="Y106" i="7"/>
  <c r="Y107" i="7"/>
  <c r="Y108" i="7"/>
  <c r="Y109" i="7"/>
  <c r="Y110" i="7"/>
  <c r="Y111" i="7"/>
  <c r="Y112" i="7"/>
  <c r="Y113" i="7"/>
  <c r="Y114" i="7"/>
  <c r="Y115" i="7"/>
  <c r="Y116" i="7"/>
  <c r="Y117" i="7"/>
  <c r="Y118" i="7"/>
  <c r="Y119" i="7"/>
  <c r="Y120" i="7"/>
  <c r="Y121" i="7"/>
  <c r="Y122" i="7"/>
  <c r="Y123" i="7"/>
  <c r="Y124" i="7"/>
  <c r="Y125" i="7"/>
  <c r="Y126" i="7"/>
  <c r="Y127" i="7"/>
  <c r="Y128" i="7"/>
  <c r="Y129" i="7"/>
  <c r="Y130" i="7"/>
  <c r="Y131" i="7"/>
  <c r="Y132" i="7"/>
  <c r="Y133" i="7"/>
  <c r="Y134" i="7"/>
  <c r="Y135" i="7"/>
  <c r="Y136" i="7"/>
  <c r="Y137" i="7"/>
  <c r="Y138" i="7"/>
  <c r="Y139" i="7"/>
  <c r="Y140" i="7"/>
  <c r="Y141" i="7"/>
  <c r="Y142" i="7"/>
  <c r="Y143" i="7"/>
  <c r="Y144" i="7"/>
  <c r="Y145" i="7"/>
  <c r="Y146" i="7"/>
  <c r="Y147" i="7"/>
  <c r="Y148" i="7"/>
  <c r="Y149" i="7"/>
  <c r="Y150" i="7"/>
  <c r="Y151" i="7"/>
  <c r="Y152" i="7"/>
  <c r="Y153" i="7"/>
  <c r="Y154" i="7"/>
  <c r="Y155" i="7"/>
  <c r="Y156" i="7"/>
  <c r="Y157" i="7"/>
  <c r="Y158" i="7"/>
  <c r="Y159" i="7"/>
  <c r="Y160" i="7"/>
  <c r="Y161" i="7"/>
  <c r="Y162" i="7"/>
  <c r="Y163" i="7"/>
  <c r="Y164" i="7"/>
  <c r="Y165" i="7"/>
  <c r="Y166" i="7"/>
  <c r="Y167" i="7"/>
  <c r="Y168" i="7"/>
  <c r="Y169" i="7"/>
  <c r="Y170" i="7"/>
  <c r="Y171" i="7"/>
  <c r="Y172" i="7"/>
  <c r="Y173" i="7"/>
  <c r="Y174" i="7"/>
  <c r="Y175" i="7"/>
  <c r="Y176" i="7"/>
  <c r="Y177" i="7"/>
  <c r="Y178" i="7"/>
  <c r="Y179" i="7"/>
  <c r="Y180" i="7"/>
  <c r="Y181" i="7"/>
  <c r="Y182" i="7"/>
  <c r="Y183" i="7"/>
  <c r="Y184" i="7"/>
  <c r="Y185" i="7"/>
  <c r="Y186" i="7"/>
  <c r="Y187" i="7"/>
  <c r="Y188" i="7"/>
  <c r="Y189" i="7"/>
  <c r="Y190" i="7"/>
  <c r="Y191" i="7"/>
  <c r="Y192" i="7"/>
  <c r="Y193" i="7"/>
  <c r="Y194" i="7"/>
  <c r="Y195" i="7"/>
  <c r="Y196" i="7"/>
  <c r="Y197" i="7"/>
  <c r="Y198" i="7"/>
  <c r="Y199" i="7"/>
  <c r="Y200" i="7"/>
  <c r="Y201" i="7"/>
  <c r="Y202" i="7"/>
  <c r="Y203" i="7"/>
  <c r="Y204" i="7"/>
  <c r="Y205" i="7"/>
  <c r="Y206" i="7"/>
  <c r="Y207" i="7"/>
  <c r="Y208" i="7"/>
  <c r="Y209" i="7"/>
  <c r="Y210" i="7"/>
  <c r="Y211" i="7"/>
  <c r="Y212" i="7"/>
  <c r="Y213" i="7"/>
  <c r="Y214" i="7"/>
  <c r="Y215" i="7"/>
  <c r="Y216" i="7"/>
  <c r="Y217" i="7"/>
  <c r="Y218" i="7"/>
  <c r="Y219" i="7"/>
  <c r="Y220" i="7"/>
  <c r="Y221" i="7"/>
  <c r="Y222" i="7"/>
  <c r="Y223" i="7"/>
  <c r="Y224" i="7"/>
  <c r="Y225" i="7"/>
  <c r="Y226" i="7"/>
  <c r="Y227" i="7"/>
  <c r="Y228" i="7"/>
  <c r="Y229" i="7"/>
  <c r="Y230" i="7"/>
  <c r="Y231" i="7"/>
  <c r="Y232" i="7"/>
  <c r="Y233" i="7"/>
  <c r="Y234" i="7"/>
  <c r="Y235" i="7"/>
  <c r="Y236" i="7"/>
  <c r="Y237" i="7"/>
  <c r="Y238" i="7"/>
  <c r="Y239" i="7"/>
  <c r="Y240" i="7"/>
  <c r="Y241" i="7"/>
  <c r="Y242" i="7"/>
  <c r="Y243" i="7"/>
  <c r="Y244" i="7"/>
  <c r="Y245" i="7"/>
  <c r="Y246" i="7"/>
  <c r="Y247" i="7"/>
  <c r="Y248" i="7"/>
  <c r="Y249" i="7"/>
  <c r="Y250" i="7"/>
  <c r="Y251" i="7"/>
  <c r="Y252" i="7"/>
  <c r="Y253" i="7"/>
  <c r="Y254" i="7"/>
  <c r="Y255" i="7"/>
  <c r="Y256" i="7"/>
  <c r="Y257" i="7"/>
  <c r="Y258" i="7"/>
  <c r="Y259" i="7"/>
  <c r="Y260" i="7"/>
  <c r="Y261" i="7"/>
  <c r="Y262" i="7"/>
  <c r="Y263" i="7"/>
  <c r="Y264" i="7"/>
  <c r="Y265" i="7"/>
  <c r="Y266" i="7"/>
  <c r="Y267" i="7"/>
  <c r="Y268" i="7"/>
  <c r="Y269" i="7"/>
  <c r="Y270" i="7"/>
  <c r="Y271" i="7"/>
  <c r="Y272" i="7"/>
  <c r="Y273" i="7"/>
  <c r="Y274" i="7"/>
  <c r="Y275" i="7"/>
  <c r="Y276" i="7"/>
  <c r="Y277" i="7"/>
  <c r="Y278" i="7"/>
  <c r="Y279" i="7"/>
  <c r="Y280" i="7"/>
  <c r="Y281" i="7"/>
  <c r="Y282" i="7"/>
  <c r="Y283" i="7"/>
  <c r="Y284" i="7"/>
  <c r="Y285" i="7"/>
  <c r="Y286" i="7"/>
  <c r="Y287" i="7"/>
  <c r="Y288" i="7"/>
  <c r="Y289" i="7"/>
  <c r="Y290" i="7"/>
  <c r="Y291" i="7"/>
  <c r="Y292" i="7"/>
  <c r="Y293" i="7"/>
  <c r="Y294" i="7"/>
  <c r="Y295" i="7"/>
  <c r="Y296" i="7"/>
  <c r="Y297" i="7"/>
  <c r="Y298" i="7"/>
  <c r="Y299" i="7"/>
  <c r="Y300" i="7"/>
  <c r="Y301" i="7"/>
  <c r="Y302" i="7"/>
  <c r="Y303" i="7"/>
  <c r="Y304" i="7"/>
  <c r="Y305" i="7"/>
  <c r="Y306" i="7"/>
  <c r="Y307" i="7"/>
  <c r="Y308" i="7"/>
  <c r="Y309" i="7"/>
  <c r="Y310" i="7"/>
  <c r="Y311" i="7"/>
  <c r="Y312" i="7"/>
  <c r="Y313" i="7"/>
  <c r="Y314" i="7"/>
  <c r="Y315" i="7"/>
  <c r="Y316" i="7"/>
  <c r="Y317" i="7"/>
  <c r="Y318" i="7"/>
  <c r="Y319" i="7"/>
  <c r="Y320" i="7"/>
  <c r="Y321" i="7"/>
  <c r="Y322" i="7"/>
  <c r="Y323" i="7"/>
  <c r="Y324" i="7"/>
  <c r="Y325" i="7"/>
  <c r="Y326" i="7"/>
  <c r="Y327" i="7"/>
  <c r="Y328" i="7"/>
  <c r="Y329" i="7"/>
  <c r="Y330" i="7"/>
  <c r="Y331" i="7"/>
  <c r="Y332" i="7"/>
  <c r="Y333" i="7"/>
  <c r="Y334" i="7"/>
  <c r="Y335" i="7"/>
  <c r="Y336" i="7"/>
  <c r="Y337" i="7"/>
  <c r="Y338" i="7"/>
  <c r="Y339" i="7"/>
  <c r="Y340" i="7"/>
  <c r="Y341" i="7"/>
  <c r="Y342" i="7"/>
  <c r="Y343" i="7"/>
  <c r="Y344" i="7"/>
  <c r="Y345" i="7"/>
  <c r="Y346" i="7"/>
  <c r="Y347" i="7"/>
  <c r="Y348" i="7"/>
  <c r="Y349" i="7"/>
  <c r="Y350" i="7"/>
  <c r="Y351" i="7"/>
  <c r="Y352" i="7"/>
  <c r="Y353" i="7"/>
  <c r="Y354" i="7"/>
  <c r="Y355" i="7"/>
  <c r="Y356" i="7"/>
  <c r="Y357" i="7"/>
  <c r="Y358" i="7"/>
  <c r="Y359" i="7"/>
  <c r="Y360" i="7"/>
  <c r="Y361" i="7"/>
  <c r="Y362" i="7"/>
  <c r="Y363" i="7"/>
  <c r="Y364" i="7"/>
  <c r="Y365" i="7"/>
  <c r="Y366" i="7"/>
  <c r="Y367" i="7"/>
  <c r="Y368" i="7"/>
  <c r="Y369" i="7"/>
  <c r="Y370" i="7"/>
  <c r="Y371" i="7"/>
  <c r="Y372" i="7"/>
  <c r="Y373" i="7"/>
  <c r="Y374" i="7"/>
  <c r="Y375" i="7"/>
  <c r="Y376" i="7"/>
  <c r="Y377" i="7"/>
  <c r="Y378" i="7"/>
  <c r="Y379" i="7"/>
  <c r="Y380" i="7"/>
  <c r="Y381" i="7"/>
  <c r="Y382" i="7"/>
  <c r="Y383" i="7"/>
  <c r="Y384" i="7"/>
  <c r="Y385" i="7"/>
  <c r="Y386" i="7"/>
  <c r="Y387" i="7"/>
  <c r="Y388" i="7"/>
  <c r="Y389" i="7"/>
  <c r="Y390" i="7"/>
  <c r="Y391" i="7"/>
  <c r="Y392" i="7"/>
  <c r="Y393" i="7"/>
  <c r="Y394" i="7"/>
  <c r="Y395" i="7"/>
  <c r="Y396" i="7"/>
  <c r="Y397" i="7"/>
  <c r="Y398" i="7"/>
  <c r="Y399" i="7"/>
  <c r="Y400" i="7"/>
  <c r="Y401" i="7"/>
  <c r="Y402" i="7"/>
  <c r="Y403" i="7"/>
  <c r="Y404" i="7"/>
  <c r="Y405" i="7"/>
  <c r="Y406" i="7"/>
  <c r="Y407" i="7"/>
  <c r="Y408" i="7"/>
  <c r="Y409" i="7"/>
  <c r="Y410" i="7"/>
  <c r="Y411" i="7"/>
  <c r="Y412" i="7"/>
  <c r="Y413" i="7"/>
  <c r="Y414" i="7"/>
  <c r="Y415" i="7"/>
  <c r="Y416" i="7"/>
  <c r="Y417" i="7"/>
  <c r="Y418" i="7"/>
  <c r="Y419" i="7"/>
  <c r="Y420" i="7"/>
  <c r="Y421" i="7"/>
  <c r="Y422" i="7"/>
  <c r="Y423" i="7"/>
  <c r="Y424" i="7"/>
  <c r="Y425" i="7"/>
  <c r="Y426" i="7"/>
  <c r="Y427" i="7"/>
  <c r="Y428" i="7"/>
  <c r="Y429" i="7"/>
  <c r="Y430" i="7"/>
  <c r="Y431" i="7"/>
  <c r="Y432" i="7"/>
  <c r="Y433" i="7"/>
  <c r="Y434" i="7"/>
  <c r="Y435" i="7"/>
  <c r="Y436" i="7"/>
  <c r="Y437" i="7"/>
  <c r="Y438" i="7"/>
  <c r="Y439" i="7"/>
  <c r="Y440" i="7"/>
  <c r="Y441" i="7"/>
  <c r="Y442" i="7"/>
  <c r="Y443" i="7"/>
  <c r="Y444" i="7"/>
  <c r="Y445" i="7"/>
  <c r="Y446" i="7"/>
  <c r="Y447" i="7"/>
  <c r="Y448" i="7"/>
  <c r="Y449" i="7"/>
  <c r="Y450" i="7"/>
  <c r="Y451" i="7"/>
  <c r="Y452" i="7"/>
  <c r="Y453" i="7"/>
  <c r="Y454" i="7"/>
  <c r="Y455" i="7"/>
  <c r="Y456" i="7"/>
  <c r="Y457" i="7"/>
  <c r="Y458" i="7"/>
  <c r="Y459" i="7"/>
  <c r="Y460" i="7"/>
  <c r="Y461" i="7"/>
  <c r="Y462" i="7"/>
  <c r="Y463" i="7"/>
  <c r="Y464" i="7"/>
  <c r="Y465" i="7"/>
  <c r="Y466" i="7"/>
  <c r="Y467" i="7"/>
  <c r="Y468" i="7"/>
  <c r="Y469" i="7"/>
  <c r="Y470" i="7"/>
  <c r="Y471" i="7"/>
  <c r="Y472" i="7"/>
  <c r="Y473" i="7"/>
  <c r="Y474" i="7"/>
  <c r="Y475" i="7"/>
  <c r="Y476" i="7"/>
  <c r="Y477" i="7"/>
  <c r="Y478" i="7"/>
  <c r="Y479" i="7"/>
  <c r="Y480" i="7"/>
  <c r="Y481" i="7"/>
  <c r="Y482" i="7"/>
  <c r="Y483" i="7"/>
  <c r="Y484" i="7"/>
  <c r="Y485" i="7"/>
  <c r="Y486" i="7"/>
  <c r="Y487" i="7"/>
  <c r="Y488" i="7"/>
  <c r="Y489" i="7"/>
  <c r="Y490" i="7"/>
  <c r="Y491" i="7"/>
  <c r="Y492" i="7"/>
  <c r="Y493" i="7"/>
  <c r="Y494" i="7"/>
  <c r="Y495" i="7"/>
  <c r="Y496" i="7"/>
  <c r="Y497" i="7"/>
  <c r="Y498" i="7"/>
  <c r="Y499" i="7"/>
  <c r="Y500" i="7"/>
  <c r="Y501" i="7"/>
  <c r="Y502" i="7"/>
  <c r="Y503" i="7"/>
  <c r="Y504" i="7"/>
  <c r="Y505" i="7"/>
  <c r="Y506" i="7"/>
  <c r="Y507" i="7"/>
  <c r="Y508" i="7"/>
  <c r="Y509" i="7"/>
  <c r="Y510" i="7"/>
  <c r="Y511" i="7"/>
  <c r="Y512" i="7"/>
  <c r="Y513" i="7"/>
  <c r="Y514" i="7"/>
  <c r="Y515" i="7"/>
  <c r="Y516" i="7"/>
  <c r="Y517" i="7"/>
  <c r="Y518" i="7"/>
  <c r="Y519" i="7"/>
  <c r="Y520" i="7"/>
  <c r="Y521" i="7"/>
  <c r="Y522" i="7"/>
  <c r="Y523" i="7"/>
  <c r="Y524" i="7"/>
  <c r="Y525" i="7"/>
  <c r="Y526" i="7"/>
  <c r="Y527" i="7"/>
  <c r="Y528" i="7"/>
  <c r="Y529" i="7"/>
  <c r="Y530" i="7"/>
  <c r="Y531" i="7"/>
  <c r="Y532" i="7"/>
  <c r="Y533" i="7"/>
  <c r="Y534" i="7"/>
  <c r="Y535" i="7"/>
  <c r="Y536" i="7"/>
  <c r="Y537" i="7"/>
  <c r="Y538" i="7"/>
  <c r="Y539" i="7"/>
  <c r="Y540" i="7"/>
  <c r="Y541" i="7"/>
  <c r="Y542" i="7"/>
  <c r="Y543" i="7"/>
  <c r="Y544" i="7"/>
  <c r="Y545" i="7"/>
  <c r="Y546" i="7"/>
  <c r="Y547" i="7"/>
  <c r="Y548" i="7"/>
  <c r="Y549" i="7"/>
  <c r="Y550" i="7"/>
  <c r="Y551" i="7"/>
  <c r="Y552" i="7"/>
  <c r="Y553" i="7"/>
  <c r="Y554" i="7"/>
  <c r="Y555" i="7"/>
  <c r="Y556" i="7"/>
  <c r="Y557" i="7"/>
  <c r="Y558" i="7"/>
  <c r="Y559" i="7"/>
  <c r="Y560" i="7"/>
  <c r="Y561" i="7"/>
  <c r="Y562" i="7"/>
  <c r="Y563" i="7"/>
  <c r="Y564" i="7"/>
  <c r="Y565" i="7"/>
  <c r="Y566" i="7"/>
  <c r="Y567" i="7"/>
  <c r="Y568" i="7"/>
  <c r="Y569" i="7"/>
  <c r="Y570" i="7"/>
  <c r="Y571" i="7"/>
  <c r="Y572" i="7"/>
  <c r="Y573" i="7"/>
  <c r="Y574" i="7"/>
  <c r="Y575" i="7"/>
  <c r="Y576" i="7"/>
  <c r="Y577" i="7"/>
  <c r="Y578" i="7"/>
  <c r="Y579" i="7"/>
  <c r="Y580" i="7"/>
  <c r="Y581" i="7"/>
  <c r="Y582" i="7"/>
  <c r="Y583" i="7"/>
  <c r="Y584" i="7"/>
  <c r="Y585" i="7"/>
  <c r="Y586" i="7"/>
  <c r="Y587" i="7"/>
  <c r="Y588" i="7"/>
  <c r="Y589" i="7"/>
  <c r="Y590" i="7"/>
  <c r="Y591" i="7"/>
  <c r="Y592" i="7"/>
  <c r="Y593" i="7"/>
  <c r="Y594" i="7"/>
  <c r="Y595" i="7"/>
  <c r="Y596" i="7"/>
  <c r="Y597" i="7"/>
  <c r="Y598" i="7"/>
  <c r="Y599" i="7"/>
  <c r="Y600" i="7"/>
  <c r="Y601" i="7"/>
  <c r="Y602" i="7"/>
  <c r="Y603" i="7"/>
  <c r="Y604" i="7"/>
  <c r="Y605" i="7"/>
  <c r="Y606" i="7"/>
  <c r="Y607" i="7"/>
  <c r="Y608" i="7"/>
  <c r="Y609" i="7"/>
  <c r="Y610" i="7"/>
  <c r="Y611" i="7"/>
  <c r="Y612" i="7"/>
  <c r="Y613" i="7"/>
  <c r="Y614" i="7"/>
  <c r="Y615" i="7"/>
  <c r="Y616" i="7"/>
  <c r="Y617" i="7"/>
  <c r="Y618" i="7"/>
  <c r="Y619" i="7"/>
  <c r="Y620" i="7"/>
  <c r="Y621" i="7"/>
  <c r="Y622" i="7"/>
  <c r="Y623" i="7"/>
  <c r="Y624" i="7"/>
  <c r="Y625" i="7"/>
  <c r="Y626" i="7"/>
  <c r="Y627" i="7"/>
  <c r="Y628" i="7"/>
  <c r="Y629" i="7"/>
  <c r="Y630" i="7"/>
  <c r="Y631" i="7"/>
  <c r="Y632" i="7"/>
  <c r="Y633" i="7"/>
  <c r="Y634" i="7"/>
  <c r="Y635" i="7"/>
  <c r="Y636" i="7"/>
  <c r="Y637" i="7"/>
  <c r="Y638" i="7"/>
  <c r="Y639" i="7"/>
  <c r="Y640" i="7"/>
  <c r="Y641" i="7"/>
  <c r="Y642" i="7"/>
  <c r="Y643" i="7"/>
  <c r="Y644" i="7"/>
  <c r="Y645" i="7"/>
  <c r="Y646" i="7"/>
  <c r="Y647" i="7"/>
  <c r="Y648" i="7"/>
  <c r="Y649" i="7"/>
  <c r="Y650" i="7"/>
  <c r="Y651" i="7"/>
  <c r="Y652" i="7"/>
  <c r="Y653" i="7"/>
  <c r="Y654" i="7"/>
  <c r="Y655" i="7"/>
  <c r="Y656" i="7"/>
  <c r="Y657" i="7"/>
  <c r="Y658" i="7"/>
  <c r="Y659" i="7"/>
  <c r="Y660" i="7"/>
  <c r="Y661" i="7"/>
  <c r="Y662" i="7"/>
  <c r="Y663" i="7"/>
  <c r="Y664" i="7"/>
  <c r="Y665" i="7"/>
  <c r="Y666" i="7"/>
  <c r="Y667" i="7"/>
  <c r="Y668" i="7"/>
  <c r="Y669" i="7"/>
  <c r="Y670" i="7"/>
  <c r="Y671" i="7"/>
  <c r="Y672" i="7"/>
  <c r="Y673" i="7"/>
  <c r="Y674" i="7"/>
  <c r="Y675" i="7"/>
  <c r="Y676" i="7"/>
  <c r="Y677" i="7"/>
  <c r="Y678" i="7"/>
  <c r="Y679" i="7"/>
  <c r="Y680" i="7"/>
  <c r="Y681" i="7"/>
  <c r="Y682" i="7"/>
  <c r="Y683" i="7"/>
  <c r="Y684" i="7"/>
  <c r="Y685" i="7"/>
  <c r="Y686" i="7"/>
  <c r="Y687" i="7"/>
  <c r="Y688" i="7"/>
  <c r="Y689" i="7"/>
  <c r="Y690" i="7"/>
  <c r="Y691" i="7"/>
  <c r="Y692" i="7"/>
  <c r="Y693" i="7"/>
  <c r="Y694" i="7"/>
  <c r="Y695" i="7"/>
  <c r="Y696" i="7"/>
  <c r="Y697" i="7"/>
  <c r="Y698" i="7"/>
  <c r="Y699" i="7"/>
  <c r="Y700" i="7"/>
  <c r="Y701" i="7"/>
  <c r="Y702" i="7"/>
  <c r="Y703" i="7"/>
  <c r="Y704" i="7"/>
  <c r="Y705" i="7"/>
  <c r="Y706" i="7"/>
  <c r="Y707" i="7"/>
  <c r="Y708" i="7"/>
  <c r="Y709" i="7"/>
  <c r="Y710" i="7"/>
  <c r="Y711" i="7"/>
  <c r="Y712" i="7"/>
  <c r="Y713" i="7"/>
  <c r="Y714" i="7"/>
  <c r="Y715" i="7"/>
  <c r="Y716" i="7"/>
  <c r="Y717" i="7"/>
  <c r="Y718" i="7"/>
  <c r="Y719" i="7"/>
  <c r="Y720" i="7"/>
  <c r="Y721" i="7"/>
  <c r="Y722" i="7"/>
  <c r="Y723" i="7"/>
  <c r="Y724" i="7"/>
  <c r="Y725" i="7"/>
  <c r="Y726" i="7"/>
  <c r="Y727" i="7"/>
  <c r="Y728" i="7"/>
  <c r="Y729" i="7"/>
  <c r="Y730" i="7"/>
  <c r="Y731" i="7"/>
  <c r="Y732" i="7"/>
  <c r="Y733" i="7"/>
  <c r="Y734" i="7"/>
  <c r="Y735" i="7"/>
  <c r="Y736" i="7"/>
  <c r="Y737" i="7"/>
  <c r="Y738" i="7"/>
  <c r="Y739" i="7"/>
  <c r="Y740" i="7"/>
  <c r="Y741" i="7"/>
  <c r="Y742" i="7"/>
  <c r="Y743" i="7"/>
  <c r="Y744" i="7"/>
  <c r="Y745" i="7"/>
  <c r="Y746" i="7"/>
  <c r="Y747" i="7"/>
  <c r="Y748" i="7"/>
  <c r="Y749" i="7"/>
  <c r="Y750" i="7"/>
  <c r="Y751" i="7"/>
  <c r="Y752" i="7"/>
  <c r="Y753" i="7"/>
  <c r="Y754" i="7"/>
  <c r="Y755" i="7"/>
  <c r="Y756" i="7"/>
  <c r="Y757" i="7"/>
  <c r="Y758" i="7"/>
  <c r="Y759" i="7"/>
  <c r="Y760" i="7"/>
  <c r="Y761" i="7"/>
  <c r="Y762" i="7"/>
  <c r="Y763" i="7"/>
  <c r="Y764" i="7"/>
  <c r="Y765" i="7"/>
  <c r="Y766" i="7"/>
  <c r="Y767" i="7"/>
  <c r="Y768" i="7"/>
  <c r="Y769" i="7"/>
  <c r="Y770" i="7"/>
  <c r="Y771" i="7"/>
  <c r="Y772" i="7"/>
  <c r="Y773" i="7"/>
  <c r="Y774" i="7"/>
  <c r="Y775" i="7"/>
  <c r="Y776" i="7"/>
  <c r="Y777" i="7"/>
  <c r="Y778" i="7"/>
  <c r="Y779" i="7"/>
  <c r="Y780" i="7"/>
  <c r="Y781" i="7"/>
  <c r="Y782" i="7"/>
  <c r="Y783" i="7"/>
  <c r="Y784" i="7"/>
  <c r="Y785" i="7"/>
  <c r="Y786" i="7"/>
  <c r="Y787" i="7"/>
  <c r="Y788" i="7"/>
  <c r="Y789" i="7"/>
  <c r="Y790" i="7"/>
  <c r="Y791" i="7"/>
  <c r="Y792" i="7"/>
  <c r="Y793" i="7"/>
  <c r="Y794" i="7"/>
  <c r="Y795" i="7"/>
  <c r="Y796" i="7"/>
  <c r="Y797" i="7"/>
  <c r="Y798" i="7"/>
  <c r="Y799" i="7"/>
  <c r="Y800" i="7"/>
  <c r="Y801" i="7"/>
  <c r="Y802" i="7"/>
  <c r="Y803" i="7"/>
  <c r="Y804" i="7"/>
  <c r="Y805" i="7"/>
  <c r="Y806" i="7"/>
  <c r="Y807" i="7"/>
  <c r="Y808" i="7"/>
  <c r="Y809" i="7"/>
  <c r="Y810" i="7"/>
  <c r="Y811" i="7"/>
  <c r="Y812" i="7"/>
  <c r="Y813" i="7"/>
  <c r="Y814" i="7"/>
  <c r="Y815" i="7"/>
  <c r="Y816" i="7"/>
  <c r="Y817" i="7"/>
  <c r="Y818" i="7"/>
  <c r="Y819" i="7"/>
  <c r="Y820" i="7"/>
  <c r="Y821" i="7"/>
  <c r="Y822" i="7"/>
  <c r="Y823" i="7"/>
  <c r="Y824" i="7"/>
  <c r="Y825" i="7"/>
  <c r="Y826" i="7"/>
  <c r="Y827" i="7"/>
  <c r="Y828" i="7"/>
  <c r="Y829" i="7"/>
  <c r="Y830" i="7"/>
  <c r="Y831" i="7"/>
  <c r="Y832" i="7"/>
  <c r="Y833" i="7"/>
  <c r="Y834" i="7"/>
  <c r="Y835" i="7"/>
  <c r="Y836" i="7"/>
  <c r="Y837" i="7"/>
  <c r="Y838" i="7"/>
  <c r="Y839" i="7"/>
  <c r="Y840" i="7"/>
  <c r="Y841" i="7"/>
  <c r="Y842" i="7"/>
  <c r="Y843" i="7"/>
  <c r="Y844" i="7"/>
  <c r="Y845" i="7"/>
  <c r="Y846" i="7"/>
  <c r="Y847" i="7"/>
  <c r="Y848" i="7"/>
  <c r="Y849" i="7"/>
  <c r="Y850" i="7"/>
  <c r="Y851" i="7"/>
  <c r="Y852" i="7"/>
  <c r="Y853" i="7"/>
  <c r="Y854" i="7"/>
  <c r="Y855" i="7"/>
  <c r="Y856" i="7"/>
  <c r="Y857" i="7"/>
  <c r="Y858" i="7"/>
  <c r="Y859" i="7"/>
  <c r="Y860" i="7"/>
  <c r="Y861" i="7"/>
  <c r="Y862" i="7"/>
  <c r="Y863" i="7"/>
  <c r="Y864" i="7"/>
  <c r="Y865" i="7"/>
  <c r="Y866" i="7"/>
  <c r="Y867" i="7"/>
  <c r="Y868" i="7"/>
  <c r="Y869" i="7"/>
  <c r="Y870" i="7"/>
  <c r="Y871" i="7"/>
  <c r="Y872" i="7"/>
  <c r="Y873" i="7"/>
  <c r="Y874" i="7"/>
  <c r="Y875" i="7"/>
  <c r="Y876" i="7"/>
  <c r="Y877" i="7"/>
  <c r="Y878" i="7"/>
  <c r="Y879" i="7"/>
  <c r="Y880" i="7"/>
  <c r="Y881" i="7"/>
  <c r="Y882" i="7"/>
  <c r="Y883" i="7"/>
  <c r="Y884" i="7"/>
  <c r="Y885" i="7"/>
  <c r="Y886" i="7"/>
  <c r="Y887" i="7"/>
  <c r="Y888" i="7"/>
  <c r="Y889" i="7"/>
  <c r="Y890" i="7"/>
  <c r="Y891" i="7"/>
  <c r="Y892" i="7"/>
  <c r="Y893" i="7"/>
  <c r="Y894" i="7"/>
  <c r="Y895" i="7"/>
  <c r="Y896" i="7"/>
  <c r="Y897" i="7"/>
  <c r="Y898" i="7"/>
  <c r="Y899" i="7"/>
  <c r="Y900" i="7"/>
  <c r="Y901" i="7"/>
  <c r="Y902" i="7"/>
  <c r="Y903" i="7"/>
  <c r="Y904" i="7"/>
  <c r="Y905" i="7"/>
  <c r="Y906" i="7"/>
  <c r="Y907" i="7"/>
  <c r="Y908" i="7"/>
  <c r="Y909" i="7"/>
  <c r="Y910" i="7"/>
  <c r="Y911" i="7"/>
  <c r="Y912" i="7"/>
  <c r="Y913" i="7"/>
  <c r="Y914" i="7"/>
  <c r="Y915" i="7"/>
  <c r="Y916" i="7"/>
  <c r="Y917" i="7"/>
  <c r="Y918" i="7"/>
  <c r="Y919" i="7"/>
  <c r="Y920" i="7"/>
  <c r="Y921" i="7"/>
  <c r="Y922" i="7"/>
  <c r="Y923" i="7"/>
  <c r="Y924" i="7"/>
  <c r="Y925" i="7"/>
  <c r="Y926" i="7"/>
  <c r="Y927" i="7"/>
  <c r="Y928" i="7"/>
  <c r="Y929" i="7"/>
  <c r="Y930" i="7"/>
  <c r="Y931" i="7"/>
  <c r="Y932" i="7"/>
  <c r="Y933" i="7"/>
  <c r="Y934" i="7"/>
  <c r="Y935" i="7"/>
  <c r="Y936" i="7"/>
  <c r="Y937" i="7"/>
  <c r="Y938" i="7"/>
  <c r="Y939" i="7"/>
  <c r="Y940" i="7"/>
  <c r="Y941" i="7"/>
  <c r="Y942" i="7"/>
  <c r="Y943" i="7"/>
  <c r="Y944" i="7"/>
  <c r="Y945" i="7"/>
  <c r="Y946" i="7"/>
  <c r="Y947" i="7"/>
  <c r="Y948" i="7"/>
  <c r="Y949" i="7"/>
  <c r="Y950" i="7"/>
  <c r="Y951" i="7"/>
  <c r="Y952" i="7"/>
  <c r="Y953" i="7"/>
  <c r="Y954" i="7"/>
  <c r="Y955" i="7"/>
  <c r="Y956" i="7"/>
  <c r="Y957" i="7"/>
  <c r="Y958" i="7"/>
  <c r="Y959" i="7"/>
  <c r="Y960" i="7"/>
  <c r="Y961" i="7"/>
  <c r="Y962" i="7"/>
  <c r="Y963" i="7"/>
  <c r="Y964" i="7"/>
  <c r="Y965" i="7"/>
  <c r="Y966" i="7"/>
  <c r="Y967" i="7"/>
  <c r="Y968" i="7"/>
  <c r="Y969" i="7"/>
  <c r="Y970" i="7"/>
  <c r="Y971" i="7"/>
  <c r="Y972" i="7"/>
  <c r="Y973" i="7"/>
  <c r="Y974" i="7"/>
  <c r="Y975" i="7"/>
  <c r="Y976" i="7"/>
  <c r="Y977" i="7"/>
  <c r="Y978" i="7"/>
  <c r="Y979" i="7"/>
  <c r="Y980" i="7"/>
  <c r="Y981" i="7"/>
  <c r="Y982" i="7"/>
  <c r="Y983" i="7"/>
  <c r="Y984" i="7"/>
  <c r="Y985" i="7"/>
  <c r="Y986" i="7"/>
  <c r="Y987" i="7"/>
  <c r="Y988" i="7"/>
  <c r="Y989" i="7"/>
  <c r="Y990" i="7"/>
  <c r="Y991" i="7"/>
  <c r="Y992" i="7"/>
  <c r="Y993" i="7"/>
  <c r="Y994" i="7"/>
  <c r="Y995" i="7"/>
  <c r="Y996" i="7"/>
  <c r="Y997" i="7"/>
  <c r="Y998" i="7"/>
  <c r="Y999" i="7"/>
  <c r="Y1000" i="7"/>
  <c r="Y1001" i="7"/>
  <c r="Y1002" i="7"/>
  <c r="Y1003" i="7"/>
  <c r="Y1004" i="7"/>
  <c r="Y1005" i="7"/>
  <c r="Y1006" i="7"/>
  <c r="Y1007" i="7"/>
  <c r="Y1008" i="7"/>
  <c r="Y1009" i="7"/>
  <c r="Y1010" i="7"/>
  <c r="Y1011" i="7"/>
  <c r="Y1012" i="7"/>
  <c r="Y1013" i="7"/>
  <c r="Y1014" i="7"/>
  <c r="Y1015" i="7"/>
  <c r="Y1016" i="7"/>
  <c r="Y1017" i="7"/>
  <c r="Y1018" i="7"/>
  <c r="Y1019" i="7"/>
  <c r="Y1020" i="7"/>
  <c r="Y1021" i="7"/>
  <c r="Y1022" i="7"/>
  <c r="Y1023" i="7"/>
  <c r="Y1024" i="7"/>
  <c r="Y1025" i="7"/>
  <c r="Y1026" i="7"/>
  <c r="Y1027" i="7"/>
  <c r="Y1028" i="7"/>
  <c r="Y1029" i="7"/>
  <c r="Y1030" i="7"/>
  <c r="Y1031" i="7"/>
  <c r="Y1032" i="7"/>
  <c r="Y1033" i="7"/>
  <c r="Y1034" i="7"/>
  <c r="Y1035" i="7"/>
  <c r="Y1036" i="7"/>
  <c r="Y1037" i="7"/>
  <c r="Y1038" i="7"/>
  <c r="Y1039" i="7"/>
  <c r="Y1040" i="7"/>
  <c r="Y1041" i="7"/>
  <c r="Y1042" i="7"/>
  <c r="Y1043" i="7"/>
  <c r="Y1044" i="7"/>
  <c r="Y1045" i="7"/>
  <c r="Y1046" i="7"/>
  <c r="Y1047" i="7"/>
  <c r="Y1048" i="7"/>
  <c r="Y1049" i="7"/>
  <c r="Y1050" i="7"/>
  <c r="Y1051" i="7"/>
  <c r="Y1052" i="7"/>
  <c r="Y1053" i="7"/>
  <c r="Y1054" i="7"/>
  <c r="Y1055" i="7"/>
  <c r="Y1056" i="7"/>
  <c r="Y1057" i="7"/>
  <c r="Y1058" i="7"/>
  <c r="Y1059" i="7"/>
  <c r="Y1060" i="7"/>
  <c r="Y1061" i="7"/>
  <c r="Y1062" i="7"/>
  <c r="Y1063" i="7"/>
  <c r="Y1064" i="7"/>
  <c r="Y1065" i="7"/>
  <c r="Y1066" i="7"/>
  <c r="Y1067" i="7"/>
  <c r="Y1068" i="7"/>
  <c r="Y1069" i="7"/>
  <c r="Y1070" i="7"/>
  <c r="Y1071" i="7"/>
  <c r="Y1072" i="7"/>
  <c r="Y1073" i="7"/>
  <c r="Y1074" i="7"/>
  <c r="Y1075" i="7"/>
  <c r="Y1076" i="7"/>
  <c r="Y1077" i="7"/>
  <c r="Y1078" i="7"/>
  <c r="Y1079" i="7"/>
  <c r="Y1080" i="7"/>
  <c r="Y1081" i="7"/>
  <c r="Y1082" i="7"/>
  <c r="Y1083" i="7"/>
  <c r="Y1084" i="7"/>
  <c r="Y1085" i="7"/>
  <c r="Y1086" i="7"/>
  <c r="Y1087" i="7"/>
  <c r="Y1088" i="7"/>
  <c r="Y1089" i="7"/>
  <c r="Y1090" i="7"/>
  <c r="Y1091" i="7"/>
  <c r="Y1092" i="7"/>
  <c r="Y1093" i="7"/>
  <c r="Y1094" i="7"/>
  <c r="Y1095" i="7"/>
  <c r="Y1096" i="7"/>
  <c r="Y1097" i="7"/>
  <c r="Y1098" i="7"/>
  <c r="Y1099" i="7"/>
  <c r="Y1100" i="7"/>
  <c r="Y1101" i="7"/>
  <c r="Y1102" i="7"/>
  <c r="Y1103" i="7"/>
  <c r="Y1104" i="7"/>
  <c r="Y1105" i="7"/>
  <c r="Y1106" i="7"/>
  <c r="Y1107" i="7"/>
  <c r="Y1108" i="7"/>
  <c r="Y1109" i="7"/>
  <c r="Y1110" i="7"/>
  <c r="Y1111" i="7"/>
  <c r="Y1112" i="7"/>
  <c r="Y1113" i="7"/>
  <c r="Y1114" i="7"/>
  <c r="Y1115" i="7"/>
  <c r="Y1116" i="7"/>
  <c r="Y1117" i="7"/>
  <c r="Y1118" i="7"/>
  <c r="Y1119" i="7"/>
  <c r="Y1120" i="7"/>
  <c r="Y1121" i="7"/>
  <c r="Y1122" i="7"/>
  <c r="Y1123" i="7"/>
  <c r="Y1124" i="7"/>
  <c r="Y1125" i="7"/>
  <c r="Y1126" i="7"/>
  <c r="Y1127" i="7"/>
  <c r="Y1128" i="7"/>
  <c r="Y1129" i="7"/>
  <c r="Y1130" i="7"/>
  <c r="Y1131" i="7"/>
  <c r="Y1132" i="7"/>
  <c r="Y1133" i="7"/>
  <c r="Y1134" i="7"/>
  <c r="Y1135" i="7"/>
  <c r="Y1136" i="7"/>
  <c r="Y1137" i="7"/>
  <c r="Y1138" i="7"/>
  <c r="Y1139" i="7"/>
  <c r="Y1140" i="7"/>
  <c r="Y1141" i="7"/>
  <c r="Y1142" i="7"/>
  <c r="Y1143" i="7"/>
  <c r="Y1144" i="7"/>
  <c r="Y1145" i="7"/>
  <c r="Y1146" i="7"/>
  <c r="Y1147" i="7"/>
  <c r="Y1148" i="7"/>
  <c r="Y1149" i="7"/>
  <c r="Y1150" i="7"/>
  <c r="Y1151" i="7"/>
  <c r="Y1152" i="7"/>
  <c r="Y1153" i="7"/>
  <c r="Y1154" i="7"/>
  <c r="Y1155" i="7"/>
  <c r="Y1156" i="7"/>
  <c r="Y1157" i="7"/>
  <c r="Y1158" i="7"/>
  <c r="Y1159" i="7"/>
  <c r="Y1160" i="7"/>
  <c r="Y1161" i="7"/>
  <c r="Y1162" i="7"/>
  <c r="Y1163" i="7"/>
  <c r="Y1164" i="7"/>
  <c r="Y1165" i="7"/>
  <c r="Y1166" i="7"/>
  <c r="Y1167" i="7"/>
  <c r="Y1168" i="7"/>
  <c r="Y1169" i="7"/>
  <c r="Y1170" i="7"/>
  <c r="Y1171" i="7"/>
  <c r="Y1172" i="7"/>
  <c r="Y1173" i="7"/>
  <c r="Y1174" i="7"/>
  <c r="Y1175" i="7"/>
  <c r="Y1176" i="7"/>
  <c r="Y1177" i="7"/>
  <c r="Y1178" i="7"/>
  <c r="Y1179" i="7"/>
  <c r="Y1180" i="7"/>
  <c r="Y1181" i="7"/>
  <c r="Y1182" i="7"/>
  <c r="Y1183" i="7"/>
  <c r="Y1184" i="7"/>
  <c r="Y1185" i="7"/>
  <c r="Y1186" i="7"/>
  <c r="Y1187" i="7"/>
  <c r="Y1188" i="7"/>
  <c r="Y1189" i="7"/>
  <c r="Y1190" i="7"/>
  <c r="Y1191" i="7"/>
  <c r="Y1192" i="7"/>
  <c r="Y1193" i="7"/>
  <c r="Y1194" i="7"/>
  <c r="Y1195" i="7"/>
  <c r="Y1196" i="7"/>
  <c r="Y1197" i="7"/>
  <c r="Y1198" i="7"/>
  <c r="Y1199" i="7"/>
  <c r="Y1200" i="7"/>
  <c r="Y1201" i="7"/>
  <c r="Y1202" i="7"/>
  <c r="Y1203" i="7"/>
  <c r="Y1204" i="7"/>
  <c r="Y1205" i="7"/>
  <c r="Y1206" i="7"/>
  <c r="Y1207" i="7"/>
  <c r="Y1208" i="7"/>
  <c r="Y1209" i="7"/>
  <c r="Y1210" i="7"/>
  <c r="Y1211" i="7"/>
  <c r="Y1212" i="7"/>
  <c r="Y1213" i="7"/>
  <c r="Y1214" i="7"/>
  <c r="Y1215" i="7"/>
  <c r="Y1216" i="7"/>
  <c r="Y1217" i="7"/>
  <c r="Y1218" i="7"/>
  <c r="Y1219" i="7"/>
  <c r="Y1220" i="7"/>
  <c r="Y1221" i="7"/>
  <c r="Y1222" i="7"/>
  <c r="Y1223" i="7"/>
  <c r="Y1224" i="7"/>
  <c r="Y1225" i="7"/>
  <c r="Y1226" i="7"/>
  <c r="Y1227" i="7"/>
  <c r="Y1228" i="7"/>
  <c r="Y1229" i="7"/>
  <c r="Y1230" i="7"/>
  <c r="Y1231" i="7"/>
  <c r="Y1232" i="7"/>
  <c r="Y1233" i="7"/>
  <c r="Y1234" i="7"/>
  <c r="Y1235" i="7"/>
  <c r="Y1236" i="7"/>
  <c r="Y1237" i="7"/>
  <c r="Y1238" i="7"/>
  <c r="Y1239" i="7"/>
  <c r="Y1240" i="7"/>
  <c r="Y1241" i="7"/>
  <c r="Y1242" i="7"/>
  <c r="Y1243" i="7"/>
  <c r="Y1244" i="7"/>
  <c r="Y1245" i="7"/>
  <c r="Y1246" i="7"/>
  <c r="Y1247" i="7"/>
  <c r="Y1248" i="7"/>
  <c r="Y1249" i="7"/>
  <c r="Y1250" i="7"/>
  <c r="Y1251" i="7"/>
  <c r="Y1252" i="7"/>
  <c r="Y1253" i="7"/>
  <c r="Y1254" i="7"/>
  <c r="Y1255" i="7"/>
  <c r="Y1256" i="7"/>
  <c r="Y1257" i="7"/>
  <c r="Y1258" i="7"/>
  <c r="Y1259" i="7"/>
  <c r="Y1260" i="7"/>
  <c r="Y1261" i="7"/>
  <c r="Y1262" i="7"/>
  <c r="Y1263" i="7"/>
  <c r="Y1264" i="7"/>
  <c r="Y1265" i="7"/>
  <c r="Y1266" i="7"/>
  <c r="Y1267" i="7"/>
  <c r="Y1268" i="7"/>
  <c r="Y1269" i="7"/>
  <c r="Y1270" i="7"/>
  <c r="Y1271" i="7"/>
  <c r="Y1272" i="7"/>
  <c r="Y1273" i="7"/>
  <c r="Y1274" i="7"/>
  <c r="Y1275" i="7"/>
  <c r="Y1276" i="7"/>
  <c r="Y1277" i="7"/>
  <c r="Y1278" i="7"/>
  <c r="Y1279" i="7"/>
  <c r="Y1280" i="7"/>
  <c r="Y1281" i="7"/>
  <c r="Y1282" i="7"/>
  <c r="Y1283" i="7"/>
  <c r="Y1284" i="7"/>
  <c r="Y1285" i="7"/>
  <c r="Y1286" i="7"/>
  <c r="Y1287" i="7"/>
  <c r="Y1288" i="7"/>
  <c r="Y1289" i="7"/>
  <c r="Y1290" i="7"/>
  <c r="Y1291" i="7"/>
  <c r="Y1292" i="7"/>
  <c r="Y1293" i="7"/>
  <c r="Y1294" i="7"/>
  <c r="Y1295" i="7"/>
  <c r="Y1296" i="7"/>
  <c r="Y1297" i="7"/>
  <c r="M5" i="19"/>
  <c r="M6" i="19"/>
  <c r="M7" i="19"/>
  <c r="M8" i="19"/>
  <c r="M9" i="19"/>
  <c r="M10" i="19"/>
  <c r="M11" i="19"/>
  <c r="M12" i="19"/>
  <c r="M13" i="19"/>
  <c r="M14" i="19"/>
  <c r="K5" i="19"/>
  <c r="K6" i="19"/>
  <c r="K7" i="19"/>
  <c r="K8" i="19"/>
  <c r="K9" i="19"/>
  <c r="K10" i="19"/>
  <c r="K11" i="19"/>
  <c r="K12" i="19"/>
  <c r="L12" i="19" s="1"/>
  <c r="K13" i="19"/>
  <c r="K14" i="19"/>
  <c r="J5" i="19" a="1"/>
  <c r="J5" i="19" s="1"/>
  <c r="J6" i="19" a="1"/>
  <c r="J6" i="19" s="1"/>
  <c r="J7" i="19" a="1"/>
  <c r="J7" i="19" s="1"/>
  <c r="J8" i="19" a="1"/>
  <c r="J8" i="19" s="1"/>
  <c r="J9" i="19" a="1"/>
  <c r="J9" i="19" s="1"/>
  <c r="J10" i="19" a="1"/>
  <c r="J10" i="19" s="1"/>
  <c r="J11" i="19" a="1"/>
  <c r="J11" i="19" s="1"/>
  <c r="J12" i="19" a="1"/>
  <c r="J12" i="19" s="1"/>
  <c r="J13" i="19" a="1"/>
  <c r="J13" i="19" s="1"/>
  <c r="J14" i="19" a="1"/>
  <c r="J14" i="19" s="1"/>
  <c r="D5" i="19" a="1"/>
  <c r="D5" i="19" s="1"/>
  <c r="C5" i="19" s="1"/>
  <c r="D6" i="19" a="1"/>
  <c r="D6" i="19" s="1"/>
  <c r="C6" i="19" s="1"/>
  <c r="D7" i="19" a="1"/>
  <c r="D7" i="19" s="1"/>
  <c r="C7" i="19" s="1"/>
  <c r="D8" i="19" a="1"/>
  <c r="D8" i="19" s="1"/>
  <c r="C8" i="19" s="1"/>
  <c r="D9" i="19" a="1"/>
  <c r="D9" i="19" s="1"/>
  <c r="C9" i="19" s="1"/>
  <c r="D10" i="19" a="1"/>
  <c r="D10" i="19" s="1"/>
  <c r="C10" i="19" s="1"/>
  <c r="D11" i="19" a="1"/>
  <c r="D11" i="19" s="1"/>
  <c r="C11" i="19" s="1"/>
  <c r="D12" i="19" a="1"/>
  <c r="D12" i="19" s="1"/>
  <c r="C12" i="19" s="1"/>
  <c r="D13" i="19" a="1"/>
  <c r="D13" i="19" s="1"/>
  <c r="C13" i="19" s="1"/>
  <c r="D14" i="19" a="1"/>
  <c r="D14" i="19" s="1"/>
  <c r="C14" i="19" s="1"/>
  <c r="C2"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C903" i="7"/>
  <c r="C904" i="7"/>
  <c r="C905" i="7"/>
  <c r="C906" i="7"/>
  <c r="C907" i="7"/>
  <c r="C908" i="7"/>
  <c r="C909" i="7"/>
  <c r="C910" i="7"/>
  <c r="C911" i="7"/>
  <c r="C912" i="7"/>
  <c r="C913" i="7"/>
  <c r="C914" i="7"/>
  <c r="C915" i="7"/>
  <c r="C916" i="7"/>
  <c r="C917" i="7"/>
  <c r="C918" i="7"/>
  <c r="C919" i="7"/>
  <c r="C920" i="7"/>
  <c r="C921" i="7"/>
  <c r="C922" i="7"/>
  <c r="C923" i="7"/>
  <c r="C924" i="7"/>
  <c r="C925" i="7"/>
  <c r="C926" i="7"/>
  <c r="C927" i="7"/>
  <c r="C928" i="7"/>
  <c r="C929" i="7"/>
  <c r="C930" i="7"/>
  <c r="C931" i="7"/>
  <c r="C932" i="7"/>
  <c r="C933" i="7"/>
  <c r="C934" i="7"/>
  <c r="C935" i="7"/>
  <c r="C936" i="7"/>
  <c r="C937" i="7"/>
  <c r="C938" i="7"/>
  <c r="C939" i="7"/>
  <c r="C940" i="7"/>
  <c r="C941" i="7"/>
  <c r="C942" i="7"/>
  <c r="C943" i="7"/>
  <c r="C944" i="7"/>
  <c r="C945" i="7"/>
  <c r="C946" i="7"/>
  <c r="C947" i="7"/>
  <c r="C948" i="7"/>
  <c r="C949" i="7"/>
  <c r="C950" i="7"/>
  <c r="C951" i="7"/>
  <c r="C952" i="7"/>
  <c r="C953" i="7"/>
  <c r="C954" i="7"/>
  <c r="C955" i="7"/>
  <c r="C956" i="7"/>
  <c r="C957" i="7"/>
  <c r="C958" i="7"/>
  <c r="C959" i="7"/>
  <c r="C960" i="7"/>
  <c r="C961" i="7"/>
  <c r="C962" i="7"/>
  <c r="C963" i="7"/>
  <c r="C964" i="7"/>
  <c r="C965" i="7"/>
  <c r="C966" i="7"/>
  <c r="C967" i="7"/>
  <c r="C968" i="7"/>
  <c r="C969" i="7"/>
  <c r="C970" i="7"/>
  <c r="C971" i="7"/>
  <c r="C972" i="7"/>
  <c r="C973" i="7"/>
  <c r="C974" i="7"/>
  <c r="C975" i="7"/>
  <c r="C976" i="7"/>
  <c r="C977" i="7"/>
  <c r="C978" i="7"/>
  <c r="C979" i="7"/>
  <c r="C980" i="7"/>
  <c r="C981" i="7"/>
  <c r="C982" i="7"/>
  <c r="C983" i="7"/>
  <c r="C984" i="7"/>
  <c r="C985" i="7"/>
  <c r="C986" i="7"/>
  <c r="C987" i="7"/>
  <c r="C988" i="7"/>
  <c r="C989" i="7"/>
  <c r="C990" i="7"/>
  <c r="C991" i="7"/>
  <c r="C992" i="7"/>
  <c r="C993" i="7"/>
  <c r="C994" i="7"/>
  <c r="C995" i="7"/>
  <c r="C996" i="7"/>
  <c r="C997" i="7"/>
  <c r="C998" i="7"/>
  <c r="C999" i="7"/>
  <c r="C1000" i="7"/>
  <c r="C1001" i="7"/>
  <c r="C1002" i="7"/>
  <c r="C1003" i="7"/>
  <c r="C1004" i="7"/>
  <c r="C1005" i="7"/>
  <c r="C1006" i="7"/>
  <c r="C1007" i="7"/>
  <c r="C1008" i="7"/>
  <c r="C1009" i="7"/>
  <c r="C1010" i="7"/>
  <c r="C1011" i="7"/>
  <c r="C1012" i="7"/>
  <c r="C1013" i="7"/>
  <c r="C1014" i="7"/>
  <c r="C1015" i="7"/>
  <c r="C1016" i="7"/>
  <c r="C1017" i="7"/>
  <c r="C1018" i="7"/>
  <c r="C1019" i="7"/>
  <c r="C1020" i="7"/>
  <c r="C1021" i="7"/>
  <c r="C1022" i="7"/>
  <c r="C1023" i="7"/>
  <c r="C1024" i="7"/>
  <c r="C1025" i="7"/>
  <c r="C1026" i="7"/>
  <c r="C1027" i="7"/>
  <c r="C1028" i="7"/>
  <c r="C1029" i="7"/>
  <c r="C1030" i="7"/>
  <c r="C1031" i="7"/>
  <c r="C1032" i="7"/>
  <c r="C1033" i="7"/>
  <c r="C1034" i="7"/>
  <c r="C1035" i="7"/>
  <c r="C1036" i="7"/>
  <c r="C1037" i="7"/>
  <c r="C1038" i="7"/>
  <c r="C1039" i="7"/>
  <c r="C1040" i="7"/>
  <c r="C1041" i="7"/>
  <c r="C1042" i="7"/>
  <c r="C1043" i="7"/>
  <c r="C1044" i="7"/>
  <c r="C1045" i="7"/>
  <c r="C1046" i="7"/>
  <c r="C1047" i="7"/>
  <c r="C1048" i="7"/>
  <c r="C1049" i="7"/>
  <c r="C1050" i="7"/>
  <c r="C1051" i="7"/>
  <c r="C1052" i="7"/>
  <c r="C1053" i="7"/>
  <c r="C1054" i="7"/>
  <c r="C1055" i="7"/>
  <c r="C1056" i="7"/>
  <c r="C1057" i="7"/>
  <c r="C1058" i="7"/>
  <c r="C1059" i="7"/>
  <c r="C1060" i="7"/>
  <c r="C1061" i="7"/>
  <c r="C1062" i="7"/>
  <c r="C1063" i="7"/>
  <c r="C1064" i="7"/>
  <c r="C1065" i="7"/>
  <c r="C1066" i="7"/>
  <c r="C1067" i="7"/>
  <c r="C1068" i="7"/>
  <c r="C1069" i="7"/>
  <c r="C1070" i="7"/>
  <c r="C1071" i="7"/>
  <c r="C1072" i="7"/>
  <c r="C1073" i="7"/>
  <c r="C1074" i="7"/>
  <c r="C1075" i="7"/>
  <c r="C1076" i="7"/>
  <c r="C1077" i="7"/>
  <c r="C1078" i="7"/>
  <c r="C1079" i="7"/>
  <c r="C1080" i="7"/>
  <c r="C1081" i="7"/>
  <c r="C1082" i="7"/>
  <c r="C1083" i="7"/>
  <c r="C1084" i="7"/>
  <c r="C1085" i="7"/>
  <c r="C1086" i="7"/>
  <c r="C1087" i="7"/>
  <c r="C1088" i="7"/>
  <c r="C1089" i="7"/>
  <c r="C1090" i="7"/>
  <c r="C1091" i="7"/>
  <c r="C1092" i="7"/>
  <c r="C1093" i="7"/>
  <c r="C1094" i="7"/>
  <c r="C1095" i="7"/>
  <c r="C1096" i="7"/>
  <c r="C1097" i="7"/>
  <c r="C1098" i="7"/>
  <c r="C1099" i="7"/>
  <c r="C1100" i="7"/>
  <c r="C1101" i="7"/>
  <c r="C1102" i="7"/>
  <c r="C1103" i="7"/>
  <c r="C1104" i="7"/>
  <c r="C1105" i="7"/>
  <c r="C1106" i="7"/>
  <c r="C1107" i="7"/>
  <c r="C1108" i="7"/>
  <c r="C1109" i="7"/>
  <c r="C1110" i="7"/>
  <c r="C1111" i="7"/>
  <c r="C1112" i="7"/>
  <c r="C1113" i="7"/>
  <c r="C1114" i="7"/>
  <c r="C1115" i="7"/>
  <c r="C1116" i="7"/>
  <c r="C1117" i="7"/>
  <c r="C1118" i="7"/>
  <c r="C1119" i="7"/>
  <c r="C1120" i="7"/>
  <c r="C1121" i="7"/>
  <c r="C1122" i="7"/>
  <c r="C1123" i="7"/>
  <c r="C1124" i="7"/>
  <c r="C1125" i="7"/>
  <c r="C1126" i="7"/>
  <c r="C1127" i="7"/>
  <c r="C1128" i="7"/>
  <c r="C1129" i="7"/>
  <c r="C1130" i="7"/>
  <c r="C1131" i="7"/>
  <c r="C1132" i="7"/>
  <c r="C1133" i="7"/>
  <c r="C1134" i="7"/>
  <c r="C1135" i="7"/>
  <c r="C1136" i="7"/>
  <c r="C1137" i="7"/>
  <c r="C1138" i="7"/>
  <c r="C1139" i="7"/>
  <c r="C1140" i="7"/>
  <c r="C1141" i="7"/>
  <c r="C1142" i="7"/>
  <c r="C1143" i="7"/>
  <c r="C1144" i="7"/>
  <c r="C1145" i="7"/>
  <c r="C1146" i="7"/>
  <c r="C1147" i="7"/>
  <c r="C1148" i="7"/>
  <c r="C1149" i="7"/>
  <c r="C1150" i="7"/>
  <c r="C1151" i="7"/>
  <c r="C1152" i="7"/>
  <c r="C1153" i="7"/>
  <c r="C1154" i="7"/>
  <c r="C1155" i="7"/>
  <c r="C1156" i="7"/>
  <c r="C1157" i="7"/>
  <c r="C1158" i="7"/>
  <c r="C1159" i="7"/>
  <c r="C1160" i="7"/>
  <c r="C1161" i="7"/>
  <c r="C1162" i="7"/>
  <c r="C1163" i="7"/>
  <c r="C1164" i="7"/>
  <c r="C1165" i="7"/>
  <c r="C1166" i="7"/>
  <c r="C1167" i="7"/>
  <c r="C1168" i="7"/>
  <c r="C1169" i="7"/>
  <c r="C1170" i="7"/>
  <c r="C1171" i="7"/>
  <c r="C1172" i="7"/>
  <c r="C1173" i="7"/>
  <c r="C1174" i="7"/>
  <c r="C1175" i="7"/>
  <c r="C1176" i="7"/>
  <c r="C1177" i="7"/>
  <c r="C1178" i="7"/>
  <c r="C1179" i="7"/>
  <c r="C1180" i="7"/>
  <c r="C1181" i="7"/>
  <c r="C1182" i="7"/>
  <c r="C1183" i="7"/>
  <c r="C1184" i="7"/>
  <c r="C1185" i="7"/>
  <c r="C1186" i="7"/>
  <c r="C1187" i="7"/>
  <c r="C1188" i="7"/>
  <c r="C1189" i="7"/>
  <c r="C1190" i="7"/>
  <c r="C1191" i="7"/>
  <c r="C1192" i="7"/>
  <c r="C1193" i="7"/>
  <c r="C1194" i="7"/>
  <c r="C1195" i="7"/>
  <c r="C1196" i="7"/>
  <c r="C1197" i="7"/>
  <c r="C1198" i="7"/>
  <c r="C1199" i="7"/>
  <c r="C1200" i="7"/>
  <c r="C1201" i="7"/>
  <c r="C1202" i="7"/>
  <c r="C1203" i="7"/>
  <c r="C1204" i="7"/>
  <c r="C1205" i="7"/>
  <c r="C1206" i="7"/>
  <c r="C1207" i="7"/>
  <c r="C1208" i="7"/>
  <c r="C1209" i="7"/>
  <c r="C1210" i="7"/>
  <c r="C1211" i="7"/>
  <c r="C1212" i="7"/>
  <c r="C1213" i="7"/>
  <c r="C1214" i="7"/>
  <c r="C1215" i="7"/>
  <c r="C1216" i="7"/>
  <c r="C1217" i="7"/>
  <c r="C1218" i="7"/>
  <c r="C1219" i="7"/>
  <c r="C1220" i="7"/>
  <c r="C1221" i="7"/>
  <c r="C1222" i="7"/>
  <c r="C1223" i="7"/>
  <c r="C1224" i="7"/>
  <c r="C1225" i="7"/>
  <c r="C1226" i="7"/>
  <c r="C1227" i="7"/>
  <c r="C1228" i="7"/>
  <c r="C1229" i="7"/>
  <c r="C1230" i="7"/>
  <c r="C1231" i="7"/>
  <c r="C1232" i="7"/>
  <c r="C1233" i="7"/>
  <c r="C1234" i="7"/>
  <c r="C1235" i="7"/>
  <c r="C1236" i="7"/>
  <c r="C1237" i="7"/>
  <c r="C1238" i="7"/>
  <c r="C1239" i="7"/>
  <c r="C1240" i="7"/>
  <c r="C1241" i="7"/>
  <c r="C1242" i="7"/>
  <c r="C1243" i="7"/>
  <c r="C1244" i="7"/>
  <c r="C1245" i="7"/>
  <c r="C1246" i="7"/>
  <c r="C1247" i="7"/>
  <c r="C1248" i="7"/>
  <c r="C1249" i="7"/>
  <c r="C1250" i="7"/>
  <c r="C1251" i="7"/>
  <c r="C1252" i="7"/>
  <c r="C1253" i="7"/>
  <c r="C1254" i="7"/>
  <c r="C1255" i="7"/>
  <c r="C1256" i="7"/>
  <c r="C1257" i="7"/>
  <c r="C1258" i="7"/>
  <c r="C1259" i="7"/>
  <c r="C1260" i="7"/>
  <c r="C1261" i="7"/>
  <c r="C1262" i="7"/>
  <c r="C1263" i="7"/>
  <c r="C1264" i="7"/>
  <c r="C1265" i="7"/>
  <c r="C1266" i="7"/>
  <c r="C1267" i="7"/>
  <c r="C1268" i="7"/>
  <c r="C1269" i="7"/>
  <c r="C1270" i="7"/>
  <c r="C1271" i="7"/>
  <c r="C1272" i="7"/>
  <c r="C1273" i="7"/>
  <c r="C1274" i="7"/>
  <c r="C1275" i="7"/>
  <c r="C1276" i="7"/>
  <c r="C1277" i="7"/>
  <c r="C1278" i="7"/>
  <c r="C1279" i="7"/>
  <c r="C1280" i="7"/>
  <c r="C1281" i="7"/>
  <c r="C1282" i="7"/>
  <c r="C1283" i="7"/>
  <c r="C1284" i="7"/>
  <c r="C1285" i="7"/>
  <c r="C1286" i="7"/>
  <c r="C1287" i="7"/>
  <c r="C1288" i="7"/>
  <c r="C1289" i="7"/>
  <c r="C1290" i="7"/>
  <c r="C1291" i="7"/>
  <c r="C1292" i="7"/>
  <c r="C1293" i="7"/>
  <c r="C1294" i="7"/>
  <c r="C1295" i="7"/>
  <c r="C1296" i="7"/>
  <c r="C1297" i="7"/>
  <c r="D1241" i="7"/>
  <c r="D957" i="7"/>
  <c r="D1031" i="7"/>
  <c r="D279" i="7"/>
  <c r="D3" i="7"/>
  <c r="D280" i="7"/>
  <c r="D1225" i="7"/>
  <c r="D4" i="7"/>
  <c r="D666" i="7"/>
  <c r="D667" i="7"/>
  <c r="D668" i="7"/>
  <c r="D669" i="7"/>
  <c r="D670" i="7"/>
  <c r="D677" i="7"/>
  <c r="D675" i="7"/>
  <c r="D671" i="7"/>
  <c r="D672" i="7"/>
  <c r="D673" i="7"/>
  <c r="D684" i="7"/>
  <c r="D683" i="7"/>
  <c r="D674" i="7"/>
  <c r="D676" i="7"/>
  <c r="D678" i="7"/>
  <c r="D990" i="7"/>
  <c r="D991" i="7"/>
  <c r="D457" i="7"/>
  <c r="D7" i="7"/>
  <c r="D9" i="7"/>
  <c r="D8" i="7"/>
  <c r="D10" i="7"/>
  <c r="D11" i="7"/>
  <c r="D5" i="7"/>
  <c r="D6" i="7"/>
  <c r="D1227" i="7"/>
  <c r="D1228" i="7"/>
  <c r="D628" i="7"/>
  <c r="D458" i="7"/>
  <c r="D287" i="7"/>
  <c r="D288" i="7"/>
  <c r="D1219" i="7"/>
  <c r="D837" i="7"/>
  <c r="D838" i="7"/>
  <c r="D992" i="7"/>
  <c r="D993" i="7"/>
  <c r="D994" i="7"/>
  <c r="D995" i="7"/>
  <c r="D839" i="7"/>
  <c r="D840" i="7"/>
  <c r="D996" i="7"/>
  <c r="D619" i="7"/>
  <c r="D631" i="7"/>
  <c r="D980" i="7"/>
  <c r="D596" i="7"/>
  <c r="D459" i="7"/>
  <c r="D997" i="7"/>
  <c r="D998" i="7"/>
  <c r="D460" i="7"/>
  <c r="D461" i="7"/>
  <c r="D1229" i="7"/>
  <c r="D841" i="7"/>
  <c r="D597" i="7"/>
  <c r="D603" i="7"/>
  <c r="D951" i="7"/>
  <c r="D952" i="7"/>
  <c r="D842" i="7"/>
  <c r="D12" i="7"/>
  <c r="D13" i="7"/>
  <c r="D23" i="7"/>
  <c r="D1230" i="7"/>
  <c r="D528" i="7"/>
  <c r="D679" i="7"/>
  <c r="D529" i="7"/>
  <c r="D527" i="7"/>
  <c r="D530" i="7"/>
  <c r="D531" i="7"/>
  <c r="D532" i="7"/>
  <c r="D536" i="7"/>
  <c r="D533" i="7"/>
  <c r="D680" i="7"/>
  <c r="D534" i="7"/>
  <c r="D535" i="7"/>
  <c r="D537" i="7"/>
  <c r="D462" i="7"/>
  <c r="D290" i="7"/>
  <c r="D291" i="7"/>
  <c r="D14" i="7"/>
  <c r="D15" i="7"/>
  <c r="D16" i="7"/>
  <c r="D28" i="7"/>
  <c r="D29" i="7"/>
  <c r="D210" i="7"/>
  <c r="D211" i="7"/>
  <c r="D212" i="7"/>
  <c r="D30" i="7"/>
  <c r="D62" i="7"/>
  <c r="D63" i="7"/>
  <c r="D60" i="7"/>
  <c r="D61" i="7"/>
  <c r="D130" i="7"/>
  <c r="D131" i="7"/>
  <c r="D97" i="7"/>
  <c r="D98" i="7"/>
  <c r="D92" i="7"/>
  <c r="D93" i="7"/>
  <c r="D99" i="7"/>
  <c r="D100" i="7"/>
  <c r="D132" i="7"/>
  <c r="D133" i="7"/>
  <c r="D201" i="7"/>
  <c r="D202" i="7"/>
  <c r="D17" i="7"/>
  <c r="D1231" i="7"/>
  <c r="D18" i="7"/>
  <c r="D681" i="7"/>
  <c r="D1232" i="7"/>
  <c r="D19" i="7"/>
  <c r="D20" i="7"/>
  <c r="D538" i="7"/>
  <c r="D539" i="7"/>
  <c r="D540" i="7"/>
  <c r="D21" i="7"/>
  <c r="D22" i="7"/>
  <c r="D24" i="7"/>
  <c r="D541" i="7"/>
  <c r="D542" i="7"/>
  <c r="D543" i="7"/>
  <c r="D544" i="7"/>
  <c r="D545" i="7"/>
  <c r="D546" i="7"/>
  <c r="D547" i="7"/>
  <c r="D25" i="7"/>
  <c r="D26" i="7"/>
  <c r="D27" i="7"/>
  <c r="D292" i="7"/>
  <c r="D31" i="7"/>
  <c r="D843" i="7"/>
  <c r="D32" i="7"/>
  <c r="D33" i="7"/>
  <c r="D999" i="7"/>
  <c r="D1000" i="7"/>
  <c r="D34" i="7"/>
  <c r="D38" i="7"/>
  <c r="D35" i="7"/>
  <c r="D36" i="7"/>
  <c r="D37" i="7"/>
  <c r="D39" i="7"/>
  <c r="D51" i="7"/>
  <c r="D54" i="7"/>
  <c r="D53" i="7"/>
  <c r="D52" i="7"/>
  <c r="D170" i="7"/>
  <c r="D169" i="7"/>
  <c r="D49" i="7"/>
  <c r="D50" i="7"/>
  <c r="D127" i="7"/>
  <c r="D128" i="7"/>
  <c r="D75" i="7"/>
  <c r="D76" i="7"/>
  <c r="D73" i="7"/>
  <c r="D74" i="7"/>
  <c r="D40" i="7"/>
  <c r="D41" i="7"/>
  <c r="D42" i="7"/>
  <c r="D43" i="7"/>
  <c r="D44" i="7"/>
  <c r="D45" i="7"/>
  <c r="D1233" i="7"/>
  <c r="D48" i="7"/>
  <c r="D682" i="7"/>
  <c r="D844" i="7"/>
  <c r="D1234" i="7"/>
  <c r="D1235" i="7"/>
  <c r="D1236" i="7"/>
  <c r="D1237" i="7"/>
  <c r="D1238" i="7"/>
  <c r="D953" i="7"/>
  <c r="D548" i="7"/>
  <c r="D549" i="7"/>
  <c r="D550" i="7"/>
  <c r="D553" i="7"/>
  <c r="D551" i="7"/>
  <c r="D552" i="7"/>
  <c r="D554" i="7"/>
  <c r="D557" i="7"/>
  <c r="D556" i="7"/>
  <c r="D555" i="7"/>
  <c r="D57" i="7"/>
  <c r="D55" i="7"/>
  <c r="D56" i="7"/>
  <c r="D58" i="7"/>
  <c r="D59" i="7"/>
  <c r="D1001" i="7"/>
  <c r="D621" i="7"/>
  <c r="D622" i="7"/>
  <c r="D598" i="7"/>
  <c r="D1103" i="7"/>
  <c r="D1105" i="7"/>
  <c r="D981" i="7"/>
  <c r="D463" i="7"/>
  <c r="D295" i="7"/>
  <c r="D300" i="7"/>
  <c r="D302" i="7"/>
  <c r="D296" i="7"/>
  <c r="D297" i="7"/>
  <c r="D298" i="7"/>
  <c r="D301" i="7"/>
  <c r="D303" i="7"/>
  <c r="D285" i="7"/>
  <c r="D286" i="7"/>
  <c r="D299" i="7"/>
  <c r="D289" i="7"/>
  <c r="D304" i="7"/>
  <c r="D293" i="7"/>
  <c r="D294" i="7"/>
  <c r="D64" i="7"/>
  <c r="D558" i="7"/>
  <c r="D305" i="7"/>
  <c r="D623" i="7"/>
  <c r="D624" i="7"/>
  <c r="D627" i="7"/>
  <c r="D67" i="7"/>
  <c r="D845" i="7"/>
  <c r="D846" i="7"/>
  <c r="D774" i="7"/>
  <c r="D775" i="7"/>
  <c r="D776" i="7"/>
  <c r="D777" i="7"/>
  <c r="D778" i="7"/>
  <c r="D68" i="7"/>
  <c r="D69" i="7"/>
  <c r="D1239" i="7"/>
  <c r="D70" i="7"/>
  <c r="D779" i="7"/>
  <c r="D1107" i="7"/>
  <c r="D1108" i="7"/>
  <c r="D1125" i="7"/>
  <c r="D1109" i="7"/>
  <c r="D1110" i="7"/>
  <c r="D1111" i="7"/>
  <c r="D1112" i="7"/>
  <c r="D1113" i="7"/>
  <c r="D1114" i="7"/>
  <c r="D1115" i="7"/>
  <c r="D1116" i="7"/>
  <c r="D1117" i="7"/>
  <c r="D1118" i="7"/>
  <c r="D1120" i="7"/>
  <c r="D1119" i="7"/>
  <c r="D1121" i="7"/>
  <c r="D1122" i="7"/>
  <c r="D1123" i="7"/>
  <c r="D1124" i="7"/>
  <c r="D1126" i="7"/>
  <c r="D1127" i="7"/>
  <c r="D1128" i="7"/>
  <c r="D1129" i="7"/>
  <c r="D1130" i="7"/>
  <c r="D1131" i="7"/>
  <c r="D1132" i="7"/>
  <c r="D1133" i="7"/>
  <c r="D1134" i="7"/>
  <c r="D1135" i="7"/>
  <c r="D780" i="7"/>
  <c r="D847" i="7"/>
  <c r="D221" i="7"/>
  <c r="D1240" i="7"/>
  <c r="D1199" i="7"/>
  <c r="D1200" i="7"/>
  <c r="D1136" i="7"/>
  <c r="D308" i="7"/>
  <c r="D309" i="7"/>
  <c r="D310" i="7"/>
  <c r="D311" i="7"/>
  <c r="D312" i="7"/>
  <c r="D320" i="7"/>
  <c r="D321" i="7"/>
  <c r="D599" i="7"/>
  <c r="D72" i="7"/>
  <c r="D1003" i="7"/>
  <c r="D559" i="7"/>
  <c r="D464" i="7"/>
  <c r="D272" i="7"/>
  <c r="D274" i="7"/>
  <c r="D1004" i="7"/>
  <c r="D1005" i="7"/>
  <c r="D1221" i="7"/>
  <c r="D1222" i="7"/>
  <c r="D1224" i="7"/>
  <c r="D1223" i="7"/>
  <c r="D1218" i="7"/>
  <c r="D848" i="7"/>
  <c r="D849" i="7"/>
  <c r="D850" i="7"/>
  <c r="D851" i="7"/>
  <c r="D852" i="7"/>
  <c r="D853" i="7"/>
  <c r="D79" i="7"/>
  <c r="D82" i="7"/>
  <c r="D80" i="7"/>
  <c r="D81" i="7"/>
  <c r="D465" i="7"/>
  <c r="D625" i="7"/>
  <c r="D620" i="7"/>
  <c r="D1006" i="7"/>
  <c r="D466" i="7"/>
  <c r="D222" i="7"/>
  <c r="D223" i="7"/>
  <c r="D225" i="7"/>
  <c r="D226" i="7"/>
  <c r="D227" i="7"/>
  <c r="D1242" i="7"/>
  <c r="D87" i="7"/>
  <c r="D88" i="7"/>
  <c r="D89" i="7"/>
  <c r="D319" i="7"/>
  <c r="D686" i="7"/>
  <c r="D854" i="7"/>
  <c r="D90" i="7"/>
  <c r="D855" i="7"/>
  <c r="D856" i="7"/>
  <c r="D857" i="7"/>
  <c r="D687" i="7"/>
  <c r="D688" i="7"/>
  <c r="D1243" i="7"/>
  <c r="D633" i="7"/>
  <c r="D634" i="7"/>
  <c r="D858" i="7"/>
  <c r="D91" i="7"/>
  <c r="D467" i="7"/>
  <c r="D859" i="7"/>
  <c r="D468" i="7"/>
  <c r="D469" i="7"/>
  <c r="D470" i="7"/>
  <c r="D471" i="7"/>
  <c r="D472" i="7"/>
  <c r="D560" i="7"/>
  <c r="D473" i="7"/>
  <c r="D955" i="7"/>
  <c r="D983" i="7"/>
  <c r="D988" i="7"/>
  <c r="D860" i="7"/>
  <c r="D861" i="7"/>
  <c r="D94" i="7"/>
  <c r="D95" i="7"/>
  <c r="D96" i="7"/>
  <c r="D636" i="7"/>
  <c r="D1244" i="7"/>
  <c r="D1245" i="7"/>
  <c r="D474" i="7"/>
  <c r="D862" i="7"/>
  <c r="D689" i="7"/>
  <c r="D1246" i="7"/>
  <c r="D1139" i="7"/>
  <c r="D863" i="7"/>
  <c r="D864" i="7"/>
  <c r="D1161" i="7"/>
  <c r="D1162" i="7"/>
  <c r="D1163" i="7"/>
  <c r="D1164" i="7"/>
  <c r="D1247" i="7"/>
  <c r="D865" i="7"/>
  <c r="D866" i="7"/>
  <c r="D867" i="7"/>
  <c r="D868" i="7"/>
  <c r="D869" i="7"/>
  <c r="D870" i="7"/>
  <c r="D871" i="7"/>
  <c r="D872" i="7"/>
  <c r="D873" i="7"/>
  <c r="D874" i="7"/>
  <c r="D1248" i="7"/>
  <c r="D875" i="7"/>
  <c r="D101" i="7"/>
  <c r="D1249" i="7"/>
  <c r="D876" i="7"/>
  <c r="D475" i="7"/>
  <c r="D561" i="7"/>
  <c r="D877" i="7"/>
  <c r="D476" i="7"/>
  <c r="D477" i="7"/>
  <c r="D878" i="7"/>
  <c r="D478" i="7"/>
  <c r="D524" i="7"/>
  <c r="D1250" i="7"/>
  <c r="D525" i="7"/>
  <c r="D526" i="7"/>
  <c r="D1007" i="7"/>
  <c r="D1251" i="7"/>
  <c r="D1252" i="7"/>
  <c r="D102" i="7"/>
  <c r="D142" i="7"/>
  <c r="D143" i="7"/>
  <c r="D166" i="7"/>
  <c r="D167" i="7"/>
  <c r="D139" i="7"/>
  <c r="D140" i="7"/>
  <c r="D219" i="7"/>
  <c r="D220" i="7"/>
  <c r="D46" i="7"/>
  <c r="D47" i="7"/>
  <c r="D103" i="7"/>
  <c r="D104" i="7"/>
  <c r="D149" i="7"/>
  <c r="D150" i="7"/>
  <c r="D85" i="7"/>
  <c r="D86" i="7"/>
  <c r="D171" i="7"/>
  <c r="D172" i="7"/>
  <c r="D105" i="7"/>
  <c r="D106" i="7"/>
  <c r="D1253" i="7"/>
  <c r="D879" i="7"/>
  <c r="D880" i="7"/>
  <c r="D881" i="7"/>
  <c r="D1254" i="7"/>
  <c r="D228" i="7"/>
  <c r="D690" i="7"/>
  <c r="D107" i="7"/>
  <c r="D108" i="7"/>
  <c r="D109" i="7"/>
  <c r="D110" i="7"/>
  <c r="D111" i="7"/>
  <c r="D112" i="7"/>
  <c r="D229" i="7"/>
  <c r="D230" i="7"/>
  <c r="D231" i="7"/>
  <c r="D232" i="7"/>
  <c r="D233" i="7"/>
  <c r="D234" i="7"/>
  <c r="D235" i="7"/>
  <c r="D236" i="7"/>
  <c r="D237" i="7"/>
  <c r="D238" i="7"/>
  <c r="D239" i="7"/>
  <c r="D240" i="7"/>
  <c r="D241" i="7"/>
  <c r="D242" i="7"/>
  <c r="D243" i="7"/>
  <c r="D244" i="7"/>
  <c r="D246" i="7"/>
  <c r="D245" i="7"/>
  <c r="D247" i="7"/>
  <c r="D113" i="7"/>
  <c r="D114" i="7"/>
  <c r="D115" i="7"/>
  <c r="D116" i="7"/>
  <c r="D117" i="7"/>
  <c r="D118" i="7"/>
  <c r="D119" i="7"/>
  <c r="D120" i="7"/>
  <c r="D121" i="7"/>
  <c r="D479" i="7"/>
  <c r="D562" i="7"/>
  <c r="D1255" i="7"/>
  <c r="D1008" i="7"/>
  <c r="D882" i="7"/>
  <c r="D122" i="7"/>
  <c r="D883" i="7"/>
  <c r="D884" i="7"/>
  <c r="D1140" i="7"/>
  <c r="D1141" i="7"/>
  <c r="D782" i="7"/>
  <c r="D1142" i="7"/>
  <c r="D1143" i="7"/>
  <c r="D783" i="7"/>
  <c r="D784" i="7"/>
  <c r="D1256" i="7"/>
  <c r="D1257" i="7"/>
  <c r="D248" i="7"/>
  <c r="D123" i="7"/>
  <c r="D637" i="7"/>
  <c r="D657" i="7"/>
  <c r="D1144" i="7"/>
  <c r="D1152" i="7"/>
  <c r="D1145" i="7"/>
  <c r="D1146" i="7"/>
  <c r="D1147" i="7"/>
  <c r="D1148" i="7"/>
  <c r="D1149" i="7"/>
  <c r="D1150" i="7"/>
  <c r="D1151" i="7"/>
  <c r="D1153" i="7"/>
  <c r="D124" i="7"/>
  <c r="D1009" i="7"/>
  <c r="D125" i="7"/>
  <c r="D563" i="7"/>
  <c r="D885" i="7"/>
  <c r="D886" i="7"/>
  <c r="D887" i="7"/>
  <c r="D888" i="7"/>
  <c r="D889" i="7"/>
  <c r="D1010" i="7"/>
  <c r="D890" i="7"/>
  <c r="D891" i="7"/>
  <c r="D1260" i="7"/>
  <c r="D785" i="7"/>
  <c r="D786" i="7"/>
  <c r="D1174" i="7"/>
  <c r="D1011" i="7"/>
  <c r="D1012" i="7"/>
  <c r="D787" i="7"/>
  <c r="D892" i="7"/>
  <c r="D801" i="7"/>
  <c r="D802" i="7"/>
  <c r="D803" i="7"/>
  <c r="D1013" i="7"/>
  <c r="D1261" i="7"/>
  <c r="D1014" i="7"/>
  <c r="D1015" i="7"/>
  <c r="D956" i="7"/>
  <c r="D564" i="7"/>
  <c r="D893" i="7"/>
  <c r="D894" i="7"/>
  <c r="D692" i="7"/>
  <c r="D693" i="7"/>
  <c r="D694" i="7"/>
  <c r="D895" i="7"/>
  <c r="D901" i="7"/>
  <c r="D896" i="7"/>
  <c r="D897" i="7"/>
  <c r="D898" i="7"/>
  <c r="D899" i="7"/>
  <c r="D900" i="7"/>
  <c r="D902" i="7"/>
  <c r="D903" i="7"/>
  <c r="D904" i="7"/>
  <c r="D695" i="7"/>
  <c r="D126" i="7"/>
  <c r="D696" i="7"/>
  <c r="D905" i="7"/>
  <c r="D906" i="7"/>
  <c r="D907" i="7"/>
  <c r="D908" i="7"/>
  <c r="D909" i="7"/>
  <c r="D910" i="7"/>
  <c r="D129" i="7"/>
  <c r="D638" i="7"/>
  <c r="D1262" i="7"/>
  <c r="D1263" i="7"/>
  <c r="D1016" i="7"/>
  <c r="D1017" i="7"/>
  <c r="D1018" i="7"/>
  <c r="D639" i="7"/>
  <c r="D640" i="7"/>
  <c r="D641" i="7"/>
  <c r="D642" i="7"/>
  <c r="D911" i="7"/>
  <c r="D912" i="7"/>
  <c r="D338" i="7"/>
  <c r="D322" i="7"/>
  <c r="D323" i="7"/>
  <c r="D643" i="7"/>
  <c r="D697" i="7"/>
  <c r="D804" i="7"/>
  <c r="D1264" i="7"/>
  <c r="D698" i="7"/>
  <c r="D699" i="7"/>
  <c r="D700" i="7"/>
  <c r="D701" i="7"/>
  <c r="D702" i="7"/>
  <c r="D706" i="7"/>
  <c r="D703" i="7"/>
  <c r="D704" i="7"/>
  <c r="D705" i="7"/>
  <c r="D707" i="7"/>
  <c r="D788" i="7"/>
  <c r="D708" i="7"/>
  <c r="D709" i="7"/>
  <c r="D710" i="7"/>
  <c r="D711" i="7"/>
  <c r="D805" i="7"/>
  <c r="D806" i="7"/>
  <c r="D807" i="7"/>
  <c r="D808" i="7"/>
  <c r="D809" i="7"/>
  <c r="D810" i="7"/>
  <c r="D811" i="7"/>
  <c r="D789" i="7"/>
  <c r="D712" i="7"/>
  <c r="D713" i="7"/>
  <c r="D714" i="7"/>
  <c r="D715" i="7"/>
  <c r="D716" i="7"/>
  <c r="D717" i="7"/>
  <c r="D812" i="7"/>
  <c r="D800" i="7"/>
  <c r="D718" i="7"/>
  <c r="D719" i="7"/>
  <c r="D813" i="7"/>
  <c r="D814" i="7"/>
  <c r="D720" i="7"/>
  <c r="D721" i="7"/>
  <c r="D958" i="7"/>
  <c r="D722" i="7"/>
  <c r="D723" i="7"/>
  <c r="D724" i="7"/>
  <c r="D725" i="7"/>
  <c r="D815" i="7"/>
  <c r="D816" i="7"/>
  <c r="D817" i="7"/>
  <c r="D818" i="7"/>
  <c r="D726" i="7"/>
  <c r="D913" i="7"/>
  <c r="D819" i="7"/>
  <c r="D820" i="7"/>
  <c r="D644" i="7"/>
  <c r="D630" i="7"/>
  <c r="D821" i="7"/>
  <c r="D727" i="7"/>
  <c r="D728" i="7"/>
  <c r="D729" i="7"/>
  <c r="D730" i="7"/>
  <c r="D731" i="7"/>
  <c r="D732" i="7"/>
  <c r="D733" i="7"/>
  <c r="D734" i="7"/>
  <c r="D446" i="7"/>
  <c r="D451" i="7"/>
  <c r="D959" i="7"/>
  <c r="D735" i="7"/>
  <c r="D914" i="7"/>
  <c r="D134" i="7"/>
  <c r="D1019" i="7"/>
  <c r="D565" i="7"/>
  <c r="D566" i="7"/>
  <c r="D567" i="7"/>
  <c r="D568" i="7"/>
  <c r="D577" i="7"/>
  <c r="D569" i="7"/>
  <c r="D570" i="7"/>
  <c r="D480" i="7"/>
  <c r="D481" i="7"/>
  <c r="D482" i="7"/>
  <c r="D339" i="7"/>
  <c r="D351" i="7"/>
  <c r="D340" i="7"/>
  <c r="D341" i="7"/>
  <c r="D342" i="7"/>
  <c r="D343" i="7"/>
  <c r="D344" i="7"/>
  <c r="D345" i="7"/>
  <c r="D346" i="7"/>
  <c r="D348" i="7"/>
  <c r="D347" i="7"/>
  <c r="D349" i="7"/>
  <c r="D350" i="7"/>
  <c r="D483" i="7"/>
  <c r="D249" i="7"/>
  <c r="D135" i="7"/>
  <c r="D352" i="7"/>
  <c r="D484" i="7"/>
  <c r="D1020" i="7"/>
  <c r="D1166" i="7"/>
  <c r="D1167" i="7"/>
  <c r="D136" i="7"/>
  <c r="D1021" i="7"/>
  <c r="D790" i="7"/>
  <c r="D1022" i="7"/>
  <c r="D1023" i="7"/>
  <c r="D571" i="7"/>
  <c r="D572" i="7"/>
  <c r="D736" i="7"/>
  <c r="D1024" i="7"/>
  <c r="D1025" i="7"/>
  <c r="D1026" i="7"/>
  <c r="D1027" i="7"/>
  <c r="D1028" i="7"/>
  <c r="D1029" i="7"/>
  <c r="D1030" i="7"/>
  <c r="D1032" i="7"/>
  <c r="D1033" i="7"/>
  <c r="D1034" i="7"/>
  <c r="D645" i="7"/>
  <c r="D646" i="7"/>
  <c r="D647" i="7"/>
  <c r="D915" i="7"/>
  <c r="D916" i="7"/>
  <c r="D737" i="7"/>
  <c r="D738" i="7"/>
  <c r="D485" i="7"/>
  <c r="D486" i="7"/>
  <c r="D353" i="7"/>
  <c r="D387" i="7"/>
  <c r="D388" i="7"/>
  <c r="D573" i="7"/>
  <c r="D354" i="7"/>
  <c r="D355" i="7"/>
  <c r="D487" i="7"/>
  <c r="D1265" i="7"/>
  <c r="D574" i="7"/>
  <c r="D488" i="7"/>
  <c r="D489" i="7"/>
  <c r="D490" i="7"/>
  <c r="D575" i="7"/>
  <c r="D137" i="7"/>
  <c r="D1035" i="7"/>
  <c r="D1036" i="7"/>
  <c r="D1037" i="7"/>
  <c r="D1038" i="7"/>
  <c r="D1039" i="7"/>
  <c r="D1040" i="7"/>
  <c r="D1041" i="7"/>
  <c r="D1042" i="7"/>
  <c r="D1043" i="7"/>
  <c r="D1044" i="7"/>
  <c r="D138" i="7"/>
  <c r="D356" i="7"/>
  <c r="D917" i="7"/>
  <c r="D918" i="7"/>
  <c r="D739" i="7"/>
  <c r="D1266" i="7"/>
  <c r="D1267" i="7"/>
  <c r="D740" i="7"/>
  <c r="D1268" i="7"/>
  <c r="D741" i="7"/>
  <c r="D742" i="7"/>
  <c r="D1269" i="7"/>
  <c r="D1168" i="7"/>
  <c r="D919" i="7"/>
  <c r="D791" i="7"/>
  <c r="D743" i="7"/>
  <c r="D141" i="7"/>
  <c r="D648" i="7"/>
  <c r="D649" i="7"/>
  <c r="D650" i="7"/>
  <c r="D651" i="7"/>
  <c r="D652" i="7"/>
  <c r="D576" i="7"/>
  <c r="D610" i="7"/>
  <c r="D613" i="7"/>
  <c r="D144" i="7"/>
  <c r="D578" i="7"/>
  <c r="D145" i="7"/>
  <c r="D579" i="7"/>
  <c r="D580" i="7"/>
  <c r="D146" i="7"/>
  <c r="D1270" i="7"/>
  <c r="D357" i="7"/>
  <c r="D745" i="7"/>
  <c r="D747" i="7"/>
  <c r="D492" i="7"/>
  <c r="D1046" i="7"/>
  <c r="D653" i="7"/>
  <c r="D581" i="7"/>
  <c r="D147" i="7"/>
  <c r="D148" i="7"/>
  <c r="D601" i="7"/>
  <c r="D602" i="7"/>
  <c r="D368" i="7"/>
  <c r="D332" i="7"/>
  <c r="D333" i="7"/>
  <c r="D1271" i="7"/>
  <c r="D1049" i="7"/>
  <c r="D1176" i="7"/>
  <c r="D1177" i="7"/>
  <c r="D1173" i="7"/>
  <c r="D1050" i="7"/>
  <c r="D604" i="7"/>
  <c r="D748" i="7"/>
  <c r="D153" i="7"/>
  <c r="D824" i="7"/>
  <c r="D1272" i="7"/>
  <c r="D154" i="7"/>
  <c r="D605" i="7"/>
  <c r="D826" i="7"/>
  <c r="D749" i="7"/>
  <c r="D987" i="7"/>
  <c r="D982" i="7"/>
  <c r="D750" i="7"/>
  <c r="D1051" i="7"/>
  <c r="D751" i="7"/>
  <c r="D752" i="7"/>
  <c r="D753" i="7"/>
  <c r="D754" i="7"/>
  <c r="D755" i="7"/>
  <c r="D155" i="7"/>
  <c r="D156" i="7"/>
  <c r="D756" i="7"/>
  <c r="D157" i="7"/>
  <c r="D158" i="7"/>
  <c r="D159" i="7"/>
  <c r="D757" i="7"/>
  <c r="D1273" i="7"/>
  <c r="D160" i="7"/>
  <c r="D161" i="7"/>
  <c r="D921" i="7"/>
  <c r="D922" i="7"/>
  <c r="D923" i="7"/>
  <c r="D924" i="7"/>
  <c r="D925" i="7"/>
  <c r="D1274" i="7"/>
  <c r="D606" i="7"/>
  <c r="D600" i="7"/>
  <c r="D162" i="7"/>
  <c r="D1275" i="7"/>
  <c r="D164" i="7"/>
  <c r="D163" i="7"/>
  <c r="D250" i="7"/>
  <c r="D794" i="7"/>
  <c r="D827" i="7"/>
  <c r="D449" i="7"/>
  <c r="D450" i="7"/>
  <c r="D165" i="7"/>
  <c r="D1052" i="7"/>
  <c r="D168" i="7"/>
  <c r="D1276" i="7"/>
  <c r="D584" i="7"/>
  <c r="D1155" i="7"/>
  <c r="D1154" i="7"/>
  <c r="D1277" i="7"/>
  <c r="D758" i="7"/>
  <c r="D926" i="7"/>
  <c r="D1278" i="7"/>
  <c r="D1279" i="7"/>
  <c r="D1053" i="7"/>
  <c r="D927" i="7"/>
  <c r="D1280" i="7"/>
  <c r="D374" i="7"/>
  <c r="D378" i="7"/>
  <c r="D380" i="7"/>
  <c r="D376" i="7"/>
  <c r="D375" i="7"/>
  <c r="D379" i="7"/>
  <c r="D377" i="7"/>
  <c r="D330" i="7"/>
  <c r="D331" i="7"/>
  <c r="D306" i="7"/>
  <c r="D307" i="7"/>
  <c r="D928" i="7"/>
  <c r="D1281" i="7"/>
  <c r="D964" i="7"/>
  <c r="D929" i="7"/>
  <c r="D930" i="7"/>
  <c r="D795" i="7"/>
  <c r="D173" i="7"/>
  <c r="D495" i="7"/>
  <c r="D1054" i="7"/>
  <c r="D496" i="7"/>
  <c r="D251" i="7"/>
  <c r="D252" i="7"/>
  <c r="D253" i="7"/>
  <c r="D254" i="7"/>
  <c r="D255" i="7"/>
  <c r="D585" i="7"/>
  <c r="D587" i="7"/>
  <c r="D1282" i="7"/>
  <c r="D174" i="7"/>
  <c r="D77" i="7"/>
  <c r="D78" i="7"/>
  <c r="D65" i="7"/>
  <c r="D66" i="7"/>
  <c r="D83" i="7"/>
  <c r="D84" i="7"/>
  <c r="D256" i="7"/>
  <c r="D257" i="7"/>
  <c r="D828" i="7"/>
  <c r="D258" i="7"/>
  <c r="D586" i="7"/>
  <c r="D259" i="7"/>
  <c r="D497" i="7"/>
  <c r="D260" i="7"/>
  <c r="D261" i="7"/>
  <c r="D262" i="7"/>
  <c r="D1055" i="7"/>
  <c r="D263" i="7"/>
  <c r="D264" i="7"/>
  <c r="D1056" i="7"/>
  <c r="D759" i="7"/>
  <c r="D175" i="7"/>
  <c r="D1283" i="7"/>
  <c r="D1284" i="7"/>
  <c r="D588" i="7"/>
  <c r="D1285" i="7"/>
  <c r="D1286" i="7"/>
  <c r="D1287" i="7"/>
  <c r="D1288" i="7"/>
  <c r="D796" i="7"/>
  <c r="D792" i="7"/>
  <c r="D797" i="7"/>
  <c r="D793" i="7"/>
  <c r="D760" i="7"/>
  <c r="D1057" i="7"/>
  <c r="D589" i="7"/>
  <c r="D176" i="7"/>
  <c r="D177" i="7"/>
  <c r="D658" i="7"/>
  <c r="D1058" i="7"/>
  <c r="D1059" i="7"/>
  <c r="D1060" i="7"/>
  <c r="D1061" i="7"/>
  <c r="D178" i="7"/>
  <c r="D179" i="7"/>
  <c r="D180" i="7"/>
  <c r="D181" i="7"/>
  <c r="D391" i="7"/>
  <c r="D1062" i="7"/>
  <c r="D1063" i="7"/>
  <c r="D1064" i="7"/>
  <c r="D1091" i="7"/>
  <c r="D590" i="7"/>
  <c r="D498" i="7"/>
  <c r="D499" i="7"/>
  <c r="D500" i="7"/>
  <c r="D501" i="7"/>
  <c r="D392" i="7"/>
  <c r="D393" i="7"/>
  <c r="D397" i="7"/>
  <c r="D406" i="7"/>
  <c r="D398" i="7"/>
  <c r="D399" i="7"/>
  <c r="D394" i="7"/>
  <c r="D407" i="7"/>
  <c r="D395" i="7"/>
  <c r="D396" i="7"/>
  <c r="D400" i="7"/>
  <c r="D401" i="7"/>
  <c r="D402" i="7"/>
  <c r="D403" i="7"/>
  <c r="D404" i="7"/>
  <c r="D405" i="7"/>
  <c r="D408" i="7"/>
  <c r="D182" i="7"/>
  <c r="D502" i="7"/>
  <c r="D1065" i="7"/>
  <c r="D1066" i="7"/>
  <c r="D503" i="7"/>
  <c r="D504" i="7"/>
  <c r="D183" i="7"/>
  <c r="D1171" i="7"/>
  <c r="D1172" i="7"/>
  <c r="D1165" i="7"/>
  <c r="D1067" i="7"/>
  <c r="D1068" i="7"/>
  <c r="D1069" i="7"/>
  <c r="D1070" i="7"/>
  <c r="D931" i="7"/>
  <c r="D1071" i="7"/>
  <c r="D1072" i="7"/>
  <c r="D1073" i="7"/>
  <c r="D1074" i="7"/>
  <c r="D1075" i="7"/>
  <c r="D659" i="7"/>
  <c r="D965" i="7"/>
  <c r="D591" i="7"/>
  <c r="D592" i="7"/>
  <c r="D1076" i="7"/>
  <c r="D409" i="7"/>
  <c r="D1077" i="7"/>
  <c r="D410" i="7"/>
  <c r="D505" i="7"/>
  <c r="D506" i="7"/>
  <c r="D507" i="7"/>
  <c r="D508" i="7"/>
  <c r="D184" i="7"/>
  <c r="D71" i="7"/>
  <c r="D509" i="7"/>
  <c r="D1078" i="7"/>
  <c r="D1079" i="7"/>
  <c r="D1080" i="7"/>
  <c r="D1081" i="7"/>
  <c r="D1082" i="7"/>
  <c r="D1083" i="7"/>
  <c r="D1084" i="7"/>
  <c r="D1085" i="7"/>
  <c r="D510" i="7"/>
  <c r="D491" i="7"/>
  <c r="D511" i="7"/>
  <c r="D1086" i="7"/>
  <c r="D1087" i="7"/>
  <c r="D1088" i="7"/>
  <c r="D1089" i="7"/>
  <c r="D185" i="7"/>
  <c r="D186" i="7"/>
  <c r="D614" i="7"/>
  <c r="D609" i="7"/>
  <c r="D411" i="7"/>
  <c r="D412" i="7"/>
  <c r="D512" i="7"/>
  <c r="D932" i="7"/>
  <c r="D966" i="7"/>
  <c r="D967" i="7"/>
  <c r="D968" i="7"/>
  <c r="D969" i="7"/>
  <c r="D970" i="7"/>
  <c r="D971" i="7"/>
  <c r="D954" i="7"/>
  <c r="D963" i="7"/>
  <c r="D513" i="7"/>
  <c r="D761" i="7"/>
  <c r="D744" i="7"/>
  <c r="D829" i="7"/>
  <c r="D660" i="7"/>
  <c r="D514" i="7"/>
  <c r="D762" i="7"/>
  <c r="D746" i="7"/>
  <c r="D413" i="7"/>
  <c r="D972" i="7"/>
  <c r="D593" i="7"/>
  <c r="D583" i="7"/>
  <c r="D187" i="7"/>
  <c r="D188" i="7"/>
  <c r="D189" i="7"/>
  <c r="D190" i="7"/>
  <c r="D191" i="7"/>
  <c r="D192" i="7"/>
  <c r="D193" i="7"/>
  <c r="D194" i="7"/>
  <c r="D195" i="7"/>
  <c r="D196" i="7"/>
  <c r="D1289" i="7"/>
  <c r="D515" i="7"/>
  <c r="D516" i="7"/>
  <c r="D1156" i="7"/>
  <c r="D594" i="7"/>
  <c r="D582" i="7"/>
  <c r="D595" i="7"/>
  <c r="D1290" i="7"/>
  <c r="D661" i="7"/>
  <c r="D830" i="7"/>
  <c r="D831" i="7"/>
  <c r="D832" i="7"/>
  <c r="D833" i="7"/>
  <c r="D764" i="7"/>
  <c r="D934" i="7"/>
  <c r="D662" i="7"/>
  <c r="D635" i="7"/>
  <c r="D663" i="7"/>
  <c r="D655" i="7"/>
  <c r="D1291" i="7"/>
  <c r="D834" i="7"/>
  <c r="D198" i="7"/>
  <c r="D935" i="7"/>
  <c r="D920" i="7"/>
  <c r="D1157" i="7"/>
  <c r="D1158" i="7"/>
  <c r="D199" i="7"/>
  <c r="D265" i="7"/>
  <c r="D266" i="7"/>
  <c r="D1159" i="7"/>
  <c r="D1160" i="7"/>
  <c r="D1138" i="7"/>
  <c r="D835" i="7"/>
  <c r="D822" i="7"/>
  <c r="D836" i="7"/>
  <c r="D823" i="7"/>
  <c r="D267" i="7"/>
  <c r="D765" i="7"/>
  <c r="D518" i="7"/>
  <c r="D1092" i="7"/>
  <c r="D422" i="7"/>
  <c r="D414" i="7"/>
  <c r="D415" i="7"/>
  <c r="D416" i="7"/>
  <c r="D417" i="7"/>
  <c r="D418" i="7"/>
  <c r="D419" i="7"/>
  <c r="D420" i="7"/>
  <c r="D421" i="7"/>
  <c r="D766" i="7"/>
  <c r="D200" i="7"/>
  <c r="D423" i="7"/>
  <c r="D519" i="7"/>
  <c r="D494" i="7"/>
  <c r="D453" i="7"/>
  <c r="D798" i="7"/>
  <c r="D767" i="7"/>
  <c r="D268" i="7"/>
  <c r="D269" i="7"/>
  <c r="D224" i="7"/>
  <c r="D1292" i="7"/>
  <c r="D768" i="7"/>
  <c r="D424" i="7"/>
  <c r="D281" i="7"/>
  <c r="D282" i="7"/>
  <c r="D381" i="7"/>
  <c r="D382" i="7"/>
  <c r="D427" i="7"/>
  <c r="D428" i="7"/>
  <c r="D425" i="7"/>
  <c r="D426" i="7"/>
  <c r="D275" i="7"/>
  <c r="D273" i="7"/>
  <c r="D1293" i="7"/>
  <c r="D520" i="7"/>
  <c r="D493" i="7"/>
  <c r="D1294" i="7"/>
  <c r="D521" i="7"/>
  <c r="D1295" i="7"/>
  <c r="D454" i="7"/>
  <c r="D455" i="7"/>
  <c r="D1093" i="7"/>
  <c r="D1048" i="7"/>
  <c r="D276" i="7"/>
  <c r="D271" i="7"/>
  <c r="D203" i="7"/>
  <c r="D204" i="7"/>
  <c r="D205" i="7"/>
  <c r="D206" i="7"/>
  <c r="D207" i="7"/>
  <c r="D1094" i="7"/>
  <c r="D1095" i="7"/>
  <c r="D1096" i="7"/>
  <c r="D1002" i="7"/>
  <c r="D1097" i="7"/>
  <c r="D1098" i="7"/>
  <c r="D1099" i="7"/>
  <c r="D769" i="7"/>
  <c r="D1100" i="7"/>
  <c r="D1045" i="7"/>
  <c r="D936" i="7"/>
  <c r="D456" i="7"/>
  <c r="D448" i="7"/>
  <c r="D429" i="7"/>
  <c r="D364" i="7"/>
  <c r="D363" i="7"/>
  <c r="D361" i="7"/>
  <c r="D362" i="7"/>
  <c r="D365" i="7"/>
  <c r="D366" i="7"/>
  <c r="D360" i="7"/>
  <c r="D367" i="7"/>
  <c r="D430" i="7"/>
  <c r="D431" i="7"/>
  <c r="D973" i="7"/>
  <c r="D974" i="7"/>
  <c r="D961" i="7"/>
  <c r="D975" i="7"/>
  <c r="D976" i="7"/>
  <c r="D937" i="7"/>
  <c r="D208" i="7"/>
  <c r="D938" i="7"/>
  <c r="D939" i="7"/>
  <c r="D977" i="7"/>
  <c r="D962" i="7"/>
  <c r="D940" i="7"/>
  <c r="D941" i="7"/>
  <c r="D942" i="7"/>
  <c r="D209" i="7"/>
  <c r="D152" i="7"/>
  <c r="D522" i="7"/>
  <c r="D523" i="7"/>
  <c r="D517" i="7"/>
  <c r="D770" i="7"/>
  <c r="D771" i="7"/>
  <c r="D213" i="7"/>
  <c r="D214" i="7"/>
  <c r="D799" i="7"/>
  <c r="D781" i="7"/>
  <c r="D943" i="7"/>
  <c r="D944" i="7"/>
  <c r="D945" i="7"/>
  <c r="D946" i="7"/>
  <c r="D215" i="7"/>
  <c r="D216" i="7"/>
  <c r="D217" i="7"/>
  <c r="D197" i="7"/>
  <c r="D772" i="7"/>
  <c r="D691" i="7"/>
  <c r="D989" i="7"/>
  <c r="D985" i="7"/>
  <c r="D947" i="7"/>
  <c r="D948" i="7"/>
  <c r="D933" i="7"/>
  <c r="D218" i="7"/>
  <c r="D151" i="7"/>
  <c r="D773" i="7"/>
  <c r="D763" i="7"/>
  <c r="D433" i="7"/>
  <c r="D434" i="7"/>
  <c r="D435" i="7"/>
  <c r="D432" i="7"/>
  <c r="D283" i="7"/>
  <c r="D284" i="7"/>
  <c r="D373" i="7"/>
  <c r="D436" i="7"/>
  <c r="D385" i="7"/>
  <c r="D386" i="7"/>
  <c r="D389" i="7"/>
  <c r="D390" i="7"/>
  <c r="D326" i="7"/>
  <c r="D327" i="7"/>
  <c r="D440" i="7"/>
  <c r="D441" i="7"/>
  <c r="D438" i="7"/>
  <c r="D439" i="7"/>
  <c r="D437" i="7"/>
  <c r="D442" i="7"/>
  <c r="D443" i="7"/>
  <c r="D444" i="7"/>
  <c r="D445" i="7"/>
  <c r="D370" i="7"/>
  <c r="D383" i="7"/>
  <c r="D384" i="7"/>
  <c r="D313" i="7"/>
  <c r="D314" i="7"/>
  <c r="D371" i="7"/>
  <c r="D372" i="7"/>
  <c r="D315" i="7"/>
  <c r="D316" i="7"/>
  <c r="D317" i="7"/>
  <c r="D318" i="7"/>
  <c r="D336" i="7"/>
  <c r="D337" i="7"/>
  <c r="D324" i="7"/>
  <c r="D325" i="7"/>
  <c r="D328" i="7"/>
  <c r="D329" i="7"/>
  <c r="D358" i="7"/>
  <c r="D359" i="7"/>
  <c r="D334" i="7"/>
  <c r="D335" i="7"/>
  <c r="D1101" i="7"/>
  <c r="D1047" i="7"/>
  <c r="D2" i="7"/>
  <c r="D369" i="7"/>
  <c r="D270" i="7"/>
  <c r="D278" i="7"/>
  <c r="D277" i="7"/>
  <c r="D447" i="7"/>
  <c r="D452" i="7"/>
  <c r="D612" i="7"/>
  <c r="D615" i="7"/>
  <c r="D611" i="7"/>
  <c r="D608" i="7"/>
  <c r="D607" i="7"/>
  <c r="D617" i="7"/>
  <c r="D616" i="7"/>
  <c r="D618" i="7"/>
  <c r="D626" i="7"/>
  <c r="D665" i="7"/>
  <c r="D664" i="7"/>
  <c r="D654" i="7"/>
  <c r="D629" i="7"/>
  <c r="D656" i="7"/>
  <c r="D632" i="7"/>
  <c r="D685" i="7"/>
  <c r="D825" i="7"/>
  <c r="D960" i="7"/>
  <c r="D950" i="7"/>
  <c r="D949" i="7"/>
  <c r="D978" i="7"/>
  <c r="D979" i="7"/>
  <c r="D986" i="7"/>
  <c r="D984" i="7"/>
  <c r="D1090" i="7"/>
  <c r="D1137" i="7"/>
  <c r="D1102" i="7"/>
  <c r="D1106" i="7"/>
  <c r="D1104" i="7"/>
  <c r="D1175" i="7"/>
  <c r="D1178" i="7"/>
  <c r="D1170" i="7"/>
  <c r="D1169" i="7"/>
  <c r="D1180" i="7"/>
  <c r="D1181" i="7"/>
  <c r="D1179" i="7"/>
  <c r="D1184" i="7"/>
  <c r="D1182" i="7"/>
  <c r="D1183" i="7"/>
  <c r="D1186" i="7"/>
  <c r="D1185" i="7"/>
  <c r="D1216" i="7"/>
  <c r="D1215" i="7"/>
  <c r="D1204" i="7"/>
  <c r="D1203" i="7"/>
  <c r="D1198" i="7"/>
  <c r="D1188" i="7"/>
  <c r="D1187" i="7"/>
  <c r="D1190" i="7"/>
  <c r="D1191" i="7"/>
  <c r="D1192" i="7"/>
  <c r="D1202" i="7"/>
  <c r="D1194" i="7"/>
  <c r="D1197" i="7"/>
  <c r="D1195" i="7"/>
  <c r="D1196" i="7"/>
  <c r="D1193" i="7"/>
  <c r="D1189" i="7"/>
  <c r="D1217" i="7"/>
  <c r="D1211" i="7"/>
  <c r="D1210" i="7"/>
  <c r="D1214" i="7"/>
  <c r="D1201" i="7"/>
  <c r="D1206" i="7"/>
  <c r="D1205" i="7"/>
  <c r="D1213" i="7"/>
  <c r="D1212" i="7"/>
  <c r="D1209" i="7"/>
  <c r="D1208" i="7"/>
  <c r="D1207" i="7"/>
  <c r="D1220" i="7"/>
  <c r="D1226" i="7"/>
  <c r="D1258" i="7"/>
  <c r="D1259" i="7"/>
  <c r="D1296" i="7"/>
  <c r="D1297" i="7"/>
  <c r="B62" i="7"/>
  <c r="Q62" i="7"/>
  <c r="R62" i="7"/>
  <c r="S62" i="7"/>
  <c r="B63" i="7"/>
  <c r="Q63" i="7"/>
  <c r="R63" i="7"/>
  <c r="S63" i="7"/>
  <c r="B60" i="7"/>
  <c r="Q60" i="7"/>
  <c r="R60" i="7"/>
  <c r="S60" i="7"/>
  <c r="B61" i="7"/>
  <c r="Q61" i="7"/>
  <c r="R61" i="7"/>
  <c r="S61" i="7"/>
  <c r="B130" i="7"/>
  <c r="Q130" i="7"/>
  <c r="R130" i="7"/>
  <c r="S130" i="7"/>
  <c r="B131" i="7"/>
  <c r="Q131" i="7"/>
  <c r="R131" i="7"/>
  <c r="S131" i="7"/>
  <c r="B97" i="7"/>
  <c r="Q97" i="7"/>
  <c r="R97" i="7"/>
  <c r="S97" i="7"/>
  <c r="B98" i="7"/>
  <c r="Q98" i="7"/>
  <c r="R98" i="7"/>
  <c r="S98" i="7"/>
  <c r="B92" i="7"/>
  <c r="Q92" i="7"/>
  <c r="R92" i="7"/>
  <c r="S92" i="7"/>
  <c r="B93" i="7"/>
  <c r="Q93" i="7"/>
  <c r="R93" i="7"/>
  <c r="S93" i="7"/>
  <c r="B99" i="7"/>
  <c r="Q99" i="7"/>
  <c r="R99" i="7"/>
  <c r="S99" i="7"/>
  <c r="B100" i="7"/>
  <c r="Q100" i="7"/>
  <c r="R100" i="7"/>
  <c r="S100" i="7"/>
  <c r="B132" i="7"/>
  <c r="Q132" i="7"/>
  <c r="R132" i="7"/>
  <c r="S132" i="7"/>
  <c r="B133" i="7"/>
  <c r="Q133" i="7"/>
  <c r="R133" i="7"/>
  <c r="S133" i="7"/>
  <c r="B201" i="7"/>
  <c r="Q201" i="7"/>
  <c r="AC201" i="7" s="1"/>
  <c r="R201" i="7"/>
  <c r="S201" i="7"/>
  <c r="B202" i="7"/>
  <c r="Q202" i="7"/>
  <c r="R202" i="7"/>
  <c r="S202" i="7"/>
  <c r="B49" i="7"/>
  <c r="Q49" i="7"/>
  <c r="R49" i="7"/>
  <c r="S49" i="7"/>
  <c r="B50" i="7"/>
  <c r="Q50" i="7"/>
  <c r="R50" i="7"/>
  <c r="S50" i="7"/>
  <c r="B127" i="7"/>
  <c r="Q127" i="7"/>
  <c r="R127" i="7"/>
  <c r="S127" i="7"/>
  <c r="B128" i="7"/>
  <c r="Q128" i="7"/>
  <c r="R128" i="7"/>
  <c r="S128" i="7"/>
  <c r="B75" i="7"/>
  <c r="Q75" i="7"/>
  <c r="R75" i="7"/>
  <c r="S75" i="7"/>
  <c r="B76" i="7"/>
  <c r="Q76" i="7"/>
  <c r="R76" i="7"/>
  <c r="S76" i="7"/>
  <c r="B73" i="7"/>
  <c r="Q73" i="7"/>
  <c r="R73" i="7"/>
  <c r="S73" i="7"/>
  <c r="B74" i="7"/>
  <c r="Q74" i="7"/>
  <c r="R74" i="7"/>
  <c r="S74" i="7"/>
  <c r="B55" i="7"/>
  <c r="Q55" i="7"/>
  <c r="R55" i="7"/>
  <c r="S55" i="7"/>
  <c r="B56" i="7"/>
  <c r="Q56" i="7"/>
  <c r="R56" i="7"/>
  <c r="S56" i="7"/>
  <c r="B293" i="7"/>
  <c r="Q293" i="7"/>
  <c r="R293" i="7"/>
  <c r="S293" i="7"/>
  <c r="B294" i="7"/>
  <c r="Q294" i="7"/>
  <c r="R294" i="7"/>
  <c r="S294" i="7"/>
  <c r="B309" i="7"/>
  <c r="Q309" i="7"/>
  <c r="R309" i="7"/>
  <c r="S309" i="7"/>
  <c r="B310" i="7"/>
  <c r="Q310" i="7"/>
  <c r="R310" i="7"/>
  <c r="S310" i="7"/>
  <c r="B311" i="7"/>
  <c r="Q311" i="7"/>
  <c r="R311" i="7"/>
  <c r="S311" i="7"/>
  <c r="B312" i="7"/>
  <c r="Q312" i="7"/>
  <c r="R312" i="7"/>
  <c r="S312" i="7"/>
  <c r="B320" i="7"/>
  <c r="Q320" i="7"/>
  <c r="R320" i="7"/>
  <c r="S320" i="7"/>
  <c r="B321" i="7"/>
  <c r="Q321" i="7"/>
  <c r="R321" i="7"/>
  <c r="S321" i="7"/>
  <c r="B80" i="7"/>
  <c r="Q80" i="7"/>
  <c r="R80" i="7"/>
  <c r="S80" i="7"/>
  <c r="B81" i="7"/>
  <c r="Q81" i="7"/>
  <c r="R81" i="7"/>
  <c r="S81" i="7"/>
  <c r="B142" i="7"/>
  <c r="Q142" i="7"/>
  <c r="R142" i="7"/>
  <c r="S142" i="7"/>
  <c r="B143" i="7"/>
  <c r="Q143" i="7"/>
  <c r="R143" i="7"/>
  <c r="S143" i="7"/>
  <c r="B166" i="7"/>
  <c r="Q166" i="7"/>
  <c r="R166" i="7"/>
  <c r="S166" i="7"/>
  <c r="B167" i="7"/>
  <c r="Q167" i="7"/>
  <c r="R167" i="7"/>
  <c r="S167" i="7"/>
  <c r="B139" i="7"/>
  <c r="Q139" i="7"/>
  <c r="R139" i="7"/>
  <c r="S139" i="7"/>
  <c r="B140" i="7"/>
  <c r="Q140" i="7"/>
  <c r="R140" i="7"/>
  <c r="S140" i="7"/>
  <c r="B219" i="7"/>
  <c r="Q219" i="7"/>
  <c r="R219" i="7"/>
  <c r="S219" i="7"/>
  <c r="B220" i="7"/>
  <c r="Q220" i="7"/>
  <c r="R220" i="7"/>
  <c r="S220" i="7"/>
  <c r="B46" i="7"/>
  <c r="Q46" i="7"/>
  <c r="R46" i="7"/>
  <c r="S46" i="7"/>
  <c r="B47" i="7"/>
  <c r="Q47" i="7"/>
  <c r="R47" i="7"/>
  <c r="S47" i="7"/>
  <c r="B103" i="7"/>
  <c r="Q103" i="7"/>
  <c r="R103" i="7"/>
  <c r="S103" i="7"/>
  <c r="B104" i="7"/>
  <c r="Q104" i="7"/>
  <c r="R104" i="7"/>
  <c r="S104" i="7"/>
  <c r="B149" i="7"/>
  <c r="Q149" i="7"/>
  <c r="R149" i="7"/>
  <c r="S149" i="7"/>
  <c r="B150" i="7"/>
  <c r="Q150" i="7"/>
  <c r="R150" i="7"/>
  <c r="S150" i="7"/>
  <c r="B85" i="7"/>
  <c r="Q85" i="7"/>
  <c r="R85" i="7"/>
  <c r="S85" i="7"/>
  <c r="B86" i="7"/>
  <c r="Q86" i="7"/>
  <c r="R86" i="7"/>
  <c r="S86" i="7"/>
  <c r="B171" i="7"/>
  <c r="Q171" i="7"/>
  <c r="AC171" i="7" s="1"/>
  <c r="R171" i="7"/>
  <c r="S171" i="7"/>
  <c r="B172" i="7"/>
  <c r="Q172" i="7"/>
  <c r="R172" i="7"/>
  <c r="S172" i="7"/>
  <c r="B322" i="7"/>
  <c r="Q322" i="7"/>
  <c r="R322" i="7"/>
  <c r="S322" i="7"/>
  <c r="B323" i="7"/>
  <c r="Q323" i="7"/>
  <c r="R323" i="7"/>
  <c r="S323" i="7"/>
  <c r="B387" i="7"/>
  <c r="Q387" i="7"/>
  <c r="R387" i="7"/>
  <c r="S387" i="7"/>
  <c r="B388" i="7"/>
  <c r="Q388" i="7"/>
  <c r="R388" i="7"/>
  <c r="S388" i="7"/>
  <c r="B332" i="7"/>
  <c r="Q332" i="7"/>
  <c r="R332" i="7"/>
  <c r="S332" i="7"/>
  <c r="B333" i="7"/>
  <c r="Q333" i="7"/>
  <c r="R333" i="7"/>
  <c r="S333" i="7"/>
  <c r="B330" i="7"/>
  <c r="Q330" i="7"/>
  <c r="R330" i="7"/>
  <c r="S330" i="7"/>
  <c r="B331" i="7"/>
  <c r="Q331" i="7"/>
  <c r="R331" i="7"/>
  <c r="S331" i="7"/>
  <c r="B306" i="7"/>
  <c r="Q306" i="7"/>
  <c r="R306" i="7"/>
  <c r="S306" i="7"/>
  <c r="B307" i="7"/>
  <c r="Q307" i="7"/>
  <c r="R307" i="7"/>
  <c r="S307" i="7"/>
  <c r="B77" i="7"/>
  <c r="Q77" i="7"/>
  <c r="R77" i="7"/>
  <c r="S77" i="7"/>
  <c r="B78" i="7"/>
  <c r="Q78" i="7"/>
  <c r="R78" i="7"/>
  <c r="S78" i="7"/>
  <c r="B65" i="7"/>
  <c r="Q65" i="7"/>
  <c r="R65" i="7"/>
  <c r="S65" i="7"/>
  <c r="B66" i="7"/>
  <c r="Q66" i="7"/>
  <c r="R66" i="7"/>
  <c r="S66" i="7"/>
  <c r="B83" i="7"/>
  <c r="Q83" i="7"/>
  <c r="R83" i="7"/>
  <c r="S83" i="7"/>
  <c r="B84" i="7"/>
  <c r="Q84" i="7"/>
  <c r="R84" i="7"/>
  <c r="S84" i="7"/>
  <c r="B414" i="7"/>
  <c r="Q414" i="7"/>
  <c r="R414" i="7"/>
  <c r="S414" i="7"/>
  <c r="B415" i="7"/>
  <c r="Q415" i="7"/>
  <c r="R415" i="7"/>
  <c r="S415" i="7"/>
  <c r="B416" i="7"/>
  <c r="Q416" i="7"/>
  <c r="R416" i="7"/>
  <c r="S416" i="7"/>
  <c r="B417" i="7"/>
  <c r="Q417" i="7"/>
  <c r="R417" i="7"/>
  <c r="S417" i="7"/>
  <c r="B418" i="7"/>
  <c r="Q418" i="7"/>
  <c r="R418" i="7"/>
  <c r="S418" i="7"/>
  <c r="B419" i="7"/>
  <c r="Q419" i="7"/>
  <c r="R419" i="7"/>
  <c r="S419" i="7"/>
  <c r="B420" i="7"/>
  <c r="Q420" i="7"/>
  <c r="R420" i="7"/>
  <c r="S420" i="7"/>
  <c r="B421" i="7"/>
  <c r="Q421" i="7"/>
  <c r="R421" i="7"/>
  <c r="S421" i="7"/>
  <c r="B281" i="7"/>
  <c r="Q281" i="7"/>
  <c r="R281" i="7"/>
  <c r="S281" i="7"/>
  <c r="B282" i="7"/>
  <c r="Q282" i="7"/>
  <c r="R282" i="7"/>
  <c r="S282" i="7"/>
  <c r="B381" i="7"/>
  <c r="Q381" i="7"/>
  <c r="R381" i="7"/>
  <c r="S381" i="7"/>
  <c r="B382" i="7"/>
  <c r="Q382" i="7"/>
  <c r="R382" i="7"/>
  <c r="S382" i="7"/>
  <c r="B427" i="7"/>
  <c r="Q427" i="7"/>
  <c r="R427" i="7"/>
  <c r="S427" i="7"/>
  <c r="B428" i="7"/>
  <c r="Q428" i="7"/>
  <c r="R428" i="7"/>
  <c r="S428" i="7"/>
  <c r="B425" i="7"/>
  <c r="Q425" i="7"/>
  <c r="R425" i="7"/>
  <c r="S425" i="7"/>
  <c r="B426" i="7"/>
  <c r="Q426" i="7"/>
  <c r="R426" i="7"/>
  <c r="S426" i="7"/>
  <c r="B430" i="7"/>
  <c r="Q430" i="7"/>
  <c r="R430" i="7"/>
  <c r="S430" i="7"/>
  <c r="B431" i="7"/>
  <c r="Q431" i="7"/>
  <c r="R431" i="7"/>
  <c r="S431" i="7"/>
  <c r="B385" i="7"/>
  <c r="Q385" i="7"/>
  <c r="R385" i="7"/>
  <c r="S385" i="7"/>
  <c r="B386" i="7"/>
  <c r="Q386" i="7"/>
  <c r="R386" i="7"/>
  <c r="S386" i="7"/>
  <c r="B389" i="7"/>
  <c r="Q389" i="7"/>
  <c r="R389" i="7"/>
  <c r="S389" i="7"/>
  <c r="B390" i="7"/>
  <c r="Q390" i="7"/>
  <c r="R390" i="7"/>
  <c r="S390" i="7"/>
  <c r="B326" i="7"/>
  <c r="Q326" i="7"/>
  <c r="R326" i="7"/>
  <c r="S326" i="7"/>
  <c r="B327" i="7"/>
  <c r="Q327" i="7"/>
  <c r="R327" i="7"/>
  <c r="S327" i="7"/>
  <c r="B440" i="7"/>
  <c r="Q440" i="7"/>
  <c r="R440" i="7"/>
  <c r="S440" i="7"/>
  <c r="B441" i="7"/>
  <c r="Q441" i="7"/>
  <c r="R441" i="7"/>
  <c r="S441" i="7"/>
  <c r="B438" i="7"/>
  <c r="Q438" i="7"/>
  <c r="R438" i="7"/>
  <c r="S438" i="7"/>
  <c r="B439" i="7"/>
  <c r="Q439" i="7"/>
  <c r="R439" i="7"/>
  <c r="S439" i="7"/>
  <c r="B383" i="7"/>
  <c r="Q383" i="7"/>
  <c r="R383" i="7"/>
  <c r="S383" i="7"/>
  <c r="B384" i="7"/>
  <c r="Q384" i="7"/>
  <c r="R384" i="7"/>
  <c r="S384" i="7"/>
  <c r="B313" i="7"/>
  <c r="Q313" i="7"/>
  <c r="R313" i="7"/>
  <c r="S313" i="7"/>
  <c r="B314" i="7"/>
  <c r="Q314" i="7"/>
  <c r="R314" i="7"/>
  <c r="S314" i="7"/>
  <c r="B371" i="7"/>
  <c r="Q371" i="7"/>
  <c r="AC371" i="7" s="1"/>
  <c r="R371" i="7"/>
  <c r="S371" i="7"/>
  <c r="B372" i="7"/>
  <c r="Q372" i="7"/>
  <c r="R372" i="7"/>
  <c r="S372" i="7"/>
  <c r="B315" i="7"/>
  <c r="Q315" i="7"/>
  <c r="R315" i="7"/>
  <c r="S315" i="7"/>
  <c r="B316" i="7"/>
  <c r="Q316" i="7"/>
  <c r="R316" i="7"/>
  <c r="S316" i="7"/>
  <c r="B317" i="7"/>
  <c r="Q317" i="7"/>
  <c r="R317" i="7"/>
  <c r="S317" i="7"/>
  <c r="B318" i="7"/>
  <c r="Q318" i="7"/>
  <c r="R318" i="7"/>
  <c r="S318" i="7"/>
  <c r="B336" i="7"/>
  <c r="Q336" i="7"/>
  <c r="R336" i="7"/>
  <c r="S336" i="7"/>
  <c r="B337" i="7"/>
  <c r="Q337" i="7"/>
  <c r="R337" i="7"/>
  <c r="S337" i="7"/>
  <c r="B324" i="7"/>
  <c r="Q324" i="7"/>
  <c r="R324" i="7"/>
  <c r="S324" i="7"/>
  <c r="B325" i="7"/>
  <c r="Q325" i="7"/>
  <c r="R325" i="7"/>
  <c r="S325" i="7"/>
  <c r="B328" i="7"/>
  <c r="Q328" i="7"/>
  <c r="R328" i="7"/>
  <c r="S328" i="7"/>
  <c r="B329" i="7"/>
  <c r="Q329" i="7"/>
  <c r="R329" i="7"/>
  <c r="S329" i="7"/>
  <c r="B358" i="7"/>
  <c r="Q358" i="7"/>
  <c r="R358" i="7"/>
  <c r="S358" i="7"/>
  <c r="B359" i="7"/>
  <c r="Q359" i="7"/>
  <c r="R359" i="7"/>
  <c r="S359" i="7"/>
  <c r="B334" i="7"/>
  <c r="Q334" i="7"/>
  <c r="R334" i="7"/>
  <c r="S334" i="7"/>
  <c r="B335" i="7"/>
  <c r="Q335" i="7"/>
  <c r="R335" i="7"/>
  <c r="S335" i="7"/>
  <c r="I32" i="5"/>
  <c r="B1296" i="7"/>
  <c r="Q1296" i="7"/>
  <c r="R1296" i="7"/>
  <c r="S1296" i="7"/>
  <c r="B1297" i="7"/>
  <c r="Q1297" i="7"/>
  <c r="R1297" i="7"/>
  <c r="S1297" i="7"/>
  <c r="B285" i="7"/>
  <c r="Q285" i="7"/>
  <c r="R285" i="7"/>
  <c r="S285" i="7"/>
  <c r="B286" i="7"/>
  <c r="Q286" i="7"/>
  <c r="R286" i="7"/>
  <c r="S286" i="7"/>
  <c r="B299" i="7"/>
  <c r="Q299" i="7"/>
  <c r="R299" i="7"/>
  <c r="S299" i="7"/>
  <c r="B289" i="7"/>
  <c r="Q289" i="7"/>
  <c r="R289" i="7"/>
  <c r="S289" i="7"/>
  <c r="B304" i="7"/>
  <c r="Q304" i="7"/>
  <c r="R304" i="7"/>
  <c r="S304" i="7"/>
  <c r="B432" i="7"/>
  <c r="Q432" i="7"/>
  <c r="R432" i="7"/>
  <c r="S432" i="7"/>
  <c r="B283" i="7"/>
  <c r="Q283" i="7"/>
  <c r="R283" i="7"/>
  <c r="S283" i="7"/>
  <c r="B284" i="7"/>
  <c r="Q284" i="7"/>
  <c r="R284" i="7"/>
  <c r="S284" i="7"/>
  <c r="B373" i="7"/>
  <c r="Q373" i="7"/>
  <c r="R373" i="7"/>
  <c r="S373" i="7"/>
  <c r="B436" i="7"/>
  <c r="Q436" i="7"/>
  <c r="R436" i="7"/>
  <c r="S436" i="7"/>
  <c r="B364" i="7"/>
  <c r="Q364" i="7"/>
  <c r="R364" i="7"/>
  <c r="S364" i="7"/>
  <c r="B363" i="7"/>
  <c r="Q363" i="7"/>
  <c r="R363" i="7"/>
  <c r="S363" i="7"/>
  <c r="B361" i="7"/>
  <c r="Q361" i="7"/>
  <c r="R361" i="7"/>
  <c r="S361" i="7"/>
  <c r="B362" i="7"/>
  <c r="Q362" i="7"/>
  <c r="R362" i="7"/>
  <c r="S362" i="7"/>
  <c r="B365" i="7"/>
  <c r="Q365" i="7"/>
  <c r="R365" i="7"/>
  <c r="S365" i="7"/>
  <c r="B366" i="7"/>
  <c r="Q366" i="7"/>
  <c r="R366" i="7"/>
  <c r="S366" i="7"/>
  <c r="B360" i="7"/>
  <c r="Q360" i="7"/>
  <c r="R360" i="7"/>
  <c r="S360" i="7"/>
  <c r="B367" i="7"/>
  <c r="Q367" i="7"/>
  <c r="R367" i="7"/>
  <c r="S367" i="7"/>
  <c r="B1259" i="7"/>
  <c r="Q1259" i="7"/>
  <c r="R1259" i="7"/>
  <c r="S1259" i="7"/>
  <c r="B51" i="7"/>
  <c r="Q51" i="7"/>
  <c r="R51" i="7"/>
  <c r="S51" i="7"/>
  <c r="B54" i="7"/>
  <c r="Q54" i="7"/>
  <c r="R54" i="7"/>
  <c r="S54" i="7"/>
  <c r="B53" i="7"/>
  <c r="Q53" i="7"/>
  <c r="R53" i="7"/>
  <c r="S53" i="7"/>
  <c r="B52" i="7"/>
  <c r="Q52" i="7"/>
  <c r="R52" i="7"/>
  <c r="S52" i="7"/>
  <c r="B170" i="7"/>
  <c r="Q170" i="7"/>
  <c r="R170" i="7"/>
  <c r="S170" i="7"/>
  <c r="B169" i="7"/>
  <c r="Q169" i="7"/>
  <c r="R169" i="7"/>
  <c r="S169" i="7"/>
  <c r="I31" i="5"/>
  <c r="B378" i="7"/>
  <c r="Q378" i="7"/>
  <c r="R378" i="7"/>
  <c r="S378" i="7"/>
  <c r="B380" i="7"/>
  <c r="Q380" i="7"/>
  <c r="R380" i="7"/>
  <c r="S380" i="7"/>
  <c r="B376" i="7"/>
  <c r="Q376" i="7"/>
  <c r="R376" i="7"/>
  <c r="S376" i="7"/>
  <c r="B375" i="7"/>
  <c r="Q375" i="7"/>
  <c r="R375" i="7"/>
  <c r="S375" i="7"/>
  <c r="B379" i="7"/>
  <c r="Q379" i="7"/>
  <c r="R379" i="7"/>
  <c r="S379" i="7"/>
  <c r="B377" i="7"/>
  <c r="Q377" i="7"/>
  <c r="R377" i="7"/>
  <c r="S377" i="7"/>
  <c r="I30" i="5"/>
  <c r="I33" i="5"/>
  <c r="Q1258" i="7"/>
  <c r="R1258" i="7"/>
  <c r="S1258" i="7"/>
  <c r="B30" i="7"/>
  <c r="Q30" i="7"/>
  <c r="R30" i="7"/>
  <c r="S30" i="7"/>
  <c r="B212" i="7"/>
  <c r="Q212" i="7"/>
  <c r="R212" i="7"/>
  <c r="S212" i="7"/>
  <c r="B211" i="7"/>
  <c r="Q211" i="7"/>
  <c r="R211" i="7"/>
  <c r="S211" i="7"/>
  <c r="B210" i="7"/>
  <c r="Q210" i="7"/>
  <c r="R210" i="7"/>
  <c r="S210" i="7"/>
  <c r="B29" i="7"/>
  <c r="Q29" i="7"/>
  <c r="R29" i="7"/>
  <c r="S29" i="7"/>
  <c r="B28" i="7"/>
  <c r="Q28" i="7"/>
  <c r="R28" i="7"/>
  <c r="S28" i="7"/>
  <c r="I28" i="5"/>
  <c r="B16" i="9"/>
  <c r="B17" i="9"/>
  <c r="B18" i="9"/>
  <c r="B19" i="9"/>
  <c r="B20" i="9"/>
  <c r="Q1226" i="7"/>
  <c r="R1226" i="7"/>
  <c r="S1226" i="7"/>
  <c r="B1226" i="7"/>
  <c r="Q587" i="7"/>
  <c r="R587" i="7"/>
  <c r="S587" i="7"/>
  <c r="B587" i="7"/>
  <c r="Q163" i="7"/>
  <c r="R163" i="7"/>
  <c r="S163" i="7"/>
  <c r="B163" i="7"/>
  <c r="Q580" i="7"/>
  <c r="R580" i="7"/>
  <c r="S580" i="7"/>
  <c r="B580" i="7"/>
  <c r="Q121" i="7"/>
  <c r="R121" i="7"/>
  <c r="S121" i="7"/>
  <c r="B121" i="7"/>
  <c r="Q120" i="7"/>
  <c r="R120" i="7"/>
  <c r="S120" i="7"/>
  <c r="B120" i="7"/>
  <c r="Q118" i="7"/>
  <c r="R118" i="7"/>
  <c r="S118" i="7"/>
  <c r="B118" i="7"/>
  <c r="Q556" i="7"/>
  <c r="R556" i="7"/>
  <c r="S556" i="7"/>
  <c r="B556" i="7"/>
  <c r="Q557" i="7"/>
  <c r="R557" i="7"/>
  <c r="S557" i="7"/>
  <c r="B557" i="7"/>
  <c r="Q553" i="7"/>
  <c r="R553" i="7"/>
  <c r="S553" i="7"/>
  <c r="B553" i="7"/>
  <c r="Q550" i="7"/>
  <c r="R550" i="7"/>
  <c r="S550" i="7"/>
  <c r="B550" i="7"/>
  <c r="Q527" i="7"/>
  <c r="R527" i="7"/>
  <c r="S527" i="7"/>
  <c r="B527" i="7"/>
  <c r="Q683" i="7"/>
  <c r="R683" i="7"/>
  <c r="S683" i="7"/>
  <c r="B683" i="7"/>
  <c r="Q684" i="7"/>
  <c r="R684" i="7"/>
  <c r="S684" i="7"/>
  <c r="B684" i="7"/>
  <c r="Q675" i="7"/>
  <c r="R675" i="7"/>
  <c r="S675" i="7"/>
  <c r="B675" i="7"/>
  <c r="Q677" i="7"/>
  <c r="R677" i="7"/>
  <c r="S677" i="7"/>
  <c r="B677" i="7"/>
  <c r="B5" i="9"/>
  <c r="B6" i="9"/>
  <c r="B7" i="9"/>
  <c r="B8" i="9"/>
  <c r="B9" i="9"/>
  <c r="B10" i="9"/>
  <c r="B11" i="9"/>
  <c r="B12" i="9"/>
  <c r="B13" i="9"/>
  <c r="B14" i="9"/>
  <c r="B15" i="9"/>
  <c r="B2" i="7"/>
  <c r="Q2" i="7"/>
  <c r="R2" i="7"/>
  <c r="S2" i="7"/>
  <c r="B369" i="7"/>
  <c r="Q369" i="7"/>
  <c r="R369" i="7"/>
  <c r="S369" i="7"/>
  <c r="B270" i="7"/>
  <c r="Q270" i="7"/>
  <c r="R270" i="7"/>
  <c r="S270" i="7"/>
  <c r="B278" i="7"/>
  <c r="Q278" i="7"/>
  <c r="R278" i="7"/>
  <c r="S278" i="7"/>
  <c r="B277" i="7"/>
  <c r="Q277" i="7"/>
  <c r="R277" i="7"/>
  <c r="S277" i="7"/>
  <c r="B447" i="7"/>
  <c r="Q447" i="7"/>
  <c r="R447" i="7"/>
  <c r="S447" i="7"/>
  <c r="B452" i="7"/>
  <c r="Q452" i="7"/>
  <c r="R452" i="7"/>
  <c r="S452" i="7"/>
  <c r="B612" i="7"/>
  <c r="Q612" i="7"/>
  <c r="R612" i="7"/>
  <c r="S612" i="7"/>
  <c r="B615" i="7"/>
  <c r="Q615" i="7"/>
  <c r="R615" i="7"/>
  <c r="S615" i="7"/>
  <c r="B611" i="7"/>
  <c r="Q611" i="7"/>
  <c r="R611" i="7"/>
  <c r="S611" i="7"/>
  <c r="B608" i="7"/>
  <c r="Q608" i="7"/>
  <c r="R608" i="7"/>
  <c r="S608" i="7"/>
  <c r="B607" i="7"/>
  <c r="Q607" i="7"/>
  <c r="R607" i="7"/>
  <c r="S607" i="7"/>
  <c r="B617" i="7"/>
  <c r="Q617" i="7"/>
  <c r="R617" i="7"/>
  <c r="S617" i="7"/>
  <c r="B616" i="7"/>
  <c r="Q616" i="7"/>
  <c r="R616" i="7"/>
  <c r="S616" i="7"/>
  <c r="B618" i="7"/>
  <c r="Q618" i="7"/>
  <c r="R618" i="7"/>
  <c r="S618" i="7"/>
  <c r="B626" i="7"/>
  <c r="Q626" i="7"/>
  <c r="R626" i="7"/>
  <c r="S626" i="7"/>
  <c r="B665" i="7"/>
  <c r="Q665" i="7"/>
  <c r="R665" i="7"/>
  <c r="S665" i="7"/>
  <c r="B664" i="7"/>
  <c r="Q664" i="7"/>
  <c r="R664" i="7"/>
  <c r="S664" i="7"/>
  <c r="B654" i="7"/>
  <c r="Q654" i="7"/>
  <c r="R654" i="7"/>
  <c r="S654" i="7"/>
  <c r="B629" i="7"/>
  <c r="Q629" i="7"/>
  <c r="R629" i="7"/>
  <c r="S629" i="7"/>
  <c r="B656" i="7"/>
  <c r="Q656" i="7"/>
  <c r="R656" i="7"/>
  <c r="S656" i="7"/>
  <c r="B632" i="7"/>
  <c r="Q632" i="7"/>
  <c r="R632" i="7"/>
  <c r="S632" i="7"/>
  <c r="B685" i="7"/>
  <c r="Q685" i="7"/>
  <c r="R685" i="7"/>
  <c r="S685" i="7"/>
  <c r="B825" i="7"/>
  <c r="Q825" i="7"/>
  <c r="R825" i="7"/>
  <c r="S825" i="7"/>
  <c r="B960" i="7"/>
  <c r="Q960" i="7"/>
  <c r="R960" i="7"/>
  <c r="S960" i="7"/>
  <c r="B950" i="7"/>
  <c r="Q950" i="7"/>
  <c r="R950" i="7"/>
  <c r="S950" i="7"/>
  <c r="B949" i="7"/>
  <c r="Q949" i="7"/>
  <c r="R949" i="7"/>
  <c r="S949" i="7"/>
  <c r="B978" i="7"/>
  <c r="Q978" i="7"/>
  <c r="R978" i="7"/>
  <c r="S978" i="7"/>
  <c r="B979" i="7"/>
  <c r="Q979" i="7"/>
  <c r="R979" i="7"/>
  <c r="S979" i="7"/>
  <c r="B986" i="7"/>
  <c r="Q986" i="7"/>
  <c r="R986" i="7"/>
  <c r="S986" i="7"/>
  <c r="B984" i="7"/>
  <c r="Q984" i="7"/>
  <c r="R984" i="7"/>
  <c r="S984" i="7"/>
  <c r="B1090" i="7"/>
  <c r="Q1090" i="7"/>
  <c r="R1090" i="7"/>
  <c r="S1090" i="7"/>
  <c r="B1137" i="7"/>
  <c r="Q1137" i="7"/>
  <c r="R1137" i="7"/>
  <c r="S1137" i="7"/>
  <c r="B1102" i="7"/>
  <c r="Q1102" i="7"/>
  <c r="R1102" i="7"/>
  <c r="S1102" i="7"/>
  <c r="B1106" i="7"/>
  <c r="Q1106" i="7"/>
  <c r="R1106" i="7"/>
  <c r="S1106" i="7"/>
  <c r="B1104" i="7"/>
  <c r="Q1104" i="7"/>
  <c r="R1104" i="7"/>
  <c r="S1104" i="7"/>
  <c r="B1175" i="7"/>
  <c r="Q1175" i="7"/>
  <c r="R1175" i="7"/>
  <c r="S1175" i="7"/>
  <c r="B1178" i="7"/>
  <c r="Q1178" i="7"/>
  <c r="R1178" i="7"/>
  <c r="S1178" i="7"/>
  <c r="B1170" i="7"/>
  <c r="Q1170" i="7"/>
  <c r="R1170" i="7"/>
  <c r="S1170" i="7"/>
  <c r="B1169" i="7"/>
  <c r="Q1169" i="7"/>
  <c r="R1169" i="7"/>
  <c r="S1169" i="7"/>
  <c r="B1180" i="7"/>
  <c r="Q1180" i="7"/>
  <c r="R1180" i="7"/>
  <c r="S1180" i="7"/>
  <c r="B1181" i="7"/>
  <c r="Q1181" i="7"/>
  <c r="R1181" i="7"/>
  <c r="S1181" i="7"/>
  <c r="B1179" i="7"/>
  <c r="Q1179" i="7"/>
  <c r="R1179" i="7"/>
  <c r="S1179" i="7"/>
  <c r="B1184" i="7"/>
  <c r="Q1184" i="7"/>
  <c r="R1184" i="7"/>
  <c r="S1184" i="7"/>
  <c r="B1182" i="7"/>
  <c r="Q1182" i="7"/>
  <c r="R1182" i="7"/>
  <c r="S1182" i="7"/>
  <c r="B1183" i="7"/>
  <c r="Q1183" i="7"/>
  <c r="R1183" i="7"/>
  <c r="S1183" i="7"/>
  <c r="B1186" i="7"/>
  <c r="Q1186" i="7"/>
  <c r="R1186" i="7"/>
  <c r="S1186" i="7"/>
  <c r="B1185" i="7"/>
  <c r="Q1185" i="7"/>
  <c r="R1185" i="7"/>
  <c r="S1185" i="7"/>
  <c r="B1216" i="7"/>
  <c r="Q1216" i="7"/>
  <c r="R1216" i="7"/>
  <c r="S1216" i="7"/>
  <c r="B1215" i="7"/>
  <c r="Q1215" i="7"/>
  <c r="R1215" i="7"/>
  <c r="S1215" i="7"/>
  <c r="B1204" i="7"/>
  <c r="Q1204" i="7"/>
  <c r="R1204" i="7"/>
  <c r="S1204" i="7"/>
  <c r="B1203" i="7"/>
  <c r="Q1203" i="7"/>
  <c r="R1203" i="7"/>
  <c r="S1203" i="7"/>
  <c r="B1198" i="7"/>
  <c r="Q1198" i="7"/>
  <c r="R1198" i="7"/>
  <c r="S1198" i="7"/>
  <c r="B1188" i="7"/>
  <c r="Q1188" i="7"/>
  <c r="R1188" i="7"/>
  <c r="S1188" i="7"/>
  <c r="B1187" i="7"/>
  <c r="Q1187" i="7"/>
  <c r="R1187" i="7"/>
  <c r="S1187" i="7"/>
  <c r="B1190" i="7"/>
  <c r="Q1190" i="7"/>
  <c r="R1190" i="7"/>
  <c r="S1190" i="7"/>
  <c r="B1191" i="7"/>
  <c r="Q1191" i="7"/>
  <c r="R1191" i="7"/>
  <c r="S1191" i="7"/>
  <c r="B1192" i="7"/>
  <c r="Q1192" i="7"/>
  <c r="R1192" i="7"/>
  <c r="S1192" i="7"/>
  <c r="B1202" i="7"/>
  <c r="Q1202" i="7"/>
  <c r="R1202" i="7"/>
  <c r="S1202" i="7"/>
  <c r="B1194" i="7"/>
  <c r="Q1194" i="7"/>
  <c r="R1194" i="7"/>
  <c r="S1194" i="7"/>
  <c r="B1197" i="7"/>
  <c r="Q1197" i="7"/>
  <c r="R1197" i="7"/>
  <c r="S1197" i="7"/>
  <c r="B1195" i="7"/>
  <c r="Q1195" i="7"/>
  <c r="R1195" i="7"/>
  <c r="S1195" i="7"/>
  <c r="B1196" i="7"/>
  <c r="Q1196" i="7"/>
  <c r="R1196" i="7"/>
  <c r="S1196" i="7"/>
  <c r="B1193" i="7"/>
  <c r="Q1193" i="7"/>
  <c r="R1193" i="7"/>
  <c r="S1193" i="7"/>
  <c r="B1189" i="7"/>
  <c r="Q1189" i="7"/>
  <c r="R1189" i="7"/>
  <c r="S1189" i="7"/>
  <c r="B1217" i="7"/>
  <c r="Q1217" i="7"/>
  <c r="R1217" i="7"/>
  <c r="S1217" i="7"/>
  <c r="B1211" i="7"/>
  <c r="Q1211" i="7"/>
  <c r="R1211" i="7"/>
  <c r="S1211" i="7"/>
  <c r="B1210" i="7"/>
  <c r="Q1210" i="7"/>
  <c r="R1210" i="7"/>
  <c r="S1210" i="7"/>
  <c r="B1214" i="7"/>
  <c r="Q1214" i="7"/>
  <c r="R1214" i="7"/>
  <c r="S1214" i="7"/>
  <c r="B1201" i="7"/>
  <c r="Q1201" i="7"/>
  <c r="R1201" i="7"/>
  <c r="S1201" i="7"/>
  <c r="B1206" i="7"/>
  <c r="Q1206" i="7"/>
  <c r="R1206" i="7"/>
  <c r="S1206" i="7"/>
  <c r="B1205" i="7"/>
  <c r="Q1205" i="7"/>
  <c r="R1205" i="7"/>
  <c r="S1205" i="7"/>
  <c r="B1213" i="7"/>
  <c r="Q1213" i="7"/>
  <c r="R1213" i="7"/>
  <c r="S1213" i="7"/>
  <c r="B1212" i="7"/>
  <c r="Q1212" i="7"/>
  <c r="R1212" i="7"/>
  <c r="S1212" i="7"/>
  <c r="B1209" i="7"/>
  <c r="Q1209" i="7"/>
  <c r="R1209" i="7"/>
  <c r="S1209" i="7"/>
  <c r="B1208" i="7"/>
  <c r="Q1208" i="7"/>
  <c r="R1208" i="7"/>
  <c r="S1208" i="7"/>
  <c r="B1207" i="7"/>
  <c r="Q1207" i="7"/>
  <c r="R1207" i="7"/>
  <c r="S1207" i="7"/>
  <c r="B1220" i="7"/>
  <c r="Q1220" i="7"/>
  <c r="R1220" i="7"/>
  <c r="S1220" i="7"/>
  <c r="B603" i="7"/>
  <c r="Q603" i="7"/>
  <c r="R603" i="7"/>
  <c r="S603" i="7"/>
  <c r="B1105" i="7"/>
  <c r="Q1105" i="7"/>
  <c r="R1105" i="7"/>
  <c r="S1105" i="7"/>
  <c r="B627" i="7"/>
  <c r="Q627" i="7"/>
  <c r="R627" i="7"/>
  <c r="S627" i="7"/>
  <c r="B1200" i="7"/>
  <c r="Q1200" i="7"/>
  <c r="R1200" i="7"/>
  <c r="S1200" i="7"/>
  <c r="B274" i="7"/>
  <c r="Q274" i="7"/>
  <c r="R274" i="7"/>
  <c r="S274" i="7"/>
  <c r="B1224" i="7"/>
  <c r="Q1224" i="7"/>
  <c r="R1224" i="7"/>
  <c r="S1224" i="7"/>
  <c r="B1218" i="7"/>
  <c r="Q1218" i="7"/>
  <c r="R1218" i="7"/>
  <c r="S1218" i="7"/>
  <c r="B620" i="7"/>
  <c r="Q620" i="7"/>
  <c r="R620" i="7"/>
  <c r="S620" i="7"/>
  <c r="B988" i="7"/>
  <c r="Q988" i="7"/>
  <c r="R988" i="7"/>
  <c r="S988" i="7"/>
  <c r="B526" i="7"/>
  <c r="Q526" i="7"/>
  <c r="R526" i="7"/>
  <c r="S526" i="7"/>
  <c r="B657" i="7"/>
  <c r="Q657" i="7"/>
  <c r="R657" i="7"/>
  <c r="S657" i="7"/>
  <c r="B800" i="7"/>
  <c r="Q800" i="7"/>
  <c r="R800" i="7"/>
  <c r="S800" i="7"/>
  <c r="B630" i="7"/>
  <c r="Q630" i="7"/>
  <c r="R630" i="7"/>
  <c r="S630" i="7"/>
  <c r="B451" i="7"/>
  <c r="Q451" i="7"/>
  <c r="R451" i="7"/>
  <c r="S451" i="7"/>
  <c r="B577" i="7"/>
  <c r="Q577" i="7"/>
  <c r="R577" i="7"/>
  <c r="S577" i="7"/>
  <c r="B613" i="7"/>
  <c r="Q613" i="7"/>
  <c r="R613" i="7"/>
  <c r="S613" i="7"/>
  <c r="B747" i="7"/>
  <c r="Q747" i="7"/>
  <c r="R747" i="7"/>
  <c r="S747" i="7"/>
  <c r="B1173" i="7"/>
  <c r="Q1173" i="7"/>
  <c r="R1173" i="7"/>
  <c r="S1173" i="7"/>
  <c r="B982" i="7"/>
  <c r="Q982" i="7"/>
  <c r="R982" i="7"/>
  <c r="S982" i="7"/>
  <c r="B600" i="7"/>
  <c r="Q600" i="7"/>
  <c r="R600" i="7"/>
  <c r="S600" i="7"/>
  <c r="B1154" i="7"/>
  <c r="Q1154" i="7"/>
  <c r="R1154" i="7"/>
  <c r="S1154" i="7"/>
  <c r="B792" i="7"/>
  <c r="Q792" i="7"/>
  <c r="R792" i="7"/>
  <c r="S792" i="7"/>
  <c r="B793" i="7"/>
  <c r="Q793" i="7"/>
  <c r="R793" i="7"/>
  <c r="S793" i="7"/>
  <c r="B1091" i="7"/>
  <c r="Q1091" i="7"/>
  <c r="R1091" i="7"/>
  <c r="S1091" i="7"/>
  <c r="B1165" i="7"/>
  <c r="Q1165" i="7"/>
  <c r="R1165" i="7"/>
  <c r="S1165" i="7"/>
  <c r="B71" i="7"/>
  <c r="Q71" i="7"/>
  <c r="R71" i="7"/>
  <c r="S71" i="7"/>
  <c r="B491" i="7"/>
  <c r="Q491" i="7"/>
  <c r="R491" i="7"/>
  <c r="S491" i="7"/>
  <c r="B609" i="7"/>
  <c r="Q609" i="7"/>
  <c r="R609" i="7"/>
  <c r="S609" i="7"/>
  <c r="B954" i="7"/>
  <c r="Q954" i="7"/>
  <c r="R954" i="7"/>
  <c r="S954" i="7"/>
  <c r="B963" i="7"/>
  <c r="Q963" i="7"/>
  <c r="R963" i="7"/>
  <c r="S963" i="7"/>
  <c r="B744" i="7"/>
  <c r="Q744" i="7"/>
  <c r="R744" i="7"/>
  <c r="S744" i="7"/>
  <c r="B746" i="7"/>
  <c r="Q746" i="7"/>
  <c r="R746" i="7"/>
  <c r="S746" i="7"/>
  <c r="B583" i="7"/>
  <c r="Q583" i="7"/>
  <c r="R583" i="7"/>
  <c r="S583" i="7"/>
  <c r="B582" i="7"/>
  <c r="Q582" i="7"/>
  <c r="R582" i="7"/>
  <c r="S582" i="7"/>
  <c r="B595" i="7"/>
  <c r="Q595" i="7"/>
  <c r="R595" i="7"/>
  <c r="S595" i="7"/>
  <c r="B635" i="7"/>
  <c r="Q635" i="7"/>
  <c r="R635" i="7"/>
  <c r="S635" i="7"/>
  <c r="B655" i="7"/>
  <c r="Q655" i="7"/>
  <c r="R655" i="7"/>
  <c r="S655" i="7"/>
  <c r="B920" i="7"/>
  <c r="Q920" i="7"/>
  <c r="R920" i="7"/>
  <c r="S920" i="7"/>
  <c r="B1138" i="7"/>
  <c r="Q1138" i="7"/>
  <c r="R1138" i="7"/>
  <c r="S1138" i="7"/>
  <c r="B822" i="7"/>
  <c r="Q822" i="7"/>
  <c r="R822" i="7"/>
  <c r="S822" i="7"/>
  <c r="B823" i="7"/>
  <c r="Q823" i="7"/>
  <c r="R823" i="7"/>
  <c r="S823" i="7"/>
  <c r="B494" i="7"/>
  <c r="Q494" i="7"/>
  <c r="R494" i="7"/>
  <c r="S494" i="7"/>
  <c r="B224" i="7"/>
  <c r="Q224" i="7"/>
  <c r="R224" i="7"/>
  <c r="S224" i="7"/>
  <c r="B273" i="7"/>
  <c r="Q273" i="7"/>
  <c r="R273" i="7"/>
  <c r="S273" i="7"/>
  <c r="B493" i="7"/>
  <c r="Q493" i="7"/>
  <c r="R493" i="7"/>
  <c r="S493" i="7"/>
  <c r="B1048" i="7"/>
  <c r="Q1048" i="7"/>
  <c r="R1048" i="7"/>
  <c r="S1048" i="7"/>
  <c r="B271" i="7"/>
  <c r="Q271" i="7"/>
  <c r="R271" i="7"/>
  <c r="S271" i="7"/>
  <c r="B1002" i="7"/>
  <c r="Q1002" i="7"/>
  <c r="R1002" i="7"/>
  <c r="S1002" i="7"/>
  <c r="B1045" i="7"/>
  <c r="Q1045" i="7"/>
  <c r="R1045" i="7"/>
  <c r="S1045" i="7"/>
  <c r="B448" i="7"/>
  <c r="Q448" i="7"/>
  <c r="R448" i="7"/>
  <c r="S448" i="7"/>
  <c r="B961" i="7"/>
  <c r="Q961" i="7"/>
  <c r="R961" i="7"/>
  <c r="S961" i="7"/>
  <c r="B962" i="7"/>
  <c r="Q962" i="7"/>
  <c r="R962" i="7"/>
  <c r="S962" i="7"/>
  <c r="B152" i="7"/>
  <c r="Q152" i="7"/>
  <c r="R152" i="7"/>
  <c r="S152" i="7"/>
  <c r="B517" i="7"/>
  <c r="Q517" i="7"/>
  <c r="R517" i="7"/>
  <c r="S517" i="7"/>
  <c r="B781" i="7"/>
  <c r="Q781" i="7"/>
  <c r="R781" i="7"/>
  <c r="S781" i="7"/>
  <c r="B197" i="7"/>
  <c r="Q197" i="7"/>
  <c r="R197" i="7"/>
  <c r="S197" i="7"/>
  <c r="B691" i="7"/>
  <c r="Q691" i="7"/>
  <c r="R691" i="7"/>
  <c r="S691" i="7"/>
  <c r="B985" i="7"/>
  <c r="Q985" i="7"/>
  <c r="R985" i="7"/>
  <c r="S985" i="7"/>
  <c r="B933" i="7"/>
  <c r="Q933" i="7"/>
  <c r="R933" i="7"/>
  <c r="S933" i="7"/>
  <c r="B151" i="7"/>
  <c r="Q151" i="7"/>
  <c r="R151" i="7"/>
  <c r="S151" i="7"/>
  <c r="B763" i="7"/>
  <c r="Q763" i="7"/>
  <c r="R763" i="7"/>
  <c r="S763" i="7"/>
  <c r="B370" i="7"/>
  <c r="Q370" i="7"/>
  <c r="R370" i="7"/>
  <c r="S370" i="7"/>
  <c r="B1047" i="7"/>
  <c r="Q1047" i="7"/>
  <c r="R1047" i="7"/>
  <c r="S1047" i="7"/>
  <c r="I24" i="5"/>
  <c r="I25" i="5"/>
  <c r="I26" i="5"/>
  <c r="I27" i="5"/>
  <c r="S1241" i="7"/>
  <c r="S957" i="7"/>
  <c r="S1031" i="7"/>
  <c r="S279" i="7"/>
  <c r="S3" i="7"/>
  <c r="S280" i="7"/>
  <c r="S1225" i="7"/>
  <c r="S4" i="7"/>
  <c r="S666" i="7"/>
  <c r="S667" i="7"/>
  <c r="S668" i="7"/>
  <c r="S669" i="7"/>
  <c r="S670" i="7"/>
  <c r="S671" i="7"/>
  <c r="S672" i="7"/>
  <c r="S673" i="7"/>
  <c r="S674" i="7"/>
  <c r="S676" i="7"/>
  <c r="S678" i="7"/>
  <c r="S990" i="7"/>
  <c r="S991" i="7"/>
  <c r="S457" i="7"/>
  <c r="S7" i="7"/>
  <c r="S9" i="7"/>
  <c r="S8" i="7"/>
  <c r="S10" i="7"/>
  <c r="S11" i="7"/>
  <c r="S5" i="7"/>
  <c r="S6" i="7"/>
  <c r="S1227" i="7"/>
  <c r="S1228" i="7"/>
  <c r="S628" i="7"/>
  <c r="S458" i="7"/>
  <c r="S287" i="7"/>
  <c r="S288" i="7"/>
  <c r="S1219" i="7"/>
  <c r="S837" i="7"/>
  <c r="S838" i="7"/>
  <c r="S992" i="7"/>
  <c r="S993" i="7"/>
  <c r="S994" i="7"/>
  <c r="S995" i="7"/>
  <c r="S839" i="7"/>
  <c r="S840" i="7"/>
  <c r="S996" i="7"/>
  <c r="S619" i="7"/>
  <c r="S631" i="7"/>
  <c r="S980" i="7"/>
  <c r="S596" i="7"/>
  <c r="S459" i="7"/>
  <c r="S997" i="7"/>
  <c r="S998" i="7"/>
  <c r="S460" i="7"/>
  <c r="S461" i="7"/>
  <c r="S1229" i="7"/>
  <c r="S841" i="7"/>
  <c r="S597" i="7"/>
  <c r="S951" i="7"/>
  <c r="S952" i="7"/>
  <c r="S842" i="7"/>
  <c r="S12" i="7"/>
  <c r="S13" i="7"/>
  <c r="S23" i="7"/>
  <c r="S1230" i="7"/>
  <c r="S528" i="7"/>
  <c r="S679" i="7"/>
  <c r="S529" i="7"/>
  <c r="S530" i="7"/>
  <c r="S531" i="7"/>
  <c r="S532" i="7"/>
  <c r="S536" i="7"/>
  <c r="S533" i="7"/>
  <c r="S680" i="7"/>
  <c r="S534" i="7"/>
  <c r="S535" i="7"/>
  <c r="S537" i="7"/>
  <c r="S462" i="7"/>
  <c r="S290" i="7"/>
  <c r="S291" i="7"/>
  <c r="S14" i="7"/>
  <c r="S15" i="7"/>
  <c r="S16" i="7"/>
  <c r="S17" i="7"/>
  <c r="S1231" i="7"/>
  <c r="S18" i="7"/>
  <c r="S681" i="7"/>
  <c r="S1232" i="7"/>
  <c r="S19" i="7"/>
  <c r="S20" i="7"/>
  <c r="S538" i="7"/>
  <c r="S539" i="7"/>
  <c r="S540" i="7"/>
  <c r="S21" i="7"/>
  <c r="S22" i="7"/>
  <c r="S24" i="7"/>
  <c r="S541" i="7"/>
  <c r="S542" i="7"/>
  <c r="S543" i="7"/>
  <c r="S544" i="7"/>
  <c r="S545" i="7"/>
  <c r="S546" i="7"/>
  <c r="S547" i="7"/>
  <c r="S25" i="7"/>
  <c r="S26" i="7"/>
  <c r="S27" i="7"/>
  <c r="S292" i="7"/>
  <c r="S31" i="7"/>
  <c r="S843" i="7"/>
  <c r="S32" i="7"/>
  <c r="S33" i="7"/>
  <c r="S999" i="7"/>
  <c r="S1000" i="7"/>
  <c r="S34" i="7"/>
  <c r="S38" i="7"/>
  <c r="S35" i="7"/>
  <c r="S36" i="7"/>
  <c r="S37" i="7"/>
  <c r="S39" i="7"/>
  <c r="S40" i="7"/>
  <c r="S41" i="7"/>
  <c r="S42" i="7"/>
  <c r="S43" i="7"/>
  <c r="S44" i="7"/>
  <c r="S45" i="7"/>
  <c r="S1233" i="7"/>
  <c r="S48" i="7"/>
  <c r="S682" i="7"/>
  <c r="S844" i="7"/>
  <c r="S1234" i="7"/>
  <c r="S1235" i="7"/>
  <c r="S1236" i="7"/>
  <c r="S1237" i="7"/>
  <c r="S1238" i="7"/>
  <c r="S953" i="7"/>
  <c r="S548" i="7"/>
  <c r="S549" i="7"/>
  <c r="S551" i="7"/>
  <c r="S552" i="7"/>
  <c r="S554" i="7"/>
  <c r="S555" i="7"/>
  <c r="S57" i="7"/>
  <c r="S58" i="7"/>
  <c r="S59" i="7"/>
  <c r="S1001" i="7"/>
  <c r="S621" i="7"/>
  <c r="S622" i="7"/>
  <c r="S598" i="7"/>
  <c r="S1103" i="7"/>
  <c r="S981" i="7"/>
  <c r="S463" i="7"/>
  <c r="S295" i="7"/>
  <c r="S300" i="7"/>
  <c r="S302" i="7"/>
  <c r="S296" i="7"/>
  <c r="S297" i="7"/>
  <c r="S298" i="7"/>
  <c r="S301" i="7"/>
  <c r="S303" i="7"/>
  <c r="S64" i="7"/>
  <c r="S558" i="7"/>
  <c r="S305" i="7"/>
  <c r="S623" i="7"/>
  <c r="S624" i="7"/>
  <c r="S67" i="7"/>
  <c r="S845" i="7"/>
  <c r="S846" i="7"/>
  <c r="S774" i="7"/>
  <c r="S775" i="7"/>
  <c r="S776" i="7"/>
  <c r="S777" i="7"/>
  <c r="S778" i="7"/>
  <c r="S68" i="7"/>
  <c r="S69" i="7"/>
  <c r="S1239" i="7"/>
  <c r="S70" i="7"/>
  <c r="S779" i="7"/>
  <c r="S1107" i="7"/>
  <c r="S1108" i="7"/>
  <c r="S1125" i="7"/>
  <c r="S1109" i="7"/>
  <c r="S1110" i="7"/>
  <c r="S1111" i="7"/>
  <c r="S1112" i="7"/>
  <c r="S1113" i="7"/>
  <c r="S1114" i="7"/>
  <c r="S1115" i="7"/>
  <c r="S1116" i="7"/>
  <c r="S1117" i="7"/>
  <c r="S1118" i="7"/>
  <c r="S1120" i="7"/>
  <c r="S1119" i="7"/>
  <c r="S1121" i="7"/>
  <c r="S1122" i="7"/>
  <c r="S1123" i="7"/>
  <c r="S1124" i="7"/>
  <c r="S1126" i="7"/>
  <c r="S1127" i="7"/>
  <c r="S1128" i="7"/>
  <c r="S1129" i="7"/>
  <c r="S1130" i="7"/>
  <c r="S1131" i="7"/>
  <c r="S1132" i="7"/>
  <c r="S1133" i="7"/>
  <c r="S1134" i="7"/>
  <c r="S1135" i="7"/>
  <c r="S780" i="7"/>
  <c r="S847" i="7"/>
  <c r="S221" i="7"/>
  <c r="S1240" i="7"/>
  <c r="S1199" i="7"/>
  <c r="S1136" i="7"/>
  <c r="S308" i="7"/>
  <c r="S599" i="7"/>
  <c r="S72" i="7"/>
  <c r="S1003" i="7"/>
  <c r="S559" i="7"/>
  <c r="S464" i="7"/>
  <c r="S272" i="7"/>
  <c r="S1004" i="7"/>
  <c r="S1005" i="7"/>
  <c r="S1221" i="7"/>
  <c r="S1222" i="7"/>
  <c r="S1223" i="7"/>
  <c r="S848" i="7"/>
  <c r="S849" i="7"/>
  <c r="S850" i="7"/>
  <c r="S851" i="7"/>
  <c r="S852" i="7"/>
  <c r="S853" i="7"/>
  <c r="S79" i="7"/>
  <c r="S82" i="7"/>
  <c r="S465" i="7"/>
  <c r="S625" i="7"/>
  <c r="S1006" i="7"/>
  <c r="S466" i="7"/>
  <c r="S222" i="7"/>
  <c r="S223" i="7"/>
  <c r="S225" i="7"/>
  <c r="S226" i="7"/>
  <c r="S227" i="7"/>
  <c r="S1242" i="7"/>
  <c r="S87" i="7"/>
  <c r="S88" i="7"/>
  <c r="S89" i="7"/>
  <c r="S319" i="7"/>
  <c r="S686" i="7"/>
  <c r="S854" i="7"/>
  <c r="S90" i="7"/>
  <c r="S855" i="7"/>
  <c r="S856" i="7"/>
  <c r="S857" i="7"/>
  <c r="S687" i="7"/>
  <c r="S688" i="7"/>
  <c r="S1243" i="7"/>
  <c r="S633" i="7"/>
  <c r="S634" i="7"/>
  <c r="S858" i="7"/>
  <c r="S91" i="7"/>
  <c r="S467" i="7"/>
  <c r="S859" i="7"/>
  <c r="S468" i="7"/>
  <c r="S469" i="7"/>
  <c r="S470" i="7"/>
  <c r="S471" i="7"/>
  <c r="S472" i="7"/>
  <c r="S560" i="7"/>
  <c r="S473" i="7"/>
  <c r="S955" i="7"/>
  <c r="S983" i="7"/>
  <c r="S860" i="7"/>
  <c r="S861" i="7"/>
  <c r="S94" i="7"/>
  <c r="S95" i="7"/>
  <c r="S96" i="7"/>
  <c r="S636" i="7"/>
  <c r="S1244" i="7"/>
  <c r="S1245" i="7"/>
  <c r="S474" i="7"/>
  <c r="S862" i="7"/>
  <c r="S689" i="7"/>
  <c r="S1246" i="7"/>
  <c r="S1139" i="7"/>
  <c r="S863" i="7"/>
  <c r="S864" i="7"/>
  <c r="S1161" i="7"/>
  <c r="S1162" i="7"/>
  <c r="S1163" i="7"/>
  <c r="S1164" i="7"/>
  <c r="S1247" i="7"/>
  <c r="S865" i="7"/>
  <c r="S866" i="7"/>
  <c r="S867" i="7"/>
  <c r="S868" i="7"/>
  <c r="S869" i="7"/>
  <c r="S870" i="7"/>
  <c r="S871" i="7"/>
  <c r="S872" i="7"/>
  <c r="S873" i="7"/>
  <c r="S874" i="7"/>
  <c r="S1248" i="7"/>
  <c r="S875" i="7"/>
  <c r="S101" i="7"/>
  <c r="S1249" i="7"/>
  <c r="S876" i="7"/>
  <c r="S475" i="7"/>
  <c r="S561" i="7"/>
  <c r="S877" i="7"/>
  <c r="S476" i="7"/>
  <c r="S477" i="7"/>
  <c r="S878" i="7"/>
  <c r="S478" i="7"/>
  <c r="S524" i="7"/>
  <c r="S1250" i="7"/>
  <c r="S525" i="7"/>
  <c r="S1007" i="7"/>
  <c r="S1251" i="7"/>
  <c r="S1252" i="7"/>
  <c r="S102" i="7"/>
  <c r="S105" i="7"/>
  <c r="S106" i="7"/>
  <c r="S1253" i="7"/>
  <c r="S879" i="7"/>
  <c r="S880" i="7"/>
  <c r="S881" i="7"/>
  <c r="S1254" i="7"/>
  <c r="S228" i="7"/>
  <c r="S690" i="7"/>
  <c r="S107" i="7"/>
  <c r="S108" i="7"/>
  <c r="S109" i="7"/>
  <c r="S110" i="7"/>
  <c r="S111" i="7"/>
  <c r="S112" i="7"/>
  <c r="S229" i="7"/>
  <c r="S230" i="7"/>
  <c r="S231" i="7"/>
  <c r="S232" i="7"/>
  <c r="S233" i="7"/>
  <c r="S234" i="7"/>
  <c r="S235" i="7"/>
  <c r="S236" i="7"/>
  <c r="S237" i="7"/>
  <c r="S238" i="7"/>
  <c r="S239" i="7"/>
  <c r="S240" i="7"/>
  <c r="S241" i="7"/>
  <c r="S242" i="7"/>
  <c r="S243" i="7"/>
  <c r="S244" i="7"/>
  <c r="S246" i="7"/>
  <c r="S245" i="7"/>
  <c r="S247" i="7"/>
  <c r="S113" i="7"/>
  <c r="S114" i="7"/>
  <c r="S115" i="7"/>
  <c r="S116" i="7"/>
  <c r="S117" i="7"/>
  <c r="S119" i="7"/>
  <c r="S479" i="7"/>
  <c r="S562" i="7"/>
  <c r="S1255" i="7"/>
  <c r="S1008" i="7"/>
  <c r="S882" i="7"/>
  <c r="S122" i="7"/>
  <c r="S883" i="7"/>
  <c r="S884" i="7"/>
  <c r="S1140" i="7"/>
  <c r="S1141" i="7"/>
  <c r="S782" i="7"/>
  <c r="S1142" i="7"/>
  <c r="S1143" i="7"/>
  <c r="S783" i="7"/>
  <c r="S784" i="7"/>
  <c r="S1256" i="7"/>
  <c r="S1257" i="7"/>
  <c r="S248" i="7"/>
  <c r="S123" i="7"/>
  <c r="S637" i="7"/>
  <c r="S1144" i="7"/>
  <c r="S1152" i="7"/>
  <c r="S1145" i="7"/>
  <c r="S1146" i="7"/>
  <c r="S1147" i="7"/>
  <c r="S1148" i="7"/>
  <c r="S1149" i="7"/>
  <c r="S1150" i="7"/>
  <c r="S1151" i="7"/>
  <c r="S1153" i="7"/>
  <c r="S124" i="7"/>
  <c r="S1009" i="7"/>
  <c r="S125" i="7"/>
  <c r="S563" i="7"/>
  <c r="S885" i="7"/>
  <c r="S886" i="7"/>
  <c r="S887" i="7"/>
  <c r="S888" i="7"/>
  <c r="S889" i="7"/>
  <c r="S1010" i="7"/>
  <c r="S890" i="7"/>
  <c r="S891" i="7"/>
  <c r="S1260" i="7"/>
  <c r="S785" i="7"/>
  <c r="S786" i="7"/>
  <c r="S1174" i="7"/>
  <c r="S1011" i="7"/>
  <c r="S1012" i="7"/>
  <c r="S787" i="7"/>
  <c r="S892" i="7"/>
  <c r="S801" i="7"/>
  <c r="S802" i="7"/>
  <c r="S803" i="7"/>
  <c r="S1013" i="7"/>
  <c r="S1261" i="7"/>
  <c r="S1014" i="7"/>
  <c r="S1015" i="7"/>
  <c r="S956" i="7"/>
  <c r="S564" i="7"/>
  <c r="S893" i="7"/>
  <c r="S894" i="7"/>
  <c r="S692" i="7"/>
  <c r="S693" i="7"/>
  <c r="S694" i="7"/>
  <c r="S895" i="7"/>
  <c r="S901" i="7"/>
  <c r="S896" i="7"/>
  <c r="S897" i="7"/>
  <c r="S898" i="7"/>
  <c r="S899" i="7"/>
  <c r="S900" i="7"/>
  <c r="S902" i="7"/>
  <c r="S903" i="7"/>
  <c r="S904" i="7"/>
  <c r="S695" i="7"/>
  <c r="S126" i="7"/>
  <c r="S696" i="7"/>
  <c r="S905" i="7"/>
  <c r="S906" i="7"/>
  <c r="S907" i="7"/>
  <c r="S908" i="7"/>
  <c r="S909" i="7"/>
  <c r="S910" i="7"/>
  <c r="S129" i="7"/>
  <c r="S638" i="7"/>
  <c r="S1262" i="7"/>
  <c r="S1263" i="7"/>
  <c r="S1016" i="7"/>
  <c r="S1017" i="7"/>
  <c r="S1018" i="7"/>
  <c r="S639" i="7"/>
  <c r="S640" i="7"/>
  <c r="S641" i="7"/>
  <c r="S642" i="7"/>
  <c r="S911" i="7"/>
  <c r="S912" i="7"/>
  <c r="S338" i="7"/>
  <c r="S643" i="7"/>
  <c r="S697" i="7"/>
  <c r="S804" i="7"/>
  <c r="S1264" i="7"/>
  <c r="S698" i="7"/>
  <c r="S699" i="7"/>
  <c r="S700" i="7"/>
  <c r="S701" i="7"/>
  <c r="S702" i="7"/>
  <c r="S706" i="7"/>
  <c r="S703" i="7"/>
  <c r="S704" i="7"/>
  <c r="S705" i="7"/>
  <c r="S707" i="7"/>
  <c r="S788" i="7"/>
  <c r="S708" i="7"/>
  <c r="S709" i="7"/>
  <c r="S710" i="7"/>
  <c r="S711" i="7"/>
  <c r="S805" i="7"/>
  <c r="S806" i="7"/>
  <c r="S807" i="7"/>
  <c r="S808" i="7"/>
  <c r="S809" i="7"/>
  <c r="S810" i="7"/>
  <c r="S811" i="7"/>
  <c r="S789" i="7"/>
  <c r="S712" i="7"/>
  <c r="S713" i="7"/>
  <c r="S714" i="7"/>
  <c r="S715" i="7"/>
  <c r="S716" i="7"/>
  <c r="S717" i="7"/>
  <c r="S812" i="7"/>
  <c r="S718" i="7"/>
  <c r="S719" i="7"/>
  <c r="S813" i="7"/>
  <c r="S814" i="7"/>
  <c r="S720" i="7"/>
  <c r="S721" i="7"/>
  <c r="S958" i="7"/>
  <c r="S722" i="7"/>
  <c r="S723" i="7"/>
  <c r="S724" i="7"/>
  <c r="S725" i="7"/>
  <c r="S815" i="7"/>
  <c r="S816" i="7"/>
  <c r="S817" i="7"/>
  <c r="S818" i="7"/>
  <c r="S726" i="7"/>
  <c r="S913" i="7"/>
  <c r="S819" i="7"/>
  <c r="S820" i="7"/>
  <c r="S644" i="7"/>
  <c r="S821" i="7"/>
  <c r="S727" i="7"/>
  <c r="S728" i="7"/>
  <c r="S729" i="7"/>
  <c r="S730" i="7"/>
  <c r="S731" i="7"/>
  <c r="S732" i="7"/>
  <c r="S733" i="7"/>
  <c r="S734" i="7"/>
  <c r="S446" i="7"/>
  <c r="S959" i="7"/>
  <c r="S735" i="7"/>
  <c r="S914" i="7"/>
  <c r="S134" i="7"/>
  <c r="S1019" i="7"/>
  <c r="S565" i="7"/>
  <c r="S566" i="7"/>
  <c r="S567" i="7"/>
  <c r="S568" i="7"/>
  <c r="S569" i="7"/>
  <c r="S570" i="7"/>
  <c r="S480" i="7"/>
  <c r="S481" i="7"/>
  <c r="S482" i="7"/>
  <c r="S339" i="7"/>
  <c r="S351" i="7"/>
  <c r="S340" i="7"/>
  <c r="S341" i="7"/>
  <c r="S342" i="7"/>
  <c r="S343" i="7"/>
  <c r="S344" i="7"/>
  <c r="S345" i="7"/>
  <c r="S346" i="7"/>
  <c r="S348" i="7"/>
  <c r="S347" i="7"/>
  <c r="S349" i="7"/>
  <c r="S350" i="7"/>
  <c r="S483" i="7"/>
  <c r="S249" i="7"/>
  <c r="S135" i="7"/>
  <c r="S352" i="7"/>
  <c r="S484" i="7"/>
  <c r="S1020" i="7"/>
  <c r="S1166" i="7"/>
  <c r="S1167" i="7"/>
  <c r="S136" i="7"/>
  <c r="S1021" i="7"/>
  <c r="S790" i="7"/>
  <c r="S1022" i="7"/>
  <c r="S1023" i="7"/>
  <c r="S571" i="7"/>
  <c r="S572" i="7"/>
  <c r="S736" i="7"/>
  <c r="S1024" i="7"/>
  <c r="S1025" i="7"/>
  <c r="S1026" i="7"/>
  <c r="S1027" i="7"/>
  <c r="S1028" i="7"/>
  <c r="S1029" i="7"/>
  <c r="S1030" i="7"/>
  <c r="S1032" i="7"/>
  <c r="S1033" i="7"/>
  <c r="S1034" i="7"/>
  <c r="S645" i="7"/>
  <c r="S646" i="7"/>
  <c r="S647" i="7"/>
  <c r="S915" i="7"/>
  <c r="S916" i="7"/>
  <c r="S737" i="7"/>
  <c r="S738" i="7"/>
  <c r="S485" i="7"/>
  <c r="S486" i="7"/>
  <c r="S353" i="7"/>
  <c r="S573" i="7"/>
  <c r="S354" i="7"/>
  <c r="S355" i="7"/>
  <c r="S487" i="7"/>
  <c r="S1265" i="7"/>
  <c r="S574" i="7"/>
  <c r="S488" i="7"/>
  <c r="S489" i="7"/>
  <c r="S490" i="7"/>
  <c r="S575" i="7"/>
  <c r="S137" i="7"/>
  <c r="S1035" i="7"/>
  <c r="S1036" i="7"/>
  <c r="S1037" i="7"/>
  <c r="S1038" i="7"/>
  <c r="S1039" i="7"/>
  <c r="S1040" i="7"/>
  <c r="S1041" i="7"/>
  <c r="S1042" i="7"/>
  <c r="S1043" i="7"/>
  <c r="S1044" i="7"/>
  <c r="S138" i="7"/>
  <c r="S356" i="7"/>
  <c r="S917" i="7"/>
  <c r="S918" i="7"/>
  <c r="S739" i="7"/>
  <c r="S1266" i="7"/>
  <c r="S1267" i="7"/>
  <c r="S740" i="7"/>
  <c r="S1268" i="7"/>
  <c r="S741" i="7"/>
  <c r="S742" i="7"/>
  <c r="S1269" i="7"/>
  <c r="S1168" i="7"/>
  <c r="S919" i="7"/>
  <c r="S791" i="7"/>
  <c r="S743" i="7"/>
  <c r="S141" i="7"/>
  <c r="S648" i="7"/>
  <c r="S649" i="7"/>
  <c r="S650" i="7"/>
  <c r="S651" i="7"/>
  <c r="S652" i="7"/>
  <c r="S576" i="7"/>
  <c r="S610" i="7"/>
  <c r="S144" i="7"/>
  <c r="S578" i="7"/>
  <c r="S145" i="7"/>
  <c r="S579" i="7"/>
  <c r="S146" i="7"/>
  <c r="S1270" i="7"/>
  <c r="S357" i="7"/>
  <c r="S745" i="7"/>
  <c r="S492" i="7"/>
  <c r="S1046" i="7"/>
  <c r="S653" i="7"/>
  <c r="S581" i="7"/>
  <c r="S147" i="7"/>
  <c r="S148" i="7"/>
  <c r="S601" i="7"/>
  <c r="S602" i="7"/>
  <c r="S368" i="7"/>
  <c r="S1271" i="7"/>
  <c r="S1049" i="7"/>
  <c r="S1176" i="7"/>
  <c r="S1177" i="7"/>
  <c r="S1050" i="7"/>
  <c r="S604" i="7"/>
  <c r="S748" i="7"/>
  <c r="S153" i="7"/>
  <c r="S824" i="7"/>
  <c r="S1272" i="7"/>
  <c r="S154" i="7"/>
  <c r="S605" i="7"/>
  <c r="S826" i="7"/>
  <c r="S749" i="7"/>
  <c r="S987" i="7"/>
  <c r="S750" i="7"/>
  <c r="S1051" i="7"/>
  <c r="S751" i="7"/>
  <c r="S752" i="7"/>
  <c r="S753" i="7"/>
  <c r="S754" i="7"/>
  <c r="S755" i="7"/>
  <c r="S155" i="7"/>
  <c r="S156" i="7"/>
  <c r="S756" i="7"/>
  <c r="S157" i="7"/>
  <c r="S158" i="7"/>
  <c r="S159" i="7"/>
  <c r="S757" i="7"/>
  <c r="S1273" i="7"/>
  <c r="S160" i="7"/>
  <c r="S161" i="7"/>
  <c r="S921" i="7"/>
  <c r="S922" i="7"/>
  <c r="S923" i="7"/>
  <c r="S924" i="7"/>
  <c r="S925" i="7"/>
  <c r="S1274" i="7"/>
  <c r="S606" i="7"/>
  <c r="S162" i="7"/>
  <c r="S1275" i="7"/>
  <c r="S164" i="7"/>
  <c r="S250" i="7"/>
  <c r="S794" i="7"/>
  <c r="S827" i="7"/>
  <c r="S449" i="7"/>
  <c r="S450" i="7"/>
  <c r="S165" i="7"/>
  <c r="S1052" i="7"/>
  <c r="S168" i="7"/>
  <c r="S1276" i="7"/>
  <c r="S584" i="7"/>
  <c r="S1155" i="7"/>
  <c r="S1277" i="7"/>
  <c r="S758" i="7"/>
  <c r="S926" i="7"/>
  <c r="S1278" i="7"/>
  <c r="S1279" i="7"/>
  <c r="S1053" i="7"/>
  <c r="S927" i="7"/>
  <c r="S1280" i="7"/>
  <c r="S374" i="7"/>
  <c r="S928" i="7"/>
  <c r="S1281" i="7"/>
  <c r="S964" i="7"/>
  <c r="S929" i="7"/>
  <c r="S930" i="7"/>
  <c r="S795" i="7"/>
  <c r="S173" i="7"/>
  <c r="S495" i="7"/>
  <c r="S1054" i="7"/>
  <c r="S496" i="7"/>
  <c r="S251" i="7"/>
  <c r="S252" i="7"/>
  <c r="S253" i="7"/>
  <c r="S254" i="7"/>
  <c r="S255" i="7"/>
  <c r="S585" i="7"/>
  <c r="S1282" i="7"/>
  <c r="S174" i="7"/>
  <c r="S256" i="7"/>
  <c r="S257" i="7"/>
  <c r="S828" i="7"/>
  <c r="S258" i="7"/>
  <c r="S586" i="7"/>
  <c r="S259" i="7"/>
  <c r="S497" i="7"/>
  <c r="S260" i="7"/>
  <c r="S261" i="7"/>
  <c r="S262" i="7"/>
  <c r="S1055" i="7"/>
  <c r="S263" i="7"/>
  <c r="S264" i="7"/>
  <c r="S1056" i="7"/>
  <c r="S759" i="7"/>
  <c r="S175" i="7"/>
  <c r="S1283" i="7"/>
  <c r="S1284" i="7"/>
  <c r="S588" i="7"/>
  <c r="S1285" i="7"/>
  <c r="S1286" i="7"/>
  <c r="S1287" i="7"/>
  <c r="S1288" i="7"/>
  <c r="S796" i="7"/>
  <c r="S797" i="7"/>
  <c r="S760" i="7"/>
  <c r="S1057" i="7"/>
  <c r="S589" i="7"/>
  <c r="S176" i="7"/>
  <c r="S177" i="7"/>
  <c r="S658" i="7"/>
  <c r="S1058" i="7"/>
  <c r="S1059" i="7"/>
  <c r="S1060" i="7"/>
  <c r="S1061" i="7"/>
  <c r="S178" i="7"/>
  <c r="S179" i="7"/>
  <c r="S180" i="7"/>
  <c r="S181" i="7"/>
  <c r="S391" i="7"/>
  <c r="S1062" i="7"/>
  <c r="S1063" i="7"/>
  <c r="S1064" i="7"/>
  <c r="S590" i="7"/>
  <c r="S498" i="7"/>
  <c r="S499" i="7"/>
  <c r="S500" i="7"/>
  <c r="S501" i="7"/>
  <c r="S392" i="7"/>
  <c r="S393" i="7"/>
  <c r="S397" i="7"/>
  <c r="S406" i="7"/>
  <c r="S398" i="7"/>
  <c r="S399" i="7"/>
  <c r="S394" i="7"/>
  <c r="S407" i="7"/>
  <c r="S395" i="7"/>
  <c r="S396" i="7"/>
  <c r="S400" i="7"/>
  <c r="S401" i="7"/>
  <c r="S402" i="7"/>
  <c r="S403" i="7"/>
  <c r="S404" i="7"/>
  <c r="S405" i="7"/>
  <c r="S408" i="7"/>
  <c r="S182" i="7"/>
  <c r="S502" i="7"/>
  <c r="S1065" i="7"/>
  <c r="S1066" i="7"/>
  <c r="S503" i="7"/>
  <c r="S504" i="7"/>
  <c r="S183" i="7"/>
  <c r="S1171" i="7"/>
  <c r="S1172" i="7"/>
  <c r="S1067" i="7"/>
  <c r="S1068" i="7"/>
  <c r="S1069" i="7"/>
  <c r="S1070" i="7"/>
  <c r="S931" i="7"/>
  <c r="S1071" i="7"/>
  <c r="S1072" i="7"/>
  <c r="S1073" i="7"/>
  <c r="S1074" i="7"/>
  <c r="S1075" i="7"/>
  <c r="S659" i="7"/>
  <c r="S965" i="7"/>
  <c r="S591" i="7"/>
  <c r="S592" i="7"/>
  <c r="S1076" i="7"/>
  <c r="S409" i="7"/>
  <c r="S1077" i="7"/>
  <c r="S410" i="7"/>
  <c r="S505" i="7"/>
  <c r="S506" i="7"/>
  <c r="S507" i="7"/>
  <c r="S508" i="7"/>
  <c r="S184" i="7"/>
  <c r="S509" i="7"/>
  <c r="S1078" i="7"/>
  <c r="S1079" i="7"/>
  <c r="S1080" i="7"/>
  <c r="S1081" i="7"/>
  <c r="S1082" i="7"/>
  <c r="S1083" i="7"/>
  <c r="S1084" i="7"/>
  <c r="S1085" i="7"/>
  <c r="S510" i="7"/>
  <c r="S511" i="7"/>
  <c r="S1086" i="7"/>
  <c r="S1087" i="7"/>
  <c r="S1088" i="7"/>
  <c r="S1089" i="7"/>
  <c r="S185" i="7"/>
  <c r="S186" i="7"/>
  <c r="S614" i="7"/>
  <c r="S411" i="7"/>
  <c r="S412" i="7"/>
  <c r="S512" i="7"/>
  <c r="S932" i="7"/>
  <c r="S966" i="7"/>
  <c r="S967" i="7"/>
  <c r="S968" i="7"/>
  <c r="S969" i="7"/>
  <c r="S970" i="7"/>
  <c r="S971" i="7"/>
  <c r="S513" i="7"/>
  <c r="S761" i="7"/>
  <c r="S829" i="7"/>
  <c r="S660" i="7"/>
  <c r="S514" i="7"/>
  <c r="S762" i="7"/>
  <c r="S413" i="7"/>
  <c r="S972" i="7"/>
  <c r="S593" i="7"/>
  <c r="S187" i="7"/>
  <c r="S188" i="7"/>
  <c r="S189" i="7"/>
  <c r="S190" i="7"/>
  <c r="S191" i="7"/>
  <c r="S192" i="7"/>
  <c r="S193" i="7"/>
  <c r="S194" i="7"/>
  <c r="S195" i="7"/>
  <c r="S196" i="7"/>
  <c r="S1289" i="7"/>
  <c r="S515" i="7"/>
  <c r="S516" i="7"/>
  <c r="S1156" i="7"/>
  <c r="S594" i="7"/>
  <c r="S1290" i="7"/>
  <c r="S661" i="7"/>
  <c r="S830" i="7"/>
  <c r="S831" i="7"/>
  <c r="S832" i="7"/>
  <c r="S833" i="7"/>
  <c r="S764" i="7"/>
  <c r="S934" i="7"/>
  <c r="S662" i="7"/>
  <c r="S663" i="7"/>
  <c r="S1291" i="7"/>
  <c r="S834" i="7"/>
  <c r="S198" i="7"/>
  <c r="S935" i="7"/>
  <c r="S1157" i="7"/>
  <c r="S1158" i="7"/>
  <c r="S199" i="7"/>
  <c r="S265" i="7"/>
  <c r="S266" i="7"/>
  <c r="S1159" i="7"/>
  <c r="S1160" i="7"/>
  <c r="S835" i="7"/>
  <c r="S836" i="7"/>
  <c r="S267" i="7"/>
  <c r="S765" i="7"/>
  <c r="S518" i="7"/>
  <c r="S1092" i="7"/>
  <c r="S422" i="7"/>
  <c r="S766" i="7"/>
  <c r="S200" i="7"/>
  <c r="S423" i="7"/>
  <c r="S519" i="7"/>
  <c r="S453" i="7"/>
  <c r="S798" i="7"/>
  <c r="S767" i="7"/>
  <c r="S268" i="7"/>
  <c r="S269" i="7"/>
  <c r="S1292" i="7"/>
  <c r="S768" i="7"/>
  <c r="S424" i="7"/>
  <c r="S275" i="7"/>
  <c r="S1293" i="7"/>
  <c r="S520" i="7"/>
  <c r="S1294" i="7"/>
  <c r="S521" i="7"/>
  <c r="S1295" i="7"/>
  <c r="S454" i="7"/>
  <c r="S455" i="7"/>
  <c r="S1093" i="7"/>
  <c r="S276" i="7"/>
  <c r="S203" i="7"/>
  <c r="S204" i="7"/>
  <c r="S205" i="7"/>
  <c r="S206" i="7"/>
  <c r="S207" i="7"/>
  <c r="S1094" i="7"/>
  <c r="S1095" i="7"/>
  <c r="S1096" i="7"/>
  <c r="S1097" i="7"/>
  <c r="S1098" i="7"/>
  <c r="S1099" i="7"/>
  <c r="S769" i="7"/>
  <c r="S1100" i="7"/>
  <c r="S936" i="7"/>
  <c r="S456" i="7"/>
  <c r="S429" i="7"/>
  <c r="S973" i="7"/>
  <c r="S974" i="7"/>
  <c r="S975" i="7"/>
  <c r="S976" i="7"/>
  <c r="S937" i="7"/>
  <c r="S208" i="7"/>
  <c r="S938" i="7"/>
  <c r="S939" i="7"/>
  <c r="S977" i="7"/>
  <c r="S940" i="7"/>
  <c r="S941" i="7"/>
  <c r="S942" i="7"/>
  <c r="S209" i="7"/>
  <c r="S522" i="7"/>
  <c r="S523" i="7"/>
  <c r="S770" i="7"/>
  <c r="S771" i="7"/>
  <c r="S213" i="7"/>
  <c r="S214" i="7"/>
  <c r="S799" i="7"/>
  <c r="S943" i="7"/>
  <c r="S944" i="7"/>
  <c r="S945" i="7"/>
  <c r="S946" i="7"/>
  <c r="S215" i="7"/>
  <c r="S216" i="7"/>
  <c r="S217" i="7"/>
  <c r="S772" i="7"/>
  <c r="S989" i="7"/>
  <c r="S947" i="7"/>
  <c r="S948" i="7"/>
  <c r="S218" i="7"/>
  <c r="S773" i="7"/>
  <c r="S433" i="7"/>
  <c r="S434" i="7"/>
  <c r="S435" i="7"/>
  <c r="S437" i="7"/>
  <c r="S442" i="7"/>
  <c r="S443" i="7"/>
  <c r="S444" i="7"/>
  <c r="S445" i="7"/>
  <c r="S1101" i="7"/>
  <c r="R1241" i="7"/>
  <c r="R957" i="7"/>
  <c r="R1031" i="7"/>
  <c r="R279" i="7"/>
  <c r="R3" i="7"/>
  <c r="R280" i="7"/>
  <c r="R1225" i="7"/>
  <c r="R4" i="7"/>
  <c r="R666" i="7"/>
  <c r="R667" i="7"/>
  <c r="R668" i="7"/>
  <c r="R669" i="7"/>
  <c r="R670" i="7"/>
  <c r="R671" i="7"/>
  <c r="R672" i="7"/>
  <c r="R673" i="7"/>
  <c r="R674" i="7"/>
  <c r="R676" i="7"/>
  <c r="R678" i="7"/>
  <c r="R990" i="7"/>
  <c r="R991" i="7"/>
  <c r="R457" i="7"/>
  <c r="R7" i="7"/>
  <c r="R9" i="7"/>
  <c r="R8" i="7"/>
  <c r="R10" i="7"/>
  <c r="R11" i="7"/>
  <c r="R5" i="7"/>
  <c r="R6" i="7"/>
  <c r="R1227" i="7"/>
  <c r="R1228" i="7"/>
  <c r="R628" i="7"/>
  <c r="R458" i="7"/>
  <c r="R287" i="7"/>
  <c r="R288" i="7"/>
  <c r="R1219" i="7"/>
  <c r="R837" i="7"/>
  <c r="R838" i="7"/>
  <c r="R992" i="7"/>
  <c r="R993" i="7"/>
  <c r="R994" i="7"/>
  <c r="R995" i="7"/>
  <c r="R839" i="7"/>
  <c r="R840" i="7"/>
  <c r="R996" i="7"/>
  <c r="R619" i="7"/>
  <c r="R631" i="7"/>
  <c r="R980" i="7"/>
  <c r="R596" i="7"/>
  <c r="R459" i="7"/>
  <c r="R997" i="7"/>
  <c r="R998" i="7"/>
  <c r="R460" i="7"/>
  <c r="R461" i="7"/>
  <c r="R1229" i="7"/>
  <c r="R841" i="7"/>
  <c r="R597" i="7"/>
  <c r="R951" i="7"/>
  <c r="R952" i="7"/>
  <c r="R842" i="7"/>
  <c r="R12" i="7"/>
  <c r="R13" i="7"/>
  <c r="R23" i="7"/>
  <c r="R1230" i="7"/>
  <c r="R528" i="7"/>
  <c r="R679" i="7"/>
  <c r="R529" i="7"/>
  <c r="R530" i="7"/>
  <c r="R531" i="7"/>
  <c r="R532" i="7"/>
  <c r="R536" i="7"/>
  <c r="R533" i="7"/>
  <c r="R680" i="7"/>
  <c r="R534" i="7"/>
  <c r="R535" i="7"/>
  <c r="R537" i="7"/>
  <c r="R462" i="7"/>
  <c r="R290" i="7"/>
  <c r="R291" i="7"/>
  <c r="R14" i="7"/>
  <c r="R15" i="7"/>
  <c r="R16" i="7"/>
  <c r="R17" i="7"/>
  <c r="R1231" i="7"/>
  <c r="R18" i="7"/>
  <c r="R681" i="7"/>
  <c r="R1232" i="7"/>
  <c r="R19" i="7"/>
  <c r="R20" i="7"/>
  <c r="R538" i="7"/>
  <c r="R539" i="7"/>
  <c r="R540" i="7"/>
  <c r="R21" i="7"/>
  <c r="R22" i="7"/>
  <c r="R24" i="7"/>
  <c r="R541" i="7"/>
  <c r="R542" i="7"/>
  <c r="R543" i="7"/>
  <c r="R544" i="7"/>
  <c r="R545" i="7"/>
  <c r="R546" i="7"/>
  <c r="R547" i="7"/>
  <c r="R25" i="7"/>
  <c r="R26" i="7"/>
  <c r="R27" i="7"/>
  <c r="R292" i="7"/>
  <c r="R31" i="7"/>
  <c r="R843" i="7"/>
  <c r="R32" i="7"/>
  <c r="R33" i="7"/>
  <c r="R999" i="7"/>
  <c r="R1000" i="7"/>
  <c r="R34" i="7"/>
  <c r="R38" i="7"/>
  <c r="R35" i="7"/>
  <c r="R36" i="7"/>
  <c r="R37" i="7"/>
  <c r="R39" i="7"/>
  <c r="R40" i="7"/>
  <c r="R41" i="7"/>
  <c r="R42" i="7"/>
  <c r="R43" i="7"/>
  <c r="R44" i="7"/>
  <c r="R45" i="7"/>
  <c r="R1233" i="7"/>
  <c r="R48" i="7"/>
  <c r="R682" i="7"/>
  <c r="R844" i="7"/>
  <c r="R1234" i="7"/>
  <c r="R1235" i="7"/>
  <c r="R1236" i="7"/>
  <c r="R1237" i="7"/>
  <c r="R1238" i="7"/>
  <c r="R953" i="7"/>
  <c r="R548" i="7"/>
  <c r="R549" i="7"/>
  <c r="R551" i="7"/>
  <c r="R552" i="7"/>
  <c r="R554" i="7"/>
  <c r="R555" i="7"/>
  <c r="R57" i="7"/>
  <c r="R58" i="7"/>
  <c r="R59" i="7"/>
  <c r="R1001" i="7"/>
  <c r="R621" i="7"/>
  <c r="R622" i="7"/>
  <c r="R598" i="7"/>
  <c r="R1103" i="7"/>
  <c r="R981" i="7"/>
  <c r="R463" i="7"/>
  <c r="R295" i="7"/>
  <c r="R300" i="7"/>
  <c r="R302" i="7"/>
  <c r="R296" i="7"/>
  <c r="R297" i="7"/>
  <c r="R298" i="7"/>
  <c r="R301" i="7"/>
  <c r="R303" i="7"/>
  <c r="R64" i="7"/>
  <c r="R558" i="7"/>
  <c r="R305" i="7"/>
  <c r="R623" i="7"/>
  <c r="R624" i="7"/>
  <c r="R67" i="7"/>
  <c r="R845" i="7"/>
  <c r="R846" i="7"/>
  <c r="R774" i="7"/>
  <c r="R775" i="7"/>
  <c r="R776" i="7"/>
  <c r="R777" i="7"/>
  <c r="R778" i="7"/>
  <c r="R68" i="7"/>
  <c r="R69" i="7"/>
  <c r="R1239" i="7"/>
  <c r="R70" i="7"/>
  <c r="R779" i="7"/>
  <c r="R1107" i="7"/>
  <c r="R1108" i="7"/>
  <c r="R1125" i="7"/>
  <c r="R1109" i="7"/>
  <c r="R1110" i="7"/>
  <c r="R1111" i="7"/>
  <c r="R1112" i="7"/>
  <c r="R1113" i="7"/>
  <c r="R1114" i="7"/>
  <c r="R1115" i="7"/>
  <c r="R1116" i="7"/>
  <c r="R1117" i="7"/>
  <c r="R1118" i="7"/>
  <c r="R1120" i="7"/>
  <c r="R1119" i="7"/>
  <c r="R1121" i="7"/>
  <c r="R1122" i="7"/>
  <c r="R1123" i="7"/>
  <c r="R1124" i="7"/>
  <c r="R1126" i="7"/>
  <c r="R1127" i="7"/>
  <c r="R1128" i="7"/>
  <c r="R1129" i="7"/>
  <c r="R1130" i="7"/>
  <c r="R1131" i="7"/>
  <c r="R1132" i="7"/>
  <c r="R1133" i="7"/>
  <c r="R1134" i="7"/>
  <c r="R1135" i="7"/>
  <c r="R780" i="7"/>
  <c r="R847" i="7"/>
  <c r="R221" i="7"/>
  <c r="R1240" i="7"/>
  <c r="R1199" i="7"/>
  <c r="R1136" i="7"/>
  <c r="R308" i="7"/>
  <c r="R599" i="7"/>
  <c r="R72" i="7"/>
  <c r="R1003" i="7"/>
  <c r="R559" i="7"/>
  <c r="R464" i="7"/>
  <c r="R272" i="7"/>
  <c r="R1004" i="7"/>
  <c r="R1005" i="7"/>
  <c r="R1221" i="7"/>
  <c r="R1222" i="7"/>
  <c r="R1223" i="7"/>
  <c r="R848" i="7"/>
  <c r="R849" i="7"/>
  <c r="R850" i="7"/>
  <c r="R851" i="7"/>
  <c r="R852" i="7"/>
  <c r="R853" i="7"/>
  <c r="R79" i="7"/>
  <c r="R82" i="7"/>
  <c r="R465" i="7"/>
  <c r="R625" i="7"/>
  <c r="R1006" i="7"/>
  <c r="R466" i="7"/>
  <c r="R222" i="7"/>
  <c r="R223" i="7"/>
  <c r="R225" i="7"/>
  <c r="R226" i="7"/>
  <c r="R227" i="7"/>
  <c r="R1242" i="7"/>
  <c r="R87" i="7"/>
  <c r="R88" i="7"/>
  <c r="R89" i="7"/>
  <c r="R319" i="7"/>
  <c r="R686" i="7"/>
  <c r="R854" i="7"/>
  <c r="R90" i="7"/>
  <c r="R855" i="7"/>
  <c r="R856" i="7"/>
  <c r="R857" i="7"/>
  <c r="R687" i="7"/>
  <c r="R688" i="7"/>
  <c r="R1243" i="7"/>
  <c r="R633" i="7"/>
  <c r="R634" i="7"/>
  <c r="R858" i="7"/>
  <c r="R91" i="7"/>
  <c r="R467" i="7"/>
  <c r="R859" i="7"/>
  <c r="R468" i="7"/>
  <c r="R469" i="7"/>
  <c r="R470" i="7"/>
  <c r="R471" i="7"/>
  <c r="R472" i="7"/>
  <c r="R560" i="7"/>
  <c r="R473" i="7"/>
  <c r="R955" i="7"/>
  <c r="R983" i="7"/>
  <c r="R860" i="7"/>
  <c r="R861" i="7"/>
  <c r="R94" i="7"/>
  <c r="R95" i="7"/>
  <c r="R96" i="7"/>
  <c r="R636" i="7"/>
  <c r="R1244" i="7"/>
  <c r="R1245" i="7"/>
  <c r="R474" i="7"/>
  <c r="R862" i="7"/>
  <c r="R689" i="7"/>
  <c r="R1246" i="7"/>
  <c r="R1139" i="7"/>
  <c r="R863" i="7"/>
  <c r="R864" i="7"/>
  <c r="R1161" i="7"/>
  <c r="R1162" i="7"/>
  <c r="R1163" i="7"/>
  <c r="R1164" i="7"/>
  <c r="R1247" i="7"/>
  <c r="R865" i="7"/>
  <c r="R866" i="7"/>
  <c r="R867" i="7"/>
  <c r="R868" i="7"/>
  <c r="R869" i="7"/>
  <c r="R870" i="7"/>
  <c r="R871" i="7"/>
  <c r="R872" i="7"/>
  <c r="R873" i="7"/>
  <c r="R874" i="7"/>
  <c r="R1248" i="7"/>
  <c r="R875" i="7"/>
  <c r="R101" i="7"/>
  <c r="R1249" i="7"/>
  <c r="R876" i="7"/>
  <c r="R475" i="7"/>
  <c r="R561" i="7"/>
  <c r="R877" i="7"/>
  <c r="R476" i="7"/>
  <c r="R477" i="7"/>
  <c r="R878" i="7"/>
  <c r="R478" i="7"/>
  <c r="R524" i="7"/>
  <c r="R1250" i="7"/>
  <c r="R525" i="7"/>
  <c r="R1007" i="7"/>
  <c r="R1251" i="7"/>
  <c r="R1252" i="7"/>
  <c r="R102" i="7"/>
  <c r="R105" i="7"/>
  <c r="R106" i="7"/>
  <c r="R1253" i="7"/>
  <c r="R879" i="7"/>
  <c r="R880" i="7"/>
  <c r="R881" i="7"/>
  <c r="R1254" i="7"/>
  <c r="R228" i="7"/>
  <c r="R690" i="7"/>
  <c r="R107" i="7"/>
  <c r="R108" i="7"/>
  <c r="R109" i="7"/>
  <c r="R110" i="7"/>
  <c r="R111" i="7"/>
  <c r="R112" i="7"/>
  <c r="R229" i="7"/>
  <c r="R230" i="7"/>
  <c r="R231" i="7"/>
  <c r="R232" i="7"/>
  <c r="R233" i="7"/>
  <c r="R234" i="7"/>
  <c r="R235" i="7"/>
  <c r="R236" i="7"/>
  <c r="R237" i="7"/>
  <c r="R238" i="7"/>
  <c r="R239" i="7"/>
  <c r="R240" i="7"/>
  <c r="R241" i="7"/>
  <c r="R242" i="7"/>
  <c r="R243" i="7"/>
  <c r="R244" i="7"/>
  <c r="R246" i="7"/>
  <c r="R245" i="7"/>
  <c r="R247" i="7"/>
  <c r="R113" i="7"/>
  <c r="R114" i="7"/>
  <c r="R115" i="7"/>
  <c r="R116" i="7"/>
  <c r="R117" i="7"/>
  <c r="R119" i="7"/>
  <c r="R479" i="7"/>
  <c r="R562" i="7"/>
  <c r="R1255" i="7"/>
  <c r="R1008" i="7"/>
  <c r="R882" i="7"/>
  <c r="R122" i="7"/>
  <c r="R883" i="7"/>
  <c r="R884" i="7"/>
  <c r="R1140" i="7"/>
  <c r="R1141" i="7"/>
  <c r="R782" i="7"/>
  <c r="R1142" i="7"/>
  <c r="R1143" i="7"/>
  <c r="R783" i="7"/>
  <c r="R784" i="7"/>
  <c r="R1256" i="7"/>
  <c r="R1257" i="7"/>
  <c r="R248" i="7"/>
  <c r="R123" i="7"/>
  <c r="R637" i="7"/>
  <c r="R1144" i="7"/>
  <c r="R1152" i="7"/>
  <c r="R1145" i="7"/>
  <c r="R1146" i="7"/>
  <c r="R1147" i="7"/>
  <c r="R1148" i="7"/>
  <c r="R1149" i="7"/>
  <c r="R1150" i="7"/>
  <c r="R1151" i="7"/>
  <c r="R1153" i="7"/>
  <c r="R124" i="7"/>
  <c r="R1009" i="7"/>
  <c r="R125" i="7"/>
  <c r="R563" i="7"/>
  <c r="R885" i="7"/>
  <c r="R886" i="7"/>
  <c r="R887" i="7"/>
  <c r="R888" i="7"/>
  <c r="R889" i="7"/>
  <c r="R1010" i="7"/>
  <c r="R890" i="7"/>
  <c r="R891" i="7"/>
  <c r="R1260" i="7"/>
  <c r="R785" i="7"/>
  <c r="R786" i="7"/>
  <c r="R1174" i="7"/>
  <c r="R1011" i="7"/>
  <c r="R1012" i="7"/>
  <c r="R787" i="7"/>
  <c r="R892" i="7"/>
  <c r="R801" i="7"/>
  <c r="R802" i="7"/>
  <c r="R803" i="7"/>
  <c r="R1013" i="7"/>
  <c r="R1261" i="7"/>
  <c r="R1014" i="7"/>
  <c r="R1015" i="7"/>
  <c r="R956" i="7"/>
  <c r="R564" i="7"/>
  <c r="R893" i="7"/>
  <c r="R894" i="7"/>
  <c r="R692" i="7"/>
  <c r="R693" i="7"/>
  <c r="R694" i="7"/>
  <c r="R895" i="7"/>
  <c r="R901" i="7"/>
  <c r="R896" i="7"/>
  <c r="R897" i="7"/>
  <c r="R898" i="7"/>
  <c r="R899" i="7"/>
  <c r="R900" i="7"/>
  <c r="R902" i="7"/>
  <c r="R903" i="7"/>
  <c r="R904" i="7"/>
  <c r="R695" i="7"/>
  <c r="R126" i="7"/>
  <c r="R696" i="7"/>
  <c r="R905" i="7"/>
  <c r="R906" i="7"/>
  <c r="R907" i="7"/>
  <c r="R908" i="7"/>
  <c r="R909" i="7"/>
  <c r="R910" i="7"/>
  <c r="R129" i="7"/>
  <c r="R638" i="7"/>
  <c r="R1262" i="7"/>
  <c r="R1263" i="7"/>
  <c r="R1016" i="7"/>
  <c r="R1017" i="7"/>
  <c r="R1018" i="7"/>
  <c r="R639" i="7"/>
  <c r="R640" i="7"/>
  <c r="R641" i="7"/>
  <c r="R642" i="7"/>
  <c r="R911" i="7"/>
  <c r="R912" i="7"/>
  <c r="R338" i="7"/>
  <c r="R643" i="7"/>
  <c r="R697" i="7"/>
  <c r="R804" i="7"/>
  <c r="R1264" i="7"/>
  <c r="R698" i="7"/>
  <c r="R699" i="7"/>
  <c r="R700" i="7"/>
  <c r="R701" i="7"/>
  <c r="R702" i="7"/>
  <c r="R706" i="7"/>
  <c r="R703" i="7"/>
  <c r="R704" i="7"/>
  <c r="R705" i="7"/>
  <c r="R707" i="7"/>
  <c r="R788" i="7"/>
  <c r="R708" i="7"/>
  <c r="R709" i="7"/>
  <c r="R710" i="7"/>
  <c r="R711" i="7"/>
  <c r="R805" i="7"/>
  <c r="R806" i="7"/>
  <c r="R807" i="7"/>
  <c r="R808" i="7"/>
  <c r="R809" i="7"/>
  <c r="R810" i="7"/>
  <c r="R811" i="7"/>
  <c r="R789" i="7"/>
  <c r="R712" i="7"/>
  <c r="R713" i="7"/>
  <c r="R714" i="7"/>
  <c r="R715" i="7"/>
  <c r="R716" i="7"/>
  <c r="R717" i="7"/>
  <c r="R812" i="7"/>
  <c r="R718" i="7"/>
  <c r="R719" i="7"/>
  <c r="R813" i="7"/>
  <c r="R814" i="7"/>
  <c r="R720" i="7"/>
  <c r="R721" i="7"/>
  <c r="R958" i="7"/>
  <c r="R722" i="7"/>
  <c r="R723" i="7"/>
  <c r="R724" i="7"/>
  <c r="R725" i="7"/>
  <c r="R815" i="7"/>
  <c r="R816" i="7"/>
  <c r="R817" i="7"/>
  <c r="R818" i="7"/>
  <c r="R726" i="7"/>
  <c r="R913" i="7"/>
  <c r="R819" i="7"/>
  <c r="R820" i="7"/>
  <c r="R644" i="7"/>
  <c r="R821" i="7"/>
  <c r="R727" i="7"/>
  <c r="R728" i="7"/>
  <c r="R729" i="7"/>
  <c r="R730" i="7"/>
  <c r="R731" i="7"/>
  <c r="R732" i="7"/>
  <c r="R733" i="7"/>
  <c r="R734" i="7"/>
  <c r="R446" i="7"/>
  <c r="R959" i="7"/>
  <c r="R735" i="7"/>
  <c r="R914" i="7"/>
  <c r="R134" i="7"/>
  <c r="R1019" i="7"/>
  <c r="R565" i="7"/>
  <c r="R566" i="7"/>
  <c r="R567" i="7"/>
  <c r="R568" i="7"/>
  <c r="R569" i="7"/>
  <c r="R570" i="7"/>
  <c r="R480" i="7"/>
  <c r="R481" i="7"/>
  <c r="R482" i="7"/>
  <c r="R339" i="7"/>
  <c r="R351" i="7"/>
  <c r="R340" i="7"/>
  <c r="R341" i="7"/>
  <c r="R342" i="7"/>
  <c r="R343" i="7"/>
  <c r="R344" i="7"/>
  <c r="R345" i="7"/>
  <c r="R346" i="7"/>
  <c r="R348" i="7"/>
  <c r="R347" i="7"/>
  <c r="R349" i="7"/>
  <c r="R350" i="7"/>
  <c r="R483" i="7"/>
  <c r="R249" i="7"/>
  <c r="R135" i="7"/>
  <c r="R352" i="7"/>
  <c r="R484" i="7"/>
  <c r="R1020" i="7"/>
  <c r="R1166" i="7"/>
  <c r="R1167" i="7"/>
  <c r="R136" i="7"/>
  <c r="R1021" i="7"/>
  <c r="R790" i="7"/>
  <c r="R1022" i="7"/>
  <c r="R1023" i="7"/>
  <c r="R571" i="7"/>
  <c r="R572" i="7"/>
  <c r="R736" i="7"/>
  <c r="R1024" i="7"/>
  <c r="R1025" i="7"/>
  <c r="R1026" i="7"/>
  <c r="R1027" i="7"/>
  <c r="R1028" i="7"/>
  <c r="R1029" i="7"/>
  <c r="R1030" i="7"/>
  <c r="R1032" i="7"/>
  <c r="R1033" i="7"/>
  <c r="R1034" i="7"/>
  <c r="R645" i="7"/>
  <c r="R646" i="7"/>
  <c r="R647" i="7"/>
  <c r="R915" i="7"/>
  <c r="R916" i="7"/>
  <c r="R737" i="7"/>
  <c r="R738" i="7"/>
  <c r="R485" i="7"/>
  <c r="R486" i="7"/>
  <c r="R353" i="7"/>
  <c r="R573" i="7"/>
  <c r="R354" i="7"/>
  <c r="R355" i="7"/>
  <c r="R487" i="7"/>
  <c r="R1265" i="7"/>
  <c r="R574" i="7"/>
  <c r="R488" i="7"/>
  <c r="R489" i="7"/>
  <c r="R490" i="7"/>
  <c r="R575" i="7"/>
  <c r="R137" i="7"/>
  <c r="R1035" i="7"/>
  <c r="R1036" i="7"/>
  <c r="R1037" i="7"/>
  <c r="R1038" i="7"/>
  <c r="R1039" i="7"/>
  <c r="R1040" i="7"/>
  <c r="R1041" i="7"/>
  <c r="R1042" i="7"/>
  <c r="R1043" i="7"/>
  <c r="R1044" i="7"/>
  <c r="R138" i="7"/>
  <c r="R356" i="7"/>
  <c r="R917" i="7"/>
  <c r="R918" i="7"/>
  <c r="R739" i="7"/>
  <c r="R1266" i="7"/>
  <c r="R1267" i="7"/>
  <c r="R740" i="7"/>
  <c r="R1268" i="7"/>
  <c r="R741" i="7"/>
  <c r="R742" i="7"/>
  <c r="R1269" i="7"/>
  <c r="R1168" i="7"/>
  <c r="R919" i="7"/>
  <c r="R791" i="7"/>
  <c r="R743" i="7"/>
  <c r="R141" i="7"/>
  <c r="R648" i="7"/>
  <c r="R649" i="7"/>
  <c r="R650" i="7"/>
  <c r="R651" i="7"/>
  <c r="R652" i="7"/>
  <c r="R576" i="7"/>
  <c r="R610" i="7"/>
  <c r="R144" i="7"/>
  <c r="R578" i="7"/>
  <c r="R145" i="7"/>
  <c r="R579" i="7"/>
  <c r="R146" i="7"/>
  <c r="R1270" i="7"/>
  <c r="R357" i="7"/>
  <c r="R745" i="7"/>
  <c r="R492" i="7"/>
  <c r="R1046" i="7"/>
  <c r="R653" i="7"/>
  <c r="R581" i="7"/>
  <c r="R147" i="7"/>
  <c r="R148" i="7"/>
  <c r="R601" i="7"/>
  <c r="R602" i="7"/>
  <c r="R368" i="7"/>
  <c r="R1271" i="7"/>
  <c r="R1049" i="7"/>
  <c r="R1176" i="7"/>
  <c r="R1177" i="7"/>
  <c r="R1050" i="7"/>
  <c r="R604" i="7"/>
  <c r="R748" i="7"/>
  <c r="R153" i="7"/>
  <c r="R824" i="7"/>
  <c r="R1272" i="7"/>
  <c r="R154" i="7"/>
  <c r="R605" i="7"/>
  <c r="R826" i="7"/>
  <c r="R749" i="7"/>
  <c r="R987" i="7"/>
  <c r="R750" i="7"/>
  <c r="R1051" i="7"/>
  <c r="R751" i="7"/>
  <c r="R752" i="7"/>
  <c r="R753" i="7"/>
  <c r="R754" i="7"/>
  <c r="R755" i="7"/>
  <c r="R155" i="7"/>
  <c r="R156" i="7"/>
  <c r="R756" i="7"/>
  <c r="R157" i="7"/>
  <c r="R158" i="7"/>
  <c r="R159" i="7"/>
  <c r="R757" i="7"/>
  <c r="R1273" i="7"/>
  <c r="R160" i="7"/>
  <c r="R161" i="7"/>
  <c r="R921" i="7"/>
  <c r="R922" i="7"/>
  <c r="R923" i="7"/>
  <c r="R924" i="7"/>
  <c r="R925" i="7"/>
  <c r="R1274" i="7"/>
  <c r="R606" i="7"/>
  <c r="R162" i="7"/>
  <c r="R1275" i="7"/>
  <c r="R164" i="7"/>
  <c r="R250" i="7"/>
  <c r="R794" i="7"/>
  <c r="R827" i="7"/>
  <c r="R449" i="7"/>
  <c r="R450" i="7"/>
  <c r="R165" i="7"/>
  <c r="R1052" i="7"/>
  <c r="R168" i="7"/>
  <c r="R1276" i="7"/>
  <c r="R584" i="7"/>
  <c r="R1155" i="7"/>
  <c r="R1277" i="7"/>
  <c r="R758" i="7"/>
  <c r="R926" i="7"/>
  <c r="R1278" i="7"/>
  <c r="R1279" i="7"/>
  <c r="R1053" i="7"/>
  <c r="R927" i="7"/>
  <c r="R1280" i="7"/>
  <c r="R374" i="7"/>
  <c r="R928" i="7"/>
  <c r="R1281" i="7"/>
  <c r="R964" i="7"/>
  <c r="R929" i="7"/>
  <c r="R930" i="7"/>
  <c r="R795" i="7"/>
  <c r="R173" i="7"/>
  <c r="R495" i="7"/>
  <c r="R1054" i="7"/>
  <c r="R496" i="7"/>
  <c r="R251" i="7"/>
  <c r="R252" i="7"/>
  <c r="R253" i="7"/>
  <c r="R254" i="7"/>
  <c r="R255" i="7"/>
  <c r="R585" i="7"/>
  <c r="R1282" i="7"/>
  <c r="R174" i="7"/>
  <c r="R256" i="7"/>
  <c r="R257" i="7"/>
  <c r="R828" i="7"/>
  <c r="R258" i="7"/>
  <c r="R586" i="7"/>
  <c r="R259" i="7"/>
  <c r="R497" i="7"/>
  <c r="R260" i="7"/>
  <c r="R261" i="7"/>
  <c r="R262" i="7"/>
  <c r="R1055" i="7"/>
  <c r="R263" i="7"/>
  <c r="R264" i="7"/>
  <c r="R1056" i="7"/>
  <c r="R759" i="7"/>
  <c r="R175" i="7"/>
  <c r="R1283" i="7"/>
  <c r="R1284" i="7"/>
  <c r="R588" i="7"/>
  <c r="R1285" i="7"/>
  <c r="R1286" i="7"/>
  <c r="R1287" i="7"/>
  <c r="R1288" i="7"/>
  <c r="R796" i="7"/>
  <c r="R797" i="7"/>
  <c r="R760" i="7"/>
  <c r="R1057" i="7"/>
  <c r="R589" i="7"/>
  <c r="R176" i="7"/>
  <c r="R177" i="7"/>
  <c r="R658" i="7"/>
  <c r="R1058" i="7"/>
  <c r="R1059" i="7"/>
  <c r="R1060" i="7"/>
  <c r="R1061" i="7"/>
  <c r="R178" i="7"/>
  <c r="R179" i="7"/>
  <c r="R180" i="7"/>
  <c r="R181" i="7"/>
  <c r="R391" i="7"/>
  <c r="R1062" i="7"/>
  <c r="R1063" i="7"/>
  <c r="R1064" i="7"/>
  <c r="R590" i="7"/>
  <c r="R498" i="7"/>
  <c r="R499" i="7"/>
  <c r="R500" i="7"/>
  <c r="R501" i="7"/>
  <c r="R392" i="7"/>
  <c r="R393" i="7"/>
  <c r="R397" i="7"/>
  <c r="R406" i="7"/>
  <c r="R398" i="7"/>
  <c r="R399" i="7"/>
  <c r="R394" i="7"/>
  <c r="R407" i="7"/>
  <c r="R395" i="7"/>
  <c r="R396" i="7"/>
  <c r="R400" i="7"/>
  <c r="R401" i="7"/>
  <c r="R402" i="7"/>
  <c r="R403" i="7"/>
  <c r="R404" i="7"/>
  <c r="R405" i="7"/>
  <c r="R408" i="7"/>
  <c r="R182" i="7"/>
  <c r="R502" i="7"/>
  <c r="R1065" i="7"/>
  <c r="R1066" i="7"/>
  <c r="R503" i="7"/>
  <c r="R504" i="7"/>
  <c r="R183" i="7"/>
  <c r="R1171" i="7"/>
  <c r="R1172" i="7"/>
  <c r="R1067" i="7"/>
  <c r="R1068" i="7"/>
  <c r="R1069" i="7"/>
  <c r="R1070" i="7"/>
  <c r="R931" i="7"/>
  <c r="R1071" i="7"/>
  <c r="R1072" i="7"/>
  <c r="R1073" i="7"/>
  <c r="R1074" i="7"/>
  <c r="R1075" i="7"/>
  <c r="R659" i="7"/>
  <c r="R965" i="7"/>
  <c r="R591" i="7"/>
  <c r="R592" i="7"/>
  <c r="R1076" i="7"/>
  <c r="R409" i="7"/>
  <c r="R1077" i="7"/>
  <c r="R410" i="7"/>
  <c r="R505" i="7"/>
  <c r="R506" i="7"/>
  <c r="R507" i="7"/>
  <c r="R508" i="7"/>
  <c r="R184" i="7"/>
  <c r="R509" i="7"/>
  <c r="R1078" i="7"/>
  <c r="R1079" i="7"/>
  <c r="R1080" i="7"/>
  <c r="R1081" i="7"/>
  <c r="R1082" i="7"/>
  <c r="R1083" i="7"/>
  <c r="R1084" i="7"/>
  <c r="R1085" i="7"/>
  <c r="R510" i="7"/>
  <c r="R511" i="7"/>
  <c r="R1086" i="7"/>
  <c r="R1087" i="7"/>
  <c r="R1088" i="7"/>
  <c r="R1089" i="7"/>
  <c r="R185" i="7"/>
  <c r="R186" i="7"/>
  <c r="R614" i="7"/>
  <c r="R411" i="7"/>
  <c r="R412" i="7"/>
  <c r="R512" i="7"/>
  <c r="R932" i="7"/>
  <c r="R966" i="7"/>
  <c r="R967" i="7"/>
  <c r="R968" i="7"/>
  <c r="R969" i="7"/>
  <c r="R970" i="7"/>
  <c r="R971" i="7"/>
  <c r="R513" i="7"/>
  <c r="R761" i="7"/>
  <c r="R829" i="7"/>
  <c r="R660" i="7"/>
  <c r="R514" i="7"/>
  <c r="R762" i="7"/>
  <c r="R413" i="7"/>
  <c r="R972" i="7"/>
  <c r="R593" i="7"/>
  <c r="R187" i="7"/>
  <c r="R188" i="7"/>
  <c r="R189" i="7"/>
  <c r="R190" i="7"/>
  <c r="R191" i="7"/>
  <c r="R192" i="7"/>
  <c r="R193" i="7"/>
  <c r="R194" i="7"/>
  <c r="R195" i="7"/>
  <c r="R196" i="7"/>
  <c r="R1289" i="7"/>
  <c r="R515" i="7"/>
  <c r="R516" i="7"/>
  <c r="R1156" i="7"/>
  <c r="R594" i="7"/>
  <c r="R1290" i="7"/>
  <c r="R661" i="7"/>
  <c r="R830" i="7"/>
  <c r="R831" i="7"/>
  <c r="R832" i="7"/>
  <c r="R833" i="7"/>
  <c r="R764" i="7"/>
  <c r="R934" i="7"/>
  <c r="R662" i="7"/>
  <c r="R663" i="7"/>
  <c r="R1291" i="7"/>
  <c r="R834" i="7"/>
  <c r="R198" i="7"/>
  <c r="R935" i="7"/>
  <c r="R1157" i="7"/>
  <c r="R1158" i="7"/>
  <c r="R199" i="7"/>
  <c r="R265" i="7"/>
  <c r="R266" i="7"/>
  <c r="R1159" i="7"/>
  <c r="R1160" i="7"/>
  <c r="R835" i="7"/>
  <c r="R836" i="7"/>
  <c r="R267" i="7"/>
  <c r="R765" i="7"/>
  <c r="R518" i="7"/>
  <c r="R1092" i="7"/>
  <c r="R422" i="7"/>
  <c r="R766" i="7"/>
  <c r="R200" i="7"/>
  <c r="R423" i="7"/>
  <c r="R519" i="7"/>
  <c r="R453" i="7"/>
  <c r="R798" i="7"/>
  <c r="R767" i="7"/>
  <c r="R268" i="7"/>
  <c r="R269" i="7"/>
  <c r="R1292" i="7"/>
  <c r="R768" i="7"/>
  <c r="R424" i="7"/>
  <c r="R275" i="7"/>
  <c r="R1293" i="7"/>
  <c r="R520" i="7"/>
  <c r="R1294" i="7"/>
  <c r="R521" i="7"/>
  <c r="R1295" i="7"/>
  <c r="R454" i="7"/>
  <c r="R455" i="7"/>
  <c r="R1093" i="7"/>
  <c r="R276" i="7"/>
  <c r="R203" i="7"/>
  <c r="R204" i="7"/>
  <c r="R205" i="7"/>
  <c r="R206" i="7"/>
  <c r="R207" i="7"/>
  <c r="R1094" i="7"/>
  <c r="R1095" i="7"/>
  <c r="R1096" i="7"/>
  <c r="R1097" i="7"/>
  <c r="R1098" i="7"/>
  <c r="R1099" i="7"/>
  <c r="R769" i="7"/>
  <c r="R1100" i="7"/>
  <c r="R936" i="7"/>
  <c r="R456" i="7"/>
  <c r="R429" i="7"/>
  <c r="R973" i="7"/>
  <c r="R974" i="7"/>
  <c r="R975" i="7"/>
  <c r="R976" i="7"/>
  <c r="R937" i="7"/>
  <c r="R208" i="7"/>
  <c r="R938" i="7"/>
  <c r="R939" i="7"/>
  <c r="R977" i="7"/>
  <c r="R940" i="7"/>
  <c r="R941" i="7"/>
  <c r="R942" i="7"/>
  <c r="R209" i="7"/>
  <c r="R522" i="7"/>
  <c r="R523" i="7"/>
  <c r="R770" i="7"/>
  <c r="R771" i="7"/>
  <c r="R213" i="7"/>
  <c r="R214" i="7"/>
  <c r="R799" i="7"/>
  <c r="R943" i="7"/>
  <c r="R944" i="7"/>
  <c r="R945" i="7"/>
  <c r="R946" i="7"/>
  <c r="R215" i="7"/>
  <c r="R216" i="7"/>
  <c r="R217" i="7"/>
  <c r="R772" i="7"/>
  <c r="R989" i="7"/>
  <c r="R947" i="7"/>
  <c r="R948" i="7"/>
  <c r="R218" i="7"/>
  <c r="R773" i="7"/>
  <c r="R433" i="7"/>
  <c r="R434" i="7"/>
  <c r="R435" i="7"/>
  <c r="R437" i="7"/>
  <c r="R442" i="7"/>
  <c r="R443" i="7"/>
  <c r="R444" i="7"/>
  <c r="R445" i="7"/>
  <c r="R1101" i="7"/>
  <c r="Q1241" i="7"/>
  <c r="Q957" i="7"/>
  <c r="Q1031" i="7"/>
  <c r="Q279" i="7"/>
  <c r="Q3" i="7"/>
  <c r="Q280" i="7"/>
  <c r="Q1225" i="7"/>
  <c r="Q4" i="7"/>
  <c r="Q666" i="7"/>
  <c r="Q667" i="7"/>
  <c r="Q668" i="7"/>
  <c r="Q669" i="7"/>
  <c r="Q670" i="7"/>
  <c r="Q671" i="7"/>
  <c r="Q672" i="7"/>
  <c r="Q673" i="7"/>
  <c r="Q674" i="7"/>
  <c r="Q676" i="7"/>
  <c r="Q678" i="7"/>
  <c r="Q990" i="7"/>
  <c r="Q991" i="7"/>
  <c r="Q457" i="7"/>
  <c r="Q7" i="7"/>
  <c r="Q9" i="7"/>
  <c r="Q8" i="7"/>
  <c r="Q10" i="7"/>
  <c r="Q11" i="7"/>
  <c r="Q5" i="7"/>
  <c r="Q6" i="7"/>
  <c r="Q1227" i="7"/>
  <c r="Q1228" i="7"/>
  <c r="Q628" i="7"/>
  <c r="Q458" i="7"/>
  <c r="Q287" i="7"/>
  <c r="Q288" i="7"/>
  <c r="Q1219" i="7"/>
  <c r="Q837" i="7"/>
  <c r="Q838" i="7"/>
  <c r="Q992" i="7"/>
  <c r="Q993" i="7"/>
  <c r="Q994" i="7"/>
  <c r="Q995" i="7"/>
  <c r="Q839" i="7"/>
  <c r="Q840" i="7"/>
  <c r="Q996" i="7"/>
  <c r="Q619" i="7"/>
  <c r="Q631" i="7"/>
  <c r="Q980" i="7"/>
  <c r="Q596" i="7"/>
  <c r="Q459" i="7"/>
  <c r="Q997" i="7"/>
  <c r="Q998" i="7"/>
  <c r="Q460" i="7"/>
  <c r="Q461" i="7"/>
  <c r="Q1229" i="7"/>
  <c r="Q841" i="7"/>
  <c r="Q597" i="7"/>
  <c r="Q951" i="7"/>
  <c r="Q952" i="7"/>
  <c r="Q842" i="7"/>
  <c r="Q12" i="7"/>
  <c r="Q13" i="7"/>
  <c r="Q23" i="7"/>
  <c r="Q1230" i="7"/>
  <c r="Q528" i="7"/>
  <c r="Q679" i="7"/>
  <c r="Q529" i="7"/>
  <c r="Q530" i="7"/>
  <c r="Q531" i="7"/>
  <c r="Q532" i="7"/>
  <c r="Q536" i="7"/>
  <c r="Q533" i="7"/>
  <c r="Q680" i="7"/>
  <c r="Q534" i="7"/>
  <c r="Q535" i="7"/>
  <c r="Q537" i="7"/>
  <c r="Q462" i="7"/>
  <c r="Q290" i="7"/>
  <c r="Q291" i="7"/>
  <c r="Q14" i="7"/>
  <c r="Q15" i="7"/>
  <c r="Q16" i="7"/>
  <c r="Q17" i="7"/>
  <c r="Q1231" i="7"/>
  <c r="Q18" i="7"/>
  <c r="Q681" i="7"/>
  <c r="Q1232" i="7"/>
  <c r="Q19" i="7"/>
  <c r="Q20" i="7"/>
  <c r="Q538" i="7"/>
  <c r="Q539" i="7"/>
  <c r="Q540" i="7"/>
  <c r="Q21" i="7"/>
  <c r="Q22" i="7"/>
  <c r="Q24" i="7"/>
  <c r="Q541" i="7"/>
  <c r="Q542" i="7"/>
  <c r="Q543" i="7"/>
  <c r="Q544" i="7"/>
  <c r="Q545" i="7"/>
  <c r="Q546" i="7"/>
  <c r="Q547" i="7"/>
  <c r="Q25" i="7"/>
  <c r="Q26" i="7"/>
  <c r="Q27" i="7"/>
  <c r="Q292" i="7"/>
  <c r="Q31" i="7"/>
  <c r="Q843" i="7"/>
  <c r="Q32" i="7"/>
  <c r="Q33" i="7"/>
  <c r="Q999" i="7"/>
  <c r="Q1000" i="7"/>
  <c r="Q34" i="7"/>
  <c r="Q38" i="7"/>
  <c r="Q35" i="7"/>
  <c r="Q36" i="7"/>
  <c r="Q37" i="7"/>
  <c r="Q39" i="7"/>
  <c r="Q40" i="7"/>
  <c r="Q41" i="7"/>
  <c r="Q42" i="7"/>
  <c r="Q43" i="7"/>
  <c r="Q44" i="7"/>
  <c r="Q45" i="7"/>
  <c r="Q1233" i="7"/>
  <c r="Q48" i="7"/>
  <c r="Q682" i="7"/>
  <c r="Q844" i="7"/>
  <c r="Q1234" i="7"/>
  <c r="Q1235" i="7"/>
  <c r="Q1236" i="7"/>
  <c r="Q1237" i="7"/>
  <c r="Q1238" i="7"/>
  <c r="Q953" i="7"/>
  <c r="Q548" i="7"/>
  <c r="Q549" i="7"/>
  <c r="Q551" i="7"/>
  <c r="Q552" i="7"/>
  <c r="Q554" i="7"/>
  <c r="Q555" i="7"/>
  <c r="Q57" i="7"/>
  <c r="Q58" i="7"/>
  <c r="Q59" i="7"/>
  <c r="Q1001" i="7"/>
  <c r="Q621" i="7"/>
  <c r="Q622" i="7"/>
  <c r="Q598" i="7"/>
  <c r="Q1103" i="7"/>
  <c r="Q981" i="7"/>
  <c r="Q463" i="7"/>
  <c r="Q295" i="7"/>
  <c r="Q300" i="7"/>
  <c r="Q302" i="7"/>
  <c r="Q296" i="7"/>
  <c r="Q297" i="7"/>
  <c r="Q298" i="7"/>
  <c r="Q301" i="7"/>
  <c r="Q303" i="7"/>
  <c r="Q64" i="7"/>
  <c r="Q558" i="7"/>
  <c r="Q305" i="7"/>
  <c r="Q623" i="7"/>
  <c r="Q624" i="7"/>
  <c r="Q67" i="7"/>
  <c r="Q845" i="7"/>
  <c r="Q846" i="7"/>
  <c r="Q774" i="7"/>
  <c r="Q775" i="7"/>
  <c r="Q776" i="7"/>
  <c r="Q777" i="7"/>
  <c r="Q778" i="7"/>
  <c r="Q68" i="7"/>
  <c r="Q69" i="7"/>
  <c r="Q1239" i="7"/>
  <c r="Q70" i="7"/>
  <c r="Q779" i="7"/>
  <c r="Q1107" i="7"/>
  <c r="Q1108" i="7"/>
  <c r="Q1125" i="7"/>
  <c r="Q1109" i="7"/>
  <c r="Q1110" i="7"/>
  <c r="Q1111" i="7"/>
  <c r="Q1112" i="7"/>
  <c r="Q1113" i="7"/>
  <c r="Q1114" i="7"/>
  <c r="Q1115" i="7"/>
  <c r="Q1116" i="7"/>
  <c r="Q1117" i="7"/>
  <c r="Q1118" i="7"/>
  <c r="Q1120" i="7"/>
  <c r="Q1119" i="7"/>
  <c r="Q1121" i="7"/>
  <c r="Q1122" i="7"/>
  <c r="Q1123" i="7"/>
  <c r="Q1124" i="7"/>
  <c r="Q1126" i="7"/>
  <c r="Q1127" i="7"/>
  <c r="Q1128" i="7"/>
  <c r="Q1129" i="7"/>
  <c r="Q1130" i="7"/>
  <c r="Q1131" i="7"/>
  <c r="Q1132" i="7"/>
  <c r="Q1133" i="7"/>
  <c r="Q1134" i="7"/>
  <c r="Q1135" i="7"/>
  <c r="Q780" i="7"/>
  <c r="Q847" i="7"/>
  <c r="Q221" i="7"/>
  <c r="Q1240" i="7"/>
  <c r="Q1199" i="7"/>
  <c r="Q1136" i="7"/>
  <c r="Q308" i="7"/>
  <c r="Q599" i="7"/>
  <c r="Q72" i="7"/>
  <c r="Q1003" i="7"/>
  <c r="Q559" i="7"/>
  <c r="Q464" i="7"/>
  <c r="Q272" i="7"/>
  <c r="Q1004" i="7"/>
  <c r="Q1005" i="7"/>
  <c r="Q1221" i="7"/>
  <c r="Q1222" i="7"/>
  <c r="Q1223" i="7"/>
  <c r="Q848" i="7"/>
  <c r="Q849" i="7"/>
  <c r="Q850" i="7"/>
  <c r="Q851" i="7"/>
  <c r="Q852" i="7"/>
  <c r="Q853" i="7"/>
  <c r="Q79" i="7"/>
  <c r="Q82" i="7"/>
  <c r="Q465" i="7"/>
  <c r="Q625" i="7"/>
  <c r="Q1006" i="7"/>
  <c r="Q466" i="7"/>
  <c r="Q222" i="7"/>
  <c r="Q223" i="7"/>
  <c r="Q225" i="7"/>
  <c r="Q226" i="7"/>
  <c r="Q227" i="7"/>
  <c r="Q1242" i="7"/>
  <c r="Q87" i="7"/>
  <c r="Q88" i="7"/>
  <c r="Q89" i="7"/>
  <c r="Q319" i="7"/>
  <c r="Q686" i="7"/>
  <c r="Q854" i="7"/>
  <c r="Q90" i="7"/>
  <c r="Q855" i="7"/>
  <c r="Q856" i="7"/>
  <c r="Q857" i="7"/>
  <c r="Q687" i="7"/>
  <c r="Q688" i="7"/>
  <c r="Q1243" i="7"/>
  <c r="Q633" i="7"/>
  <c r="Q634" i="7"/>
  <c r="Q858" i="7"/>
  <c r="Q91" i="7"/>
  <c r="Q467" i="7"/>
  <c r="Q859" i="7"/>
  <c r="Q468" i="7"/>
  <c r="Q469" i="7"/>
  <c r="Q470" i="7"/>
  <c r="Q471" i="7"/>
  <c r="Q472" i="7"/>
  <c r="Q560" i="7"/>
  <c r="Q473" i="7"/>
  <c r="Q955" i="7"/>
  <c r="Q983" i="7"/>
  <c r="Q860" i="7"/>
  <c r="Q861" i="7"/>
  <c r="Q94" i="7"/>
  <c r="Q95" i="7"/>
  <c r="Q96" i="7"/>
  <c r="Q636" i="7"/>
  <c r="Q1244" i="7"/>
  <c r="Q1245" i="7"/>
  <c r="Q474" i="7"/>
  <c r="Q862" i="7"/>
  <c r="Q689" i="7"/>
  <c r="Q1246" i="7"/>
  <c r="Q1139" i="7"/>
  <c r="Q863" i="7"/>
  <c r="Q864" i="7"/>
  <c r="Q1161" i="7"/>
  <c r="Q1162" i="7"/>
  <c r="Q1163" i="7"/>
  <c r="Q1164" i="7"/>
  <c r="Q1247" i="7"/>
  <c r="Q865" i="7"/>
  <c r="Q866" i="7"/>
  <c r="Q867" i="7"/>
  <c r="Q868" i="7"/>
  <c r="Q869" i="7"/>
  <c r="Q870" i="7"/>
  <c r="Q871" i="7"/>
  <c r="Q872" i="7"/>
  <c r="Q873" i="7"/>
  <c r="Q874" i="7"/>
  <c r="Q1248" i="7"/>
  <c r="Q875" i="7"/>
  <c r="Q101" i="7"/>
  <c r="Q1249" i="7"/>
  <c r="Q876" i="7"/>
  <c r="Q475" i="7"/>
  <c r="Q561" i="7"/>
  <c r="Q877" i="7"/>
  <c r="Q476" i="7"/>
  <c r="Q477" i="7"/>
  <c r="Q878" i="7"/>
  <c r="Q478" i="7"/>
  <c r="Q524" i="7"/>
  <c r="Q1250" i="7"/>
  <c r="Q525" i="7"/>
  <c r="Q1007" i="7"/>
  <c r="Q1251" i="7"/>
  <c r="Q1252" i="7"/>
  <c r="Q102" i="7"/>
  <c r="Q105" i="7"/>
  <c r="Q106" i="7"/>
  <c r="Q1253" i="7"/>
  <c r="Q879" i="7"/>
  <c r="Q880" i="7"/>
  <c r="Q881" i="7"/>
  <c r="Q1254" i="7"/>
  <c r="Q228" i="7"/>
  <c r="Q690" i="7"/>
  <c r="Q107" i="7"/>
  <c r="Q108" i="7"/>
  <c r="Q109" i="7"/>
  <c r="Q110" i="7"/>
  <c r="Q111" i="7"/>
  <c r="Q112" i="7"/>
  <c r="Q229" i="7"/>
  <c r="Q230" i="7"/>
  <c r="Q231" i="7"/>
  <c r="Q232" i="7"/>
  <c r="Q233" i="7"/>
  <c r="Q234" i="7"/>
  <c r="Q235" i="7"/>
  <c r="Q236" i="7"/>
  <c r="Q237" i="7"/>
  <c r="Q238" i="7"/>
  <c r="Q239" i="7"/>
  <c r="Q240" i="7"/>
  <c r="Q241" i="7"/>
  <c r="Q242" i="7"/>
  <c r="Q243" i="7"/>
  <c r="Q244" i="7"/>
  <c r="Q246" i="7"/>
  <c r="Q245" i="7"/>
  <c r="Q247" i="7"/>
  <c r="Q113" i="7"/>
  <c r="Q114" i="7"/>
  <c r="Q115" i="7"/>
  <c r="Q116" i="7"/>
  <c r="Q117" i="7"/>
  <c r="Q119" i="7"/>
  <c r="Q479" i="7"/>
  <c r="Q562" i="7"/>
  <c r="Q1255" i="7"/>
  <c r="Q1008" i="7"/>
  <c r="Q882" i="7"/>
  <c r="Q122" i="7"/>
  <c r="Q883" i="7"/>
  <c r="Q884" i="7"/>
  <c r="Q1140" i="7"/>
  <c r="Q1141" i="7"/>
  <c r="Q782" i="7"/>
  <c r="Q1142" i="7"/>
  <c r="Q1143" i="7"/>
  <c r="Q783" i="7"/>
  <c r="Q784" i="7"/>
  <c r="Q1256" i="7"/>
  <c r="Q1257" i="7"/>
  <c r="Q248" i="7"/>
  <c r="Q123" i="7"/>
  <c r="Q637" i="7"/>
  <c r="Q1144" i="7"/>
  <c r="Q1152" i="7"/>
  <c r="Q1145" i="7"/>
  <c r="Q1146" i="7"/>
  <c r="Q1147" i="7"/>
  <c r="Q1148" i="7"/>
  <c r="Q1149" i="7"/>
  <c r="Q1150" i="7"/>
  <c r="Q1151" i="7"/>
  <c r="Q1153" i="7"/>
  <c r="Q124" i="7"/>
  <c r="Q1009" i="7"/>
  <c r="Q125" i="7"/>
  <c r="Q563" i="7"/>
  <c r="Q885" i="7"/>
  <c r="Q886" i="7"/>
  <c r="Q887" i="7"/>
  <c r="Q888" i="7"/>
  <c r="Q889" i="7"/>
  <c r="Q1010" i="7"/>
  <c r="Q890" i="7"/>
  <c r="Q891" i="7"/>
  <c r="Q1260" i="7"/>
  <c r="Q785" i="7"/>
  <c r="Q786" i="7"/>
  <c r="Q1174" i="7"/>
  <c r="Q1011" i="7"/>
  <c r="Q1012" i="7"/>
  <c r="Q787" i="7"/>
  <c r="Q892" i="7"/>
  <c r="Q801" i="7"/>
  <c r="Q802" i="7"/>
  <c r="Q803" i="7"/>
  <c r="Q1013" i="7"/>
  <c r="Q1261" i="7"/>
  <c r="Q1014" i="7"/>
  <c r="Q1015" i="7"/>
  <c r="Q956" i="7"/>
  <c r="Q564" i="7"/>
  <c r="Q893" i="7"/>
  <c r="Q894" i="7"/>
  <c r="Q692" i="7"/>
  <c r="Q693" i="7"/>
  <c r="Q694" i="7"/>
  <c r="Q895" i="7"/>
  <c r="Q901" i="7"/>
  <c r="Q896" i="7"/>
  <c r="Q897" i="7"/>
  <c r="Q898" i="7"/>
  <c r="Q899" i="7"/>
  <c r="Q900" i="7"/>
  <c r="Q902" i="7"/>
  <c r="Q903" i="7"/>
  <c r="Q904" i="7"/>
  <c r="Q695" i="7"/>
  <c r="Q126" i="7"/>
  <c r="Q696" i="7"/>
  <c r="Q905" i="7"/>
  <c r="Q906" i="7"/>
  <c r="Q907" i="7"/>
  <c r="Q908" i="7"/>
  <c r="Q909" i="7"/>
  <c r="Q910" i="7"/>
  <c r="Q129" i="7"/>
  <c r="Q638" i="7"/>
  <c r="Q1262" i="7"/>
  <c r="Q1263" i="7"/>
  <c r="Q1016" i="7"/>
  <c r="Q1017" i="7"/>
  <c r="Q1018" i="7"/>
  <c r="Q639" i="7"/>
  <c r="Q640" i="7"/>
  <c r="Q641" i="7"/>
  <c r="Q642" i="7"/>
  <c r="Q911" i="7"/>
  <c r="Q912" i="7"/>
  <c r="Q338" i="7"/>
  <c r="Q643" i="7"/>
  <c r="Q697" i="7"/>
  <c r="Q804" i="7"/>
  <c r="Q1264" i="7"/>
  <c r="Q698" i="7"/>
  <c r="Q699" i="7"/>
  <c r="Q700" i="7"/>
  <c r="Q701" i="7"/>
  <c r="Q702" i="7"/>
  <c r="Q706" i="7"/>
  <c r="Q703" i="7"/>
  <c r="Q704" i="7"/>
  <c r="Q705" i="7"/>
  <c r="Q707" i="7"/>
  <c r="Q788" i="7"/>
  <c r="Q708" i="7"/>
  <c r="Q709" i="7"/>
  <c r="Q710" i="7"/>
  <c r="Q711" i="7"/>
  <c r="Q805" i="7"/>
  <c r="Q806" i="7"/>
  <c r="Q807" i="7"/>
  <c r="Q808" i="7"/>
  <c r="Q809" i="7"/>
  <c r="Q810" i="7"/>
  <c r="Q811" i="7"/>
  <c r="Q789" i="7"/>
  <c r="Q712" i="7"/>
  <c r="Q713" i="7"/>
  <c r="Q714" i="7"/>
  <c r="Q715" i="7"/>
  <c r="Q716" i="7"/>
  <c r="Q717" i="7"/>
  <c r="Q812" i="7"/>
  <c r="Q718" i="7"/>
  <c r="Q719" i="7"/>
  <c r="Q813" i="7"/>
  <c r="Q814" i="7"/>
  <c r="Q720" i="7"/>
  <c r="Q721" i="7"/>
  <c r="Q958" i="7"/>
  <c r="Q722" i="7"/>
  <c r="Q723" i="7"/>
  <c r="Q724" i="7"/>
  <c r="Q725" i="7"/>
  <c r="Q815" i="7"/>
  <c r="Q816" i="7"/>
  <c r="Q817" i="7"/>
  <c r="Q818" i="7"/>
  <c r="Q726" i="7"/>
  <c r="Q913" i="7"/>
  <c r="Q819" i="7"/>
  <c r="Q820" i="7"/>
  <c r="Q644" i="7"/>
  <c r="Q821" i="7"/>
  <c r="Q727" i="7"/>
  <c r="Q728" i="7"/>
  <c r="Q729" i="7"/>
  <c r="Q730" i="7"/>
  <c r="Q731" i="7"/>
  <c r="Q732" i="7"/>
  <c r="Q733" i="7"/>
  <c r="Q734" i="7"/>
  <c r="Q446" i="7"/>
  <c r="Q959" i="7"/>
  <c r="Q735" i="7"/>
  <c r="Q914" i="7"/>
  <c r="Q134" i="7"/>
  <c r="Q1019" i="7"/>
  <c r="Q565" i="7"/>
  <c r="Q566" i="7"/>
  <c r="Q567" i="7"/>
  <c r="Q568" i="7"/>
  <c r="Q569" i="7"/>
  <c r="Q570" i="7"/>
  <c r="Q480" i="7"/>
  <c r="Q481" i="7"/>
  <c r="Q482" i="7"/>
  <c r="Q339" i="7"/>
  <c r="Q351" i="7"/>
  <c r="Q340" i="7"/>
  <c r="Q341" i="7"/>
  <c r="Q342" i="7"/>
  <c r="Q343" i="7"/>
  <c r="Q344" i="7"/>
  <c r="Q345" i="7"/>
  <c r="Q346" i="7"/>
  <c r="Q348" i="7"/>
  <c r="Q347" i="7"/>
  <c r="Q349" i="7"/>
  <c r="Q350" i="7"/>
  <c r="Q483" i="7"/>
  <c r="Q249" i="7"/>
  <c r="Q135" i="7"/>
  <c r="Q352" i="7"/>
  <c r="Q484" i="7"/>
  <c r="Q1020" i="7"/>
  <c r="Q1166" i="7"/>
  <c r="Q1167" i="7"/>
  <c r="Q136" i="7"/>
  <c r="Q1021" i="7"/>
  <c r="Q790" i="7"/>
  <c r="Q1022" i="7"/>
  <c r="Q1023" i="7"/>
  <c r="Q571" i="7"/>
  <c r="Q572" i="7"/>
  <c r="Q736" i="7"/>
  <c r="Q1024" i="7"/>
  <c r="Q1025" i="7"/>
  <c r="Q1026" i="7"/>
  <c r="Q1027" i="7"/>
  <c r="Q1028" i="7"/>
  <c r="Q1029" i="7"/>
  <c r="Q1030" i="7"/>
  <c r="Q1032" i="7"/>
  <c r="Q1033" i="7"/>
  <c r="Q1034" i="7"/>
  <c r="Q645" i="7"/>
  <c r="Q646" i="7"/>
  <c r="Q647" i="7"/>
  <c r="Q915" i="7"/>
  <c r="Q916" i="7"/>
  <c r="Q737" i="7"/>
  <c r="Q738" i="7"/>
  <c r="Q485" i="7"/>
  <c r="Q486" i="7"/>
  <c r="Q353" i="7"/>
  <c r="Q573" i="7"/>
  <c r="Q354" i="7"/>
  <c r="Q355" i="7"/>
  <c r="Q487" i="7"/>
  <c r="Q1265" i="7"/>
  <c r="Q574" i="7"/>
  <c r="Q488" i="7"/>
  <c r="Q489" i="7"/>
  <c r="Q490" i="7"/>
  <c r="Q575" i="7"/>
  <c r="Q137" i="7"/>
  <c r="Q1035" i="7"/>
  <c r="Q1036" i="7"/>
  <c r="Q1037" i="7"/>
  <c r="Q1038" i="7"/>
  <c r="Q1039" i="7"/>
  <c r="Q1040" i="7"/>
  <c r="Q1041" i="7"/>
  <c r="Q1042" i="7"/>
  <c r="Q1043" i="7"/>
  <c r="Q1044" i="7"/>
  <c r="Q138" i="7"/>
  <c r="Q356" i="7"/>
  <c r="Q917" i="7"/>
  <c r="Q918" i="7"/>
  <c r="Q739" i="7"/>
  <c r="Q1266" i="7"/>
  <c r="Q1267" i="7"/>
  <c r="Q740" i="7"/>
  <c r="Q1268" i="7"/>
  <c r="Q741" i="7"/>
  <c r="Q742" i="7"/>
  <c r="Q1269" i="7"/>
  <c r="Q1168" i="7"/>
  <c r="Q919" i="7"/>
  <c r="Q791" i="7"/>
  <c r="Q743" i="7"/>
  <c r="Q141" i="7"/>
  <c r="Q648" i="7"/>
  <c r="Q649" i="7"/>
  <c r="Q650" i="7"/>
  <c r="Q651" i="7"/>
  <c r="Q652" i="7"/>
  <c r="Q576" i="7"/>
  <c r="Q610" i="7"/>
  <c r="Q144" i="7"/>
  <c r="Q578" i="7"/>
  <c r="Q145" i="7"/>
  <c r="Q579" i="7"/>
  <c r="Q146" i="7"/>
  <c r="Q1270" i="7"/>
  <c r="Q357" i="7"/>
  <c r="Q745" i="7"/>
  <c r="Q492" i="7"/>
  <c r="Q1046" i="7"/>
  <c r="Q653" i="7"/>
  <c r="Q581" i="7"/>
  <c r="Q147" i="7"/>
  <c r="Q148" i="7"/>
  <c r="Q601" i="7"/>
  <c r="Q602" i="7"/>
  <c r="Q368" i="7"/>
  <c r="Q1271" i="7"/>
  <c r="Q1049" i="7"/>
  <c r="Q1176" i="7"/>
  <c r="Q1177" i="7"/>
  <c r="Q1050" i="7"/>
  <c r="Q604" i="7"/>
  <c r="Q748" i="7"/>
  <c r="Q153" i="7"/>
  <c r="Q824" i="7"/>
  <c r="Q1272" i="7"/>
  <c r="Q154" i="7"/>
  <c r="Q605" i="7"/>
  <c r="Q826" i="7"/>
  <c r="Q749" i="7"/>
  <c r="Q987" i="7"/>
  <c r="Q750" i="7"/>
  <c r="Q1051" i="7"/>
  <c r="Q751" i="7"/>
  <c r="Q752" i="7"/>
  <c r="Q753" i="7"/>
  <c r="Q754" i="7"/>
  <c r="Q755" i="7"/>
  <c r="Q155" i="7"/>
  <c r="Q156" i="7"/>
  <c r="Q756" i="7"/>
  <c r="Q157" i="7"/>
  <c r="Q158" i="7"/>
  <c r="Q159" i="7"/>
  <c r="Q757" i="7"/>
  <c r="Q1273" i="7"/>
  <c r="Q160" i="7"/>
  <c r="Q161" i="7"/>
  <c r="Q921" i="7"/>
  <c r="Q922" i="7"/>
  <c r="Q923" i="7"/>
  <c r="Q924" i="7"/>
  <c r="Q925" i="7"/>
  <c r="Q1274" i="7"/>
  <c r="Q606" i="7"/>
  <c r="Q162" i="7"/>
  <c r="Q1275" i="7"/>
  <c r="Q164" i="7"/>
  <c r="Q250" i="7"/>
  <c r="Q794" i="7"/>
  <c r="Q827" i="7"/>
  <c r="Q449" i="7"/>
  <c r="Q450" i="7"/>
  <c r="Q165" i="7"/>
  <c r="Q1052" i="7"/>
  <c r="Q168" i="7"/>
  <c r="Q1276" i="7"/>
  <c r="Q584" i="7"/>
  <c r="Q1155" i="7"/>
  <c r="Q1277" i="7"/>
  <c r="Q758" i="7"/>
  <c r="Q926" i="7"/>
  <c r="Q1278" i="7"/>
  <c r="Q1279" i="7"/>
  <c r="Q1053" i="7"/>
  <c r="Q927" i="7"/>
  <c r="Q1280" i="7"/>
  <c r="Q374" i="7"/>
  <c r="Q928" i="7"/>
  <c r="Q1281" i="7"/>
  <c r="Q964" i="7"/>
  <c r="Q929" i="7"/>
  <c r="Q930" i="7"/>
  <c r="Q795" i="7"/>
  <c r="Q173" i="7"/>
  <c r="Q495" i="7"/>
  <c r="Q1054" i="7"/>
  <c r="Q496" i="7"/>
  <c r="Q251" i="7"/>
  <c r="Q252" i="7"/>
  <c r="Q253" i="7"/>
  <c r="Q254" i="7"/>
  <c r="Q255" i="7"/>
  <c r="Q585" i="7"/>
  <c r="Q1282" i="7"/>
  <c r="Q174" i="7"/>
  <c r="Q256" i="7"/>
  <c r="Q257" i="7"/>
  <c r="Q828" i="7"/>
  <c r="Q258" i="7"/>
  <c r="Q586" i="7"/>
  <c r="Q259" i="7"/>
  <c r="Q497" i="7"/>
  <c r="Q260" i="7"/>
  <c r="Q261" i="7"/>
  <c r="Q262" i="7"/>
  <c r="Q1055" i="7"/>
  <c r="Q263" i="7"/>
  <c r="Q264" i="7"/>
  <c r="Q1056" i="7"/>
  <c r="Q759" i="7"/>
  <c r="Q175" i="7"/>
  <c r="Q1283" i="7"/>
  <c r="Q1284" i="7"/>
  <c r="Q588" i="7"/>
  <c r="Q1285" i="7"/>
  <c r="Q1286" i="7"/>
  <c r="Q1287" i="7"/>
  <c r="Q1288" i="7"/>
  <c r="Q796" i="7"/>
  <c r="Q797" i="7"/>
  <c r="Q760" i="7"/>
  <c r="Q1057" i="7"/>
  <c r="Q589" i="7"/>
  <c r="Q176" i="7"/>
  <c r="Q177" i="7"/>
  <c r="Q658" i="7"/>
  <c r="Q1058" i="7"/>
  <c r="Q1059" i="7"/>
  <c r="Q1060" i="7"/>
  <c r="Q1061" i="7"/>
  <c r="Q178" i="7"/>
  <c r="Q179" i="7"/>
  <c r="Q180" i="7"/>
  <c r="Q181" i="7"/>
  <c r="Q391" i="7"/>
  <c r="Q1062" i="7"/>
  <c r="Q1063" i="7"/>
  <c r="Q1064" i="7"/>
  <c r="Q590" i="7"/>
  <c r="Q498" i="7"/>
  <c r="Q499" i="7"/>
  <c r="Q500" i="7"/>
  <c r="Q501" i="7"/>
  <c r="Q392" i="7"/>
  <c r="Q393" i="7"/>
  <c r="Q397" i="7"/>
  <c r="Q406" i="7"/>
  <c r="Q398" i="7"/>
  <c r="Q399" i="7"/>
  <c r="Q394" i="7"/>
  <c r="Q407" i="7"/>
  <c r="Q395" i="7"/>
  <c r="Q396" i="7"/>
  <c r="Q400" i="7"/>
  <c r="Q401" i="7"/>
  <c r="Q402" i="7"/>
  <c r="Q403" i="7"/>
  <c r="Q404" i="7"/>
  <c r="Q405" i="7"/>
  <c r="Q408" i="7"/>
  <c r="Q182" i="7"/>
  <c r="Q502" i="7"/>
  <c r="Q1065" i="7"/>
  <c r="Q1066" i="7"/>
  <c r="Q503" i="7"/>
  <c r="Q504" i="7"/>
  <c r="Q183" i="7"/>
  <c r="Q1171" i="7"/>
  <c r="Q1172" i="7"/>
  <c r="Q1067" i="7"/>
  <c r="Q1068" i="7"/>
  <c r="Q1069" i="7"/>
  <c r="Q1070" i="7"/>
  <c r="Q931" i="7"/>
  <c r="Q1071" i="7"/>
  <c r="Q1072" i="7"/>
  <c r="Q1073" i="7"/>
  <c r="Q1074" i="7"/>
  <c r="Q1075" i="7"/>
  <c r="Q659" i="7"/>
  <c r="Q965" i="7"/>
  <c r="Q591" i="7"/>
  <c r="Q592" i="7"/>
  <c r="Q1076" i="7"/>
  <c r="Q409" i="7"/>
  <c r="Q1077" i="7"/>
  <c r="Q410" i="7"/>
  <c r="Q505" i="7"/>
  <c r="Q506" i="7"/>
  <c r="Q507" i="7"/>
  <c r="Q508" i="7"/>
  <c r="Q184" i="7"/>
  <c r="Q509" i="7"/>
  <c r="Q1078" i="7"/>
  <c r="Q1079" i="7"/>
  <c r="Q1080" i="7"/>
  <c r="Q1081" i="7"/>
  <c r="Q1082" i="7"/>
  <c r="Q1083" i="7"/>
  <c r="Q1084" i="7"/>
  <c r="Q1085" i="7"/>
  <c r="Q510" i="7"/>
  <c r="Q511" i="7"/>
  <c r="Q1086" i="7"/>
  <c r="Q1087" i="7"/>
  <c r="Q1088" i="7"/>
  <c r="Q1089" i="7"/>
  <c r="Q185" i="7"/>
  <c r="Q186" i="7"/>
  <c r="Q614" i="7"/>
  <c r="Q411" i="7"/>
  <c r="Q412" i="7"/>
  <c r="Q512" i="7"/>
  <c r="Q932" i="7"/>
  <c r="Q966" i="7"/>
  <c r="Q967" i="7"/>
  <c r="Q968" i="7"/>
  <c r="Q969" i="7"/>
  <c r="Q970" i="7"/>
  <c r="Q971" i="7"/>
  <c r="Q513" i="7"/>
  <c r="Q761" i="7"/>
  <c r="Q829" i="7"/>
  <c r="Q660" i="7"/>
  <c r="Q514" i="7"/>
  <c r="Q762" i="7"/>
  <c r="Q413" i="7"/>
  <c r="Q972" i="7"/>
  <c r="Q593" i="7"/>
  <c r="Q187" i="7"/>
  <c r="Q188" i="7"/>
  <c r="Q189" i="7"/>
  <c r="Q190" i="7"/>
  <c r="Q191" i="7"/>
  <c r="Q192" i="7"/>
  <c r="Q193" i="7"/>
  <c r="Q194" i="7"/>
  <c r="Q195" i="7"/>
  <c r="Q196" i="7"/>
  <c r="Q1289" i="7"/>
  <c r="Q515" i="7"/>
  <c r="Q516" i="7"/>
  <c r="Q1156" i="7"/>
  <c r="Q594" i="7"/>
  <c r="Q1290" i="7"/>
  <c r="Q661" i="7"/>
  <c r="Q830" i="7"/>
  <c r="Q831" i="7"/>
  <c r="Q832" i="7"/>
  <c r="Q833" i="7"/>
  <c r="Q764" i="7"/>
  <c r="Q934" i="7"/>
  <c r="Q662" i="7"/>
  <c r="Q663" i="7"/>
  <c r="Q1291" i="7"/>
  <c r="Q834" i="7"/>
  <c r="Q198" i="7"/>
  <c r="Q935" i="7"/>
  <c r="Q1157" i="7"/>
  <c r="Q1158" i="7"/>
  <c r="Q199" i="7"/>
  <c r="Q265" i="7"/>
  <c r="Q266" i="7"/>
  <c r="Q1159" i="7"/>
  <c r="Q1160" i="7"/>
  <c r="Q835" i="7"/>
  <c r="Q836" i="7"/>
  <c r="Q267" i="7"/>
  <c r="Q765" i="7"/>
  <c r="Q518" i="7"/>
  <c r="Q1092" i="7"/>
  <c r="Q422" i="7"/>
  <c r="Q766" i="7"/>
  <c r="Q200" i="7"/>
  <c r="Q423" i="7"/>
  <c r="Q519" i="7"/>
  <c r="Q453" i="7"/>
  <c r="Q798" i="7"/>
  <c r="Q767" i="7"/>
  <c r="Q268" i="7"/>
  <c r="Q269" i="7"/>
  <c r="Q1292" i="7"/>
  <c r="Q768" i="7"/>
  <c r="Q424" i="7"/>
  <c r="Q275" i="7"/>
  <c r="Q1293" i="7"/>
  <c r="Q520" i="7"/>
  <c r="Q1294" i="7"/>
  <c r="Q521" i="7"/>
  <c r="Q1295" i="7"/>
  <c r="Q454" i="7"/>
  <c r="Q455" i="7"/>
  <c r="Q1093" i="7"/>
  <c r="Q276" i="7"/>
  <c r="Q203" i="7"/>
  <c r="Q204" i="7"/>
  <c r="Q205" i="7"/>
  <c r="Q206" i="7"/>
  <c r="Q207" i="7"/>
  <c r="Q1094" i="7"/>
  <c r="Q1095" i="7"/>
  <c r="Q1096" i="7"/>
  <c r="Q1097" i="7"/>
  <c r="Q1098" i="7"/>
  <c r="Q1099" i="7"/>
  <c r="Q769" i="7"/>
  <c r="Q1100" i="7"/>
  <c r="Q936" i="7"/>
  <c r="Q456" i="7"/>
  <c r="Q429" i="7"/>
  <c r="Q973" i="7"/>
  <c r="Q974" i="7"/>
  <c r="Q975" i="7"/>
  <c r="Q976" i="7"/>
  <c r="Q937" i="7"/>
  <c r="Q208" i="7"/>
  <c r="Q938" i="7"/>
  <c r="Q939" i="7"/>
  <c r="Q977" i="7"/>
  <c r="Q940" i="7"/>
  <c r="Q941" i="7"/>
  <c r="Q942" i="7"/>
  <c r="Q209" i="7"/>
  <c r="Q522" i="7"/>
  <c r="Q523" i="7"/>
  <c r="Q770" i="7"/>
  <c r="Q771" i="7"/>
  <c r="Q213" i="7"/>
  <c r="Q214" i="7"/>
  <c r="Q799" i="7"/>
  <c r="Q943" i="7"/>
  <c r="Q944" i="7"/>
  <c r="Q945" i="7"/>
  <c r="Q946" i="7"/>
  <c r="Q215" i="7"/>
  <c r="Q216" i="7"/>
  <c r="Q217" i="7"/>
  <c r="Q772" i="7"/>
  <c r="Q989" i="7"/>
  <c r="Q947" i="7"/>
  <c r="Q948" i="7"/>
  <c r="Q218" i="7"/>
  <c r="Q773" i="7"/>
  <c r="Q433" i="7"/>
  <c r="Q434" i="7"/>
  <c r="Q435" i="7"/>
  <c r="Q437" i="7"/>
  <c r="Q442" i="7"/>
  <c r="Q443" i="7"/>
  <c r="Q444" i="7"/>
  <c r="Q445" i="7"/>
  <c r="Q1101" i="7"/>
  <c r="B1241" i="7"/>
  <c r="B957" i="7"/>
  <c r="B1031" i="7"/>
  <c r="B279" i="7"/>
  <c r="B3" i="7"/>
  <c r="B280" i="7"/>
  <c r="B1225" i="7"/>
  <c r="B4" i="7"/>
  <c r="B666" i="7"/>
  <c r="B667" i="7"/>
  <c r="B668" i="7"/>
  <c r="B669" i="7"/>
  <c r="B670" i="7"/>
  <c r="B671" i="7"/>
  <c r="B672" i="7"/>
  <c r="B673" i="7"/>
  <c r="B674" i="7"/>
  <c r="B676" i="7"/>
  <c r="B678" i="7"/>
  <c r="B990" i="7"/>
  <c r="B991" i="7"/>
  <c r="B457" i="7"/>
  <c r="B7" i="7"/>
  <c r="B9" i="7"/>
  <c r="B8" i="7"/>
  <c r="B10" i="7"/>
  <c r="B11" i="7"/>
  <c r="B5" i="7"/>
  <c r="B6" i="7"/>
  <c r="B1227" i="7"/>
  <c r="B1228" i="7"/>
  <c r="B628" i="7"/>
  <c r="B458" i="7"/>
  <c r="B287" i="7"/>
  <c r="B288" i="7"/>
  <c r="B1219" i="7"/>
  <c r="B837" i="7"/>
  <c r="B838" i="7"/>
  <c r="B992" i="7"/>
  <c r="B993" i="7"/>
  <c r="B994" i="7"/>
  <c r="B995" i="7"/>
  <c r="B839" i="7"/>
  <c r="B840" i="7"/>
  <c r="B996" i="7"/>
  <c r="B619" i="7"/>
  <c r="B631" i="7"/>
  <c r="B980" i="7"/>
  <c r="B596" i="7"/>
  <c r="B459" i="7"/>
  <c r="B997" i="7"/>
  <c r="B998" i="7"/>
  <c r="B460" i="7"/>
  <c r="B461" i="7"/>
  <c r="B1229" i="7"/>
  <c r="B841" i="7"/>
  <c r="B597" i="7"/>
  <c r="B951" i="7"/>
  <c r="B952" i="7"/>
  <c r="B842" i="7"/>
  <c r="B12" i="7"/>
  <c r="B13" i="7"/>
  <c r="B23" i="7"/>
  <c r="B1230" i="7"/>
  <c r="B528" i="7"/>
  <c r="B679" i="7"/>
  <c r="B529" i="7"/>
  <c r="B530" i="7"/>
  <c r="B531" i="7"/>
  <c r="B532" i="7"/>
  <c r="B536" i="7"/>
  <c r="B533" i="7"/>
  <c r="B680" i="7"/>
  <c r="B534" i="7"/>
  <c r="B535" i="7"/>
  <c r="B537" i="7"/>
  <c r="B462" i="7"/>
  <c r="B290" i="7"/>
  <c r="B291" i="7"/>
  <c r="B14" i="7"/>
  <c r="B15" i="7"/>
  <c r="B16" i="7"/>
  <c r="B17" i="7"/>
  <c r="B1231" i="7"/>
  <c r="B18" i="7"/>
  <c r="B681" i="7"/>
  <c r="B1232" i="7"/>
  <c r="B19" i="7"/>
  <c r="B20" i="7"/>
  <c r="B538" i="7"/>
  <c r="B539" i="7"/>
  <c r="B540" i="7"/>
  <c r="B21" i="7"/>
  <c r="B22" i="7"/>
  <c r="B24" i="7"/>
  <c r="B541" i="7"/>
  <c r="B542" i="7"/>
  <c r="B543" i="7"/>
  <c r="B544" i="7"/>
  <c r="B545" i="7"/>
  <c r="B546" i="7"/>
  <c r="B547" i="7"/>
  <c r="B25" i="7"/>
  <c r="B26" i="7"/>
  <c r="B27" i="7"/>
  <c r="B292" i="7"/>
  <c r="B31" i="7"/>
  <c r="B843" i="7"/>
  <c r="B32" i="7"/>
  <c r="B33" i="7"/>
  <c r="B999" i="7"/>
  <c r="B1000" i="7"/>
  <c r="B34" i="7"/>
  <c r="B38" i="7"/>
  <c r="B35" i="7"/>
  <c r="B36" i="7"/>
  <c r="B37" i="7"/>
  <c r="B39" i="7"/>
  <c r="B40" i="7"/>
  <c r="B41" i="7"/>
  <c r="B42" i="7"/>
  <c r="B43" i="7"/>
  <c r="B44" i="7"/>
  <c r="B45" i="7"/>
  <c r="B1233" i="7"/>
  <c r="B48" i="7"/>
  <c r="B682" i="7"/>
  <c r="B844" i="7"/>
  <c r="B1234" i="7"/>
  <c r="B1235" i="7"/>
  <c r="B1236" i="7"/>
  <c r="B1237" i="7"/>
  <c r="B1238" i="7"/>
  <c r="B953" i="7"/>
  <c r="B548" i="7"/>
  <c r="B549" i="7"/>
  <c r="B551" i="7"/>
  <c r="B552" i="7"/>
  <c r="B554" i="7"/>
  <c r="B555" i="7"/>
  <c r="B57" i="7"/>
  <c r="B58" i="7"/>
  <c r="B59" i="7"/>
  <c r="B1001" i="7"/>
  <c r="B621" i="7"/>
  <c r="B622" i="7"/>
  <c r="B598" i="7"/>
  <c r="B1103" i="7"/>
  <c r="B981" i="7"/>
  <c r="B463" i="7"/>
  <c r="B295" i="7"/>
  <c r="B300" i="7"/>
  <c r="B302" i="7"/>
  <c r="B296" i="7"/>
  <c r="B297" i="7"/>
  <c r="B298" i="7"/>
  <c r="B301" i="7"/>
  <c r="B303" i="7"/>
  <c r="B64" i="7"/>
  <c r="B558" i="7"/>
  <c r="B305" i="7"/>
  <c r="B623" i="7"/>
  <c r="B624" i="7"/>
  <c r="B67" i="7"/>
  <c r="B845" i="7"/>
  <c r="B846" i="7"/>
  <c r="B774" i="7"/>
  <c r="B775" i="7"/>
  <c r="B776" i="7"/>
  <c r="B777" i="7"/>
  <c r="B778" i="7"/>
  <c r="B68" i="7"/>
  <c r="B69" i="7"/>
  <c r="B1239" i="7"/>
  <c r="B70" i="7"/>
  <c r="B779" i="7"/>
  <c r="B1107" i="7"/>
  <c r="B1108" i="7"/>
  <c r="B1125" i="7"/>
  <c r="B1109" i="7"/>
  <c r="B1110" i="7"/>
  <c r="B1111" i="7"/>
  <c r="B1112" i="7"/>
  <c r="B1113" i="7"/>
  <c r="B1114" i="7"/>
  <c r="B1115" i="7"/>
  <c r="B1116" i="7"/>
  <c r="B1117" i="7"/>
  <c r="B1118" i="7"/>
  <c r="B1120" i="7"/>
  <c r="B1119" i="7"/>
  <c r="B1121" i="7"/>
  <c r="B1122" i="7"/>
  <c r="B1123" i="7"/>
  <c r="B1124" i="7"/>
  <c r="B1126" i="7"/>
  <c r="B1127" i="7"/>
  <c r="B1128" i="7"/>
  <c r="B1129" i="7"/>
  <c r="B1130" i="7"/>
  <c r="B1131" i="7"/>
  <c r="B1132" i="7"/>
  <c r="B1133" i="7"/>
  <c r="B1134" i="7"/>
  <c r="B1135" i="7"/>
  <c r="B780" i="7"/>
  <c r="B847" i="7"/>
  <c r="B221" i="7"/>
  <c r="B1240" i="7"/>
  <c r="B1199" i="7"/>
  <c r="B1136" i="7"/>
  <c r="B308" i="7"/>
  <c r="B599" i="7"/>
  <c r="B72" i="7"/>
  <c r="B1003" i="7"/>
  <c r="B559" i="7"/>
  <c r="B464" i="7"/>
  <c r="B272" i="7"/>
  <c r="B1004" i="7"/>
  <c r="B1005" i="7"/>
  <c r="B1221" i="7"/>
  <c r="B1222" i="7"/>
  <c r="B1223" i="7"/>
  <c r="B848" i="7"/>
  <c r="B849" i="7"/>
  <c r="B850" i="7"/>
  <c r="B851" i="7"/>
  <c r="B852" i="7"/>
  <c r="B853" i="7"/>
  <c r="B79" i="7"/>
  <c r="B82" i="7"/>
  <c r="B465" i="7"/>
  <c r="B625" i="7"/>
  <c r="B1006" i="7"/>
  <c r="B466" i="7"/>
  <c r="B222" i="7"/>
  <c r="B223" i="7"/>
  <c r="B225" i="7"/>
  <c r="B226" i="7"/>
  <c r="B227" i="7"/>
  <c r="B1242" i="7"/>
  <c r="B87" i="7"/>
  <c r="B88" i="7"/>
  <c r="B89" i="7"/>
  <c r="B319" i="7"/>
  <c r="B686" i="7"/>
  <c r="B854" i="7"/>
  <c r="B90" i="7"/>
  <c r="B855" i="7"/>
  <c r="B856" i="7"/>
  <c r="B857" i="7"/>
  <c r="B687" i="7"/>
  <c r="B688" i="7"/>
  <c r="B1243" i="7"/>
  <c r="B633" i="7"/>
  <c r="B634" i="7"/>
  <c r="B858" i="7"/>
  <c r="B91" i="7"/>
  <c r="B467" i="7"/>
  <c r="B859" i="7"/>
  <c r="B468" i="7"/>
  <c r="B469" i="7"/>
  <c r="B470" i="7"/>
  <c r="B471" i="7"/>
  <c r="B472" i="7"/>
  <c r="B560" i="7"/>
  <c r="B473" i="7"/>
  <c r="B955" i="7"/>
  <c r="B983" i="7"/>
  <c r="B860" i="7"/>
  <c r="B861" i="7"/>
  <c r="B94" i="7"/>
  <c r="B95" i="7"/>
  <c r="B96" i="7"/>
  <c r="B636" i="7"/>
  <c r="B1244" i="7"/>
  <c r="B1245" i="7"/>
  <c r="B474" i="7"/>
  <c r="B862" i="7"/>
  <c r="B689" i="7"/>
  <c r="B1246" i="7"/>
  <c r="B1139" i="7"/>
  <c r="B863" i="7"/>
  <c r="B864" i="7"/>
  <c r="B1161" i="7"/>
  <c r="B1162" i="7"/>
  <c r="B1163" i="7"/>
  <c r="B1164" i="7"/>
  <c r="B1247" i="7"/>
  <c r="B865" i="7"/>
  <c r="B866" i="7"/>
  <c r="B867" i="7"/>
  <c r="B868" i="7"/>
  <c r="B869" i="7"/>
  <c r="B870" i="7"/>
  <c r="B871" i="7"/>
  <c r="B872" i="7"/>
  <c r="B873" i="7"/>
  <c r="B874" i="7"/>
  <c r="B1248" i="7"/>
  <c r="B875" i="7"/>
  <c r="B101" i="7"/>
  <c r="B1249" i="7"/>
  <c r="B876" i="7"/>
  <c r="B475" i="7"/>
  <c r="B561" i="7"/>
  <c r="B877" i="7"/>
  <c r="B476" i="7"/>
  <c r="B477" i="7"/>
  <c r="B878" i="7"/>
  <c r="B478" i="7"/>
  <c r="B524" i="7"/>
  <c r="B1250" i="7"/>
  <c r="B525" i="7"/>
  <c r="B1007" i="7"/>
  <c r="B1251" i="7"/>
  <c r="B1252" i="7"/>
  <c r="B102" i="7"/>
  <c r="B105" i="7"/>
  <c r="B106" i="7"/>
  <c r="B1253" i="7"/>
  <c r="B879" i="7"/>
  <c r="B880" i="7"/>
  <c r="B881" i="7"/>
  <c r="B1254" i="7"/>
  <c r="B228" i="7"/>
  <c r="B690" i="7"/>
  <c r="B107" i="7"/>
  <c r="B108" i="7"/>
  <c r="B109" i="7"/>
  <c r="B110" i="7"/>
  <c r="B111" i="7"/>
  <c r="B112" i="7"/>
  <c r="B229" i="7"/>
  <c r="B230" i="7"/>
  <c r="B231" i="7"/>
  <c r="B232" i="7"/>
  <c r="B233" i="7"/>
  <c r="B234" i="7"/>
  <c r="B235" i="7"/>
  <c r="B236" i="7"/>
  <c r="B237" i="7"/>
  <c r="B238" i="7"/>
  <c r="B239" i="7"/>
  <c r="B240" i="7"/>
  <c r="B241" i="7"/>
  <c r="B242" i="7"/>
  <c r="B243" i="7"/>
  <c r="B244" i="7"/>
  <c r="B246" i="7"/>
  <c r="B245" i="7"/>
  <c r="B247" i="7"/>
  <c r="B113" i="7"/>
  <c r="B114" i="7"/>
  <c r="B115" i="7"/>
  <c r="B116" i="7"/>
  <c r="B117" i="7"/>
  <c r="B119" i="7"/>
  <c r="B479" i="7"/>
  <c r="B562" i="7"/>
  <c r="B1255" i="7"/>
  <c r="B1008" i="7"/>
  <c r="B882" i="7"/>
  <c r="B122" i="7"/>
  <c r="B883" i="7"/>
  <c r="B884" i="7"/>
  <c r="B1140" i="7"/>
  <c r="B1141" i="7"/>
  <c r="B782" i="7"/>
  <c r="B1142" i="7"/>
  <c r="B1143" i="7"/>
  <c r="B783" i="7"/>
  <c r="B784" i="7"/>
  <c r="B1256" i="7"/>
  <c r="B1257" i="7"/>
  <c r="B248" i="7"/>
  <c r="B123" i="7"/>
  <c r="B637" i="7"/>
  <c r="B1144" i="7"/>
  <c r="B1152" i="7"/>
  <c r="B1145" i="7"/>
  <c r="B1146" i="7"/>
  <c r="B1147" i="7"/>
  <c r="B1148" i="7"/>
  <c r="B1149" i="7"/>
  <c r="B1150" i="7"/>
  <c r="B1151" i="7"/>
  <c r="B1153" i="7"/>
  <c r="B124" i="7"/>
  <c r="B1009" i="7"/>
  <c r="B125" i="7"/>
  <c r="B563" i="7"/>
  <c r="B885" i="7"/>
  <c r="B886" i="7"/>
  <c r="B887" i="7"/>
  <c r="B888" i="7"/>
  <c r="B889" i="7"/>
  <c r="B1010" i="7"/>
  <c r="B890" i="7"/>
  <c r="B891" i="7"/>
  <c r="B1260" i="7"/>
  <c r="B785" i="7"/>
  <c r="B786" i="7"/>
  <c r="B1174" i="7"/>
  <c r="B1011" i="7"/>
  <c r="B1012" i="7"/>
  <c r="B787" i="7"/>
  <c r="B892" i="7"/>
  <c r="B801" i="7"/>
  <c r="B802" i="7"/>
  <c r="B803" i="7"/>
  <c r="B1013" i="7"/>
  <c r="B1261" i="7"/>
  <c r="B1014" i="7"/>
  <c r="B1015" i="7"/>
  <c r="B956" i="7"/>
  <c r="B564" i="7"/>
  <c r="B893" i="7"/>
  <c r="B894" i="7"/>
  <c r="B692" i="7"/>
  <c r="B693" i="7"/>
  <c r="B694" i="7"/>
  <c r="B895" i="7"/>
  <c r="B901" i="7"/>
  <c r="B896" i="7"/>
  <c r="B897" i="7"/>
  <c r="B898" i="7"/>
  <c r="B899" i="7"/>
  <c r="B900" i="7"/>
  <c r="B902" i="7"/>
  <c r="B903" i="7"/>
  <c r="B904" i="7"/>
  <c r="B695" i="7"/>
  <c r="B126" i="7"/>
  <c r="B696" i="7"/>
  <c r="B905" i="7"/>
  <c r="B906" i="7"/>
  <c r="B907" i="7"/>
  <c r="B908" i="7"/>
  <c r="B909" i="7"/>
  <c r="B910" i="7"/>
  <c r="B129" i="7"/>
  <c r="B638" i="7"/>
  <c r="B1262" i="7"/>
  <c r="B1263" i="7"/>
  <c r="B1016" i="7"/>
  <c r="B1017" i="7"/>
  <c r="B1018" i="7"/>
  <c r="B639" i="7"/>
  <c r="B640" i="7"/>
  <c r="B641" i="7"/>
  <c r="B642" i="7"/>
  <c r="B911" i="7"/>
  <c r="B912" i="7"/>
  <c r="B338" i="7"/>
  <c r="B643" i="7"/>
  <c r="B697" i="7"/>
  <c r="B804" i="7"/>
  <c r="B1264" i="7"/>
  <c r="B698" i="7"/>
  <c r="B699" i="7"/>
  <c r="B700" i="7"/>
  <c r="B701" i="7"/>
  <c r="B702" i="7"/>
  <c r="B706" i="7"/>
  <c r="B703" i="7"/>
  <c r="B704" i="7"/>
  <c r="B705" i="7"/>
  <c r="B707" i="7"/>
  <c r="B788" i="7"/>
  <c r="B708" i="7"/>
  <c r="B709" i="7"/>
  <c r="B710" i="7"/>
  <c r="B711" i="7"/>
  <c r="B805" i="7"/>
  <c r="B806" i="7"/>
  <c r="B807" i="7"/>
  <c r="B808" i="7"/>
  <c r="B809" i="7"/>
  <c r="B810" i="7"/>
  <c r="B811" i="7"/>
  <c r="B789" i="7"/>
  <c r="B712" i="7"/>
  <c r="B713" i="7"/>
  <c r="B714" i="7"/>
  <c r="B715" i="7"/>
  <c r="B716" i="7"/>
  <c r="B717" i="7"/>
  <c r="B812" i="7"/>
  <c r="B718" i="7"/>
  <c r="B719" i="7"/>
  <c r="B813" i="7"/>
  <c r="B814" i="7"/>
  <c r="B720" i="7"/>
  <c r="B721" i="7"/>
  <c r="B958" i="7"/>
  <c r="B722" i="7"/>
  <c r="B723" i="7"/>
  <c r="B724" i="7"/>
  <c r="B725" i="7"/>
  <c r="B815" i="7"/>
  <c r="B816" i="7"/>
  <c r="B817" i="7"/>
  <c r="B818" i="7"/>
  <c r="B726" i="7"/>
  <c r="B913" i="7"/>
  <c r="B819" i="7"/>
  <c r="B820" i="7"/>
  <c r="B644" i="7"/>
  <c r="B821" i="7"/>
  <c r="B727" i="7"/>
  <c r="B728" i="7"/>
  <c r="B729" i="7"/>
  <c r="B730" i="7"/>
  <c r="B731" i="7"/>
  <c r="B732" i="7"/>
  <c r="B733" i="7"/>
  <c r="B734" i="7"/>
  <c r="B446" i="7"/>
  <c r="B959" i="7"/>
  <c r="B735" i="7"/>
  <c r="B914" i="7"/>
  <c r="B134" i="7"/>
  <c r="B1019" i="7"/>
  <c r="B565" i="7"/>
  <c r="B566" i="7"/>
  <c r="B567" i="7"/>
  <c r="B568" i="7"/>
  <c r="B569" i="7"/>
  <c r="B570" i="7"/>
  <c r="B480" i="7"/>
  <c r="B481" i="7"/>
  <c r="B482" i="7"/>
  <c r="B339" i="7"/>
  <c r="B351" i="7"/>
  <c r="B340" i="7"/>
  <c r="B341" i="7"/>
  <c r="B342" i="7"/>
  <c r="B343" i="7"/>
  <c r="B344" i="7"/>
  <c r="B345" i="7"/>
  <c r="B346" i="7"/>
  <c r="B348" i="7"/>
  <c r="B347" i="7"/>
  <c r="B349" i="7"/>
  <c r="B350" i="7"/>
  <c r="B483" i="7"/>
  <c r="B249" i="7"/>
  <c r="B135" i="7"/>
  <c r="B352" i="7"/>
  <c r="B484" i="7"/>
  <c r="B1020" i="7"/>
  <c r="B1166" i="7"/>
  <c r="B1167" i="7"/>
  <c r="B136" i="7"/>
  <c r="B1021" i="7"/>
  <c r="B790" i="7"/>
  <c r="B1022" i="7"/>
  <c r="B1023" i="7"/>
  <c r="B571" i="7"/>
  <c r="B572" i="7"/>
  <c r="B736" i="7"/>
  <c r="B1024" i="7"/>
  <c r="B1025" i="7"/>
  <c r="B1026" i="7"/>
  <c r="B1027" i="7"/>
  <c r="B1028" i="7"/>
  <c r="B1029" i="7"/>
  <c r="B1030" i="7"/>
  <c r="B1032" i="7"/>
  <c r="B1033" i="7"/>
  <c r="B1034" i="7"/>
  <c r="B645" i="7"/>
  <c r="B646" i="7"/>
  <c r="B647" i="7"/>
  <c r="B915" i="7"/>
  <c r="B916" i="7"/>
  <c r="B737" i="7"/>
  <c r="B738" i="7"/>
  <c r="B485" i="7"/>
  <c r="B486" i="7"/>
  <c r="B353" i="7"/>
  <c r="B573" i="7"/>
  <c r="B354" i="7"/>
  <c r="B355" i="7"/>
  <c r="B487" i="7"/>
  <c r="B1265" i="7"/>
  <c r="B574" i="7"/>
  <c r="B488" i="7"/>
  <c r="B489" i="7"/>
  <c r="B490" i="7"/>
  <c r="B575" i="7"/>
  <c r="B137" i="7"/>
  <c r="B1035" i="7"/>
  <c r="B1036" i="7"/>
  <c r="B1037" i="7"/>
  <c r="B1038" i="7"/>
  <c r="B1039" i="7"/>
  <c r="B1040" i="7"/>
  <c r="B1041" i="7"/>
  <c r="B1042" i="7"/>
  <c r="B1043" i="7"/>
  <c r="B1044" i="7"/>
  <c r="B138" i="7"/>
  <c r="B356" i="7"/>
  <c r="B917" i="7"/>
  <c r="B918" i="7"/>
  <c r="B739" i="7"/>
  <c r="B1266" i="7"/>
  <c r="B1267" i="7"/>
  <c r="B740" i="7"/>
  <c r="B1268" i="7"/>
  <c r="B741" i="7"/>
  <c r="B742" i="7"/>
  <c r="B1269" i="7"/>
  <c r="B1168" i="7"/>
  <c r="B919" i="7"/>
  <c r="B791" i="7"/>
  <c r="B743" i="7"/>
  <c r="B141" i="7"/>
  <c r="B648" i="7"/>
  <c r="B649" i="7"/>
  <c r="B650" i="7"/>
  <c r="B651" i="7"/>
  <c r="B652" i="7"/>
  <c r="B576" i="7"/>
  <c r="B610" i="7"/>
  <c r="B144" i="7"/>
  <c r="B578" i="7"/>
  <c r="B145" i="7"/>
  <c r="B579" i="7"/>
  <c r="B146" i="7"/>
  <c r="B1270" i="7"/>
  <c r="B357" i="7"/>
  <c r="B745" i="7"/>
  <c r="B492" i="7"/>
  <c r="B1046" i="7"/>
  <c r="B653" i="7"/>
  <c r="B581" i="7"/>
  <c r="B147" i="7"/>
  <c r="B148" i="7"/>
  <c r="B601" i="7"/>
  <c r="B602" i="7"/>
  <c r="B368" i="7"/>
  <c r="B1271" i="7"/>
  <c r="B1049" i="7"/>
  <c r="B1176" i="7"/>
  <c r="B1177" i="7"/>
  <c r="B1050" i="7"/>
  <c r="B604" i="7"/>
  <c r="B748" i="7"/>
  <c r="B153" i="7"/>
  <c r="B824" i="7"/>
  <c r="B1272" i="7"/>
  <c r="B154" i="7"/>
  <c r="B605" i="7"/>
  <c r="B826" i="7"/>
  <c r="B749" i="7"/>
  <c r="B987" i="7"/>
  <c r="B750" i="7"/>
  <c r="B1051" i="7"/>
  <c r="B751" i="7"/>
  <c r="B752" i="7"/>
  <c r="B753" i="7"/>
  <c r="B754" i="7"/>
  <c r="B755" i="7"/>
  <c r="B155" i="7"/>
  <c r="B156" i="7"/>
  <c r="B756" i="7"/>
  <c r="B157" i="7"/>
  <c r="B158" i="7"/>
  <c r="B159" i="7"/>
  <c r="B757" i="7"/>
  <c r="B1273" i="7"/>
  <c r="B160" i="7"/>
  <c r="B161" i="7"/>
  <c r="B921" i="7"/>
  <c r="B922" i="7"/>
  <c r="B923" i="7"/>
  <c r="B924" i="7"/>
  <c r="B925" i="7"/>
  <c r="B1274" i="7"/>
  <c r="B606" i="7"/>
  <c r="B162" i="7"/>
  <c r="B1275" i="7"/>
  <c r="B164" i="7"/>
  <c r="B250" i="7"/>
  <c r="B794" i="7"/>
  <c r="B827" i="7"/>
  <c r="B449" i="7"/>
  <c r="B450" i="7"/>
  <c r="B165" i="7"/>
  <c r="B1052" i="7"/>
  <c r="B168" i="7"/>
  <c r="B1276" i="7"/>
  <c r="B584" i="7"/>
  <c r="B1155" i="7"/>
  <c r="B1277" i="7"/>
  <c r="B758" i="7"/>
  <c r="B926" i="7"/>
  <c r="B1278" i="7"/>
  <c r="B1279" i="7"/>
  <c r="B1053" i="7"/>
  <c r="B927" i="7"/>
  <c r="B1280" i="7"/>
  <c r="B374" i="7"/>
  <c r="B928" i="7"/>
  <c r="B1281" i="7"/>
  <c r="B964" i="7"/>
  <c r="B929" i="7"/>
  <c r="B930" i="7"/>
  <c r="B795" i="7"/>
  <c r="B173" i="7"/>
  <c r="B495" i="7"/>
  <c r="B1054" i="7"/>
  <c r="B496" i="7"/>
  <c r="B251" i="7"/>
  <c r="B252" i="7"/>
  <c r="B253" i="7"/>
  <c r="B254" i="7"/>
  <c r="B255" i="7"/>
  <c r="B585" i="7"/>
  <c r="B1282" i="7"/>
  <c r="B174" i="7"/>
  <c r="B256" i="7"/>
  <c r="B257" i="7"/>
  <c r="B828" i="7"/>
  <c r="B258" i="7"/>
  <c r="B586" i="7"/>
  <c r="B259" i="7"/>
  <c r="B497" i="7"/>
  <c r="B260" i="7"/>
  <c r="B261" i="7"/>
  <c r="B262" i="7"/>
  <c r="B1055" i="7"/>
  <c r="B263" i="7"/>
  <c r="B264" i="7"/>
  <c r="B1056" i="7"/>
  <c r="B759" i="7"/>
  <c r="B175" i="7"/>
  <c r="B1283" i="7"/>
  <c r="B1284" i="7"/>
  <c r="B588" i="7"/>
  <c r="B1285" i="7"/>
  <c r="B1286" i="7"/>
  <c r="B1287" i="7"/>
  <c r="B1288" i="7"/>
  <c r="B796" i="7"/>
  <c r="B797" i="7"/>
  <c r="B760" i="7"/>
  <c r="B1057" i="7"/>
  <c r="B589" i="7"/>
  <c r="B176" i="7"/>
  <c r="B177" i="7"/>
  <c r="B658" i="7"/>
  <c r="B1058" i="7"/>
  <c r="B1059" i="7"/>
  <c r="B1060" i="7"/>
  <c r="B1061" i="7"/>
  <c r="B178" i="7"/>
  <c r="B179" i="7"/>
  <c r="B180" i="7"/>
  <c r="B181" i="7"/>
  <c r="B391" i="7"/>
  <c r="B1062" i="7"/>
  <c r="B1063" i="7"/>
  <c r="B1064" i="7"/>
  <c r="B590" i="7"/>
  <c r="B498" i="7"/>
  <c r="B499" i="7"/>
  <c r="B500" i="7"/>
  <c r="B501" i="7"/>
  <c r="B392" i="7"/>
  <c r="B393" i="7"/>
  <c r="B397" i="7"/>
  <c r="B406" i="7"/>
  <c r="B398" i="7"/>
  <c r="B399" i="7"/>
  <c r="B394" i="7"/>
  <c r="B407" i="7"/>
  <c r="B395" i="7"/>
  <c r="B396" i="7"/>
  <c r="B400" i="7"/>
  <c r="B401" i="7"/>
  <c r="B402" i="7"/>
  <c r="B403" i="7"/>
  <c r="B404" i="7"/>
  <c r="B405" i="7"/>
  <c r="B408" i="7"/>
  <c r="B182" i="7"/>
  <c r="B502" i="7"/>
  <c r="B1065" i="7"/>
  <c r="B1066" i="7"/>
  <c r="B503" i="7"/>
  <c r="B504" i="7"/>
  <c r="B183" i="7"/>
  <c r="B1171" i="7"/>
  <c r="B1172" i="7"/>
  <c r="B1067" i="7"/>
  <c r="B1068" i="7"/>
  <c r="B1069" i="7"/>
  <c r="B1070" i="7"/>
  <c r="B931" i="7"/>
  <c r="B1071" i="7"/>
  <c r="B1072" i="7"/>
  <c r="B1073" i="7"/>
  <c r="B1074" i="7"/>
  <c r="B1075" i="7"/>
  <c r="B659" i="7"/>
  <c r="B965" i="7"/>
  <c r="B591" i="7"/>
  <c r="B592" i="7"/>
  <c r="B1076" i="7"/>
  <c r="B409" i="7"/>
  <c r="B1077" i="7"/>
  <c r="B410" i="7"/>
  <c r="B505" i="7"/>
  <c r="B506" i="7"/>
  <c r="B507" i="7"/>
  <c r="B508" i="7"/>
  <c r="B184" i="7"/>
  <c r="B509" i="7"/>
  <c r="B1078" i="7"/>
  <c r="B1079" i="7"/>
  <c r="B1080" i="7"/>
  <c r="B1081" i="7"/>
  <c r="B1082" i="7"/>
  <c r="B1083" i="7"/>
  <c r="B1084" i="7"/>
  <c r="B1085" i="7"/>
  <c r="B510" i="7"/>
  <c r="B511" i="7"/>
  <c r="B1086" i="7"/>
  <c r="B1087" i="7"/>
  <c r="B1088" i="7"/>
  <c r="B1089" i="7"/>
  <c r="B185" i="7"/>
  <c r="B186" i="7"/>
  <c r="B614" i="7"/>
  <c r="B411" i="7"/>
  <c r="B412" i="7"/>
  <c r="B512" i="7"/>
  <c r="B932" i="7"/>
  <c r="B966" i="7"/>
  <c r="B967" i="7"/>
  <c r="B968" i="7"/>
  <c r="B969" i="7"/>
  <c r="B970" i="7"/>
  <c r="B971" i="7"/>
  <c r="B513" i="7"/>
  <c r="B761" i="7"/>
  <c r="B829" i="7"/>
  <c r="B660" i="7"/>
  <c r="B514" i="7"/>
  <c r="B762" i="7"/>
  <c r="B413" i="7"/>
  <c r="B972" i="7"/>
  <c r="B593" i="7"/>
  <c r="B187" i="7"/>
  <c r="B188" i="7"/>
  <c r="B189" i="7"/>
  <c r="B190" i="7"/>
  <c r="B191" i="7"/>
  <c r="B192" i="7"/>
  <c r="B193" i="7"/>
  <c r="B194" i="7"/>
  <c r="B195" i="7"/>
  <c r="B196" i="7"/>
  <c r="B1289" i="7"/>
  <c r="B515" i="7"/>
  <c r="B516" i="7"/>
  <c r="B1156" i="7"/>
  <c r="B594" i="7"/>
  <c r="B1290" i="7"/>
  <c r="B661" i="7"/>
  <c r="B830" i="7"/>
  <c r="B831" i="7"/>
  <c r="B832" i="7"/>
  <c r="B833" i="7"/>
  <c r="B764" i="7"/>
  <c r="B934" i="7"/>
  <c r="B662" i="7"/>
  <c r="B663" i="7"/>
  <c r="B1291" i="7"/>
  <c r="B834" i="7"/>
  <c r="B198" i="7"/>
  <c r="B935" i="7"/>
  <c r="B1157" i="7"/>
  <c r="B1158" i="7"/>
  <c r="B199" i="7"/>
  <c r="B265" i="7"/>
  <c r="B266" i="7"/>
  <c r="B1159" i="7"/>
  <c r="B1160" i="7"/>
  <c r="B835" i="7"/>
  <c r="B836" i="7"/>
  <c r="B267" i="7"/>
  <c r="B765" i="7"/>
  <c r="B518" i="7"/>
  <c r="B1092" i="7"/>
  <c r="B422" i="7"/>
  <c r="B766" i="7"/>
  <c r="B200" i="7"/>
  <c r="B423" i="7"/>
  <c r="B519" i="7"/>
  <c r="B453" i="7"/>
  <c r="B798" i="7"/>
  <c r="B767" i="7"/>
  <c r="B268" i="7"/>
  <c r="B269" i="7"/>
  <c r="B1292" i="7"/>
  <c r="B768" i="7"/>
  <c r="B424" i="7"/>
  <c r="B275" i="7"/>
  <c r="B1293" i="7"/>
  <c r="B520" i="7"/>
  <c r="B1294" i="7"/>
  <c r="B521" i="7"/>
  <c r="B1295" i="7"/>
  <c r="B454" i="7"/>
  <c r="B455" i="7"/>
  <c r="B1093" i="7"/>
  <c r="B276" i="7"/>
  <c r="B203" i="7"/>
  <c r="B204" i="7"/>
  <c r="B205" i="7"/>
  <c r="B206" i="7"/>
  <c r="B207" i="7"/>
  <c r="B1094" i="7"/>
  <c r="B1095" i="7"/>
  <c r="B1096" i="7"/>
  <c r="B1097" i="7"/>
  <c r="B1098" i="7"/>
  <c r="B1099" i="7"/>
  <c r="B769" i="7"/>
  <c r="B1100" i="7"/>
  <c r="B936" i="7"/>
  <c r="B456" i="7"/>
  <c r="B429" i="7"/>
  <c r="B973" i="7"/>
  <c r="B974" i="7"/>
  <c r="B975" i="7"/>
  <c r="B976" i="7"/>
  <c r="B937" i="7"/>
  <c r="B208" i="7"/>
  <c r="B938" i="7"/>
  <c r="B939" i="7"/>
  <c r="B977" i="7"/>
  <c r="B940" i="7"/>
  <c r="B941" i="7"/>
  <c r="B942" i="7"/>
  <c r="B209" i="7"/>
  <c r="B522" i="7"/>
  <c r="B523" i="7"/>
  <c r="B770" i="7"/>
  <c r="B771" i="7"/>
  <c r="B213" i="7"/>
  <c r="B214" i="7"/>
  <c r="B799" i="7"/>
  <c r="B943" i="7"/>
  <c r="B944" i="7"/>
  <c r="B945" i="7"/>
  <c r="B946" i="7"/>
  <c r="B215" i="7"/>
  <c r="B216" i="7"/>
  <c r="B217" i="7"/>
  <c r="B772" i="7"/>
  <c r="B989" i="7"/>
  <c r="B947" i="7"/>
  <c r="B948" i="7"/>
  <c r="B218" i="7"/>
  <c r="B773" i="7"/>
  <c r="B433" i="7"/>
  <c r="B434" i="7"/>
  <c r="B435" i="7"/>
  <c r="B437" i="7"/>
  <c r="B442" i="7"/>
  <c r="B443" i="7"/>
  <c r="B444" i="7"/>
  <c r="B445" i="7"/>
  <c r="B1101" i="7"/>
  <c r="L7" i="19" l="1"/>
  <c r="L9" i="19"/>
  <c r="L11" i="19"/>
  <c r="L6" i="19"/>
  <c r="L5" i="19"/>
  <c r="L13" i="19"/>
  <c r="AC337" i="7"/>
  <c r="AC587" i="7"/>
  <c r="L14" i="19"/>
  <c r="L8" i="19"/>
  <c r="AC1296" i="7"/>
  <c r="AC1226" i="7"/>
  <c r="AC436" i="7"/>
  <c r="AC416" i="7"/>
  <c r="AC376" i="7"/>
  <c r="AC336" i="7"/>
  <c r="AC316" i="7"/>
  <c r="AC76" i="7"/>
  <c r="AC56" i="7"/>
  <c r="AC441" i="7"/>
  <c r="AC431" i="7"/>
  <c r="AC421" i="7"/>
  <c r="AC381" i="7"/>
  <c r="AC361" i="7"/>
  <c r="AC331" i="7"/>
  <c r="AC321" i="7"/>
  <c r="AC311" i="7"/>
  <c r="AC281" i="7"/>
  <c r="AC211" i="7"/>
  <c r="AC131" i="7"/>
  <c r="AC121" i="7"/>
  <c r="AC81" i="7"/>
  <c r="AC61" i="7"/>
  <c r="AC51" i="7"/>
  <c r="AC1259" i="7"/>
  <c r="AC389" i="7"/>
  <c r="AC329" i="7"/>
  <c r="AC309" i="7"/>
  <c r="AC289" i="7"/>
  <c r="AC169" i="7"/>
  <c r="AC149" i="7"/>
  <c r="AC49" i="7"/>
  <c r="AC29" i="7"/>
  <c r="AC1258" i="7"/>
  <c r="AC438" i="7"/>
  <c r="AC418" i="7"/>
  <c r="AC378" i="7"/>
  <c r="AC358" i="7"/>
  <c r="AC318" i="7"/>
  <c r="AC118" i="7"/>
  <c r="AC98" i="7"/>
  <c r="AC78" i="7"/>
  <c r="AC1297" i="7"/>
  <c r="AC677" i="7"/>
  <c r="AC527" i="7"/>
  <c r="AC417" i="7"/>
  <c r="AC377" i="7"/>
  <c r="AC317" i="7"/>
  <c r="AC97" i="7"/>
  <c r="AC77" i="7"/>
  <c r="AC428" i="7"/>
  <c r="AC388" i="7"/>
  <c r="AC328" i="7"/>
  <c r="AC128" i="7"/>
  <c r="AC28" i="7"/>
  <c r="AC557" i="7"/>
  <c r="AC427" i="7"/>
  <c r="AC387" i="7"/>
  <c r="AC367" i="7"/>
  <c r="AC327" i="7"/>
  <c r="AC307" i="7"/>
  <c r="AC167" i="7"/>
  <c r="AC127" i="7"/>
  <c r="AC47" i="7"/>
  <c r="AC556" i="7"/>
  <c r="AC426" i="7"/>
  <c r="AC386" i="7"/>
  <c r="AC366" i="7"/>
  <c r="AC326" i="7"/>
  <c r="AC306" i="7"/>
  <c r="AC286" i="7"/>
  <c r="AC166" i="7"/>
  <c r="AC86" i="7"/>
  <c r="AC66" i="7"/>
  <c r="AC46" i="7"/>
  <c r="AC675" i="7"/>
  <c r="AC425" i="7"/>
  <c r="AC415" i="7"/>
  <c r="AC385" i="7"/>
  <c r="AC375" i="7"/>
  <c r="AC365" i="7"/>
  <c r="AC335" i="7"/>
  <c r="AC325" i="7"/>
  <c r="AC315" i="7"/>
  <c r="AC285" i="7"/>
  <c r="AC85" i="7"/>
  <c r="AC75" i="7"/>
  <c r="AC65" i="7"/>
  <c r="AC55" i="7"/>
  <c r="AC684" i="7"/>
  <c r="AC414" i="7"/>
  <c r="AC384" i="7"/>
  <c r="AC364" i="7"/>
  <c r="AC334" i="7"/>
  <c r="AC324" i="7"/>
  <c r="AC314" i="7"/>
  <c r="AC304" i="7"/>
  <c r="AC294" i="7"/>
  <c r="AC284" i="7"/>
  <c r="AC104" i="7"/>
  <c r="AC84" i="7"/>
  <c r="AC74" i="7"/>
  <c r="AC54" i="7"/>
  <c r="AC683" i="7"/>
  <c r="AC553" i="7"/>
  <c r="AC383" i="7"/>
  <c r="AC373" i="7"/>
  <c r="AC363" i="7"/>
  <c r="AC333" i="7"/>
  <c r="AC323" i="7"/>
  <c r="AC313" i="7"/>
  <c r="AC293" i="7"/>
  <c r="AC283" i="7"/>
  <c r="AC163" i="7"/>
  <c r="AC143" i="7"/>
  <c r="AC133" i="7"/>
  <c r="AC103" i="7"/>
  <c r="AC93" i="7"/>
  <c r="AC83" i="7"/>
  <c r="AC73" i="7"/>
  <c r="AC63" i="7"/>
  <c r="AC53" i="7"/>
  <c r="AC432" i="7"/>
  <c r="AC382" i="7"/>
  <c r="AC372" i="7"/>
  <c r="AC362" i="7"/>
  <c r="AC332" i="7"/>
  <c r="AC322" i="7"/>
  <c r="AC312" i="7"/>
  <c r="AC282" i="7"/>
  <c r="AC212" i="7"/>
  <c r="AC202" i="7"/>
  <c r="AC172" i="7"/>
  <c r="AC142" i="7"/>
  <c r="AC132" i="7"/>
  <c r="AC92" i="7"/>
  <c r="AC62" i="7"/>
  <c r="AC52" i="7"/>
  <c r="AC580" i="7"/>
  <c r="AC550" i="7"/>
  <c r="AC440" i="7"/>
  <c r="AC430" i="7"/>
  <c r="AC420" i="7"/>
  <c r="AC390" i="7"/>
  <c r="AC380" i="7"/>
  <c r="AC360" i="7"/>
  <c r="AC330" i="7"/>
  <c r="AC320" i="7"/>
  <c r="AC310" i="7"/>
  <c r="AC220" i="7"/>
  <c r="AC210" i="7"/>
  <c r="AC170" i="7"/>
  <c r="AC150" i="7"/>
  <c r="AC140" i="7"/>
  <c r="AC130" i="7"/>
  <c r="AC120" i="7"/>
  <c r="AC100" i="7"/>
  <c r="AC80" i="7"/>
  <c r="AC60" i="7"/>
  <c r="AC50" i="7"/>
  <c r="AC30" i="7"/>
  <c r="AC439" i="7"/>
  <c r="AC419" i="7"/>
  <c r="AC379" i="7"/>
  <c r="AC359" i="7"/>
  <c r="AC299" i="7"/>
  <c r="AC219" i="7"/>
  <c r="AC139" i="7"/>
  <c r="AC99" i="7"/>
  <c r="L10" i="19"/>
  <c r="A13" i="20" l="1" a="1"/>
  <c r="A13" i="20" s="1"/>
  <c r="D10" i="2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Donald Fraser</author>
  </authors>
  <commentList>
    <comment ref="A1" authorId="0" shapeId="0" xr:uid="{1CAE2AAB-F158-4C46-B898-201434548349}">
      <text>
        <r>
          <rPr>
            <b/>
            <sz val="10"/>
            <color rgb="FF000000"/>
            <rFont val="Tahoma"/>
            <family val="2"/>
          </rPr>
          <t>Donald Fraser:</t>
        </r>
        <r>
          <rPr>
            <sz val="10"/>
            <color rgb="FF000000"/>
            <rFont val="Tahoma"/>
            <family val="2"/>
          </rPr>
          <t xml:space="preserve">
RVG Code/Base Units = NZSA RVG 2021 default base units (lookup to 'RVG Codes' tab). Enter the code in col A; col B fills automatically. Rows tagged SRC-00 ported 28 Sep 2026 from 'Solusions+ Operations List' (Source Page and Number columns not carried over). See Info tab for the source register.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Donald Fraser</author>
  </authors>
  <commentList>
    <comment ref="A4" authorId="0" shapeId="0" xr:uid="{23E96E68-0C65-854E-95FA-C163EB44B03D}">
      <text>
        <r>
          <rPr>
            <b/>
            <sz val="10"/>
            <color rgb="FF000000"/>
            <rFont val="Tahoma"/>
            <family val="2"/>
          </rPr>
          <t>Donald Fraser:</t>
        </r>
        <r>
          <rPr>
            <sz val="10"/>
            <color rgb="FF000000"/>
            <rFont val="Tahoma"/>
            <family val="2"/>
          </rPr>
          <t xml:space="preserve">
Source: NZSA RVG 2021.pdf, uploaded 28 Sep 2026</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Donald Fraser</author>
  </authors>
  <commentList>
    <comment ref="A4" authorId="0" shapeId="0" xr:uid="{45B07970-842B-054E-96E6-698453A37CCA}">
      <text>
        <r>
          <rPr>
            <b/>
            <sz val="10"/>
            <color rgb="FF000000"/>
            <rFont val="Tahoma"/>
            <family val="2"/>
          </rPr>
          <t>Donald Fraser:</t>
        </r>
        <r>
          <rPr>
            <sz val="10"/>
            <color rgb="FF000000"/>
            <rFont val="Tahoma"/>
            <family val="2"/>
          </rPr>
          <t xml:space="preserve">
Source: Christchurch Eye Fixed Fee Contracts 1 April 2026 for Anaesthetists .pdf, uploaded 28 Sep 2026. Uploaded file.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Donald Fraser</author>
  </authors>
  <commentList>
    <comment ref="A4" authorId="0" shapeId="0" xr:uid="{DF272344-1B31-2D44-9956-DEB39BB821A2}">
      <text>
        <r>
          <rPr>
            <b/>
            <sz val="10"/>
            <color rgb="FF000000"/>
            <rFont val="Tahoma"/>
            <family val="2"/>
          </rPr>
          <t>Donald Fraser:</t>
        </r>
        <r>
          <rPr>
            <sz val="10"/>
            <color rgb="FF000000"/>
            <rFont val="Tahoma"/>
            <family val="2"/>
          </rPr>
          <t xml:space="preserve">
Source: SXAP MIGS  FEE SCHEDULE FOR ANAESTHETISTS 1 April 2026.pdf, uploaded 28 Sep 2026. Uploaded file.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Donald Fraser</author>
  </authors>
  <commentList>
    <comment ref="A4" authorId="0" shapeId="0" xr:uid="{04F063E9-36FC-3045-B4FC-71F4C7B48FED}">
      <text>
        <r>
          <rPr>
            <b/>
            <sz val="10"/>
            <color rgb="FF000000"/>
            <rFont val="Tahoma"/>
            <family val="2"/>
          </rPr>
          <t>Donald Fraser:</t>
        </r>
        <r>
          <rPr>
            <sz val="10"/>
            <color rgb="FF000000"/>
            <rFont val="Tahoma"/>
            <family val="2"/>
          </rPr>
          <t xml:space="preserve">
Source: Merivale Plastic Surgery &amp; Anaesthesia Associates Set Fee 01.06.26.pdf, uploaded 28 Sep 2026. Uploaded file.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Donald Fraser</author>
  </authors>
  <commentList>
    <comment ref="A4" authorId="0" shapeId="0" xr:uid="{2DF6A156-E61D-7446-B5E6-EB0EBA08F028}">
      <text>
        <r>
          <rPr>
            <b/>
            <sz val="10"/>
            <color rgb="FF000000"/>
            <rFont val="Tahoma"/>
            <family val="2"/>
          </rPr>
          <t>Donald Fraser:</t>
        </r>
        <r>
          <rPr>
            <sz val="10"/>
            <color rgb="FF000000"/>
            <rFont val="Tahoma"/>
            <family val="2"/>
          </rPr>
          <t xml:space="preserve">
Source: SXAP ECTROPION AND ENTROPION  FEE SCHEDULE FOR ANAESTHETISTS 1 APRIL 2026.pdf, uploaded 28 Sep 2026. Uploaded file.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Donald Fraser</author>
  </authors>
  <commentList>
    <comment ref="A4" authorId="0" shapeId="0" xr:uid="{9D7CEE88-4BED-3247-9857-B7C6818EDAA6}">
      <text>
        <r>
          <rPr>
            <b/>
            <sz val="10"/>
            <color rgb="FF000000"/>
            <rFont val="Tahoma"/>
            <family val="2"/>
          </rPr>
          <t>Donald Fraser:</t>
        </r>
        <r>
          <rPr>
            <sz val="10"/>
            <color rgb="FF000000"/>
            <rFont val="Tahoma"/>
            <family val="2"/>
          </rPr>
          <t xml:space="preserve">
Source: SXAP PTERYGIUM AND PINGUECULA  FEE SCHEDULE FOR ANAESTHETISTS  1 April 2026.pdf, uploaded 28 Sep 2026. Uploaded file.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Donald Fraser</author>
  </authors>
  <commentList>
    <comment ref="A4" authorId="0" shapeId="0" xr:uid="{668BC1C3-D3D2-3741-B9D1-F84DE0F52962}">
      <text>
        <r>
          <rPr>
            <b/>
            <sz val="10"/>
            <color rgb="FF000000"/>
            <rFont val="Tahoma"/>
            <family val="2"/>
          </rPr>
          <t>Source: SXAP PTOSIS AND BLEPHS FEE SCHEDULE FOR ANAESTHETISTS  1 April 2026.pdf, uploaded 28 Sep 2026. Uploaded file.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Donald Fraser</author>
  </authors>
  <commentList>
    <comment ref="A4" authorId="0" shapeId="0" xr:uid="{B0BE8D22-934E-C144-BF4B-33FB07A48301}">
      <text>
        <r>
          <rPr>
            <b/>
            <sz val="10"/>
            <color rgb="FF000000"/>
            <rFont val="Tahoma"/>
            <family val="2"/>
          </rPr>
          <t>Donald Fraser:</t>
        </r>
        <r>
          <rPr>
            <sz val="10"/>
            <color rgb="FF000000"/>
            <rFont val="Tahoma"/>
            <family val="2"/>
          </rPr>
          <t xml:space="preserve">
Source: worksheet 'HNZ CES ANAES FEES ' in this workbook (CES HNZ Contract), provided 28 Sep 2026. Extracted as printed.</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<sst xmlns="http://schemas.openxmlformats.org/spreadsheetml/2006/main" count="17729" uniqueCount="4959">
  <si>
    <t>Source Page</t>
  </si>
  <si>
    <t>Operation</t>
  </si>
  <si>
    <t>Number</t>
  </si>
  <si>
    <t>Basic</t>
  </si>
  <si>
    <t>Time</t>
  </si>
  <si>
    <t>Modifying</t>
  </si>
  <si>
    <t>Total</t>
  </si>
  <si>
    <t>Cost</t>
  </si>
  <si>
    <t>Corticobasal Degeneration.</t>
  </si>
  <si>
    <t>Holmium Laser Enucleation Of The Prostate</t>
  </si>
  <si>
    <t>Left Knee Arthroscopy Proceed To Meniscal Repair</t>
  </si>
  <si>
    <t>*AMENDED ACCOUNT* Bilateral Cataracts</t>
  </si>
  <si>
    <t>10% Discount - CDHB OUTSOURCED - Coblation Ad</t>
  </si>
  <si>
    <t>2 Muscles Right Eye</t>
  </si>
  <si>
    <t>2nd Invoice For Patient - Following Surgery With J S</t>
  </si>
  <si>
    <t>A Tympanic T-tube</t>
  </si>
  <si>
    <t>Abdominal Hysterectomy</t>
  </si>
  <si>
    <t>Abdominal Scar Revision</t>
  </si>
  <si>
    <t>Abdominal Scar Revisions</t>
  </si>
  <si>
    <t>Abdominioplasty</t>
  </si>
  <si>
    <t>Abdominoplasty</t>
  </si>
  <si>
    <t>Abdominoplasty &amp; 4 Lid Blepharoplasty</t>
  </si>
  <si>
    <t>Abdominoplasty &amp; Brachioplasty</t>
  </si>
  <si>
    <t>Abdominoplasty &amp; Breast Lift</t>
  </si>
  <si>
    <t>Abdominoplasty &amp; Liposuction</t>
  </si>
  <si>
    <t>Abdominoplasty Extended</t>
  </si>
  <si>
    <t>Abdominoplasty, Bilateral Breast List</t>
  </si>
  <si>
    <t>ACL Reconstruction</t>
  </si>
  <si>
    <t>ACL Repair</t>
  </si>
  <si>
    <t>Acromioplasty</t>
  </si>
  <si>
    <t>Adenoid Ablation</t>
  </si>
  <si>
    <t>Adenoidectomy,</t>
  </si>
  <si>
    <t>Adenoidectomy - Bilateral Myringotomies And Tube</t>
  </si>
  <si>
    <t>Adenoidectomy: For Biopsy</t>
  </si>
  <si>
    <t>Adenotonsillectomy</t>
  </si>
  <si>
    <t>Adeno-tonsillectomy</t>
  </si>
  <si>
    <t>Adeno-Tonsillectomy &amp; Turbinoplasty</t>
  </si>
  <si>
    <t>Adhesiolysis</t>
  </si>
  <si>
    <t>Adjust Gastric Band</t>
  </si>
  <si>
    <t>Amended - Posterolateral Fusion - Revision Mutiple</t>
  </si>
  <si>
    <t>Amended - Right Shoulder Arthroscopic Repair Of S</t>
  </si>
  <si>
    <t>AMENDED ACCOUNT - Right Cataract</t>
  </si>
  <si>
    <t>AMENDED ACCOUNT - Right NLDO Recanalisation</t>
  </si>
  <si>
    <t>Anaesthetic Telehealth Consultation For Administra</t>
  </si>
  <si>
    <t>Anal Sphincterotomy (Incl Eua) CDHB</t>
  </si>
  <si>
    <t>Anal Stretch</t>
  </si>
  <si>
    <t>Ankle Arthroscopy</t>
  </si>
  <si>
    <t>Ankle Fusion</t>
  </si>
  <si>
    <t>Ankle Reconstruction</t>
  </si>
  <si>
    <t>Ankle Replacement</t>
  </si>
  <si>
    <t>Anterior And Posterior Repair</t>
  </si>
  <si>
    <t>Anterior Colporthaphy</t>
  </si>
  <si>
    <t>Anterior Cruciate Reconstruction</t>
  </si>
  <si>
    <t>Anterior C-spine Decompression</t>
  </si>
  <si>
    <t>Anterior Lumbar Fusion</t>
  </si>
  <si>
    <t>Aorta Bi Illiac Aneurysm Repair</t>
  </si>
  <si>
    <t>Aortic Valve Replacement</t>
  </si>
  <si>
    <t>Arthroscopic Acromioplasty + Rotator Cuff Repair</t>
  </si>
  <si>
    <t>Arthroscopic Cruciate Reconstruction</t>
  </si>
  <si>
    <t>Arthroscopic Meniscectomy</t>
  </si>
  <si>
    <t>Arthroscopic Shoulder Decompression</t>
  </si>
  <si>
    <t>Arthroscopic Shoulder Stabilization</t>
  </si>
  <si>
    <t>Arthroscopy</t>
  </si>
  <si>
    <t>Artifical Urinary Sphincter</t>
  </si>
  <si>
    <t>AVRICABG</t>
  </si>
  <si>
    <t>Barrigel</t>
  </si>
  <si>
    <t>Barrigel Insertion</t>
  </si>
  <si>
    <t>Bartholins Cyst</t>
  </si>
  <si>
    <t>Bilalteral Otoplasty</t>
  </si>
  <si>
    <t>Bilateal Lower Lid Blepharoplasty</t>
  </si>
  <si>
    <t>Bilateral Lower Lid Blephs</t>
  </si>
  <si>
    <t>Bilateral Brachioplasty</t>
  </si>
  <si>
    <t>Bilateral Breast Augmentation</t>
  </si>
  <si>
    <t>Bilateral Breast Augmentation - Abdominoplasty</t>
  </si>
  <si>
    <t>Bilateral Breast Augmentation &amp; Mastopexies</t>
  </si>
  <si>
    <t>Bilateral Breast Lift (Mastopexy)</t>
  </si>
  <si>
    <t>Bilateral Breast Reconstruction With Diep Abdomin</t>
  </si>
  <si>
    <t>Bilateral Breast Reduction</t>
  </si>
  <si>
    <t>Bilateral Breast Reduction CDHB</t>
  </si>
  <si>
    <t>Bilateral Breast Reduction - CDHB</t>
  </si>
  <si>
    <t>Bilateral Breast Reduction + Abdominoplasty</t>
  </si>
  <si>
    <t>Bilateral Breast Reduction +/- Free Nipple Grafts</t>
  </si>
  <si>
    <t>Bilateral Breast Reduction Amended CDHB</t>
  </si>
  <si>
    <t>Bilateral Breast Reduction With Lateral Liposuction</t>
  </si>
  <si>
    <t>Bilateral Carpal Tunnel</t>
  </si>
  <si>
    <t>Bilateral Cataract</t>
  </si>
  <si>
    <t>Bilateral Cataracts</t>
  </si>
  <si>
    <t>Bilateral Cochlear Implant</t>
  </si>
  <si>
    <t>Bilateral Comprehensive Endoscopic Sinus Surgery</t>
  </si>
  <si>
    <t>Bilateral Ectropion Repair</t>
  </si>
  <si>
    <t>Bilateral Endoscopic Inferior Turbinoplasty</t>
  </si>
  <si>
    <t>Bilateral Excision DOG Ears/fat Grafting Right Reco</t>
  </si>
  <si>
    <t>Bilateral FESS And Inferior Turbinoplasty CDHB</t>
  </si>
  <si>
    <t>Bilateral Flank &amp; Inner Thigh Liposuction</t>
  </si>
  <si>
    <t>Bilateral FTSG From ULs To LLs WCDHB</t>
  </si>
  <si>
    <t>Bilateral Grommet Insertion</t>
  </si>
  <si>
    <t>Bilateral Grommets</t>
  </si>
  <si>
    <t>Bilateral Gynaecomastia</t>
  </si>
  <si>
    <t>Bilateral Implant Removal &amp; Capsulectomies</t>
  </si>
  <si>
    <t>Bilateral Implant Removal, Capsulectomies And Ne</t>
  </si>
  <si>
    <t>Bilateral Inferior Turbinoplasty</t>
  </si>
  <si>
    <t>Bilateral Inferior Turbinoplasty &amp; Septoplasty</t>
  </si>
  <si>
    <t>Bilateral Mastectomies</t>
  </si>
  <si>
    <t>Bilateral Mastectomies - Gender Reasignment</t>
  </si>
  <si>
    <t>Bilateral Mastectomies - Gender Reassignment</t>
  </si>
  <si>
    <t>Bilateral Mastectomies Gender Reassignment</t>
  </si>
  <si>
    <t>Bilateral Mastopexies</t>
  </si>
  <si>
    <t>Bilateral Modified Robertson Reduction Mammoplas</t>
  </si>
  <si>
    <t>Bilateral Myringotomies And Tubes</t>
  </si>
  <si>
    <t>Bilateral Myringotomies And Ventilation Tubes</t>
  </si>
  <si>
    <t>Bilateral Otoplasty</t>
  </si>
  <si>
    <t>Bilateral Refractive Lens Exchange</t>
  </si>
  <si>
    <t>Bilateral Sagittal Split Osteotomy</t>
  </si>
  <si>
    <t>Bilateral Scrotal Orchidectomy - DHB</t>
  </si>
  <si>
    <t>Bilateral TMJ Arthroscopy</t>
  </si>
  <si>
    <t>Bilateral Tonsillectomy</t>
  </si>
  <si>
    <t>Bilateral Total Hip Replacements</t>
  </si>
  <si>
    <t>Bilateral Total Knee Joint Replacement</t>
  </si>
  <si>
    <t>Bilateral Turbinoplasty</t>
  </si>
  <si>
    <t>Bilateral Upper Lid Blephs</t>
  </si>
  <si>
    <t>Bilateral Upper Lid Bleparoplasty</t>
  </si>
  <si>
    <t>Bilateral Upper Lid Blepharoplasties</t>
  </si>
  <si>
    <t>Bilateral Upper Lid Blepharoplasty</t>
  </si>
  <si>
    <t>Bilateral Ventilation Tube Insertion</t>
  </si>
  <si>
    <t>Bilateral Ventilation Tubes</t>
  </si>
  <si>
    <t>Bilateral Ventilation Tubes And Adenoidectomy</t>
  </si>
  <si>
    <t>Bilateral Ventillation Tube Insertion</t>
  </si>
  <si>
    <t>Bilateral Ventillation Tubes &amp; Adenoidectomy</t>
  </si>
  <si>
    <t>Bimaxillary Osteotomy</t>
  </si>
  <si>
    <t>Biopsies, Debridement Of Necrotic Bone And Closu</t>
  </si>
  <si>
    <t>Biopsy Of Left Lateral Border Of Tongue</t>
  </si>
  <si>
    <t>Birch colposuspension</t>
  </si>
  <si>
    <t>Bladder Neck Incision</t>
  </si>
  <si>
    <t>Bloods</t>
  </si>
  <si>
    <t>Bone Biopsy</t>
  </si>
  <si>
    <t>Botox Injection</t>
  </si>
  <si>
    <t>Botox To Pelvic Floor, Pudendal Nerve Blocks. Rem</t>
  </si>
  <si>
    <t>Brachioplasty</t>
  </si>
  <si>
    <t>Brachytherapy Prostate</t>
  </si>
  <si>
    <t>Breast Augmentation</t>
  </si>
  <si>
    <t>Breast Augmentation Gender Reassignment</t>
  </si>
  <si>
    <t>Breast Augmentation Revision - Implant Exchange,</t>
  </si>
  <si>
    <t>Breast Reduction</t>
  </si>
  <si>
    <t>Breast Reduction - Bilateral - Return To Theatre</t>
  </si>
  <si>
    <t>Browlift</t>
  </si>
  <si>
    <t>BSSO</t>
  </si>
  <si>
    <t>BSSO Surgery</t>
  </si>
  <si>
    <t>Bunionectomy</t>
  </si>
  <si>
    <t>C3/4 Anterior Cervical Discectomy And Fusion</t>
  </si>
  <si>
    <t>C5/6 &amp; C6/7 Anterior Cervical Discectomy &amp; Fusion</t>
  </si>
  <si>
    <t>CABG</t>
  </si>
  <si>
    <t>Cardioversion</t>
  </si>
  <si>
    <t>Carotid Endarterectomy</t>
  </si>
  <si>
    <t>Carpal Tunnel</t>
  </si>
  <si>
    <t>CATARACT CDHB</t>
  </si>
  <si>
    <t>Cataract Left</t>
  </si>
  <si>
    <t>Cataract Left - WCDHB</t>
  </si>
  <si>
    <t>Cataract CDHB</t>
  </si>
  <si>
    <t>CATARACT CDHB Left</t>
  </si>
  <si>
    <t>Cataract Extraction And Iol Implant - Local (Monitor</t>
  </si>
  <si>
    <t>Cataract Right</t>
  </si>
  <si>
    <t>Cautery Of Turbinates</t>
  </si>
  <si>
    <t>CDHB - Bilateral Breast Reduction / Mastopexy</t>
  </si>
  <si>
    <t>CDHB - Left Cataract</t>
  </si>
  <si>
    <t>Cervical C6/7 Foraminotomy</t>
  </si>
  <si>
    <t>Cevical C6/7 Foraminotomy</t>
  </si>
  <si>
    <t>Chin Augmentation</t>
  </si>
  <si>
    <t>Circumcision</t>
  </si>
  <si>
    <t>Circumcision - 00559178</t>
  </si>
  <si>
    <t>Closure lleostomy &amp; Flexi Sig - CDHB</t>
  </si>
  <si>
    <t>Closure Of Colostomy</t>
  </si>
  <si>
    <t>Closure Of lleostomy</t>
  </si>
  <si>
    <t>Closure Of Stoma</t>
  </si>
  <si>
    <t>Closure Of Stoma - CDHB</t>
  </si>
  <si>
    <t>Coblation Adenotonsillectomy</t>
  </si>
  <si>
    <t>Coblation Intracapsular Adenotonsillectomy &amp; Caut</t>
  </si>
  <si>
    <t>Coccygectomy</t>
  </si>
  <si>
    <t>Cochlear Implant</t>
  </si>
  <si>
    <t>Colectomy</t>
  </si>
  <si>
    <t>Colonoscopy</t>
  </si>
  <si>
    <t>Colonoscopy - CDHB</t>
  </si>
  <si>
    <t>Colonoscopy EUA Haemorrhiodectomy</t>
  </si>
  <si>
    <t>Colonoscopy &amp; Biopsy</t>
  </si>
  <si>
    <t>Colonoscopy &amp; Bx</t>
  </si>
  <si>
    <t>Colonoscopy &amp; Gastroscopy</t>
  </si>
  <si>
    <t>Colonoscopy &amp; Haemorrhoidectomy</t>
  </si>
  <si>
    <t>Colonoscopy + EUA +</t>
  </si>
  <si>
    <t>Colonoscopy + EUA +/- Fistulotomy +/- Seton - SX</t>
  </si>
  <si>
    <t>Colonoscopy + Excisision And Drainage Anal Fissu</t>
  </si>
  <si>
    <t>Colonoscopy + Gastroscopy + EUA + Haemorrhoide</t>
  </si>
  <si>
    <t>Colonoscopy + Polypectomies</t>
  </si>
  <si>
    <t>Colonoscopy + RBL</t>
  </si>
  <si>
    <t>Colonoscopy +/- Biopsies +/- Polypectomies</t>
  </si>
  <si>
    <t>Colonoscopy +/- Biopsies -+/ Polypectomies &amp; Seto</t>
  </si>
  <si>
    <t>Colonoscopy +/- Biopsies +/- Polypectomies + RBL</t>
  </si>
  <si>
    <t>Colonoscopy +h Polypectomy</t>
  </si>
  <si>
    <t>Colonoscopy And Biopsy</t>
  </si>
  <si>
    <t>Colonoscopy EUA + Col, +/- Botox CDHB</t>
  </si>
  <si>
    <t>Colonoscopy EUA Of Stoma</t>
  </si>
  <si>
    <t>Colonoscopy Excisision And Drainage Anal Fissure</t>
  </si>
  <si>
    <t>Colonoscopy RBL Haemorrhoids</t>
  </si>
  <si>
    <t>Colonoscopy, EUA +/- Mucosal Advancement Flaps</t>
  </si>
  <si>
    <t>Colonoscopy, Gastroscopy</t>
  </si>
  <si>
    <t>Colonoscopy/Polypectomy</t>
  </si>
  <si>
    <t>Colonoscopy/Polypectomy Haemorrhoidectomy, Inj</t>
  </si>
  <si>
    <t>Colonscopy</t>
  </si>
  <si>
    <t>Colonscopy &amp; EUA</t>
  </si>
  <si>
    <t>Colonscopy &amp; Polypectomy &amp; Haemorrhoidectomy</t>
  </si>
  <si>
    <t>Colostomy</t>
  </si>
  <si>
    <t>Colposcopy</t>
  </si>
  <si>
    <t>Combined Dental Surgery (X-rays, Prophylaxsis, Co</t>
  </si>
  <si>
    <t>Compartment Fasciectomy</t>
  </si>
  <si>
    <t>Complex Postop Visit</t>
  </si>
  <si>
    <t>Conoloscopy RBL EUA CDHB</t>
  </si>
  <si>
    <t>Corneal Graft</t>
  </si>
  <si>
    <t>Coronary Artery Bypass Graft</t>
  </si>
  <si>
    <t>Correction Bilateral Prominent Ears</t>
  </si>
  <si>
    <t>Correction Hallux Valgus</t>
  </si>
  <si>
    <t>Correction Of Nipple Inversion</t>
  </si>
  <si>
    <t>Corrective Osteotomy Right Distal Radius</t>
  </si>
  <si>
    <t>Craniotomy</t>
  </si>
  <si>
    <t>Cruciate Ligament Reconstruction</t>
  </si>
  <si>
    <t>Cruciate Reconstruction</t>
  </si>
  <si>
    <t>CS 70 Anaesthetic Telehealth Consultation For Adm</t>
  </si>
  <si>
    <t>CS250 - Simple Pre-Operative Anaesthetic Assessm</t>
  </si>
  <si>
    <t>CS70 Anaesthetic Telehealth Consultation For Admi</t>
  </si>
  <si>
    <t>Cystocoele Repair</t>
  </si>
  <si>
    <t>Cystoscopy</t>
  </si>
  <si>
    <t>Cystoscopy + Bladder Calcuili</t>
  </si>
  <si>
    <t>Cystoscopy + Optical Urethrotomy +/- Retrograde P</t>
  </si>
  <si>
    <t>D&amp;C</t>
  </si>
  <si>
    <t>D&amp;C Hysteroscopy</t>
  </si>
  <si>
    <t>Dacrocystorhinoplasty, R/O Plates Face, Scar Revisi</t>
  </si>
  <si>
    <t>DCR</t>
  </si>
  <si>
    <t>De Quervains Release</t>
  </si>
  <si>
    <t>Decompression And Stabilisation C5/6 (fusion)</t>
  </si>
  <si>
    <t>Decompression Archilles Tendon</t>
  </si>
  <si>
    <t>Decompression Ulnar Nerve</t>
  </si>
  <si>
    <t>Dental Clearance</t>
  </si>
  <si>
    <t>Dental Extraction</t>
  </si>
  <si>
    <t>Dental Fillings</t>
  </si>
  <si>
    <t>Dental Fillings And Extractions CDHB</t>
  </si>
  <si>
    <t>Dental Treatment</t>
  </si>
  <si>
    <t>Dermabrasion</t>
  </si>
  <si>
    <t>DHB - Adenotonsillectomy</t>
  </si>
  <si>
    <t>DHB - Adenotonsillectomy + EUA Ears +/- Grommet</t>
  </si>
  <si>
    <t>DHB - Bilateral Ventilation Tubes + Adenoidectomy</t>
  </si>
  <si>
    <t>DHB Cataract Right</t>
  </si>
  <si>
    <t>DHB - Laparoscopic Left Inguinal Hernia Repair</t>
  </si>
  <si>
    <t>DHB - Rectus Fascia Sling + Anterior/Posterior Rep</t>
  </si>
  <si>
    <t>DHB OUTSOURCED - Coblation Intracapsular Aden</t>
  </si>
  <si>
    <t>DHB OUTSOURCED - Right Epididymal Cyst Excisio</t>
  </si>
  <si>
    <t>Diagnostic Hysteroscopy</t>
  </si>
  <si>
    <t>Diagnostic Hysteroscopy, D&amp;C</t>
  </si>
  <si>
    <t>Diagnostic Laparoscopy</t>
  </si>
  <si>
    <t>Diagnostic Laparotomy &amp; Proceed</t>
  </si>
  <si>
    <t>Dilatation</t>
  </si>
  <si>
    <t>Disc Decompression</t>
  </si>
  <si>
    <t>Discectomy</t>
  </si>
  <si>
    <t>Division Of Hymen</t>
  </si>
  <si>
    <t>Division Tongue Tie</t>
  </si>
  <si>
    <t>Dorsal Extensor Compartment Release</t>
  </si>
  <si>
    <t>Drainage Of Perianal Abscess</t>
  </si>
  <si>
    <t>Dupuytrens</t>
  </si>
  <si>
    <t>Dupuytrens - Carpal Tunnel</t>
  </si>
  <si>
    <t>Dupuytrens Contracture</t>
  </si>
  <si>
    <t>Dupuytrens Release</t>
  </si>
  <si>
    <t>Dupuytrens Release Of Right Ring Finger - CDHB</t>
  </si>
  <si>
    <t>E/O Breast Lump</t>
  </si>
  <si>
    <t>E/O Ganglion</t>
  </si>
  <si>
    <t>Emergency Return To OT To Redo TURP</t>
  </si>
  <si>
    <t>Endoluminal Repair A Aortic Aneurysm</t>
  </si>
  <si>
    <t>Endometrial Ablation</t>
  </si>
  <si>
    <t>Endometrial Resection</t>
  </si>
  <si>
    <t>Endoscopic Nasal Surgey</t>
  </si>
  <si>
    <t>Endoscopic Septoplasty, Bilateral Inferior Turbinopl</t>
  </si>
  <si>
    <t>Endoscopic Sinus Surgery</t>
  </si>
  <si>
    <t>Endoscopic Spinal Fusion</t>
  </si>
  <si>
    <t>Enucleation Lesion Mandible</t>
  </si>
  <si>
    <t>Enucleation, Curretage &amp; Peripheral Osteotomy Of</t>
  </si>
  <si>
    <t>Epicondylar Release</t>
  </si>
  <si>
    <t>Epididymectomy</t>
  </si>
  <si>
    <t>Epigastric Hernia</t>
  </si>
  <si>
    <t>EPOA</t>
  </si>
  <si>
    <t>ERCP</t>
  </si>
  <si>
    <t>ERPOC</t>
  </si>
  <si>
    <t>ERPOC Procedure</t>
  </si>
  <si>
    <t>ESWL</t>
  </si>
  <si>
    <t>ESWL Left</t>
  </si>
  <si>
    <t>ESWL Right</t>
  </si>
  <si>
    <t>ESWL Right Kidney Stones</t>
  </si>
  <si>
    <t>EUA</t>
  </si>
  <si>
    <t>EUA &amp; Haemorroidectomy</t>
  </si>
  <si>
    <t>EUA + Haemorrhoidectomy CDHB</t>
  </si>
  <si>
    <t>EUA + Seton</t>
  </si>
  <si>
    <t>EUA + Seton Insertion</t>
  </si>
  <si>
    <t>EUA +/- Botox</t>
  </si>
  <si>
    <t>EUA +/- Replacement Setons +/- Excision Of Extern</t>
  </si>
  <si>
    <t>EUA And Thiersch Suture</t>
  </si>
  <si>
    <t>EUA, Hysteroscopy D&amp;C, Insertion Of Mirena IUS +</t>
  </si>
  <si>
    <t>EUA, Swabs, Pipelle, Mirena + Paracervical Nerve BI</t>
  </si>
  <si>
    <t>EUA&lt; Excision And Tag And Injection Botox</t>
  </si>
  <si>
    <t>Evacuate Haematoma</t>
  </si>
  <si>
    <t>Evacuation Of Uterus</t>
  </si>
  <si>
    <t>Excise Multiple Lesions Head</t>
  </si>
  <si>
    <t>Excision +/- Closure Of Chronic Pitonidal Disease</t>
  </si>
  <si>
    <t>Excision Bartholins Cyst</t>
  </si>
  <si>
    <t>Excision Biopsy Osteochondrona Right Wrist</t>
  </si>
  <si>
    <t>Excision Breast Lump</t>
  </si>
  <si>
    <t>Excision Epididymal Cyst</t>
  </si>
  <si>
    <t>Excision Ganglia Right Thumb &amp; Right Index Finger</t>
  </si>
  <si>
    <t>Excision Ganglion</t>
  </si>
  <si>
    <t>Excision Hydrocoele</t>
  </si>
  <si>
    <t>Excision Left Dorsal Wrist Ganglion</t>
  </si>
  <si>
    <t>Excision Lesion Left Chest Wall</t>
  </si>
  <si>
    <t>Excision Lipoma</t>
  </si>
  <si>
    <t>Excision Lipoma Right Thoracic Back</t>
  </si>
  <si>
    <t>Excision Mortons Neuroma</t>
  </si>
  <si>
    <t>Excision Of Coccyx</t>
  </si>
  <si>
    <t>Excision Of Foreign Body And Soft Tissue Mass Rig</t>
  </si>
  <si>
    <t>Excision Of Lesion + Direct Closure Left Eyelid</t>
  </si>
  <si>
    <t>Excision Of Leson Scalp And SSG</t>
  </si>
  <si>
    <t>Excision Of Skin Lesion Bridge Of Nose</t>
  </si>
  <si>
    <t>Excision Pilionidal Sinus</t>
  </si>
  <si>
    <t>Excision Skin Tags</t>
  </si>
  <si>
    <t>Excisional Haemorrhiodectomy</t>
  </si>
  <si>
    <t>Excisision And Drainage Anal Fissure</t>
  </si>
  <si>
    <t>Expander/implant Exchange Both Breasts, LAVH/Sa</t>
  </si>
  <si>
    <t>Exposure Of 12 &amp; 23</t>
  </si>
  <si>
    <t>Extended Abdominoplasty</t>
  </si>
  <si>
    <t>External Rhinoplasty</t>
  </si>
  <si>
    <t>External Septorhinoplasty</t>
  </si>
  <si>
    <t>External Septorhinoplasty &amp; Bilateral Inferior Turbin</t>
  </si>
  <si>
    <t>External Septorhinoplasty +/- Turbinoplasty &amp; Cosm</t>
  </si>
  <si>
    <t>External Septorhinoplasty Revision</t>
  </si>
  <si>
    <t>Extraction 18, 28, 38, 48</t>
  </si>
  <si>
    <t>Extraction 18, 28, 38, 48,</t>
  </si>
  <si>
    <t>Extraction 18, 28, 38, 48, 29 + 37</t>
  </si>
  <si>
    <t>Extraction 18, 28; Accessory Extraction 38 + 48</t>
  </si>
  <si>
    <t>Extraction 4 X Wisdom Teeth</t>
  </si>
  <si>
    <t>Extraction Of 18, 28, 38</t>
  </si>
  <si>
    <t>Extraction Of 18, 28, 38, 48</t>
  </si>
  <si>
    <t>Extraction Of 18, 28, 48</t>
  </si>
  <si>
    <t>Extraction Of 18, 38, 48</t>
  </si>
  <si>
    <t>Extraction Of 18, 48</t>
  </si>
  <si>
    <t>Extraction Of 28, 38, 48</t>
  </si>
  <si>
    <t>Extraction Of 47</t>
  </si>
  <si>
    <t>Extraction Of 48</t>
  </si>
  <si>
    <t>Extraction Of Impacted 38 48</t>
  </si>
  <si>
    <t>Extraction Of Teeth 18, 28, 38,48</t>
  </si>
  <si>
    <t>Extraction Of Teeth 38,48</t>
  </si>
  <si>
    <t>Extraction Teeth Of 38, 48</t>
  </si>
  <si>
    <t>Extraction Teeth Of 18, 28</t>
  </si>
  <si>
    <t>Extraction Wisdom Teeth</t>
  </si>
  <si>
    <t>Extreme Mastoidectomy And Tympanopp;asty</t>
  </si>
  <si>
    <t>ExtRhinophasty</t>
  </si>
  <si>
    <t>Face &amp; Neck Lift</t>
  </si>
  <si>
    <t>Face And Neck Lift</t>
  </si>
  <si>
    <t>Face Lift</t>
  </si>
  <si>
    <t>Face Lift &amp; Bilateral Upper Blepharoplasties</t>
  </si>
  <si>
    <t>Fasciectomy</t>
  </si>
  <si>
    <t>Fat Graft Left Breast + Excision Right Flank Lesion -</t>
  </si>
  <si>
    <t>Fat Injection To Right Forearm,</t>
  </si>
  <si>
    <t>Femoral Osteotomy + Nailing Complex</t>
  </si>
  <si>
    <t>Fentons Procedure</t>
  </si>
  <si>
    <t>FESS</t>
  </si>
  <si>
    <t>Fibrin Plug/ Advancement Flap</t>
  </si>
  <si>
    <t>Fistula-in-ano</t>
  </si>
  <si>
    <t>Flexi Sigmoidoscopy + Rubber Band Ligation</t>
  </si>
  <si>
    <t>Flexible Sigmoidoscopy</t>
  </si>
  <si>
    <t>Flexible Sigmoidoscopy &amp; Closure Of Loop Iliesost</t>
  </si>
  <si>
    <t>Flexible Sigmoidoscopy +/- Biopsies</t>
  </si>
  <si>
    <t>Flexible Sigmoidoscopy, Ligature Haemorrhoidecto</t>
  </si>
  <si>
    <t>Formation lleostomy</t>
  </si>
  <si>
    <t>Formation Of Colostomy</t>
  </si>
  <si>
    <t>Frenulectomy</t>
  </si>
  <si>
    <t>Frenuloplasty</t>
  </si>
  <si>
    <t>Full Dental Treatment</t>
  </si>
  <si>
    <t>Functional External Septorhinoplasty</t>
  </si>
  <si>
    <t>FUSION L4 L5 SI MIDLIF DECOMPRESSION</t>
  </si>
  <si>
    <t>Gastroscopy</t>
  </si>
  <si>
    <t>Gastroscopy SOU-177507</t>
  </si>
  <si>
    <t>Gastroscopy &amp; Colonoscopy</t>
  </si>
  <si>
    <t>Gastroscopy &amp; Colonoscopy &amp; Bx</t>
  </si>
  <si>
    <t>Gastroscopy &amp; Dilatation - Amended Invoice</t>
  </si>
  <si>
    <t>Gastroscopy + Balloon - Amended Invoice</t>
  </si>
  <si>
    <t>Gastroscopy + Colonoscopy</t>
  </si>
  <si>
    <t>Gastroscopy + Colonoscopy + Duenal Biopsy</t>
  </si>
  <si>
    <t>Gastroscopy + Flexi Sigmoidoscopy + EUA</t>
  </si>
  <si>
    <t>Gastroscopy, Colonoscopy &amp; Bx - Recall</t>
  </si>
  <si>
    <t>Genioplasty</t>
  </si>
  <si>
    <t>Gluteal Tendon Repair</t>
  </si>
  <si>
    <t>Grommets</t>
  </si>
  <si>
    <t>Gynecomastia</t>
  </si>
  <si>
    <t>Haemorrhoidectomy</t>
  </si>
  <si>
    <t>Haemorrhoidectomy - Bleeding</t>
  </si>
  <si>
    <t>Haemorrhoidectomy, Biopsy, EUA, Coloscopy</t>
  </si>
  <si>
    <t>Haemorrhoidectomy, Injection Botox</t>
  </si>
  <si>
    <t>Haemorrhoidopexy</t>
  </si>
  <si>
    <t>Hallux Valgus Correction</t>
  </si>
  <si>
    <t>HAL-RAR Haemorrhoidectomy</t>
  </si>
  <si>
    <t>Hamorrhoidectomy</t>
  </si>
  <si>
    <t>Hand Surgery</t>
  </si>
  <si>
    <t>Hartmann's Procedure</t>
  </si>
  <si>
    <t>Hartmans Procedure</t>
  </si>
  <si>
    <t>Head Scan</t>
  </si>
  <si>
    <t>Hemi Knee Arthroplasty</t>
  </si>
  <si>
    <t>Hemi Knee Replacement</t>
  </si>
  <si>
    <t>Hemicolectomy</t>
  </si>
  <si>
    <t>Hemorrhoidectomy</t>
  </si>
  <si>
    <t>Hiatal Hernia Repair</t>
  </si>
  <si>
    <t>Hiatal Hernia Repair + lron Infusion</t>
  </si>
  <si>
    <t>Hiatus Hernia Repair</t>
  </si>
  <si>
    <t>Hip Arthroscopy</t>
  </si>
  <si>
    <t>Hip Dislocation</t>
  </si>
  <si>
    <t>Hip Replacement</t>
  </si>
  <si>
    <t>Hip Revision</t>
  </si>
  <si>
    <t>HoLEP</t>
  </si>
  <si>
    <t>Hookwire Localization - Breast Lump</t>
  </si>
  <si>
    <t>Hydrocoele Repair</t>
  </si>
  <si>
    <t>Hypospadias Repair</t>
  </si>
  <si>
    <t>Hysterectomy</t>
  </si>
  <si>
    <t>Hysterectomy &amp; Bilateral Salpingectomy</t>
  </si>
  <si>
    <t>Hysterectomy &amp; Salpingectomy</t>
  </si>
  <si>
    <t>Hysteroscopy</t>
  </si>
  <si>
    <t>Hysteroscopy D &amp;C - Cone Biopsy Of Cervix</t>
  </si>
  <si>
    <t>Hysteroscopy &amp; Biopsy + Resection Of Fibroid Poly</t>
  </si>
  <si>
    <t>Hysteroscopy &amp; Polypectomy</t>
  </si>
  <si>
    <t>Hysteroscopy + D&amp;C + Polypectomy</t>
  </si>
  <si>
    <t>Hysteroscopy + Endometrial Biopsy</t>
  </si>
  <si>
    <t>Hysteroscopy And Biopsy&amp; Polypectomy</t>
  </si>
  <si>
    <t>Hysteroscopy D&amp;C</t>
  </si>
  <si>
    <t>Hysteroscopy D&amp;C + Insertion With Mirena</t>
  </si>
  <si>
    <t>Hysteroscopy D&amp;C + Mirena</t>
  </si>
  <si>
    <t>Incisional Hernia Repair</t>
  </si>
  <si>
    <t>Inferior Turbinoplasty</t>
  </si>
  <si>
    <t>Inguinal Hernia Repair</t>
  </si>
  <si>
    <t>Insertion Artifical Urinary Sphincter Client No 32144</t>
  </si>
  <si>
    <t>Insertion Of ATOMs</t>
  </si>
  <si>
    <t>Insertion Of ATOMs Suburethral Sling (ACC) + Circu</t>
  </si>
  <si>
    <t>Insertion Of Infatable Penile Prosthesis (coloplast Ti</t>
  </si>
  <si>
    <t>Insertion Of Mirena (?? Jaydes)</t>
  </si>
  <si>
    <t>Insertion Of Mirena (?? Jaydes) CDHB</t>
  </si>
  <si>
    <t>Internasal Septorhinoplasty &amp; Cautery To Inferior T</t>
  </si>
  <si>
    <t>Interspinous Stabiliser</t>
  </si>
  <si>
    <t>Intraperitoneal And Abdominal Wall Haemorrhage (t</t>
  </si>
  <si>
    <t>Iron Infusion</t>
  </si>
  <si>
    <t>Knee Arthroscopic</t>
  </si>
  <si>
    <t>Knee Arthroscopic Left CDHB</t>
  </si>
  <si>
    <t>Knee Arthroscopy</t>
  </si>
  <si>
    <t>L4/5 Discectomy &amp; Decompression L5/S1</t>
  </si>
  <si>
    <t>L4/5 Facet Joint Excision &amp; L5 Nerve Root Decompr</t>
  </si>
  <si>
    <t>L5/S1 Anterior Lumbar interbody Fusion</t>
  </si>
  <si>
    <t>L5/S1 Discectomy</t>
  </si>
  <si>
    <t>Labiaplasty</t>
  </si>
  <si>
    <t>Labioplasty</t>
  </si>
  <si>
    <t>Lamellar Keratectomy/EDTA Chelation Of Calcium L</t>
  </si>
  <si>
    <t>Laminectomy</t>
  </si>
  <si>
    <t>Lap Hernia Lap RIH</t>
  </si>
  <si>
    <t>Lap Sleeve Gastrectomy DHB Outsourced</t>
  </si>
  <si>
    <t>Laparoscopic Hysteroscopy</t>
  </si>
  <si>
    <t>Laparoscopic Adhesiolysis</t>
  </si>
  <si>
    <t>Laparoscopic Appendectomy</t>
  </si>
  <si>
    <t>Laparoscopic Appendicectomy</t>
  </si>
  <si>
    <t>Laparoscopic Assisted Vaginal Hysterectomy</t>
  </si>
  <si>
    <t>Laparoscopic Cholecystectomy</t>
  </si>
  <si>
    <t>Laparoscopic Cholecystectomy CDHB</t>
  </si>
  <si>
    <t>Laparoscopic Cholecystectomy &amp; Transcystic Bile</t>
  </si>
  <si>
    <t>Laparoscopic Cholecystectomy + IOC</t>
  </si>
  <si>
    <t>Laparoscopic Cholecystectomy + IOC - CDHB</t>
  </si>
  <si>
    <t>Laparoscopic Cholecystectomy Conversion To Ope</t>
  </si>
  <si>
    <t>Laparoscopic Colostomy</t>
  </si>
  <si>
    <t>Laparoscopic Colposacropexy</t>
  </si>
  <si>
    <t>Laparoscopic Colposuspension</t>
  </si>
  <si>
    <t>Laparoscopic Excision Of Endometriosis + Hystero</t>
  </si>
  <si>
    <t>Laparoscopic Excision Of Stage 1-2 Endometriosis</t>
  </si>
  <si>
    <t>Laparoscopic Fundoplication</t>
  </si>
  <si>
    <t>Laparoscopic Gasric Bypass</t>
  </si>
  <si>
    <t>Laparoscopic Gasric Sleeve</t>
  </si>
  <si>
    <t>Laparoscopic Gastric Banding</t>
  </si>
  <si>
    <t>Laparoscopic Gastric Bypass</t>
  </si>
  <si>
    <t>Laparoscopic Gastric Bypass RYGB</t>
  </si>
  <si>
    <t>Laparoscopic Gastric Sleeve + Open Mesh Repair O</t>
  </si>
  <si>
    <t>Laparoscopic Hemicolectomy</t>
  </si>
  <si>
    <t>Laparoscopic Hernia Repair</t>
  </si>
  <si>
    <t>Laparoscopic Hysterectomy</t>
  </si>
  <si>
    <t>Laparoscopic Hysterectomy.</t>
  </si>
  <si>
    <t>Laparoscopic Left Inguinal Hernia</t>
  </si>
  <si>
    <t>Laparoscopic Left Inguinal Hernia Repair - CDHB</t>
  </si>
  <si>
    <t>Laparoscopic Left Salpingectomy</t>
  </si>
  <si>
    <t>Laparoscopic Liver Resection</t>
  </si>
  <si>
    <t>Laparoscopic Mesh Repair Bilateral Inguinal Hernia</t>
  </si>
  <si>
    <t>Laparoscopic Mesh Repair Of Bilateral Hernia</t>
  </si>
  <si>
    <t>Laparoscopic Nissen Fundoplication</t>
  </si>
  <si>
    <t>Laparoscopic One Anastomosis Gastric Bypass</t>
  </si>
  <si>
    <t>Laparoscopic Oophorectomy</t>
  </si>
  <si>
    <t>Laparoscopic Ovarian Cystectomy</t>
  </si>
  <si>
    <t>Laparoscopic Radical Nephrectomy</t>
  </si>
  <si>
    <t>Laparoscopic Resection Of Endometriosis +/- Adesi</t>
  </si>
  <si>
    <t>Laparoscopic Right Inguinal Hernia</t>
  </si>
  <si>
    <t>Laparoscopic Right Inguinal Hernia Repair</t>
  </si>
  <si>
    <t>Laparoscopic Right Inguinal Hernia Repair P/O 4800</t>
  </si>
  <si>
    <t>Laparoscopic Roux-En-Y Gastric Bypass</t>
  </si>
  <si>
    <t>Laparoscopic Roux-En-Y Gastric Bypass - DHB</t>
  </si>
  <si>
    <t>Laparoscopic RY Gastric Bypass</t>
  </si>
  <si>
    <t>Laparoscopic RY Gastric Bypass Morgagni Mes (Sy</t>
  </si>
  <si>
    <t>Laparoscopic Salpingo-Oophorectomy - Unilateral</t>
  </si>
  <si>
    <t>Laparoscopic Second Stage Right Orchidopexy - D</t>
  </si>
  <si>
    <t>Laparoscopic Sleeve Gastrectomy</t>
  </si>
  <si>
    <t>Laparoscopic Sleeve Gastrectomy - CDHB</t>
  </si>
  <si>
    <t>Laparoscopic Spinal Fusion</t>
  </si>
  <si>
    <t>Laparoscopic Splenectomy</t>
  </si>
  <si>
    <t>Laparoscopic Tubal Ligation</t>
  </si>
  <si>
    <t>Laparoscopically Assisted Vaginal Hysterectomy</t>
  </si>
  <si>
    <t>Laparoscopy</t>
  </si>
  <si>
    <t>Laparoscopy + Excision Of Endometriosis + Jaydes</t>
  </si>
  <si>
    <t>Laparoscopy + Removal Of IUCD</t>
  </si>
  <si>
    <t>Laparoscopy +? Divide Adhesions Resect Endomet</t>
  </si>
  <si>
    <t>Laparotomy</t>
  </si>
  <si>
    <t>Laparotomy Adhesiolysis &amp; Parastomal Mesh Place</t>
  </si>
  <si>
    <t>Laryngectomy</t>
  </si>
  <si>
    <t>Laser Bladder Stones And TURP</t>
  </si>
  <si>
    <t>LAVH</t>
  </si>
  <si>
    <t>Lay Open Low Anal Fistula</t>
  </si>
  <si>
    <t>Le Fort 1 Advancement &amp; Removal Of 18 &amp; 28</t>
  </si>
  <si>
    <t>Left 2nd And 3rd Weil Osteotomies</t>
  </si>
  <si>
    <t>Left Breast Expander Implant Exchange</t>
  </si>
  <si>
    <t>Left Breast Hookwire / Skin Marking Excision Biops</t>
  </si>
  <si>
    <t>Left Breast Reconstruction With DIEP Free Flap + Ri</t>
  </si>
  <si>
    <t>Left Breast Reconstruction With Latissimus Dorsi Fl</t>
  </si>
  <si>
    <t>Left Breast Reduction + Symmetrisation</t>
  </si>
  <si>
    <t>Left Breast Symmetrising Breast Reduction - CDHB</t>
  </si>
  <si>
    <t>Left Carpal And Cubital Tunnel Release</t>
  </si>
  <si>
    <t>Left Carpal Tunnel Decompression</t>
  </si>
  <si>
    <t>Left Carpal Tunnel Release</t>
  </si>
  <si>
    <t>Left Cataract</t>
  </si>
  <si>
    <t>Left Cataract WCDHB</t>
  </si>
  <si>
    <t>Left Cataract - CDHB</t>
  </si>
  <si>
    <t>Left Cataract - DHB</t>
  </si>
  <si>
    <t>Left Cataract - WCDHB</t>
  </si>
  <si>
    <t>Left Cataract &amp; Left Vitrectomy</t>
  </si>
  <si>
    <t>Left Cataract CDHB</t>
  </si>
  <si>
    <t>Left Cataract DHB</t>
  </si>
  <si>
    <t>Left Cataract Extraction And IOL Implant</t>
  </si>
  <si>
    <t>Left Cataract Extraction And Iol Implant CDHB</t>
  </si>
  <si>
    <t>Left Cataract Extraction And Iol Implant - CDHB</t>
  </si>
  <si>
    <t>Left Cataract Extraction And Iol Implant DHB</t>
  </si>
  <si>
    <t>Left Clavicle Removal Plate And Screws</t>
  </si>
  <si>
    <t>Left Closure Of OAC At 27, Removal Of 21, Removal</t>
  </si>
  <si>
    <t>Left Cochlear Implant</t>
  </si>
  <si>
    <t>Left Combined Cataract And DSAEK Corneal Graft</t>
  </si>
  <si>
    <t>Left De Quervains Release +/- Retinacular Flap + Ex</t>
  </si>
  <si>
    <t>Left Direct Anterior Total Hip Replacement</t>
  </si>
  <si>
    <t>Left ESWL</t>
  </si>
  <si>
    <t>Left ESWL - CDHB</t>
  </si>
  <si>
    <t>Left Eustachian Tube Balloon Dilatation</t>
  </si>
  <si>
    <t>Left Hamstring Avulsion Repair</t>
  </si>
  <si>
    <t>Left Hemicolectomy</t>
  </si>
  <si>
    <t>Left Hip Removal Of Plate + Screws</t>
  </si>
  <si>
    <t>Left Hip Replacement</t>
  </si>
  <si>
    <t>Left HWL WF=LE SNB +/- ANC</t>
  </si>
  <si>
    <t>Left HWL WLE</t>
  </si>
  <si>
    <t>Left Inguinal Hernia Repair</t>
  </si>
  <si>
    <t>Left Knee Anterior Cruciate Ligament Reconstructio</t>
  </si>
  <si>
    <t>Left Knee Arthroscopic Medial Meniscal Debrideme</t>
  </si>
  <si>
    <t>Left Knee Arthroscopic Medial Meniscectomy</t>
  </si>
  <si>
    <t>Left Knee Arthroscopic Meniscectomy</t>
  </si>
  <si>
    <t>Left Knee Arthroscopy</t>
  </si>
  <si>
    <t>Left Knee Arthroscopy &amp; Partial Medial Meniscecto</t>
  </si>
  <si>
    <t>Left Knee Arthroscopy &amp; Proceed</t>
  </si>
  <si>
    <t>Left Knee Medial Unicompartmental Knee Replacem</t>
  </si>
  <si>
    <t>Left Knee MUA</t>
  </si>
  <si>
    <t>Left Knee Replacement</t>
  </si>
  <si>
    <t>Left L4/5 Decompression + Discectomy</t>
  </si>
  <si>
    <t>Left L5/S1 Discectomy</t>
  </si>
  <si>
    <t>Left L5/S1 MIS Discectomy</t>
  </si>
  <si>
    <t>Left Labiaplasty</t>
  </si>
  <si>
    <t>Left Lap Varicocele Repair</t>
  </si>
  <si>
    <t>Left Laparoscopic Initial Hernia Repair</t>
  </si>
  <si>
    <t>Left Laparoscopic Initial Hernia Repair And Umbilic</t>
  </si>
  <si>
    <t>Left Little And Ring Finger Dupuytren's Release</t>
  </si>
  <si>
    <t>Left Little Finger Scar Revision</t>
  </si>
  <si>
    <t>Left Macular Hole - Vitrectomy</t>
  </si>
  <si>
    <t>Left Mastectomy (NIB)</t>
  </si>
  <si>
    <t>Left Pterygium SCDHB</t>
  </si>
  <si>
    <t>Left Refractive Lens Exchange</t>
  </si>
  <si>
    <t>Left Release Of Carpal Tunnel + Right Ring And Mid</t>
  </si>
  <si>
    <t>Left Renal Calculus - CDHB</t>
  </si>
  <si>
    <t>Left Sentinel Node Biopsy</t>
  </si>
  <si>
    <t>Left Shoulder Arthroscopic Repair Supraspinatus</t>
  </si>
  <si>
    <t>Left Shoulder Arthroscopic To Open Latarjet</t>
  </si>
  <si>
    <t>Left Shoulder Open Stabilisation - Latarjet Bone Blo</t>
  </si>
  <si>
    <t>Left Skin And Nipple Sparing Mastectomy, SNB And</t>
  </si>
  <si>
    <t>Left Sphenoidotomy</t>
  </si>
  <si>
    <t>Left Total Ankle Replacement</t>
  </si>
  <si>
    <t>Left Total Hip Joint Replacement</t>
  </si>
  <si>
    <t>Left Total Hip Replacement</t>
  </si>
  <si>
    <t>Left Total Hip Replacement CDHB</t>
  </si>
  <si>
    <t>Left Total Hip Replacement COS/ORTHOPADICS</t>
  </si>
  <si>
    <t>Left Total Joint Replacement</t>
  </si>
  <si>
    <t>Left Total Knee Arthroscopy</t>
  </si>
  <si>
    <t>Left Total Knee Joint Replacement</t>
  </si>
  <si>
    <t>Left Total Knee Replacement</t>
  </si>
  <si>
    <t>Left Ventilation Tube, Adenoidectomy</t>
  </si>
  <si>
    <t>Left Vitrectomy</t>
  </si>
  <si>
    <t>Levatorplasty</t>
  </si>
  <si>
    <t>LIAS</t>
  </si>
  <si>
    <t>Lichtenstein Hernia Repair</t>
  </si>
  <si>
    <t>Ligament Repair</t>
  </si>
  <si>
    <t>Lipo Modelling From Abdominal Wall To Infiltrate Ri</t>
  </si>
  <si>
    <t>Lipoabdominoplasty</t>
  </si>
  <si>
    <t>Lipoma Excision</t>
  </si>
  <si>
    <t>Liposuction</t>
  </si>
  <si>
    <t>Liposuction &amp; Incisional Recontouring Of Abdomin</t>
  </si>
  <si>
    <t>Liposuction To Contour Deformity Right Knee</t>
  </si>
  <si>
    <t>Lithotripsy</t>
  </si>
  <si>
    <t>Lletz</t>
  </si>
  <si>
    <t>Low Anterior Resection</t>
  </si>
  <si>
    <t>Lower Body Lift</t>
  </si>
  <si>
    <t>Lower Eyelid Reduction</t>
  </si>
  <si>
    <t>Lumbar Decompression</t>
  </si>
  <si>
    <t>Lumbar Discectomy</t>
  </si>
  <si>
    <t>Lumbar Fusion</t>
  </si>
  <si>
    <t>Lumbar Laminectomy</t>
  </si>
  <si>
    <t>Lumbar Spinal Fusion</t>
  </si>
  <si>
    <t>Lumpectomy</t>
  </si>
  <si>
    <t>Lung Biopsy</t>
  </si>
  <si>
    <t>Malar Implants</t>
  </si>
  <si>
    <t>Mastectomy</t>
  </si>
  <si>
    <t>Mastoidectomy</t>
  </si>
  <si>
    <t>Mastopexy</t>
  </si>
  <si>
    <t>Maxillary Advancement Osteotomy</t>
  </si>
  <si>
    <t>Meatoplasty</t>
  </si>
  <si>
    <t>Medial Rectus Botox - Amended</t>
  </si>
  <si>
    <t>Mesh Repair Parastomal Hernia - CDHB</t>
  </si>
  <si>
    <t>Metacarpal Osteotomy</t>
  </si>
  <si>
    <t>Metatarsal Osteotomy</t>
  </si>
  <si>
    <t>Microdiscectomy</t>
  </si>
  <si>
    <t>Microdochectomy</t>
  </si>
  <si>
    <t>Microlaryngoscopy</t>
  </si>
  <si>
    <t>Microlaryngoscopy &amp; Bronchoscopy</t>
  </si>
  <si>
    <t>Mitral Valve Repair</t>
  </si>
  <si>
    <t>Mitral Valve Replacement</t>
  </si>
  <si>
    <t>Molteno Implant</t>
  </si>
  <si>
    <t>Monarch Repair.</t>
  </si>
  <si>
    <t>Mortons Neuroma</t>
  </si>
  <si>
    <t>MRI</t>
  </si>
  <si>
    <t>MRI Cardiac PURCHASE ORDER NO: 335818</t>
  </si>
  <si>
    <t>MUA Of Left Knee Total Knee Joint Replacement</t>
  </si>
  <si>
    <t>MVR</t>
  </si>
  <si>
    <t>Myomectomy</t>
  </si>
  <si>
    <t>Myringoplasty</t>
  </si>
  <si>
    <t>Nissen Fundoplication</t>
  </si>
  <si>
    <t>Nose ACC Left Lower Eyelide (Self Funded)</t>
  </si>
  <si>
    <t>Oesphangoscopy Pharynoscopy</t>
  </si>
  <si>
    <t>Off Pump CABG</t>
  </si>
  <si>
    <t>One Anastomosis Gastric Bypass</t>
  </si>
  <si>
    <t>Oophorectomy</t>
  </si>
  <si>
    <t>Open AAA Repair</t>
  </si>
  <si>
    <t>Open BIH With Removal Of Penile Tubing</t>
  </si>
  <si>
    <t>Open Debridement Patella Tendon</t>
  </si>
  <si>
    <t>Open Left Inguinal Hernia Repair</t>
  </si>
  <si>
    <t>Open Mesh Inguinal Hernia Repair</t>
  </si>
  <si>
    <t>Open Mesh Repair Left Inguinal Hernia</t>
  </si>
  <si>
    <t>Open Mesh Repair Right Inguinal Hernia</t>
  </si>
  <si>
    <t>Open Preperitoneal Mesh Repair Left Current Femor</t>
  </si>
  <si>
    <t>Open Revision Septoplasty - Bilateral Endoscopic I</t>
  </si>
  <si>
    <t>Open Rhinoplasty</t>
  </si>
  <si>
    <t>Open Salpingectomy &amp; Colposuspension</t>
  </si>
  <si>
    <t>Open Septoplasty, Bilateral Endoscopic Inferior Tur</t>
  </si>
  <si>
    <t>Open Septorhinoplasty</t>
  </si>
  <si>
    <t>Open Septorhinoplasty (Right Ear Cartilage Inlay Gr</t>
  </si>
  <si>
    <t>Open Umbicical Hernia Repair</t>
  </si>
  <si>
    <t>Operating</t>
  </si>
  <si>
    <t>Operating Adenoidectomy,Bilaterl Ventilation Tubes</t>
  </si>
  <si>
    <t>Operating Bilateral Ventilation Tube, Adenoids</t>
  </si>
  <si>
    <t>Optical Urethrotomy</t>
  </si>
  <si>
    <t>Optical Urethrotomy And Circumcision</t>
  </si>
  <si>
    <t>Optical Urethrotomy Urethrotomy</t>
  </si>
  <si>
    <t>Orchidectomy</t>
  </si>
  <si>
    <t>Orchidopexy</t>
  </si>
  <si>
    <t>ORIF</t>
  </si>
  <si>
    <t>Ortic Valve Replacement (tissue) - CDHB</t>
  </si>
  <si>
    <t>Ossiculoplasty</t>
  </si>
  <si>
    <t>Osteotomy</t>
  </si>
  <si>
    <t>Otoplasty - Bilateral DHB</t>
  </si>
  <si>
    <t>Over-erupted 28</t>
  </si>
  <si>
    <t>Panproctocolectomy</t>
  </si>
  <si>
    <t>Paraoesophageal Hernia Repair</t>
  </si>
  <si>
    <t>Parathyroidectomy</t>
  </si>
  <si>
    <t>Parathyroidectomy - Cdhb</t>
  </si>
  <si>
    <t>Parotidectomy</t>
  </si>
  <si>
    <t>PCL Reconstruction</t>
  </si>
  <si>
    <t>Pharyngoscopy</t>
  </si>
  <si>
    <t>Pilonidal Sinus</t>
  </si>
  <si>
    <t>PO 787986 Bilateral Breast Reduction - CDHB</t>
  </si>
  <si>
    <t>POEM - Peroral Endoscopic Myotomy</t>
  </si>
  <si>
    <t>Polypectomy</t>
  </si>
  <si>
    <t>Posterior Body Lift; Fat Grafting Bilateral Breasts</t>
  </si>
  <si>
    <t>Posterior Repair</t>
  </si>
  <si>
    <t>Pre Op Phone Consultations</t>
  </si>
  <si>
    <t>Pre-Op Consultation &amp; Review Of Previous Ana</t>
  </si>
  <si>
    <t>Proceed To LEFT Total Joint Replacement - Amend</t>
  </si>
  <si>
    <t>Proctoscopy</t>
  </si>
  <si>
    <t>Prosthesis Exchange</t>
  </si>
  <si>
    <t>Pterygium</t>
  </si>
  <si>
    <t>Pubovagunal Sling</t>
  </si>
  <si>
    <t>R/O Metalware La/sedative</t>
  </si>
  <si>
    <t>Radical Prostatectomy</t>
  </si>
  <si>
    <t>Rectal Biopsy</t>
  </si>
  <si>
    <t>Rectocoele</t>
  </si>
  <si>
    <t>Rectopexy</t>
  </si>
  <si>
    <t>Reduction Inferior Turbinates</t>
  </si>
  <si>
    <t>Release Left Cubital Tunnel And Left Carpal Tunnel</t>
  </si>
  <si>
    <t>Removal Cyst Right 1st MTP, Excision Benign Lesio</t>
  </si>
  <si>
    <t>Removal Left Distal Radius Screws &amp; Plate AMEND</t>
  </si>
  <si>
    <t>Removal Of 18, 28, 38, 48</t>
  </si>
  <si>
    <t>Removal Of 28 38 48</t>
  </si>
  <si>
    <t>Removal Of 38, 48</t>
  </si>
  <si>
    <t>Removal Of 38, 48, 35</t>
  </si>
  <si>
    <t>Removal Of 48 + Coronectomy Tooth 38</t>
  </si>
  <si>
    <t>Removal Of Breast Implants</t>
  </si>
  <si>
    <t>Removal Of Cyst</t>
  </si>
  <si>
    <t>Removal Of Cyst From Eyelid</t>
  </si>
  <si>
    <t>Removal Of Erupted 28</t>
  </si>
  <si>
    <t>Removal Of Four Wisdom Teeth (18,28,38,48)</t>
  </si>
  <si>
    <t>Removal Of Gastric Band</t>
  </si>
  <si>
    <t>Removal Of Impacted 38,48</t>
  </si>
  <si>
    <t>Removal Of Left Breast Implant, Capsulectmy And I</t>
  </si>
  <si>
    <t>Removal Of Lower Wisdom Teeth (38,48)</t>
  </si>
  <si>
    <t>Removal Of Screws Right Shoulder</t>
  </si>
  <si>
    <t>Removal Of Teeth</t>
  </si>
  <si>
    <t>Removal Of Teeth 28 38 48</t>
  </si>
  <si>
    <t>Removal Of Teeth 28, 38, 48</t>
  </si>
  <si>
    <t>Removal Of Tibial Nail &amp; Tibial Osteotomy</t>
  </si>
  <si>
    <t>Removal Teeth 18 &amp; 17</t>
  </si>
  <si>
    <t>Remove 37</t>
  </si>
  <si>
    <t>Repair ACL</t>
  </si>
  <si>
    <t>Repair Recurrent Umbilical Hernia &amp; Encysted Hae</t>
  </si>
  <si>
    <t>Return To OT: Post Adeno-tonsillectomy Haemorra</t>
  </si>
  <si>
    <t>Return To Theatre -</t>
  </si>
  <si>
    <t>Return To Theatre - Anaphylaxis During Surgery</t>
  </si>
  <si>
    <t>Return To Theatre - Bilateral Removal Of Implants /</t>
  </si>
  <si>
    <t>Return To Theatre - Evacuation Of Haematoma</t>
  </si>
  <si>
    <t>Return To Theatre - Exploration Left Lateral Knee W</t>
  </si>
  <si>
    <t>Return To Theatre - Exploration Umbilical Port Site</t>
  </si>
  <si>
    <t>Return To Theatre - Washout Spine, Dural Patch/ Re</t>
  </si>
  <si>
    <t>Reversal Of Hartmanns</t>
  </si>
  <si>
    <t>Reversal Of lleostomy</t>
  </si>
  <si>
    <t>Reversal Sterilization</t>
  </si>
  <si>
    <t>Revision ACL</t>
  </si>
  <si>
    <t>Revision Bilateral Breast Augmentation - Capsulect</t>
  </si>
  <si>
    <t>Revision Bilateral Comprehensive Ensoscopic Sinu</t>
  </si>
  <si>
    <t>Revision Bilateral FESS/Polypectomy</t>
  </si>
  <si>
    <t>Revision L4/5 Discectomy</t>
  </si>
  <si>
    <t>Revision Of Left Total Knee Replacement</t>
  </si>
  <si>
    <t>Revision Right Ankle Fusion</t>
  </si>
  <si>
    <t>Revision Right Total Hip Replacement</t>
  </si>
  <si>
    <t>Revision Total Hip Replacement</t>
  </si>
  <si>
    <t>Revision Turbinoplasty + Ossiculoplasty</t>
  </si>
  <si>
    <t>Rhinoplasty</t>
  </si>
  <si>
    <t>Rhinoplasty And Revision Right DCR Scar</t>
  </si>
  <si>
    <t>Richt Cataract Extraction And IOL Implant</t>
  </si>
  <si>
    <t>Right 1st MTP Fusion</t>
  </si>
  <si>
    <t>Right ACL Reconstruction Right Patella Tightrope</t>
  </si>
  <si>
    <t>Right Ankle Removal Of Metalware</t>
  </si>
  <si>
    <t>Right Breast Correction Of Asymmetry With Sub-Gl</t>
  </si>
  <si>
    <t>Right Carpal Tunnel</t>
  </si>
  <si>
    <t>Right Carpal Tunnel Decompression</t>
  </si>
  <si>
    <t>Right Carpal Tunnel Release</t>
  </si>
  <si>
    <t>Right Carpal Tunnel ReleaseRight Elbow Nirchl Pro</t>
  </si>
  <si>
    <t>Right Cataract</t>
  </si>
  <si>
    <t>Right CATARACT CDHB</t>
  </si>
  <si>
    <t>Right Cataract WCDHB</t>
  </si>
  <si>
    <t>Right Cataract CDHB</t>
  </si>
  <si>
    <t>Right Cataract - CDHB</t>
  </si>
  <si>
    <t>Right CATARACT WCDHB</t>
  </si>
  <si>
    <t>Right Cataract - WCDHB</t>
  </si>
  <si>
    <t>Right Cataract + Vitrectomy</t>
  </si>
  <si>
    <t>Right Cataract DHB</t>
  </si>
  <si>
    <t>Right Cataract Extraction And Iol Implant - Local (M</t>
  </si>
  <si>
    <t>Right Cataract Extraction And Iol Implant CDHB</t>
  </si>
  <si>
    <t>Right Cataract Extraction And Iol Implant DHB</t>
  </si>
  <si>
    <t>Right Cochlear Implant - ACC</t>
  </si>
  <si>
    <t>Right Cubital Tunnel Release</t>
  </si>
  <si>
    <t>Right Direct Anterior Total Hip Replacement</t>
  </si>
  <si>
    <t>Right Direct Anterior Total Hip Replacement With A</t>
  </si>
  <si>
    <t>Right Dupuytrens Release - CDHB</t>
  </si>
  <si>
    <t>Right Elbow Repair Medial Ligament</t>
  </si>
  <si>
    <t>Right Endoscopic DCR</t>
  </si>
  <si>
    <t>Right ESWL</t>
  </si>
  <si>
    <t>Right ESWL (renal) - CDHB</t>
  </si>
  <si>
    <t>Right Foot - Arthrodesis DIPJ Second Toe And Revi</t>
  </si>
  <si>
    <t>Right Hemi Knee Replacement</t>
  </si>
  <si>
    <t>Right Hip Replacement</t>
  </si>
  <si>
    <t>Right Hip Replacement And</t>
  </si>
  <si>
    <t>Right Inguinal Orchidectomy + Insertion Of Testicul</t>
  </si>
  <si>
    <t>Right Knee ACL Reconstruction</t>
  </si>
  <si>
    <t>Right Knee Arthroscopic Meniscectomy</t>
  </si>
  <si>
    <t>Right Knee Arthroscopy + Partial Medical Meniscect</t>
  </si>
  <si>
    <t>Right Knee Medial Oxford UKR</t>
  </si>
  <si>
    <t>Right Knee Replacement</t>
  </si>
  <si>
    <t>Right L1/2 Lumbar Discectomy</t>
  </si>
  <si>
    <t>Right Laparoscopic Pyeloplasty - CDHB</t>
  </si>
  <si>
    <t>Right Mastectomy</t>
  </si>
  <si>
    <t>Right Mastectomy + ANC + Left Breast Reduction (w</t>
  </si>
  <si>
    <t>Right Medial Uni Knee Replacement - COS</t>
  </si>
  <si>
    <t>Right NLDO Recanalisation With Stent</t>
  </si>
  <si>
    <t>Right Oxford Medial Uni Knee Replacement</t>
  </si>
  <si>
    <t>Right Refractive Lens Exchange</t>
  </si>
  <si>
    <t>Right Shoulder</t>
  </si>
  <si>
    <t>Right Shoulder Arthroscopic Debridement +/- Cuff R</t>
  </si>
  <si>
    <t>Right Shoulder Arthroscopic Repair Of Subscapular</t>
  </si>
  <si>
    <t>Right Shoulder Hemi Arthroplasty Pyrocarbon Head</t>
  </si>
  <si>
    <t>Right Temporo Mandibular Joint Replacement</t>
  </si>
  <si>
    <t>Right Thumb Trapeziectomy</t>
  </si>
  <si>
    <t>Right Total Hip Joint Replacement</t>
  </si>
  <si>
    <t>Right Total Hip Replacement</t>
  </si>
  <si>
    <t>Right Total Hip Replacement - Amended</t>
  </si>
  <si>
    <t>Right Total Hip Replacement WCDHB</t>
  </si>
  <si>
    <t>Right Total Joint Replacement</t>
  </si>
  <si>
    <t>Right Total Knee Arthroscopy</t>
  </si>
  <si>
    <t>Right Total Knee Joint Replacement</t>
  </si>
  <si>
    <t>Right Total Knee Replacement</t>
  </si>
  <si>
    <t>Right Total Shoulder Replacement</t>
  </si>
  <si>
    <t>Right Ulnar Decompression +/- Transposition</t>
  </si>
  <si>
    <t>Right Uni Compartmental Knee Replacement Surger</t>
  </si>
  <si>
    <t>Right Uni Knee Replacement</t>
  </si>
  <si>
    <t>Right Uni Knee Replacement - DHB</t>
  </si>
  <si>
    <t>Right Unicompartmental Knee Replacement CDHB</t>
  </si>
  <si>
    <t>Right Upper Lid Blephs</t>
  </si>
  <si>
    <t>Right Upper Lid Scar Revision</t>
  </si>
  <si>
    <t>Right Upper Lobectomy VATS - CDHB</t>
  </si>
  <si>
    <t>Right Virectomy</t>
  </si>
  <si>
    <t>Right Vitrectomy</t>
  </si>
  <si>
    <t>Right Wrist Doral Ganglion</t>
  </si>
  <si>
    <t>Rigid Cystoscopy + Biopsy + Diathermy</t>
  </si>
  <si>
    <t>Robot Assisted Laparoscopic Prostatectomy</t>
  </si>
  <si>
    <t>Robot Assisted Radical Prostatectomy</t>
  </si>
  <si>
    <t>Robot Radical Prostatectomy</t>
  </si>
  <si>
    <t>Robotic Assisted Laparoscopic Prostatectomy</t>
  </si>
  <si>
    <t>Robotic Assisted Radical Prostatectomy</t>
  </si>
  <si>
    <t>Robotic Radical Prostatectomy</t>
  </si>
  <si>
    <t>Rotator Cuff Repair</t>
  </si>
  <si>
    <t>ROXO Vertical Abdominoplasty</t>
  </si>
  <si>
    <t>Rsion &amp; Formation Of Gastrojejunostomy (SX Ins)</t>
  </si>
  <si>
    <t>S1/2 Posterolateral Fusion</t>
  </si>
  <si>
    <t>Scaphoid ORIF</t>
  </si>
  <si>
    <t>Scar Revision - Abdoment</t>
  </si>
  <si>
    <t>Scleral Fixation Of IOL</t>
  </si>
  <si>
    <t>Seed Insertion Brachytherapy</t>
  </si>
  <si>
    <t>Sentinal Node Biopsy</t>
  </si>
  <si>
    <t>Septal Manipulation, Turbinoplasty</t>
  </si>
  <si>
    <t>Septoplasty</t>
  </si>
  <si>
    <t>Septoplasty - Turbinoplasty</t>
  </si>
  <si>
    <t>Septoplasty &amp; Bil Endoscopic Inferior Turbinoplasty</t>
  </si>
  <si>
    <t>Septoplasty &amp; Turbinoplasty</t>
  </si>
  <si>
    <t>Septoplasty And Bilateral Inferior Turbinoplasty</t>
  </si>
  <si>
    <t>Septoplasty And Left Inferior Turbinoplasty</t>
  </si>
  <si>
    <t>Septoplasty, ESS, Uvulopalatoplasty</t>
  </si>
  <si>
    <t>Septoplasty, Turbinoplasty, Tonsillectomy</t>
  </si>
  <si>
    <t>Septorhinoplasty</t>
  </si>
  <si>
    <t>Seton</t>
  </si>
  <si>
    <t>Shoulder Decompression</t>
  </si>
  <si>
    <t>Shoulder Repair</t>
  </si>
  <si>
    <t>Sigmoidoscopy</t>
  </si>
  <si>
    <t>Silicone Gel Implant - Right Mastopexy</t>
  </si>
  <si>
    <t>Simple Bascom Procedure</t>
  </si>
  <si>
    <t>Single Level Decompression Fusion L4/5 And Singl</t>
  </si>
  <si>
    <t>Sleeve Gastrectomy</t>
  </si>
  <si>
    <t>Sleeve Gastrectomy (STG Trust Funded)</t>
  </si>
  <si>
    <t>Sleeve Gastrectomy CDHB</t>
  </si>
  <si>
    <t>Sleeve Gastrectomy To Roux-en-Y Gastric Bypass</t>
  </si>
  <si>
    <t>Sling Colposuspension</t>
  </si>
  <si>
    <t>Sphincterotomy</t>
  </si>
  <si>
    <t>Spinal Decompression</t>
  </si>
  <si>
    <t>Spinal Fusion</t>
  </si>
  <si>
    <t>Spinal Instrumentation</t>
  </si>
  <si>
    <t>Splenectomy</t>
  </si>
  <si>
    <t>Split Account - Bilateral Endoscopic Sinus Surgery</t>
  </si>
  <si>
    <t>Split Account - Circumcision</t>
  </si>
  <si>
    <t>Split Account - Colonoscopy</t>
  </si>
  <si>
    <t>Split Account - Colonoscopy + Polypectomy</t>
  </si>
  <si>
    <t>Split Account - Enoscopic Transnasal Coblation Ad</t>
  </si>
  <si>
    <t>Split Account - Extraction 18, 28, 38</t>
  </si>
  <si>
    <t>Split Account - Extractions Of Impacted Teeth</t>
  </si>
  <si>
    <t>Split Account - Flexible Sigmoidoscopy</t>
  </si>
  <si>
    <t>Split Account - Gastroscopy + Colonoscopy</t>
  </si>
  <si>
    <t>Split Account - Hiatal Hernia Repair</t>
  </si>
  <si>
    <t>Split Account - Hiatus Hernia Repair + Roux En Y</t>
  </si>
  <si>
    <t>Split Account - Removal Teeth 48</t>
  </si>
  <si>
    <t>Split Account - Right Inguinal Hernia - SXAP</t>
  </si>
  <si>
    <t>Split Account - Right Shoulder Arthroscopic Repair</t>
  </si>
  <si>
    <t>Split Account - WLE Melanoma Right Anterior Leg</t>
  </si>
  <si>
    <t>Squint Repair</t>
  </si>
  <si>
    <t>Staging Laparoscopy</t>
  </si>
  <si>
    <t>Stapedectomy</t>
  </si>
  <si>
    <t>Strabismus</t>
  </si>
  <si>
    <t>Subacromial Decompression</t>
  </si>
  <si>
    <t>Submandibular Gland</t>
  </si>
  <si>
    <t>Subtotal Colectomy</t>
  </si>
  <si>
    <t>Supra Umbilical Hernia</t>
  </si>
  <si>
    <t>Surgical Extractions Of Teeth 38 And 48</t>
  </si>
  <si>
    <t>Surgical Removal Tooth 18 28</t>
  </si>
  <si>
    <t>Suspected Anaphylaxis</t>
  </si>
  <si>
    <t>Sutured Paraumbilical Hernia Repair</t>
  </si>
  <si>
    <t>Syringe And Probe</t>
  </si>
  <si>
    <t>T11/12 Laminoplasty + Resection Intradural Extra</t>
  </si>
  <si>
    <t>Tendon Transfer</t>
  </si>
  <si>
    <t>Tennis Elbow Release</t>
  </si>
  <si>
    <t>Tenolysis</t>
  </si>
  <si>
    <t>Thumb Osteotomy</t>
  </si>
  <si>
    <t>Thymectomy</t>
  </si>
  <si>
    <t>Thyroid Lobectomy</t>
  </si>
  <si>
    <t>Thyroidectomy</t>
  </si>
  <si>
    <t>Tibial Osteotomy</t>
  </si>
  <si>
    <t>Titanium Cranioplasty</t>
  </si>
  <si>
    <t>Tongue Tie Release</t>
  </si>
  <si>
    <t>Tonsillectomy</t>
  </si>
  <si>
    <t>Tonsillectomy - CDHB</t>
  </si>
  <si>
    <t>Tonsillectomy - St Georges Philanthropic Fund</t>
  </si>
  <si>
    <t>Tonsillectomy (bizact) Phillantropic Case</t>
  </si>
  <si>
    <t>Total Hip Joint Replacement</t>
  </si>
  <si>
    <t>Total Hip Replacement</t>
  </si>
  <si>
    <t>Total Hip Revision</t>
  </si>
  <si>
    <t>Total Knee Joint Replacement</t>
  </si>
  <si>
    <t>Total Knee Joint Replacement - Right</t>
  </si>
  <si>
    <t>Total Knee Replacement - Left</t>
  </si>
  <si>
    <t>Total Laparoscoipe Hysterectomy + Bilateral Salpin</t>
  </si>
  <si>
    <t>Total Left Knee Joint Replacement</t>
  </si>
  <si>
    <t>Total Removal Of Artificial Urinary Sphincter +/- Re</t>
  </si>
  <si>
    <t>Total Thyroidectomy</t>
  </si>
  <si>
    <t>Trabeculectomy</t>
  </si>
  <si>
    <t>Transperineal Prostate Biopsy</t>
  </si>
  <si>
    <t>Transperineal Prostate Biopsy CDHB</t>
  </si>
  <si>
    <t>Transurethral Resection Of Prostate</t>
  </si>
  <si>
    <t>Transurethral Resection Prostate</t>
  </si>
  <si>
    <t>TUR Bladder Tumour + Epirubicin</t>
  </si>
  <si>
    <t>Turbinoplasty</t>
  </si>
  <si>
    <t>TURBT</t>
  </si>
  <si>
    <t>TURBT - CDHB</t>
  </si>
  <si>
    <t>TURP</t>
  </si>
  <si>
    <t>TVT Pubovaginal Sling</t>
  </si>
  <si>
    <t>TVT SLING</t>
  </si>
  <si>
    <t>TWO0806377 - Total Removal Of TVT Sling</t>
  </si>
  <si>
    <t>Tympanoplasty</t>
  </si>
  <si>
    <t>Ulna Nerve Release</t>
  </si>
  <si>
    <t>Ulnar Nerve Decompression +/-Transposition +/- Epi</t>
  </si>
  <si>
    <t>Umbilical Hernia Repair</t>
  </si>
  <si>
    <t>Unilateral Laparoscopic Hernia Inguinal - Right</t>
  </si>
  <si>
    <t>UPPP</t>
  </si>
  <si>
    <t>UPPPP</t>
  </si>
  <si>
    <t>Ureteric Reimplant</t>
  </si>
  <si>
    <t>Ureteroscopic Laser Stone Extraction</t>
  </si>
  <si>
    <t>Ureteroscopy</t>
  </si>
  <si>
    <t>Urethroplasty</t>
  </si>
  <si>
    <t>Urethrotomy</t>
  </si>
  <si>
    <t>Uvulectomy</t>
  </si>
  <si>
    <t>Uvulopalatopharyngoplasty</t>
  </si>
  <si>
    <t>Uvulopalatoplasty</t>
  </si>
  <si>
    <t>Vaginal Hysterectomy</t>
  </si>
  <si>
    <t>Varicose Veins</t>
  </si>
  <si>
    <t>Vasectomy</t>
  </si>
  <si>
    <t>Vasectomy Reversal</t>
  </si>
  <si>
    <t>Ventilation Tubes</t>
  </si>
  <si>
    <t>Ventral Hernia Repair</t>
  </si>
  <si>
    <t>Vitrectomy</t>
  </si>
  <si>
    <t>Vitrectomy - Left</t>
  </si>
  <si>
    <t>Vitrectomy - Right</t>
  </si>
  <si>
    <t>Vitrectomy/left Phaco</t>
  </si>
  <si>
    <t>WCDCataract Right Phaco/IOL</t>
  </si>
  <si>
    <t>WCDHB - Left Cataract</t>
  </si>
  <si>
    <t>WCDHB - Right Cataract</t>
  </si>
  <si>
    <t>WDHB - Left Cataract</t>
  </si>
  <si>
    <t>Wide Excision M/M Leg ? Sentinel Node Excision In</t>
  </si>
  <si>
    <t>Traceability</t>
  </si>
  <si>
    <t>Anaesthesia Fee Schedule — Master Source File</t>
  </si>
  <si>
    <t>Read this first. Explains what the workbook does, where the data comes from and how new fee schedules are added.</t>
  </si>
  <si>
    <t>1. Purpose</t>
  </si>
  <si>
    <t>What it is</t>
  </si>
  <si>
    <t>One unified list of anaesthetist fees for operations/procedures, drawn from many surgeons' offices, providers and payers.</t>
  </si>
  <si>
    <t>Why</t>
  </si>
  <si>
    <t>So a single lookup answers: what is the fee for this operation, for this provider/payer, and where did that number come from?</t>
  </si>
  <si>
    <t>How</t>
  </si>
  <si>
    <t>Rule</t>
  </si>
  <si>
    <t>Never type a fee into the master without a Source ID. Every row must be traceable to a register entry below and a page in the original document.</t>
  </si>
  <si>
    <t>2. How the tabs fit together</t>
  </si>
  <si>
    <t>Tab</t>
  </si>
  <si>
    <t>Role</t>
  </si>
  <si>
    <t>Contains</t>
  </si>
  <si>
    <t>Changed when</t>
  </si>
  <si>
    <t>Info</t>
  </si>
  <si>
    <t>Guide + source register</t>
  </si>
  <si>
    <t>A new source is added</t>
  </si>
  <si>
    <t>SRC-xx &lt;Name&gt;</t>
  </si>
  <si>
    <t>One tab per source</t>
  </si>
  <si>
    <t>Faithful extract of one document: codes, descriptions, fees, page refs as printed.</t>
  </si>
  <si>
    <t>Created once per document</t>
  </si>
  <si>
    <t>Data Sources</t>
  </si>
  <si>
    <t>Audit log (auto-created)</t>
  </si>
  <si>
    <t>Only if needed</t>
  </si>
  <si>
    <t>3. Source register</t>
  </si>
  <si>
    <t>Source ID</t>
  </si>
  <si>
    <t>Document (file name)</t>
  </si>
  <si>
    <t>Provider / issuer</t>
  </si>
  <si>
    <t>Fee basis</t>
  </si>
  <si>
    <t>Effective date</t>
  </si>
  <si>
    <t>GST basis</t>
  </si>
  <si>
    <t>Extract tab</t>
  </si>
  <si>
    <t>Status</t>
  </si>
  <si>
    <t>Rows in master</t>
  </si>
  <si>
    <t>Notes</t>
  </si>
  <si>
    <t>SRC-00</t>
  </si>
  <si>
    <t>RVG units × $ rate</t>
  </si>
  <si>
    <t>Unknown</t>
  </si>
  <si>
    <t>Merged</t>
  </si>
  <si>
    <t>SRC-01</t>
  </si>
  <si>
    <t>NZSA RVG 2021.pdf</t>
  </si>
  <si>
    <t>NZ Society of Anaesthetists</t>
  </si>
  <si>
    <t>Reference – units only</t>
  </si>
  <si>
    <t>n/a</t>
  </si>
  <si>
    <t>SRC-02</t>
  </si>
  <si>
    <t>Christchurch Eye Fixed Fee Contracts 1 April 2026 for Anaesthetists .pdf</t>
  </si>
  <si>
    <t>Christchurch Eye Surgery (CESL)</t>
  </si>
  <si>
    <t>Fixed fee</t>
  </si>
  <si>
    <t>Various (see notes)</t>
  </si>
  <si>
    <t>Excl. &amp; Incl. GST</t>
  </si>
  <si>
    <t>SRC-02 CESL</t>
  </si>
  <si>
    <t>SRC-03</t>
  </si>
  <si>
    <t>SXAP MIGS  FEE SCHEDULE FOR ANAESTHETISTS 1 April 2026.pdf</t>
  </si>
  <si>
    <t>Southern Cross Affiliated Provider</t>
  </si>
  <si>
    <t>Incl. GST only</t>
  </si>
  <si>
    <t>SRC-03 SXAP MIGS</t>
  </si>
  <si>
    <t>Column</t>
  </si>
  <si>
    <t>Field</t>
  </si>
  <si>
    <t>Meaning / rule</t>
  </si>
  <si>
    <t>A</t>
  </si>
  <si>
    <t>B</t>
  </si>
  <si>
    <t>H</t>
  </si>
  <si>
    <t>I</t>
  </si>
  <si>
    <t>Links to the source register, e.g. SRC-02. Mandatory on every row.</t>
  </si>
  <si>
    <t>J</t>
  </si>
  <si>
    <t>K</t>
  </si>
  <si>
    <t>L</t>
  </si>
  <si>
    <t>M</t>
  </si>
  <si>
    <t>N</t>
  </si>
  <si>
    <t>O</t>
  </si>
  <si>
    <t>Date the fee applies from.</t>
  </si>
  <si>
    <t>P</t>
  </si>
  <si>
    <t>GST rate (input)</t>
  </si>
  <si>
    <t>Step 1</t>
  </si>
  <si>
    <t>Start a new chat. Upload ONE fee document and paste the prompt from section 7.</t>
  </si>
  <si>
    <t>Step 2</t>
  </si>
  <si>
    <t>Step 3</t>
  </si>
  <si>
    <t>Step 4</t>
  </si>
  <si>
    <t>Step 5</t>
  </si>
  <si>
    <t>Step 6</t>
  </si>
  <si>
    <t>Step 7</t>
  </si>
  <si>
    <t>Status values</t>
  </si>
  <si>
    <t>Pending extraction | Extracting | Merged | Reference only | Superseded</t>
  </si>
  <si>
    <t>Tab names</t>
  </si>
  <si>
    <t>SRC-xx + short provider name (max 31 characters), e.g. 'SRC-02 CESL'.</t>
  </si>
  <si>
    <t>Fees</t>
  </si>
  <si>
    <t>Record as printed. Where a fee is an add-on (e.g. MIGS + cataract), record the add-on amount and note the combined total in Notes.</t>
  </si>
  <si>
    <t>Time-based fees</t>
  </si>
  <si>
    <t>One row per time band (e.g. Vitrectomy up to 60 / 61–90 / 90–120 mins, plus 'per extra 15 mins').</t>
  </si>
  <si>
    <t>Colours</t>
  </si>
  <si>
    <t>Each SRC tab carries a note on its top-left header cell: file name + date uploaded.</t>
  </si>
  <si>
    <t>7. Starter prompt for a new chat (copy &amp; paste with the uploaded document)</t>
  </si>
  <si>
    <t>Last updated: 28 Sep 2026</t>
  </si>
  <si>
    <t>NZSA RVG 2021 – Base Units Reference</t>
  </si>
  <si>
    <t>Code</t>
  </si>
  <si>
    <t>Region</t>
  </si>
  <si>
    <t>Sub-category</t>
  </si>
  <si>
    <t>Procedure</t>
  </si>
  <si>
    <t>Base Units</t>
  </si>
  <si>
    <t>Max Units</t>
  </si>
  <si>
    <t>RVG Code</t>
  </si>
  <si>
    <t>RVG Base Units</t>
  </si>
  <si>
    <t>Operation / Description</t>
  </si>
  <si>
    <t>Provider / Payer</t>
  </si>
  <si>
    <t>Fee Code</t>
  </si>
  <si>
    <t>Fee Basis</t>
  </si>
  <si>
    <t>Basic Units</t>
  </si>
  <si>
    <t>Time Units</t>
  </si>
  <si>
    <t>Modifying Units</t>
  </si>
  <si>
    <t>Total Units</t>
  </si>
  <si>
    <t>Fee as Printed</t>
  </si>
  <si>
    <t>GST Basis</t>
  </si>
  <si>
    <t>Fee Excl. GST</t>
  </si>
  <si>
    <t>Fee Incl. GST</t>
  </si>
  <si>
    <t>Implied $/Unit</t>
  </si>
  <si>
    <t>Effective Date</t>
  </si>
  <si>
    <t>Source Ref</t>
  </si>
  <si>
    <t>Notes / Conditions</t>
  </si>
  <si>
    <t>Solutions Plus</t>
  </si>
  <si>
    <t>RVG units</t>
  </si>
  <si>
    <t>S+ row 2</t>
  </si>
  <si>
    <t>S+ row 3</t>
  </si>
  <si>
    <t>S+ row 4</t>
  </si>
  <si>
    <t>S+ row 5</t>
  </si>
  <si>
    <t>S+ row 6</t>
  </si>
  <si>
    <t>S+ row 7</t>
  </si>
  <si>
    <t>S+ row 8</t>
  </si>
  <si>
    <t>S+ row 9</t>
  </si>
  <si>
    <t>S+ row 10</t>
  </si>
  <si>
    <t>S+ row 11</t>
  </si>
  <si>
    <t>S+ row 12</t>
  </si>
  <si>
    <t>S+ row 13</t>
  </si>
  <si>
    <t>S+ row 14</t>
  </si>
  <si>
    <t>S+ row 15</t>
  </si>
  <si>
    <t>S+ row 16</t>
  </si>
  <si>
    <t>S+ row 17</t>
  </si>
  <si>
    <t>S+ row 18</t>
  </si>
  <si>
    <t>S+ row 19</t>
  </si>
  <si>
    <t>S+ row 20</t>
  </si>
  <si>
    <t>S+ row 21</t>
  </si>
  <si>
    <t>S+ row 22</t>
  </si>
  <si>
    <t>S+ row 23</t>
  </si>
  <si>
    <t>S+ row 24</t>
  </si>
  <si>
    <t>S+ row 25</t>
  </si>
  <si>
    <t>S+ row 26</t>
  </si>
  <si>
    <t>S+ row 27</t>
  </si>
  <si>
    <t>S+ row 28</t>
  </si>
  <si>
    <t>S+ row 29</t>
  </si>
  <si>
    <t>S+ row 30</t>
  </si>
  <si>
    <t>S+ row 31</t>
  </si>
  <si>
    <t>S+ row 32</t>
  </si>
  <si>
    <t>S+ row 33</t>
  </si>
  <si>
    <t>S+ row 34</t>
  </si>
  <si>
    <t>S+ row 35</t>
  </si>
  <si>
    <t>S+ row 36</t>
  </si>
  <si>
    <t>S+ row 37</t>
  </si>
  <si>
    <t>S+ row 38</t>
  </si>
  <si>
    <t>S+ row 39</t>
  </si>
  <si>
    <t>S+ row 40</t>
  </si>
  <si>
    <t>S+ row 41</t>
  </si>
  <si>
    <t>S+ row 42</t>
  </si>
  <si>
    <t>S+ row 43</t>
  </si>
  <si>
    <t>S+ row 44</t>
  </si>
  <si>
    <t>S+ row 45</t>
  </si>
  <si>
    <t>S+ row 46</t>
  </si>
  <si>
    <t>S+ row 47</t>
  </si>
  <si>
    <t>S+ row 48</t>
  </si>
  <si>
    <t>S+ row 49</t>
  </si>
  <si>
    <t>S+ row 50</t>
  </si>
  <si>
    <t>S+ row 51</t>
  </si>
  <si>
    <t>S+ row 52</t>
  </si>
  <si>
    <t>S+ row 53</t>
  </si>
  <si>
    <t>S+ row 54</t>
  </si>
  <si>
    <t>S+ row 55</t>
  </si>
  <si>
    <t>S+ row 56</t>
  </si>
  <si>
    <t>S+ row 57</t>
  </si>
  <si>
    <t>S+ row 58</t>
  </si>
  <si>
    <t>S+ row 59</t>
  </si>
  <si>
    <t>S+ row 60</t>
  </si>
  <si>
    <t>S+ row 61</t>
  </si>
  <si>
    <t>S+ row 62</t>
  </si>
  <si>
    <t>S+ row 63</t>
  </si>
  <si>
    <t>S+ row 64</t>
  </si>
  <si>
    <t>S+ row 65</t>
  </si>
  <si>
    <t>S+ row 66</t>
  </si>
  <si>
    <t>S+ row 67</t>
  </si>
  <si>
    <t>S+ row 68</t>
  </si>
  <si>
    <t>S+ row 69</t>
  </si>
  <si>
    <t>S+ row 70</t>
  </si>
  <si>
    <t>S+ row 71</t>
  </si>
  <si>
    <t>S+ row 72</t>
  </si>
  <si>
    <t>S+ row 73</t>
  </si>
  <si>
    <t>S+ row 74</t>
  </si>
  <si>
    <t>S+ row 75</t>
  </si>
  <si>
    <t>S+ row 76</t>
  </si>
  <si>
    <t>S+ row 77</t>
  </si>
  <si>
    <t>S+ row 78</t>
  </si>
  <si>
    <t>S+ row 79</t>
  </si>
  <si>
    <t>S+ row 80</t>
  </si>
  <si>
    <t>S+ row 81</t>
  </si>
  <si>
    <t>S+ row 82</t>
  </si>
  <si>
    <t>S+ row 83</t>
  </si>
  <si>
    <t>S+ row 84</t>
  </si>
  <si>
    <t>S+ row 85</t>
  </si>
  <si>
    <t>S+ row 86</t>
  </si>
  <si>
    <t>S+ row 87</t>
  </si>
  <si>
    <t>S+ row 88</t>
  </si>
  <si>
    <t>S+ row 89</t>
  </si>
  <si>
    <t>S+ row 90</t>
  </si>
  <si>
    <t>S+ row 91</t>
  </si>
  <si>
    <t>S+ row 92</t>
  </si>
  <si>
    <t>S+ row 93</t>
  </si>
  <si>
    <t>S+ row 94</t>
  </si>
  <si>
    <t>S+ row 95</t>
  </si>
  <si>
    <t>S+ row 96</t>
  </si>
  <si>
    <t>S+ row 97</t>
  </si>
  <si>
    <t>S+ row 98</t>
  </si>
  <si>
    <t>S+ row 99</t>
  </si>
  <si>
    <t>S+ row 100</t>
  </si>
  <si>
    <t>S+ row 101</t>
  </si>
  <si>
    <t>S+ row 102</t>
  </si>
  <si>
    <t>S+ row 103</t>
  </si>
  <si>
    <t>S+ row 104</t>
  </si>
  <si>
    <t>S+ row 105</t>
  </si>
  <si>
    <t>S+ row 106</t>
  </si>
  <si>
    <t>S+ row 107</t>
  </si>
  <si>
    <t>S+ row 108</t>
  </si>
  <si>
    <t>S+ row 109</t>
  </si>
  <si>
    <t>S+ row 110</t>
  </si>
  <si>
    <t>S+ row 111</t>
  </si>
  <si>
    <t>S+ row 112</t>
  </si>
  <si>
    <t>S+ row 113</t>
  </si>
  <si>
    <t>S+ row 114</t>
  </si>
  <si>
    <t>S+ row 115</t>
  </si>
  <si>
    <t>S+ row 116</t>
  </si>
  <si>
    <t>S+ row 117</t>
  </si>
  <si>
    <t>S+ row 118</t>
  </si>
  <si>
    <t>S+ row 119</t>
  </si>
  <si>
    <t>S+ row 120</t>
  </si>
  <si>
    <t>S+ row 121</t>
  </si>
  <si>
    <t>S+ row 122</t>
  </si>
  <si>
    <t>S+ row 123</t>
  </si>
  <si>
    <t>S+ row 124</t>
  </si>
  <si>
    <t>S+ row 125</t>
  </si>
  <si>
    <t>S+ row 126</t>
  </si>
  <si>
    <t>S+ row 127</t>
  </si>
  <si>
    <t>S+ row 128</t>
  </si>
  <si>
    <t>S+ row 129</t>
  </si>
  <si>
    <t>S+ row 130</t>
  </si>
  <si>
    <t>S+ row 131</t>
  </si>
  <si>
    <t>S+ row 132</t>
  </si>
  <si>
    <t>S+ row 133</t>
  </si>
  <si>
    <t>S+ row 134</t>
  </si>
  <si>
    <t>S+ row 135</t>
  </si>
  <si>
    <t>S+ row 136</t>
  </si>
  <si>
    <t>S+ row 137</t>
  </si>
  <si>
    <t>S+ row 138</t>
  </si>
  <si>
    <t>S+ row 139</t>
  </si>
  <si>
    <t>S+ row 140</t>
  </si>
  <si>
    <t>S+ row 141</t>
  </si>
  <si>
    <t>S+ row 142</t>
  </si>
  <si>
    <t>S+ row 143</t>
  </si>
  <si>
    <t>S+ row 144</t>
  </si>
  <si>
    <t>S+ row 145</t>
  </si>
  <si>
    <t>S+ row 146</t>
  </si>
  <si>
    <t>S+ row 147</t>
  </si>
  <si>
    <t>S+ row 148</t>
  </si>
  <si>
    <t>S+ row 149</t>
  </si>
  <si>
    <t>S+ row 150</t>
  </si>
  <si>
    <t>S+ row 151</t>
  </si>
  <si>
    <t>S+ row 152</t>
  </si>
  <si>
    <t>S+ row 153</t>
  </si>
  <si>
    <t>S+ row 154</t>
  </si>
  <si>
    <t>S+ row 155</t>
  </si>
  <si>
    <t>S+ row 156</t>
  </si>
  <si>
    <t>S+ row 157</t>
  </si>
  <si>
    <t>S+ row 158</t>
  </si>
  <si>
    <t>S+ row 159</t>
  </si>
  <si>
    <t>S+ row 160</t>
  </si>
  <si>
    <t>S+ row 161</t>
  </si>
  <si>
    <t>S+ row 162</t>
  </si>
  <si>
    <t>S+ row 163</t>
  </si>
  <si>
    <t>S+ row 164</t>
  </si>
  <si>
    <t>S+ row 165</t>
  </si>
  <si>
    <t>S+ row 166</t>
  </si>
  <si>
    <t>S+ row 167</t>
  </si>
  <si>
    <t>S+ row 168</t>
  </si>
  <si>
    <t>S+ row 169</t>
  </si>
  <si>
    <t>S+ row 170</t>
  </si>
  <si>
    <t>S+ row 171</t>
  </si>
  <si>
    <t>S+ row 172</t>
  </si>
  <si>
    <t>S+ row 173</t>
  </si>
  <si>
    <t>S+ row 174</t>
  </si>
  <si>
    <t>S+ row 175</t>
  </si>
  <si>
    <t>S+ row 176</t>
  </si>
  <si>
    <t>S+ row 177</t>
  </si>
  <si>
    <t>S+ row 178</t>
  </si>
  <si>
    <t>S+ row 179</t>
  </si>
  <si>
    <t>S+ row 180</t>
  </si>
  <si>
    <t>S+ row 181</t>
  </si>
  <si>
    <t>S+ row 182</t>
  </si>
  <si>
    <t>S+ row 183</t>
  </si>
  <si>
    <t>S+ row 184</t>
  </si>
  <si>
    <t>S+ row 185</t>
  </si>
  <si>
    <t>S+ row 186</t>
  </si>
  <si>
    <t>S+ row 187</t>
  </si>
  <si>
    <t>S+ row 188</t>
  </si>
  <si>
    <t>S+ row 189</t>
  </si>
  <si>
    <t>S+ row 190</t>
  </si>
  <si>
    <t>S+ row 191</t>
  </si>
  <si>
    <t>S+ row 192</t>
  </si>
  <si>
    <t>S+ row 193</t>
  </si>
  <si>
    <t>S+ row 194</t>
  </si>
  <si>
    <t>S+ row 195</t>
  </si>
  <si>
    <t>S+ row 196</t>
  </si>
  <si>
    <t>S+ row 197</t>
  </si>
  <si>
    <t>S+ row 198</t>
  </si>
  <si>
    <t>S+ row 199</t>
  </si>
  <si>
    <t>S+ row 200</t>
  </si>
  <si>
    <t>S+ row 201</t>
  </si>
  <si>
    <t>S+ row 202</t>
  </si>
  <si>
    <t>S+ row 203</t>
  </si>
  <si>
    <t>S+ row 204</t>
  </si>
  <si>
    <t>S+ row 205</t>
  </si>
  <si>
    <t>S+ row 206</t>
  </si>
  <si>
    <t>S+ row 207</t>
  </si>
  <si>
    <t>S+ row 208</t>
  </si>
  <si>
    <t>S+ row 209</t>
  </si>
  <si>
    <t>S+ row 210</t>
  </si>
  <si>
    <t>S+ row 211</t>
  </si>
  <si>
    <t>S+ row 212</t>
  </si>
  <si>
    <t>S+ row 213</t>
  </si>
  <si>
    <t>S+ row 214</t>
  </si>
  <si>
    <t>S+ row 215</t>
  </si>
  <si>
    <t>S+ row 216</t>
  </si>
  <si>
    <t>S+ row 217</t>
  </si>
  <si>
    <t>S+ row 218</t>
  </si>
  <si>
    <t>S+ row 219</t>
  </si>
  <si>
    <t>S+ row 220</t>
  </si>
  <si>
    <t>S+ row 221</t>
  </si>
  <si>
    <t>S+ row 222</t>
  </si>
  <si>
    <t>S+ row 223</t>
  </si>
  <si>
    <t>S+ row 224</t>
  </si>
  <si>
    <t>S+ row 225</t>
  </si>
  <si>
    <t>S+ row 226</t>
  </si>
  <si>
    <t>S+ row 227</t>
  </si>
  <si>
    <t>S+ row 228</t>
  </si>
  <si>
    <t>S+ row 229</t>
  </si>
  <si>
    <t>S+ row 230</t>
  </si>
  <si>
    <t>S+ row 231</t>
  </si>
  <si>
    <t>S+ row 232</t>
  </si>
  <si>
    <t>S+ row 233</t>
  </si>
  <si>
    <t>S+ row 234</t>
  </si>
  <si>
    <t>S+ row 235</t>
  </si>
  <si>
    <t>S+ row 236</t>
  </si>
  <si>
    <t>S+ row 237</t>
  </si>
  <si>
    <t>S+ row 238</t>
  </si>
  <si>
    <t>S+ row 239</t>
  </si>
  <si>
    <t>S+ row 240</t>
  </si>
  <si>
    <t>S+ row 241</t>
  </si>
  <si>
    <t>S+ row 242</t>
  </si>
  <si>
    <t>S+ row 243</t>
  </si>
  <si>
    <t>S+ row 244</t>
  </si>
  <si>
    <t>S+ row 245</t>
  </si>
  <si>
    <t>S+ row 246</t>
  </si>
  <si>
    <t>S+ row 247</t>
  </si>
  <si>
    <t>S+ row 248</t>
  </si>
  <si>
    <t>S+ row 249</t>
  </si>
  <si>
    <t>S+ row 250</t>
  </si>
  <si>
    <t>S+ row 251</t>
  </si>
  <si>
    <t>S+ row 252</t>
  </si>
  <si>
    <t>S+ row 253</t>
  </si>
  <si>
    <t>S+ row 254</t>
  </si>
  <si>
    <t>S+ row 255</t>
  </si>
  <si>
    <t>S+ row 256</t>
  </si>
  <si>
    <t>S+ row 257</t>
  </si>
  <si>
    <t>S+ row 258</t>
  </si>
  <si>
    <t>S+ row 259</t>
  </si>
  <si>
    <t>S+ row 260</t>
  </si>
  <si>
    <t>S+ row 261</t>
  </si>
  <si>
    <t>S+ row 262</t>
  </si>
  <si>
    <t>S+ row 263</t>
  </si>
  <si>
    <t>S+ row 264</t>
  </si>
  <si>
    <t>S+ row 265</t>
  </si>
  <si>
    <t>S+ row 266</t>
  </si>
  <si>
    <t>S+ row 267</t>
  </si>
  <si>
    <t>S+ row 268</t>
  </si>
  <si>
    <t>S+ row 269</t>
  </si>
  <si>
    <t>S+ row 270</t>
  </si>
  <si>
    <t>S+ row 271</t>
  </si>
  <si>
    <t>S+ row 272</t>
  </si>
  <si>
    <t>S+ row 273</t>
  </si>
  <si>
    <t>S+ row 274</t>
  </si>
  <si>
    <t>S+ row 275</t>
  </si>
  <si>
    <t>S+ row 276</t>
  </si>
  <si>
    <t>S+ row 277</t>
  </si>
  <si>
    <t>S+ row 278</t>
  </si>
  <si>
    <t>S+ row 279</t>
  </si>
  <si>
    <t>S+ row 280</t>
  </si>
  <si>
    <t>S+ row 281</t>
  </si>
  <si>
    <t>S+ row 282</t>
  </si>
  <si>
    <t>S+ row 283</t>
  </si>
  <si>
    <t>S+ row 284</t>
  </si>
  <si>
    <t>S+ row 285</t>
  </si>
  <si>
    <t>S+ row 286</t>
  </si>
  <si>
    <t>S+ row 287</t>
  </si>
  <si>
    <t>S+ row 288</t>
  </si>
  <si>
    <t>S+ row 289</t>
  </si>
  <si>
    <t>S+ row 290</t>
  </si>
  <si>
    <t>S+ row 291</t>
  </si>
  <si>
    <t>S+ row 292</t>
  </si>
  <si>
    <t>S+ row 293</t>
  </si>
  <si>
    <t>S+ row 294</t>
  </si>
  <si>
    <t>S+ row 295</t>
  </si>
  <si>
    <t>S+ row 296</t>
  </si>
  <si>
    <t>S+ row 297</t>
  </si>
  <si>
    <t>S+ row 298</t>
  </si>
  <si>
    <t>S+ row 299</t>
  </si>
  <si>
    <t>S+ row 300</t>
  </si>
  <si>
    <t>S+ row 301</t>
  </si>
  <si>
    <t>S+ row 302</t>
  </si>
  <si>
    <t>S+ row 303</t>
  </si>
  <si>
    <t>S+ row 304</t>
  </si>
  <si>
    <t>S+ row 305</t>
  </si>
  <si>
    <t>S+ row 306</t>
  </si>
  <si>
    <t>S+ row 307</t>
  </si>
  <si>
    <t>S+ row 308</t>
  </si>
  <si>
    <t>S+ row 309</t>
  </si>
  <si>
    <t>S+ row 310</t>
  </si>
  <si>
    <t>S+ row 311</t>
  </si>
  <si>
    <t>S+ row 312</t>
  </si>
  <si>
    <t>S+ row 313</t>
  </si>
  <si>
    <t>S+ row 314</t>
  </si>
  <si>
    <t>S+ row 315</t>
  </si>
  <si>
    <t>S+ row 316</t>
  </si>
  <si>
    <t>S+ row 317</t>
  </si>
  <si>
    <t>S+ row 318</t>
  </si>
  <si>
    <t>S+ row 319</t>
  </si>
  <si>
    <t>S+ row 320</t>
  </si>
  <si>
    <t>S+ row 321</t>
  </si>
  <si>
    <t>S+ row 322</t>
  </si>
  <si>
    <t>S+ row 323</t>
  </si>
  <si>
    <t>S+ row 324</t>
  </si>
  <si>
    <t>S+ row 325</t>
  </si>
  <si>
    <t>S+ row 326</t>
  </si>
  <si>
    <t>S+ row 327</t>
  </si>
  <si>
    <t>S+ row 328</t>
  </si>
  <si>
    <t>S+ row 329</t>
  </si>
  <si>
    <t>S+ row 330</t>
  </si>
  <si>
    <t>S+ row 331</t>
  </si>
  <si>
    <t>S+ row 332</t>
  </si>
  <si>
    <t>S+ row 333</t>
  </si>
  <si>
    <t>S+ row 334</t>
  </si>
  <si>
    <t>S+ row 335</t>
  </si>
  <si>
    <t>S+ row 336</t>
  </si>
  <si>
    <t>S+ row 337</t>
  </si>
  <si>
    <t>S+ row 338</t>
  </si>
  <si>
    <t>S+ row 339</t>
  </si>
  <si>
    <t>S+ row 340</t>
  </si>
  <si>
    <t>S+ row 341</t>
  </si>
  <si>
    <t>S+ row 342</t>
  </si>
  <si>
    <t>S+ row 343</t>
  </si>
  <si>
    <t>S+ row 344</t>
  </si>
  <si>
    <t>S+ row 345</t>
  </si>
  <si>
    <t>S+ row 346</t>
  </si>
  <si>
    <t>S+ row 347</t>
  </si>
  <si>
    <t>S+ row 348</t>
  </si>
  <si>
    <t>S+ row 349</t>
  </si>
  <si>
    <t>S+ row 350</t>
  </si>
  <si>
    <t>S+ row 351</t>
  </si>
  <si>
    <t>S+ row 352</t>
  </si>
  <si>
    <t>S+ row 353</t>
  </si>
  <si>
    <t>S+ row 354</t>
  </si>
  <si>
    <t>S+ row 355</t>
  </si>
  <si>
    <t>S+ row 356</t>
  </si>
  <si>
    <t>S+ row 357</t>
  </si>
  <si>
    <t>S+ row 358</t>
  </si>
  <si>
    <t>S+ row 359</t>
  </si>
  <si>
    <t>S+ row 360</t>
  </si>
  <si>
    <t>S+ row 361</t>
  </si>
  <si>
    <t>S+ row 362</t>
  </si>
  <si>
    <t>S+ row 363</t>
  </si>
  <si>
    <t>S+ row 364</t>
  </si>
  <si>
    <t>S+ row 365</t>
  </si>
  <si>
    <t>S+ row 366</t>
  </si>
  <si>
    <t>S+ row 367</t>
  </si>
  <si>
    <t>S+ row 368</t>
  </si>
  <si>
    <t>S+ row 369</t>
  </si>
  <si>
    <t>S+ row 370</t>
  </si>
  <si>
    <t>S+ row 371</t>
  </si>
  <si>
    <t>S+ row 372</t>
  </si>
  <si>
    <t>S+ row 373</t>
  </si>
  <si>
    <t>S+ row 374</t>
  </si>
  <si>
    <t>S+ row 375</t>
  </si>
  <si>
    <t>S+ row 376</t>
  </si>
  <si>
    <t>S+ row 377</t>
  </si>
  <si>
    <t>S+ row 378</t>
  </si>
  <si>
    <t>S+ row 379</t>
  </si>
  <si>
    <t>S+ row 380</t>
  </si>
  <si>
    <t>S+ row 381</t>
  </si>
  <si>
    <t>S+ row 382</t>
  </si>
  <si>
    <t>S+ row 383</t>
  </si>
  <si>
    <t>S+ row 384</t>
  </si>
  <si>
    <t>S+ row 385</t>
  </si>
  <si>
    <t>S+ row 386</t>
  </si>
  <si>
    <t>S+ row 387</t>
  </si>
  <si>
    <t>S+ row 388</t>
  </si>
  <si>
    <t>S+ row 389</t>
  </si>
  <si>
    <t>S+ row 390</t>
  </si>
  <si>
    <t>S+ row 391</t>
  </si>
  <si>
    <t>S+ row 392</t>
  </si>
  <si>
    <t>S+ row 393</t>
  </si>
  <si>
    <t>S+ row 394</t>
  </si>
  <si>
    <t>S+ row 395</t>
  </si>
  <si>
    <t>S+ row 396</t>
  </si>
  <si>
    <t>S+ row 397</t>
  </si>
  <si>
    <t>S+ row 398</t>
  </si>
  <si>
    <t>S+ row 399</t>
  </si>
  <si>
    <t>S+ row 400</t>
  </si>
  <si>
    <t>S+ row 401</t>
  </si>
  <si>
    <t>S+ row 402</t>
  </si>
  <si>
    <t>S+ row 403</t>
  </si>
  <si>
    <t>S+ row 404</t>
  </si>
  <si>
    <t>S+ row 405</t>
  </si>
  <si>
    <t>S+ row 406</t>
  </si>
  <si>
    <t>S+ row 407</t>
  </si>
  <si>
    <t>S+ row 408</t>
  </si>
  <si>
    <t>S+ row 409</t>
  </si>
  <si>
    <t>S+ row 410</t>
  </si>
  <si>
    <t>S+ row 411</t>
  </si>
  <si>
    <t>S+ row 412</t>
  </si>
  <si>
    <t>S+ row 413</t>
  </si>
  <si>
    <t>S+ row 414</t>
  </si>
  <si>
    <t>S+ row 415</t>
  </si>
  <si>
    <t>S+ row 416</t>
  </si>
  <si>
    <t>S+ row 417</t>
  </si>
  <si>
    <t>S+ row 418</t>
  </si>
  <si>
    <t>S+ row 419</t>
  </si>
  <si>
    <t>S+ row 420</t>
  </si>
  <si>
    <t>S+ row 421</t>
  </si>
  <si>
    <t>S+ row 422</t>
  </si>
  <si>
    <t>S+ row 423</t>
  </si>
  <si>
    <t>S+ row 424</t>
  </si>
  <si>
    <t>S+ row 425</t>
  </si>
  <si>
    <t>S+ row 426</t>
  </si>
  <si>
    <t>S+ row 427</t>
  </si>
  <si>
    <t>S+ row 428</t>
  </si>
  <si>
    <t>S+ row 429</t>
  </si>
  <si>
    <t>S+ row 430</t>
  </si>
  <si>
    <t>S+ row 431</t>
  </si>
  <si>
    <t>S+ row 432</t>
  </si>
  <si>
    <t>S+ row 433</t>
  </si>
  <si>
    <t>S+ row 434</t>
  </si>
  <si>
    <t>S+ row 435</t>
  </si>
  <si>
    <t>S+ row 436</t>
  </si>
  <si>
    <t>S+ row 437</t>
  </si>
  <si>
    <t>S+ row 438</t>
  </si>
  <si>
    <t>S+ row 439</t>
  </si>
  <si>
    <t>S+ row 440</t>
  </si>
  <si>
    <t>S+ row 441</t>
  </si>
  <si>
    <t>S+ row 442</t>
  </si>
  <si>
    <t>S+ row 443</t>
  </si>
  <si>
    <t>S+ row 444</t>
  </si>
  <si>
    <t>S+ row 445</t>
  </si>
  <si>
    <t>S+ row 446</t>
  </si>
  <si>
    <t>S+ row 447</t>
  </si>
  <si>
    <t>S+ row 448</t>
  </si>
  <si>
    <t>S+ row 449</t>
  </si>
  <si>
    <t>S+ row 450</t>
  </si>
  <si>
    <t>S+ row 451</t>
  </si>
  <si>
    <t>S+ row 452</t>
  </si>
  <si>
    <t>S+ row 453</t>
  </si>
  <si>
    <t>S+ row 454</t>
  </si>
  <si>
    <t>S+ row 455</t>
  </si>
  <si>
    <t>S+ row 456</t>
  </si>
  <si>
    <t>S+ row 457</t>
  </si>
  <si>
    <t>S+ row 458</t>
  </si>
  <si>
    <t>S+ row 459</t>
  </si>
  <si>
    <t>S+ row 460</t>
  </si>
  <si>
    <t>S+ row 461</t>
  </si>
  <si>
    <t>S+ row 462</t>
  </si>
  <si>
    <t>S+ row 463</t>
  </si>
  <si>
    <t>S+ row 464</t>
  </si>
  <si>
    <t>S+ row 465</t>
  </si>
  <si>
    <t>S+ row 466</t>
  </si>
  <si>
    <t>S+ row 467</t>
  </si>
  <si>
    <t>S+ row 468</t>
  </si>
  <si>
    <t>S+ row 469</t>
  </si>
  <si>
    <t>S+ row 470</t>
  </si>
  <si>
    <t>S+ row 471</t>
  </si>
  <si>
    <t>S+ row 472</t>
  </si>
  <si>
    <t>S+ row 473</t>
  </si>
  <si>
    <t>S+ row 474</t>
  </si>
  <si>
    <t>S+ row 475</t>
  </si>
  <si>
    <t>S+ row 476</t>
  </si>
  <si>
    <t>S+ row 477</t>
  </si>
  <si>
    <t>S+ row 478</t>
  </si>
  <si>
    <t>S+ row 479</t>
  </si>
  <si>
    <t>S+ row 480</t>
  </si>
  <si>
    <t>S+ row 481</t>
  </si>
  <si>
    <t>S+ row 482</t>
  </si>
  <si>
    <t>S+ row 483</t>
  </si>
  <si>
    <t>S+ row 484</t>
  </si>
  <si>
    <t>S+ row 485</t>
  </si>
  <si>
    <t>S+ row 486</t>
  </si>
  <si>
    <t>S+ row 487</t>
  </si>
  <si>
    <t>S+ row 488</t>
  </si>
  <si>
    <t>S+ row 489</t>
  </si>
  <si>
    <t>S+ row 490</t>
  </si>
  <si>
    <t>S+ row 491</t>
  </si>
  <si>
    <t>S+ row 492</t>
  </si>
  <si>
    <t>S+ row 493</t>
  </si>
  <si>
    <t>S+ row 494</t>
  </si>
  <si>
    <t>S+ row 495</t>
  </si>
  <si>
    <t>S+ row 496</t>
  </si>
  <si>
    <t>S+ row 497</t>
  </si>
  <si>
    <t>S+ row 498</t>
  </si>
  <si>
    <t>S+ row 499</t>
  </si>
  <si>
    <t>S+ row 500</t>
  </si>
  <si>
    <t>S+ row 501</t>
  </si>
  <si>
    <t>S+ row 502</t>
  </si>
  <si>
    <t>S+ row 503</t>
  </si>
  <si>
    <t>S+ row 504</t>
  </si>
  <si>
    <t>S+ row 505</t>
  </si>
  <si>
    <t>S+ row 506</t>
  </si>
  <si>
    <t>S+ row 507</t>
  </si>
  <si>
    <t>S+ row 508</t>
  </si>
  <si>
    <t>S+ row 509</t>
  </si>
  <si>
    <t>S+ row 510</t>
  </si>
  <si>
    <t>S+ row 511</t>
  </si>
  <si>
    <t>S+ row 512</t>
  </si>
  <si>
    <t>S+ row 513</t>
  </si>
  <si>
    <t>S+ row 514</t>
  </si>
  <si>
    <t>S+ row 515</t>
  </si>
  <si>
    <t>S+ row 516</t>
  </si>
  <si>
    <t>S+ row 517</t>
  </si>
  <si>
    <t>S+ row 518</t>
  </si>
  <si>
    <t>S+ row 519</t>
  </si>
  <si>
    <t>S+ row 520</t>
  </si>
  <si>
    <t>S+ row 521</t>
  </si>
  <si>
    <t>S+ row 522</t>
  </si>
  <si>
    <t>S+ row 523</t>
  </si>
  <si>
    <t>S+ row 524</t>
  </si>
  <si>
    <t>S+ row 525</t>
  </si>
  <si>
    <t>S+ row 526</t>
  </si>
  <si>
    <t>S+ row 527</t>
  </si>
  <si>
    <t>S+ row 528</t>
  </si>
  <si>
    <t>S+ row 529</t>
  </si>
  <si>
    <t>S+ row 530</t>
  </si>
  <si>
    <t>S+ row 531</t>
  </si>
  <si>
    <t>S+ row 532</t>
  </si>
  <si>
    <t>S+ row 533</t>
  </si>
  <si>
    <t>S+ row 534</t>
  </si>
  <si>
    <t>S+ row 535</t>
  </si>
  <si>
    <t>S+ row 536</t>
  </si>
  <si>
    <t>S+ row 537</t>
  </si>
  <si>
    <t>S+ row 538</t>
  </si>
  <si>
    <t>S+ row 539</t>
  </si>
  <si>
    <t>S+ row 540</t>
  </si>
  <si>
    <t>S+ row 541</t>
  </si>
  <si>
    <t>S+ row 542</t>
  </si>
  <si>
    <t>S+ row 543</t>
  </si>
  <si>
    <t>S+ row 544</t>
  </si>
  <si>
    <t>S+ row 545</t>
  </si>
  <si>
    <t>S+ row 546</t>
  </si>
  <si>
    <t>S+ row 547</t>
  </si>
  <si>
    <t>S+ row 548</t>
  </si>
  <si>
    <t>S+ row 549</t>
  </si>
  <si>
    <t>S+ row 550</t>
  </si>
  <si>
    <t>S+ row 551</t>
  </si>
  <si>
    <t>S+ row 552</t>
  </si>
  <si>
    <t>S+ row 553</t>
  </si>
  <si>
    <t>S+ row 554</t>
  </si>
  <si>
    <t>S+ row 555</t>
  </si>
  <si>
    <t>S+ row 556</t>
  </si>
  <si>
    <t>S+ row 557</t>
  </si>
  <si>
    <t>S+ row 558</t>
  </si>
  <si>
    <t>S+ row 559</t>
  </si>
  <si>
    <t>S+ row 560</t>
  </si>
  <si>
    <t>S+ row 561</t>
  </si>
  <si>
    <t>S+ row 562</t>
  </si>
  <si>
    <t>S+ row 563</t>
  </si>
  <si>
    <t>S+ row 564</t>
  </si>
  <si>
    <t>S+ row 565</t>
  </si>
  <si>
    <t>S+ row 566</t>
  </si>
  <si>
    <t>S+ row 567</t>
  </si>
  <si>
    <t>S+ row 568</t>
  </si>
  <si>
    <t>S+ row 569</t>
  </si>
  <si>
    <t>S+ row 570</t>
  </si>
  <si>
    <t>S+ row 571</t>
  </si>
  <si>
    <t>S+ row 572</t>
  </si>
  <si>
    <t>S+ row 573</t>
  </si>
  <si>
    <t>S+ row 574</t>
  </si>
  <si>
    <t>S+ row 575</t>
  </si>
  <si>
    <t>S+ row 576</t>
  </si>
  <si>
    <t>S+ row 577</t>
  </si>
  <si>
    <t>S+ row 578</t>
  </si>
  <si>
    <t>S+ row 579</t>
  </si>
  <si>
    <t>S+ row 580</t>
  </si>
  <si>
    <t>S+ row 581</t>
  </si>
  <si>
    <t>S+ row 582</t>
  </si>
  <si>
    <t>S+ row 583</t>
  </si>
  <si>
    <t>S+ row 584</t>
  </si>
  <si>
    <t>S+ row 585</t>
  </si>
  <si>
    <t>S+ row 586</t>
  </si>
  <si>
    <t>S+ row 587</t>
  </si>
  <si>
    <t>S+ row 588</t>
  </si>
  <si>
    <t>S+ row 589</t>
  </si>
  <si>
    <t>S+ row 590</t>
  </si>
  <si>
    <t>S+ row 591</t>
  </si>
  <si>
    <t>S+ row 592</t>
  </si>
  <si>
    <t>S+ row 593</t>
  </si>
  <si>
    <t>S+ row 594</t>
  </si>
  <si>
    <t>S+ row 595</t>
  </si>
  <si>
    <t>S+ row 596</t>
  </si>
  <si>
    <t>S+ row 597</t>
  </si>
  <si>
    <t>S+ row 598</t>
  </si>
  <si>
    <t>S+ row 599</t>
  </si>
  <si>
    <t>S+ row 600</t>
  </si>
  <si>
    <t>S+ row 601</t>
  </si>
  <si>
    <t>S+ row 602</t>
  </si>
  <si>
    <t>S+ row 603</t>
  </si>
  <si>
    <t>S+ row 604</t>
  </si>
  <si>
    <t>S+ row 605</t>
  </si>
  <si>
    <t>S+ row 606</t>
  </si>
  <si>
    <t>S+ row 607</t>
  </si>
  <si>
    <t>S+ row 608</t>
  </si>
  <si>
    <t>S+ row 609</t>
  </si>
  <si>
    <t>S+ row 610</t>
  </si>
  <si>
    <t>S+ row 611</t>
  </si>
  <si>
    <t>S+ row 612</t>
  </si>
  <si>
    <t>S+ row 613</t>
  </si>
  <si>
    <t>S+ row 614</t>
  </si>
  <si>
    <t>S+ row 615</t>
  </si>
  <si>
    <t>S+ row 616</t>
  </si>
  <si>
    <t>S+ row 617</t>
  </si>
  <si>
    <t>S+ row 618</t>
  </si>
  <si>
    <t>S+ row 619</t>
  </si>
  <si>
    <t>S+ row 620</t>
  </si>
  <si>
    <t>S+ row 621</t>
  </si>
  <si>
    <t>S+ row 622</t>
  </si>
  <si>
    <t>S+ row 623</t>
  </si>
  <si>
    <t>S+ row 624</t>
  </si>
  <si>
    <t>S+ row 625</t>
  </si>
  <si>
    <t>S+ row 626</t>
  </si>
  <si>
    <t>S+ row 627</t>
  </si>
  <si>
    <t>S+ row 628</t>
  </si>
  <si>
    <t>S+ row 629</t>
  </si>
  <si>
    <t>S+ row 630</t>
  </si>
  <si>
    <t>S+ row 631</t>
  </si>
  <si>
    <t>S+ row 632</t>
  </si>
  <si>
    <t>S+ row 633</t>
  </si>
  <si>
    <t>S+ row 634</t>
  </si>
  <si>
    <t>S+ row 635</t>
  </si>
  <si>
    <t>S+ row 636</t>
  </si>
  <si>
    <t>S+ row 637</t>
  </si>
  <si>
    <t>S+ row 638</t>
  </si>
  <si>
    <t>S+ row 639</t>
  </si>
  <si>
    <t>S+ row 640</t>
  </si>
  <si>
    <t>S+ row 641</t>
  </si>
  <si>
    <t>S+ row 642</t>
  </si>
  <si>
    <t>S+ row 643</t>
  </si>
  <si>
    <t>S+ row 644</t>
  </si>
  <si>
    <t>S+ row 645</t>
  </si>
  <si>
    <t>S+ row 646</t>
  </si>
  <si>
    <t>S+ row 647</t>
  </si>
  <si>
    <t>S+ row 648</t>
  </si>
  <si>
    <t>S+ row 649</t>
  </si>
  <si>
    <t>S+ row 650</t>
  </si>
  <si>
    <t>S+ row 651</t>
  </si>
  <si>
    <t>S+ row 652</t>
  </si>
  <si>
    <t>S+ row 653</t>
  </si>
  <si>
    <t>S+ row 654</t>
  </si>
  <si>
    <t>S+ row 655</t>
  </si>
  <si>
    <t>S+ row 656</t>
  </si>
  <si>
    <t>S+ row 657</t>
  </si>
  <si>
    <t>S+ row 658</t>
  </si>
  <si>
    <t>S+ row 659</t>
  </si>
  <si>
    <t>S+ row 660</t>
  </si>
  <si>
    <t>S+ row 661</t>
  </si>
  <si>
    <t>S+ row 662</t>
  </si>
  <si>
    <t>S+ row 663</t>
  </si>
  <si>
    <t>S+ row 664</t>
  </si>
  <si>
    <t>S+ row 665</t>
  </si>
  <si>
    <t>S+ row 666</t>
  </si>
  <si>
    <t>S+ row 667</t>
  </si>
  <si>
    <t>S+ row 668</t>
  </si>
  <si>
    <t>S+ row 669</t>
  </si>
  <si>
    <t>S+ row 670</t>
  </si>
  <si>
    <t>S+ row 671</t>
  </si>
  <si>
    <t>S+ row 672</t>
  </si>
  <si>
    <t>S+ row 673</t>
  </si>
  <si>
    <t>S+ row 674</t>
  </si>
  <si>
    <t>S+ row 675</t>
  </si>
  <si>
    <t>S+ row 676</t>
  </si>
  <si>
    <t>S+ row 677</t>
  </si>
  <si>
    <t>S+ row 678</t>
  </si>
  <si>
    <t>S+ row 679</t>
  </si>
  <si>
    <t>S+ row 680</t>
  </si>
  <si>
    <t>S+ row 681</t>
  </si>
  <si>
    <t>S+ row 682</t>
  </si>
  <si>
    <t>S+ row 683</t>
  </si>
  <si>
    <t>S+ row 684</t>
  </si>
  <si>
    <t>S+ row 685</t>
  </si>
  <si>
    <t>S+ row 686</t>
  </si>
  <si>
    <t>S+ row 687</t>
  </si>
  <si>
    <t>S+ row 688</t>
  </si>
  <si>
    <t>S+ row 689</t>
  </si>
  <si>
    <t>S+ row 690</t>
  </si>
  <si>
    <t>S+ row 691</t>
  </si>
  <si>
    <t>S+ row 692</t>
  </si>
  <si>
    <t>S+ row 693</t>
  </si>
  <si>
    <t>S+ row 694</t>
  </si>
  <si>
    <t>S+ row 695</t>
  </si>
  <si>
    <t>S+ row 696</t>
  </si>
  <si>
    <t>S+ row 697</t>
  </si>
  <si>
    <t>S+ row 698</t>
  </si>
  <si>
    <t>S+ row 699</t>
  </si>
  <si>
    <t>S+ row 700</t>
  </si>
  <si>
    <t>S+ row 701</t>
  </si>
  <si>
    <t>S+ row 702</t>
  </si>
  <si>
    <t>S+ row 703</t>
  </si>
  <si>
    <t>S+ row 704</t>
  </si>
  <si>
    <t>S+ row 705</t>
  </si>
  <si>
    <t>S+ row 706</t>
  </si>
  <si>
    <t>S+ row 707</t>
  </si>
  <si>
    <t>S+ row 708</t>
  </si>
  <si>
    <t>S+ row 709</t>
  </si>
  <si>
    <t>S+ row 710</t>
  </si>
  <si>
    <t>S+ row 711</t>
  </si>
  <si>
    <t>S+ row 712</t>
  </si>
  <si>
    <t>S+ row 713</t>
  </si>
  <si>
    <t>S+ row 714</t>
  </si>
  <si>
    <t>S+ row 715</t>
  </si>
  <si>
    <t>S+ row 716</t>
  </si>
  <si>
    <t>S+ row 717</t>
  </si>
  <si>
    <t>S+ row 718</t>
  </si>
  <si>
    <t>S+ row 719</t>
  </si>
  <si>
    <t>S+ row 720</t>
  </si>
  <si>
    <t>S+ row 721</t>
  </si>
  <si>
    <t>S+ row 722</t>
  </si>
  <si>
    <t>S+ row 723</t>
  </si>
  <si>
    <t>S+ row 724</t>
  </si>
  <si>
    <t>S+ row 725</t>
  </si>
  <si>
    <t>S+ row 726</t>
  </si>
  <si>
    <t>S+ row 727</t>
  </si>
  <si>
    <t>S+ row 728</t>
  </si>
  <si>
    <t>S+ row 729</t>
  </si>
  <si>
    <t>S+ row 730</t>
  </si>
  <si>
    <t>S+ row 731</t>
  </si>
  <si>
    <t>S+ row 732</t>
  </si>
  <si>
    <t>S+ row 733</t>
  </si>
  <si>
    <t>S+ row 734</t>
  </si>
  <si>
    <t>S+ row 735</t>
  </si>
  <si>
    <t>S+ row 736</t>
  </si>
  <si>
    <t>S+ row 737</t>
  </si>
  <si>
    <t>S+ row 738</t>
  </si>
  <si>
    <t>S+ row 739</t>
  </si>
  <si>
    <t>S+ row 740</t>
  </si>
  <si>
    <t>S+ row 741</t>
  </si>
  <si>
    <t>S+ row 742</t>
  </si>
  <si>
    <t>S+ row 743</t>
  </si>
  <si>
    <t>S+ row 744</t>
  </si>
  <si>
    <t>S+ row 745</t>
  </si>
  <si>
    <t>S+ row 746</t>
  </si>
  <si>
    <t>S+ row 747</t>
  </si>
  <si>
    <t>S+ row 748</t>
  </si>
  <si>
    <t>S+ row 749</t>
  </si>
  <si>
    <t>S+ row 750</t>
  </si>
  <si>
    <t>S+ row 751</t>
  </si>
  <si>
    <t>S+ row 752</t>
  </si>
  <si>
    <t>S+ row 753</t>
  </si>
  <si>
    <t>S+ row 754</t>
  </si>
  <si>
    <t>S+ row 755</t>
  </si>
  <si>
    <t>S+ row 756</t>
  </si>
  <si>
    <t>S+ row 757</t>
  </si>
  <si>
    <t>S+ row 758</t>
  </si>
  <si>
    <t>S+ row 759</t>
  </si>
  <si>
    <t>S+ row 760</t>
  </si>
  <si>
    <t>S+ row 761</t>
  </si>
  <si>
    <t>S+ row 762</t>
  </si>
  <si>
    <t>S+ row 763</t>
  </si>
  <si>
    <t>S+ row 764</t>
  </si>
  <si>
    <t>S+ row 765</t>
  </si>
  <si>
    <t>S+ row 766</t>
  </si>
  <si>
    <t>S+ row 767</t>
  </si>
  <si>
    <t>S+ row 768</t>
  </si>
  <si>
    <t>S+ row 769</t>
  </si>
  <si>
    <t>S+ row 770</t>
  </si>
  <si>
    <t>S+ row 771</t>
  </si>
  <si>
    <t>S+ row 772</t>
  </si>
  <si>
    <t>S+ row 773</t>
  </si>
  <si>
    <t>S+ row 774</t>
  </si>
  <si>
    <t>S+ row 775</t>
  </si>
  <si>
    <t>S+ row 776</t>
  </si>
  <si>
    <t>S+ row 777</t>
  </si>
  <si>
    <t>S+ row 778</t>
  </si>
  <si>
    <t>S+ row 779</t>
  </si>
  <si>
    <t>S+ row 780</t>
  </si>
  <si>
    <t>S+ row 781</t>
  </si>
  <si>
    <t>S+ row 782</t>
  </si>
  <si>
    <t>S+ row 783</t>
  </si>
  <si>
    <t>S+ row 784</t>
  </si>
  <si>
    <t>S+ row 785</t>
  </si>
  <si>
    <t>S+ row 786</t>
  </si>
  <si>
    <t>S+ row 787</t>
  </si>
  <si>
    <t>S+ row 788</t>
  </si>
  <si>
    <t>S+ row 789</t>
  </si>
  <si>
    <t>S+ row 790</t>
  </si>
  <si>
    <t>S+ row 791</t>
  </si>
  <si>
    <t>S+ row 792</t>
  </si>
  <si>
    <t>S+ row 793</t>
  </si>
  <si>
    <t>S+ row 794</t>
  </si>
  <si>
    <t>S+ row 795</t>
  </si>
  <si>
    <t>S+ row 796</t>
  </si>
  <si>
    <t>S+ row 797</t>
  </si>
  <si>
    <t>S+ row 798</t>
  </si>
  <si>
    <t>S+ row 799</t>
  </si>
  <si>
    <t>S+ row 800</t>
  </si>
  <si>
    <t>S+ row 801</t>
  </si>
  <si>
    <t>S+ row 802</t>
  </si>
  <si>
    <t>S+ row 803</t>
  </si>
  <si>
    <t>S+ row 804</t>
  </si>
  <si>
    <t>S+ row 805</t>
  </si>
  <si>
    <t>S+ row 806</t>
  </si>
  <si>
    <t>S+ row 807</t>
  </si>
  <si>
    <t>S+ row 808</t>
  </si>
  <si>
    <t>S+ row 809</t>
  </si>
  <si>
    <t>S+ row 810</t>
  </si>
  <si>
    <t>S+ row 811</t>
  </si>
  <si>
    <t>S+ row 812</t>
  </si>
  <si>
    <t>S+ row 813</t>
  </si>
  <si>
    <t>S+ row 814</t>
  </si>
  <si>
    <t>S+ row 815</t>
  </si>
  <si>
    <t>S+ row 816</t>
  </si>
  <si>
    <t>S+ row 817</t>
  </si>
  <si>
    <t>S+ row 818</t>
  </si>
  <si>
    <t>S+ row 819</t>
  </si>
  <si>
    <t>S+ row 820</t>
  </si>
  <si>
    <t>S+ row 821</t>
  </si>
  <si>
    <t>S+ row 822</t>
  </si>
  <si>
    <t>S+ row 823</t>
  </si>
  <si>
    <t>S+ row 824</t>
  </si>
  <si>
    <t>S+ row 825</t>
  </si>
  <si>
    <t>S+ row 826</t>
  </si>
  <si>
    <t>S+ row 827</t>
  </si>
  <si>
    <t>S+ row 828</t>
  </si>
  <si>
    <t>S+ row 829</t>
  </si>
  <si>
    <t>S+ row 830</t>
  </si>
  <si>
    <t>S+ row 831</t>
  </si>
  <si>
    <t>S+ row 832</t>
  </si>
  <si>
    <t>S+ row 833</t>
  </si>
  <si>
    <t>S+ row 834</t>
  </si>
  <si>
    <t>S+ row 835</t>
  </si>
  <si>
    <t>S+ row 836</t>
  </si>
  <si>
    <t>S+ row 837</t>
  </si>
  <si>
    <t>S+ row 838</t>
  </si>
  <si>
    <t>S+ row 839</t>
  </si>
  <si>
    <t>S+ row 840</t>
  </si>
  <si>
    <t>S+ row 841</t>
  </si>
  <si>
    <t>S+ row 842</t>
  </si>
  <si>
    <t>S+ row 843</t>
  </si>
  <si>
    <t>S+ row 844</t>
  </si>
  <si>
    <t>S+ row 845</t>
  </si>
  <si>
    <t>S+ row 846</t>
  </si>
  <si>
    <t>S+ row 847</t>
  </si>
  <si>
    <t>S+ row 848</t>
  </si>
  <si>
    <t>S+ row 849</t>
  </si>
  <si>
    <t>S+ row 850</t>
  </si>
  <si>
    <t>S+ row 851</t>
  </si>
  <si>
    <t>S+ row 852</t>
  </si>
  <si>
    <t>S+ row 853</t>
  </si>
  <si>
    <t>S+ row 854</t>
  </si>
  <si>
    <t>S+ row 855</t>
  </si>
  <si>
    <t>S+ row 856</t>
  </si>
  <si>
    <t>S+ row 857</t>
  </si>
  <si>
    <t>S+ row 858</t>
  </si>
  <si>
    <t>S+ row 859</t>
  </si>
  <si>
    <t>S+ row 860</t>
  </si>
  <si>
    <t>S+ row 861</t>
  </si>
  <si>
    <t>S+ row 862</t>
  </si>
  <si>
    <t>S+ row 863</t>
  </si>
  <si>
    <t>S+ row 864</t>
  </si>
  <si>
    <t>S+ row 865</t>
  </si>
  <si>
    <t>S+ row 866</t>
  </si>
  <si>
    <t>S+ row 867</t>
  </si>
  <si>
    <t>S+ row 868</t>
  </si>
  <si>
    <t>S+ row 869</t>
  </si>
  <si>
    <t>S+ row 870</t>
  </si>
  <si>
    <t>S+ row 871</t>
  </si>
  <si>
    <t>S+ row 872</t>
  </si>
  <si>
    <t>S+ row 873</t>
  </si>
  <si>
    <t>S+ row 874</t>
  </si>
  <si>
    <t>S+ row 875</t>
  </si>
  <si>
    <t>S+ row 876</t>
  </si>
  <si>
    <t>S+ row 877</t>
  </si>
  <si>
    <t>S+ row 878</t>
  </si>
  <si>
    <t>S+ row 879</t>
  </si>
  <si>
    <t>S+ row 880</t>
  </si>
  <si>
    <t>S+ row 881</t>
  </si>
  <si>
    <t>S+ row 882</t>
  </si>
  <si>
    <t>S+ row 883</t>
  </si>
  <si>
    <t>S+ row 884</t>
  </si>
  <si>
    <t>S+ row 885</t>
  </si>
  <si>
    <t>S+ row 886</t>
  </si>
  <si>
    <t>S+ row 887</t>
  </si>
  <si>
    <t>S+ row 888</t>
  </si>
  <si>
    <t>S+ row 889</t>
  </si>
  <si>
    <t>S+ row 890</t>
  </si>
  <si>
    <t>S+ row 891</t>
  </si>
  <si>
    <t>S+ row 892</t>
  </si>
  <si>
    <t>S+ row 893</t>
  </si>
  <si>
    <t>S+ row 894</t>
  </si>
  <si>
    <t>S+ row 895</t>
  </si>
  <si>
    <t>S+ row 896</t>
  </si>
  <si>
    <t>S+ row 897</t>
  </si>
  <si>
    <t>S+ row 898</t>
  </si>
  <si>
    <t>S+ row 899</t>
  </si>
  <si>
    <t>S+ row 900</t>
  </si>
  <si>
    <t>S+ row 901</t>
  </si>
  <si>
    <t>S+ row 902</t>
  </si>
  <si>
    <t>S+ row 903</t>
  </si>
  <si>
    <t>S+ row 904</t>
  </si>
  <si>
    <t>S+ row 905</t>
  </si>
  <si>
    <t>S+ row 906</t>
  </si>
  <si>
    <t>S+ row 907</t>
  </si>
  <si>
    <t>S+ row 908</t>
  </si>
  <si>
    <t>S+ row 909</t>
  </si>
  <si>
    <t>S+ row 910</t>
  </si>
  <si>
    <t>S+ row 911</t>
  </si>
  <si>
    <t>S+ row 912</t>
  </si>
  <si>
    <t>S+ row 913</t>
  </si>
  <si>
    <t>S+ row 914</t>
  </si>
  <si>
    <t>S+ row 915</t>
  </si>
  <si>
    <t>S+ row 916</t>
  </si>
  <si>
    <t>S+ row 917</t>
  </si>
  <si>
    <t>S+ row 918</t>
  </si>
  <si>
    <t>S+ row 919</t>
  </si>
  <si>
    <t>S+ row 920</t>
  </si>
  <si>
    <t>S+ row 921</t>
  </si>
  <si>
    <t>S+ row 922</t>
  </si>
  <si>
    <t>S+ row 923</t>
  </si>
  <si>
    <t>S+ row 924</t>
  </si>
  <si>
    <t>S+ row 925</t>
  </si>
  <si>
    <t>S+ row 926</t>
  </si>
  <si>
    <t>S+ row 927</t>
  </si>
  <si>
    <t>S+ row 928</t>
  </si>
  <si>
    <t>S+ row 929</t>
  </si>
  <si>
    <t>S+ row 930</t>
  </si>
  <si>
    <t>S+ row 931</t>
  </si>
  <si>
    <t>S+ row 932</t>
  </si>
  <si>
    <t>S+ row 933</t>
  </si>
  <si>
    <t>S+ row 934</t>
  </si>
  <si>
    <t>S+ row 935</t>
  </si>
  <si>
    <t>S+ row 936</t>
  </si>
  <si>
    <t>S+ row 937</t>
  </si>
  <si>
    <t>S+ row 938</t>
  </si>
  <si>
    <t>S+ row 939</t>
  </si>
  <si>
    <t>S+ row 940</t>
  </si>
  <si>
    <t>S+ row 941</t>
  </si>
  <si>
    <t>S+ row 942</t>
  </si>
  <si>
    <t>S+ row 943</t>
  </si>
  <si>
    <t>S+ row 944</t>
  </si>
  <si>
    <t>S+ row 945</t>
  </si>
  <si>
    <t>S+ row 946</t>
  </si>
  <si>
    <t>S+ row 947</t>
  </si>
  <si>
    <t>S+ row 948</t>
  </si>
  <si>
    <t>S+ row 949</t>
  </si>
  <si>
    <t>S+ row 950</t>
  </si>
  <si>
    <t>S+ row 951</t>
  </si>
  <si>
    <t>S+ row 952</t>
  </si>
  <si>
    <t>S+ row 953</t>
  </si>
  <si>
    <t>S+ row 954</t>
  </si>
  <si>
    <t>S+ row 955</t>
  </si>
  <si>
    <t>S+ row 956</t>
  </si>
  <si>
    <t>S+ row 957</t>
  </si>
  <si>
    <t>S+ row 958</t>
  </si>
  <si>
    <t>S+ row 959</t>
  </si>
  <si>
    <t>S+ row 960</t>
  </si>
  <si>
    <t>S+ row 961</t>
  </si>
  <si>
    <t>S+ row 962</t>
  </si>
  <si>
    <t>S+ row 963</t>
  </si>
  <si>
    <t>S+ row 964</t>
  </si>
  <si>
    <t>S+ row 965</t>
  </si>
  <si>
    <t>S+ row 966</t>
  </si>
  <si>
    <t>S+ row 967</t>
  </si>
  <si>
    <t>S+ row 968</t>
  </si>
  <si>
    <t>S+ row 969</t>
  </si>
  <si>
    <t>S+ row 970</t>
  </si>
  <si>
    <t>S+ row 971</t>
  </si>
  <si>
    <t>S+ row 972</t>
  </si>
  <si>
    <t>S+ row 973</t>
  </si>
  <si>
    <t>S+ row 974</t>
  </si>
  <si>
    <t>S+ row 975</t>
  </si>
  <si>
    <t>S+ row 976</t>
  </si>
  <si>
    <t>S+ row 977</t>
  </si>
  <si>
    <t>S+ row 978</t>
  </si>
  <si>
    <t>S+ row 979</t>
  </si>
  <si>
    <t>S+ row 980</t>
  </si>
  <si>
    <t>S+ row 981</t>
  </si>
  <si>
    <t>S+ row 982</t>
  </si>
  <si>
    <t>This page. The register (section 3) lists every source document.</t>
  </si>
  <si>
    <t>Master Fee List</t>
  </si>
  <si>
    <t>MASTER unified list (table MasterFees)</t>
  </si>
  <si>
    <t>Every operation/fee row from every source. RVG code + base units sit on the left (purple); each row tagged with Source ID.</t>
  </si>
  <si>
    <t>Backup of SRC-00</t>
  </si>
  <si>
    <t>Original Anaesthesia Associates export from the Solutions Plus system. Frozen reference – do not edit.</t>
  </si>
  <si>
    <t>Never</t>
  </si>
  <si>
    <t>RVG Codes</t>
  </si>
  <si>
    <t>NZSA RVG 2021 lookup (table RVGCodes)</t>
  </si>
  <si>
    <t>Once; again if a new RVG edition is issued</t>
  </si>
  <si>
    <t>Only if data comes from a query/connector. Not needed for PDF uploads.</t>
  </si>
  <si>
    <t>Solutions Plus system export (Anaesthesia Associates operation listing, pages 1–19)</t>
  </si>
  <si>
    <t>Anaesthesia Associates / Solutions Plus</t>
  </si>
  <si>
    <t>4. Master Fee List – column standard</t>
  </si>
  <si>
    <t>Formula – looks up the code in RVG Codes. Don't type here. Shows 'Code not found' if the code isn't in the lookup.</t>
  </si>
  <si>
    <t>C</t>
  </si>
  <si>
    <t>D</t>
  </si>
  <si>
    <t>E</t>
  </si>
  <si>
    <t>Provider/payer's own code if given (e.g. AP1313, OPT101).</t>
  </si>
  <si>
    <t>F</t>
  </si>
  <si>
    <t>Drop-down: RVG units | Fixed fee | Add-on | Time band | Other.</t>
  </si>
  <si>
    <t>G</t>
  </si>
  <si>
    <t>Billed basic units (RVG-style sources only).</t>
  </si>
  <si>
    <t>Billed time units (RVG-style sources only).</t>
  </si>
  <si>
    <t>Billed modifying units (RVG-style sources only).</t>
  </si>
  <si>
    <t>Total billed units as printed.</t>
  </si>
  <si>
    <t>The $ amount exactly as shown in the source.</t>
  </si>
  <si>
    <t>Q</t>
  </si>
  <si>
    <t>R</t>
  </si>
  <si>
    <t>Where in the source: 'S+ row n' for SRC-00; 'p.2' or section name for PDFs.</t>
  </si>
  <si>
    <t>S</t>
  </si>
  <si>
    <t>GA vs LA, add-on to cataract, per 15 mins, combined totals, etc.</t>
  </si>
  <si>
    <t>Template is expected to evolve: if a new source has a shape that doesn't fit, add a column to MasterFees (and a row here) rather than forcing data into Notes.</t>
  </si>
  <si>
    <t>Procedure Group</t>
  </si>
  <si>
    <t>Match Basis</t>
  </si>
  <si>
    <t>NZSA RVG code (e.g. H6a, A3). PRIMARY match key and first source of truth – the default base units. Assign wherever a sensible code exists.</t>
  </si>
  <si>
    <t>Drop-down – how the row was matched: RVG code | Description – exact | Description – likely | Unmatched.</t>
  </si>
  <si>
    <t>Procedure description exactly as printed in the source (never rewritten).</t>
  </si>
  <si>
    <t>Contract the fee belongs to, e.g. Solutions Plus, CESL – SX AP, CESL – HNZ, CESL – ACC, SXAP.</t>
  </si>
  <si>
    <t>Drop-down: Excl | Incl | Unknown – what M represents.</t>
  </si>
  <si>
    <t>Formula from M, N and GST_Rate. Blank when GST Basis = Unknown.</t>
  </si>
  <si>
    <t>Formula: M ÷ Total Units (blank when no units).</t>
  </si>
  <si>
    <t>T</t>
  </si>
  <si>
    <t>U</t>
  </si>
  <si>
    <t>NZ GST – named range GST_Rate, used by Master Fee List columns O–P.</t>
  </si>
  <si>
    <t>5. Workflow – importing a document (new OR re-import)</t>
  </si>
  <si>
    <t>Check the Source register. SAME document/schedule already listed (e.g. SRC-02, SRC-03)? → reuse its Source ID and update that row. Only a genuinely new document gets the next ID (SRC-04 …). Status → 'Extracting'.</t>
  </si>
  <si>
    <t>Create the 'SRC-xx &lt;Short Name&gt;' tab (or replace its contents if it already exists): faithful extract – page, code, description, fees exactly as printed, conditions.</t>
  </si>
  <si>
    <t>If the master already holds rows for this Source ID (a re-import), ASK the user before replacing them. Never touch rows from other sources.</t>
  </si>
  <si>
    <t>Match each fee row (see section 6 'Matching'): RVG Code first, then Procedure Group by description. Set Match Basis. If unsure, leave Unmatched and list it for the user.</t>
  </si>
  <si>
    <t>Step 8</t>
  </si>
  <si>
    <t>6. Conventions &amp; matching rules</t>
  </si>
  <si>
    <t>Matching – order</t>
  </si>
  <si>
    <t>1) RVG Code (source of truth). 2) Procedure Group – compare the description to existing rows' descriptions/groups. 3) Nothing fits → Unmatched. Rows with no RVG code can still be matched by Procedure Group.</t>
  </si>
  <si>
    <t>Matching – existing rows</t>
  </si>
  <si>
    <t>When a new row matches an existing one, fill in RVG Code / Procedure Group / Match Basis on the existing row too, so the group sits together. Never change any other field of an existing row.</t>
  </si>
  <si>
    <t>Same procedure, many fees</t>
  </si>
  <si>
    <t>Keep ONE ROW PER PROVIDER/CONTRACT. The same procedure appearing in several documents = several adjacent rows, each with its own Provider/Payer, fee and Source ID. Never merge or average fees.</t>
  </si>
  <si>
    <t>Uncertain matches</t>
  </si>
  <si>
    <t>Use 'Description – likely' and say why in Notes. Don't force a match – a wrong match is worse than Unmatched.</t>
  </si>
  <si>
    <t>Re-imports</t>
  </si>
  <si>
    <t>Same document again (corrected copy, re-extract) = same Source ID. New edition of a schedule (new effective date) = new Source ID; old one → 'Superseded', keep its rows.</t>
  </si>
  <si>
    <t>Purple = RVG columns (A–B); lilac = matching columns (C–D). Blue text = typed inputs; black = formulas; green = values ported/extracted from sources.</t>
  </si>
  <si>
    <t>SRC-01 – NZSA Relative Value Guide 2021 (faithful extract)</t>
  </si>
  <si>
    <t>Section II (pp.7–13) base units, time and modifying factors + p.14 ACC Table 2 codes, as printed. Reference only – no dollar fees. Feeds the RVGCodes lookup on 'RVG Codes'. Codes in red = printed more than once.</t>
  </si>
  <si>
    <t>Page</t>
  </si>
  <si>
    <t>Region / Section</t>
  </si>
  <si>
    <t>Sub-heading</t>
  </si>
  <si>
    <t>Code (as printed)</t>
  </si>
  <si>
    <t>Procedure / Description (as printed)</t>
  </si>
  <si>
    <t>Units (as printed)</t>
  </si>
  <si>
    <t>Row Type</t>
  </si>
  <si>
    <t>Extraction Notes</t>
  </si>
  <si>
    <t>Supervision</t>
  </si>
  <si>
    <t>SP 1</t>
  </si>
  <si>
    <t>Provision of IV Sedation and/or Monitoring</t>
  </si>
  <si>
    <t>4</t>
  </si>
  <si>
    <t>Base units</t>
  </si>
  <si>
    <t>Head</t>
  </si>
  <si>
    <t>H1</t>
  </si>
  <si>
    <t>Minor Procedures e.g. Excision of Superficial Lesions, Myringotomies</t>
  </si>
  <si>
    <t>H2</t>
  </si>
  <si>
    <t>Simple but Invasive Procedures e.g. Adenoidectomy, Tonsillectomy, Myringoplasty, Ear canal, Septoplasty</t>
  </si>
  <si>
    <t>5</t>
  </si>
  <si>
    <t>H3</t>
  </si>
  <si>
    <t>Moderate Procedures e.g. Endoscopic Sinus Surgery, Septo-rhinoplasty, Micro-laryngoscopy, Bronchoscopy, Parotidectomy, Face-lift, Orbital Reconstruction</t>
  </si>
  <si>
    <t>6</t>
  </si>
  <si>
    <t>H4</t>
  </si>
  <si>
    <t>Complex Procedures e.g. Maxillary/Mandibular Osteotomy, Tumour Resection, Free Flap Placement</t>
  </si>
  <si>
    <t>10-12</t>
  </si>
  <si>
    <t>Printed as a range 10-12</t>
  </si>
  <si>
    <t>Dental</t>
  </si>
  <si>
    <t>H5</t>
  </si>
  <si>
    <t>Dental Extractions/Dental Restorations</t>
  </si>
  <si>
    <t>Ocular</t>
  </si>
  <si>
    <t>H6a</t>
  </si>
  <si>
    <t>Ocular Procedure Under Local Anaesthetic or Eye Block or GA &gt; 2yo</t>
  </si>
  <si>
    <t>H6b</t>
  </si>
  <si>
    <t>Ocular Procedure Under GA [YOUNGER than Aged TWO Years]</t>
  </si>
  <si>
    <t>Neurosurgery</t>
  </si>
  <si>
    <t>*These Base Units include Loading for Prone Positioning if needed*</t>
  </si>
  <si>
    <t>(+2)</t>
  </si>
  <si>
    <t>Note</t>
  </si>
  <si>
    <t>H7</t>
  </si>
  <si>
    <t>Cranioplasty/Cerebrospinal fluid shunt procedures supine/lateral</t>
  </si>
  <si>
    <t/>
  </si>
  <si>
    <t>Heading line – units given on a/b sub-rows</t>
  </si>
  <si>
    <t>H7a</t>
  </si>
  <si>
    <t>Cranioplasty/Cerebrospinal fluid shunt procedures supine/lateral – Supine/lateral</t>
  </si>
  <si>
    <t>10</t>
  </si>
  <si>
    <t>Base units include loading for prone positioning if needed (+2); sub-code printed as "A"</t>
  </si>
  <si>
    <t>H7b</t>
  </si>
  <si>
    <t>Cranioplasty/Cerebrospinal fluid shunt procedures supine/lateral – Prone/park bench/sitting</t>
  </si>
  <si>
    <t>12</t>
  </si>
  <si>
    <t>Base units include loading for prone positioning if needed (+2)</t>
  </si>
  <si>
    <t>H8</t>
  </si>
  <si>
    <t>Non-Vascular Open Intracranial/Spinal cord</t>
  </si>
  <si>
    <t>H8a</t>
  </si>
  <si>
    <t>Non-Vascular Open Intracranial/Spinal cord – Supine/lateral</t>
  </si>
  <si>
    <t>H8b</t>
  </si>
  <si>
    <t>Non-Vascular Open Intracranial/Spinal cord – Prone/park bench/sitting</t>
  </si>
  <si>
    <t>14</t>
  </si>
  <si>
    <t>H9</t>
  </si>
  <si>
    <t>Vascular Open Intracranial/Spinal cord Procedures</t>
  </si>
  <si>
    <t>H9a</t>
  </si>
  <si>
    <t>Vascular Open Intracranial/Spinal cord Procedures – Supine/lateral</t>
  </si>
  <si>
    <t>20</t>
  </si>
  <si>
    <t>H9b</t>
  </si>
  <si>
    <t>Vascular Open Intracranial/Spinal cord Procedures – Prone/park bench/sitting</t>
  </si>
  <si>
    <t>22</t>
  </si>
  <si>
    <t>Neck (Non vascular)</t>
  </si>
  <si>
    <t>N1</t>
  </si>
  <si>
    <t>Minor Procedures e.g. Excision of Superficial Lesions</t>
  </si>
  <si>
    <t>N2</t>
  </si>
  <si>
    <t>Simple but Invasive Procedures e.g. Closure of Tracheostomy</t>
  </si>
  <si>
    <t>N3</t>
  </si>
  <si>
    <t>Moderate Procedures e.g. Thyroidectomy, Simple Neck Dissection (Not part of more extensive surgery)</t>
  </si>
  <si>
    <t>N4</t>
  </si>
  <si>
    <t>Significant Complex Procedures e.g. Laryngectomy, Carotid Endarterectomy, Tumour Resection +/- Neck Dissection, Free Flap Placement</t>
  </si>
  <si>
    <t>10-14</t>
  </si>
  <si>
    <t>Printed as a range 10-14</t>
  </si>
  <si>
    <t>Upper Limb</t>
  </si>
  <si>
    <t>UL1</t>
  </si>
  <si>
    <t>Minor Procedures e.g. Excision Skin Lesions, Carpal Tunnel Release</t>
  </si>
  <si>
    <t>Add 2 units if sitting position (+2)</t>
  </si>
  <si>
    <t>UL2</t>
  </si>
  <si>
    <t>Simple but Invasive Procedures e.g., Simple Tendon Transposition, Simple Nerve Transposition, Open Radius/Ulnar Surgery, straightforward removal of metal wear</t>
  </si>
  <si>
    <t>UL3</t>
  </si>
  <si>
    <t>Moderate Soft Tissue/Muscle/Nerve Procedures e.g. Rotator Cuff Surgery, Wrist Joint Replacement, Finger Joint Replacement/Fusion, Wrist Arthroscopy, complicated removal of metal wear</t>
  </si>
  <si>
    <t>UL4</t>
  </si>
  <si>
    <t>Major Bony/Joint Procedures e.g. Shoulder Replacement arthroplasty upper limb</t>
  </si>
  <si>
    <t>8</t>
  </si>
  <si>
    <t>*Add 2 units if sitting position*</t>
  </si>
  <si>
    <t>+2</t>
  </si>
  <si>
    <t>Thorax</t>
  </si>
  <si>
    <t>T1</t>
  </si>
  <si>
    <t>Minor Procedures e.g. Excision of Superficial Lesions (Shoulder/Chest/Back)</t>
  </si>
  <si>
    <t>Code also used for Time billing (T1)</t>
  </si>
  <si>
    <t>Breast</t>
  </si>
  <si>
    <t>T2</t>
  </si>
  <si>
    <t>Minor Procedures e.g. Removal Simple Breast Lesion</t>
  </si>
  <si>
    <t>DUPLICATE CODE as printed – T2 appears twice in Breast (4 and 5 units); lookup returns the first (4)</t>
  </si>
  <si>
    <t>Simple but Invasive Procedures e.g., Wide Local Excision Breast Lump, Breast Augmentation, Breast Reduction, Simple Mastectomy</t>
  </si>
  <si>
    <t>DUPLICATE CODE as printed – second T2 in Breast; also used for Time billing (T2)</t>
  </si>
  <si>
    <t>T3</t>
  </si>
  <si>
    <t>Moderate Procedures e.g. Complex Mastectomy (includes axillary node surgery) dissection</t>
  </si>
  <si>
    <t>T4</t>
  </si>
  <si>
    <t>Major Procedures e.g. TRAM Flap</t>
  </si>
  <si>
    <t>Thoracic</t>
  </si>
  <si>
    <t>T5a</t>
  </si>
  <si>
    <t>Mediastinoscopy</t>
  </si>
  <si>
    <t>T5b</t>
  </si>
  <si>
    <t>Sympathectomy Lobectomy/Wedge Resection</t>
  </si>
  <si>
    <t>T5c</t>
  </si>
  <si>
    <t>Pleurodesis/Simple Biopsy</t>
  </si>
  <si>
    <t>8-10</t>
  </si>
  <si>
    <t>Printed as a range 8-10</t>
  </si>
  <si>
    <t>T5d</t>
  </si>
  <si>
    <t>Lobectomy/Wedge Resection</t>
  </si>
  <si>
    <t>T5e</t>
  </si>
  <si>
    <t>Major Thoracic e.g. Pneumonectomy, Tracheal and/or Bronchial Reconstruction, Thoracoabdominal Procedures</t>
  </si>
  <si>
    <t>Cardiac</t>
  </si>
  <si>
    <t>T6a</t>
  </si>
  <si>
    <t>Sternal Debridement or Chest Re-Opening (either OR or ICU)</t>
  </si>
  <si>
    <t>T6b</t>
  </si>
  <si>
    <t>Less Complex Surgery e.g. CABG Only, Single Valve Replacement</t>
  </si>
  <si>
    <t>16</t>
  </si>
  <si>
    <t>T6c</t>
  </si>
  <si>
    <t>More Complex Surgery e.g. Redo Case, Multiple Valve Replacement, CABG Plus Valve</t>
  </si>
  <si>
    <t>T6d</t>
  </si>
  <si>
    <t>Percutaneous Cardiac Surgery e.g. TAVI (NOT EP Ablations)</t>
  </si>
  <si>
    <t>15</t>
  </si>
  <si>
    <t>TOE Use</t>
  </si>
  <si>
    <t>T7a</t>
  </si>
  <si>
    <t>Insertion TOE + Limited Exam e.g. TOE During EP Procedures at Request of Cardiologist</t>
  </si>
  <si>
    <t>2</t>
  </si>
  <si>
    <t>T7b</t>
  </si>
  <si>
    <t>Diagnostic TOE: Full Examination, Including Report [Nil Time Units ]</t>
  </si>
  <si>
    <t>Nil time units</t>
  </si>
  <si>
    <t>Spine</t>
  </si>
  <si>
    <t>These Base Units include loading for prone positioning if needed</t>
  </si>
  <si>
    <t>S1</t>
  </si>
  <si>
    <t>Removal of Spinal Hardware</t>
  </si>
  <si>
    <t>Base units include loading for prone positioning if needed</t>
  </si>
  <si>
    <t>Cervical</t>
  </si>
  <si>
    <t>S2</t>
  </si>
  <si>
    <t>Anterior Cervical Procedures e.g. Anterior Disc Fusion, Disc Replacement</t>
  </si>
  <si>
    <t>S3a</t>
  </si>
  <si>
    <t>Posterior Cervical Procedures [1-2 levels] e.g. Foraminotomy</t>
  </si>
  <si>
    <t>S3b</t>
  </si>
  <si>
    <t>Posterior Cervical Procedures [&gt;2 levels or Front + Back]</t>
  </si>
  <si>
    <t>S4</t>
  </si>
  <si>
    <t>Intrathoracic Spinal Procedures</t>
  </si>
  <si>
    <t>S5</t>
  </si>
  <si>
    <t>Extensive Thoracic/Lumbar Decompression and Fusion e.g. Scoliosis</t>
  </si>
  <si>
    <t>Lumbar</t>
  </si>
  <si>
    <t>S6</t>
  </si>
  <si>
    <t>Discectomy/Decompression Procedures – [ 1-2 levels]</t>
  </si>
  <si>
    <t>S7</t>
  </si>
  <si>
    <t>Minimally Invasive Lateral Lumbar Procedures</t>
  </si>
  <si>
    <t>S8a</t>
  </si>
  <si>
    <t>Anterior Decompression/Fusion – Single Level</t>
  </si>
  <si>
    <t>S8b</t>
  </si>
  <si>
    <t>Anterior Decompression/Fusion – Multiple Level</t>
  </si>
  <si>
    <t>S9a</t>
  </si>
  <si>
    <t>Posterior Decompression/Fusion – Single Level</t>
  </si>
  <si>
    <t>S9b</t>
  </si>
  <si>
    <t>Posterior Decompression/Fusion – Two Level</t>
  </si>
  <si>
    <t>S9c</t>
  </si>
  <si>
    <t>Posterior Decompression/Fusion – Three + Level</t>
  </si>
  <si>
    <t>S10</t>
  </si>
  <si>
    <t>Combined Anterior and Posterior Surgical Approach</t>
  </si>
  <si>
    <t>18</t>
  </si>
  <si>
    <t>Abdomen</t>
  </si>
  <si>
    <t>A1</t>
  </si>
  <si>
    <t>Minor Procedures e.g. Excision Of Skin Lesions, Egg Pick-up (Sedation)</t>
  </si>
  <si>
    <t>Code also used for Age modifier (A1)</t>
  </si>
  <si>
    <t>A2</t>
  </si>
  <si>
    <t>Simple but Invasive Procedures e.g. Hernias (Open + Laparoscopic), Gynae: Diagnostic Laparoscopy, Tubal Ligation, Ovarian Egg Pick-up (GA)</t>
  </si>
  <si>
    <t>Code also used for Age modifier (A2)</t>
  </si>
  <si>
    <t>A3</t>
  </si>
  <si>
    <t>Moderate Procedures e.g. Incisional Hernia Repair, Laparoscopic Cholecystectomy, Appendectomy, Ectopic Pregnancy</t>
  </si>
  <si>
    <t>A4</t>
  </si>
  <si>
    <t>Gynae: Moderate/Major Procedures e.g. Endometriosis Surgery, Abdominal Hysterectomy (Open/Laparoscopic), Ovarian Surgery</t>
  </si>
  <si>
    <t>6-8</t>
  </si>
  <si>
    <t>Printed as a range 6-8</t>
  </si>
  <si>
    <t>A5</t>
  </si>
  <si>
    <t>Major Procedures e.g. Extensive Incisional Hernia Repair, Gynaecological Tumour Surgery, Extensive Liposuction, Abdominoplasty</t>
  </si>
  <si>
    <t>A6</t>
  </si>
  <si>
    <t>Complex Procedures e.g. Phaeochromocytoma</t>
  </si>
  <si>
    <t>12-14</t>
  </si>
  <si>
    <t>Printed as a range 12-14</t>
  </si>
  <si>
    <t>Upper GI</t>
  </si>
  <si>
    <t>A7</t>
  </si>
  <si>
    <t>Major Laparoscopic Intraperitoneal Procedures e.g. Nissen Fundoplication, Gastric Banding, Sleeve Gastrectomy</t>
  </si>
  <si>
    <t>A8</t>
  </si>
  <si>
    <t>Major Open Procedure e.g. Gastric Bypass</t>
  </si>
  <si>
    <t>A9</t>
  </si>
  <si>
    <t>Complex Procedures e.g. Liver Resection, Whipple’s</t>
  </si>
  <si>
    <t>A10</t>
  </si>
  <si>
    <t>Oesophagectomy</t>
  </si>
  <si>
    <t>Lower GI</t>
  </si>
  <si>
    <t>A11</t>
  </si>
  <si>
    <t>Moderate Procedures e.g. Reversal Loop Ileostomy</t>
  </si>
  <si>
    <t>A12</t>
  </si>
  <si>
    <t>Major Procedures e.g. Bowel Resection [Single Section with Re-anastomosis] INCLUDES Open/Laparoscopic/Combined Technique</t>
  </si>
  <si>
    <t>A13</t>
  </si>
  <si>
    <t>Complex Procedures e.g. Extensive Bowel Resection – Extending into Upper Abdomen or Pelvis [APR], AND/OR Where an – ostomy is created; Open Abdominal Urological Procedures, Cystectomy</t>
  </si>
  <si>
    <t>Perineum</t>
  </si>
  <si>
    <t>P1</t>
  </si>
  <si>
    <t>Minor Procedures e.g. Excision Superficial Lesions, Excision Skin Tags, Banding Haemorrhoids, Circumcision (&gt; 2 y.o.); Gynae: Cystoscopy, Hysteroscopy, D+C, Labiaplasty</t>
  </si>
  <si>
    <t>Code also used for Position modifier (P1)</t>
  </si>
  <si>
    <t>P2</t>
  </si>
  <si>
    <t>Simple but Invasive Procedures e.g. Circumcision (&lt; 2 y.o.), Orchidopexy, Scrotal Surgery, Urethroplasty, Ureteroscopy, TURBT; Gynae: Anterior Repair, Posterior Repair, Sacrospinous Fixation</t>
  </si>
  <si>
    <t>Urology</t>
  </si>
  <si>
    <t>P3</t>
  </si>
  <si>
    <t>Minor Procedures e.g. Trans-perineal Prostate Procedures such as Rod Insertion or Prostate Biopsy</t>
  </si>
  <si>
    <t>P4</t>
  </si>
  <si>
    <t>Moderate Surgery e.g. TURP</t>
  </si>
  <si>
    <t>P5</t>
  </si>
  <si>
    <t>Major Surgery e.g. Percutaneous Nephrolithotomy</t>
  </si>
  <si>
    <t>P6</t>
  </si>
  <si>
    <t>Complex Surgery: Prostatectomy (Radical/Robotic), Nephrectomy, Open Cystectomy</t>
  </si>
  <si>
    <t>DUPLICATE CODE as printed – P6 also used for Obstetric Vaginal Procedures (4); lookup returns the first (10)</t>
  </si>
  <si>
    <t>Obstetric</t>
  </si>
  <si>
    <t>Obstetric Vaginal Procedures</t>
  </si>
  <si>
    <t>DUPLICATE CODE as printed – second P6 (Obstetric)</t>
  </si>
  <si>
    <t>P7</t>
  </si>
  <si>
    <t>Obstetric Epidural Pain Relief/Evacuation Of Uterus [Post-partum]</t>
  </si>
  <si>
    <t>P8</t>
  </si>
  <si>
    <t>Caesarean Section (Spinal OR GA), Vaginal Birth under GA</t>
  </si>
  <si>
    <t>Pelvic</t>
  </si>
  <si>
    <t>PE1</t>
  </si>
  <si>
    <t>Minor Procedures e.g. Application Hip Spica</t>
  </si>
  <si>
    <t>PE2</t>
  </si>
  <si>
    <t>Significant Procedures e.g. Open Pelvic Surgery</t>
  </si>
  <si>
    <t>Vascular</t>
  </si>
  <si>
    <t>V1</t>
  </si>
  <si>
    <t>Minor Procedure, e.g. Varicose Vein Surgery, Port Insertion</t>
  </si>
  <si>
    <t>V2</t>
  </si>
  <si>
    <t>Moderate Procedure, e.g. Infra-inguinal Arterial Surgery, Fistula Formation, other Non-aortic or Carotid Vascular Procedure</t>
  </si>
  <si>
    <t>V3</t>
  </si>
  <si>
    <t>Major Procedure, e.g. Fem-pop Bypass, Non-carotid Vascular Head and Neck Procedure</t>
  </si>
  <si>
    <t>V4</t>
  </si>
  <si>
    <t>Significant Procedure, e.g. Carotid Endarterectomy, Percutaneous Abdominal Vascular Procedure</t>
  </si>
  <si>
    <t>V5</t>
  </si>
  <si>
    <t>Complex Procedure, e.g. Open Abdominal Vascular Procedure</t>
  </si>
  <si>
    <t>Lower Limb</t>
  </si>
  <si>
    <t>LL1</t>
  </si>
  <si>
    <t>Minor Procedures e.g. Excision Skin Lesions, Hip Arthroscopy, Knee Arthroscopy</t>
  </si>
  <si>
    <t>LL2</t>
  </si>
  <si>
    <t>Simple but Invasive Procedures e.g. Simple Tendon Transposition, Simple Nerve Transposition</t>
  </si>
  <si>
    <t>LL3</t>
  </si>
  <si>
    <t>Moderate Soft Tissue/Muscle/Nerve Procedures e.g. ACL Surgery, Femoral/Tibial Osteotomy, Alignment, Corrective Foot Surgery</t>
  </si>
  <si>
    <t>LL4</t>
  </si>
  <si>
    <t>Major Hip/Knee Joint Procedures e.g. Hip Replacement, Knee Replacement</t>
  </si>
  <si>
    <t>LL5</t>
  </si>
  <si>
    <t>Complex Hip/Knee Joint Procedures e.g. Bilateral Joint Replacements, Simple Joint Revision</t>
  </si>
  <si>
    <t>LL6</t>
  </si>
  <si>
    <t>Significant Hip/Knee Joint Revision Procedures e.g. Two Component Revisions, Acetabular Reconstruction + Bone Graft, Open Pelvic Surgery</t>
  </si>
  <si>
    <t>Anaesthesia in Remote Locations</t>
  </si>
  <si>
    <t>Endoscopy</t>
  </si>
  <si>
    <t>E1</t>
  </si>
  <si>
    <t>Endoscopy Under Sedation [Gastroscopy, Colonoscopy - includes Sedation for Uncomplicated Biopsies]</t>
  </si>
  <si>
    <t>E2</t>
  </si>
  <si>
    <t>Endoscopy Under General Anaesthesia [Gastroscopy, Colonoscopy]</t>
  </si>
  <si>
    <t>E3</t>
  </si>
  <si>
    <t>Moderate Endoscopic Procedures e.g. ERCP, Oesophageal Stenting</t>
  </si>
  <si>
    <t>Cardiology</t>
  </si>
  <si>
    <t>C1</t>
  </si>
  <si>
    <t>Minor Procedures e.g. Cardioversion, Sedation For TOE</t>
  </si>
  <si>
    <t>C2</t>
  </si>
  <si>
    <t>Cardiac Ablation - Right Heart, SVT Procedures</t>
  </si>
  <si>
    <t>C3</t>
  </si>
  <si>
    <t>Pulmonary Vein Isolation</t>
  </si>
  <si>
    <t>C4</t>
  </si>
  <si>
    <t>Extraction Of Cardiac Leads</t>
  </si>
  <si>
    <t>Radiology</t>
  </si>
  <si>
    <t>R1</t>
  </si>
  <si>
    <t>Diagnostic Radiology e.g., CT Scan, PET Scan, MRI</t>
  </si>
  <si>
    <t>R2</t>
  </si>
  <si>
    <t>Major Radiological Procedures e.g. Non-Cerebral Embolization, Non-Aortic Stenting</t>
  </si>
  <si>
    <t>R3</t>
  </si>
  <si>
    <t>Significant Radiological Procedures e.g. Cerebral Embolization, Aortic Stenting</t>
  </si>
  <si>
    <t>Miscellaneous</t>
  </si>
  <si>
    <t>M1</t>
  </si>
  <si>
    <t>Minor Procedures e.g. Electroconvulsive Therapy</t>
  </si>
  <si>
    <t>M2</t>
  </si>
  <si>
    <t>Extracorporeal Shockwave Lithotripsy</t>
  </si>
  <si>
    <t>M3</t>
  </si>
  <si>
    <t>Medical Transport - Preparation, Monitoring, Ventilator, Circulatory Support</t>
  </si>
  <si>
    <t>4 + Time</t>
  </si>
  <si>
    <t>Plus time units</t>
  </si>
  <si>
    <t>Pain Consultations and Procedures</t>
  </si>
  <si>
    <t>Consultation</t>
  </si>
  <si>
    <t>CP1</t>
  </si>
  <si>
    <t>LOW Complexity Decision Making</t>
  </si>
  <si>
    <t>Plus time units. Consultation for Chronic Pain Requiring History, Examination, and Decision Making</t>
  </si>
  <si>
    <t>CP2</t>
  </si>
  <si>
    <t>MEDIUM Complexity Decision Making</t>
  </si>
  <si>
    <t>6 + Time</t>
  </si>
  <si>
    <t>CP3</t>
  </si>
  <si>
    <t>HIGH Complexity Decision Making</t>
  </si>
  <si>
    <t>8 + Time</t>
  </si>
  <si>
    <t>Procedures</t>
  </si>
  <si>
    <t>CP4</t>
  </si>
  <si>
    <t>Trigger Point Injections/Infusions</t>
  </si>
  <si>
    <t>Plus time units. NB: multiple procedures on one case at one time – ONE base unit charged plus time</t>
  </si>
  <si>
    <t>CP5</t>
  </si>
  <si>
    <t>Regional Blocks</t>
  </si>
  <si>
    <t>CP6</t>
  </si>
  <si>
    <t>Spinal Procedures</t>
  </si>
  <si>
    <t>NB: If multiple procedures are performed on one case at one time, ONE base unit is charged plus time</t>
  </si>
  <si>
    <t>Billing for time</t>
  </si>
  <si>
    <t>Every 15 Minutes or part thereof [For the first TWO hours]</t>
  </si>
  <si>
    <t>1</t>
  </si>
  <si>
    <t>Printed code T1 – clashes with Thorax T1</t>
  </si>
  <si>
    <t>Every 10 Minutes of part thereof [From the start of the THIRD hour]</t>
  </si>
  <si>
    <t>Printed code T2 – clashes with Breast T2</t>
  </si>
  <si>
    <t>Billing for modifying factors</t>
  </si>
  <si>
    <t>PA1</t>
  </si>
  <si>
    <t>Telephone Pre-assessment – Simple [&lt;15 minutes]</t>
  </si>
  <si>
    <t>Modifier</t>
  </si>
  <si>
    <t>PA2</t>
  </si>
  <si>
    <t>Telephone Pre-assessment – Complex [&gt;15 minutes]</t>
  </si>
  <si>
    <t>PA3</t>
  </si>
  <si>
    <t>Face-To-Face Pre-assessment – Prior To Day Of Surgery [Maximum 4 Units]</t>
  </si>
  <si>
    <t>2 + Time</t>
  </si>
  <si>
    <t>Plus time; maximum 4 units</t>
  </si>
  <si>
    <t>PA4</t>
  </si>
  <si>
    <t>Face-To-Face Pre-assessment – On Day Of Surgery – Complex [Complex Assessment + Management Of Significant Issues]</t>
  </si>
  <si>
    <t>PA5</t>
  </si>
  <si>
    <t>Cancellation of Case on Day of Surgery [After Complex Pre-assessment]</t>
  </si>
  <si>
    <t>2 [Max]</t>
  </si>
  <si>
    <t>Maximum 2 units</t>
  </si>
  <si>
    <t>Age &gt;1, and/but &lt;2, 70-80-year-old</t>
  </si>
  <si>
    <t>Printed code A1 – clashes with Abdomen A1</t>
  </si>
  <si>
    <t>Age &lt; 1 year old and/but &gt; 80-year-old</t>
  </si>
  <si>
    <t>Printed code A2 – clashes with Abdomen A2</t>
  </si>
  <si>
    <t>AS1</t>
  </si>
  <si>
    <t>ASA I or II</t>
  </si>
  <si>
    <t>0</t>
  </si>
  <si>
    <t>AS3</t>
  </si>
  <si>
    <t>ASA III</t>
  </si>
  <si>
    <t>AS4</t>
  </si>
  <si>
    <t>ASA IV</t>
  </si>
  <si>
    <t>ASE</t>
  </si>
  <si>
    <t>Emergency case</t>
  </si>
  <si>
    <t>OB1</t>
  </si>
  <si>
    <t>BMI &lt; 35</t>
  </si>
  <si>
    <t>OB2</t>
  </si>
  <si>
    <t>BMI 35 - 40</t>
  </si>
  <si>
    <t>OB3</t>
  </si>
  <si>
    <t>BMI &gt; 40</t>
  </si>
  <si>
    <t>OB4</t>
  </si>
  <si>
    <t>BMI &gt; 50</t>
  </si>
  <si>
    <t>3</t>
  </si>
  <si>
    <t>AI1</t>
  </si>
  <si>
    <t>Awake Intubation - However accomplished</t>
  </si>
  <si>
    <t>Any position that is non-supine, non- lithotomy, or non-lateral IF not already accounted for (It is included in Spine and Neuro Base units)</t>
  </si>
  <si>
    <t>Printed code P1 – clashes with Perineum P1</t>
  </si>
  <si>
    <t>VM1</t>
  </si>
  <si>
    <t>Vascular monitoring (Art Line, CVL, PA Catheter) NOT EXPECTED of Anaesthesia/Procedure</t>
  </si>
  <si>
    <t>TTE1</t>
  </si>
  <si>
    <t>Peri-operative Transthoracic Echocardiogram - i.e. Full Report + Formal Report [Accredited Anaesthetist ONLY]</t>
  </si>
  <si>
    <t>TTE2</t>
  </si>
  <si>
    <t>Non-operative Transthoracic Echocardiogram – i.e. in Emergent Situation To Assess Filling [Accredited Anaesthetist ONLY]</t>
  </si>
  <si>
    <t>PACU1</t>
  </si>
  <si>
    <t>Recovery Room Care – Provide documentation if &gt;15 minutes being claimed for</t>
  </si>
  <si>
    <t>As Per T1/T2</t>
  </si>
  <si>
    <t>Units as per time codes T1/T2</t>
  </si>
  <si>
    <t>EAA1</t>
  </si>
  <si>
    <t>Elective Additional Anaesthetic Assistance [Discuss with patient + payer pre-surgery if possible]</t>
  </si>
  <si>
    <t>POC 1</t>
  </si>
  <si>
    <t>ICU Care: Anaesthetist In Hospital Providing Cover per day</t>
  </si>
  <si>
    <t>25</t>
  </si>
  <si>
    <t>Per day</t>
  </si>
  <si>
    <t>POC2a</t>
  </si>
  <si>
    <t>HDU Care: Anaesthetist At Home Providing Cover per day</t>
  </si>
  <si>
    <t>4-6</t>
  </si>
  <si>
    <t>Per day; printed as a range 4-6</t>
  </si>
  <si>
    <t>POC2b</t>
  </si>
  <si>
    <t>PLUS: Telephone Call Requiring Significant Management Change</t>
  </si>
  <si>
    <t>1 [Per Call]</t>
  </si>
  <si>
    <t>Per call</t>
  </si>
  <si>
    <t>POC2c</t>
  </si>
  <si>
    <t>PLUS: Face-To-Face Visit Resulting in Significant Management Change</t>
  </si>
  <si>
    <t>POC3a</t>
  </si>
  <si>
    <t>Non-Complex Ward/PACU Review – Nerve Catheter/Epidural/IV Fluids/Analgesia</t>
  </si>
  <si>
    <t>1+ Time</t>
  </si>
  <si>
    <t>POC3b</t>
  </si>
  <si>
    <t>Complex Ward/PACU Review with significant documented management issues</t>
  </si>
  <si>
    <t>NC1</t>
  </si>
  <si>
    <t>In situ Plexus/Nerve Catheter patient in hospital</t>
  </si>
  <si>
    <t>NC2</t>
  </si>
  <si>
    <t>In situ Plexus/Nerve Catheter at hospital discharge [1 Unit/day to maximum of 3 Units]</t>
  </si>
  <si>
    <t>1 unit/day, maximum 3 units</t>
  </si>
  <si>
    <t>Preoperative consultations for ACC Patients</t>
  </si>
  <si>
    <t>ACC Clinical Services Table 2</t>
  </si>
  <si>
    <t>CS250</t>
  </si>
  <si>
    <t>Simple Pre-operative Anaesthetic Assessment (Initial) – Simple Pre-operative Anaesthetic Assessment (Initial) - Electronic consultation (preoperatively only)</t>
  </si>
  <si>
    <t>ACC code</t>
  </si>
  <si>
    <t>ACC code (not an RVG unit code). Treatment provider: Anaesthetist. Procedure – Definition as printed</t>
  </si>
  <si>
    <t>CS260</t>
  </si>
  <si>
    <t>Complex Pre-operative Anaesthetic Assessment – (Initial) – Complex Pre-operative Anaesthetic Assessment - (Initial) - Per consultation (preoperatively only)</t>
  </si>
  <si>
    <t>CS70</t>
  </si>
  <si>
    <t>Anaesthetic consultation – Anaesthetic consultation - Per Call (pre-operatively only)</t>
  </si>
  <si>
    <t>Type</t>
  </si>
  <si>
    <t>SP1</t>
  </si>
  <si>
    <t>Printed as "SP 1"</t>
  </si>
  <si>
    <t>p.7</t>
  </si>
  <si>
    <t>p.8</t>
  </si>
  <si>
    <t>p.9</t>
  </si>
  <si>
    <t>p.10</t>
  </si>
  <si>
    <t>p.11</t>
  </si>
  <si>
    <t>TIME-T1</t>
  </si>
  <si>
    <t>p.12</t>
  </si>
  <si>
    <t>TIME-T2</t>
  </si>
  <si>
    <t>MOD-A1</t>
  </si>
  <si>
    <t>MOD-A2</t>
  </si>
  <si>
    <t>MOD-P1</t>
  </si>
  <si>
    <t>p.13</t>
  </si>
  <si>
    <t>POC1</t>
  </si>
  <si>
    <t>Printed as "POC 1"; Per day</t>
  </si>
  <si>
    <t>Lookup table for Master Fee List columns A–B. Populated 28 Sep 2026 from SRC-01 (NZSA RVG 2021.pdf, Section II pp.7–13) via tab 'SRC-01 NZSA RVG'. Base Units = lower bound where a range is printed (upper bound in Max Units). Time/modifier codes that clash with procedure codes are prefixed TIME- / MOD-. Red codes = printed twice in the RVG (T2, P6) – XLOOKUP returns the first.</t>
  </si>
  <si>
    <t>Base / time / modifier units by RVG code (138 codes, Type column). Feeds Master columns A–B. Populated 28 Sep 2026 from SRC-01.</t>
  </si>
  <si>
    <t>SRC-01 NZSA RVG → RVG Codes</t>
  </si>
  <si>
    <t>Unmatched</t>
  </si>
  <si>
    <t>P4 – Perineum / Urology: Moderate Surgery</t>
  </si>
  <si>
    <t>Description – likely</t>
  </si>
  <si>
    <t>LL1 – Lower Limb: Minor Procedures</t>
  </si>
  <si>
    <t>Description – exact</t>
  </si>
  <si>
    <t>H6a – Head / Ocular: Ocular Procedure Under Local Anaesthetic or Eye Block or …</t>
  </si>
  <si>
    <t>H2 – Head: Simple but Invasive Procedures</t>
  </si>
  <si>
    <t>H1 – Head: Minor Procedures</t>
  </si>
  <si>
    <t>A4 – Abdomen: Gynae: Moderate/Major Procedures</t>
  </si>
  <si>
    <t>A1 – Abdomen: Minor Procedures</t>
  </si>
  <si>
    <t>A5 – Abdomen: Major Procedures</t>
  </si>
  <si>
    <t>LL3 – Lower Limb: Moderate Soft Tissue/Muscle/Nerve Procedures</t>
  </si>
  <si>
    <t>UL3 – Upper Limb: Moderate Soft Tissue/Muscle/Nerve Procedures</t>
  </si>
  <si>
    <t>S9b – Spine / Lumbar: Posterior Decompression/Fusion – Two Level</t>
  </si>
  <si>
    <t>ACC CS70 – Anaesthetic consultation (per call)</t>
  </si>
  <si>
    <t>P1 – Perineum: Minor Procedures</t>
  </si>
  <si>
    <t>LL4 – Lower Limb: Major Hip/Knee Joint Procedures</t>
  </si>
  <si>
    <t>P2 – Perineum: Simple but Invasive Procedures</t>
  </si>
  <si>
    <t>S2 – Spine / Cervical: Anterior Cervical Procedures</t>
  </si>
  <si>
    <t>S8a – Spine / Lumbar: Anterior Decompression/Fusion – Single Level</t>
  </si>
  <si>
    <t>V5 – Vascular: Complex Procedure,</t>
  </si>
  <si>
    <t>T6b – Thorax / Cardiac: Less Complex Surgery</t>
  </si>
  <si>
    <t>T6c – Thorax / Cardiac: More Complex Surgery</t>
  </si>
  <si>
    <t>P3 – Perineum / Urology: Minor Procedures</t>
  </si>
  <si>
    <t>T2 – Thorax / Breast (printed twice: 4 and 5 units)</t>
  </si>
  <si>
    <t>T4 – Thorax / Breast: Major Procedures</t>
  </si>
  <si>
    <t>UL1 – Upper Limb: Minor Procedures</t>
  </si>
  <si>
    <t>H3 – Head: Moderate Procedures</t>
  </si>
  <si>
    <t>H4 – Head: Complex Procedures</t>
  </si>
  <si>
    <t>LL5 – Lower Limb: Complex Hip/Knee Joint Procedures</t>
  </si>
  <si>
    <t>C1 – Anaesthesia in Remote Locations / Cardiology: Minor Procedures</t>
  </si>
  <si>
    <t>V4 – Vascular: Significant Procedure,</t>
  </si>
  <si>
    <t>S3a – Spine / Cervical: Posterior Cervical Procedures [1-2 levels]</t>
  </si>
  <si>
    <t>A11 – Abdomen / Lower GI: Moderate Procedures</t>
  </si>
  <si>
    <t>A12 – Abdomen / Lower GI: Major Procedures</t>
  </si>
  <si>
    <t>E1 – Anaesthesia in Remote Locations / Endoscopy: Endoscopy Under Sedation [Gastroscopy, Colonoscopy - incl…</t>
  </si>
  <si>
    <t>H5 – Head / Dental: Dental Extractions/Dental Restorations</t>
  </si>
  <si>
    <t>POC3b – Billing for modifying factors: Complex Ward/PACU Review with significant documented mana…</t>
  </si>
  <si>
    <t>UL2 – Upper Limb: Simple but Invasive Procedures</t>
  </si>
  <si>
    <t>H8a – Head / Neurosurgery: Non-Vascular Open Intracranial/Spinal cord – Supine/lateral</t>
  </si>
  <si>
    <t>ACC CS250 – Simple pre-operative anaesthetic assessment</t>
  </si>
  <si>
    <t>LL2 – Lower Limb: Simple but Invasive Procedures</t>
  </si>
  <si>
    <t>A2 – Abdomen: Simple but Invasive Procedures</t>
  </si>
  <si>
    <t>S6 – Spine / Lumbar: Discectomy/Decompression Procedures – [ 1-2 levels]</t>
  </si>
  <si>
    <t>E3 – Anaesthesia in Remote Locations / Endoscopy: Moderate Endoscopic Procedures</t>
  </si>
  <si>
    <t>M2 – Anaesthesia in Remote Locations / Miscellaneous: Extracorporeal Shockwave Lithotripsy</t>
  </si>
  <si>
    <t>T1 – Thorax: Minor Procedures</t>
  </si>
  <si>
    <t>A13 – Abdomen / Lower GI: Complex Procedures</t>
  </si>
  <si>
    <t>R1 – Anaesthesia in Remote Locations / Radiology: Diagnostic Radiology</t>
  </si>
  <si>
    <t>A7 – Abdomen / Upper GI: Major Laparoscopic Intraperitoneal Procedures</t>
  </si>
  <si>
    <t>A3 – Abdomen: Moderate Procedures</t>
  </si>
  <si>
    <t>A8 – Abdomen / Upper GI: Major Open Procedure</t>
  </si>
  <si>
    <t>A9 – Abdomen / Upper GI: Complex Procedures</t>
  </si>
  <si>
    <t>P6 – Perineum (printed twice: Urology 10 / Obstetric 4 units)</t>
  </si>
  <si>
    <t>N4 – Neck (Non vascular): Significant Complex Procedures</t>
  </si>
  <si>
    <t>T3 – Thorax / Breast: Moderate Procedures</t>
  </si>
  <si>
    <t>S9a – Spine / Lumbar: Posterior Decompression/Fusion – Single Level</t>
  </si>
  <si>
    <t>T5c – Thorax / Thoracic: Pleurodesis/Simple Biopsy</t>
  </si>
  <si>
    <t>N3 – Neck (Non vascular): Moderate Procedures</t>
  </si>
  <si>
    <t>UL4 – Upper Limb: Major Bony/Joint Procedures</t>
  </si>
  <si>
    <t>T5d – Thorax / Thoracic: Lobectomy/Wedge Resection</t>
  </si>
  <si>
    <t>H8b – Head / Neurosurgery: Non-Vascular Open Intracranial/Spinal cord – Prone/park b…</t>
  </si>
  <si>
    <t>H7a – Head / Neurosurgery: Cranioplasty/Cerebrospinal fluid shunt procedures supine/…</t>
  </si>
  <si>
    <t>V1 – Vascular: Minor Procedure,</t>
  </si>
  <si>
    <t>RVG code</t>
  </si>
  <si>
    <t>NZSA RVG</t>
  </si>
  <si>
    <t>p.10 – Lower Limb</t>
  </si>
  <si>
    <t>Reference units only – no $ fee (NZSA RVG 2021).</t>
  </si>
  <si>
    <t>p.7 – Head / Ocular</t>
  </si>
  <si>
    <t>p.9 – Abdomen</t>
  </si>
  <si>
    <t>Reference units only – no $ fee (NZSA RVG 2021). Code also used for Age modifier (A2)</t>
  </si>
  <si>
    <t>p.7 – Head</t>
  </si>
  <si>
    <t>p.10 – Perineum</t>
  </si>
  <si>
    <t>p.10 – Vascular</t>
  </si>
  <si>
    <t>Reference units only – no $ fee (NZSA RVG 2021). Units as printed: "6-8" (lower bound in units columns). Printed as a range 6-8</t>
  </si>
  <si>
    <t>p.10 – Abdomen / Lower GI</t>
  </si>
  <si>
    <t>Reference units only – no $ fee (NZSA RVG 2021). Units as printed: "12-14" (lower bound in units columns). Printed as a range 12-14</t>
  </si>
  <si>
    <t>p.8 – Upper Limb</t>
  </si>
  <si>
    <t>Reference units only – no $ fee (NZSA RVG 2021). Add 2 units if sitting position (+2)</t>
  </si>
  <si>
    <t>p.10 – Perineum / Urology</t>
  </si>
  <si>
    <t>p.7 – Neck (Non vascular)</t>
  </si>
  <si>
    <t>p.11 – Lower Limb</t>
  </si>
  <si>
    <t>p.7 – Head / Neurosurgery</t>
  </si>
  <si>
    <t>Reference units only – no $ fee (NZSA RVG 2021). Base units include loading for prone positioning if needed (+2); sub-code printed as "A"</t>
  </si>
  <si>
    <t>Reference units only – no $ fee (NZSA RVG 2021). Base units include loading for prone positioning if needed (+2)</t>
  </si>
  <si>
    <t>p.7 – Head / Dental</t>
  </si>
  <si>
    <t>p.9 – Abdomen / Upper GI</t>
  </si>
  <si>
    <t>p.11 – Anaesthesia in Remote Locations / Endoscopy</t>
  </si>
  <si>
    <t>Reference units only – no $ fee (NZSA RVG 2021). Code also used for Position modifier (P1)</t>
  </si>
  <si>
    <t>p.9 – Spine / Lumbar</t>
  </si>
  <si>
    <t>Reference units only – no $ fee (NZSA RVG 2021). Base units include loading for prone positioning if needed</t>
  </si>
  <si>
    <t>p.8 – Thorax / Breast</t>
  </si>
  <si>
    <t>Reference units only – no $ fee (NZSA RVG 2021). DUPLICATE CODE as printed – second T2 in Breast; also used for Time billing (T2)</t>
  </si>
  <si>
    <t>Reference units only – no $ fee (NZSA RVG 2021). DUPLICATE CODE as printed – T2 appears twice in Breast (4 and 5 units); lookup returns the first (4)</t>
  </si>
  <si>
    <t>Reference units only – no $ fee (NZSA RVG 2021). Code also used for Age modifier (A1)</t>
  </si>
  <si>
    <t>p.10 – Perineum / Obstetric</t>
  </si>
  <si>
    <t>Reference units only – no $ fee (NZSA RVG 2021). DUPLICATE CODE as printed – second P6 (Obstetric)</t>
  </si>
  <si>
    <t>Reference units only – no $ fee (NZSA RVG 2021). DUPLICATE CODE as printed – P6 also used for Obstetric Vaginal Procedures (4); lookup returns the first (10)</t>
  </si>
  <si>
    <t>p.8 – Thorax / Thoracic</t>
  </si>
  <si>
    <t>Reference units only – no $ fee (NZSA RVG 2021). Units as printed: "10-12" (lower bound in units columns). Printed as a range 10-12</t>
  </si>
  <si>
    <t>p.11 – Anaesthesia in Remote Locations / Miscellaneous</t>
  </si>
  <si>
    <t>p.9 – Abdomen / Lower GI</t>
  </si>
  <si>
    <t>Reference units only – no $ fee (NZSA RVG 2021). Units as printed: "8-10" (lower bound in units columns). Printed as a range 8-10</t>
  </si>
  <si>
    <t>p.8 – Thorax / Cardiac</t>
  </si>
  <si>
    <t>p.11 – Anaesthesia in Remote Locations / Radiology</t>
  </si>
  <si>
    <t>Reference units only – no $ fee (NZSA RVG 2021). Units as printed: "10-14" (lower bound in units columns). Printed as a range 10-14</t>
  </si>
  <si>
    <t>p.8 – Thorax</t>
  </si>
  <si>
    <t>Reference units only – no $ fee (NZSA RVG 2021). Code also used for Time billing (T1)</t>
  </si>
  <si>
    <t>p.9 – Spine / Cervical</t>
  </si>
  <si>
    <t>ACC (listed in NZSA RVG)</t>
  </si>
  <si>
    <t>Other</t>
  </si>
  <si>
    <t>p.14 – Preoperative consultations for ACC Patients / ACC Clinical Services Table 2</t>
  </si>
  <si>
    <t>Reference units only – no $ fee (NZSA RVG 2021). ACC code (not an RVG unit code). Treatment provider: Anaesthetist. Procedure – Definition as printed</t>
  </si>
  <si>
    <t>Add-on</t>
  </si>
  <si>
    <t>p.13 – Billing for modifying factors</t>
  </si>
  <si>
    <t>Reference units only – no $ fee (NZSA RVG 2021). Units as printed: "2 + Time". Plus time units</t>
  </si>
  <si>
    <t>p.11 – Anaesthesia in Remote Locations / Cardiology</t>
  </si>
  <si>
    <t>SP1 – Supervision: Provision of IV Sedation and/or Monitoring</t>
  </si>
  <si>
    <t>p.7 – Supervision</t>
  </si>
  <si>
    <t>H6b – Head / Ocular: Ocular Procedure Under GA [YOUNGER than Aged TWO Years]</t>
  </si>
  <si>
    <t>H7b – Head / Neurosurgery: Cranioplasty/Cerebrospinal fluid shunt procedures supine/…</t>
  </si>
  <si>
    <t>H9a – Head / Neurosurgery: Vascular Open Intracranial/Spinal cord Procedures – Supin…</t>
  </si>
  <si>
    <t>H9b – Head / Neurosurgery: Vascular Open Intracranial/Spinal cord Procedures – Prone…</t>
  </si>
  <si>
    <t>N1 – Neck (Non vascular): Minor Procedures</t>
  </si>
  <si>
    <t>N2 – Neck (Non vascular): Simple but Invasive Procedures</t>
  </si>
  <si>
    <t>T5a – Thorax / Thoracic: Mediastinoscopy</t>
  </si>
  <si>
    <t>T5b – Thorax / Thoracic: Sympathectomy Lobectomy/Wedge Resection</t>
  </si>
  <si>
    <t>T5e – Thorax / Thoracic: Major Thoracic</t>
  </si>
  <si>
    <t>T6a – Thorax / Cardiac: Sternal Debridement or Chest Re-Opening (either OR or ICU)</t>
  </si>
  <si>
    <t>T6d – Thorax / Cardiac: Percutaneous Cardiac Surgery</t>
  </si>
  <si>
    <t>T7a – Thorax / TOE Use: Insertion TOE + Limited Exam</t>
  </si>
  <si>
    <t>p.8 – Thorax / TOE Use</t>
  </si>
  <si>
    <t>T7b – Thorax / TOE Use: Diagnostic TOE: Full Examination, Including Report [Nil T…</t>
  </si>
  <si>
    <t>Reference units only – no $ fee (NZSA RVG 2021). Nil time units</t>
  </si>
  <si>
    <t>S1 – Spine: Removal of Spinal Hardware</t>
  </si>
  <si>
    <t>p.9 – Spine</t>
  </si>
  <si>
    <t>S3b – Spine / Cervical: Posterior Cervical Procedures [&gt;2 levels or Front + Back]</t>
  </si>
  <si>
    <t>S4 – Spine / Thoracic: Intrathoracic Spinal Procedures</t>
  </si>
  <si>
    <t>p.9 – Spine / Thoracic</t>
  </si>
  <si>
    <t>S5 – Spine / Thoracic: Extensive Thoracic/Lumbar Decompression and Fusion</t>
  </si>
  <si>
    <t>S7 – Spine / Lumbar: Minimally Invasive Lateral Lumbar Procedures</t>
  </si>
  <si>
    <t>S8b – Spine / Lumbar: Anterior Decompression/Fusion – Multiple Level</t>
  </si>
  <si>
    <t>S9c – Spine / Lumbar: Posterior Decompression/Fusion – Three + Level</t>
  </si>
  <si>
    <t>S10 – Spine / Lumbar: Combined Anterior and Posterior Surgical Approach</t>
  </si>
  <si>
    <t>A6 – Abdomen: Complex Procedures</t>
  </si>
  <si>
    <t>A10 – Abdomen / Upper GI: Oesophagectomy</t>
  </si>
  <si>
    <t>P5 – Perineum / Urology: Major Surgery</t>
  </si>
  <si>
    <t>P7 – Perineum / Obstetric: Obstetric Epidural Pain Relief/Evacuation Of Uterus [Post…</t>
  </si>
  <si>
    <t>P8 – Perineum / Obstetric: Caesarean Section (Spinal OR GA), Vaginal Birth under GA</t>
  </si>
  <si>
    <t>PE1 – Pelvic: Minor Procedures</t>
  </si>
  <si>
    <t>p.10 – Pelvic</t>
  </si>
  <si>
    <t>PE2 – Pelvic: Significant Procedures</t>
  </si>
  <si>
    <t>V2 – Vascular: Moderate Procedure,</t>
  </si>
  <si>
    <t>V3 – Vascular: Major Procedure,</t>
  </si>
  <si>
    <t>LL6 – Lower Limb: Significant Hip/Knee Joint Revision Procedures</t>
  </si>
  <si>
    <t>E2 – Anaesthesia in Remote Locations / Endoscopy: Endoscopy Under General Anaesthesia [Gastroscopy, Colonos…</t>
  </si>
  <si>
    <t>C2 – Anaesthesia in Remote Locations / Cardiology: Cardiac Ablation - Right Heart, SVT Procedures</t>
  </si>
  <si>
    <t>C3 – Anaesthesia in Remote Locations / Cardiology: Pulmonary Vein Isolation</t>
  </si>
  <si>
    <t>C4 – Anaesthesia in Remote Locations / Cardiology: Extraction Of Cardiac Leads</t>
  </si>
  <si>
    <t>R2 – Anaesthesia in Remote Locations / Radiology: Major Radiological Procedures</t>
  </si>
  <si>
    <t>R3 – Anaesthesia in Remote Locations / Radiology: Significant Radiological Procedures</t>
  </si>
  <si>
    <t>M1 – Anaesthesia in Remote Locations / Miscellaneous: Minor Procedures</t>
  </si>
  <si>
    <t>M3 – Anaesthesia in Remote Locations / Miscellaneous: Medical Transport - Preparation, Monitoring, Ventilator, …</t>
  </si>
  <si>
    <t>Reference units only – no $ fee (NZSA RVG 2021). Units as printed: "4 + Time". Plus time units</t>
  </si>
  <si>
    <t>CP1 – Pain Consultations and Procedures / Consultation: LOW Complexity Decision Making</t>
  </si>
  <si>
    <t>p.11 – Pain Consultations and Procedures / Consultation</t>
  </si>
  <si>
    <t>Reference units only – no $ fee (NZSA RVG 2021). Units as printed: "4 + Time". Plus time units. Consultation for Chronic Pain Requiring History, Examination, and Decision Making</t>
  </si>
  <si>
    <t>CP2 – Pain Consultations and Procedures / Consultation: MEDIUM Complexity Decision Making</t>
  </si>
  <si>
    <t>Reference units only – no $ fee (NZSA RVG 2021). Units as printed: "6 + Time". Plus time units. Consultation for Chronic Pain Requiring History, Examination, and Decision Making</t>
  </si>
  <si>
    <t>CP3 – Pain Consultations and Procedures / Consultation: HIGH Complexity Decision Making</t>
  </si>
  <si>
    <t>Reference units only – no $ fee (NZSA RVG 2021). Units as printed: "8 + Time". Plus time units. Consultation for Chronic Pain Requiring History, Examination, and Decision Making</t>
  </si>
  <si>
    <t>CP4 – Pain Consultations and Procedures / Procedures: Trigger Point Injections/Infusions</t>
  </si>
  <si>
    <t>p.11 – Pain Consultations and Procedures / Procedures</t>
  </si>
  <si>
    <t>Reference units only – no $ fee (NZSA RVG 2021). Units as printed: "4 + Time". Plus time units. NB: multiple procedures on one case at one time – ONE base unit charged plus time</t>
  </si>
  <si>
    <t>CP5 – Pain Consultations and Procedures / Procedures: Regional Blocks</t>
  </si>
  <si>
    <t>Reference units only – no $ fee (NZSA RVG 2021). Units as printed: "6 + Time". Plus time units. NB: multiple procedures on one case at one time – ONE base unit charged plus time</t>
  </si>
  <si>
    <t>CP6 – Pain Consultations and Procedures / Procedures: Spinal Procedures</t>
  </si>
  <si>
    <t>Reference units only – no $ fee (NZSA RVG 2021). Units as printed: "8 + Time". Plus time units. NB: multiple procedures on one case at one time – ONE base unit charged plus time</t>
  </si>
  <si>
    <t>T1 – Billing for time: Every 15 Minutes or part thereof [For the first TWO hours]</t>
  </si>
  <si>
    <t>Time band</t>
  </si>
  <si>
    <t>p.12 – Billing for time</t>
  </si>
  <si>
    <t>Reference units only – no $ fee (NZSA RVG 2021). Printed code T1 – clashes with Thorax T1</t>
  </si>
  <si>
    <t>T2 – Billing for time: Every 10 Minutes of part thereof [From the start of the T…</t>
  </si>
  <si>
    <t>Reference units only – no $ fee (NZSA RVG 2021). Printed code T2 – clashes with Breast T2</t>
  </si>
  <si>
    <t>PA1 – Billing for modifying factors: Telephone Pre-assessment – Simple [&lt;15 minutes]</t>
  </si>
  <si>
    <t>p.12 – Billing for modifying factors</t>
  </si>
  <si>
    <t>PA2 – Billing for modifying factors: Telephone Pre-assessment – Complex [&gt;15 minutes]</t>
  </si>
  <si>
    <t>PA3 – Billing for modifying factors: Face-To-Face Pre-assessment – Prior To Day Of Surgery [Ma…</t>
  </si>
  <si>
    <t>Reference units only – no $ fee (NZSA RVG 2021). Units as printed: "2 + Time". Plus time; maximum 4 units</t>
  </si>
  <si>
    <t>PA4 – Billing for modifying factors: Face-To-Face Pre-assessment – On Day Of Surgery – Complex…</t>
  </si>
  <si>
    <t>PA5 – Billing for modifying factors: Cancellation of Case on Day of Surgery [After Complex Pre…</t>
  </si>
  <si>
    <t>Reference units only – no $ fee (NZSA RVG 2021). Units as printed: "2 [Max]". Maximum 2 units</t>
  </si>
  <si>
    <t>A1 – Billing for modifying factors: Age &gt;1, and/but &lt;2, 70-80-year-old</t>
  </si>
  <si>
    <t>Reference units only – no $ fee (NZSA RVG 2021). Printed code A1 – clashes with Abdomen A1</t>
  </si>
  <si>
    <t>A2 – Billing for modifying factors: Age &lt; 1 year old and/but &gt; 80-year-old</t>
  </si>
  <si>
    <t>Reference units only – no $ fee (NZSA RVG 2021). Printed code A2 – clashes with Abdomen A2</t>
  </si>
  <si>
    <t>AS1 – Billing for modifying factors: ASA I or II</t>
  </si>
  <si>
    <t>AS3 – Billing for modifying factors: ASA III</t>
  </si>
  <si>
    <t>AS4 – Billing for modifying factors: ASA IV</t>
  </si>
  <si>
    <t>ASE – Billing for modifying factors: Emergency case</t>
  </si>
  <si>
    <t>OB1 – Billing for modifying factors: BMI &lt; 35</t>
  </si>
  <si>
    <t>OB2 – Billing for modifying factors: BMI 35 - 40</t>
  </si>
  <si>
    <t>OB3 – Billing for modifying factors: BMI &gt; 40</t>
  </si>
  <si>
    <t>OB4 – Billing for modifying factors: BMI &gt; 50</t>
  </si>
  <si>
    <t>AI1 – Billing for modifying factors: Awake Intubation - However accomplished</t>
  </si>
  <si>
    <t>P1 – Billing for modifying factors: Any position that is non-supine, non- lithotomy, or non-l…</t>
  </si>
  <si>
    <t>Reference units only – no $ fee (NZSA RVG 2021). Printed code P1 – clashes with Perineum P1</t>
  </si>
  <si>
    <t>VM1 – Billing for modifying factors: Vascular monitoring (Art Line, CVL, PA Catheter) NOT EXPE…</t>
  </si>
  <si>
    <t>TTE1 – Billing for modifying factors: Peri-operative Transthoracic Echocardiogram - i.e. Full R…</t>
  </si>
  <si>
    <t>TTE2 – Billing for modifying factors: Non-operative Transthoracic Echocardiogram – i.e. in Emer…</t>
  </si>
  <si>
    <t>PACU1 – Billing for modifying factors: Recovery Room Care – Provide documentation if &gt;15 minutes…</t>
  </si>
  <si>
    <t>Reference units only – no $ fee (NZSA RVG 2021). Units as printed: "As Per T1/T2". Units as per time codes T1/T2</t>
  </si>
  <si>
    <t>EAA1 – Billing for modifying factors: Elective Additional Anaesthetic Assistance [Discuss with …</t>
  </si>
  <si>
    <t>POC1 – Billing for modifying factors: ICU Care: Anaesthetist In Hospital Providing Cover per day</t>
  </si>
  <si>
    <t>Reference units only – no $ fee (NZSA RVG 2021). Per day</t>
  </si>
  <si>
    <t>POC2a – Billing for modifying factors: HDU Care: Anaesthetist At Home Providing Cover per day</t>
  </si>
  <si>
    <t>Reference units only – no $ fee (NZSA RVG 2021). Units as printed: "4-6" (lower bound in units columns). Per day; printed as a range 4-6</t>
  </si>
  <si>
    <t>POC2b – Billing for modifying factors: PLUS: Telephone Call Requiring Significant Management Change</t>
  </si>
  <si>
    <t>Reference units only – no $ fee (NZSA RVG 2021). Units as printed: "1 [Per Call]". Per call</t>
  </si>
  <si>
    <t>POC2c – Billing for modifying factors: PLUS: Face-To-Face Visit Resulting in Significant Managem…</t>
  </si>
  <si>
    <t>POC3a – Billing for modifying factors: Non-Complex Ward/PACU Review – Nerve Catheter/Epidural/IV…</t>
  </si>
  <si>
    <t>Reference units only – no $ fee (NZSA RVG 2021). Units as printed: "1+ Time". Plus time units</t>
  </si>
  <si>
    <t>NC1 – Billing for modifying factors: In situ Plexus/Nerve Catheter patient in hospital</t>
  </si>
  <si>
    <t>NC2 – Billing for modifying factors: In situ Plexus/Nerve Catheter at hospital discharge [1 Un…</t>
  </si>
  <si>
    <t>Reference units only – no $ fee (NZSA RVG 2021). 1 unit/day, maximum 3 units</t>
  </si>
  <si>
    <t>ACC CS260 – Complex pre-operative anaesthetic assessment</t>
  </si>
  <si>
    <t>Extracted 28 Sep 2026: 148 lines to 'SRC-01 NZSA RVG' (106 base-unit, 2 time, 30 modifier, 7 heading/note lines, 3 ACC codes p.14); 138 codes to RVGCodes. Merged 28 Sep 2026: 141 rows to MasterFees (all except the 7 note lines); 63 in line (61 by RVG code, 2 ACC codes by description), 78 at bottom as Unmatched. 913 of 981 SRC-00 rows tagged with RVG code/group (457 exact, 456 likely, 68 unmatched). No $ fees; GST n/a. Duplicate printed codes T2, P6: lookup returns first value (T2=4, P6=10).</t>
  </si>
  <si>
    <t>SRC-00 Solusions+ Ops List</t>
  </si>
  <si>
    <t>Open Questions</t>
  </si>
  <si>
    <t>Decisions that need an answer from someone with authority (e.g. NZSA, a clinician or the contract holder). Click the Link cell to jump to the affected cell. When answered, fill Answer / Decision and set Status to Answered.</t>
  </si>
  <si>
    <t>Q#</t>
  </si>
  <si>
    <t>Raised</t>
  </si>
  <si>
    <t>Topic</t>
  </si>
  <si>
    <t>Question</t>
  </si>
  <si>
    <t>Why it matters</t>
  </si>
  <si>
    <t>Options</t>
  </si>
  <si>
    <t>Current handling (until answered)</t>
  </si>
  <si>
    <t>Link</t>
  </si>
  <si>
    <t>Answer / Decision</t>
  </si>
  <si>
    <t>Answered by</t>
  </si>
  <si>
    <t>Q01</t>
  </si>
  <si>
    <t>Duplicate RVG code</t>
  </si>
  <si>
    <t>The NZSA RVG prints code T2 twice under Breast: 'Minor Procedures' = 4 units and 'Simple but Invasive Procedures' (augmentation, reduction, simple mastectomy) = 5 units. Which code/units should the second one use?</t>
  </si>
  <si>
    <t>The lookup returns the first T2 (4 units), so the 52 master rows coded T2 all show 4 base units – likely 1 unit low for augmentation/reduction/mastectomy.</t>
  </si>
  <si>
    <t>(a) Treat second as 'T2b' (5 units) and recode those master rows; (b) confirm with NZSA which is correct; (c) leave as printed.</t>
  </si>
  <si>
    <t>Both kept as printed and flagged red; master shows 4 for all T2 rows.</t>
  </si>
  <si>
    <t>RVG Codes – T2</t>
  </si>
  <si>
    <t>Open</t>
  </si>
  <si>
    <t>Q02</t>
  </si>
  <si>
    <t>Code P6 is printed twice: Urology 'Complex Surgery' = 10 units and Obstetric 'Obstetric Vaginal Procedures' = 4 units. Should the obstetric one be relabelled?</t>
  </si>
  <si>
    <t>Lookup returns 10. All 11 master rows coded P6 are urology, so no current impact – but a future obstetric P6 row would show the wrong units.</t>
  </si>
  <si>
    <t>(a) Relabel obstetric as 'P6b'; (b) confirm with NZSA; (c) leave as printed.</t>
  </si>
  <si>
    <t>Both kept as printed and flagged red.</t>
  </si>
  <si>
    <t>RVG Codes – P6</t>
  </si>
  <si>
    <t>Q03</t>
  </si>
  <si>
    <t>Code clash</t>
  </si>
  <si>
    <t>Time codes T1/T2 and modifier codes A1, A2, P1 reuse procedure codes. Is the TIME- / MOD- prefix acceptable as the workbook convention?</t>
  </si>
  <si>
    <t>Without a prefix the lookup cannot tell 'T1 Thorax minor (4 units)' from 'T1 time unit (1 unit)'.</t>
  </si>
  <si>
    <t>(a) Keep TIME-/MOD- prefixes; (b) use another convention.</t>
  </si>
  <si>
    <t>Prefixed TIME-T1, TIME-T2, MOD-A1, MOD-A2, MOD-P1 in RVG Codes; master Fee Code keeps the printed code.</t>
  </si>
  <si>
    <t>RVG Codes – TIME-T1</t>
  </si>
  <si>
    <t>Q04</t>
  </si>
  <si>
    <t>Unit ranges</t>
  </si>
  <si>
    <t>Several codes print a range (e.g. H4 10-12, N4 10-14, A4 6-8, POC2a 4-6). Which value should the master use as base units?</t>
  </si>
  <si>
    <t>Column B and Basic Units show the lower bound, which may understate complex cases.</t>
  </si>
  <si>
    <t>(a) Lower bound; (b) midpoint; (c) upper bound; (d) case-by-case.</t>
  </si>
  <si>
    <t>Lower bound in Base Units, upper in Max Units; printed range in Notes.</t>
  </si>
  <si>
    <t>RVG Codes – H4</t>
  </si>
  <si>
    <t>Q05</t>
  </si>
  <si>
    <t>Match review</t>
  </si>
  <si>
    <t>456 Solutions Plus rows were matched to an RVG code by judgement (Match Basis = 'Description – likely'). Are these codes clinically correct?</t>
  </si>
  <si>
    <t>These drive column B base units; a wrong code means wrong reference units.</t>
  </si>
  <si>
    <t>Review and correct column A where needed, or confirm as-is.</t>
  </si>
  <si>
    <t>Tagged 'Description – likely' (editable).</t>
  </si>
  <si>
    <t>Master – first 'likely' row</t>
  </si>
  <si>
    <t>Q06</t>
  </si>
  <si>
    <t>Eye procedures (cataract, vitrectomy, squint etc.) were coded H6a (LA / eye block / GA over 2 years old). Should any be H6b (GA under 2 years)?</t>
  </si>
  <si>
    <t>H6b is 5 units vs 4 for H6a; depends on patient age, which isn't in the Solutions Plus list.</t>
  </si>
  <si>
    <t>(a) Keep H6a; (b) recode paediatric procedures (e.g. squint) to H6b.</t>
  </si>
  <si>
    <t>All coded H6a.</t>
  </si>
  <si>
    <t>Master – first H6a row</t>
  </si>
  <si>
    <t>Q07</t>
  </si>
  <si>
    <t>Colonoscopy / gastroscopy rows were coded E1 (sedation, 4 units). Should they be E2 (GA, 5 units)?</t>
  </si>
  <si>
    <t>Depends on whether the contract assumes sedation or GA.</t>
  </si>
  <si>
    <t>(a) Keep E1; (b) change to E2.</t>
  </si>
  <si>
    <t>Coded E1.</t>
  </si>
  <si>
    <t>Master – first E1 row</t>
  </si>
  <si>
    <t>Q08</t>
  </si>
  <si>
    <t>Circumcision rows were coded P1 (over 2 years old, 4 units). Should any be P2 (under 2 years old, 5 units)?</t>
  </si>
  <si>
    <t>Depends on patient age, which isn't in the Solutions Plus list.</t>
  </si>
  <si>
    <t>(a) Keep P1; (b) change to P2.</t>
  </si>
  <si>
    <t>Coded P1.</t>
  </si>
  <si>
    <t>Master – first circumcision row</t>
  </si>
  <si>
    <t>Q09</t>
  </si>
  <si>
    <t>Unmatched rows</t>
  </si>
  <si>
    <t>68 Solutions Plus rows have no RVG code (e.g. Bloods, Operating, EUA, ORIF, Return To Theatre, Iron Infusion, Botox). Assign a code or leave unmatched?</t>
  </si>
  <si>
    <t>Unmatched rows have no reference base units for comparison.</t>
  </si>
  <si>
    <t>Assign codes manually, or confirm they stay unmatched.</t>
  </si>
  <si>
    <t>Match Basis = 'Unmatched'; columns A–C blank.</t>
  </si>
  <si>
    <t>Master – first unmatched row</t>
  </si>
  <si>
    <t>Q10</t>
  </si>
  <si>
    <t>78 RVG codes (time/modifier codes plus procedures such as H6b, S4, CP1–CP6) have no Solutions Plus equivalent and sit at the bottom of the master. OK to leave them there?</t>
  </si>
  <si>
    <t>Keeps the full RVG in the master but lengthens it.</t>
  </si>
  <si>
    <t>(a) Keep at bottom; (b) remove from master (RVG Codes tab still holds them).</t>
  </si>
  <si>
    <t>At the bottom, Match Basis = 'Unmatched'.</t>
  </si>
  <si>
    <t>Master – first SRC-01 unmatched row</t>
  </si>
  <si>
    <t>Q11</t>
  </si>
  <si>
    <t>Possible print errors</t>
  </si>
  <si>
    <t>T5b is printed 'Sympathectomy Lobectomy/Wedge Resection' (8 units), repeating the T5d wording (14 units). H7's sub-code is printed 'A' rather than 'a'. Are these print errors?</t>
  </si>
  <si>
    <t>Descriptions are kept exactly as printed; a print error could cause wrong matching.</t>
  </si>
  <si>
    <t>Confirm the correct wording with NZSA, or leave as printed.</t>
  </si>
  <si>
    <t>Kept as printed; H7 sub-code stored as H7a.</t>
  </si>
  <si>
    <t>SRC-01 – T5b</t>
  </si>
  <si>
    <t>Source Link</t>
  </si>
  <si>
    <t>Go to S+ row 2</t>
  </si>
  <si>
    <t>Go to S+ row 3</t>
  </si>
  <si>
    <t>Go to S+ row 4</t>
  </si>
  <si>
    <t>Go to S+ row 5</t>
  </si>
  <si>
    <t>Go to S+ row 6</t>
  </si>
  <si>
    <t>Go to S+ row 7</t>
  </si>
  <si>
    <t>Go to S+ row 8</t>
  </si>
  <si>
    <t>Go to S+ row 9</t>
  </si>
  <si>
    <t>Go to S+ row 10</t>
  </si>
  <si>
    <t>Go to S+ row 11</t>
  </si>
  <si>
    <t>Go to S+ row 12</t>
  </si>
  <si>
    <t>Go to S+ row 13</t>
  </si>
  <si>
    <t>Go to S+ row 14</t>
  </si>
  <si>
    <t>Go to S+ row 15</t>
  </si>
  <si>
    <t>Go to S+ row 16</t>
  </si>
  <si>
    <t>Go to S+ row 17</t>
  </si>
  <si>
    <t>Go to S+ row 18</t>
  </si>
  <si>
    <t>Go to S+ row 19</t>
  </si>
  <si>
    <t>Go to S+ row 20</t>
  </si>
  <si>
    <t>Go to S+ row 21</t>
  </si>
  <si>
    <t>Go to S+ row 22</t>
  </si>
  <si>
    <t>Go to S+ row 23</t>
  </si>
  <si>
    <t>Go to S+ row 24</t>
  </si>
  <si>
    <t>Go to S+ row 25</t>
  </si>
  <si>
    <t>Go to S+ row 26</t>
  </si>
  <si>
    <t>Go to S+ row 27</t>
  </si>
  <si>
    <t>Go to S+ row 28</t>
  </si>
  <si>
    <t>Go to S+ row 29</t>
  </si>
  <si>
    <t>Go to S+ row 30</t>
  </si>
  <si>
    <t>Go to S+ row 31</t>
  </si>
  <si>
    <t>Go to S+ row 32</t>
  </si>
  <si>
    <t>Go to S+ row 33</t>
  </si>
  <si>
    <t>Go to S+ row 34</t>
  </si>
  <si>
    <t>Go to S+ row 35</t>
  </si>
  <si>
    <t>Go to S+ row 36</t>
  </si>
  <si>
    <t>Go to S+ row 37</t>
  </si>
  <si>
    <t>Go to S+ row 38</t>
  </si>
  <si>
    <t>Go to S+ row 39</t>
  </si>
  <si>
    <t>Go to S+ row 40</t>
  </si>
  <si>
    <t>Go to S+ row 41</t>
  </si>
  <si>
    <t>Go to S+ row 42</t>
  </si>
  <si>
    <t>Go to S+ row 43</t>
  </si>
  <si>
    <t>Go to S+ row 44</t>
  </si>
  <si>
    <t>Go to S+ row 45</t>
  </si>
  <si>
    <t>Go to S+ row 46</t>
  </si>
  <si>
    <t>Go to S+ row 47</t>
  </si>
  <si>
    <t>Go to S+ row 48</t>
  </si>
  <si>
    <t>Go to S+ row 49</t>
  </si>
  <si>
    <t>Go to S+ row 50</t>
  </si>
  <si>
    <t>Go to S+ row 51</t>
  </si>
  <si>
    <t>Go to S+ row 52</t>
  </si>
  <si>
    <t>Go to S+ row 53</t>
  </si>
  <si>
    <t>Go to S+ row 54</t>
  </si>
  <si>
    <t>Go to S+ row 55</t>
  </si>
  <si>
    <t>Go to S+ row 56</t>
  </si>
  <si>
    <t>Go to S+ row 57</t>
  </si>
  <si>
    <t>Go to S+ row 58</t>
  </si>
  <si>
    <t>Go to SRC-01 row 44</t>
  </si>
  <si>
    <t>Go to S+ row 59</t>
  </si>
  <si>
    <t>Go to S+ row 60</t>
  </si>
  <si>
    <t>Go to S+ row 61</t>
  </si>
  <si>
    <t>Go to S+ row 62</t>
  </si>
  <si>
    <t>Go to S+ row 63</t>
  </si>
  <si>
    <t>Go to S+ row 64</t>
  </si>
  <si>
    <t>Go to S+ row 65</t>
  </si>
  <si>
    <t>Go to S+ row 66</t>
  </si>
  <si>
    <t>Go to S+ row 67</t>
  </si>
  <si>
    <t>Go to S+ row 68</t>
  </si>
  <si>
    <t>Go to S+ row 69</t>
  </si>
  <si>
    <t>Go to S+ row 70</t>
  </si>
  <si>
    <t>Go to S+ row 71</t>
  </si>
  <si>
    <t>Go to S+ row 72</t>
  </si>
  <si>
    <t>Go to S+ row 73</t>
  </si>
  <si>
    <t>Go to S+ row 74</t>
  </si>
  <si>
    <t>Go to S+ row 75</t>
  </si>
  <si>
    <t>Go to S+ row 76</t>
  </si>
  <si>
    <t>Go to S+ row 77</t>
  </si>
  <si>
    <t>Go to S+ row 78</t>
  </si>
  <si>
    <t>Go to S+ row 79</t>
  </si>
  <si>
    <t>Go to S+ row 80</t>
  </si>
  <si>
    <t>Go to S+ row 81</t>
  </si>
  <si>
    <t>Go to S+ row 82</t>
  </si>
  <si>
    <t>Go to S+ row 83</t>
  </si>
  <si>
    <t>Go to S+ row 84</t>
  </si>
  <si>
    <t>Go to S+ row 85</t>
  </si>
  <si>
    <t>Go to S+ row 86</t>
  </si>
  <si>
    <t>Go to S+ row 87</t>
  </si>
  <si>
    <t>Go to S+ row 88</t>
  </si>
  <si>
    <t>Go to S+ row 89</t>
  </si>
  <si>
    <t>Go to S+ row 90</t>
  </si>
  <si>
    <t>Go to S+ row 91</t>
  </si>
  <si>
    <t>Go to S+ row 92</t>
  </si>
  <si>
    <t>Go to S+ row 93</t>
  </si>
  <si>
    <t>Go to S+ row 94</t>
  </si>
  <si>
    <t>Go to S+ row 95</t>
  </si>
  <si>
    <t>Go to S+ row 96</t>
  </si>
  <si>
    <t>Go to S+ row 97</t>
  </si>
  <si>
    <t>Go to S+ row 98</t>
  </si>
  <si>
    <t>Go to S+ row 99</t>
  </si>
  <si>
    <t>Go to S+ row 100</t>
  </si>
  <si>
    <t>Go to S+ row 101</t>
  </si>
  <si>
    <t>Go to S+ row 102</t>
  </si>
  <si>
    <t>Go to S+ row 103</t>
  </si>
  <si>
    <t>Go to S+ row 104</t>
  </si>
  <si>
    <t>Go to S+ row 105</t>
  </si>
  <si>
    <t>Go to S+ row 106</t>
  </si>
  <si>
    <t>Go to S+ row 107</t>
  </si>
  <si>
    <t>Go to S+ row 108</t>
  </si>
  <si>
    <t>Go to S+ row 109</t>
  </si>
  <si>
    <t>Go to S+ row 110</t>
  </si>
  <si>
    <t>Go to S+ row 111</t>
  </si>
  <si>
    <t>Go to S+ row 112</t>
  </si>
  <si>
    <t>Go to S+ row 113</t>
  </si>
  <si>
    <t>Go to S+ row 114</t>
  </si>
  <si>
    <t>Go to S+ row 115</t>
  </si>
  <si>
    <t>Go to S+ row 116</t>
  </si>
  <si>
    <t>Go to S+ row 117</t>
  </si>
  <si>
    <t>Go to S+ row 118</t>
  </si>
  <si>
    <t>Go to S+ row 119</t>
  </si>
  <si>
    <t>Go to S+ row 120</t>
  </si>
  <si>
    <t>Go to S+ row 121</t>
  </si>
  <si>
    <t>Go to S+ row 122</t>
  </si>
  <si>
    <t>Go to S+ row 123</t>
  </si>
  <si>
    <t>Go to S+ row 124</t>
  </si>
  <si>
    <t>Go to S+ row 125</t>
  </si>
  <si>
    <t>Go to S+ row 126</t>
  </si>
  <si>
    <t>Go to S+ row 127</t>
  </si>
  <si>
    <t>Go to S+ row 128</t>
  </si>
  <si>
    <t>Go to S+ row 129</t>
  </si>
  <si>
    <t>Go to S+ row 130</t>
  </si>
  <si>
    <t>Go to S+ row 131</t>
  </si>
  <si>
    <t>Go to S+ row 132</t>
  </si>
  <si>
    <t>Go to S+ row 133</t>
  </si>
  <si>
    <t>Go to S+ row 134</t>
  </si>
  <si>
    <t>Go to S+ row 135</t>
  </si>
  <si>
    <t>Go to S+ row 136</t>
  </si>
  <si>
    <t>Go to S+ row 137</t>
  </si>
  <si>
    <t>Go to S+ row 138</t>
  </si>
  <si>
    <t>Go to S+ row 139</t>
  </si>
  <si>
    <t>Go to S+ row 140</t>
  </si>
  <si>
    <t>Go to S+ row 141</t>
  </si>
  <si>
    <t>Go to S+ row 142</t>
  </si>
  <si>
    <t>Go to S+ row 143</t>
  </si>
  <si>
    <t>Go to S+ row 144</t>
  </si>
  <si>
    <t>Go to S+ row 145</t>
  </si>
  <si>
    <t>Go to S+ row 146</t>
  </si>
  <si>
    <t>Go to S+ row 147</t>
  </si>
  <si>
    <t>Go to S+ row 148</t>
  </si>
  <si>
    <t>Go to S+ row 149</t>
  </si>
  <si>
    <t>Go to SRC-01 row 101</t>
  </si>
  <si>
    <t>Go to S+ row 150</t>
  </si>
  <si>
    <t>Go to S+ row 151</t>
  </si>
  <si>
    <t>Go to S+ row 152</t>
  </si>
  <si>
    <t>Go to S+ row 153</t>
  </si>
  <si>
    <t>Go to S+ row 154</t>
  </si>
  <si>
    <t>Go to S+ row 155</t>
  </si>
  <si>
    <t>Go to S+ row 156</t>
  </si>
  <si>
    <t>Go to S+ row 157</t>
  </si>
  <si>
    <t>Go to S+ row 158</t>
  </si>
  <si>
    <t>Go to S+ row 159</t>
  </si>
  <si>
    <t>Go to S+ row 160</t>
  </si>
  <si>
    <t>Go to S+ row 161</t>
  </si>
  <si>
    <t>Go to S+ row 162</t>
  </si>
  <si>
    <t>Go to S+ row 163</t>
  </si>
  <si>
    <t>Go to S+ row 164</t>
  </si>
  <si>
    <t>Go to SRC-01 row 51</t>
  </si>
  <si>
    <t>Go to S+ row 165</t>
  </si>
  <si>
    <t>Go to S+ row 166</t>
  </si>
  <si>
    <t>Go to S+ row 167</t>
  </si>
  <si>
    <t>Go to S+ row 168</t>
  </si>
  <si>
    <t>Go to S+ row 169</t>
  </si>
  <si>
    <t>Go to S+ row 170</t>
  </si>
  <si>
    <t>Go to S+ row 171</t>
  </si>
  <si>
    <t>Go to S+ row 172</t>
  </si>
  <si>
    <t>Go to S+ row 173</t>
  </si>
  <si>
    <t>Go to S+ row 174</t>
  </si>
  <si>
    <t>Go to S+ row 175</t>
  </si>
  <si>
    <t>Go to S+ row 176</t>
  </si>
  <si>
    <t>Go to S+ row 177</t>
  </si>
  <si>
    <t>Go to S+ row 178</t>
  </si>
  <si>
    <t>Go to S+ row 179</t>
  </si>
  <si>
    <t>Go to S+ row 180</t>
  </si>
  <si>
    <t>Go to S+ row 181</t>
  </si>
  <si>
    <t>Go to S+ row 182</t>
  </si>
  <si>
    <t>Go to S+ row 183</t>
  </si>
  <si>
    <t>Go to S+ row 184</t>
  </si>
  <si>
    <t>Go to S+ row 185</t>
  </si>
  <si>
    <t>Go to S+ row 186</t>
  </si>
  <si>
    <t>Go to S+ row 187</t>
  </si>
  <si>
    <t>Go to S+ row 188</t>
  </si>
  <si>
    <t>Go to S+ row 189</t>
  </si>
  <si>
    <t>Go to S+ row 190</t>
  </si>
  <si>
    <t>Go to S+ row 191</t>
  </si>
  <si>
    <t>Go to S+ row 192</t>
  </si>
  <si>
    <t>Go to S+ row 193</t>
  </si>
  <si>
    <t>Go to S+ row 194</t>
  </si>
  <si>
    <t>Go to S+ row 195</t>
  </si>
  <si>
    <t>Go to S+ row 196</t>
  </si>
  <si>
    <t>Go to S+ row 197</t>
  </si>
  <si>
    <t>Go to S+ row 198</t>
  </si>
  <si>
    <t>Go to S+ row 199</t>
  </si>
  <si>
    <t>Go to S+ row 200</t>
  </si>
  <si>
    <t>Go to S+ row 201</t>
  </si>
  <si>
    <t>Go to S+ row 202</t>
  </si>
  <si>
    <t>Go to S+ row 203</t>
  </si>
  <si>
    <t>Go to S+ row 204</t>
  </si>
  <si>
    <t>Go to S+ row 205</t>
  </si>
  <si>
    <t>Go to S+ row 206</t>
  </si>
  <si>
    <t>Go to S+ row 207</t>
  </si>
  <si>
    <t>Go to S+ row 208</t>
  </si>
  <si>
    <t>Go to S+ row 209</t>
  </si>
  <si>
    <t>Go to S+ row 210</t>
  </si>
  <si>
    <t>Go to S+ row 211</t>
  </si>
  <si>
    <t>Go to SRC-01 row 147</t>
  </si>
  <si>
    <t>Go to S+ row 212</t>
  </si>
  <si>
    <t>Go to S+ row 213</t>
  </si>
  <si>
    <t>Go to S+ row 214</t>
  </si>
  <si>
    <t>Go to S+ row 215</t>
  </si>
  <si>
    <t>Go to S+ row 216</t>
  </si>
  <si>
    <t>Go to S+ row 217</t>
  </si>
  <si>
    <t>Go to S+ row 218</t>
  </si>
  <si>
    <t>Go to S+ row 219</t>
  </si>
  <si>
    <t>Go to SRC-01 row 18</t>
  </si>
  <si>
    <t>Go to S+ row 220</t>
  </si>
  <si>
    <t>Go to S+ row 221</t>
  </si>
  <si>
    <t>Go to S+ row 222</t>
  </si>
  <si>
    <t>Go to S+ row 223</t>
  </si>
  <si>
    <t>Go to SRC-01 row 150</t>
  </si>
  <si>
    <t>Go to S+ row 224</t>
  </si>
  <si>
    <t>Go to SRC-01 row 152</t>
  </si>
  <si>
    <t>Go to S+ row 225</t>
  </si>
  <si>
    <t>Go to S+ row 226</t>
  </si>
  <si>
    <t>Go to S+ row 227</t>
  </si>
  <si>
    <t>Go to S+ row 228</t>
  </si>
  <si>
    <t>Go to S+ row 229</t>
  </si>
  <si>
    <t>Go to S+ row 230</t>
  </si>
  <si>
    <t>Go to S+ row 231</t>
  </si>
  <si>
    <t>Go to S+ row 232</t>
  </si>
  <si>
    <t>Go to S+ row 233</t>
  </si>
  <si>
    <t>Go to S+ row 234</t>
  </si>
  <si>
    <t>Go to SRC-01 row 50</t>
  </si>
  <si>
    <t>Go to S+ row 235</t>
  </si>
  <si>
    <t>Go to S+ row 236</t>
  </si>
  <si>
    <t>Go to S+ row 237</t>
  </si>
  <si>
    <t>Go to S+ row 238</t>
  </si>
  <si>
    <t>Go to S+ row 239</t>
  </si>
  <si>
    <t>Go to S+ row 240</t>
  </si>
  <si>
    <t>Go to S+ row 241</t>
  </si>
  <si>
    <t>Go to S+ row 242</t>
  </si>
  <si>
    <t>Go to S+ row 243</t>
  </si>
  <si>
    <t>Go to S+ row 244</t>
  </si>
  <si>
    <t>Go to S+ row 245</t>
  </si>
  <si>
    <t>Go to S+ row 246</t>
  </si>
  <si>
    <t>Go to S+ row 247</t>
  </si>
  <si>
    <t>Go to S+ row 248</t>
  </si>
  <si>
    <t>Go to S+ row 249</t>
  </si>
  <si>
    <t>Go to S+ row 250</t>
  </si>
  <si>
    <t>Go to S+ row 251</t>
  </si>
  <si>
    <t>Go to S+ row 252</t>
  </si>
  <si>
    <t>Go to S+ row 253</t>
  </si>
  <si>
    <t>Go to S+ row 254</t>
  </si>
  <si>
    <t>Go to S+ row 255</t>
  </si>
  <si>
    <t>Go to S+ row 256</t>
  </si>
  <si>
    <t>Go to S+ row 257</t>
  </si>
  <si>
    <t>Go to S+ row 258</t>
  </si>
  <si>
    <t>Go to S+ row 259</t>
  </si>
  <si>
    <t>Go to S+ row 260</t>
  </si>
  <si>
    <t>Go to S+ row 261</t>
  </si>
  <si>
    <t>Go to S+ row 262</t>
  </si>
  <si>
    <t>Go to S+ row 263</t>
  </si>
  <si>
    <t>Go to S+ row 264</t>
  </si>
  <si>
    <t>Go to S+ row 265</t>
  </si>
  <si>
    <t>Go to S+ row 266</t>
  </si>
  <si>
    <t>Go to S+ row 267</t>
  </si>
  <si>
    <t>Go to S+ row 268</t>
  </si>
  <si>
    <t>Go to S+ row 269</t>
  </si>
  <si>
    <t>Go to S+ row 270</t>
  </si>
  <si>
    <t>Go to SRC-01 row 90</t>
  </si>
  <si>
    <t>Go to S+ row 271</t>
  </si>
  <si>
    <t>Go to S+ row 272</t>
  </si>
  <si>
    <t>Go to S+ row 273</t>
  </si>
  <si>
    <t>Go to S+ row 274</t>
  </si>
  <si>
    <t>Go to S+ row 275</t>
  </si>
  <si>
    <t>Go to S+ row 276</t>
  </si>
  <si>
    <t>Go to S+ row 277</t>
  </si>
  <si>
    <t>Go to S+ row 278</t>
  </si>
  <si>
    <t>Go to S+ row 279</t>
  </si>
  <si>
    <t>Go to S+ row 280</t>
  </si>
  <si>
    <t>Go to S+ row 281</t>
  </si>
  <si>
    <t>Go to S+ row 282</t>
  </si>
  <si>
    <t>Go to S+ row 283</t>
  </si>
  <si>
    <t>Go to S+ row 284</t>
  </si>
  <si>
    <t>Go to S+ row 285</t>
  </si>
  <si>
    <t>Go to S+ row 286</t>
  </si>
  <si>
    <t>Go to S+ row 287</t>
  </si>
  <si>
    <t>Go to S+ row 288</t>
  </si>
  <si>
    <t>Go to S+ row 289</t>
  </si>
  <si>
    <t>Go to S+ row 290</t>
  </si>
  <si>
    <t>Go to S+ row 291</t>
  </si>
  <si>
    <t>Go to S+ row 292</t>
  </si>
  <si>
    <t>Go to S+ row 293</t>
  </si>
  <si>
    <t>Go to S+ row 294</t>
  </si>
  <si>
    <t>Go to S+ row 295</t>
  </si>
  <si>
    <t>Go to S+ row 296</t>
  </si>
  <si>
    <t>Go to S+ row 297</t>
  </si>
  <si>
    <t>Go to S+ row 298</t>
  </si>
  <si>
    <t>Go to S+ row 299</t>
  </si>
  <si>
    <t>Go to S+ row 300</t>
  </si>
  <si>
    <t>Go to S+ row 301</t>
  </si>
  <si>
    <t>Go to S+ row 302</t>
  </si>
  <si>
    <t>Go to S+ row 303</t>
  </si>
  <si>
    <t>Go to S+ row 304</t>
  </si>
  <si>
    <t>Go to S+ row 305</t>
  </si>
  <si>
    <t>Go to S+ row 306</t>
  </si>
  <si>
    <t>Go to S+ row 307</t>
  </si>
  <si>
    <t>Go to S+ row 308</t>
  </si>
  <si>
    <t>Go to S+ row 309</t>
  </si>
  <si>
    <t>Go to S+ row 310</t>
  </si>
  <si>
    <t>Go to S+ row 311</t>
  </si>
  <si>
    <t>Go to S+ row 312</t>
  </si>
  <si>
    <t>Go to S+ row 313</t>
  </si>
  <si>
    <t>Go to S+ row 314</t>
  </si>
  <si>
    <t>Go to S+ row 315</t>
  </si>
  <si>
    <t>Go to SRC-01 row 32</t>
  </si>
  <si>
    <t>Go to S+ row 316</t>
  </si>
  <si>
    <t>Go to S+ row 317</t>
  </si>
  <si>
    <t>Go to S+ row 318</t>
  </si>
  <si>
    <t>Go to S+ row 319</t>
  </si>
  <si>
    <t>Go to S+ row 320</t>
  </si>
  <si>
    <t>Go to S+ row 321</t>
  </si>
  <si>
    <t>Go to S+ row 322</t>
  </si>
  <si>
    <t>Go to S+ row 323</t>
  </si>
  <si>
    <t>Go to S+ row 324</t>
  </si>
  <si>
    <t>Go to S+ row 325</t>
  </si>
  <si>
    <t>Go to S+ row 326</t>
  </si>
  <si>
    <t>Go to S+ row 327</t>
  </si>
  <si>
    <t>Go to S+ row 328</t>
  </si>
  <si>
    <t>Go to S+ row 329</t>
  </si>
  <si>
    <t>Go to S+ row 330</t>
  </si>
  <si>
    <t>Go to S+ row 331</t>
  </si>
  <si>
    <t>Go to S+ row 332</t>
  </si>
  <si>
    <t>Go to S+ row 333</t>
  </si>
  <si>
    <t>Go to S+ row 334</t>
  </si>
  <si>
    <t>Go to S+ row 335</t>
  </si>
  <si>
    <t>Go to S+ row 336</t>
  </si>
  <si>
    <t>Go to S+ row 337</t>
  </si>
  <si>
    <t>Go to S+ row 338</t>
  </si>
  <si>
    <t>Go to S+ row 339</t>
  </si>
  <si>
    <t>Go to S+ row 340</t>
  </si>
  <si>
    <t>Go to S+ row 341</t>
  </si>
  <si>
    <t>Go to S+ row 342</t>
  </si>
  <si>
    <t>Go to S+ row 343</t>
  </si>
  <si>
    <t>Go to S+ row 344</t>
  </si>
  <si>
    <t>Go to S+ row 345</t>
  </si>
  <si>
    <t>Go to S+ row 346</t>
  </si>
  <si>
    <t>Go to S+ row 347</t>
  </si>
  <si>
    <t>Go to S+ row 348</t>
  </si>
  <si>
    <t>Go to S+ row 349</t>
  </si>
  <si>
    <t>Go to S+ row 350</t>
  </si>
  <si>
    <t>Go to S+ row 351</t>
  </si>
  <si>
    <t>Go to S+ row 352</t>
  </si>
  <si>
    <t>Go to S+ row 353</t>
  </si>
  <si>
    <t>Go to S+ row 354</t>
  </si>
  <si>
    <t>Go to S+ row 355</t>
  </si>
  <si>
    <t>Go to S+ row 356</t>
  </si>
  <si>
    <t>Go to S+ row 357</t>
  </si>
  <si>
    <t>Go to S+ row 358</t>
  </si>
  <si>
    <t>Go to S+ row 359</t>
  </si>
  <si>
    <t>Go to S+ row 360</t>
  </si>
  <si>
    <t>Go to S+ row 361</t>
  </si>
  <si>
    <t>Go to S+ row 362</t>
  </si>
  <si>
    <t>Go to S+ row 363</t>
  </si>
  <si>
    <t>Go to S+ row 364</t>
  </si>
  <si>
    <t>Go to S+ row 365</t>
  </si>
  <si>
    <t>Go to S+ row 366</t>
  </si>
  <si>
    <t>Go to S+ row 367</t>
  </si>
  <si>
    <t>Go to S+ row 368</t>
  </si>
  <si>
    <t>Go to S+ row 369</t>
  </si>
  <si>
    <t>Go to S+ row 370</t>
  </si>
  <si>
    <t>Go to S+ row 371</t>
  </si>
  <si>
    <t>Go to S+ row 372</t>
  </si>
  <si>
    <t>Go to S+ row 373</t>
  </si>
  <si>
    <t>Go to S+ row 374</t>
  </si>
  <si>
    <t>Go to S+ row 375</t>
  </si>
  <si>
    <t>Go to S+ row 376</t>
  </si>
  <si>
    <t>Go to S+ row 377</t>
  </si>
  <si>
    <t>Go to S+ row 378</t>
  </si>
  <si>
    <t>Go to S+ row 379</t>
  </si>
  <si>
    <t>Go to SRC-01 row 60</t>
  </si>
  <si>
    <t>Go to S+ row 380</t>
  </si>
  <si>
    <t>Go to S+ row 381</t>
  </si>
  <si>
    <t>Go to S+ row 382</t>
  </si>
  <si>
    <t>Go to S+ row 383</t>
  </si>
  <si>
    <t>Go to S+ row 384</t>
  </si>
  <si>
    <t>Go to S+ row 385</t>
  </si>
  <si>
    <t>Go to S+ row 386</t>
  </si>
  <si>
    <t>Go to S+ row 387</t>
  </si>
  <si>
    <t>Go to S+ row 388</t>
  </si>
  <si>
    <t>Go to S+ row 389</t>
  </si>
  <si>
    <t>Go to S+ row 390</t>
  </si>
  <si>
    <t>Go to S+ row 391</t>
  </si>
  <si>
    <t>Go to S+ row 392</t>
  </si>
  <si>
    <t>Go to S+ row 393</t>
  </si>
  <si>
    <t>Go to S+ row 394</t>
  </si>
  <si>
    <t>Go to S+ row 395</t>
  </si>
  <si>
    <t>Go to S+ row 396</t>
  </si>
  <si>
    <t>Go to S+ row 397</t>
  </si>
  <si>
    <t>Go to S+ row 398</t>
  </si>
  <si>
    <t>Go to S+ row 399</t>
  </si>
  <si>
    <t>Go to S+ row 400</t>
  </si>
  <si>
    <t>Go to S+ row 401</t>
  </si>
  <si>
    <t>Go to S+ row 402</t>
  </si>
  <si>
    <t>Go to S+ row 403</t>
  </si>
  <si>
    <t>Go to S+ row 404</t>
  </si>
  <si>
    <t>Go to S+ row 405</t>
  </si>
  <si>
    <t>Go to S+ row 406</t>
  </si>
  <si>
    <t>Go to S+ row 407</t>
  </si>
  <si>
    <t>Go to S+ row 408</t>
  </si>
  <si>
    <t>Go to S+ row 409</t>
  </si>
  <si>
    <t>Go to S+ row 410</t>
  </si>
  <si>
    <t>Go to S+ row 411</t>
  </si>
  <si>
    <t>Go to S+ row 412</t>
  </si>
  <si>
    <t>Go to S+ row 413</t>
  </si>
  <si>
    <t>Go to S+ row 414</t>
  </si>
  <si>
    <t>Go to S+ row 415</t>
  </si>
  <si>
    <t>Go to S+ row 416</t>
  </si>
  <si>
    <t>Go to S+ row 417</t>
  </si>
  <si>
    <t>Go to S+ row 418</t>
  </si>
  <si>
    <t>Go to S+ row 419</t>
  </si>
  <si>
    <t>Go to S+ row 420</t>
  </si>
  <si>
    <t>Go to S+ row 421</t>
  </si>
  <si>
    <t>Go to S+ row 422</t>
  </si>
  <si>
    <t>Go to S+ row 423</t>
  </si>
  <si>
    <t>Go to S+ row 424</t>
  </si>
  <si>
    <t>Go to S+ row 425</t>
  </si>
  <si>
    <t>Go to S+ row 426</t>
  </si>
  <si>
    <t>Go to S+ row 427</t>
  </si>
  <si>
    <t>Go to S+ row 428</t>
  </si>
  <si>
    <t>Go to S+ row 429</t>
  </si>
  <si>
    <t>Go to S+ row 430</t>
  </si>
  <si>
    <t>Go to S+ row 431</t>
  </si>
  <si>
    <t>Go to S+ row 432</t>
  </si>
  <si>
    <t>Go to S+ row 433</t>
  </si>
  <si>
    <t>Go to S+ row 434</t>
  </si>
  <si>
    <t>Go to S+ row 435</t>
  </si>
  <si>
    <t>Go to S+ row 436</t>
  </si>
  <si>
    <t>Go to S+ row 437</t>
  </si>
  <si>
    <t>Go to S+ row 438</t>
  </si>
  <si>
    <t>Go to S+ row 439</t>
  </si>
  <si>
    <t>Go to S+ row 440</t>
  </si>
  <si>
    <t>Go to S+ row 441</t>
  </si>
  <si>
    <t>Go to S+ row 442</t>
  </si>
  <si>
    <t>Go to S+ row 443</t>
  </si>
  <si>
    <t>Go to S+ row 444</t>
  </si>
  <si>
    <t>Go to S+ row 445</t>
  </si>
  <si>
    <t>Go to S+ row 446</t>
  </si>
  <si>
    <t>Go to S+ row 447</t>
  </si>
  <si>
    <t>Go to S+ row 448</t>
  </si>
  <si>
    <t>Go to S+ row 449</t>
  </si>
  <si>
    <t>Go to S+ row 450</t>
  </si>
  <si>
    <t>Go to S+ row 451</t>
  </si>
  <si>
    <t>Go to S+ row 452</t>
  </si>
  <si>
    <t>Go to S+ row 453</t>
  </si>
  <si>
    <t>Go to S+ row 454</t>
  </si>
  <si>
    <t>Go to S+ row 455</t>
  </si>
  <si>
    <t>Go to S+ row 456</t>
  </si>
  <si>
    <t>Go to S+ row 457</t>
  </si>
  <si>
    <t>Go to S+ row 458</t>
  </si>
  <si>
    <t>Go to S+ row 459</t>
  </si>
  <si>
    <t>Go to S+ row 460</t>
  </si>
  <si>
    <t>Go to S+ row 461</t>
  </si>
  <si>
    <t>Go to S+ row 462</t>
  </si>
  <si>
    <t>Go to S+ row 463</t>
  </si>
  <si>
    <t>Go to S+ row 464</t>
  </si>
  <si>
    <t>Go to S+ row 465</t>
  </si>
  <si>
    <t>Go to S+ row 466</t>
  </si>
  <si>
    <t>Go to S+ row 467</t>
  </si>
  <si>
    <t>Go to S+ row 468</t>
  </si>
  <si>
    <t>Go to S+ row 469</t>
  </si>
  <si>
    <t>Go to S+ row 470</t>
  </si>
  <si>
    <t>Go to S+ row 471</t>
  </si>
  <si>
    <t>Go to S+ row 472</t>
  </si>
  <si>
    <t>Go to S+ row 473</t>
  </si>
  <si>
    <t>Go to S+ row 474</t>
  </si>
  <si>
    <t>Go to S+ row 475</t>
  </si>
  <si>
    <t>Go to S+ row 476</t>
  </si>
  <si>
    <t>Go to S+ row 477</t>
  </si>
  <si>
    <t>Go to S+ row 478</t>
  </si>
  <si>
    <t>Go to S+ row 479</t>
  </si>
  <si>
    <t>Go to S+ row 480</t>
  </si>
  <si>
    <t>Go to S+ row 481</t>
  </si>
  <si>
    <t>Go to S+ row 482</t>
  </si>
  <si>
    <t>Go to S+ row 483</t>
  </si>
  <si>
    <t>Go to S+ row 484</t>
  </si>
  <si>
    <t>Go to S+ row 485</t>
  </si>
  <si>
    <t>Go to S+ row 486</t>
  </si>
  <si>
    <t>Go to S+ row 487</t>
  </si>
  <si>
    <t>Go to S+ row 488</t>
  </si>
  <si>
    <t>Go to S+ row 489</t>
  </si>
  <si>
    <t>Go to S+ row 490</t>
  </si>
  <si>
    <t>Go to SRC-01 row 71</t>
  </si>
  <si>
    <t>Go to S+ row 491</t>
  </si>
  <si>
    <t>Go to S+ row 492</t>
  </si>
  <si>
    <t>Go to S+ row 493</t>
  </si>
  <si>
    <t>Go to S+ row 494</t>
  </si>
  <si>
    <t>Go to S+ row 495</t>
  </si>
  <si>
    <t>Go to S+ row 496</t>
  </si>
  <si>
    <t>Go to S+ row 497</t>
  </si>
  <si>
    <t>Go to S+ row 498</t>
  </si>
  <si>
    <t>Go to S+ row 499</t>
  </si>
  <si>
    <t>Go to S+ row 500</t>
  </si>
  <si>
    <t>Go to S+ row 501</t>
  </si>
  <si>
    <t>Go to S+ row 502</t>
  </si>
  <si>
    <t>Go to S+ row 503</t>
  </si>
  <si>
    <t>Go to S+ row 504</t>
  </si>
  <si>
    <t>Go to S+ row 505</t>
  </si>
  <si>
    <t>Go to S+ row 506</t>
  </si>
  <si>
    <t>Go to S+ row 507</t>
  </si>
  <si>
    <t>Go to S+ row 508</t>
  </si>
  <si>
    <t>Go to S+ row 509</t>
  </si>
  <si>
    <t>Go to S+ row 510</t>
  </si>
  <si>
    <t>Go to SRC-01 row 57</t>
  </si>
  <si>
    <t>Go to S+ row 511</t>
  </si>
  <si>
    <t>Go to S+ row 512</t>
  </si>
  <si>
    <t>Go to S+ row 513</t>
  </si>
  <si>
    <t>Go to S+ row 514</t>
  </si>
  <si>
    <t>Go to S+ row 515</t>
  </si>
  <si>
    <t>Go to S+ row 516</t>
  </si>
  <si>
    <t>Go to S+ row 517</t>
  </si>
  <si>
    <t>Go to S+ row 518</t>
  </si>
  <si>
    <t>Go to S+ row 519</t>
  </si>
  <si>
    <t>Go to S+ row 520</t>
  </si>
  <si>
    <t>Go to SRC-01 row 26</t>
  </si>
  <si>
    <t>Go to S+ row 521</t>
  </si>
  <si>
    <t>Go to S+ row 522</t>
  </si>
  <si>
    <t>Go to S+ row 523</t>
  </si>
  <si>
    <t>Go to S+ row 524</t>
  </si>
  <si>
    <t>Go to S+ row 525</t>
  </si>
  <si>
    <t>Go to S+ row 526</t>
  </si>
  <si>
    <t>Go to S+ row 527</t>
  </si>
  <si>
    <t>Go to S+ row 528</t>
  </si>
  <si>
    <t>Go to S+ row 529</t>
  </si>
  <si>
    <t>Go to SRC-01 row 36</t>
  </si>
  <si>
    <t>Go to S+ row 530</t>
  </si>
  <si>
    <t>Go to S+ row 531</t>
  </si>
  <si>
    <t>Go to S+ row 532</t>
  </si>
  <si>
    <t>Go to S+ row 533</t>
  </si>
  <si>
    <t>Go to S+ row 534</t>
  </si>
  <si>
    <t>Go to S+ row 535</t>
  </si>
  <si>
    <t>Go to S+ row 536</t>
  </si>
  <si>
    <t>Go to S+ row 537</t>
  </si>
  <si>
    <t>Go to S+ row 538</t>
  </si>
  <si>
    <t>Go to S+ row 539</t>
  </si>
  <si>
    <t>Go to S+ row 540</t>
  </si>
  <si>
    <t>Go to S+ row 541</t>
  </si>
  <si>
    <t>Go to S+ row 542</t>
  </si>
  <si>
    <t>Go to S+ row 543</t>
  </si>
  <si>
    <t>Go to S+ row 544</t>
  </si>
  <si>
    <t>Go to S+ row 545</t>
  </si>
  <si>
    <t>Go to S+ row 546</t>
  </si>
  <si>
    <t>Go to S+ row 547</t>
  </si>
  <si>
    <t>Go to S+ row 548</t>
  </si>
  <si>
    <t>Go to S+ row 549</t>
  </si>
  <si>
    <t>Go to S+ row 550</t>
  </si>
  <si>
    <t>Go to S+ row 551</t>
  </si>
  <si>
    <t>Go to S+ row 552</t>
  </si>
  <si>
    <t>Go to S+ row 553</t>
  </si>
  <si>
    <t>Go to S+ row 554</t>
  </si>
  <si>
    <t>Go to S+ row 555</t>
  </si>
  <si>
    <t>Go to S+ row 556</t>
  </si>
  <si>
    <t>Go to S+ row 557</t>
  </si>
  <si>
    <t>Go to S+ row 558</t>
  </si>
  <si>
    <t>Go to S+ row 559</t>
  </si>
  <si>
    <t>Go to S+ row 560</t>
  </si>
  <si>
    <t>Go to S+ row 561</t>
  </si>
  <si>
    <t>Go to S+ row 562</t>
  </si>
  <si>
    <t>Go to S+ row 563</t>
  </si>
  <si>
    <t>Go to S+ row 564</t>
  </si>
  <si>
    <t>Go to S+ row 565</t>
  </si>
  <si>
    <t>Go to S+ row 566</t>
  </si>
  <si>
    <t>Go to S+ row 567</t>
  </si>
  <si>
    <t>Go to S+ row 568</t>
  </si>
  <si>
    <t>Go to S+ row 569</t>
  </si>
  <si>
    <t>Go to S+ row 570</t>
  </si>
  <si>
    <t>Go to S+ row 571</t>
  </si>
  <si>
    <t>Go to S+ row 572</t>
  </si>
  <si>
    <t>Go to S+ row 573</t>
  </si>
  <si>
    <t>Go to S+ row 574</t>
  </si>
  <si>
    <t>Go to S+ row 575</t>
  </si>
  <si>
    <t>Go to S+ row 576</t>
  </si>
  <si>
    <t>Go to S+ row 577</t>
  </si>
  <si>
    <t>Go to S+ row 578</t>
  </si>
  <si>
    <t>Go to S+ row 579</t>
  </si>
  <si>
    <t>Go to S+ row 580</t>
  </si>
  <si>
    <t>Go to S+ row 581</t>
  </si>
  <si>
    <t>Go to S+ row 582</t>
  </si>
  <si>
    <t>Go to S+ row 583</t>
  </si>
  <si>
    <t>Go to S+ row 584</t>
  </si>
  <si>
    <t>Go to S+ row 585</t>
  </si>
  <si>
    <t>Go to S+ row 586</t>
  </si>
  <si>
    <t>Go to S+ row 587</t>
  </si>
  <si>
    <t>Go to S+ row 588</t>
  </si>
  <si>
    <t>Go to S+ row 589</t>
  </si>
  <si>
    <t>Go to S+ row 590</t>
  </si>
  <si>
    <t>Go to S+ row 591</t>
  </si>
  <si>
    <t>Go to S+ row 592</t>
  </si>
  <si>
    <t>Go to S+ row 593</t>
  </si>
  <si>
    <t>Go to S+ row 594</t>
  </si>
  <si>
    <t>Go to S+ row 595</t>
  </si>
  <si>
    <t>Go to S+ row 596</t>
  </si>
  <si>
    <t>Go to S+ row 597</t>
  </si>
  <si>
    <t>Go to S+ row 598</t>
  </si>
  <si>
    <t>Go to S+ row 599</t>
  </si>
  <si>
    <t>Go to S+ row 600</t>
  </si>
  <si>
    <t>Go to S+ row 601</t>
  </si>
  <si>
    <t>Go to S+ row 602</t>
  </si>
  <si>
    <t>Go to S+ row 603</t>
  </si>
  <si>
    <t>Go to S+ row 604</t>
  </si>
  <si>
    <t>Go to S+ row 605</t>
  </si>
  <si>
    <t>Go to S+ row 606</t>
  </si>
  <si>
    <t>Go to S+ row 607</t>
  </si>
  <si>
    <t>Go to S+ row 608</t>
  </si>
  <si>
    <t>Go to S+ row 609</t>
  </si>
  <si>
    <t>Go to S+ row 610</t>
  </si>
  <si>
    <t>Go to S+ row 611</t>
  </si>
  <si>
    <t>Go to S+ row 612</t>
  </si>
  <si>
    <t>Go to S+ row 613</t>
  </si>
  <si>
    <t>Go to S+ row 614</t>
  </si>
  <si>
    <t>Go to S+ row 615</t>
  </si>
  <si>
    <t>Go to S+ row 616</t>
  </si>
  <si>
    <t>Go to S+ row 617</t>
  </si>
  <si>
    <t>Go to S+ row 618</t>
  </si>
  <si>
    <t>Go to S+ row 619</t>
  </si>
  <si>
    <t>Go to S+ row 620</t>
  </si>
  <si>
    <t>Go to S+ row 621</t>
  </si>
  <si>
    <t>Go to S+ row 622</t>
  </si>
  <si>
    <t>Go to S+ row 623</t>
  </si>
  <si>
    <t>Go to S+ row 624</t>
  </si>
  <si>
    <t>Go to S+ row 625</t>
  </si>
  <si>
    <t>Go to S+ row 626</t>
  </si>
  <si>
    <t>Go to S+ row 627</t>
  </si>
  <si>
    <t>Go to S+ row 628</t>
  </si>
  <si>
    <t>Go to SRC-01 row 39</t>
  </si>
  <si>
    <t>Go to S+ row 629</t>
  </si>
  <si>
    <t>Go to S+ row 630</t>
  </si>
  <si>
    <t>Go to S+ row 631</t>
  </si>
  <si>
    <t>Go to S+ row 632</t>
  </si>
  <si>
    <t>Go to S+ row 633</t>
  </si>
  <si>
    <t>Go to S+ row 634</t>
  </si>
  <si>
    <t>Go to S+ row 635</t>
  </si>
  <si>
    <t>Go to S+ row 636</t>
  </si>
  <si>
    <t>Go to SRC-01 row 65</t>
  </si>
  <si>
    <t>Go to S+ row 637</t>
  </si>
  <si>
    <t>Go to S+ row 638</t>
  </si>
  <si>
    <t>Go to S+ row 639</t>
  </si>
  <si>
    <t>Go to S+ row 640</t>
  </si>
  <si>
    <t>Go to S+ row 641</t>
  </si>
  <si>
    <t>Go to S+ row 642</t>
  </si>
  <si>
    <t>Go to S+ row 643</t>
  </si>
  <si>
    <t>Go to S+ row 644</t>
  </si>
  <si>
    <t>Go to S+ row 645</t>
  </si>
  <si>
    <t>Go to S+ row 646</t>
  </si>
  <si>
    <t>Go to S+ row 647</t>
  </si>
  <si>
    <t>Go to S+ row 648</t>
  </si>
  <si>
    <t>Go to S+ row 649</t>
  </si>
  <si>
    <t>Go to SRC-01 row 105</t>
  </si>
  <si>
    <t>Go to S+ row 650</t>
  </si>
  <si>
    <t>Go to S+ row 651</t>
  </si>
  <si>
    <t>Go to S+ row 652</t>
  </si>
  <si>
    <t>Go to S+ row 653</t>
  </si>
  <si>
    <t>Go to S+ row 654</t>
  </si>
  <si>
    <t>Go to S+ row 655</t>
  </si>
  <si>
    <t>Go to S+ row 656</t>
  </si>
  <si>
    <t>Go to S+ row 657</t>
  </si>
  <si>
    <t>Go to S+ row 658</t>
  </si>
  <si>
    <t>Go to S+ row 659</t>
  </si>
  <si>
    <t>Go to S+ row 660</t>
  </si>
  <si>
    <t>Go to SRC-01 row 91</t>
  </si>
  <si>
    <t>Go to S+ row 661</t>
  </si>
  <si>
    <t>Go to S+ row 662</t>
  </si>
  <si>
    <t>Go to S+ row 663</t>
  </si>
  <si>
    <t>Go to S+ row 664</t>
  </si>
  <si>
    <t>Go to S+ row 665</t>
  </si>
  <si>
    <t>Go to S+ row 666</t>
  </si>
  <si>
    <t>Go to S+ row 667</t>
  </si>
  <si>
    <t>Go to S+ row 668</t>
  </si>
  <si>
    <t>Go to S+ row 669</t>
  </si>
  <si>
    <t>Go to S+ row 670</t>
  </si>
  <si>
    <t>Go to S+ row 671</t>
  </si>
  <si>
    <t>Go to S+ row 672</t>
  </si>
  <si>
    <t>Go to S+ row 673</t>
  </si>
  <si>
    <t>Go to S+ row 674</t>
  </si>
  <si>
    <t>Go to S+ row 675</t>
  </si>
  <si>
    <t>Go to S+ row 676</t>
  </si>
  <si>
    <t>Go to S+ row 677</t>
  </si>
  <si>
    <t>Go to S+ row 678</t>
  </si>
  <si>
    <t>Go to S+ row 679</t>
  </si>
  <si>
    <t>Go to S+ row 680</t>
  </si>
  <si>
    <t>Go to S+ row 681</t>
  </si>
  <si>
    <t>Go to S+ row 682</t>
  </si>
  <si>
    <t>Go to S+ row 683</t>
  </si>
  <si>
    <t>Go to S+ row 684</t>
  </si>
  <si>
    <t>Go to SRC-01 row 43</t>
  </si>
  <si>
    <t>Go to S+ row 685</t>
  </si>
  <si>
    <t>Go to S+ row 686</t>
  </si>
  <si>
    <t>Go to S+ row 687</t>
  </si>
  <si>
    <t>Go to S+ row 688</t>
  </si>
  <si>
    <t>Go to S+ row 689</t>
  </si>
  <si>
    <t>Go to S+ row 690</t>
  </si>
  <si>
    <t>Go to S+ row 691</t>
  </si>
  <si>
    <t>Go to S+ row 692</t>
  </si>
  <si>
    <t>Go to S+ row 693</t>
  </si>
  <si>
    <t>Go to S+ row 694</t>
  </si>
  <si>
    <t>Go to S+ row 695</t>
  </si>
  <si>
    <t>Go to S+ row 696</t>
  </si>
  <si>
    <t>Go to S+ row 697</t>
  </si>
  <si>
    <t>Go to S+ row 698</t>
  </si>
  <si>
    <t>Go to SRC-01 row 100</t>
  </si>
  <si>
    <t>Go to S+ row 699</t>
  </si>
  <si>
    <t>Go to S+ row 700</t>
  </si>
  <si>
    <t>Go to S+ row 701</t>
  </si>
  <si>
    <t>Go to S+ row 702</t>
  </si>
  <si>
    <t>Go to S+ row 703</t>
  </si>
  <si>
    <t>Go to S+ row 704</t>
  </si>
  <si>
    <t>Go to S+ row 705</t>
  </si>
  <si>
    <t>Go to S+ row 706</t>
  </si>
  <si>
    <t>Go to S+ row 707</t>
  </si>
  <si>
    <t>Go to S+ row 708</t>
  </si>
  <si>
    <t>Go to S+ row 709</t>
  </si>
  <si>
    <t>Go to S+ row 710</t>
  </si>
  <si>
    <t>Go to S+ row 711</t>
  </si>
  <si>
    <t>Go to S+ row 712</t>
  </si>
  <si>
    <t>Go to S+ row 713</t>
  </si>
  <si>
    <t>Go to S+ row 714</t>
  </si>
  <si>
    <t>Go to S+ row 715</t>
  </si>
  <si>
    <t>Go to S+ row 716</t>
  </si>
  <si>
    <t>Go to S+ row 717</t>
  </si>
  <si>
    <t>Go to S+ row 718</t>
  </si>
  <si>
    <t>Go to S+ row 719</t>
  </si>
  <si>
    <t>Go to S+ row 720</t>
  </si>
  <si>
    <t>Go to S+ row 721</t>
  </si>
  <si>
    <t>Go to S+ row 722</t>
  </si>
  <si>
    <t>Go to S+ row 723</t>
  </si>
  <si>
    <t>Go to S+ row 724</t>
  </si>
  <si>
    <t>Go to S+ row 725</t>
  </si>
  <si>
    <t>Go to S+ row 726</t>
  </si>
  <si>
    <t>Go to S+ row 727</t>
  </si>
  <si>
    <t>Go to S+ row 728</t>
  </si>
  <si>
    <t>Go to S+ row 729</t>
  </si>
  <si>
    <t>Go to S+ row 730</t>
  </si>
  <si>
    <t>Go to S+ row 731</t>
  </si>
  <si>
    <t>Go to S+ row 732</t>
  </si>
  <si>
    <t>Go to S+ row 733</t>
  </si>
  <si>
    <t>Go to S+ row 734</t>
  </si>
  <si>
    <t>Go to S+ row 735</t>
  </si>
  <si>
    <t>Go to S+ row 736</t>
  </si>
  <si>
    <t>Go to S+ row 737</t>
  </si>
  <si>
    <t>Go to S+ row 738</t>
  </si>
  <si>
    <t>Go to S+ row 739</t>
  </si>
  <si>
    <t>Go to S+ row 740</t>
  </si>
  <si>
    <t>Go to S+ row 741</t>
  </si>
  <si>
    <t>Go to S+ row 742</t>
  </si>
  <si>
    <t>Go to S+ row 743</t>
  </si>
  <si>
    <t>Go to S+ row 744</t>
  </si>
  <si>
    <t>Go to S+ row 745</t>
  </si>
  <si>
    <t>Go to S+ row 746</t>
  </si>
  <si>
    <t>Go to S+ row 747</t>
  </si>
  <si>
    <t>Go to S+ row 748</t>
  </si>
  <si>
    <t>Go to S+ row 749</t>
  </si>
  <si>
    <t>Go to SRC-01 row 74</t>
  </si>
  <si>
    <t>Go to S+ row 750</t>
  </si>
  <si>
    <t>Go to SRC-01 row 73</t>
  </si>
  <si>
    <t>Go to S+ row 751</t>
  </si>
  <si>
    <t>Go to S+ row 752</t>
  </si>
  <si>
    <t>Go to S+ row 753</t>
  </si>
  <si>
    <t>Go to S+ row 754</t>
  </si>
  <si>
    <t>Go to S+ row 755</t>
  </si>
  <si>
    <t>Go to S+ row 756</t>
  </si>
  <si>
    <t>Go to S+ row 757</t>
  </si>
  <si>
    <t>Go to S+ row 758</t>
  </si>
  <si>
    <t>Go to S+ row 759</t>
  </si>
  <si>
    <t>Go to S+ row 760</t>
  </si>
  <si>
    <t>Go to S+ row 761</t>
  </si>
  <si>
    <t>Go to S+ row 762</t>
  </si>
  <si>
    <t>Go to S+ row 763</t>
  </si>
  <si>
    <t>Go to S+ row 764</t>
  </si>
  <si>
    <t>Go to S+ row 765</t>
  </si>
  <si>
    <t>Go to S+ row 766</t>
  </si>
  <si>
    <t>Go to S+ row 767</t>
  </si>
  <si>
    <t>Go to S+ row 768</t>
  </si>
  <si>
    <t>Go to SRC-01 row 93</t>
  </si>
  <si>
    <t>Go to S+ row 769</t>
  </si>
  <si>
    <t>Go to S+ row 770</t>
  </si>
  <si>
    <t>Go to S+ row 771</t>
  </si>
  <si>
    <t>Go to S+ row 772</t>
  </si>
  <si>
    <t>Go to S+ row 773</t>
  </si>
  <si>
    <t>Go to S+ row 774</t>
  </si>
  <si>
    <t>Go to S+ row 775</t>
  </si>
  <si>
    <t>Go to S+ row 776</t>
  </si>
  <si>
    <t>Go to S+ row 777</t>
  </si>
  <si>
    <t>Go to S+ row 778</t>
  </si>
  <si>
    <t>Go to S+ row 779</t>
  </si>
  <si>
    <t>Go to S+ row 780</t>
  </si>
  <si>
    <t>Go to S+ row 781</t>
  </si>
  <si>
    <t>Go to S+ row 782</t>
  </si>
  <si>
    <t>Go to S+ row 783</t>
  </si>
  <si>
    <t>Go to S+ row 784</t>
  </si>
  <si>
    <t>Go to S+ row 785</t>
  </si>
  <si>
    <t>Go to S+ row 786</t>
  </si>
  <si>
    <t>Go to S+ row 787</t>
  </si>
  <si>
    <t>Go to S+ row 788</t>
  </si>
  <si>
    <t>Go to S+ row 789</t>
  </si>
  <si>
    <t>Go to S+ row 790</t>
  </si>
  <si>
    <t>Go to S+ row 791</t>
  </si>
  <si>
    <t>Go to S+ row 792</t>
  </si>
  <si>
    <t>Go to S+ row 793</t>
  </si>
  <si>
    <t>Go to S+ row 794</t>
  </si>
  <si>
    <t>Go to S+ row 795</t>
  </si>
  <si>
    <t>Go to S+ row 796</t>
  </si>
  <si>
    <t>Go to S+ row 797</t>
  </si>
  <si>
    <t>Go to S+ row 798</t>
  </si>
  <si>
    <t>Go to S+ row 799</t>
  </si>
  <si>
    <t>Go to SRC-01 row 109</t>
  </si>
  <si>
    <t>Go to S+ row 800</t>
  </si>
  <si>
    <t>Go to S+ row 801</t>
  </si>
  <si>
    <t>Go to S+ row 802</t>
  </si>
  <si>
    <t>Go to S+ row 803</t>
  </si>
  <si>
    <t>Go to S+ row 804</t>
  </si>
  <si>
    <t>Go to S+ row 805</t>
  </si>
  <si>
    <t>Go to S+ row 806</t>
  </si>
  <si>
    <t>Go to S+ row 807</t>
  </si>
  <si>
    <t>Go to S+ row 808</t>
  </si>
  <si>
    <t>Go to S+ row 809</t>
  </si>
  <si>
    <t>Go to S+ row 810</t>
  </si>
  <si>
    <t>Go to S+ row 811</t>
  </si>
  <si>
    <t>Go to S+ row 812</t>
  </si>
  <si>
    <t>Go to S+ row 813</t>
  </si>
  <si>
    <t>Go to S+ row 814</t>
  </si>
  <si>
    <t>Go to S+ row 815</t>
  </si>
  <si>
    <t>Go to S+ row 816</t>
  </si>
  <si>
    <t>Go to S+ row 817</t>
  </si>
  <si>
    <t>Go to S+ row 818</t>
  </si>
  <si>
    <t>Go to S+ row 819</t>
  </si>
  <si>
    <t>Go to S+ row 820</t>
  </si>
  <si>
    <t>Go to S+ row 821</t>
  </si>
  <si>
    <t>Go to S+ row 822</t>
  </si>
  <si>
    <t>Go to SRC-01 row 9</t>
  </si>
  <si>
    <t>Go to S+ row 823</t>
  </si>
  <si>
    <t>Go to S+ row 824</t>
  </si>
  <si>
    <t>Go to S+ row 825</t>
  </si>
  <si>
    <t>Go to S+ row 826</t>
  </si>
  <si>
    <t>Go to S+ row 827</t>
  </si>
  <si>
    <t>Go to S+ row 828</t>
  </si>
  <si>
    <t>Go to S+ row 829</t>
  </si>
  <si>
    <t>Go to S+ row 830</t>
  </si>
  <si>
    <t>Go to S+ row 831</t>
  </si>
  <si>
    <t>Go to S+ row 832</t>
  </si>
  <si>
    <t>Go to SRC-01 row 30</t>
  </si>
  <si>
    <t>Go to S+ row 833</t>
  </si>
  <si>
    <t>Go to S+ row 834</t>
  </si>
  <si>
    <t>Go to S+ row 835</t>
  </si>
  <si>
    <t>Go to S+ row 836</t>
  </si>
  <si>
    <t>Go to S+ row 837</t>
  </si>
  <si>
    <t>Go to S+ row 838</t>
  </si>
  <si>
    <t>Go to S+ row 839</t>
  </si>
  <si>
    <t>Go to S+ row 840</t>
  </si>
  <si>
    <t>Go to SRC-01 row 40</t>
  </si>
  <si>
    <t>Go to S+ row 841</t>
  </si>
  <si>
    <t>Go to S+ row 842</t>
  </si>
  <si>
    <t>Go to S+ row 843</t>
  </si>
  <si>
    <t>Go to S+ row 844</t>
  </si>
  <si>
    <t>Go to S+ row 845</t>
  </si>
  <si>
    <t>Go to S+ row 846</t>
  </si>
  <si>
    <t>Go to S+ row 847</t>
  </si>
  <si>
    <t>Go to S+ row 848</t>
  </si>
  <si>
    <t>Go to S+ row 849</t>
  </si>
  <si>
    <t>Go to S+ row 850</t>
  </si>
  <si>
    <t>Go to SRC-01 row 81</t>
  </si>
  <si>
    <t>Go to SRC-01 row 82</t>
  </si>
  <si>
    <t>Go to S+ row 851</t>
  </si>
  <si>
    <t>Go to S+ row 852</t>
  </si>
  <si>
    <t>Go to SRC-01 row 67</t>
  </si>
  <si>
    <t>Go to S+ row 853</t>
  </si>
  <si>
    <t>Go to S+ row 854</t>
  </si>
  <si>
    <t>Go to S+ row 855</t>
  </si>
  <si>
    <t>Go to S+ row 856</t>
  </si>
  <si>
    <t>Go to SRC-01 row 63</t>
  </si>
  <si>
    <t>Go to S+ row 857</t>
  </si>
  <si>
    <t>Go to S+ row 858</t>
  </si>
  <si>
    <t>Go to S+ row 859</t>
  </si>
  <si>
    <t>Go to SRC-01 row 35</t>
  </si>
  <si>
    <t>Go to S+ row 860</t>
  </si>
  <si>
    <t>Go to S+ row 861</t>
  </si>
  <si>
    <t>Go to S+ row 862</t>
  </si>
  <si>
    <t>Go to S+ row 863</t>
  </si>
  <si>
    <t>Go to S+ row 864</t>
  </si>
  <si>
    <t>Go to S+ row 865</t>
  </si>
  <si>
    <t>Go to S+ row 866</t>
  </si>
  <si>
    <t>Go to S+ row 867</t>
  </si>
  <si>
    <t>Go to S+ row 868</t>
  </si>
  <si>
    <t>Go to S+ row 869</t>
  </si>
  <si>
    <t>Go to S+ row 870</t>
  </si>
  <si>
    <t>Go to S+ row 871</t>
  </si>
  <si>
    <t>Go to S+ row 872</t>
  </si>
  <si>
    <t>Go to S+ row 873</t>
  </si>
  <si>
    <t>Go to S+ row 874</t>
  </si>
  <si>
    <t>Go to SRC-01 row 33</t>
  </si>
  <si>
    <t>Go to SRC-01 row 34</t>
  </si>
  <si>
    <t>Go to S+ row 875</t>
  </si>
  <si>
    <t>Go to S+ row 876</t>
  </si>
  <si>
    <t>Go to S+ row 877</t>
  </si>
  <si>
    <t>Go to S+ row 878</t>
  </si>
  <si>
    <t>Go to S+ row 879</t>
  </si>
  <si>
    <t>Go to S+ row 880</t>
  </si>
  <si>
    <t>Go to S+ row 881</t>
  </si>
  <si>
    <t>Go to S+ row 882</t>
  </si>
  <si>
    <t>Go to S+ row 883</t>
  </si>
  <si>
    <t>Go to SRC-01 row 55</t>
  </si>
  <si>
    <t>Go to S+ row 884</t>
  </si>
  <si>
    <t>Go to SRC-01 row 59</t>
  </si>
  <si>
    <t>Go to S+ row 885</t>
  </si>
  <si>
    <t>Go to S+ row 886</t>
  </si>
  <si>
    <t>Go to S+ row 887</t>
  </si>
  <si>
    <t>Go to S+ row 888</t>
  </si>
  <si>
    <t>Go to SRC-01 row 76</t>
  </si>
  <si>
    <t>Go to S+ row 889</t>
  </si>
  <si>
    <t>Go to S+ row 890</t>
  </si>
  <si>
    <t>Go to S+ row 891</t>
  </si>
  <si>
    <t>Go to S+ row 892</t>
  </si>
  <si>
    <t>Go to S+ row 893</t>
  </si>
  <si>
    <t>Go to S+ row 894</t>
  </si>
  <si>
    <t>Go to S+ row 895</t>
  </si>
  <si>
    <t>Go to SRC-01 row 98</t>
  </si>
  <si>
    <t>Go to S+ row 896</t>
  </si>
  <si>
    <t>Go to SRC-01 row 69</t>
  </si>
  <si>
    <t>Go to S+ row 897</t>
  </si>
  <si>
    <t>Go to SRC-01 row 70</t>
  </si>
  <si>
    <t>Go to S+ row 898</t>
  </si>
  <si>
    <t>Go to S+ row 899</t>
  </si>
  <si>
    <t>Go to S+ row 900</t>
  </si>
  <si>
    <t>Go to S+ row 901</t>
  </si>
  <si>
    <t>Go to S+ row 902</t>
  </si>
  <si>
    <t>Go to S+ row 903</t>
  </si>
  <si>
    <t>Go to S+ row 904</t>
  </si>
  <si>
    <t>Go to S+ row 905</t>
  </si>
  <si>
    <t>Go to S+ row 906</t>
  </si>
  <si>
    <t>Go to SRC-01 row 29</t>
  </si>
  <si>
    <t>Go to S+ row 907</t>
  </si>
  <si>
    <t>Go to S+ row 908</t>
  </si>
  <si>
    <t>Go to S+ row 909</t>
  </si>
  <si>
    <t>Go to S+ row 910</t>
  </si>
  <si>
    <t>Go to S+ row 911</t>
  </si>
  <si>
    <t>Go to SRC-01 row 10</t>
  </si>
  <si>
    <t>Go to S+ row 912</t>
  </si>
  <si>
    <t>Go to S+ row 913</t>
  </si>
  <si>
    <t>Go to S+ row 914</t>
  </si>
  <si>
    <t>Go to S+ row 915</t>
  </si>
  <si>
    <t>Go to SRC-01 row 19</t>
  </si>
  <si>
    <t>Go to S+ row 916</t>
  </si>
  <si>
    <t>Go to S+ row 917</t>
  </si>
  <si>
    <t>Go to SRC-01 row 27</t>
  </si>
  <si>
    <t>Go to S+ row 918</t>
  </si>
  <si>
    <t>Go to S+ row 919</t>
  </si>
  <si>
    <t>Go to S+ row 920</t>
  </si>
  <si>
    <t>Go to S+ row 921</t>
  </si>
  <si>
    <t>Go to S+ row 922</t>
  </si>
  <si>
    <t>Go to S+ row 923</t>
  </si>
  <si>
    <t>Go to SRC-01 row 94</t>
  </si>
  <si>
    <t>Go to S+ row 924</t>
  </si>
  <si>
    <t>Go to SRC-01 row 15</t>
  </si>
  <si>
    <t>Go to S+ row 925</t>
  </si>
  <si>
    <t>Go to S+ row 926</t>
  </si>
  <si>
    <t>Go to S+ row 927</t>
  </si>
  <si>
    <t>Go to S+ row 928</t>
  </si>
  <si>
    <t>Go to S+ row 929</t>
  </si>
  <si>
    <t>Go to S+ row 930</t>
  </si>
  <si>
    <t>Go to S+ row 931</t>
  </si>
  <si>
    <t>Go to S+ row 932</t>
  </si>
  <si>
    <t>Go to SRC-01 row 96</t>
  </si>
  <si>
    <t>Go to S+ row 933</t>
  </si>
  <si>
    <t>Go to S+ row 934</t>
  </si>
  <si>
    <t>Go to S+ row 935</t>
  </si>
  <si>
    <t>Go to S+ row 936</t>
  </si>
  <si>
    <t>Go to S+ row 937</t>
  </si>
  <si>
    <t>Go to SRC-01 row 95</t>
  </si>
  <si>
    <t>Go to S+ row 938</t>
  </si>
  <si>
    <t>Go to S+ row 939</t>
  </si>
  <si>
    <t>Go to SRC-01 row 25</t>
  </si>
  <si>
    <t>Go to S+ row 940</t>
  </si>
  <si>
    <t>Go to S+ row 941</t>
  </si>
  <si>
    <t>Go to S+ row 942</t>
  </si>
  <si>
    <t>Go to SRC-01 row 78</t>
  </si>
  <si>
    <t>Go to S+ row 943</t>
  </si>
  <si>
    <t>Go to S+ row 944</t>
  </si>
  <si>
    <t>Go to S+ row 945</t>
  </si>
  <si>
    <t>Go to S+ row 946</t>
  </si>
  <si>
    <t>Go to S+ row 947</t>
  </si>
  <si>
    <t>Go to S+ row 948</t>
  </si>
  <si>
    <t>Go to S+ row 949</t>
  </si>
  <si>
    <t>Go to SRC-01 row 79</t>
  </si>
  <si>
    <t>Go to S+ row 950</t>
  </si>
  <si>
    <t>Go to S+ row 951</t>
  </si>
  <si>
    <t>Go to S+ row 952</t>
  </si>
  <si>
    <t>Go to S+ row 953</t>
  </si>
  <si>
    <t>Go to SRC-01 row 8</t>
  </si>
  <si>
    <t>Go to S+ row 954</t>
  </si>
  <si>
    <t>Go to S+ row 955</t>
  </si>
  <si>
    <t>Go to SRC-01 row 28</t>
  </si>
  <si>
    <t>Go to S+ row 956</t>
  </si>
  <si>
    <t>Go to S+ row 957</t>
  </si>
  <si>
    <t>Go to S+ row 958</t>
  </si>
  <si>
    <t>Go to S+ row 959</t>
  </si>
  <si>
    <t>Go to S+ row 960</t>
  </si>
  <si>
    <t>Go to SRC-01 row 75</t>
  </si>
  <si>
    <t>Go to S+ row 961</t>
  </si>
  <si>
    <t>Go to S+ row 962</t>
  </si>
  <si>
    <t>Go to S+ row 963</t>
  </si>
  <si>
    <t>Go to S+ row 964</t>
  </si>
  <si>
    <t>Go to S+ row 965</t>
  </si>
  <si>
    <t>Go to S+ row 966</t>
  </si>
  <si>
    <t>Go to S+ row 967</t>
  </si>
  <si>
    <t>Go to SRC-01 row 7</t>
  </si>
  <si>
    <t>Go to S+ row 968</t>
  </si>
  <si>
    <t>Go to SRC-01 row 66</t>
  </si>
  <si>
    <t>Go to S+ row 969</t>
  </si>
  <si>
    <t>Go to SRC-01 row 87</t>
  </si>
  <si>
    <t>Go to S+ row 970</t>
  </si>
  <si>
    <t>Go to S+ row 971</t>
  </si>
  <si>
    <t>Go to SRC-01 row 77</t>
  </si>
  <si>
    <t>Go to S+ row 972</t>
  </si>
  <si>
    <t>Go to SRC-01 row 6</t>
  </si>
  <si>
    <t>Go to S+ row 973</t>
  </si>
  <si>
    <t>Go to SRC-01 row 64</t>
  </si>
  <si>
    <t>Go to S+ row 974</t>
  </si>
  <si>
    <t>Go to S+ row 975</t>
  </si>
  <si>
    <t>Go to S+ row 976</t>
  </si>
  <si>
    <t>Go to S+ row 977</t>
  </si>
  <si>
    <t>Go to S+ row 978</t>
  </si>
  <si>
    <t>Go to S+ row 979</t>
  </si>
  <si>
    <t>Go to S+ row 980</t>
  </si>
  <si>
    <t>Go to S+ row 981</t>
  </si>
  <si>
    <t>Go to SRC-01 row 11</t>
  </si>
  <si>
    <t>Go to S+ row 982</t>
  </si>
  <si>
    <t>Go to SRC-01 row 92</t>
  </si>
  <si>
    <t>Go to SRC-01 row 5</t>
  </si>
  <si>
    <t>Go to SRC-01 row 12</t>
  </si>
  <si>
    <t>Go to SRC-01 row 16</t>
  </si>
  <si>
    <t>Go to SRC-01 row 21</t>
  </si>
  <si>
    <t>Go to SRC-01 row 22</t>
  </si>
  <si>
    <t>Go to SRC-01 row 23</t>
  </si>
  <si>
    <t>Go to SRC-01 row 24</t>
  </si>
  <si>
    <t>Go to SRC-01 row 37</t>
  </si>
  <si>
    <t>Go to SRC-01 row 38</t>
  </si>
  <si>
    <t>Go to SRC-01 row 41</t>
  </si>
  <si>
    <t>Go to SRC-01 row 42</t>
  </si>
  <si>
    <t>Go to SRC-01 row 45</t>
  </si>
  <si>
    <t>Go to SRC-01 row 46</t>
  </si>
  <si>
    <t>Go to SRC-01 row 47</t>
  </si>
  <si>
    <t>Go to SRC-01 row 49</t>
  </si>
  <si>
    <t>Go to SRC-01 row 52</t>
  </si>
  <si>
    <t>Go to SRC-01 row 53</t>
  </si>
  <si>
    <t>Go to SRC-01 row 54</t>
  </si>
  <si>
    <t>Go to SRC-01 row 56</t>
  </si>
  <si>
    <t>Go to SRC-01 row 58</t>
  </si>
  <si>
    <t>Go to SRC-01 row 61</t>
  </si>
  <si>
    <t>Go to SRC-01 row 62</t>
  </si>
  <si>
    <t>Go to SRC-01 row 68</t>
  </si>
  <si>
    <t>Go to SRC-01 row 72</t>
  </si>
  <si>
    <t>Go to SRC-01 row 80</t>
  </si>
  <si>
    <t>Go to SRC-01 row 83</t>
  </si>
  <si>
    <t>Go to SRC-01 row 84</t>
  </si>
  <si>
    <t>Go to SRC-01 row 85</t>
  </si>
  <si>
    <t>Go to SRC-01 row 86</t>
  </si>
  <si>
    <t>Go to SRC-01 row 88</t>
  </si>
  <si>
    <t>Go to SRC-01 row 89</t>
  </si>
  <si>
    <t>Go to SRC-01 row 97</t>
  </si>
  <si>
    <t>Go to SRC-01 row 99</t>
  </si>
  <si>
    <t>Go to SRC-01 row 102</t>
  </si>
  <si>
    <t>Go to SRC-01 row 103</t>
  </si>
  <si>
    <t>Go to SRC-01 row 104</t>
  </si>
  <si>
    <t>Go to SRC-01 row 106</t>
  </si>
  <si>
    <t>Go to SRC-01 row 107</t>
  </si>
  <si>
    <t>Go to SRC-01 row 108</t>
  </si>
  <si>
    <t>Go to SRC-01 row 110</t>
  </si>
  <si>
    <t>Go to SRC-01 row 111</t>
  </si>
  <si>
    <t>Go to SRC-01 row 112</t>
  </si>
  <si>
    <t>Go to SRC-01 row 113</t>
  </si>
  <si>
    <t>Go to SRC-01 row 114</t>
  </si>
  <si>
    <t>Go to SRC-01 row 115</t>
  </si>
  <si>
    <t>Go to SRC-01 row 116</t>
  </si>
  <si>
    <t>Go to SRC-01 row 118</t>
  </si>
  <si>
    <t>Go to SRC-01 row 119</t>
  </si>
  <si>
    <t>Go to SRC-01 row 120</t>
  </si>
  <si>
    <t>Go to SRC-01 row 121</t>
  </si>
  <si>
    <t>Go to SRC-01 row 122</t>
  </si>
  <si>
    <t>Go to SRC-01 row 123</t>
  </si>
  <si>
    <t>Go to SRC-01 row 124</t>
  </si>
  <si>
    <t>Go to SRC-01 row 125</t>
  </si>
  <si>
    <t>Go to SRC-01 row 126</t>
  </si>
  <si>
    <t>Go to SRC-01 row 127</t>
  </si>
  <si>
    <t>Go to SRC-01 row 128</t>
  </si>
  <si>
    <t>Go to SRC-01 row 129</t>
  </si>
  <si>
    <t>Go to SRC-01 row 130</t>
  </si>
  <si>
    <t>Go to SRC-01 row 131</t>
  </si>
  <si>
    <t>Go to SRC-01 row 132</t>
  </si>
  <si>
    <t>Go to SRC-01 row 133</t>
  </si>
  <si>
    <t>Go to SRC-01 row 134</t>
  </si>
  <si>
    <t>Go to SRC-01 row 135</t>
  </si>
  <si>
    <t>Go to SRC-01 row 136</t>
  </si>
  <si>
    <t>Go to SRC-01 row 137</t>
  </si>
  <si>
    <t>Go to SRC-01 row 138</t>
  </si>
  <si>
    <t>Go to SRC-01 row 139</t>
  </si>
  <si>
    <t>Go to SRC-01 row 140</t>
  </si>
  <si>
    <t>Go to SRC-01 row 141</t>
  </si>
  <si>
    <t>Go to SRC-01 row 142</t>
  </si>
  <si>
    <t>Go to SRC-01 row 143</t>
  </si>
  <si>
    <t>Go to SRC-01 row 144</t>
  </si>
  <si>
    <t>Go to SRC-01 row 145</t>
  </si>
  <si>
    <t>Go to SRC-01 row 146</t>
  </si>
  <si>
    <t>Go to SRC-01 row 148</t>
  </si>
  <si>
    <t>Go to SRC-01 row 149</t>
  </si>
  <si>
    <t>Go to SRC-01 row 151</t>
  </si>
  <si>
    <t>V</t>
  </si>
  <si>
    <t>Click to jump to the row on the source's extract tab (SRC-00 → 'SRC-00 Solusions+ Ops List' row n; PDFs → matching code/description row on the SRC-xx tab). Fixed cell link – set when rows are added; re-point if rows are inserted on a source tab.</t>
  </si>
  <si>
    <t>Read the Info tab first and follow sections 5 and 6. I've uploaded one fee document. (1) Check the Source register – if this document is already listed, reuse its Source ID and update that row; otherwise add it with the next ID. (2) Extract it faithfully to its 'SRC-xx &lt;Name&gt;' tab (create or replace). (3) Add its rows to the MasterFees table on 'Master Fee List' using the column standard in section 4. Match each row – RVG Code first, then Procedure Group by description – and insert matched rows in line beneath the rows they match, one row per provider. Only unmatched rows go at the bottom. Don't change existing rows except to add RVG Code / Procedure Group / Match Basis when matched. If this Source ID already has rows in the master, ask me before replacing them. If the document doesn't fit the template, propose new columns before adding them. (4) Update the register status and report rows added, match counts and the unmatched list. Fill the Source Link column for every new row, log anything needing a decision on the Open Questions tab, and don't overwrite existing RVG codes – flag conflicts instead.</t>
  </si>
  <si>
    <t>Procedure Group naming</t>
  </si>
  <si>
    <t>Where an RVG code applies, use its RVG group name exactly as already used in column C (e.g. 'H6a – Head / Ocular: …'). Only create a new descriptive group name when no RVG code fits – and reuse it for later matches.</t>
  </si>
  <si>
    <t>Code conflicts</t>
  </si>
  <si>
    <t>If a new document implies a different RVG code from one already on an existing row, do NOT overwrite the existing row. Insert the new row with its own code/basis and log the conflict on the Open Questions tab (with a link to both rows).</t>
  </si>
  <si>
    <t>Multi-payer documents</t>
  </si>
  <si>
    <t>One document can hold several payer/contract blocks (e.g. SRC-02 CESL: SX AP, HNZ, ACC). Keep one Source ID for the document, but one row per payer block – each with its own Provider/Payer, Fee Code and Effective Date.</t>
  </si>
  <si>
    <t>Code conventions</t>
  </si>
  <si>
    <t>RVG Codes normalises printed spaces (SP 1 → SP1, POC 1 → POC1). Time/modifier codes that clash with procedure codes are prefixed TIME- / MOD- (TIME-T1, MOD-A1 …); master Fee Code keeps the printed code. T2 and P6 are printed twice in the RVG – the lookup returns the first value. See Open Questions Q01–Q03.</t>
  </si>
  <si>
    <t>Insert each matched row IN LINE – directly beneath the existing rows for the same RVG Code / Procedure Group – one row per provider/contract. Only unmatched rows go at the bottom of the table. Fill Source Link (column V) on every new row, pointing to its line on the SRC tab.</t>
  </si>
  <si>
    <t>Update the register row: Status → 'Merged', notes (incl. date imported/re-imported). Check 'Rows in master' equals the fee/code rows on the SRC tab (excluding heading and note lines).</t>
  </si>
  <si>
    <t>Step 9</t>
  </si>
  <si>
    <t>Report back: rows added, how many matched by RVG code / exact / likely, the unmatched list, and any new Open Questions.</t>
  </si>
  <si>
    <t>Log anything needing a decision (doubtful match, code conflict, possible print error, missing GST basis) as a new row on the Open Questions tab, with a link to the affected cell. Don't guess – leave the row as-is until it's answered.</t>
  </si>
  <si>
    <t>Decision log (table OpenQuestions)</t>
  </si>
  <si>
    <t>Questions needing an answer (duplicate codes, doubtful matches, print errors), each with options, current handling and a link to the affected cell.</t>
  </si>
  <si>
    <t>Whenever an import raises a decision; when answered</t>
  </si>
  <si>
    <t>Each merge – rows inserted in line (or at bottom if unmatched); existing rows never overwritten</t>
  </si>
  <si>
    <t>Each source document gets its own extract tab (kept as a faithful copy). The rows are then merged into 'Master Fee List' (table MasterFees) with a Source ID linking back.</t>
  </si>
  <si>
    <t>981 rows ported 28 Sep 2026. Source Page and Number not carried over. Cost ≈ Total units × $55. GST basis unknown – confirm and set GST Basis in master. RVG codes mapped 28 Sep 2026 via SRC-01: 913 of 981 rows coded (457 exact, 456 likely); 68 unmatched – see Open Questions Q05–Q09.</t>
  </si>
  <si>
    <t>SECONDARY match key: one standard name shared by every row describing the same procedure across sources. Where an RVG code applies, use its RVG group name (e.g. 'H6a – Head / Ocular: …'); otherwise a descriptive name (e.g. 'Cataract &amp; IOL'). Reuse an existing group name wherever possible.</t>
  </si>
  <si>
    <t>Flow:   Source PDF  →  SRC-xx extract tab (as printed)  →  standardised rows added to Master Fee List in line with matching rows (with Source ID, RVG code + Source Link)  →  register updated  →  decisions logged on Open Questions</t>
  </si>
  <si>
    <t>SRC-04</t>
  </si>
  <si>
    <t>Merivale Plastic Surgery &amp; Anaesthesia Associates Set Fee 01.06.26.pdf</t>
  </si>
  <si>
    <t>Merivale Plastic Surgery (Dr Kerri Mooney) / Anaesthesia Associates</t>
  </si>
  <si>
    <t>SRC-04 Merivale PS</t>
  </si>
  <si>
    <t>SRC-04 – Merivale Plastic Surgery &amp; Anaesthesia Associates: Agreed Set Fee Schedule (faithful extract)</t>
  </si>
  <si>
    <t>One page (p.1), as printed. Anaesthetic fees for self-funding patients of Dr Kerri Mooney; all fees printed incl. GST. Reviewed 01.06.26, next review 01.06.27.</t>
  </si>
  <si>
    <t>Section</t>
  </si>
  <si>
    <t>Fee (as printed)</t>
  </si>
  <si>
    <t>GST (as printed)</t>
  </si>
  <si>
    <t>Header</t>
  </si>
  <si>
    <t>Anaesthesia Fees - Agreed Set Schedule for Self-funding Patients (Anaesthesia Associates &amp; Merivale Plastic Surgery)</t>
  </si>
  <si>
    <t>Heading</t>
  </si>
  <si>
    <t>Introduction</t>
  </si>
  <si>
    <t>This is an Anaesthetist Fees - Agreed Set Schedule for self-funding patients between Anaesthesia Associates and Merivale Plastic Surgery - Dr Kerri Mooney.</t>
  </si>
  <si>
    <t>Any Anaesthetist(s) working with Dr Mooney have agreed to a set fee exclusively for self-funding patients of Dr Kerri Mooney. This is intended to assist patients by providing clarity and certainty around the cost of the anaesthetic service.</t>
  </si>
  <si>
    <t>The Anaesthetist will invoice patients directly, this may be prior to surgery, any fees not paid in full, are the responsibility of the Anaesthetist to collect. If payment is required but not received prior to surgery, the Anaesthetist may choose to cancel their availability. Merivale Plastic Surgery is not responsible for collecting these fees.</t>
  </si>
  <si>
    <t>Procedure Description / Anaesthetic Fee (incl GST)</t>
  </si>
  <si>
    <t>Abdominoplasty Simple</t>
  </si>
  <si>
    <t>Incl</t>
  </si>
  <si>
    <t>Fee</t>
  </si>
  <si>
    <t>Abdominoplasty complex</t>
  </si>
  <si>
    <t>Breast reduction simple</t>
  </si>
  <si>
    <t>Breast reduction complex</t>
  </si>
  <si>
    <t>Augmentation mastopexy</t>
  </si>
  <si>
    <t>Remove implants and mastopexy</t>
  </si>
  <si>
    <t>Otoplasty</t>
  </si>
  <si>
    <t>Combined mastopexy/breast reduction and abdominoplasty - simple</t>
  </si>
  <si>
    <t>Description printed over two lines ('… abdominoplasty' / '- simple').</t>
  </si>
  <si>
    <t>Combined mastopexy/breast reduction and abdominoplasty - complex</t>
  </si>
  <si>
    <t>Description printed over two lines ('… abdominoplasty' / '- complex').</t>
  </si>
  <si>
    <t>Breast augmentation</t>
  </si>
  <si>
    <t>Breast augmentation with fat grafting</t>
  </si>
  <si>
    <t>Face lift</t>
  </si>
  <si>
    <t>Facelift plus 1 add on (eg bleph)</t>
  </si>
  <si>
    <t>Printed as a total fee for facelift + one add-on.</t>
  </si>
  <si>
    <t>Facelift plus 2 add ons (eg bleph &amp; fat grafting)</t>
  </si>
  <si>
    <t>Printed as a total fee for facelift + two add-ons.</t>
  </si>
  <si>
    <t>ADD ON Liposuction - 30 mins per area - specify on booking how many areas</t>
  </si>
  <si>
    <t>Add-on amount per area. Description printed over two lines.</t>
  </si>
  <si>
    <t>Footer</t>
  </si>
  <si>
    <t>Reviewed: 01.06.26    Next review date: 01.06.27</t>
  </si>
  <si>
    <t>Dates printed d.m.y (NZ).</t>
  </si>
  <si>
    <t>Merivale Plastic Surgery, 5 Webb Street, Merivale; info@drkerrimooney.co.nz; Ph: 03 329 6734</t>
  </si>
  <si>
    <t>Practice contact details as printed.</t>
  </si>
  <si>
    <t>Merivale PS – Self-funding</t>
  </si>
  <si>
    <t>p.1</t>
  </si>
  <si>
    <t>Self-funding patients of Dr Kerri Mooney (Merivale Plastic Surgery) only; anaesthetist invoices patient directly. Next review 1 Jun 2027. Add-on: $345 per area (30 mins per area), number of areas to be specified on booking. Combined total = procedure fee + $345 × areas. Left Unmatched – see Open Questions.</t>
  </si>
  <si>
    <t>Self-funding patients of Dr Kerri Mooney (Merivale Plastic Surgery) only; anaesthetist invoices patient directly. Next review 1 Jun 2027. Likely: implant removal + mastopexy, same code as S+ 'Removal Of Breast Implants' (T2).</t>
  </si>
  <si>
    <t>Self-funding patients of Dr Kerri Mooney (Merivale Plastic Surgery) only; anaesthetist invoices patient directly. Next review 1 Jun 2027. Likely: same code as S+ otoplasty rows (H2); RVG does not name otoplasty.</t>
  </si>
  <si>
    <t>Self-funding patients of Dr Kerri Mooney (Merivale Plastic Surgery) only; anaesthetist invoices patient directly. Next review 1 Jun 2027. Likely: same code as S+ 'Mastopexy' (T2); RVG does not name mastopexy.</t>
  </si>
  <si>
    <t>Self-funding patients of Dr Kerri Mooney (Merivale Plastic Surgery) only; anaesthetist invoices patient directly. Next review 1 Jun 2027. Total fee for facelift + 1 add-on (implied add-on = $345 over 'Face lift'). Likely: add-on not specified.</t>
  </si>
  <si>
    <t>Self-funding patients of Dr Kerri Mooney (Merivale Plastic Surgery) only; anaesthetist invoices patient directly. Next review 1 Jun 2027. Total fee for facelift + 2 add-ons (implied $345 each over 'Face lift'). Likely: add-ons not specified.</t>
  </si>
  <si>
    <t>Self-funding patients of Dr Kerri Mooney (Merivale Plastic Surgery) only; anaesthetist invoices patient directly. Next review 1 Jun 2027.</t>
  </si>
  <si>
    <t>Self-funding patients of Dr Kerri Mooney (Merivale Plastic Surgery) only; anaesthetist invoices patient directly. Next review 1 Jun 2027. 'Simple' vs 'complex' not defined in the schedule.</t>
  </si>
  <si>
    <t>Self-funding patients of Dr Kerri Mooney (Merivale Plastic Surgery) only; anaesthetist invoices patient directly. Next review 1 Jun 2027. Likely: augmentation (T2) plus fat grafting, which the RVG does not list.</t>
  </si>
  <si>
    <t>Self-funding patients of Dr Kerri Mooney (Merivale Plastic Surgery) only; anaesthetist invoices patient directly. Next review 1 Jun 2027. Likely: RVG T2 names breast augmentation but not mastopexy; matches S+ 'Bilateral Breast Augmentation &amp; Mastopexies' (T2).</t>
  </si>
  <si>
    <t>Self-funding patients of Dr Kerri Mooney (Merivale Plastic Surgery) only; anaesthetist invoices patient directly. Next review 1 Jun 2027. Likely: combined breast + abdominal case – coded to the higher component (A5, abdominoplasty) as for the S+ combined rows. 'Simple' vs 'complex' not defined in the schedule.</t>
  </si>
  <si>
    <t>Go to SRC-04 row 9</t>
  </si>
  <si>
    <t>Go to SRC-04 row 10</t>
  </si>
  <si>
    <t>Go to SRC-04 row 17</t>
  </si>
  <si>
    <t>Go to SRC-04 row 18</t>
  </si>
  <si>
    <t>Go to SRC-04 row 13</t>
  </si>
  <si>
    <t>Go to SRC-04 row 19</t>
  </si>
  <si>
    <t>Go to SRC-04 row 20</t>
  </si>
  <si>
    <t>Go to SRC-04 row 11</t>
  </si>
  <si>
    <t>Go to SRC-04 row 12</t>
  </si>
  <si>
    <t>Go to SRC-04 row 21</t>
  </si>
  <si>
    <t>Go to SRC-04 row 22</t>
  </si>
  <si>
    <t>Go to SRC-04 row 23</t>
  </si>
  <si>
    <t>Go to SRC-04 row 14</t>
  </si>
  <si>
    <t>Go to SRC-04 row 16</t>
  </si>
  <si>
    <t>Go to SRC-04 row 15</t>
  </si>
  <si>
    <t>Go to SRC-04 row 24</t>
  </si>
  <si>
    <t>Q12</t>
  </si>
  <si>
    <t>Codes drive column B base units. The T2 rows also inherit Q01 (lookup shows 4 units; augmentation/reduction is probably 5).</t>
  </si>
  <si>
    <t>Confirm as-is, or correct column A on the SRC-04 rows.</t>
  </si>
  <si>
    <t>Tagged 'Description – likely' with reason in Notes; placed beneath the matching Solutions Plus rows.</t>
  </si>
  <si>
    <t>Q13</t>
  </si>
  <si>
    <t>SRC-04 'Combined mastopexy/breast reduction and abdominoplasty' (simple and complex): coded A5 (abdominoplasty, 8 units), the higher-unit component, as with the Solutions Plus combined rows. Should combined cases use the highest component code, or be grouped separately?</t>
  </si>
  <si>
    <t>Decides which group these rows sit in and which base units are shown.</t>
  </si>
  <si>
    <t>(a) Keep A5 (highest component); (b) T2; (c) new group 'Combined breast + abdominoplasty'.</t>
  </si>
  <si>
    <t>Coded A5, placed beneath S+ 'Abdominoplasty &amp; Breast Lift'.</t>
  </si>
  <si>
    <t>Q14</t>
  </si>
  <si>
    <t>SRC-04 'ADD ON Liposuction - 30 mins per area' ($345 per area) is an add-on, not a standalone procedure. Group it with Liposuction (A5) or leave unmatched?</t>
  </si>
  <si>
    <t>A5 base units (8) describe a full liposuction case, not a per-area add-on, so matching could mislead.</t>
  </si>
  <si>
    <t>(a) Code A5 and move beneath S+ 'Liposuction'; (b) new group 'Liposuction add-on (per area)' with no RVG code; (c) leave Unmatched.</t>
  </si>
  <si>
    <t>Unmatched at bottom of master; Fee Basis = Add-on.</t>
  </si>
  <si>
    <t>Q15</t>
  </si>
  <si>
    <t>SRC-04 shows no effective date – only 'Reviewed: 01.06.26' and 'Next review date: 01.06.27' (file name '… Set Fee 01.06.26'). Is 1 Jun 2026 the date the fees apply from?</t>
  </si>
  <si>
    <t>Effective Date (column R) is used to tell current fees from old ones.</t>
  </si>
  <si>
    <t>(a) Keep 1 Jun 2026; (b) use another date the practice confirms.</t>
  </si>
  <si>
    <t>Effective Date = 1 Jun 2026 (read as NZ d.m.y); next review noted in Notes.</t>
  </si>
  <si>
    <t>Q16</t>
  </si>
  <si>
    <t>Definitions</t>
  </si>
  <si>
    <t>SRC-04 prices 'simple' vs 'complex' abdominoplasty, breast reduction and combined cases but doesn't define them. What makes a case complex?</t>
  </si>
  <si>
    <t>Needed to pick the right fee; both variants currently carry the same RVG code.</t>
  </si>
  <si>
    <t>Ask Merivale Plastic Surgery / Anaesthesia Associates for the definition.</t>
  </si>
  <si>
    <t>Both variants kept as printed, same RVG code; noted in Notes.</t>
  </si>
  <si>
    <t>Master – first SRC-04 'likely' row</t>
  </si>
  <si>
    <t>Master – SRC-04 combined row</t>
  </si>
  <si>
    <t>Master – SRC-04 liposuction add-on</t>
  </si>
  <si>
    <t>Master – SRC-04 effective date</t>
  </si>
  <si>
    <t>Master – SRC-04 Abdominoplasty Simple</t>
  </si>
  <si>
    <t>SRC-04 (Merivale): 9 rows were coded by judgement (Match Basis = 'Description – likely'): Augmentation mastopexy, Mastopexy, Remove implants and mastopexy, Breast augmentation with fat grafting (T2); Otoplasty (H2); Facelift plus 1 / plus 2 add ons (H3); Combined mastopexy/breast reduction and abdominoplasty – simple / complex (A5, see Q13). Are these codes right?</t>
  </si>
  <si>
    <t>Imported 28 Sep 2026: 1-page schedule, 16 fee lines to 'SRC-04 Merivale PS' (plus 1 heading and 5 note lines); 16 rows to MasterFees. 15 placed in line (6 Description – exact, 9 Description – likely), 1 unmatched at bottom (ADD ON Liposuction, $345 per area). No RVG codes printed. All fees incl. GST. Self-funding patients of Dr Kerri Mooney only. Effective 1 Jun 2026 assumed from 'Reviewed 01.06.26'; next review 1 Jun 2027. See Open Questions Q12–Q16.</t>
  </si>
  <si>
    <t>SOUTHERN CROSS AFFILIATED PROVIDER</t>
  </si>
  <si>
    <t>ENTROPION AND ECTROPION FEE SCHEDULE</t>
  </si>
  <si>
    <t>ANAESTHETISTS UPDATE</t>
  </si>
  <si>
    <t>New Fees Effective 1 April 2026</t>
  </si>
  <si>
    <t>Inclusive of GST</t>
  </si>
  <si>
    <t>NB if two AP codes used, charge 50% for second procedure</t>
  </si>
  <si>
    <t>Applies across the schedule (printed above the fee table).</t>
  </si>
  <si>
    <t>Code / Description / Anaesthetist Fee Inc GST</t>
  </si>
  <si>
    <t>AP0140</t>
  </si>
  <si>
    <t>Unilateral repair of entropion – LA (Day Stay/Theatre)</t>
  </si>
  <si>
    <t>Description printed over two lines.</t>
  </si>
  <si>
    <t>AP0141</t>
  </si>
  <si>
    <t>Bilateral repair of entropion – LA (Day Stay/Theatre)</t>
  </si>
  <si>
    <t>8942</t>
  </si>
  <si>
    <t>Unilateral repair of ectropion with graft – LA (Day Stay/Theatre)</t>
  </si>
  <si>
    <t>Numeric code (no 'AP' prefix) as printed. Description printed over two lines.</t>
  </si>
  <si>
    <t>8943</t>
  </si>
  <si>
    <t>Bilateral repair of ectropion with grafts – LA (Day Stay/Theatre)</t>
  </si>
  <si>
    <t>AP0138</t>
  </si>
  <si>
    <t>Unilateral repair of ectropion – LA (Day Stay/Theatre)</t>
  </si>
  <si>
    <t>AP0139</t>
  </si>
  <si>
    <t>Bilateral repair of ectropion – LA (Day Stay/Theatre)</t>
  </si>
  <si>
    <t>8265</t>
  </si>
  <si>
    <t>General Anaesthetic Add on Fee</t>
  </si>
  <si>
    <t>Add-on fee; numeric code (no 'AP' prefix) as printed.</t>
  </si>
  <si>
    <t>SRC-05 – Southern Cross Affiliated Provider: Entropion and Ectropion Fee Schedule – Anaesthetists Update (faithful extract)</t>
  </si>
  <si>
    <t>One page (p.1), as printed. SXAP anaesthetist fees for entropion/ectropion repair under LA (Day Stay/Theatre), GA add-on; all fees printed incl. GST. New fees effective 1 April 2026.</t>
  </si>
  <si>
    <t>SXAP</t>
  </si>
  <si>
    <t>SRC-05</t>
  </si>
  <si>
    <t>Southern Cross Affiliated Provider (SXAP) – anaesthetist fee incl. GST, LA (Day Stay/Theatre). If two AP codes used, charge 50% for second procedure. GA add-on (8265) +$370 (combined $1,635). Matches S+ 'Bilateral Ectropion Repair' (H1).</t>
  </si>
  <si>
    <t>Go to SRC-05 row 16</t>
  </si>
  <si>
    <t>Southern Cross Affiliated Provider (SXAP) – anaesthetist fee incl. GST, LA (Day Stay/Theatre). If two AP codes used, charge 50% for second procedure. GA add-on (8265) +$370 (combined $1,635). Likely: bilateral ectropion repair plus graft(s) – graft not separately listed in the RVG; same fee as AP0139. Numeric code as printed (no 'AP' prefix).</t>
  </si>
  <si>
    <t>Go to SRC-05 row 14</t>
  </si>
  <si>
    <t>Southern Cross Affiliated Provider (SXAP) – anaesthetist fee incl. GST, LA (Day Stay/Theatre). If two AP codes used, charge 50% for second procedure. GA add-on (8265) +$370 (combined $1,405). Likely: unilateral version of S+ 'Bilateral Ectropion Repair' (H1).</t>
  </si>
  <si>
    <t>Go to SRC-05 row 15</t>
  </si>
  <si>
    <t>Southern Cross Affiliated Provider (SXAP) – anaesthetist fee incl. GST, LA (Day Stay/Theatre). If two AP codes used, charge 50% for second procedure. GA add-on (8265) +$370 (combined $1,405). Likely: unilateral ectropion repair plus graft – graft not separately listed in the RVG; same fee as AP0138. Numeric code as printed (no 'AP' prefix).</t>
  </si>
  <si>
    <t>Go to SRC-05 row 13</t>
  </si>
  <si>
    <t>Southern Cross Affiliated Provider (SXAP) – anaesthetist fee incl. GST, LA (Day Stay/Theatre). If two AP codes used, charge 50% for second procedure. GA add-on (8265) +$370 (combined $1,405). Likely: no entropion row in master; grouped with ectropion repair (same eyelid malposition repair, same SXAP fee) – see Open Questions.</t>
  </si>
  <si>
    <t>Go to SRC-05 row 11</t>
  </si>
  <si>
    <t>Southern Cross Affiliated Provider (SXAP) – anaesthetist fee incl. GST, LA (Day Stay/Theatre). If two AP codes used, charge 50% for second procedure. GA add-on (8265) +$370 (combined $1,635). Likely: no entropion row in master; grouped with ectropion repair (same eyelid malposition repair, same SXAP fee) – see Open Questions.</t>
  </si>
  <si>
    <t>Go to SRC-05 row 12</t>
  </si>
  <si>
    <t>Southern Cross Affiliated Provider (SXAP) – incl. GST. Add-on to the SXAP entropion/ectropion LA fees: combined $1,405 (unilateral) or $1,635 (bilateral). Numeric code as printed. Left Unmatched – see Open Questions.</t>
  </si>
  <si>
    <t>Go to SRC-05 row 17</t>
  </si>
  <si>
    <t>Q17</t>
  </si>
  <si>
    <t>SRC-05 (SXAP entropion/ectropion): all 6 eyelid repair rows were coded H1 (Head – Minor Procedures, 4 units), following the existing S+ row 'Bilateral Ectropion Repair' (H1). SXAP prices them as LA eye-type procedures – should they be H6a (Ocular procedure under LA / eye block, also 4 units) instead?</t>
  </si>
  <si>
    <t>No base-unit difference today (both 4), but it decides which group the rows sit in (H1 eyelid/plastics vs H6a eye).</t>
  </si>
  <si>
    <t>(a) Keep H1 (consistent with S+ eyelid rows); (b) recode SRC-05 rows to H6a – the existing S+ row would stay H1 unless you decide otherwise (logged as a conflict).</t>
  </si>
  <si>
    <t>Coded H1, placed beneath S+ 'Bilateral Ectropion Repair' (row 89).</t>
  </si>
  <si>
    <t>Master – SRC-05 AP0139</t>
  </si>
  <si>
    <t>Q18</t>
  </si>
  <si>
    <t>SRC-05 entropion repair (AP0140 unilateral, AP0141 bilateral): no entropion row exists in the master, so they were grouped with ectropion repair (H1, 'Description – likely'). Ectropion with graft (8942/8943) and unilateral ectropion (AP0138) are also 'likely'. OK, or should entropion have its own group?</t>
  </si>
  <si>
    <t>A wrong group is worse than Unmatched; entropion and ectropion are different eyelid procedures, though SXAP prices them identically.</t>
  </si>
  <si>
    <t>(a) Keep grouped under H1 with ectropion; (b) new descriptive group 'Entropion repair'; (c) leave entropion Unmatched at bottom.</t>
  </si>
  <si>
    <t>Tagged 'Description – likely' with reason in Notes; placed beneath the ectropion rows.</t>
  </si>
  <si>
    <t>Master – SRC-05 AP0140</t>
  </si>
  <si>
    <t>Q19</t>
  </si>
  <si>
    <t>SRC-05 '8265 General Anaesthetic Add on Fee' ($370 incl. GST) is an add-on to the LA fees, not a standalone procedure. Group it with the SRC-05 eyelid rows (H1) or leave unmatched?</t>
  </si>
  <si>
    <t>H1 base units describe the procedure, not a GA surcharge, so coding it could mislead.</t>
  </si>
  <si>
    <t>(a) Code H1 and move beneath the SRC-05 rows; (b) new group 'GA add-on (SXAP)'; (c) leave Unmatched.</t>
  </si>
  <si>
    <t>Unmatched at bottom of master; Fee Basis = Add-on; combined totals ($1,405 / $1,635) in Notes.</t>
  </si>
  <si>
    <t>Master – SRC-05 GA add-on</t>
  </si>
  <si>
    <t>Q20</t>
  </si>
  <si>
    <t>SRC-05 says 'if two AP codes used, charge 50% for second procedure'. Codes 8942, 8943 and 8265 are printed without the 'AP' prefix. Does the 50% rule apply to them, and to the GA add-on?</t>
  </si>
  <si>
    <t>Affects the fee charged when procedures are combined (e.g. entropion + ectropion with graft).</t>
  </si>
  <si>
    <t>Confirm with Southern Cross / the practice.</t>
  </si>
  <si>
    <t>Rule recorded in Notes on every SRC-05 row; codes kept exactly as printed.</t>
  </si>
  <si>
    <t>SRC-05 – NB 50% rule</t>
  </si>
  <si>
    <t>SXAP ECTROPION AND ENTROPION  FEE SCHEDULE FOR ANAESTHETISTS 1 APRIL 2026.pdf</t>
  </si>
  <si>
    <t>SRC-05 SXAP Ectropion</t>
  </si>
  <si>
    <t>Imported 28 Sep 2026: 1-page schedule, 7 fee lines to 'SRC-05 SXAP Ectropion' (plus 3 heading and 3 note lines); 7 rows to MasterFees. 6 placed in line beneath S+ 'Bilateral Ectropion Repair' (H1): 1 Description – exact (AP0139), 5 Description – likely (AP0138, 8942, 8943, AP0140, AP0141); 1 unmatched at bottom (8265 General Anaesthetic Add on Fee, $370). No RVG codes printed. All fees incl. GST, LA (Day Stay/Theatre). Rule: if two AP codes used, charge 50% for second procedure. See Open Questions Q17–Q20.</t>
  </si>
  <si>
    <t>SRC-02 and SRC-03 are a first sample – registered but NOT yet extracted; when importing them, REUSE these IDs. New documents: type the next row directly under the table and it extends automatically (SRC-04, SRC-05 …).</t>
  </si>
  <si>
    <t>SRC-06</t>
  </si>
  <si>
    <t>SXAP PTERYGIUM AND PINGUECULA  FEE SCHEDULE FOR ANAESTHETISTS  1 April 2026.pdf</t>
  </si>
  <si>
    <t>SRC-06 SXAP Pterygium</t>
  </si>
  <si>
    <t>PTERYGIUM AND PINGUECULA FEE SCHEDULE</t>
  </si>
  <si>
    <t>7329</t>
  </si>
  <si>
    <t>Pterygium (or pinguecula) excision and conjunctival graft with suture – local anaesthetic</t>
  </si>
  <si>
    <t>Numeric code (no 'AP' prefix) as printed. Description printed over three lines.</t>
  </si>
  <si>
    <t>7331</t>
  </si>
  <si>
    <t>Pterygium (or pinguecula) excision and conjunctival graft with tissue glue – topical anaesthetic</t>
  </si>
  <si>
    <t>7332</t>
  </si>
  <si>
    <t>Pterygium (or pinguecula) excision and conjunctival graft with glue – local anaesthetic</t>
  </si>
  <si>
    <t>7333</t>
  </si>
  <si>
    <t>Pterygium (or pinguecula) excision and conjunctival graft with glue – general anaesthetic</t>
  </si>
  <si>
    <t>7397</t>
  </si>
  <si>
    <t>Pterygium (or pinguecula) excision and conjunctival graft with tissue glue – local anaesthetic: one eye/two pterygia or two eyes/one pterygium</t>
  </si>
  <si>
    <t>Numeric code (no 'AP' prefix) as printed. Description printed over four lines.</t>
  </si>
  <si>
    <t>AP0879</t>
  </si>
  <si>
    <t>Pterygium (or pinguecula) excision and conjunctival graft with glue – under sedation</t>
  </si>
  <si>
    <t>Description printed over three lines.</t>
  </si>
  <si>
    <t>SRC-06 – Southern Cross Affiliated Provider: Pterygium and Pinguecula Fee Schedule – Anaesthetists Update (faithful extract)</t>
  </si>
  <si>
    <t>One page (p.1), as printed. SXAP anaesthetist fees for pterygium (or pinguecula) excision with conjunctival graft – suture or glue; topical, local, sedation or general anaesthetic; all fees printed incl. GST. New fees effective 1 April 2026.</t>
  </si>
  <si>
    <t>Southern Cross Affiliated Provider (SXAP) – anaesthetist fee incl. GST. If two AP codes used, charge 50% for second procedure. Graft with suture, LA. Likely: matches S+ 'Pterygium' (H6a; generic description – SXAP specifies graft technique and anaesthetic). Numeric code as printed (no 'AP' prefix).</t>
  </si>
  <si>
    <t>Go to SRC-06 row 11</t>
  </si>
  <si>
    <t>Southern Cross Affiliated Provider (SXAP) – anaesthetist fee incl. GST. If two AP codes used, charge 50% for second procedure. Graft with tissue glue, topical anaesthetic. Likely: matches S+ 'Pterygium' (H6a; generic description – SXAP specifies graft technique and anaesthetic). Numeric code as printed (no 'AP' prefix).</t>
  </si>
  <si>
    <t>Go to SRC-06 row 12</t>
  </si>
  <si>
    <t>Southern Cross Affiliated Provider (SXAP) – anaesthetist fee incl. GST. If two AP codes used, charge 50% for second procedure. Graft with glue, LA. Likely: matches S+ 'Pterygium' (H6a; generic description – SXAP specifies graft technique and anaesthetic). Numeric code as printed (no 'AP' prefix).</t>
  </si>
  <si>
    <t>Go to SRC-06 row 13</t>
  </si>
  <si>
    <t>Southern Cross Affiliated Provider (SXAP) – anaesthetist fee incl. GST. If two AP codes used, charge 50% for second procedure. Graft with glue, GA (H6a covers GA over 2 years old – see Q06). Likely: matches S+ 'Pterygium' (H6a; generic description – SXAP specifies graft technique and anaesthetic). Numeric code as printed (no 'AP' prefix).</t>
  </si>
  <si>
    <t>Go to SRC-06 row 14</t>
  </si>
  <si>
    <t>Southern Cross Affiliated Provider (SXAP) – anaesthetist fee incl. GST. If two AP codes used, charge 50% for second procedure. Graft with tissue glue, LA; one eye/two pterygia or two eyes/one pterygium (double procedure priced as one line). Likely: matches S+ 'Pterygium' (H6a; generic description – SXAP specifies graft technique and anaesthetic). Numeric code as printed (no 'AP' prefix).</t>
  </si>
  <si>
    <t>Go to SRC-06 row 15</t>
  </si>
  <si>
    <t>Southern Cross Affiliated Provider (SXAP) – anaesthetist fee incl. GST. If two AP codes used, charge 50% for second procedure. Graft with glue, under sedation. Likely: matches S+ 'Pterygium' (H6a; generic description – SXAP specifies graft technique and anaesthetic).</t>
  </si>
  <si>
    <t>Go to SRC-06 row 16</t>
  </si>
  <si>
    <t>Q21</t>
  </si>
  <si>
    <t>SRC-06 (SXAP pterygium/pinguecula): all 6 rows were coded H6a and placed beneath S+ 'Pterygium' (row 748) as 'Description – likely' – the S+ description is generic, while SXAP specifies graft technique (suture/glue) and anaesthetic (topical, LA, sedation, GA). S+ 'Left Pterygium SCDHB' (row 618) is also H6a but left where it is. Is H6a right for all six, including the GA (7333) and sedation (AP0879) variants?</t>
  </si>
  <si>
    <t>Decides the group and base units (H6a = 4). If the GA case were paediatric it would be H6b (5 units) – see Q06.</t>
  </si>
  <si>
    <t>(a) Keep H6a for all; (b) recode 7333 (GA) separately; (c) treat as a separate descriptive group 'Pterygium excision + conjunctival graft'.</t>
  </si>
  <si>
    <t>Coded H6a, 'Description – likely', reason in Notes; existing S+ rows unchanged.</t>
  </si>
  <si>
    <t>Q22</t>
  </si>
  <si>
    <t>SRC-06 says 'if two AP codes used, charge 50% for second procedure', but 5 of the 6 codes (7329, 7331, 7332, 7333, 7397) are printed without the 'AP' prefix. Does the 50% rule apply to them? And 7397 already prices two pterygia / two eyes as one line ($1,265) – should the 50% rule ever be applied on top of it?</t>
  </si>
  <si>
    <t>Affects the fee charged for combined or bilateral cases.</t>
  </si>
  <si>
    <t>Confirm with Southern Cross / the practice (same issue as Q20 for SRC-05).</t>
  </si>
  <si>
    <t>Rule recorded in Notes on every SRC-06 row; codes kept exactly as printed.</t>
  </si>
  <si>
    <t>Master – SRC-06 7329</t>
  </si>
  <si>
    <t>SRC-06 – NB 50% rule</t>
  </si>
  <si>
    <t>Imported 28 Sep 2026: 1-page schedule, 6 fee lines to 'SRC-06 SXAP Pterygium' (plus 3 heading and 3 note lines); 6 rows to MasterFees. All 6 placed in line beneath S+ 'Pterygium' (H6a, row 748) as Description – likely (7329, 7331, 7332, 7333, 7397, AP0879); 0 unmatched. No RVG codes printed. All fees incl. GST ($1,035 LA/topical/sedation; $1,150 GA; $1,265 two pterygia/two eyes). Rule: if two AP codes used, charge 50% for second procedure. See Open Questions Q21–Q22.</t>
  </si>
  <si>
    <t>SRC-07</t>
  </si>
  <si>
    <t>SXAP PTOSIS AND BLEPHS FEE SCHEDULE FOR ANAESTHETISTS  1 April 2026.pdf</t>
  </si>
  <si>
    <t>SRC-07 SXAP Ptosis Bleph</t>
  </si>
  <si>
    <t>SRC-07 – Southern Cross Affiliated Provider: Blephs and Ptosis Fee Schedule – Anaesthetists Update (faithful extract)</t>
  </si>
  <si>
    <t>One page (p.1), as printed. SXAP anaesthetist fees for blepharoplasty, ptosis repair and combined blepharoplasty &amp; ptosis under LA (Day Stay/Theatre), GA add-on; all fees printed incl. GST. New fees effective 1 April 2026.</t>
  </si>
  <si>
    <t>BLEPHS AND PTOSIS FEE SCHEDULE</t>
  </si>
  <si>
    <t>AP0126</t>
  </si>
  <si>
    <t>Blepharoplasty – unilateral – LA (Day Stay/Theatre)</t>
  </si>
  <si>
    <t>AP0127</t>
  </si>
  <si>
    <t>Blepharoplasty bilateral – LA (Day Stay/Theatre)</t>
  </si>
  <si>
    <t>Description printed over two lines (no dash between 'Blepharoplasty' and 'bilateral', as printed).</t>
  </si>
  <si>
    <t>AP0130</t>
  </si>
  <si>
    <t>Ptosis repair – unilateral – LA (Day Stay/Theatre)</t>
  </si>
  <si>
    <t>AP0131</t>
  </si>
  <si>
    <t>Ptosis repair – bilateral – LA (Day Stay/Theatre)</t>
  </si>
  <si>
    <t>AP0134</t>
  </si>
  <si>
    <t>Blepharoplasty &amp; ptosis unilateral – LA (Day Stay/Theatre)</t>
  </si>
  <si>
    <t>Description printed over three lines (no dash before 'unilateral', as printed).</t>
  </si>
  <si>
    <t>AP0135</t>
  </si>
  <si>
    <t>Blepharoplasty &amp; ptosis bilateral – LA (Day Stay/Theatre)</t>
  </si>
  <si>
    <t>Add-on fee; numeric code (no 'AP' prefix) as printed. Same code, description and fee as SRC-05 row 17.</t>
  </si>
  <si>
    <t>Southern Cross Affiliated Provider (SXAP) – anaesthetist fee incl. GST, LA (Day Stay/Theatre). If two AP codes used, charge 50% for second procedure. GA add-on (8265) +$370 (combined $1,280). Likely: grouped with S+ 'Bilateral Upper Lid Blepharoplasty/Blephs' rows (H1); SXAP doesn't specify upper/lower lid. Unilateral; existing S+ rows are bilateral.</t>
  </si>
  <si>
    <t>Go to SRC-07 row 11</t>
  </si>
  <si>
    <t>Southern Cross Affiliated Provider (SXAP) – anaesthetist fee incl. GST, LA (Day Stay/Theatre). If two AP codes used, charge 50% for second procedure. GA add-on (8265) +$370 (combined $1,400). Likely: grouped with S+ 'Bilateral Upper Lid Blepharoplasty/Blephs' rows (H1); SXAP doesn't specify upper/lower lid.</t>
  </si>
  <si>
    <t>Go to SRC-07 row 12</t>
  </si>
  <si>
    <t>Southern Cross Affiliated Provider (SXAP) – anaesthetist fee incl. GST, LA (Day Stay/Theatre). If two AP codes used, charge 50% for second procedure. GA add-on (8265) +$370 (combined $1,400). Likely: combined blepharoplasty + ptosis; grouped with the H1 blepharoplasty rows (no combined row in master); see Open Questions.</t>
  </si>
  <si>
    <t>Go to SRC-07 row 15</t>
  </si>
  <si>
    <t>Southern Cross Affiliated Provider (SXAP) – anaesthetist fee incl. GST, LA (Day Stay/Theatre). If two AP codes used, charge 50% for second procedure. GA add-on (8265) +$370 (combined $1,695). Likely: combined blepharoplasty + ptosis; grouped with the H1 blepharoplasty rows (no combined row in master); see Open Questions.</t>
  </si>
  <si>
    <t>Go to SRC-07 row 16</t>
  </si>
  <si>
    <t>Southern Cross Affiliated Provider (SXAP) – anaesthetist fee incl. GST, LA (Day Stay/Theatre). If two AP codes used, charge 50% for second procedure. GA add-on (8265) +$370 (combined $1,400). Likely: no ptosis row in master – grouped with the H1 blepharoplasty (eyelid) rows; see Open Questions.</t>
  </si>
  <si>
    <t>Go to SRC-07 row 13</t>
  </si>
  <si>
    <t>Southern Cross Affiliated Provider (SXAP) – anaesthetist fee incl. GST, LA (Day Stay/Theatre). If two AP codes used, charge 50% for second procedure. GA add-on (8265) +$370 (combined $1,620). Likely: no ptosis row in master – grouped with the H1 blepharoplasty (eyelid) rows; see Open Questions.</t>
  </si>
  <si>
    <t>Go to SRC-07 row 14</t>
  </si>
  <si>
    <t>Southern Cross Affiliated Provider (SXAP) – incl. GST. Add-on to the SXAP blepharoplasty/ptosis LA fees: combined $1,280–$1,695. Numeric code as printed. Same code, description and fee as the SRC-05 8265 row directly above – left Unmatched pending Open Questions Q19.</t>
  </si>
  <si>
    <t>Go to SRC-07 row 17</t>
  </si>
  <si>
    <t>Q23</t>
  </si>
  <si>
    <t>SRC-07 (SXAP blephs/ptosis): the 2 blepharoplasty rows (AP0126 unilateral, AP0127 bilateral) were coded H1 and placed beneath S+ 'Bilateral Upper Lid Blepharoplasty/Blephs' (rows 127–131) as 'Description – likely' – SXAP doesn't say upper or lower lid. Other S+ eyelid rows (e.g. 'Bilateral Lower Lid Blephs' rows 68–69, 108; 'Right Upper Lid Blephs' row 898; 'Lower Eyelid Reduction' row 660) are also H1 but left where they are. Is H1 right, or should SXAP eyelid work be H6a (as asked for SRC-05 in Q17)?</t>
  </si>
  <si>
    <t>No base-unit difference today (H1 and H6a are both 4), but it decides the group. Unilateral AP0126 sits with bilateral S+ rows.</t>
  </si>
  <si>
    <t>(a) Keep H1 (consistent with S+ eyelid rows and SRC-05); (b) recode SRC-05/SRC-07 SXAP rows to H6a; (c) move AP0126 next to S+ 'Right Upper Lid Blephs'.</t>
  </si>
  <si>
    <t>Coded H1, 'Description – likely', reason in Notes; existing S+ rows unchanged.</t>
  </si>
  <si>
    <t>Master – SRC-07 AP0126</t>
  </si>
  <si>
    <t>Q24</t>
  </si>
  <si>
    <t>SRC-07 ptosis repair (AP0130 unilateral, AP0131 bilateral) and combined 'Blepharoplasty &amp; ptosis' (AP0134, AP0135): no ptosis row exists in the master, so they were grouped with the H1 blepharoplasty rows as 'Description – likely'. OK, or should ptosis have its own group?</t>
  </si>
  <si>
    <t>A wrong group is worse than Unmatched; ptosis repair (levator surgery) is a different eyelid procedure from blepharoplasty, though both are H1 minor head procedures.</t>
  </si>
  <si>
    <t>(a) Keep grouped under H1 with blepharoplasty; (b) new descriptive group 'Ptosis repair' (and 'Blepharoplasty &amp; ptosis'); (c) leave ptosis rows Unmatched at bottom.</t>
  </si>
  <si>
    <t>Coded H1, 'Description – likely', placed directly beneath the SRC-07 blepharoplasty rows; reason in Notes.</t>
  </si>
  <si>
    <t>Master – SRC-07 AP0130</t>
  </si>
  <si>
    <t>Q25</t>
  </si>
  <si>
    <t>SRC-07 '8265 General Anaesthetic Add on Fee' ($370 incl. GST) is identical (code, wording, fee, date) to the SRC-05 8265 row. Is it one SXAP GA add-on across all SXAP eye schedules? And does the '50% for second procedure' rule apply to it or to combined AP0134/AP0135 rows?</t>
  </si>
  <si>
    <t>If it is one add-on, it could share a single group (see Q19); the 50% rule affects combined cases (e.g. bleph + ptosis billed as two codes vs AP0134/AP0135).</t>
  </si>
  <si>
    <t>(a) Leave both Unmatched until Q19 is answered; (b) new group 'GA add-on (SXAP)' for both rows; confirm 50% rule with Southern Cross (as Q20/Q22).</t>
  </si>
  <si>
    <t>Unmatched at bottom, directly beneath the SRC-05 8265 row; Fee Basis = Add-on; combined totals ($1,280–$1,695) in Notes; 50% rule in Notes on every SRC-07 row.</t>
  </si>
  <si>
    <t>Master – SRC-07 GA add-on</t>
  </si>
  <si>
    <t>Imported 28 Sep 2026: 1-page schedule, 7 fee lines to 'SRC-07 SXAP Ptosis Bleph' (plus 3 heading and 3 note lines); 7 rows to MasterFees. 6 placed in line beneath S+ 'Bilateral Upper Lid Blepharoplasty/Blephs' (H1, rows 127–131) as Description – likely (AP0126, AP0127, AP0134, AP0135, AP0130, AP0131); 0 by RVG code, 0 exact; 1 unmatched at bottom (8265 General Anaesthetic Add on Fee, $370 – identical to the SRC-05 8265 row, placed directly beneath it). No RVG codes printed. All fees incl. GST, LA (Day Stay/Theatre). Rule: if two AP codes used, charge 50% for second procedure. 6 rows inserted from row 132, so Open Questions links Q07, Q08, Q10, Q14, Q19, Q21 re-pointed. See Open Questions Q23–Q25.</t>
  </si>
  <si>
    <t>SRC-03 – Southern Cross Affiliated Provider: MIGS Fee Schedule – Anaesthetists Update (faithful extract)</t>
  </si>
  <si>
    <t>One page (p.1), as printed. SXAP anaesthetist fees for Minimally Invasive Glaucoma Surgery (MIGS) Category A (with goniotomy) and Category B, GA and LA, standalone and add-on to cataract; all fees printed incl. GST. Fees effective 1 April 2026.</t>
  </si>
  <si>
    <t>MIGS FEE SCHEDULE</t>
  </si>
  <si>
    <t>Fees Effective 1 April 2026</t>
  </si>
  <si>
    <t>AP1313</t>
  </si>
  <si>
    <t>Minimally Invasive Glaucoma Surgery and Goniotomy - Category A (GA)</t>
  </si>
  <si>
    <t>AP1314</t>
  </si>
  <si>
    <t>Minimally Invasive Glaucoma Surgery and Goniotomy - Category A - (GA) Add on to Cataract</t>
  </si>
  <si>
    <t>Description printed over three lines. Fee column also prints '(add Cat Fee $405.00 = $950.00)'.</t>
  </si>
  <si>
    <t>AP1315</t>
  </si>
  <si>
    <t>Minimally Invasive Glaucoma Surgery - Category B (GA)</t>
  </si>
  <si>
    <t>AP1316</t>
  </si>
  <si>
    <t>Minimally Invasive Glaucoma Surgery - Category B (GA) Add on to Cataract</t>
  </si>
  <si>
    <t>AP1317</t>
  </si>
  <si>
    <t>Minimally Invasive Glaucoma Surgery and Goniotomy - Category A (LA)</t>
  </si>
  <si>
    <t>AP1318</t>
  </si>
  <si>
    <t>Minimally Invasive Glaucoma Surgery and Goniotomy - Category A (LA) Add on to Cataract</t>
  </si>
  <si>
    <t>Description printed over three lines. Fee column also prints '(add Cat Fee $405.00 = $865.00)'.</t>
  </si>
  <si>
    <t>AP1319</t>
  </si>
  <si>
    <t>Minimally Invasive Glaucoma Surgery - Category B - LA</t>
  </si>
  <si>
    <t>Description printed over two lines. LA without brackets, as printed. Standalone fee ($910) equals the AP1320 combined total – see Open Questions.</t>
  </si>
  <si>
    <t>AP1320</t>
  </si>
  <si>
    <t>Minimally Invasive Glaucoma Surgery Category B - (LA) Add on to Cataract</t>
  </si>
  <si>
    <t>Description printed over three lines; no hyphen after 'Surgery', as printed. Fee column also prints '(add Cat Fee $405.00 = $910.00)'.</t>
  </si>
  <si>
    <t>Southern Cross Affiliated Provider (SXAP) – anaesthetist fee incl. GST. GA. Standalone MIGS Category A with goniotomy. Likely: MIGS is glaucoma surgery – no MIGS row in master and no RVG code printed; grouped with S+ 'Trabeculectomy' (H6a).</t>
  </si>
  <si>
    <t>Go to SRC-03 row 11</t>
  </si>
  <si>
    <t>Southern Cross Affiliated Provider (SXAP) – anaesthetist fee incl. GST. GA. Add-on to cataract: add Cat Fee $405.00 = $950.00 combined (as printed). Likely: MIGS is glaucoma surgery – no MIGS row in master and no RVG code printed; grouped with S+ 'Trabeculectomy' (H6a).</t>
  </si>
  <si>
    <t>Go to SRC-03 row 12</t>
  </si>
  <si>
    <t>Southern Cross Affiliated Provider (SXAP) – anaesthetist fee incl. GST. GA. Standalone MIGS Category B. Likely: MIGS is glaucoma surgery – no MIGS row in master and no RVG code printed; grouped with S+ 'Trabeculectomy' (H6a).</t>
  </si>
  <si>
    <t>Go to SRC-03 row 13</t>
  </si>
  <si>
    <t>Go to SRC-03 row 14</t>
  </si>
  <si>
    <t>Southern Cross Affiliated Provider (SXAP) – anaesthetist fee incl. GST. LA. Standalone MIGS Category A with goniotomy. Likely: MIGS is glaucoma surgery – no MIGS row in master and no RVG code printed; grouped with S+ 'Trabeculectomy' (H6a).</t>
  </si>
  <si>
    <t>Go to SRC-03 row 15</t>
  </si>
  <si>
    <t>Southern Cross Affiliated Provider (SXAP) – anaesthetist fee incl. GST. LA. Add-on to cataract: add Cat Fee $405.00 = $865.00 combined (as printed). Likely: MIGS is glaucoma surgery – no MIGS row in master and no RVG code printed; grouped with S+ 'Trabeculectomy' (H6a).</t>
  </si>
  <si>
    <t>Go to SRC-03 row 16</t>
  </si>
  <si>
    <t>Southern Cross Affiliated Provider (SXAP) – anaesthetist fee incl. GST. LA. Standalone MIGS Category B. Fee as printed equals the AP1320 combined total – possible print error, see Open Questions. Likely: MIGS is glaucoma surgery – no MIGS row in master and no RVG code printed; grouped with S+ 'Trabeculectomy' (H6a).</t>
  </si>
  <si>
    <t>Go to SRC-03 row 17</t>
  </si>
  <si>
    <t>Southern Cross Affiliated Provider (SXAP) – anaesthetist fee incl. GST. LA. Add-on to cataract: add Cat Fee $405.00 = $910.00 combined (as printed). Likely: MIGS is glaucoma surgery – no MIGS row in master and no RVG code printed; grouped with S+ 'Trabeculectomy' (H6a).</t>
  </si>
  <si>
    <t>Go to SRC-03 row 10</t>
  </si>
  <si>
    <t>Q26</t>
  </si>
  <si>
    <t>SRC-03 (SXAP MIGS): all 8 MIGS rows (AP1313–AP1320) were coded H6a and placed beneath S+ 'Trabeculectomy' (row 1023) as 'Description – likely' – no MIGS row exists in the master and SXAP prints no RVG code. Is H6a right for all eight (GA and LA, standalone and add-on to cataract), or should MIGS have its own group?</t>
  </si>
  <si>
    <t>Decides the group and base units (H6a = 4). MIGS is glaucoma surgery like trabeculectomy but a different, shorter procedure; add-on rows are priced on top of a cataract fee.</t>
  </si>
  <si>
    <t>(a) Keep H6a beneath Trabeculectomy; (b) new descriptive group 'MIGS' (still H6a); (c) move the add-on rows beneath the cataract rows.</t>
  </si>
  <si>
    <t>Coded H6a, 'Description – likely', reason in Notes; existing S+ Trabeculectomy row unchanged.</t>
  </si>
  <si>
    <t>Master – SRC-03 AP1313</t>
  </si>
  <si>
    <t>Q27</t>
  </si>
  <si>
    <t>Possible print error</t>
  </si>
  <si>
    <t>SRC-03 AP1319 'MIGS – Category B – LA' (standalone) is printed at $910.00 – the same as the AP1320 combined total (add-on $505 + Cat Fee $405 = $910). For GA, standalone and combined totals match ($950); but for Category A LA, standalone AP1317 is $510 vs combined $865. Is $910 (AP1319) or $510 (AP1317) correct?</t>
  </si>
  <si>
    <t>One of the two LA standalone fees breaks the pattern; a print error would mean over- or under-charging.</t>
  </si>
  <si>
    <t>Confirm AP1317 and AP1319 fees with Southern Cross.</t>
  </si>
  <si>
    <t>Both kept exactly as printed; AP1319 Notes flag the possible print error.</t>
  </si>
  <si>
    <t>Master – SRC-03 AP1319</t>
  </si>
  <si>
    <t>Q28</t>
  </si>
  <si>
    <t>SRC-03 add-on rows (AP1314, AP1316, AP1318, AP1320) say 'add Cat Fee $405.00'. Which cataract fee is this (e.g. the CESL – SX AP cataract fee in SRC-02, not yet extracted)? And what defines MIGS Category A vs Category B (devices/procedures)?</t>
  </si>
  <si>
    <t>Needed to link the add-on to the right cataract row and to pick the right MIGS code.</t>
  </si>
  <si>
    <t>Confirm with Southern Cross / the practice; revisit when SRC-02 is imported.</t>
  </si>
  <si>
    <t>Add-on amount in Fee as Printed (Fee Basis = Add-on); $405 and combined totals recorded in Notes only.</t>
  </si>
  <si>
    <t>Master – SRC-03 AP1314</t>
  </si>
  <si>
    <t>Imported 28 Sep 2026: 1-page schedule, 8 fee lines to 'SRC-03 SXAP MIGS' (plus 3 heading and 2 note lines); 8 rows to MasterFees. All 8 placed in line beneath S+ 'Trabeculectomy' (H6a, row 1023) as Description – likely (AP1313–AP1320); 0 by RVG code, 0 exact, 0 unmatched. No RVG codes printed. All fees incl. GST. MIGS Cat A (with goniotomy) / Cat B, GA vs LA; 4 standalone (Fixed fee) + 4 add-on to cataract (Add-on; 'add Cat Fee $405.00', combined totals $865–$950 in Notes). Possible print error AP1319 ($910 standalone LA). 8 rows inserted from row 1024, so Open Questions links Q10, Q14, Q19, Q25 re-pointed. See Open Questions Q26–Q28.</t>
  </si>
  <si>
    <t>SRC-02 – Christchurch Eye Surgery (CESL): Contract Fees – Anaesthetist Fixed Fee Guide (faithful extract)</t>
  </si>
  <si>
    <t>One page (p.1), as printed. Four payer blocks: SX AP Cataract and SX AP Vitrectomy (from 1 April 2026), HNZ (from 1 October 2025), ACC (from 1 March 2025). Every fee printed both excl. and incl. GST.</t>
  </si>
  <si>
    <t>Fee Excl. GST (as printed)</t>
  </si>
  <si>
    <t>Fee Incl. GST (as printed)</t>
  </si>
  <si>
    <t>D. PATON 7/2/2023</t>
  </si>
  <si>
    <t>Printed top-left above the title. Appears to be an author/date stamp (7 Feb 2023, NZ d/m/y) – earlier than the effective date.</t>
  </si>
  <si>
    <t>CESL CONTRACT FEES</t>
  </si>
  <si>
    <t>Anaesthetist Fixed Fee Guide</t>
  </si>
  <si>
    <t>EFFECTIVE I April 2026</t>
  </si>
  <si>
    <t>Printed 'I' (capital i) rather than '1' – read as 1 April 2026.</t>
  </si>
  <si>
    <t>SX AP Cataract from 1 April 2026</t>
  </si>
  <si>
    <t>Block heading; columns 'Excl. GST' and 'Incl. GST'.</t>
  </si>
  <si>
    <t>All Cataract &amp; IOL</t>
  </si>
  <si>
    <t>Anterior Vitrectomy added to Cataract &amp;IOL</t>
  </si>
  <si>
    <t>No space in '&amp;IOL', as printed. Add-on to cataract fee.</t>
  </si>
  <si>
    <t>Cataract under GA (Add to Cataract fee)</t>
  </si>
  <si>
    <t>(Add to Cataract fee)' printed on a second line.</t>
  </si>
  <si>
    <t>SX AP Vitrectomy from 1 April 2026</t>
  </si>
  <si>
    <t>Up to 60 minutes duration</t>
  </si>
  <si>
    <t>61-90 minutes duration</t>
  </si>
  <si>
    <t>90-120 minutes duration</t>
  </si>
  <si>
    <t>90 minutes appears in both this band and '61-90' – as printed.</t>
  </si>
  <si>
    <t>Over 120 minutes add $100 per additional 15 minutes</t>
  </si>
  <si>
    <t>Description over two lines. Excl. column prints '$86.96 per 15 minutes'; Incl. column prints '$100.00 per extra 15 mins'.</t>
  </si>
  <si>
    <t>Vitrectomy under GA Add to Vitrectomy Fee</t>
  </si>
  <si>
    <t>HNZ from 1 October 2025</t>
  </si>
  <si>
    <t>All Cataract &amp; IOL (WCDHB and CDHB outsourced)</t>
  </si>
  <si>
    <t>WCDHB Outsourced Level 1 Ophthalmic Procedures (&lt;30 mins in theatre)</t>
  </si>
  <si>
    <t>Description over two lines. A stray '0' is printed after '(&lt;30 mins in theatre)' – treated as a print artefact and omitted from the description.</t>
  </si>
  <si>
    <t>WCDHB Outsourced Level 2 Ophthalmic Procedures (&gt;30 mins in theatre)</t>
  </si>
  <si>
    <t>Description over two lines. Exactly 30 mins is in neither band – as printed.</t>
  </si>
  <si>
    <t>ACC from 1 March 2025</t>
  </si>
  <si>
    <t>OPT101</t>
  </si>
  <si>
    <t>Cataract Extraction Simple - Phacoemulsion and IOL</t>
  </si>
  <si>
    <t>Code printed at the start of the description. 'Phacoemulsion' as printed.</t>
  </si>
  <si>
    <t>*Refer to Full list of ACC Core pricing for all Core OPT codes</t>
  </si>
  <si>
    <t>Other ACC OPT codes are not listed in this document.</t>
  </si>
  <si>
    <t>CESL – SX AP</t>
  </si>
  <si>
    <t>Excl</t>
  </si>
  <si>
    <t>p.1 – SX AP Vitrectomy</t>
  </si>
  <si>
    <t>Christchurch Eye Surgery (CESL) contract. SX AP vitrectomy, time band up to 60 mins. Printed excl. $739.13 / incl. $850.00. Likely: grouped with S+ 'Vitrectomy' rows (H6a).</t>
  </si>
  <si>
    <t>Go to SRC-02 row 14</t>
  </si>
  <si>
    <t>Christchurch Eye Surgery (CESL) contract. SX AP vitrectomy, time band 61–90 mins. Printed excl. $834.78 / incl. $960.00. Likely: grouped with S+ 'Vitrectomy' rows (H6a).</t>
  </si>
  <si>
    <t>Go to SRC-02 row 15</t>
  </si>
  <si>
    <t>Christchurch Eye Surgery (CESL) contract. SX AP vitrectomy, time band 90–120 mins (90 mins also in the 61–90 band, as printed). Printed excl. $865.22 / incl. $995.00. Likely: grouped with S+ 'Vitrectomy' rows (H6a).</t>
  </si>
  <si>
    <t>Go to SRC-02 row 16</t>
  </si>
  <si>
    <t>Christchurch Eye Surgery (CESL) contract. SX AP vitrectomy, per additional 15 mins over 120 mins – presumably added to the 90–120 band fee (not stated). Printed excl. '$86.96 per 15 minutes' / incl. '$100.00 per extra 15 mins'. Likely: grouped with S+ 'Vitrectomy' rows (H6a).</t>
  </si>
  <si>
    <t>Go to SRC-02 row 17</t>
  </si>
  <si>
    <t>Christchurch Eye Surgery (CESL) contract. GA add-on to SX AP vitrectomy fee (added to the applicable time band). Printed excl. $334.78 / incl. $385.00. Likely: grouped with S+ 'Vitrectomy' rows (H6a).</t>
  </si>
  <si>
    <t>Go to SRC-02 row 18</t>
  </si>
  <si>
    <t>p.1 – SX AP Cataract</t>
  </si>
  <si>
    <t>Christchurch Eye Surgery (CESL) contract. Southern Cross Affiliated Provider (SX AP), LA. Printed excl. $357.39 / incl. $411.00. Likely: generic 'All Cataract &amp; IOL' grouped with S+ cataract extraction + IOL rows (H6a). SRC-03 MIGS add-ons quote 'Cat Fee $405.00', which differs from $411.00 – see Open Questions.</t>
  </si>
  <si>
    <t>Go to SRC-02 row 10</t>
  </si>
  <si>
    <t>CESL – HNZ</t>
  </si>
  <si>
    <t>p.1 – HNZ</t>
  </si>
  <si>
    <t>Christchurch Eye Surgery (CESL) contract. Health NZ outsourced cataract (WCDHB and CDHB). Printed excl. $338.00 / incl. $388.70. Likely: grouped with S+ cataract rows (H6a), which include CDHB/WCDHB cataract lines.</t>
  </si>
  <si>
    <t>Go to SRC-02 row 20</t>
  </si>
  <si>
    <t>CESL – ACC</t>
  </si>
  <si>
    <t>p.1 – ACC</t>
  </si>
  <si>
    <t>Christchurch Eye Surgery (CESL) contract. ACC core price. Printed excl. $450.00 / incl. $517.50. Likely: phaco + IOL grouped with S+ cataract extraction + IOL rows (H6a). Document refers to the full ACC Core pricing list for other OPT codes (not in this document).</t>
  </si>
  <si>
    <t>Go to SRC-02 row 24</t>
  </si>
  <si>
    <t>Christchurch Eye Surgery (CESL) contract. Add-on to SX AP 'All Cataract &amp; IOL': combined $457.39 excl. / $526.00 incl. Printed excl. $100.00 / incl. $115.00. Likely: add-on grouped with the cataract rows (H6a).</t>
  </si>
  <si>
    <t>Go to SRC-02 row 11</t>
  </si>
  <si>
    <t>Christchurch Eye Surgery (CESL) contract. GA add-on to SX AP cataract fee: combined $692.17 excl. / $796.00 incl. Printed excl. $334.78 / incl. $385.00. Likely: grouped with the cataract rows (H6a covers GA over 2 years; see Q06 for paediatric).</t>
  </si>
  <si>
    <t>Go to SRC-02 row 12</t>
  </si>
  <si>
    <t>Christchurch Eye Surgery (CESL) contract. Health NZ – WCDHB outsourced Level 1 ophthalmic procedures, under 30 mins in theatre. Printed excl. $572.00 / incl. $657.80. Generic procedure category (not one procedure) – left Unmatched, see Open Questions. Stray '0' printed after the description omitted.</t>
  </si>
  <si>
    <t>Go to SRC-02 row 21</t>
  </si>
  <si>
    <t>Christchurch Eye Surgery (CESL) contract. Health NZ – WCDHB outsourced Level 2 ophthalmic procedures, over 30 mins in theatre. Printed excl. $728.00 / incl. $837.20. Generic procedure category (not one procedure) – left Unmatched, see Open Questions.</t>
  </si>
  <si>
    <t>Go to SRC-02 row 22</t>
  </si>
  <si>
    <t>Q29</t>
  </si>
  <si>
    <t>SRC-02 (CESL): 10 rows were coded H6a and placed in line as 'Description – likely' – 5 cataract rows (SX AP 'All Cataract &amp; IOL', HNZ cataract, ACC OPT101, SX AP anterior vitrectomy add-on, SX AP cataract-under-GA add-on) beneath the S+ 'Cataract …' rows (after row 182), and 5 SX AP vitrectomy rows (3 time bands, per-15-min extension, GA add-on) beneath S+ 'Vitrectomy - Right' (row 1083). Are H6a and these placements right, especially for the add-on and time-extension rows?</t>
  </si>
  <si>
    <t>Decides the group and base units (H6a = 4). Add-ons and time extensions are not standalone procedures, so grouping them with the main procedure could be misread as a full fee.</t>
  </si>
  <si>
    <t>(a) Keep all 10 as placed; (b) new descriptive groups (e.g. 'Cataract add-on', 'Vitrectomy time band'); (c) move the add-on rows to the bottom as Unmatched.</t>
  </si>
  <si>
    <t>Coded H6a, 'Description – likely', reason and combined totals in Notes; existing S+ rows unchanged (already H6a).</t>
  </si>
  <si>
    <t>Master – SRC-02 All Cataract &amp; IOL</t>
  </si>
  <si>
    <t>Q30</t>
  </si>
  <si>
    <t>SRC-02 HNZ 'WCDHB Outsourced Level 1 Ophthalmic Procedures (&lt;30 mins in theatre)' ($572 excl.) and 'Level 2 (&gt;30 mins in theatre)' ($728 excl.) are generic categories covering any ophthalmic procedure by theatre time, not a single procedure. Group them under H6a (ocular) or leave unmatched? Which procedures fall in Level 1 vs Level 2, and which band applies at exactly 30 mins?</t>
  </si>
  <si>
    <t>H6a describes a single ocular procedure; coding a whole category could mislead comparisons. The 30-minute boundary is not covered by either band as printed.</t>
  </si>
  <si>
    <t>(a) Leave Unmatched; (b) code H6a and move beneath the S+ eye rows; (c) new group 'HNZ ophthalmic Level 1/2'. Confirm definitions with CESL / Health NZ.</t>
  </si>
  <si>
    <t>Unmatched at bottom of master; Fee Basis = Time band. A stray '0' printed after the Level 1 description was omitted (noted on SRC-02 tab).</t>
  </si>
  <si>
    <t>Master – SRC-02 HNZ Level 1</t>
  </si>
  <si>
    <t>Q31</t>
  </si>
  <si>
    <t>Fee discrepancy</t>
  </si>
  <si>
    <t>SRC-03 MIGS add-on rows say 'add Cat Fee $405.00' (incl. GST), but SRC-02 prints the SX AP 'All Cataract &amp; IOL' fee from 1 April 2026 as $411.00 incl. GST ($357.39 excl.). Which cataract fee should be combined with the MIGS add-ons? (Follows up Q28.)</t>
  </si>
  <si>
    <t>The combined MIGS + cataract totals in SRC-03 Notes ($865–$950) assume $405; with $411 they would be $6 higher.</t>
  </si>
  <si>
    <t>Confirm with Southern Cross / CESL whether $405 is an older or different cataract fee.</t>
  </si>
  <si>
    <t>Both kept exactly as printed; SRC-03 Notes unchanged; SRC-02 row Notes flag the difference.</t>
  </si>
  <si>
    <t>Master – SRC-02 SX AP cataract fee</t>
  </si>
  <si>
    <t>Q32</t>
  </si>
  <si>
    <t>GST basis / template</t>
  </si>
  <si>
    <t>SRC-02 prints every fee both excl. and incl. GST. The master has one 'Fee as Printed' column, so the excl. figure was recorded (GST Basis = Excl) and the incl. figure is calculated (matches the printed incl. to the cent after rounding) and also quoted in Notes. OK, or add a 'Fee Incl. GST as Printed' column to MasterFees?</t>
  </si>
  <si>
    <t>SX AP fees look set on an incl. basis ($411, $850), HNZ/ACC on excl. ($338, $450); users may expect the round figure in column M.</t>
  </si>
  <si>
    <t>(a) Keep excl. in M for all SRC-02 rows; (b) record incl. for SX AP rows and excl. for HNZ/ACC; (c) add a new column 'Fee Incl. GST as Printed'.</t>
  </si>
  <si>
    <t>Excl. in column M for all 12 rows; printed incl. in Notes; full extract (both columns) on the SRC-02 tab.</t>
  </si>
  <si>
    <t>Master – SRC-02 SX AP fee as printed</t>
  </si>
  <si>
    <t>Q33</t>
  </si>
  <si>
    <t>Effective dates / definitions</t>
  </si>
  <si>
    <t>SRC-02 shows 'EFFECTIVE I April 2026' (read as 1 April 2026) and a stamp 'D. PATON 7/2/2023', but the HNZ block is 'from 1 October 2025' and the ACC block 'from 1 March 2025'. Are the HNZ and ACC fees still current? Also: vitrectomy bands print '61-90' and '90-120' (90 mins in both) – which applies at exactly 90 mins, and is the 'over 120 minutes' $100 per 15 mins added to the 90–120 band fee?</t>
  </si>
  <si>
    <t>Effective Date (column R) tells current fees from old ones; band boundaries decide which fee is charged.</t>
  </si>
  <si>
    <t>Confirm with CESL.</t>
  </si>
  <si>
    <t>Effective dates per block as printed (SX AP 1 Apr 2026, HNZ 1 Oct 2025, ACC 1 Mar 2025); time bands kept as printed; 'presumably added to the 90–120 band' stated in Notes.</t>
  </si>
  <si>
    <t>Master – SRC-02 HNZ effective date</t>
  </si>
  <si>
    <t>Imported 28 Sep 2026: 1-page schedule, 12 fee lines to 'SRC-02 CESL' (plus 6 heading and 3 note lines); 12 rows to MasterFees. 4 payer blocks: SX AP Cataract (3) &amp; SX AP Vitrectomy (5) from 1 Apr 2026, HNZ (3) from 1 Oct 2025, ACC OPT101 (1) from 1 Mar 2025. 10 placed in line as Description – likely (H6a): 5 cataract rows (incl. HNZ cataract, ACC OPT101 and 2 SX AP add-ons) beneath S+ 'Cataract Right' (rows 183–187); 5 vitrectomy rows (3 time bands, per-15-min, GA add-on) beneath S+ 'Vitrectomy - Right' (rows 1084–1088). 0 by RVG code, 0 exact; 2 unmatched at bottom (HNZ WCDHB Level 1 / Level 2 Ophthalmic Procedures). No RVG codes printed. Fees printed excl. AND incl. GST – master column M holds excl. (GST Basis = Excl), incl. calculated and quoted in Notes. SX AP cataract $411 incl. vs SRC-03 'Cat Fee $405'. Rows inserted from 183 and 1084, so Open Questions links Q07, Q08, Q10, Q14, Q19, Q21, Q25, Q26, Q27, Q28 re-pointed. See Open Questions Q29–Q33.</t>
  </si>
  <si>
    <t xml:space="preserve">CES HNZ Contract </t>
  </si>
  <si>
    <t>Annaesthetists Fees all Exclude GST</t>
  </si>
  <si>
    <t xml:space="preserve">commitment </t>
  </si>
  <si>
    <t xml:space="preserve">panel </t>
  </si>
  <si>
    <t>Booking code</t>
  </si>
  <si>
    <t xml:space="preserve">Anaes </t>
  </si>
  <si>
    <t xml:space="preserve">HNZCATall </t>
  </si>
  <si>
    <t>Cataract  - inclusive of Standard  Intraocular Lens (Unilateral)</t>
  </si>
  <si>
    <t>HNZ01</t>
  </si>
  <si>
    <t>Corneal Transplants – Full thickness</t>
  </si>
  <si>
    <t>HNZ02</t>
  </si>
  <si>
    <t>Corneal Transplants – Partial thickness</t>
  </si>
  <si>
    <t>HNZ03</t>
  </si>
  <si>
    <t>Removal of corneal sutures</t>
  </si>
  <si>
    <t>HNZ04</t>
  </si>
  <si>
    <t>Crosslinking</t>
  </si>
  <si>
    <t>HNZ05</t>
  </si>
  <si>
    <t>EDTA Chelation</t>
  </si>
  <si>
    <t>HNZ06</t>
  </si>
  <si>
    <t>Excision of pterygium +/- conjunctival graft</t>
  </si>
  <si>
    <t>HNZ07</t>
  </si>
  <si>
    <t xml:space="preserve">DSAEK </t>
  </si>
  <si>
    <t>HNZ08</t>
  </si>
  <si>
    <t>Ophthalmological examination (examination under anaesthetic)</t>
  </si>
  <si>
    <t>HNZ09</t>
  </si>
  <si>
    <t>Trabulectomy +/- MMC</t>
  </si>
  <si>
    <t>HNZ10</t>
  </si>
  <si>
    <t>Insertion of a tube implant +/- scleral patch</t>
  </si>
  <si>
    <t>HNZ11</t>
  </si>
  <si>
    <t>Destruction of ciliary body</t>
  </si>
  <si>
    <t>HNZ12</t>
  </si>
  <si>
    <t>Destruction procedures on retina, choroid or posterior chamber</t>
  </si>
  <si>
    <t>HNZ13</t>
  </si>
  <si>
    <t>Iridoplasty</t>
  </si>
  <si>
    <t>HNZ14</t>
  </si>
  <si>
    <t>Canthoplasty/Canthotomy</t>
  </si>
  <si>
    <t>HNZ15</t>
  </si>
  <si>
    <t>Canthal Sling</t>
  </si>
  <si>
    <t>HNZ16</t>
  </si>
  <si>
    <t>Lateral Tarsal Strip (LTS) +/- 3 snip punctoplasty +/- everting sutures</t>
  </si>
  <si>
    <t>HNZ17</t>
  </si>
  <si>
    <t>Conjunctivoplasty +/- 3 snip punctoplasty +/- sutures</t>
  </si>
  <si>
    <t>HNZ18</t>
  </si>
  <si>
    <t>3 snip punctoplasty</t>
  </si>
  <si>
    <t>HNZ19</t>
  </si>
  <si>
    <t>Cyst Excision and curettage</t>
  </si>
  <si>
    <t>HNZ20</t>
  </si>
  <si>
    <t>Entropian repair</t>
  </si>
  <si>
    <t>HNZ21</t>
  </si>
  <si>
    <t>Ectropian repair</t>
  </si>
  <si>
    <t>HNZ22</t>
  </si>
  <si>
    <t>Epiblepharon repair</t>
  </si>
  <si>
    <t>HNZ23</t>
  </si>
  <si>
    <t>Blepharoplasty</t>
  </si>
  <si>
    <t>HNZ24</t>
  </si>
  <si>
    <t>Punctoplasty +/- syringing</t>
  </si>
  <si>
    <t>HNZ25</t>
  </si>
  <si>
    <t>Lump/Mass Excision +/- Biopsy +/- frozen section</t>
  </si>
  <si>
    <t>HNZ26</t>
  </si>
  <si>
    <t>Pentagon Excision Biopsy</t>
  </si>
  <si>
    <t>HNZ27</t>
  </si>
  <si>
    <t>Lesion Excision +/- Biopsy</t>
  </si>
  <si>
    <t>HNZ28</t>
  </si>
  <si>
    <t>Chalazion incision +/- curettage</t>
  </si>
  <si>
    <t>HNZ29</t>
  </si>
  <si>
    <t>Wedge Excision</t>
  </si>
  <si>
    <t>HNZ30</t>
  </si>
  <si>
    <t>Insertion of Gold Weight</t>
  </si>
  <si>
    <t>HNZ31</t>
  </si>
  <si>
    <t>Enucleation +/- insertion of orbital implant +/- sclera</t>
  </si>
  <si>
    <t>HNZ32</t>
  </si>
  <si>
    <t>Evisceration +/- implant</t>
  </si>
  <si>
    <t>HNZ33</t>
  </si>
  <si>
    <t>Brow lift/pexy</t>
  </si>
  <si>
    <t>HNZ35</t>
  </si>
  <si>
    <t>Membrane graft and fornix suture</t>
  </si>
  <si>
    <t>HNZ37</t>
  </si>
  <si>
    <t>Deroofing +/- cautery</t>
  </si>
  <si>
    <t>HNZ38</t>
  </si>
  <si>
    <t>Insertion/removal of sutures</t>
  </si>
  <si>
    <t>HNZ39</t>
  </si>
  <si>
    <t>Biopsy of eyelid</t>
  </si>
  <si>
    <t>HNZ40</t>
  </si>
  <si>
    <t>Correction of ptosis of eyelid by resection or advancement of levator muscle (Unilateral)</t>
  </si>
  <si>
    <t>HNZ41</t>
  </si>
  <si>
    <t>Correction of ptosis of eyelid by resection or advancement of levator muscle (Bilateral)</t>
  </si>
  <si>
    <t>HNZ42</t>
  </si>
  <si>
    <t>Excision of lesion of skin and subcutaneous tissue of eyelid</t>
  </si>
  <si>
    <t>HNZ43</t>
  </si>
  <si>
    <t>Microscopically controlled serial excision of lesion of skin</t>
  </si>
  <si>
    <t>HNZ44</t>
  </si>
  <si>
    <t>Destruction procedures on eyelash follicle (Electrolysis)</t>
  </si>
  <si>
    <t>HNZ45</t>
  </si>
  <si>
    <t>Reconstruction of eyelid</t>
  </si>
  <si>
    <t>HNZ46</t>
  </si>
  <si>
    <t>Dacryocystorhinostomy [DCR]</t>
  </si>
  <si>
    <t>HNZ47</t>
  </si>
  <si>
    <t>Lateral Tarsal Strip (LTS) procedure</t>
  </si>
  <si>
    <t>HNZ48</t>
  </si>
  <si>
    <t>Tarsorrhaphy</t>
  </si>
  <si>
    <t>HNZ49</t>
  </si>
  <si>
    <t>Squint procedure (one eye) 1 muscle</t>
  </si>
  <si>
    <t>HNZ50</t>
  </si>
  <si>
    <t>Squint procedure (one eye) 2 muscle</t>
  </si>
  <si>
    <t>HNZ51</t>
  </si>
  <si>
    <t>Squint procedure (one eye) 3 muscle</t>
  </si>
  <si>
    <t>HNZ52</t>
  </si>
  <si>
    <t>Squint procedure (one eye) 4 muscle</t>
  </si>
  <si>
    <t>HNZ53</t>
  </si>
  <si>
    <t>Syringe and Probe Unilateral</t>
  </si>
  <si>
    <t>HNZ54</t>
  </si>
  <si>
    <t>Syringe and Probe Bilateral</t>
  </si>
  <si>
    <t>HNZ55</t>
  </si>
  <si>
    <t>Removal of vitreous, pars plana approach</t>
  </si>
  <si>
    <t>HNZ57</t>
  </si>
  <si>
    <t>Repair of retinal detachment</t>
  </si>
  <si>
    <t>HNZ58</t>
  </si>
  <si>
    <t>Repair of macula hole</t>
  </si>
  <si>
    <t>HNZ59</t>
  </si>
  <si>
    <t>Epiretinal membrane peel</t>
  </si>
  <si>
    <t>HNZ64</t>
  </si>
  <si>
    <r>
      <t xml:space="preserve">Vity +EMR Peel LAS </t>
    </r>
    <r>
      <rPr>
        <sz val="12"/>
        <rFont val="Arial"/>
        <family val="2"/>
      </rPr>
      <t xml:space="preserve">(Vitrectomy + Epiretinal Membrane Peel + Laser Photocoagulation) </t>
    </r>
  </si>
  <si>
    <t>HNZ65</t>
  </si>
  <si>
    <r>
      <t xml:space="preserve">Vity +EMR Peel + CAT LAS </t>
    </r>
    <r>
      <rPr>
        <sz val="12"/>
        <rFont val="Arial"/>
        <family val="2"/>
      </rPr>
      <t xml:space="preserve">(Vitrectomy + Epiretinal Membrane Peel + Cataract Procedure + Laser Treatment) </t>
    </r>
  </si>
  <si>
    <t>SRC-08</t>
  </si>
  <si>
    <t>HNZ CES ANAES FEES (worksheet tab in this workbook, titled 'CES HNZ Contract')</t>
  </si>
  <si>
    <t>Christchurch Eye Surgery (CESL) – Health NZ contract</t>
  </si>
  <si>
    <t>Fixed fee (commitment &amp; panel)</t>
  </si>
  <si>
    <t>Not printed</t>
  </si>
  <si>
    <t>Excl. GST only</t>
  </si>
  <si>
    <t>SRC-08 CES HNZ</t>
  </si>
  <si>
    <t>SRC-08 – Christchurch Eye Surgery (CESL): CES HNZ Contract – anaesthetist fees (faithful extract)</t>
  </si>
  <si>
    <t>Copied as printed from the worksheet 'HNZ CES ANAES FEES ' (one sheet, source rows 3–70). Two fee tiers per procedure: 'commitment' and 'panel'. All fees excl. GST. No effective date printed. Codes HNZ34, HNZ36, HNZ56 and HNZ60–HNZ63 are not listed; HNZ49–HNZ52 are printed twice.</t>
  </si>
  <si>
    <t>Source Row</t>
  </si>
  <si>
    <t>Anaes Fee – Commitment (as printed)</t>
  </si>
  <si>
    <t>Anaes Fee – Panel (as printed)</t>
  </si>
  <si>
    <t>CES HNZ Contract</t>
  </si>
  <si>
    <t>Title printed in column A.</t>
  </si>
  <si>
    <t>commitment</t>
  </si>
  <si>
    <t>panel</t>
  </si>
  <si>
    <t>Annaesthetists' as printed. Tier labels 'commitment' (over column D) and 'panel' (over column F) printed on the same line; trailing spaces dropped. All fees excl. GST. No effective date printed anywhere.</t>
  </si>
  <si>
    <t>Anaes</t>
  </si>
  <si>
    <t>Column headings as printed (Anaes = anaesthetist fee) – source columns A, B, D, F.</t>
  </si>
  <si>
    <t>HNZCATall</t>
  </si>
  <si>
    <t>Trailing space in source dropped.</t>
  </si>
  <si>
    <t>DSAEK</t>
  </si>
  <si>
    <t>Trailing space in source dropped. Commitment and panel fees differ.</t>
  </si>
  <si>
    <t>Trabulectomy' as printed (= trabeculectomy).</t>
  </si>
  <si>
    <t>Commitment and panel fees differ.</t>
  </si>
  <si>
    <t>Entropian' as printed (= entropion).</t>
  </si>
  <si>
    <t>Ectropian' as printed (= ectropion).</t>
  </si>
  <si>
    <t>Fee (duplicate)</t>
  </si>
  <si>
    <t>Printed a second time – identical to source row 55 (code, description and both fees). Merged to master once. Commitment and panel fees differ.</t>
  </si>
  <si>
    <t>Printed a second time – identical to source row 56 (code, description and both fees). Merged to master once. Commitment and panel fees differ.</t>
  </si>
  <si>
    <t>Printed a second time – identical to source row 57 (code, description and both fees). Merged to master once. Commitment and panel fees differ.</t>
  </si>
  <si>
    <t>Printed a second time – identical to source row 58 (code, description and both fees). Merged to master once. Commitment and panel fees differ.</t>
  </si>
  <si>
    <t>Vity +EMR Peel LAS (Vitrectomy + Epiretinal Membrane Peel + Laser Photocoagulation)</t>
  </si>
  <si>
    <t>Trailing space in source dropped. Expansion in brackets printed as part of the description.</t>
  </si>
  <si>
    <t>Vity +EMR Peel + CAT LAS (Vitrectomy + Epiretinal Membrane Peel + Cataract Procedure + Laser Treatment)</t>
  </si>
  <si>
    <t>CESL – HNZ (commitment)</t>
  </si>
  <si>
    <t>Sheet row 11 – commitment</t>
  </si>
  <si>
    <t>CES HNZ Contract (Health NZ), commitment tier. Same fee in the panel tier. Printed excl. GST; no effective date printed. Likely: no similar description in the master; ocular procedure, so grouped by the RVG group H6a (ocular procedure under LA/eye block/GA &gt; 2 yo) beneath the NZSA RVG H6a row.</t>
  </si>
  <si>
    <t>CESL – HNZ (panel)</t>
  </si>
  <si>
    <t>Sheet row 11 – panel</t>
  </si>
  <si>
    <t>CES HNZ Contract (Health NZ), panel tier. Same fee in the commitment tier. Printed excl. GST; no effective date printed. Likely: no similar description in the master; ocular procedure, so grouped by the RVG group H6a (ocular procedure under LA/eye block/GA &gt; 2 yo) beneath the NZSA RVG H6a row.</t>
  </si>
  <si>
    <t>Sheet row 12 – commitment</t>
  </si>
  <si>
    <t>Sheet row 12 – panel</t>
  </si>
  <si>
    <t>Sheet row 16 – commitment</t>
  </si>
  <si>
    <t>Sheet row 16 – panel</t>
  </si>
  <si>
    <t>Sheet row 19 – commitment</t>
  </si>
  <si>
    <t>Sheet row 19 – panel</t>
  </si>
  <si>
    <t>Sheet row 20 – commitment</t>
  </si>
  <si>
    <t>Sheet row 20 – panel</t>
  </si>
  <si>
    <t>Sheet row 21 – commitment</t>
  </si>
  <si>
    <t>Sheet row 21 – panel</t>
  </si>
  <si>
    <t>Sheet row 39 – commitment</t>
  </si>
  <si>
    <t>CES HNZ Contract (Health NZ), commitment tier. Panel tier fee $1000. Printed excl. GST; no effective date printed. Likely: no similar description in the master; ocular procedure, so grouped by the RVG group H6a (ocular procedure under LA/eye block/GA &gt; 2 yo) beneath the NZSA RVG H6a row.</t>
  </si>
  <si>
    <t>Sheet row 39 – panel</t>
  </si>
  <si>
    <t>CES HNZ Contract (Health NZ), panel tier. Commitment tier fee $950. Printed excl. GST; no effective date printed. Likely: no similar description in the master; ocular procedure, so grouped by the RVG group H6a (ocular procedure under LA/eye block/GA &gt; 2 yo) beneath the NZSA RVG H6a row.</t>
  </si>
  <si>
    <t>Sheet row 40 – commitment</t>
  </si>
  <si>
    <t>Sheet row 40 – panel</t>
  </si>
  <si>
    <t>Sheet row 42 – commitment</t>
  </si>
  <si>
    <t>Sheet row 42 – panel</t>
  </si>
  <si>
    <t>Sheet row 44 – commitment</t>
  </si>
  <si>
    <t>CES HNZ Contract (Health NZ), commitment tier. Panel tier fee $500. Printed excl. GST; no effective date printed. Likely: no similar description in the master; ocular procedure, so grouped by the RVG group H6a (ocular procedure under LA/eye block/GA &gt; 2 yo) beneath the NZSA RVG H6a row.</t>
  </si>
  <si>
    <t>Sheet row 44 – panel</t>
  </si>
  <si>
    <t>CES HNZ Contract (Health NZ), panel tier. Commitment tier fee $480. Printed excl. GST; no effective date printed. Likely: no similar description in the master; ocular procedure, so grouped by the RVG group H6a (ocular procedure under LA/eye block/GA &gt; 2 yo) beneath the NZSA RVG H6a row.</t>
  </si>
  <si>
    <t>Sheet row 61 – commitment</t>
  </si>
  <si>
    <t>CES HNZ Contract (Health NZ), commitment tier. Same fee in the panel tier. Printed excl. GST; no effective date printed. Likely: vitreoretinal surgery – grouped with S+ 'Vitrectomy' rows and the SRC-02 vitrectomy rows (H6a).</t>
  </si>
  <si>
    <t>Sheet row 61 – panel</t>
  </si>
  <si>
    <t>CES HNZ Contract (Health NZ), panel tier. Same fee in the commitment tier. Printed excl. GST; no effective date printed. Likely: vitreoretinal surgery – grouped with S+ 'Vitrectomy' rows and the SRC-02 vitrectomy rows (H6a).</t>
  </si>
  <si>
    <t>Sheet row 62 – commitment</t>
  </si>
  <si>
    <t>Sheet row 62 – panel</t>
  </si>
  <si>
    <t>Sheet row 64 – commitment</t>
  </si>
  <si>
    <t>Sheet row 64 – panel</t>
  </si>
  <si>
    <t>Sheet row 69 – commitment</t>
  </si>
  <si>
    <t>Sheet row 69 – panel</t>
  </si>
  <si>
    <t>Sheet row 70 – commitment</t>
  </si>
  <si>
    <t>Sheet row 70 – panel</t>
  </si>
  <si>
    <t>Sheet row 17 – commitment</t>
  </si>
  <si>
    <t>CES HNZ Contract (Health NZ), commitment tier. Same fee in the panel tier. Printed excl. GST; no effective date printed. Likely: matched to S+ 'Trabeculectomy' and the SRC-03 glaucoma rows (H6a).</t>
  </si>
  <si>
    <t>Sheet row 17 – panel</t>
  </si>
  <si>
    <t>CES HNZ Contract (Health NZ), panel tier. Same fee in the commitment tier. Printed excl. GST; no effective date printed. Likely: matched to S+ 'Trabeculectomy' and the SRC-03 glaucoma rows (H6a).</t>
  </si>
  <si>
    <t>Sheet row 26 – commitment</t>
  </si>
  <si>
    <t>CES HNZ Contract (Health NZ), commitment tier. Same fee in the panel tier. Printed excl. GST; no effective date printed. Likely: lacrimal procedure – matched to S+ 'Syringe And Probe' (H6a).</t>
  </si>
  <si>
    <t>Sheet row 26 – panel</t>
  </si>
  <si>
    <t>CES HNZ Contract (Health NZ), panel tier. Same fee in the commitment tier. Printed excl. GST; no effective date printed. Likely: lacrimal procedure – matched to S+ 'Syringe And Probe' (H6a).</t>
  </si>
  <si>
    <t>Sheet row 32 – commitment</t>
  </si>
  <si>
    <t>CES HNZ Contract (Health NZ), commitment tier. Panel tier fee $800. Printed excl. GST; no effective date printed. Likely: lacrimal procedure – matched to S+ 'Syringe And Probe' (H6a).</t>
  </si>
  <si>
    <t>Sheet row 32 – panel</t>
  </si>
  <si>
    <t>CES HNZ Contract (Health NZ), panel tier. Commitment tier fee $750. Printed excl. GST; no effective date printed. Likely: lacrimal procedure – matched to S+ 'Syringe And Probe' (H6a).</t>
  </si>
  <si>
    <t>Sheet row 59 – commitment</t>
  </si>
  <si>
    <t>CES HNZ Contract (Health NZ), commitment tier. Same fee in the panel tier. Printed excl. GST; no effective date printed. Exact: same procedure as S+ 'Syringe And Probe' (laterality added).</t>
  </si>
  <si>
    <t>Sheet row 59 – panel</t>
  </si>
  <si>
    <t>CES HNZ Contract (Health NZ), panel tier. Same fee in the commitment tier. Printed excl. GST; no effective date printed. Exact: same procedure as S+ 'Syringe And Probe' (laterality added).</t>
  </si>
  <si>
    <t>Sheet row 60 – commitment</t>
  </si>
  <si>
    <t>Sheet row 60 – panel</t>
  </si>
  <si>
    <t>Sheet row 55 – commitment</t>
  </si>
  <si>
    <t>CES HNZ Contract (Health NZ), commitment tier. Panel tier fee $800. Printed excl. GST; no effective date printed. Likely: matched to S+ 'Squint Repair' / 'Strabismus' (H6a). Printed twice in the source (rows 55 and 65, identical) – added once.</t>
  </si>
  <si>
    <t>Sheet row 55 – panel</t>
  </si>
  <si>
    <t>CES HNZ Contract (Health NZ), panel tier. Commitment tier fee $750. Printed excl. GST; no effective date printed. Likely: matched to S+ 'Squint Repair' / 'Strabismus' (H6a). Printed twice in the source (rows 55 and 65, identical) – added once.</t>
  </si>
  <si>
    <t>Sheet row 56 – commitment</t>
  </si>
  <si>
    <t>CES HNZ Contract (Health NZ), commitment tier. Panel tier fee $900. Printed excl. GST; no effective date printed. Likely: matched to S+ 'Squint Repair' / 'Strabismus' (H6a). Printed twice in the source (rows 56 and 66, identical) – added once.</t>
  </si>
  <si>
    <t>Sheet row 56 – panel</t>
  </si>
  <si>
    <t>CES HNZ Contract (Health NZ), panel tier. Commitment tier fee $850. Printed excl. GST; no effective date printed. Likely: matched to S+ 'Squint Repair' / 'Strabismus' (H6a). Printed twice in the source (rows 56 and 66, identical) – added once.</t>
  </si>
  <si>
    <t>Sheet row 57 – commitment</t>
  </si>
  <si>
    <t>CES HNZ Contract (Health NZ), commitment tier. Panel tier fee $950. Printed excl. GST; no effective date printed. Likely: matched to S+ 'Squint Repair' / 'Strabismus' (H6a). Printed twice in the source (rows 57 and 67, identical) – added once.</t>
  </si>
  <si>
    <t>Sheet row 57 – panel</t>
  </si>
  <si>
    <t>CES HNZ Contract (Health NZ), panel tier. Commitment tier fee $900. Printed excl. GST; no effective date printed. Likely: matched to S+ 'Squint Repair' / 'Strabismus' (H6a). Printed twice in the source (rows 57 and 67, identical) – added once.</t>
  </si>
  <si>
    <t>Sheet row 58 – commitment</t>
  </si>
  <si>
    <t>CES HNZ Contract (Health NZ), commitment tier. Panel tier fee $1000. Printed excl. GST; no effective date printed. Likely: matched to S+ 'Squint Repair' / 'Strabismus' (H6a). Printed twice in the source (rows 58 and 68, identical) – added once.</t>
  </si>
  <si>
    <t>Sheet row 58 – panel</t>
  </si>
  <si>
    <t>CES HNZ Contract (Health NZ), panel tier. Commitment tier fee $950. Printed excl. GST; no effective date printed. Likely: matched to S+ 'Squint Repair' / 'Strabismus' (H6a). Printed twice in the source (rows 58 and 68, identical) – added once.</t>
  </si>
  <si>
    <t>Sheet row 27 – commitment</t>
  </si>
  <si>
    <t>CES HNZ Contract (Health NZ), commitment tier. Same fee in the panel tier. Printed excl. GST; no effective date printed. Likely: lid cyst – matched to S+ 'Removal Of Cyst From Eyelid' (H1).</t>
  </si>
  <si>
    <t>Sheet row 27 – panel</t>
  </si>
  <si>
    <t>CES HNZ Contract (Health NZ), panel tier. Same fee in the commitment tier. Printed excl. GST; no effective date printed. Likely: lid cyst – matched to S+ 'Removal Of Cyst From Eyelid' (H1).</t>
  </si>
  <si>
    <t>Sheet row 36 – commitment</t>
  </si>
  <si>
    <t>CES HNZ Contract (Health NZ), commitment tier. Panel tier fee $500. Printed excl. GST; no effective date printed. Likely: lid cyst – matched to S+ 'Removal Of Cyst From Eyelid' (H1).</t>
  </si>
  <si>
    <t>Sheet row 36 – panel</t>
  </si>
  <si>
    <t>CES HNZ Contract (Health NZ), panel tier. Commitment tier fee $480. Printed excl. GST; no effective date printed. Likely: lid cyst – matched to S+ 'Removal Of Cyst From Eyelid' (H1).</t>
  </si>
  <si>
    <t>Sheet row 43 – commitment</t>
  </si>
  <si>
    <t>CES HNZ Contract (Health NZ), commitment tier. Panel tier fee $800. Printed excl. GST; no effective date printed. Likely: lid cyst – matched to S+ 'Removal Of Cyst From Eyelid' (H1).</t>
  </si>
  <si>
    <t>Sheet row 43 – panel</t>
  </si>
  <si>
    <t>CES HNZ Contract (Health NZ), panel tier. Commitment tier fee $750. Printed excl. GST; no effective date printed. Likely: lid cyst – matched to S+ 'Removal Of Cyst From Eyelid' (H1).</t>
  </si>
  <si>
    <t>Sheet row 14 – commitment</t>
  </si>
  <si>
    <t>CES HNZ Contract (Health NZ), commitment tier. Same fee in the panel tier. Printed excl. GST; no effective date printed. Likely: grouped with S+ 'Pterygium' and the SRC-06 pterygium/conjunctival graft rows (H6a).</t>
  </si>
  <si>
    <t>Sheet row 14 – panel</t>
  </si>
  <si>
    <t>CES HNZ Contract (Health NZ), panel tier. Same fee in the commitment tier. Printed excl. GST; no effective date printed. Likely: grouped with S+ 'Pterygium' and the SRC-06 pterygium/conjunctival graft rows (H6a).</t>
  </si>
  <si>
    <t>Sheet row 25 – commitment</t>
  </si>
  <si>
    <t>Sheet row 25 – panel</t>
  </si>
  <si>
    <t>Sheet row 18 – commitment</t>
  </si>
  <si>
    <t>CES HNZ Contract (Health NZ), commitment tier. Same fee in the panel tier. Printed excl. GST; no effective date printed. Likely: glaucoma drainage tube – matched to S+ 'Molteno Implant' (H6a).</t>
  </si>
  <si>
    <t>Sheet row 18 – panel</t>
  </si>
  <si>
    <t>CES HNZ Contract (Health NZ), panel tier. Same fee in the commitment tier. Printed excl. GST; no effective date printed. Likely: glaucoma drainage tube – matched to S+ 'Molteno Implant' (H6a).</t>
  </si>
  <si>
    <t>Sheet row 63 – commitment</t>
  </si>
  <si>
    <t>CES HNZ Contract (Health NZ), commitment tier. Same fee in the panel tier. Printed excl. GST; no effective date printed. Likely: matched to S+ 'Left Macular Hole - Vitrectomy' (H6a).</t>
  </si>
  <si>
    <t>Sheet row 63 – panel</t>
  </si>
  <si>
    <t>CES HNZ Contract (Health NZ), panel tier. Same fee in the commitment tier. Printed excl. GST; no effective date printed. Likely: matched to S+ 'Left Macular Hole - Vitrectomy' (H6a).</t>
  </si>
  <si>
    <t>Sheet row 13 – commitment</t>
  </si>
  <si>
    <t>CES HNZ Contract (Health NZ), commitment tier. Same fee in the panel tier. Printed excl. GST; no effective date printed. Likely: matched to S+ 'Lamellar Keratectomy/EDTA Chelation…' (H6a).</t>
  </si>
  <si>
    <t>Sheet row 13 – panel</t>
  </si>
  <si>
    <t>CES HNZ Contract (Health NZ), panel tier. Same fee in the commitment tier. Printed excl. GST; no effective date printed. Likely: matched to S+ 'Lamellar Keratectomy/EDTA Chelation…' (H6a).</t>
  </si>
  <si>
    <t>Sheet row 33 – commitment</t>
  </si>
  <si>
    <t>CES HNZ Contract (Health NZ), commitment tier. Same fee in the panel tier. Printed excl. GST; no effective date printed. Likely: eyelid lesion surgery – matched to S+ 'Excision Of Lesion + Direct Closure Left Eyelid' (H1).</t>
  </si>
  <si>
    <t>Sheet row 33 – panel</t>
  </si>
  <si>
    <t>CES HNZ Contract (Health NZ), panel tier. Same fee in the commitment tier. Printed excl. GST; no effective date printed. Likely: eyelid lesion surgery – matched to S+ 'Excision Of Lesion + Direct Closure Left Eyelid' (H1).</t>
  </si>
  <si>
    <t>Sheet row 34 – commitment</t>
  </si>
  <si>
    <t>CES HNZ Contract (Health NZ), commitment tier. Panel tier fee $800. Printed excl. GST; no effective date printed. Likely: eyelid lesion surgery – matched to S+ 'Excision Of Lesion + Direct Closure Left Eyelid' (H1).</t>
  </si>
  <si>
    <t>Sheet row 34 – panel</t>
  </si>
  <si>
    <t>CES HNZ Contract (Health NZ), panel tier. Commitment tier fee $750. Printed excl. GST; no effective date printed. Likely: eyelid lesion surgery – matched to S+ 'Excision Of Lesion + Direct Closure Left Eyelid' (H1).</t>
  </si>
  <si>
    <t>Sheet row 35 – commitment</t>
  </si>
  <si>
    <t>Sheet row 35 – panel</t>
  </si>
  <si>
    <t>Sheet row 37 – commitment</t>
  </si>
  <si>
    <t>Sheet row 37 – panel</t>
  </si>
  <si>
    <t>Sheet row 45 – commitment</t>
  </si>
  <si>
    <t>CES HNZ Contract (Health NZ), commitment tier. Panel tier fee $500. Printed excl. GST; no effective date printed. Likely: eyelid lesion surgery – matched to S+ 'Excision Of Lesion + Direct Closure Left Eyelid' (H1).</t>
  </si>
  <si>
    <t>Sheet row 45 – panel</t>
  </si>
  <si>
    <t>CES HNZ Contract (Health NZ), panel tier. Commitment tier fee $480. Printed excl. GST; no effective date printed. Likely: eyelid lesion surgery – matched to S+ 'Excision Of Lesion + Direct Closure Left Eyelid' (H1).</t>
  </si>
  <si>
    <t>Sheet row 48 – commitment</t>
  </si>
  <si>
    <t>Sheet row 48 – panel</t>
  </si>
  <si>
    <t>Sheet row 49 – commitment</t>
  </si>
  <si>
    <t>Sheet row 49 – panel</t>
  </si>
  <si>
    <t>Sheet row 50 – commitment</t>
  </si>
  <si>
    <t>Sheet row 50 – panel</t>
  </si>
  <si>
    <t>Sheet row 51 – commitment</t>
  </si>
  <si>
    <t>Sheet row 51 – panel</t>
  </si>
  <si>
    <t>Sheet row 52 – commitment</t>
  </si>
  <si>
    <t>CES HNZ Contract (Health NZ), commitment tier. Same fee in the panel tier. Printed excl. GST; no effective date printed. Exact: 'Dacryocystorhinostomy [DCR]' = S+ 'DCR'.</t>
  </si>
  <si>
    <t>Sheet row 52 – panel</t>
  </si>
  <si>
    <t>CES HNZ Contract (Health NZ), panel tier. Same fee in the commitment tier. Printed excl. GST; no effective date printed. Exact: 'Dacryocystorhinostomy [DCR]' = S+ 'DCR'.</t>
  </si>
  <si>
    <t>Sheet row 9 – commitment</t>
  </si>
  <si>
    <t>CES HNZ Contract (Health NZ), commitment tier. Same fee in the panel tier. Printed excl. GST; no effective date printed. Likely: matched to S+ 'Corneal Graft' (H6a).</t>
  </si>
  <si>
    <t>Sheet row 9 – panel</t>
  </si>
  <si>
    <t>CES HNZ Contract (Health NZ), panel tier. Same fee in the commitment tier. Printed excl. GST; no effective date printed. Likely: matched to S+ 'Corneal Graft' (H6a).</t>
  </si>
  <si>
    <t>Sheet row 10 – commitment</t>
  </si>
  <si>
    <t>Sheet row 10 – panel</t>
  </si>
  <si>
    <t>Sheet row 15 – commitment</t>
  </si>
  <si>
    <t>CES HNZ Contract (Health NZ), commitment tier. Panel tier fee $1000. Printed excl. GST; no effective date printed. Likely: matched to S+ 'Corneal Graft' (H6a).</t>
  </si>
  <si>
    <t>Sheet row 15 – panel</t>
  </si>
  <si>
    <t>CES HNZ Contract (Health NZ), panel tier. Commitment tier fee $950. Printed excl. GST; no effective date printed. Likely: matched to S+ 'Corneal Graft' (H6a).</t>
  </si>
  <si>
    <t>Sheet row 8 – commitment</t>
  </si>
  <si>
    <t>CES HNZ Contract (Health NZ), commitment tier. Same fee in the panel tier. Printed excl. GST; no effective date printed. Likely: grouped with the S+ cataract rows and the SRC-02 CESL HNZ cataract row (H6a). Differs from SRC-02 CESL HNZ 'All Cataract &amp; IOL' $338 excl. – see Open Questions.</t>
  </si>
  <si>
    <t>Sheet row 8 – panel</t>
  </si>
  <si>
    <t>CES HNZ Contract (Health NZ), panel tier. Same fee in the commitment tier. Printed excl. GST; no effective date printed. Likely: grouped with the S+ cataract rows and the SRC-02 CESL HNZ cataract row (H6a). Differs from SRC-02 CESL HNZ 'All Cataract &amp; IOL' $338 excl. – see Open Questions.</t>
  </si>
  <si>
    <t>Sheet row 41 – commitment</t>
  </si>
  <si>
    <t>CES HNZ Contract (Health NZ), commitment tier. Panel tier fee $800. Printed excl. GST; no effective date printed. Likely: matched to S+ 'Browlift' (H2).</t>
  </si>
  <si>
    <t>Sheet row 41 – panel</t>
  </si>
  <si>
    <t>CES HNZ Contract (Health NZ), panel tier. Commitment tier fee $750. Printed excl. GST; no effective date printed. Likely: matched to S+ 'Browlift' (H2).</t>
  </si>
  <si>
    <t>Sheet row 31 – commitment</t>
  </si>
  <si>
    <t>CES HNZ Contract (Health NZ), commitment tier. Same fee in the panel tier. Printed excl. GST; no effective date printed. Likely: upper-lid surgery – grouped with S+ upper-lid blepharoplasty and the SRC-07 bleph/ptosis rows (H1).</t>
  </si>
  <si>
    <t>Sheet row 31 – panel</t>
  </si>
  <si>
    <t>CES HNZ Contract (Health NZ), panel tier. Same fee in the commitment tier. Printed excl. GST; no effective date printed. Likely: upper-lid surgery – grouped with S+ upper-lid blepharoplasty and the SRC-07 bleph/ptosis rows (H1).</t>
  </si>
  <si>
    <t>Sheet row 38 – commitment</t>
  </si>
  <si>
    <t>CES HNZ Contract (Health NZ), commitment tier. Panel tier fee $700. Printed excl. GST; no effective date printed. Likely: upper-lid surgery – grouped with S+ upper-lid blepharoplasty and the SRC-07 bleph/ptosis rows (H1).</t>
  </si>
  <si>
    <t>Sheet row 38 – panel</t>
  </si>
  <si>
    <t>CES HNZ Contract (Health NZ), panel tier. Commitment tier fee $600. Printed excl. GST; no effective date printed. Likely: upper-lid surgery – grouped with S+ upper-lid blepharoplasty and the SRC-07 bleph/ptosis rows (H1).</t>
  </si>
  <si>
    <t>Sheet row 46 – commitment</t>
  </si>
  <si>
    <t>Sheet row 46 – panel</t>
  </si>
  <si>
    <t>Sheet row 47 – commitment</t>
  </si>
  <si>
    <t>Sheet row 47 – panel</t>
  </si>
  <si>
    <t>Sheet row 22 – commitment</t>
  </si>
  <si>
    <t>CES HNZ Contract (Health NZ), commitment tier. Same fee in the panel tier. Printed excl. GST; no effective date printed. Likely: eyelid malposition surgery – grouped with S+ 'Bilateral Ectropion Repair' and the SRC-05 ectropion/entropion rows (H1).</t>
  </si>
  <si>
    <t>Sheet row 22 – panel</t>
  </si>
  <si>
    <t>CES HNZ Contract (Health NZ), panel tier. Same fee in the commitment tier. Printed excl. GST; no effective date printed. Likely: eyelid malposition surgery – grouped with S+ 'Bilateral Ectropion Repair' and the SRC-05 ectropion/entropion rows (H1).</t>
  </si>
  <si>
    <t>Sheet row 23 – commitment</t>
  </si>
  <si>
    <t>Sheet row 23 – panel</t>
  </si>
  <si>
    <t>Sheet row 24 – commitment</t>
  </si>
  <si>
    <t>CES HNZ Contract (Health NZ), commitment tier. Panel tier fee $800. Printed excl. GST; no effective date printed. Likely: eyelid malposition surgery – grouped with S+ 'Bilateral Ectropion Repair' and the SRC-05 ectropion/entropion rows (H1).</t>
  </si>
  <si>
    <t>Sheet row 24 – panel</t>
  </si>
  <si>
    <t>CES HNZ Contract (Health NZ), panel tier. Commitment tier fee $750. Printed excl. GST; no effective date printed. Likely: eyelid malposition surgery – grouped with S+ 'Bilateral Ectropion Repair' and the SRC-05 ectropion/entropion rows (H1).</t>
  </si>
  <si>
    <t>Sheet row 28 – commitment</t>
  </si>
  <si>
    <t>Sheet row 28 – panel</t>
  </si>
  <si>
    <t>Sheet row 29 – commitment</t>
  </si>
  <si>
    <t>Sheet row 29 – panel</t>
  </si>
  <si>
    <t>Sheet row 30 – commitment</t>
  </si>
  <si>
    <t>Sheet row 30 – panel</t>
  </si>
  <si>
    <t>Sheet row 53 – commitment</t>
  </si>
  <si>
    <t>Sheet row 53 – panel</t>
  </si>
  <si>
    <t>Sheet row 54 – commitment</t>
  </si>
  <si>
    <t>Sheet row 54 – panel</t>
  </si>
  <si>
    <t>Go to SRC-08 row 22</t>
  </si>
  <si>
    <t>Go to SRC-08 row 23</t>
  </si>
  <si>
    <t>Go to SRC-08 row 24</t>
  </si>
  <si>
    <t>Go to SRC-08 row 28</t>
  </si>
  <si>
    <t>Go to SRC-08 row 29</t>
  </si>
  <si>
    <t>Go to SRC-08 row 30</t>
  </si>
  <si>
    <t>Go to SRC-08 row 53</t>
  </si>
  <si>
    <t>Go to SRC-08 row 54</t>
  </si>
  <si>
    <t>Go to SRC-08 row 31</t>
  </si>
  <si>
    <t>Go to SRC-08 row 38</t>
  </si>
  <si>
    <t>Go to SRC-08 row 46</t>
  </si>
  <si>
    <t>Go to SRC-08 row 47</t>
  </si>
  <si>
    <t>Go to SRC-08 row 41</t>
  </si>
  <si>
    <t>Go to SRC-08 row 8</t>
  </si>
  <si>
    <t>Go to SRC-08 row 9</t>
  </si>
  <si>
    <t>Go to SRC-08 row 10</t>
  </si>
  <si>
    <t>Go to SRC-08 row 15</t>
  </si>
  <si>
    <t>Go to SRC-08 row 52</t>
  </si>
  <si>
    <t>Go to SRC-08 row 33</t>
  </si>
  <si>
    <t>Go to SRC-08 row 34</t>
  </si>
  <si>
    <t>Go to SRC-08 row 35</t>
  </si>
  <si>
    <t>Go to SRC-08 row 37</t>
  </si>
  <si>
    <t>Go to SRC-08 row 45</t>
  </si>
  <si>
    <t>Go to SRC-08 row 48</t>
  </si>
  <si>
    <t>Go to SRC-08 row 49</t>
  </si>
  <si>
    <t>Go to SRC-08 row 50</t>
  </si>
  <si>
    <t>Go to SRC-08 row 51</t>
  </si>
  <si>
    <t>Go to SRC-08 row 13</t>
  </si>
  <si>
    <t>Go to SRC-08 row 63</t>
  </si>
  <si>
    <t>Go to SRC-08 row 18</t>
  </si>
  <si>
    <t>Go to SRC-08 row 14</t>
  </si>
  <si>
    <t>Go to SRC-08 row 25</t>
  </si>
  <si>
    <t>Go to SRC-08 row 27</t>
  </si>
  <si>
    <t>Go to SRC-08 row 36</t>
  </si>
  <si>
    <t>Go to SRC-08 row 43</t>
  </si>
  <si>
    <t>Go to SRC-08 row 55</t>
  </si>
  <si>
    <t>Go to SRC-08 row 56</t>
  </si>
  <si>
    <t>Go to SRC-08 row 57</t>
  </si>
  <si>
    <t>Go to SRC-08 row 58</t>
  </si>
  <si>
    <t>Go to SRC-08 row 26</t>
  </si>
  <si>
    <t>Go to SRC-08 row 32</t>
  </si>
  <si>
    <t>Go to SRC-08 row 59</t>
  </si>
  <si>
    <t>Go to SRC-08 row 60</t>
  </si>
  <si>
    <t>Go to SRC-08 row 17</t>
  </si>
  <si>
    <t>Go to SRC-08 row 61</t>
  </si>
  <si>
    <t>Go to SRC-08 row 62</t>
  </si>
  <si>
    <t>Go to SRC-08 row 64</t>
  </si>
  <si>
    <t>Go to SRC-08 row 69</t>
  </si>
  <si>
    <t>Go to SRC-08 row 70</t>
  </si>
  <si>
    <t>Go to SRC-08 row 11</t>
  </si>
  <si>
    <t>Go to SRC-08 row 12</t>
  </si>
  <si>
    <t>Go to SRC-08 row 16</t>
  </si>
  <si>
    <t>Go to SRC-08 row 19</t>
  </si>
  <si>
    <t>Go to SRC-08 row 20</t>
  </si>
  <si>
    <t>Go to SRC-08 row 21</t>
  </si>
  <si>
    <t>Go to SRC-08 row 39</t>
  </si>
  <si>
    <t>Go to SRC-08 row 40</t>
  </si>
  <si>
    <t>Go to SRC-08 row 42</t>
  </si>
  <si>
    <t>Go to SRC-08 row 44</t>
  </si>
  <si>
    <t>Q34</t>
  </si>
  <si>
    <t>Template / fee tiers</t>
  </si>
  <si>
    <t>The master holds one fee per row; picking the wrong tier over- or under-states the HNZ fee.</t>
  </si>
  <si>
    <t>(a) Keep 2 rows per procedure, tier in Provider/Payer (current); (b) add a new MasterFees column 'Fee Tier' and set Provider/Payer to 'CESL – HNZ'; (c) keep only the applicable tier.</t>
  </si>
  <si>
    <t>118 rows (59 procedures × 2 tiers), Provider/Payer 'CESL – HNZ (commitment)' / 'CESL – HNZ (panel)'; the other tier's fee is quoted in Notes. No new column added.</t>
  </si>
  <si>
    <t>Master – SRC-08 first row (tier)</t>
  </si>
  <si>
    <t>Q35</t>
  </si>
  <si>
    <t>Effective date / source</t>
  </si>
  <si>
    <t>SRC-08 has no effective date, and the source is a worksheet tab ('HNZ CES ANAES FEES ') rather than an original PDF/contract. What date do these fees apply from, and is there an original document (file name, issuer, date) to record in the register?</t>
  </si>
  <si>
    <t>Effective Date (column R) separates current fees from old ones; the register should point to the original document.</t>
  </si>
  <si>
    <t>Confirm with CESL / Health NZ; supply the original contract if available.</t>
  </si>
  <si>
    <t>Effective Date left blank on all 118 SRC-08 rows; register Effective date = 'Not printed'. Source worksheet left unchanged.</t>
  </si>
  <si>
    <t>Master – SRC-08 effective date</t>
  </si>
  <si>
    <t>Q36</t>
  </si>
  <si>
    <t>SRC-08 prints HNZ cataract (HNZCATall, 'inclusive of Standard Intraocular Lens (Unilateral)') at $420 excl. GST in both tiers. SRC-02 prints the CESL HNZ 'All Cataract &amp; IOL (WCDHB and CDHB outsourced)' fee at $338 excl. from 1 Oct 2025. Which is current, or do they cover different contracts?</t>
  </si>
  <si>
    <t>Two different HNZ cataract fees now sit side by side in the master (rows 210 and 214–215).</t>
  </si>
  <si>
    <t>Confirm with CESL; if one is superseded, update the register and flag the older rows.</t>
  </si>
  <si>
    <t>Both kept exactly as printed, next to each other under H6a; SRC-08 Notes flag the difference.</t>
  </si>
  <si>
    <t>Master – SRC-08 HNZ cataract</t>
  </si>
  <si>
    <t>Q37</t>
  </si>
  <si>
    <t>Source print issues</t>
  </si>
  <si>
    <t>SRC-08 prints HNZ49–HNZ52 (squint, 1–4 muscles) twice with identical fees (source rows 55–58 and 65–68). Codes HNZ34, HNZ36, HNZ56 and HNZ60–HNZ63 are not listed. Is the list incomplete?</t>
  </si>
  <si>
    <t>Missing codes may be procedures with fees we don't hold; the duplicates could hide a copy error.</t>
  </si>
  <si>
    <t>Confirm with CESL whether the missing codes exist.</t>
  </si>
  <si>
    <t>Extract tab keeps both copies (second copy Row Type = 'Fee (duplicate)'); master holds one set of HNZ49–52.</t>
  </si>
  <si>
    <t>SRC-08 – duplicate HNZ49</t>
  </si>
  <si>
    <t>Q38</t>
  </si>
  <si>
    <t>Doubtful matches / coding</t>
  </si>
  <si>
    <t>SRC-08 has no RVG codes, so all 59 procedures were matched by description (3 exact, 56 likely). Eyelid procedures were grouped under H1 and brow lift under H2 (following the existing S+/SXAP rows), DCR under H3, and 10 procedures with no similar master row (corneal sutures, crosslinking, EUA, ciliary body / retinal destruction, iridoplasty, enucleation, evisceration, membrane graft, sutures) under H6a beneath the NZSA RVG H6a row. OK, or should eyelid/adnexal procedures be H6a, and enucleation/evisceration a higher code?</t>
  </si>
  <si>
    <t>The RVG code sets the default base units for comparison.</t>
  </si>
  <si>
    <t>(a) Keep as is; (b) recode eyelid rows to H6a; (c) leave the 10 H6a group-only rows Unmatched.</t>
  </si>
  <si>
    <t>Rows kept as described, Match Basis = 'Description – likely' with the reason in Notes. No existing RVG codes changed.</t>
  </si>
  <si>
    <t>Master – SRC-08 H6a group-only rows</t>
  </si>
  <si>
    <t>SRC-08 (CES HNZ Contract) prints two anaesthetist fees per procedure, headed 'commitment' and 'panel' (differ on 18 of 59 procedures, e.g. HNZ07 DSAEK $950 / $1,000). What do the two tiers mean, and which applies to Anaesthesia Associates?</t>
  </si>
  <si>
    <t>Imported 28 Sep 2026 from the worksheet tab 'HNZ CES ANAES FEES ' (no PDF; original document not identified). 63 fee lines extracted to 'SRC-08 CES HNZ' (59 procedures + 4 duplicate lines HNZ49–52 printed twice; plus 2 heading and 1 note lines). Two tiers per procedure ('commitment' / 'panel', differing on 18 procedures): 118 rows to MasterFees (59 × 2), Provider/Payer 'CESL – HNZ (commitment)' / 'CESL – HNZ (panel)'; duplicates added once. All placed in line: 0 by RVG code, 3 Description – exact (HNZ46 DCR, HNZ53/54 Syringe and Probe), 56 Description – likely; 0 unmatched. Codes: H6a 33 procedures (10 of them by RVG group only, beneath the NZSA H6a row), H1 24 (eyelid), H2 1 (brow lift), H3 1 (DCR); reason in Notes on each row. All fees excl. GST; no effective date printed (left blank). HNZ cataract $420 vs SRC-02 HNZ $338. 118 rows inserted from row 96, so Open Questions links Q07, Q08, Q10, Q14, Q19, Q21, Q23–Q33 re-pointed. See Open Questions Q34–Q38.</t>
  </si>
  <si>
    <t>Contracts – pricing settings by payer / schedule</t>
  </si>
  <si>
    <t>One row per contract. Blue cells are settings to fill in / confirm; black cells are formulas pulled from MasterFees. Contract Name must match 'Provider / Payer' in the master exactly – the master looks up Pricing Basis from here.</t>
  </si>
  <si>
    <t>Contract ID</t>
  </si>
  <si>
    <t>Contract Name</t>
  </si>
  <si>
    <t>Issuer</t>
  </si>
  <si>
    <t>Source IDs</t>
  </si>
  <si>
    <t>Pricing Basis</t>
  </si>
  <si>
    <t>Contract Rate ($/unit)</t>
  </si>
  <si>
    <t>Discount %</t>
  </si>
  <si>
    <t>Base-Unit Overrides</t>
  </si>
  <si>
    <t>Anaesthetist Adjustment</t>
  </si>
  <si>
    <t>GST Basis (as printed)</t>
  </si>
  <si>
    <t>Master Lines</t>
  </si>
  <si>
    <t>Base Lines</t>
  </si>
  <si>
    <t>Add-on / Time-band Lines</t>
  </si>
  <si>
    <t>CON-01</t>
  </si>
  <si>
    <t>To confirm</t>
  </si>
  <si>
    <t>None recorded</t>
  </si>
  <si>
    <t>Draft</t>
  </si>
  <si>
    <t>Implied rate ~$55/unit from S+ export; GST basis unknown. See Open Questions.</t>
  </si>
  <si>
    <t>CON-02</t>
  </si>
  <si>
    <t>Fixed fee schedule</t>
  </si>
  <si>
    <t>Four SXAP schedules (MIGS, Ectropion, Pterygium, Ptosis/Bleph).</t>
  </si>
  <si>
    <t>CON-03</t>
  </si>
  <si>
    <t>CON-04</t>
  </si>
  <si>
    <t>From SRC-02; compare CON-05/06 (SRC-08).</t>
  </si>
  <si>
    <t>CON-05</t>
  </si>
  <si>
    <t>CON-06</t>
  </si>
  <si>
    <t>CON-07</t>
  </si>
  <si>
    <t>CON-08</t>
  </si>
  <si>
    <t>CON-09</t>
  </si>
  <si>
    <t>ACC items printed in NZSA RVG – pricing basis not stated.</t>
  </si>
  <si>
    <t>CON-10</t>
  </si>
  <si>
    <t>Reference</t>
  </si>
  <si>
    <t>Not a payer contract – supplies default RVG base units.</t>
  </si>
  <si>
    <t>Pricing Basis options (per user story): RVG × own unit value (default) · RVG × contract rate / discount (fill Rate or Discount %) · Fixed fee schedule (price from schedule lines) · Rate × time (hourly, individually arranged). Yellow = setting still to confirm.</t>
  </si>
  <si>
    <t>Fixed Fee?</t>
  </si>
  <si>
    <t>Line Type</t>
  </si>
  <si>
    <t>Std Fee Excl. GST</t>
  </si>
  <si>
    <t>Master Fee View – live, read-only view of MasterFees</t>
  </si>
  <si>
    <t>Updates automatically from 'Master Fee List'. Edit data in the master, not here. Use the filters below (blank = show all). Header names in row 12 must match master headers – they choose which columns appear.</t>
  </si>
  <si>
    <t>FILTERS  (blank = all)</t>
  </si>
  <si>
    <t>Description contains</t>
  </si>
  <si>
    <t>Rows shown</t>
  </si>
  <si>
    <t>COLOUR KEY</t>
  </si>
  <si>
    <t>Peach row – no RVG code / procedure match found (Match Basis = Unmatched)</t>
  </si>
  <si>
    <t>Std fee</t>
  </si>
  <si>
    <t>Green bold – fixed-fee line; Std Fee Excl. GST is the standard price</t>
  </si>
  <si>
    <t>Yellow – contract pricing basis not yet confirmed (set on Contracts tab)</t>
  </si>
  <si>
    <t>No fee</t>
  </si>
  <si>
    <t>Grey text – no $ fee on this line (reference units only / not printed)</t>
  </si>
  <si>
    <t>Italic – add-on, time-band or other line (not a base procedure price)</t>
  </si>
  <si>
    <t>Headers</t>
  </si>
  <si>
    <t>Blue = procedure · Green = contract &amp; pricing · Gold = units &amp; fees · Lilac = match &amp; source</t>
  </si>
  <si>
    <t>Q39</t>
  </si>
  <si>
    <t>Contract pricing basis</t>
  </si>
  <si>
    <t>The 981 Solutions Plus (SRC-00) rows price as RVG units × ~$55/unit, GST basis unknown. Is this the anaesthetists' own default unit value, or an agreed contract rate/discount? Also: may the anaesthetist adjust the price (% discount or fixed final price)?</t>
  </si>
  <si>
    <t>Sets the Pricing Basis for contract CON-01 in the future system, and whether the adjustment field is offered.</t>
  </si>
  <si>
    <t>(a) RVG × own unit value (default); (b) RVG × contract rate / discount – record the $/unit or %; (c) other.</t>
  </si>
  <si>
    <t>Contracts tab CON-01 Pricing Basis = 'To confirm'; master rows show Pricing Basis 'To confirm', Fixed Fee? = No.</t>
  </si>
  <si>
    <t>Contracts – CON-01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</si>
</sst>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_(&quot;$&quot;* \(#,##0.00\);_(&quot;$&quot;* &quot;-&quot;??_);_(@_)"/>
    <numFmt numFmtId="164" formatCode="0.0"/>
    <numFmt numFmtId="165" formatCode="\$#,##0.00"/>
    <numFmt numFmtId="166" formatCode="0.0%"/>
    <numFmt numFmtId="167" formatCode="0.0;\-0.0;\-"/>
    <numFmt numFmtId="168" formatCode="&quot;$&quot;#,##0.00;\(&quot;$&quot;#,##0.00\);\-"/>
    <numFmt numFmtId="169" formatCode="&quot;$&quot;#,##0.00"/>
    <numFmt numFmtId="170" formatCode="d\ mmm\ yyyy"/>
    <numFmt numFmtId="171" formatCode="&quot;$&quot;#,##0"/>
    <numFmt numFmtId="172" formatCode="0.0%;\(0.0%\);\-"/>
    <numFmt numFmtId="173" formatCode="#,##0;\(#,##0\);\-"/>
    <numFmt numFmtId="174" formatCode="0;\-0;\-"/>
  </numFmts>
  <fonts count="37" x14ac:knownFonts="1">
    <font>
      <sz val="11"/>
      <color theme="1"/>
      <name val="Calibri"/>
      <family val="2"/>
      <scheme val="minor"/>
    </font>
    <font>
      <b/>
      <sz val="11"/>
      <color rgb="FFFFFFFF"/>
      <name val="Calibri"/>
      <family val="2"/>
    </font>
    <font>
      <sz val="11"/>
      <color rgb="FF008000"/>
      <name val="Calibri"/>
      <family val="2"/>
    </font>
    <font>
      <b/>
      <sz val="16"/>
      <color rgb="FF1F4E78"/>
      <name val="Calibri"/>
      <family val="2"/>
      <scheme val="minor"/>
    </font>
    <font>
      <i/>
      <sz val="11"/>
      <color rgb="FF595959"/>
      <name val="Calibri"/>
      <family val="2"/>
      <scheme val="minor"/>
    </font>
    <font>
      <b/>
      <sz val="13"/>
      <color rgb="FFFFFFFF"/>
      <name val="Calibri"/>
      <family val="2"/>
      <scheme val="minor"/>
    </font>
    <font>
      <b/>
      <sz val="11"/>
      <color theme="1"/>
      <name val="Calibri"/>
      <family val="2"/>
      <scheme val="minor"/>
    </font>
    <font>
      <b/>
      <sz val="11"/>
      <color rgb="FF1F4E78"/>
      <name val="Calibri"/>
      <family val="2"/>
      <scheme val="minor"/>
    </font>
    <font>
      <i/>
      <sz val="10"/>
      <color rgb="FF595959"/>
      <name val="Calibri"/>
      <family val="2"/>
      <scheme val="minor"/>
    </font>
    <font>
      <sz val="11"/>
      <color rgb="FF0000FF"/>
      <name val="Calibri"/>
      <family val="2"/>
      <scheme val="minor"/>
    </font>
    <font>
      <b/>
      <sz val="11"/>
      <color rgb="FF000000"/>
      <name val="Calibri"/>
      <family val="2"/>
      <scheme val="minor"/>
    </font>
    <font>
      <b/>
      <sz val="14"/>
      <color rgb="FF1F4E78"/>
      <name val="Calibri"/>
      <family val="2"/>
      <scheme val="minor"/>
    </font>
    <font>
      <b/>
      <sz val="11"/>
      <color rgb="FFFFFFFF"/>
      <name val="Calibri"/>
      <family val="2"/>
      <scheme val="minor"/>
    </font>
    <font>
      <sz val="11"/>
      <color rgb="FF008000"/>
      <name val="Calibri"/>
      <family val="2"/>
      <scheme val="minor"/>
    </font>
    <font>
      <sz val="11"/>
      <color rgb="FF000000"/>
      <name val="Calibri"/>
      <family val="2"/>
      <scheme val="minor"/>
    </font>
    <font>
      <sz val="10"/>
      <color rgb="FF000000"/>
      <name val="Tahoma"/>
      <family val="2"/>
    </font>
    <font>
      <b/>
      <sz val="10"/>
      <color rgb="FF000000"/>
      <name val="Tahoma"/>
      <family val="2"/>
    </font>
    <font>
      <sz val="11"/>
      <color theme="1"/>
      <name val="Calibri"/>
      <family val="2"/>
      <scheme val="minor"/>
    </font>
    <font>
      <u/>
      <sz val="11"/>
      <color theme="10"/>
      <name val="Calibri"/>
      <family val="2"/>
      <scheme val="minor"/>
    </font>
    <font>
      <b/>
      <sz val="14"/>
      <color theme="1"/>
      <name val="Calibri"/>
      <family val="2"/>
      <scheme val="minor"/>
    </font>
    <font>
      <i/>
      <sz val="11"/>
      <color theme="1"/>
      <name val="Calibri"/>
      <family val="2"/>
      <scheme val="minor"/>
    </font>
    <font>
      <u/>
      <sz val="11"/>
      <color rgb="FF0563C1"/>
      <name val="Calibri"/>
      <family val="2"/>
      <scheme val="minor"/>
    </font>
    <font>
      <sz val="12"/>
      <color theme="1"/>
      <name val="Arial"/>
      <family val="2"/>
    </font>
    <font>
      <b/>
      <sz val="12"/>
      <color theme="0"/>
      <name val="Arial"/>
      <family val="2"/>
    </font>
    <font>
      <sz val="12"/>
      <name val="Arial"/>
      <family val="2"/>
    </font>
    <font>
      <sz val="12"/>
      <color rgb="FF000000"/>
      <name val="Arial"/>
      <family val="2"/>
    </font>
    <font>
      <sz val="11"/>
      <name val="Calibri"/>
      <family val="2"/>
      <scheme val="minor"/>
    </font>
    <font>
      <u/>
      <sz val="11"/>
      <color rgb="FF000000"/>
      <name val="Calibri"/>
      <family val="2"/>
      <scheme val="minor"/>
    </font>
    <font>
      <sz val="10"/>
      <color rgb="FF000000"/>
      <name val="Calibri"/>
      <family val="2"/>
      <scheme val="minor"/>
    </font>
    <font>
      <b/>
      <sz val="10"/>
      <color rgb="FF1F1F1F"/>
      <name val="Calibri"/>
      <family val="2"/>
      <scheme val="minor"/>
    </font>
    <font>
      <sz val="10"/>
      <color rgb="FF9E9E9E"/>
      <name val="Calibri"/>
      <family val="2"/>
      <scheme val="minor"/>
    </font>
    <font>
      <sz val="10"/>
      <color theme="1"/>
      <name val="Calibri"/>
      <family val="2"/>
      <scheme val="minor"/>
    </font>
    <font>
      <sz val="10"/>
      <color rgb="FF0000FF"/>
      <name val="Calibri"/>
      <family val="2"/>
      <scheme val="minor"/>
    </font>
    <font>
      <b/>
      <sz val="10"/>
      <color theme="1"/>
      <name val="Calibri"/>
      <family val="2"/>
      <scheme val="minor"/>
    </font>
    <font>
      <i/>
      <sz val="9"/>
      <color rgb="FF595959"/>
      <name val="Calibri"/>
      <family val="2"/>
      <scheme val="minor"/>
    </font>
    <font>
      <sz val="10"/>
      <color rgb="FF404040"/>
      <name val="Calibri"/>
      <family val="2"/>
      <scheme val="minor"/>
    </font>
    <font>
      <i/>
      <sz val="10"/>
      <color theme="1"/>
      <name val="Calibri"/>
      <family val="2"/>
      <scheme val="minor"/>
    </font>
  </fonts>
  <fills count="23">
    <fill>
      <patternFill patternType="none"/>
    </fill>
    <fill>
      <patternFill patternType="gray125"/>
    </fill>
    <fill>
      <patternFill patternType="solid">
        <fgColor rgb="FF1F4E78"/>
      </patternFill>
    </fill>
    <fill>
      <patternFill patternType="solid">
        <fgColor rgb="FFF7F9FC"/>
      </patternFill>
    </fill>
    <fill>
      <patternFill patternType="solid">
        <fgColor rgb="FF1F4E78"/>
        <bgColor indexed="64"/>
      </patternFill>
    </fill>
    <fill>
      <patternFill patternType="solid">
        <fgColor rgb="FFDDEBF7"/>
        <bgColor indexed="64"/>
      </patternFill>
    </fill>
    <fill>
      <patternFill patternType="solid">
        <fgColor rgb="FFFFF2CC"/>
        <bgColor indexed="64"/>
      </patternFill>
    </fill>
    <fill>
      <patternFill patternType="solid">
        <fgColor rgb="FF7030A0"/>
        <bgColor indexed="64"/>
      </patternFill>
    </fill>
    <fill>
      <patternFill patternType="solid">
        <fgColor rgb="FFF3EAF9"/>
        <bgColor indexed="64"/>
      </patternFill>
    </fill>
    <fill>
      <patternFill patternType="solid">
        <fgColor rgb="FF9E7CC1"/>
        <bgColor indexed="64"/>
      </patternFill>
    </fill>
    <fill>
      <patternFill patternType="solid">
        <fgColor rgb="FFF8F4FC"/>
        <bgColor indexed="64"/>
      </patternFill>
    </fill>
    <fill>
      <patternFill patternType="solid">
        <fgColor rgb="FFFFFFCC"/>
        <bgColor indexed="64"/>
      </patternFill>
    </fill>
    <fill>
      <patternFill patternType="solid">
        <fgColor rgb="FF4F81BD"/>
        <bgColor indexed="64"/>
      </patternFill>
    </fill>
    <fill>
      <patternFill patternType="solid">
        <fgColor theme="0"/>
        <bgColor indexed="64"/>
      </patternFill>
    </fill>
    <fill>
      <patternFill patternType="solid">
        <fgColor theme="8" tint="-0.249977111117893"/>
        <bgColor indexed="64"/>
      </patternFill>
    </fill>
    <fill>
      <patternFill patternType="solid">
        <fgColor theme="3"/>
        <bgColor indexed="64"/>
      </patternFill>
    </fill>
    <fill>
      <patternFill patternType="solid">
        <fgColor theme="5"/>
        <bgColor indexed="64"/>
      </patternFill>
    </fill>
    <fill>
      <patternFill patternType="solid">
        <fgColor rgb="FFE2EFDA"/>
        <bgColor indexed="64"/>
      </patternFill>
    </fill>
    <fill>
      <patternFill patternType="solid">
        <fgColor rgb="FFE8E0F0"/>
        <bgColor indexed="64"/>
      </patternFill>
    </fill>
    <fill>
      <patternFill patternType="solid">
        <fgColor rgb="FFFCE4D6"/>
        <bgColor indexed="64"/>
      </patternFill>
    </fill>
    <fill>
      <patternFill patternType="solid">
        <fgColor rgb="FFC6EFCE"/>
        <bgColor indexed="64"/>
      </patternFill>
    </fill>
    <fill>
      <patternFill patternType="solid">
        <fgColor rgb="FFFFFF99"/>
        <bgColor indexed="64"/>
      </patternFill>
    </fill>
    <fill>
      <patternFill patternType="solid">
        <fgColor rgb="FFFFFFFF"/>
        <bgColor indexed="64"/>
      </patternFill>
    </fill>
  </fills>
  <borders count="18">
    <border>
      <left/>
      <right/>
      <top/>
      <bottom/>
      <diagonal/>
    </border>
    <border>
      <left/>
      <right/>
      <top/>
      <bottom style="medium">
        <color rgb="FF1F4E78"/>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rgb="FF4F81BD"/>
      </top>
      <bottom/>
      <diagonal/>
    </border>
    <border>
      <left/>
      <right/>
      <top style="thin">
        <color rgb="FF4F81BD"/>
      </top>
      <bottom style="thin">
        <color rgb="FF4F81BD"/>
      </bottom>
      <diagonal/>
    </border>
    <border>
      <left/>
      <right/>
      <top/>
      <bottom style="thin">
        <color rgb="FF4F81BD"/>
      </bottom>
      <diagonal/>
    </border>
    <border>
      <left/>
      <right/>
      <top style="medium">
        <color theme="8" tint="-0.24994659260841701"/>
      </top>
      <bottom style="medium">
        <color theme="8" tint="-0.24994659260841701"/>
      </bottom>
      <diagonal/>
    </border>
    <border>
      <left style="medium">
        <color theme="8" tint="-0.24994659260841701"/>
      </left>
      <right/>
      <top/>
      <bottom/>
      <diagonal/>
    </border>
    <border>
      <left/>
      <right/>
      <top/>
      <bottom style="thin">
        <color rgb="FF808080"/>
      </bottom>
      <diagonal/>
    </border>
    <border>
      <left/>
      <right style="thin">
        <color rgb="FF808080"/>
      </right>
      <top/>
      <bottom style="thin">
        <color rgb="FF808080"/>
      </bottom>
      <diagonal/>
    </border>
    <border>
      <left style="thin">
        <color rgb="FF808080"/>
      </left>
      <right/>
      <top/>
      <bottom style="thin">
        <color rgb="FF808080"/>
      </bottom>
      <diagonal/>
    </border>
    <border>
      <left style="thin">
        <color rgb="FFA6A6A6"/>
      </left>
      <right style="thin">
        <color rgb="FFA6A6A6"/>
      </right>
      <top style="thin">
        <color rgb="FFA6A6A6"/>
      </top>
      <bottom style="thin">
        <color rgb="FFA6A6A6"/>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s>
  <cellStyleXfs count="3">
    <xf numFmtId="0" fontId="0" fillId="0" borderId="0"/>
    <xf numFmtId="44" fontId="17" fillId="0" borderId="0" applyFont="0" applyFill="0" applyBorder="0" applyAlignment="0" applyProtection="0"/>
    <xf numFmtId="0" fontId="18" fillId="0" borderId="0" applyNumberFormat="0" applyFill="0" applyBorder="0" applyAlignment="0" applyProtection="0"/>
  </cellStyleXfs>
  <cellXfs count="165">
    <xf numFmtId="0" fontId="0" fillId="0" borderId="0" xfId="0"/>
    <xf numFmtId="0" fontId="1" fillId="2" borderId="1" xfId="0" applyFont="1" applyFill="1" applyBorder="1" applyAlignment="1">
      <alignment horizontal="center" vertical="center"/>
    </xf>
    <xf numFmtId="1" fontId="2" fillId="3" borderId="0" xfId="0" applyNumberFormat="1" applyFont="1" applyFill="1" applyAlignment="1">
      <alignment horizontal="right" vertical="center"/>
    </xf>
    <xf numFmtId="0" fontId="2" fillId="3" borderId="0" xfId="0" applyFont="1" applyFill="1" applyAlignment="1">
      <alignment horizontal="left" vertical="center"/>
    </xf>
    <xf numFmtId="164" fontId="2" fillId="3" borderId="0" xfId="0" applyNumberFormat="1" applyFont="1" applyFill="1" applyAlignment="1">
      <alignment horizontal="right" vertical="center"/>
    </xf>
    <xf numFmtId="165" fontId="2" fillId="3" borderId="0" xfId="0" applyNumberFormat="1" applyFont="1" applyFill="1" applyAlignment="1">
      <alignment horizontal="right" vertical="center"/>
    </xf>
    <xf numFmtId="1" fontId="2" fillId="0" borderId="0" xfId="0" applyNumberFormat="1" applyFont="1" applyAlignment="1">
      <alignment horizontal="right" vertical="center"/>
    </xf>
    <xf numFmtId="0" fontId="2" fillId="0" borderId="0" xfId="0" applyFont="1" applyAlignment="1">
      <alignment horizontal="left" vertical="center"/>
    </xf>
    <xf numFmtId="164" fontId="2" fillId="0" borderId="0" xfId="0" applyNumberFormat="1" applyFont="1" applyAlignment="1">
      <alignment horizontal="right" vertical="center"/>
    </xf>
    <xf numFmtId="165" fontId="2" fillId="0" borderId="0" xfId="0" applyNumberFormat="1" applyFont="1" applyAlignment="1">
      <alignment horizontal="right" vertical="center"/>
    </xf>
    <xf numFmtId="0" fontId="3" fillId="0" borderId="0" xfId="0" applyFont="1"/>
    <xf numFmtId="0" fontId="4" fillId="0" borderId="0" xfId="0" applyFont="1"/>
    <xf numFmtId="0" fontId="5" fillId="4" borderId="0" xfId="0" applyFont="1" applyFill="1"/>
    <xf numFmtId="0" fontId="0" fillId="4" borderId="0" xfId="0" applyFill="1"/>
    <xf numFmtId="0" fontId="6" fillId="0" borderId="0" xfId="0" applyFont="1"/>
    <xf numFmtId="0" fontId="7" fillId="0" borderId="0" xfId="0" applyFont="1"/>
    <xf numFmtId="0" fontId="0" fillId="0" borderId="0" xfId="0" applyAlignment="1">
      <alignment vertical="top"/>
    </xf>
    <xf numFmtId="0" fontId="0" fillId="0" borderId="0" xfId="0" applyAlignment="1">
      <alignment horizontal="center" vertical="top"/>
    </xf>
    <xf numFmtId="0" fontId="0" fillId="0" borderId="0" xfId="0" applyAlignment="1">
      <alignment vertical="top" wrapText="1"/>
    </xf>
    <xf numFmtId="0" fontId="6" fillId="5" borderId="0" xfId="0" applyFont="1" applyFill="1"/>
    <xf numFmtId="0" fontId="6" fillId="5" borderId="2" xfId="0" applyFont="1" applyFill="1" applyBorder="1"/>
    <xf numFmtId="0" fontId="8" fillId="0" borderId="0" xfId="0" applyFont="1" applyAlignment="1">
      <alignment horizontal="center"/>
    </xf>
    <xf numFmtId="0" fontId="6" fillId="0" borderId="0" xfId="0" applyFont="1" applyAlignment="1">
      <alignment horizontal="center"/>
    </xf>
    <xf numFmtId="166" fontId="9" fillId="0" borderId="0" xfId="0" applyNumberFormat="1" applyFont="1" applyAlignment="1">
      <alignment horizontal="left"/>
    </xf>
    <xf numFmtId="0" fontId="8" fillId="0" borderId="0" xfId="0" applyFont="1"/>
    <xf numFmtId="49" fontId="0" fillId="0" borderId="0" xfId="0" applyNumberFormat="1" applyAlignment="1">
      <alignment vertical="top"/>
    </xf>
    <xf numFmtId="0" fontId="10" fillId="5" borderId="2" xfId="0" applyFont="1" applyFill="1" applyBorder="1"/>
    <xf numFmtId="0" fontId="11" fillId="0" borderId="0" xfId="0" applyFont="1"/>
    <xf numFmtId="0" fontId="12" fillId="7" borderId="0" xfId="0" applyFont="1" applyFill="1" applyAlignment="1">
      <alignment vertical="center" wrapText="1"/>
    </xf>
    <xf numFmtId="0" fontId="12" fillId="4" borderId="0" xfId="0" applyFont="1" applyFill="1" applyAlignment="1">
      <alignment vertical="center" wrapText="1"/>
    </xf>
    <xf numFmtId="0" fontId="13" fillId="0" borderId="0" xfId="0" applyFont="1"/>
    <xf numFmtId="1" fontId="14" fillId="8" borderId="0" xfId="0" applyNumberFormat="1" applyFont="1" applyFill="1" applyAlignment="1">
      <alignment horizontal="center"/>
    </xf>
    <xf numFmtId="167" fontId="13" fillId="0" borderId="0" xfId="0" applyNumberFormat="1" applyFont="1"/>
    <xf numFmtId="168" fontId="13" fillId="0" borderId="0" xfId="0" applyNumberFormat="1" applyFont="1"/>
    <xf numFmtId="168" fontId="14" fillId="0" borderId="0" xfId="0" applyNumberFormat="1" applyFont="1"/>
    <xf numFmtId="169" fontId="14" fillId="0" borderId="0" xfId="0" applyNumberFormat="1" applyFont="1"/>
    <xf numFmtId="170" fontId="13" fillId="0" borderId="0" xfId="0" applyNumberFormat="1" applyFont="1"/>
    <xf numFmtId="0" fontId="13" fillId="0" borderId="0" xfId="0" applyFont="1" applyAlignment="1">
      <alignment horizontal="left"/>
    </xf>
    <xf numFmtId="168" fontId="13" fillId="0" borderId="0" xfId="0" applyNumberFormat="1" applyFont="1" applyAlignment="1">
      <alignment horizontal="center"/>
    </xf>
    <xf numFmtId="0" fontId="13" fillId="0" borderId="0" xfId="0" applyFont="1" applyAlignment="1">
      <alignment horizontal="center"/>
    </xf>
    <xf numFmtId="0" fontId="14" fillId="0" borderId="0" xfId="0" applyFont="1"/>
    <xf numFmtId="0" fontId="10" fillId="0" borderId="0" xfId="0" applyFont="1" applyAlignment="1">
      <alignment vertical="top"/>
    </xf>
    <xf numFmtId="0" fontId="14" fillId="0" borderId="0" xfId="0" applyFont="1" applyAlignment="1">
      <alignment vertical="top" wrapText="1"/>
    </xf>
    <xf numFmtId="0" fontId="14" fillId="8" borderId="0" xfId="0" applyFont="1" applyFill="1" applyAlignment="1">
      <alignment horizontal="center"/>
    </xf>
    <xf numFmtId="0" fontId="0" fillId="6" borderId="4" xfId="0" applyFill="1" applyBorder="1" applyAlignment="1">
      <alignment vertical="top" wrapText="1"/>
    </xf>
    <xf numFmtId="0" fontId="0" fillId="6" borderId="3" xfId="0" applyFill="1" applyBorder="1" applyAlignment="1">
      <alignment vertical="top" wrapText="1"/>
    </xf>
    <xf numFmtId="0" fontId="0" fillId="6" borderId="5" xfId="0" applyFill="1" applyBorder="1" applyAlignment="1">
      <alignment vertical="top" wrapText="1"/>
    </xf>
    <xf numFmtId="0" fontId="12" fillId="9" borderId="0" xfId="0" applyFont="1" applyFill="1" applyAlignment="1">
      <alignment vertical="center" wrapText="1"/>
    </xf>
    <xf numFmtId="1" fontId="9" fillId="10" borderId="0" xfId="0" applyNumberFormat="1" applyFont="1" applyFill="1" applyAlignment="1">
      <alignment horizontal="center"/>
    </xf>
    <xf numFmtId="0" fontId="14" fillId="0" borderId="0" xfId="0" applyFont="1" applyFill="1" applyAlignment="1">
      <alignment horizontal="center"/>
    </xf>
    <xf numFmtId="0" fontId="14" fillId="0" borderId="0" xfId="0" applyFont="1" applyFill="1"/>
    <xf numFmtId="0" fontId="14" fillId="0" borderId="0" xfId="0" applyFont="1" applyFill="1" applyAlignment="1"/>
    <xf numFmtId="0" fontId="14" fillId="8" borderId="0" xfId="0" applyFont="1" applyFill="1" applyAlignment="1"/>
    <xf numFmtId="0" fontId="14" fillId="10" borderId="0" xfId="0" applyFont="1" applyFill="1" applyAlignment="1">
      <alignment horizontal="center"/>
    </xf>
    <xf numFmtId="0" fontId="14" fillId="10" borderId="0" xfId="0" applyFont="1" applyFill="1" applyAlignment="1"/>
    <xf numFmtId="0" fontId="6" fillId="0" borderId="0" xfId="0" applyFont="1" applyFill="1"/>
    <xf numFmtId="0" fontId="0" fillId="0" borderId="0" xfId="0" applyFill="1"/>
    <xf numFmtId="0" fontId="10" fillId="0" borderId="0" xfId="0" applyFont="1" applyFill="1"/>
    <xf numFmtId="0" fontId="19" fillId="0" borderId="0" xfId="0" applyFont="1"/>
    <xf numFmtId="0" fontId="20" fillId="0" borderId="0" xfId="0" applyFont="1"/>
    <xf numFmtId="0" fontId="13" fillId="0" borderId="0" xfId="0" applyFont="1" applyAlignment="1">
      <alignment vertical="top"/>
    </xf>
    <xf numFmtId="0" fontId="13" fillId="0" borderId="0" xfId="0" applyFont="1" applyAlignment="1">
      <alignment vertical="top" wrapText="1"/>
    </xf>
    <xf numFmtId="49" fontId="13" fillId="0" borderId="0" xfId="0" applyNumberFormat="1" applyFont="1" applyAlignment="1">
      <alignment vertical="top"/>
    </xf>
    <xf numFmtId="0" fontId="13" fillId="0" borderId="0" xfId="0" applyFont="1" applyAlignment="1">
      <alignment horizontal="center" vertical="top"/>
    </xf>
    <xf numFmtId="49" fontId="13" fillId="0" borderId="0" xfId="0" applyNumberFormat="1" applyFont="1" applyAlignment="1">
      <alignment horizontal="center" vertical="top"/>
    </xf>
    <xf numFmtId="0" fontId="0" fillId="0" borderId="0" xfId="0" applyFont="1" applyAlignment="1">
      <alignment vertical="top"/>
    </xf>
    <xf numFmtId="1" fontId="13" fillId="0" borderId="0" xfId="0" applyNumberFormat="1" applyFont="1" applyAlignment="1">
      <alignment horizontal="center" vertical="top"/>
    </xf>
    <xf numFmtId="49" fontId="9" fillId="8" borderId="0" xfId="0" applyNumberFormat="1" applyFont="1" applyFill="1" applyAlignment="1">
      <alignment horizontal="center"/>
    </xf>
    <xf numFmtId="170" fontId="0" fillId="0" borderId="0" xfId="0" applyNumberFormat="1" applyAlignment="1">
      <alignment vertical="top" wrapText="1"/>
    </xf>
    <xf numFmtId="0" fontId="18" fillId="0" borderId="0" xfId="2" applyAlignment="1">
      <alignment vertical="top" wrapText="1"/>
    </xf>
    <xf numFmtId="0" fontId="21" fillId="0" borderId="0" xfId="2" applyFont="1" applyAlignment="1">
      <alignment vertical="top" wrapText="1"/>
    </xf>
    <xf numFmtId="0" fontId="9" fillId="0" borderId="0" xfId="0" applyFont="1" applyAlignment="1">
      <alignment vertical="top" wrapText="1"/>
    </xf>
    <xf numFmtId="0" fontId="9" fillId="11" borderId="0" xfId="0" applyFont="1" applyFill="1" applyAlignment="1">
      <alignment vertical="top" wrapText="1"/>
    </xf>
    <xf numFmtId="0" fontId="21" fillId="0" borderId="0" xfId="2" applyFont="1" applyFill="1"/>
    <xf numFmtId="0" fontId="0" fillId="0" borderId="0" xfId="0" applyFont="1" applyAlignment="1">
      <alignment vertical="top" wrapText="1"/>
    </xf>
    <xf numFmtId="0" fontId="0" fillId="0" borderId="0" xfId="0" applyNumberFormat="1" applyFont="1" applyAlignment="1">
      <alignment horizontal="center" vertical="top"/>
    </xf>
    <xf numFmtId="171" fontId="13" fillId="0" borderId="0" xfId="0" applyNumberFormat="1" applyFont="1" applyAlignment="1">
      <alignment vertical="top"/>
    </xf>
    <xf numFmtId="0" fontId="18" fillId="0" borderId="0" xfId="2" applyFill="1"/>
    <xf numFmtId="170" fontId="0" fillId="0" borderId="0" xfId="0" applyNumberFormat="1" applyFont="1" applyAlignment="1">
      <alignment vertical="top"/>
    </xf>
    <xf numFmtId="49" fontId="13" fillId="0" borderId="0" xfId="0" applyNumberFormat="1" applyFont="1" applyAlignment="1">
      <alignment horizontal="left"/>
    </xf>
    <xf numFmtId="169" fontId="13" fillId="0" borderId="0" xfId="0" applyNumberFormat="1" applyFont="1" applyAlignment="1">
      <alignment vertical="top"/>
    </xf>
    <xf numFmtId="170" fontId="0" fillId="0" borderId="0" xfId="0" applyNumberFormat="1" applyAlignment="1">
      <alignment vertical="top"/>
    </xf>
    <xf numFmtId="0" fontId="13" fillId="0" borderId="8" xfId="0" applyFont="1" applyBorder="1"/>
    <xf numFmtId="49" fontId="13" fillId="0" borderId="8" xfId="0" applyNumberFormat="1" applyFont="1" applyBorder="1"/>
    <xf numFmtId="169" fontId="13" fillId="0" borderId="8" xfId="0" applyNumberFormat="1" applyFont="1" applyBorder="1"/>
    <xf numFmtId="0" fontId="13" fillId="0" borderId="8" xfId="0" applyFont="1" applyBorder="1" applyAlignment="1">
      <alignment wrapText="1"/>
    </xf>
    <xf numFmtId="0" fontId="0" fillId="0" borderId="8" xfId="0" applyBorder="1" applyAlignment="1">
      <alignment wrapText="1"/>
    </xf>
    <xf numFmtId="0" fontId="0" fillId="0" borderId="8" xfId="0" quotePrefix="1" applyBorder="1" applyAlignment="1">
      <alignment wrapText="1"/>
    </xf>
    <xf numFmtId="0" fontId="12" fillId="12" borderId="9" xfId="0" applyFont="1" applyFill="1" applyBorder="1"/>
    <xf numFmtId="0" fontId="13" fillId="0" borderId="7" xfId="0" applyFont="1" applyBorder="1"/>
    <xf numFmtId="49" fontId="13" fillId="0" borderId="7" xfId="0" applyNumberFormat="1" applyFont="1" applyBorder="1"/>
    <xf numFmtId="0" fontId="13" fillId="0" borderId="7" xfId="0" applyFont="1" applyBorder="1" applyAlignment="1">
      <alignment wrapText="1"/>
    </xf>
    <xf numFmtId="169" fontId="13" fillId="0" borderId="7" xfId="0" applyNumberFormat="1" applyFont="1" applyBorder="1"/>
    <xf numFmtId="0" fontId="0" fillId="0" borderId="7" xfId="0" applyBorder="1" applyAlignment="1">
      <alignment wrapText="1"/>
    </xf>
    <xf numFmtId="0" fontId="22" fillId="0" borderId="0" xfId="0" applyFont="1"/>
    <xf numFmtId="0" fontId="22" fillId="0" borderId="0" xfId="0" applyFont="1" applyAlignment="1">
      <alignment horizontal="center"/>
    </xf>
    <xf numFmtId="0" fontId="22" fillId="0" borderId="0" xfId="0" applyFont="1" applyAlignment="1">
      <alignment wrapText="1"/>
    </xf>
    <xf numFmtId="0" fontId="22" fillId="13" borderId="0" xfId="0" applyFont="1" applyFill="1" applyAlignment="1">
      <alignment wrapText="1"/>
    </xf>
    <xf numFmtId="49" fontId="23" fillId="14" borderId="0" xfId="0" applyNumberFormat="1" applyFont="1" applyFill="1" applyAlignment="1">
      <alignment horizontal="center" vertical="center" wrapText="1"/>
    </xf>
    <xf numFmtId="0" fontId="22" fillId="15" borderId="0" xfId="0" applyFont="1" applyFill="1"/>
    <xf numFmtId="49" fontId="23" fillId="14" borderId="10" xfId="0" applyNumberFormat="1" applyFont="1" applyFill="1" applyBorder="1" applyAlignment="1">
      <alignment vertical="center"/>
    </xf>
    <xf numFmtId="49" fontId="23" fillId="15" borderId="10" xfId="0" applyNumberFormat="1" applyFont="1" applyFill="1" applyBorder="1" applyAlignment="1">
      <alignment vertical="center"/>
    </xf>
    <xf numFmtId="49" fontId="23" fillId="14" borderId="11" xfId="0" applyNumberFormat="1" applyFont="1" applyFill="1" applyBorder="1" applyAlignment="1">
      <alignment vertical="center"/>
    </xf>
    <xf numFmtId="0" fontId="22" fillId="16" borderId="6" xfId="0" applyFont="1" applyFill="1" applyBorder="1" applyAlignment="1">
      <alignment wrapText="1"/>
    </xf>
    <xf numFmtId="0" fontId="23" fillId="14" borderId="4" xfId="0" applyFont="1" applyFill="1" applyBorder="1" applyAlignment="1">
      <alignment horizontal="center" vertical="center"/>
    </xf>
    <xf numFmtId="0" fontId="23" fillId="14" borderId="5" xfId="0" applyFont="1" applyFill="1" applyBorder="1" applyAlignment="1">
      <alignment horizontal="center" vertical="center"/>
    </xf>
    <xf numFmtId="0" fontId="23" fillId="14" borderId="6" xfId="0" applyFont="1" applyFill="1" applyBorder="1" applyAlignment="1">
      <alignment horizontal="center" vertical="center" wrapText="1"/>
    </xf>
    <xf numFmtId="0" fontId="23" fillId="15" borderId="6" xfId="0" applyFont="1" applyFill="1" applyBorder="1" applyAlignment="1">
      <alignment horizontal="center" vertical="center" wrapText="1"/>
    </xf>
    <xf numFmtId="0" fontId="22" fillId="0" borderId="6" xfId="0" applyFont="1" applyBorder="1"/>
    <xf numFmtId="0" fontId="22" fillId="0" borderId="6" xfId="0" applyFont="1" applyBorder="1" applyAlignment="1">
      <alignment horizontal="left"/>
    </xf>
    <xf numFmtId="169" fontId="22" fillId="0" borderId="6" xfId="0" applyNumberFormat="1" applyFont="1" applyBorder="1" applyAlignment="1">
      <alignment horizontal="left"/>
    </xf>
    <xf numFmtId="0" fontId="22" fillId="15" borderId="6" xfId="0" applyFont="1" applyFill="1" applyBorder="1" applyAlignment="1">
      <alignment horizontal="left"/>
    </xf>
    <xf numFmtId="44" fontId="24" fillId="0" borderId="6" xfId="1" applyFont="1" applyBorder="1" applyAlignment="1">
      <alignment horizontal="center"/>
    </xf>
    <xf numFmtId="169" fontId="24" fillId="0" borderId="6" xfId="0" applyNumberFormat="1" applyFont="1" applyBorder="1" applyAlignment="1">
      <alignment horizontal="left"/>
    </xf>
    <xf numFmtId="44" fontId="22" fillId="0" borderId="6" xfId="1" applyFont="1" applyBorder="1" applyAlignment="1">
      <alignment horizontal="center"/>
    </xf>
    <xf numFmtId="0" fontId="24" fillId="0" borderId="6" xfId="0" applyFont="1" applyBorder="1" applyAlignment="1">
      <alignment horizontal="left"/>
    </xf>
    <xf numFmtId="0" fontId="24" fillId="0" borderId="6" xfId="0" applyFont="1" applyBorder="1" applyAlignment="1">
      <alignment horizontal="left" vertical="center"/>
    </xf>
    <xf numFmtId="0" fontId="24" fillId="0" borderId="6" xfId="0" applyFont="1" applyBorder="1" applyAlignment="1">
      <alignment horizontal="left" vertical="center" wrapText="1"/>
    </xf>
    <xf numFmtId="0" fontId="25" fillId="0" borderId="6" xfId="0" applyFont="1" applyBorder="1" applyAlignment="1">
      <alignment vertical="center"/>
    </xf>
    <xf numFmtId="0" fontId="26" fillId="0" borderId="0" xfId="0" applyFont="1"/>
    <xf numFmtId="0" fontId="25" fillId="0" borderId="6" xfId="0" applyFont="1" applyBorder="1" applyAlignment="1">
      <alignment horizontal="left"/>
    </xf>
    <xf numFmtId="0" fontId="22" fillId="0" borderId="6" xfId="0" applyFont="1" applyBorder="1" applyAlignment="1">
      <alignment wrapText="1"/>
    </xf>
    <xf numFmtId="169" fontId="22" fillId="0" borderId="6" xfId="0" applyNumberFormat="1" applyFont="1" applyBorder="1" applyAlignment="1">
      <alignment horizontal="left" wrapText="1"/>
    </xf>
    <xf numFmtId="0" fontId="22" fillId="0" borderId="6" xfId="0" applyFont="1" applyBorder="1" applyAlignment="1">
      <alignment horizontal="center"/>
    </xf>
    <xf numFmtId="169" fontId="24" fillId="13" borderId="6" xfId="0" applyNumberFormat="1" applyFont="1" applyFill="1" applyBorder="1" applyAlignment="1">
      <alignment horizontal="left" wrapText="1"/>
    </xf>
    <xf numFmtId="1" fontId="9" fillId="10" borderId="0" xfId="0" applyNumberFormat="1" applyFont="1" applyFill="1" applyAlignment="1"/>
    <xf numFmtId="0" fontId="0" fillId="0" borderId="0" xfId="0" applyAlignment="1"/>
    <xf numFmtId="0" fontId="27" fillId="0" borderId="0" xfId="2" applyFont="1" applyFill="1"/>
    <xf numFmtId="0" fontId="31" fillId="0" borderId="0" xfId="0" applyFont="1"/>
    <xf numFmtId="0" fontId="31" fillId="0" borderId="0" xfId="0" applyFont="1" applyAlignment="1">
      <alignment vertical="center"/>
    </xf>
    <xf numFmtId="0" fontId="28" fillId="0" borderId="0" xfId="0" applyFont="1" applyAlignment="1">
      <alignment vertical="center"/>
    </xf>
    <xf numFmtId="0" fontId="32" fillId="0" borderId="0" xfId="0" applyFont="1" applyAlignment="1">
      <alignment vertical="center"/>
    </xf>
    <xf numFmtId="0" fontId="33" fillId="0" borderId="0" xfId="0" applyFont="1"/>
    <xf numFmtId="0" fontId="29" fillId="5" borderId="0" xfId="0" applyFont="1" applyFill="1" applyAlignment="1">
      <alignment vertical="center" wrapText="1"/>
    </xf>
    <xf numFmtId="0" fontId="29" fillId="17" borderId="0" xfId="0" applyFont="1" applyFill="1" applyAlignment="1">
      <alignment vertical="center" wrapText="1"/>
    </xf>
    <xf numFmtId="0" fontId="29" fillId="6" borderId="0" xfId="0" applyFont="1" applyFill="1" applyAlignment="1">
      <alignment vertical="center" wrapText="1"/>
    </xf>
    <xf numFmtId="0" fontId="29" fillId="18" borderId="0" xfId="0" applyFont="1" applyFill="1" applyAlignment="1">
      <alignment vertical="center" wrapText="1"/>
    </xf>
    <xf numFmtId="168" fontId="32" fillId="0" borderId="0" xfId="0" applyNumberFormat="1" applyFont="1" applyAlignment="1">
      <alignment vertical="center"/>
    </xf>
    <xf numFmtId="172" fontId="32" fillId="0" borderId="0" xfId="0" applyNumberFormat="1" applyFont="1" applyAlignment="1">
      <alignment vertical="center"/>
    </xf>
    <xf numFmtId="173" fontId="28" fillId="0" borderId="0" xfId="0" applyNumberFormat="1" applyFont="1" applyAlignment="1">
      <alignment horizontal="center" vertical="center"/>
    </xf>
    <xf numFmtId="0" fontId="34" fillId="0" borderId="0" xfId="0" applyFont="1"/>
    <xf numFmtId="168" fontId="27" fillId="0" borderId="0" xfId="2" applyNumberFormat="1" applyFont="1" applyFill="1"/>
    <xf numFmtId="168" fontId="31" fillId="0" borderId="0" xfId="0" applyNumberFormat="1" applyFont="1" applyAlignment="1">
      <alignment vertical="center"/>
    </xf>
    <xf numFmtId="170" fontId="31" fillId="0" borderId="0" xfId="0" applyNumberFormat="1" applyFont="1" applyAlignment="1">
      <alignment vertical="center"/>
    </xf>
    <xf numFmtId="0" fontId="31" fillId="0" borderId="0" xfId="0" applyFont="1" applyAlignment="1">
      <alignment horizontal="center" vertical="center"/>
    </xf>
    <xf numFmtId="174" fontId="31" fillId="0" borderId="0" xfId="0" applyNumberFormat="1" applyFont="1" applyAlignment="1">
      <alignment horizontal="center" vertical="center"/>
    </xf>
    <xf numFmtId="167" fontId="31" fillId="0" borderId="0" xfId="0" applyNumberFormat="1" applyFont="1" applyAlignment="1">
      <alignment horizontal="center" vertical="center"/>
    </xf>
    <xf numFmtId="0" fontId="33" fillId="5" borderId="12" xfId="0" applyFont="1" applyFill="1" applyBorder="1" applyAlignment="1">
      <alignment horizontal="center" vertical="center" wrapText="1"/>
    </xf>
    <xf numFmtId="0" fontId="33" fillId="17" borderId="14" xfId="0" applyFont="1" applyFill="1" applyBorder="1" applyAlignment="1">
      <alignment horizontal="center" vertical="center" wrapText="1"/>
    </xf>
    <xf numFmtId="0" fontId="33" fillId="17" borderId="12" xfId="0" applyFont="1" applyFill="1" applyBorder="1" applyAlignment="1">
      <alignment horizontal="center" vertical="center" wrapText="1"/>
    </xf>
    <xf numFmtId="0" fontId="33" fillId="6" borderId="14" xfId="0" applyFont="1" applyFill="1" applyBorder="1" applyAlignment="1">
      <alignment horizontal="center" vertical="center" wrapText="1"/>
    </xf>
    <xf numFmtId="0" fontId="33" fillId="6" borderId="12" xfId="0" applyFont="1" applyFill="1" applyBorder="1" applyAlignment="1">
      <alignment horizontal="center" vertical="center" wrapText="1"/>
    </xf>
    <xf numFmtId="0" fontId="33" fillId="18" borderId="14" xfId="0" applyFont="1" applyFill="1" applyBorder="1" applyAlignment="1">
      <alignment horizontal="center" vertical="center" wrapText="1"/>
    </xf>
    <xf numFmtId="0" fontId="33" fillId="18" borderId="12" xfId="0" applyFont="1" applyFill="1" applyBorder="1" applyAlignment="1">
      <alignment horizontal="center" vertical="center" wrapText="1"/>
    </xf>
    <xf numFmtId="0" fontId="33" fillId="18" borderId="13" xfId="0" applyFont="1" applyFill="1" applyBorder="1" applyAlignment="1">
      <alignment horizontal="center" vertical="center" wrapText="1"/>
    </xf>
    <xf numFmtId="0" fontId="35" fillId="0" borderId="0" xfId="0" applyFont="1" applyAlignment="1">
      <alignment horizontal="right"/>
    </xf>
    <xf numFmtId="0" fontId="32" fillId="0" borderId="15" xfId="0" applyFont="1" applyBorder="1"/>
    <xf numFmtId="0" fontId="33" fillId="0" borderId="0" xfId="0" applyFont="1" applyAlignment="1">
      <alignment horizontal="left"/>
    </xf>
    <xf numFmtId="0" fontId="31" fillId="19" borderId="17" xfId="0" applyFont="1" applyFill="1" applyBorder="1" applyAlignment="1">
      <alignment horizontal="center"/>
    </xf>
    <xf numFmtId="0" fontId="33" fillId="20" borderId="17" xfId="0" applyFont="1" applyFill="1" applyBorder="1" applyAlignment="1">
      <alignment horizontal="center"/>
    </xf>
    <xf numFmtId="0" fontId="31" fillId="21" borderId="17" xfId="0" applyFont="1" applyFill="1" applyBorder="1" applyAlignment="1">
      <alignment horizontal="center"/>
    </xf>
    <xf numFmtId="0" fontId="30" fillId="22" borderId="17" xfId="0" applyFont="1" applyFill="1" applyBorder="1" applyAlignment="1">
      <alignment horizontal="center"/>
    </xf>
    <xf numFmtId="0" fontId="36" fillId="22" borderId="17" xfId="0" applyFont="1" applyFill="1" applyBorder="1" applyAlignment="1">
      <alignment horizontal="center"/>
    </xf>
    <xf numFmtId="0" fontId="31" fillId="5" borderId="16" xfId="0" applyFont="1" applyFill="1" applyBorder="1" applyAlignment="1">
      <alignment horizontal="center"/>
    </xf>
    <xf numFmtId="0" fontId="35" fillId="0" borderId="0" xfId="0" applyFont="1"/>
  </cellXfs>
  <cellStyles count="3">
    <cellStyle name="Currency" xfId="1" builtinId="4"/>
    <cellStyle name="Hyperlink" xfId="2" builtinId="8"/>
    <cellStyle name="Normal" xfId="0" builtinId="0"/>
  </cellStyles>
  <dxfs count="169">
    <dxf>
      <font>
        <color rgb="FFC00000"/>
      </font>
      <fill>
        <patternFill patternType="solid">
          <fgColor indexed="64"/>
          <bgColor rgb="FFFFC7CE"/>
        </patternFill>
      </fill>
    </dxf>
    <dxf>
      <font>
        <color rgb="FFC00000"/>
      </font>
      <fill>
        <patternFill patternType="solid">
          <fgColor indexed="64"/>
          <bgColor rgb="FFFFC7CE"/>
        </patternFill>
      </fill>
    </dxf>
    <dxf>
      <fill>
        <patternFill patternType="solid">
          <fgColor indexed="64"/>
          <bgColor rgb="FFFFFF00"/>
        </patternFill>
      </fill>
    </dxf>
    <dxf>
      <fill>
        <patternFill patternType="solid">
          <fgColor indexed="64"/>
          <bgColor rgb="FFF5F5F5"/>
        </patternFill>
      </fill>
    </dxf>
    <dxf>
      <font>
        <color rgb="FF9E9E9E"/>
      </font>
    </dxf>
    <dxf>
      <font>
        <b val="0"/>
        <i/>
      </font>
    </dxf>
    <dxf>
      <fill>
        <patternFill patternType="solid">
          <fgColor indexed="64"/>
          <bgColor rgb="FFFCE4D6"/>
        </patternFill>
      </fill>
    </dxf>
    <dxf>
      <font>
        <b/>
        <i val="0"/>
      </font>
      <fill>
        <patternFill patternType="solid">
          <fgColor indexed="64"/>
          <bgColor rgb="FFC6EFCE"/>
        </patternFill>
      </fill>
    </dxf>
    <dxf>
      <fill>
        <patternFill patternType="solid">
          <fgColor indexed="64"/>
          <bgColor rgb="FFFFFF99"/>
        </patternFill>
      </fill>
    </dxf>
    <dxf>
      <font>
        <u/>
        <sz val="11"/>
        <color rgb="FF000000"/>
        <name val="Calibri"/>
      </font>
      <numFmt numFmtId="168" formatCode="&quot;$&quot;#,##0.00;\(&quot;$&quot;#,##0.00\);\-"/>
      <fill>
        <patternFill patternType="none"/>
      </fill>
    </dxf>
    <dxf>
      <font>
        <u/>
        <sz val="11"/>
        <color rgb="FF000000"/>
        <name val="Calibri"/>
      </font>
      <fill>
        <patternFill patternType="none"/>
      </fill>
    </dxf>
    <dxf>
      <font>
        <u/>
        <sz val="11"/>
        <color rgb="FF000000"/>
        <name val="Calibri"/>
      </font>
      <fill>
        <patternFill patternType="none"/>
      </fill>
    </dxf>
    <dxf>
      <font>
        <u/>
        <sz val="11"/>
        <color rgb="FF000000"/>
        <name val="Calibri"/>
      </font>
      <fill>
        <patternFill patternType="none"/>
      </fill>
    </dxf>
    <dxf>
      <font>
        <u/>
        <sz val="11"/>
        <color rgb="FF000000"/>
        <name val="Calibri"/>
      </font>
      <fill>
        <patternFill patternType="none"/>
      </fill>
    </dxf>
    <dxf>
      <font>
        <sz val="10"/>
        <color rgb="FF000000"/>
      </font>
      <numFmt numFmtId="173" formatCode="#,##0;\(#,##0\);\-"/>
      <alignment horizontal="center" vertical="center"/>
    </dxf>
    <dxf>
      <font>
        <sz val="10"/>
        <color rgb="FF000000"/>
      </font>
      <numFmt numFmtId="173" formatCode="#,##0;\(#,##0\);\-"/>
      <alignment horizontal="center" vertical="center"/>
    </dxf>
    <dxf>
      <font>
        <sz val="10"/>
        <color rgb="FF000000"/>
      </font>
      <numFmt numFmtId="173" formatCode="#,##0;\(#,##0\);\-"/>
      <alignment horizontal="center" vertical="center"/>
    </dxf>
    <dxf>
      <font>
        <sz val="10"/>
        <color rgb="FF0000FF"/>
      </font>
      <numFmt numFmtId="172" formatCode="0.0%;\(0.0%\);\-"/>
      <alignment vertical="center"/>
    </dxf>
    <dxf>
      <font>
        <sz val="10"/>
        <color rgb="FF0000FF"/>
      </font>
      <numFmt numFmtId="168" formatCode="&quot;$&quot;#,##0.00;\(&quot;$&quot;#,##0.00\);\-"/>
      <alignment vertical="center"/>
    </dxf>
    <dxf>
      <font>
        <b/>
        <sz val="10"/>
        <color rgb="FF1F1F1F"/>
      </font>
      <alignment vertical="center" wrapText="1"/>
    </dxf>
    <dxf>
      <font>
        <sz val="10"/>
        <color rgb="FF0000FF"/>
      </font>
      <alignment vertical="center"/>
    </dxf>
    <dxf>
      <font>
        <sz val="10"/>
        <color rgb="FF0000FF"/>
      </font>
      <alignment vertical="center"/>
    </dxf>
    <dxf>
      <font>
        <sz val="10"/>
        <color rgb="FF0000FF"/>
      </font>
      <alignment vertical="center"/>
    </dxf>
    <dxf>
      <font>
        <sz val="10"/>
        <color rgb="FF0000FF"/>
      </font>
      <alignment vertical="center"/>
    </dxf>
    <dxf>
      <font>
        <sz val="10"/>
        <color rgb="FF0000FF"/>
      </font>
      <alignment vertical="center"/>
    </dxf>
    <dxf>
      <font>
        <sz val="10"/>
        <color rgb="FF0000FF"/>
      </font>
      <alignment vertical="center"/>
    </dxf>
    <dxf>
      <font>
        <sz val="10"/>
        <color rgb="FF0000FF"/>
      </font>
      <alignment vertical="center"/>
    </dxf>
    <dxf>
      <font>
        <sz val="10"/>
        <color rgb="FF000000"/>
      </font>
      <alignment vertical="center"/>
    </dxf>
    <dxf>
      <font>
        <sz val="10"/>
        <color rgb="FF000000"/>
      </font>
      <alignment vertical="center"/>
    </dxf>
    <dxf>
      <font>
        <sz val="10"/>
        <color rgb="FF000000"/>
      </font>
      <alignment vertical="center"/>
    </dxf>
    <dxf>
      <font>
        <sz val="10"/>
        <color rgb="FF000000"/>
      </font>
      <alignment vertical="center"/>
    </dxf>
    <dxf>
      <font>
        <b val="0"/>
        <i val="0"/>
        <strike val="0"/>
        <condense val="0"/>
        <extend val="0"/>
        <outline val="0"/>
        <shadow val="0"/>
        <u val="none"/>
        <vertAlign val="baseline"/>
        <sz val="11"/>
        <color rgb="FF000000"/>
        <name val="Calibri"/>
        <family val="2"/>
        <scheme val="minor"/>
      </font>
      <numFmt numFmtId="1" formatCode="0"/>
      <fill>
        <patternFill patternType="solid">
          <fgColor indexed="64"/>
          <bgColor rgb="FFF3EAF9"/>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 formatCode="0"/>
      <fill>
        <patternFill patternType="solid">
          <fgColor indexed="64"/>
          <bgColor rgb="FFF3EAF9"/>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FF"/>
        <name val="Calibri"/>
        <family val="2"/>
        <scheme val="minor"/>
      </font>
      <numFmt numFmtId="1" formatCode="0"/>
      <fill>
        <patternFill patternType="solid">
          <fgColor indexed="64"/>
          <bgColor rgb="FFF8F4FC"/>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FF"/>
        <name val="Calibri"/>
        <family val="2"/>
        <scheme val="minor"/>
      </font>
      <numFmt numFmtId="1" formatCode="0"/>
      <fill>
        <patternFill patternType="solid">
          <fgColor indexed="64"/>
          <bgColor rgb="FFF8F4FC"/>
        </patternFill>
      </fill>
      <alignment horizontal="center" vertical="bottom" textRotation="0" wrapText="0" indent="0" justifyLastLine="0" shrinkToFit="0" readingOrder="0"/>
    </dxf>
    <dxf>
      <font>
        <sz val="11"/>
        <color rgb="FF000000"/>
        <name val="Calibri"/>
      </font>
      <numFmt numFmtId="1" formatCode="0"/>
      <fill>
        <patternFill patternType="solid">
          <fgColor indexed="64"/>
          <bgColor rgb="FFF3EAF9"/>
        </patternFill>
      </fill>
      <alignment horizontal="center"/>
    </dxf>
    <dxf>
      <font>
        <b val="0"/>
        <i val="0"/>
        <strike val="0"/>
        <condense val="0"/>
        <extend val="0"/>
        <outline val="0"/>
        <shadow val="0"/>
        <u val="none"/>
        <vertAlign val="baseline"/>
        <sz val="11"/>
        <color rgb="FF008000"/>
        <name val="Calibri"/>
        <family val="2"/>
        <scheme val="minor"/>
      </font>
      <numFmt numFmtId="30" formatCode="@"/>
      <border diagonalUp="0" diagonalDown="0">
        <left/>
        <right/>
        <top style="thin">
          <color rgb="FF4F81BD"/>
        </top>
        <bottom style="thin">
          <color rgb="FF4F81BD"/>
        </bottom>
        <vertical/>
        <horizontal/>
      </border>
    </dxf>
    <dxf>
      <alignment horizontal="general" vertical="bottom" textRotation="0" wrapText="1" indent="0" justifyLastLine="0" shrinkToFit="0" readingOrder="0"/>
      <border diagonalUp="0" diagonalDown="0">
        <left/>
        <right/>
        <top style="thin">
          <color rgb="FF4F81BD"/>
        </top>
        <bottom style="thin">
          <color rgb="FF4F81BD"/>
        </bottom>
        <vertical/>
        <horizontal/>
      </border>
    </dxf>
    <dxf>
      <font>
        <b val="0"/>
        <i val="0"/>
        <strike val="0"/>
        <condense val="0"/>
        <extend val="0"/>
        <outline val="0"/>
        <shadow val="0"/>
        <u val="none"/>
        <vertAlign val="baseline"/>
        <sz val="11"/>
        <color rgb="FF008000"/>
        <name val="Calibri"/>
        <family val="2"/>
        <scheme val="minor"/>
      </font>
      <border diagonalUp="0" diagonalDown="0">
        <left/>
        <right/>
        <top style="thin">
          <color rgb="FF4F81BD"/>
        </top>
        <bottom style="thin">
          <color rgb="FF4F81BD"/>
        </bottom>
        <vertical/>
        <horizontal/>
      </border>
    </dxf>
    <dxf>
      <font>
        <b val="0"/>
        <i val="0"/>
        <strike val="0"/>
        <condense val="0"/>
        <extend val="0"/>
        <outline val="0"/>
        <shadow val="0"/>
        <u val="none"/>
        <vertAlign val="baseline"/>
        <sz val="11"/>
        <color rgb="FF008000"/>
        <name val="Calibri"/>
        <family val="2"/>
        <scheme val="minor"/>
      </font>
      <numFmt numFmtId="169" formatCode="&quot;$&quot;#,##0.00"/>
      <border diagonalUp="0" diagonalDown="0">
        <left/>
        <right/>
        <top style="thin">
          <color rgb="FF4F81BD"/>
        </top>
        <bottom style="thin">
          <color rgb="FF4F81BD"/>
        </bottom>
        <vertical/>
        <horizontal/>
      </border>
    </dxf>
    <dxf>
      <font>
        <b val="0"/>
        <i val="0"/>
        <strike val="0"/>
        <condense val="0"/>
        <extend val="0"/>
        <outline val="0"/>
        <shadow val="0"/>
        <u val="none"/>
        <vertAlign val="baseline"/>
        <sz val="11"/>
        <color rgb="FF008000"/>
        <name val="Calibri"/>
        <family val="2"/>
        <scheme val="minor"/>
      </font>
      <numFmt numFmtId="169" formatCode="&quot;$&quot;#,##0.00"/>
      <border diagonalUp="0" diagonalDown="0">
        <left/>
        <right/>
        <top style="thin">
          <color rgb="FF4F81BD"/>
        </top>
        <bottom style="thin">
          <color rgb="FF4F81BD"/>
        </bottom>
        <vertical/>
        <horizontal/>
      </border>
    </dxf>
    <dxf>
      <font>
        <b val="0"/>
        <i val="0"/>
        <strike val="0"/>
        <condense val="0"/>
        <extend val="0"/>
        <outline val="0"/>
        <shadow val="0"/>
        <u val="none"/>
        <vertAlign val="baseline"/>
        <sz val="11"/>
        <color rgb="FF008000"/>
        <name val="Calibri"/>
        <family val="2"/>
        <scheme val="minor"/>
      </font>
      <alignment horizontal="general" vertical="bottom" textRotation="0" wrapText="1" indent="0" justifyLastLine="0" shrinkToFit="0" readingOrder="0"/>
      <border diagonalUp="0" diagonalDown="0">
        <left/>
        <right/>
        <top style="thin">
          <color rgb="FF4F81BD"/>
        </top>
        <bottom style="thin">
          <color rgb="FF4F81BD"/>
        </bottom>
        <vertical/>
        <horizontal/>
      </border>
    </dxf>
    <dxf>
      <font>
        <b val="0"/>
        <i val="0"/>
        <strike val="0"/>
        <condense val="0"/>
        <extend val="0"/>
        <outline val="0"/>
        <shadow val="0"/>
        <u val="none"/>
        <vertAlign val="baseline"/>
        <sz val="11"/>
        <color rgb="FF008000"/>
        <name val="Calibri"/>
        <family val="2"/>
        <scheme val="minor"/>
      </font>
      <border diagonalUp="0" diagonalDown="0">
        <left/>
        <right/>
        <top style="thin">
          <color rgb="FF4F81BD"/>
        </top>
        <bottom style="thin">
          <color rgb="FF4F81BD"/>
        </bottom>
        <vertical/>
        <horizontal/>
      </border>
    </dxf>
    <dxf>
      <font>
        <b val="0"/>
        <i val="0"/>
        <strike val="0"/>
        <condense val="0"/>
        <extend val="0"/>
        <outline val="0"/>
        <shadow val="0"/>
        <u val="none"/>
        <vertAlign val="baseline"/>
        <sz val="11"/>
        <color rgb="FF008000"/>
        <name val="Calibri"/>
        <family val="2"/>
        <scheme val="minor"/>
      </font>
      <border diagonalUp="0" diagonalDown="0">
        <left/>
        <right/>
        <top style="thin">
          <color rgb="FF4F81BD"/>
        </top>
        <bottom style="thin">
          <color rgb="FF4F81BD"/>
        </bottom>
        <vertical/>
        <horizontal/>
      </border>
    </dxf>
    <dxf>
      <font>
        <b/>
        <i val="0"/>
        <strike val="0"/>
        <condense val="0"/>
        <extend val="0"/>
        <outline val="0"/>
        <shadow val="0"/>
        <u val="none"/>
        <vertAlign val="baseline"/>
        <sz val="11"/>
        <color rgb="FFFFFFFF"/>
        <name val="Calibri"/>
        <family val="2"/>
        <scheme val="minor"/>
      </font>
      <fill>
        <patternFill patternType="solid">
          <fgColor indexed="64"/>
          <bgColor rgb="FF4F81BD"/>
        </patternFill>
      </fill>
    </dxf>
    <dxf>
      <border outline="0">
        <bottom style="thin">
          <color rgb="FF4F81BD"/>
        </bottom>
      </border>
    </dxf>
    <dxf>
      <font>
        <b/>
        <i val="0"/>
        <strike val="0"/>
        <condense val="0"/>
        <extend val="0"/>
        <outline val="0"/>
        <shadow val="0"/>
        <u val="none"/>
        <vertAlign val="baseline"/>
        <sz val="11"/>
        <color rgb="FFFFFFFF"/>
        <name val="Calibri"/>
        <family val="2"/>
        <scheme val="minor"/>
      </font>
      <fill>
        <patternFill patternType="solid">
          <fgColor indexed="64"/>
          <bgColor rgb="FF4F81BD"/>
        </patternFill>
      </fill>
    </dxf>
    <dxf>
      <alignment horizontal="general" vertical="bottom" textRotation="0" wrapText="1" indent="0" justifyLastLine="0" shrinkToFit="0" readingOrder="0"/>
      <border diagonalUp="0" diagonalDown="0">
        <left/>
        <right/>
        <top style="thin">
          <color rgb="FF4F81BD"/>
        </top>
        <bottom style="thin">
          <color rgb="FF4F81BD"/>
        </bottom>
        <vertical/>
        <horizontal/>
      </border>
    </dxf>
    <dxf>
      <font>
        <b val="0"/>
        <i val="0"/>
        <strike val="0"/>
        <condense val="0"/>
        <extend val="0"/>
        <outline val="0"/>
        <shadow val="0"/>
        <u val="none"/>
        <vertAlign val="baseline"/>
        <sz val="11"/>
        <color rgb="FF008000"/>
        <name val="Calibri"/>
        <family val="2"/>
        <scheme val="minor"/>
      </font>
      <border diagonalUp="0" diagonalDown="0">
        <left/>
        <right/>
        <top style="thin">
          <color rgb="FF4F81BD"/>
        </top>
        <bottom style="thin">
          <color rgb="FF4F81BD"/>
        </bottom>
        <vertical/>
        <horizontal/>
      </border>
    </dxf>
    <dxf>
      <font>
        <b val="0"/>
        <i val="0"/>
        <strike val="0"/>
        <condense val="0"/>
        <extend val="0"/>
        <outline val="0"/>
        <shadow val="0"/>
        <u val="none"/>
        <vertAlign val="baseline"/>
        <sz val="11"/>
        <color rgb="FF008000"/>
        <name val="Calibri"/>
        <family val="2"/>
        <scheme val="minor"/>
      </font>
      <numFmt numFmtId="169" formatCode="&quot;$&quot;#,##0.00"/>
      <border diagonalUp="0" diagonalDown="0">
        <left/>
        <right/>
        <top style="thin">
          <color rgb="FF4F81BD"/>
        </top>
        <bottom style="thin">
          <color rgb="FF4F81BD"/>
        </bottom>
        <vertical/>
        <horizontal/>
      </border>
    </dxf>
    <dxf>
      <font>
        <b val="0"/>
        <i val="0"/>
        <strike val="0"/>
        <condense val="0"/>
        <extend val="0"/>
        <outline val="0"/>
        <shadow val="0"/>
        <u val="none"/>
        <vertAlign val="baseline"/>
        <sz val="11"/>
        <color rgb="FF008000"/>
        <name val="Calibri"/>
        <family val="2"/>
        <scheme val="minor"/>
      </font>
      <numFmt numFmtId="169" formatCode="&quot;$&quot;#,##0.00"/>
      <border diagonalUp="0" diagonalDown="0">
        <left/>
        <right/>
        <top style="thin">
          <color rgb="FF4F81BD"/>
        </top>
        <bottom style="thin">
          <color rgb="FF4F81BD"/>
        </bottom>
        <vertical/>
        <horizontal/>
      </border>
    </dxf>
    <dxf>
      <font>
        <b val="0"/>
        <i val="0"/>
        <strike val="0"/>
        <condense val="0"/>
        <extend val="0"/>
        <outline val="0"/>
        <shadow val="0"/>
        <u val="none"/>
        <vertAlign val="baseline"/>
        <sz val="11"/>
        <color rgb="FF008000"/>
        <name val="Calibri"/>
        <family val="2"/>
        <scheme val="minor"/>
      </font>
      <alignment horizontal="general" vertical="bottom" textRotation="0" wrapText="1" indent="0" justifyLastLine="0" shrinkToFit="0" readingOrder="0"/>
      <border diagonalUp="0" diagonalDown="0">
        <left/>
        <right/>
        <top style="thin">
          <color rgb="FF4F81BD"/>
        </top>
        <bottom style="thin">
          <color rgb="FF4F81BD"/>
        </bottom>
        <vertical/>
        <horizontal/>
      </border>
    </dxf>
    <dxf>
      <font>
        <b val="0"/>
        <i val="0"/>
        <strike val="0"/>
        <condense val="0"/>
        <extend val="0"/>
        <outline val="0"/>
        <shadow val="0"/>
        <u val="none"/>
        <vertAlign val="baseline"/>
        <sz val="11"/>
        <color rgb="FF008000"/>
        <name val="Calibri"/>
        <family val="2"/>
        <scheme val="minor"/>
      </font>
      <numFmt numFmtId="30" formatCode="@"/>
      <border diagonalUp="0" diagonalDown="0">
        <left/>
        <right/>
        <top style="thin">
          <color rgb="FF4F81BD"/>
        </top>
        <bottom style="thin">
          <color rgb="FF4F81BD"/>
        </bottom>
        <vertical/>
        <horizontal/>
      </border>
    </dxf>
    <dxf>
      <font>
        <b val="0"/>
        <i val="0"/>
        <strike val="0"/>
        <condense val="0"/>
        <extend val="0"/>
        <outline val="0"/>
        <shadow val="0"/>
        <u val="none"/>
        <vertAlign val="baseline"/>
        <sz val="11"/>
        <color rgb="FF008000"/>
        <name val="Calibri"/>
        <family val="2"/>
        <scheme val="minor"/>
      </font>
      <border diagonalUp="0" diagonalDown="0">
        <left/>
        <right/>
        <top style="thin">
          <color rgb="FF4F81BD"/>
        </top>
        <bottom style="thin">
          <color rgb="FF4F81BD"/>
        </bottom>
        <vertical/>
        <horizontal/>
      </border>
    </dxf>
    <dxf>
      <font>
        <b val="0"/>
        <i val="0"/>
        <strike val="0"/>
        <condense val="0"/>
        <extend val="0"/>
        <outline val="0"/>
        <shadow val="0"/>
        <u val="none"/>
        <vertAlign val="baseline"/>
        <sz val="11"/>
        <color rgb="FF008000"/>
        <name val="Calibri"/>
        <family val="2"/>
        <scheme val="minor"/>
      </font>
      <border diagonalUp="0" diagonalDown="0">
        <left/>
        <right/>
        <top style="thin">
          <color rgb="FF4F81BD"/>
        </top>
        <bottom style="thin">
          <color rgb="FF4F81BD"/>
        </bottom>
        <vertical/>
        <horizontal/>
      </border>
    </dxf>
    <dxf>
      <border outline="0">
        <top style="thin">
          <color rgb="FF4F81BD"/>
        </top>
      </border>
    </dxf>
    <dxf>
      <border outline="0">
        <bottom style="thin">
          <color rgb="FF4F81BD"/>
        </bottom>
      </border>
    </dxf>
    <dxf>
      <border outline="0">
        <left style="thin">
          <color rgb="FF4F81BD"/>
        </left>
        <right style="thin">
          <color rgb="FF4F81BD"/>
        </right>
        <top style="thin">
          <color rgb="FF4F81BD"/>
        </top>
        <bottom style="thin">
          <color rgb="FF4F81BD"/>
        </bottom>
      </border>
    </dxf>
    <dxf>
      <font>
        <b val="0"/>
        <i val="0"/>
        <strike val="0"/>
        <condense val="0"/>
        <extend val="0"/>
        <outline val="0"/>
        <shadow val="0"/>
        <u val="none"/>
        <vertAlign val="baseline"/>
        <sz val="11"/>
        <color rgb="FF000000"/>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008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8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8000"/>
        <name val="Calibri"/>
        <family val="2"/>
        <scheme val="minor"/>
      </font>
      <numFmt numFmtId="169" formatCode="&quot;$&quot;#,##0.00"/>
      <alignment horizontal="general" vertical="top" textRotation="0" wrapText="0" indent="0" justifyLastLine="0" shrinkToFit="0" readingOrder="0"/>
    </dxf>
    <dxf>
      <font>
        <b val="0"/>
        <i val="0"/>
        <strike val="0"/>
        <condense val="0"/>
        <extend val="0"/>
        <outline val="0"/>
        <shadow val="0"/>
        <u val="none"/>
        <vertAlign val="baseline"/>
        <sz val="11"/>
        <color rgb="FF008000"/>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008000"/>
        <name val="Calibri"/>
        <family val="2"/>
        <scheme val="minor"/>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1"/>
        <color rgb="FF008000"/>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008000"/>
        <name val="Calibri"/>
        <family val="2"/>
        <scheme val="minor"/>
      </font>
      <alignment horizontal="general" vertical="top" textRotation="0" wrapText="0" indent="0" justifyLastLine="0" shrinkToFit="0" readingOrder="0"/>
    </dxf>
    <dxf>
      <font>
        <color rgb="FF000000"/>
      </font>
      <alignment vertical="top" wrapText="1"/>
    </dxf>
    <dxf>
      <font>
        <color rgb="FF008000"/>
      </font>
      <alignment vertical="top"/>
    </dxf>
    <dxf>
      <font>
        <color rgb="FF008000"/>
      </font>
      <alignment vertical="top"/>
    </dxf>
    <dxf>
      <font>
        <color rgb="FF008000"/>
      </font>
      <numFmt numFmtId="171" formatCode="&quot;$&quot;#,##0"/>
      <alignment vertical="top"/>
    </dxf>
    <dxf>
      <font>
        <color rgb="FF008000"/>
      </font>
      <alignment vertical="top" wrapText="1"/>
    </dxf>
    <dxf>
      <font>
        <color rgb="FF008000"/>
      </font>
      <numFmt numFmtId="30" formatCode="@"/>
      <alignment vertical="top"/>
    </dxf>
    <dxf>
      <font>
        <color rgb="FF008000"/>
      </font>
      <alignment vertical="top" wrapText="1"/>
    </dxf>
    <dxf>
      <font>
        <color rgb="FF008000"/>
      </font>
      <alignment vertical="top"/>
    </dxf>
    <dxf>
      <font>
        <color rgb="FF008000"/>
      </font>
      <alignment vertical="top"/>
    </dxf>
    <dxf>
      <font>
        <color rgb="FF008000"/>
      </font>
      <numFmt numFmtId="30" formatCode="@"/>
      <alignment vertical="top"/>
    </dxf>
    <dxf>
      <font>
        <color rgb="FF000000"/>
      </font>
      <alignment vertical="top" wrapText="1"/>
    </dxf>
    <dxf>
      <font>
        <color rgb="FF008000"/>
      </font>
      <alignment vertical="top"/>
    </dxf>
    <dxf>
      <font>
        <color rgb="FF008000"/>
      </font>
      <alignment vertical="top"/>
    </dxf>
    <dxf>
      <font>
        <color rgb="FF008000"/>
      </font>
      <numFmt numFmtId="171" formatCode="&quot;$&quot;#,##0"/>
      <alignment vertical="top"/>
    </dxf>
    <dxf>
      <font>
        <color rgb="FF008000"/>
      </font>
      <alignment vertical="top" wrapText="1"/>
    </dxf>
    <dxf>
      <font>
        <color rgb="FF008000"/>
      </font>
      <alignment vertical="top" wrapText="1"/>
    </dxf>
    <dxf>
      <font>
        <color rgb="FF008000"/>
      </font>
      <alignment vertical="top"/>
    </dxf>
    <dxf>
      <font>
        <color rgb="FF008000"/>
      </font>
      <alignment vertical="top"/>
    </dxf>
    <dxf>
      <font>
        <color rgb="FF008000"/>
      </font>
      <numFmt numFmtId="30" formatCode="@"/>
      <alignment vertical="top"/>
    </dxf>
    <dxf>
      <font>
        <color rgb="FF000000"/>
      </font>
      <alignment vertical="top" wrapText="1"/>
    </dxf>
    <dxf>
      <font>
        <color rgb="FF008000"/>
      </font>
      <alignment vertical="top"/>
    </dxf>
    <dxf>
      <font>
        <color rgb="FF008000"/>
      </font>
      <alignment vertical="top"/>
    </dxf>
    <dxf>
      <font>
        <color rgb="FF008000"/>
      </font>
      <numFmt numFmtId="171" formatCode="&quot;$&quot;#,##0"/>
      <alignment vertical="top"/>
    </dxf>
    <dxf>
      <font>
        <color rgb="FF008000"/>
      </font>
      <alignment vertical="top" wrapText="1"/>
    </dxf>
    <dxf>
      <font>
        <color rgb="FF008000"/>
      </font>
      <alignment vertical="top" wrapText="1"/>
    </dxf>
    <dxf>
      <font>
        <color rgb="FF008000"/>
      </font>
      <alignment vertical="top"/>
    </dxf>
    <dxf>
      <font>
        <color rgb="FF008000"/>
      </font>
      <alignment vertical="top"/>
    </dxf>
    <dxf>
      <font>
        <color rgb="FF008000"/>
      </font>
      <alignment vertical="top"/>
    </dxf>
    <dxf>
      <font>
        <color rgb="FF000000"/>
      </font>
      <alignment vertical="top" wrapText="1"/>
    </dxf>
    <dxf>
      <font>
        <color rgb="FF008000"/>
      </font>
      <alignment vertical="top"/>
    </dxf>
    <dxf>
      <font>
        <color rgb="FF008000"/>
      </font>
      <alignment vertical="top"/>
    </dxf>
    <dxf>
      <font>
        <color rgb="FF008000"/>
      </font>
      <numFmt numFmtId="171" formatCode="&quot;$&quot;#,##0"/>
      <alignment vertical="top"/>
    </dxf>
    <dxf>
      <font>
        <color rgb="FF008000"/>
      </font>
      <alignment vertical="top" wrapText="1"/>
    </dxf>
    <dxf>
      <font>
        <color rgb="FF008000"/>
      </font>
      <alignment vertical="top"/>
    </dxf>
    <dxf>
      <font>
        <color rgb="FF008000"/>
      </font>
      <alignment vertical="top" wrapText="1"/>
    </dxf>
    <dxf>
      <font>
        <color rgb="FF008000"/>
      </font>
      <alignment vertical="top"/>
    </dxf>
    <dxf>
      <font>
        <u/>
        <sz val="11"/>
        <color rgb="FF0563C1"/>
        <name val="Calibri"/>
      </font>
      <fill>
        <patternFill patternType="none"/>
      </fill>
    </dxf>
    <dxf>
      <font>
        <color rgb="FF0000FF"/>
      </font>
      <fill>
        <patternFill patternType="solid">
          <fgColor indexed="64"/>
          <bgColor rgb="FFFFFFCC"/>
        </patternFill>
      </fill>
      <alignment vertical="top" wrapText="1"/>
    </dxf>
    <dxf>
      <font>
        <color rgb="FF0000FF"/>
      </font>
      <fill>
        <patternFill patternType="solid">
          <fgColor indexed="64"/>
          <bgColor rgb="FFFFFFCC"/>
        </patternFill>
      </fill>
      <alignment vertical="top" wrapText="1"/>
    </dxf>
    <dxf>
      <font>
        <color rgb="FF0000FF"/>
      </font>
      <alignment vertical="top" wrapText="1"/>
    </dxf>
    <dxf>
      <font>
        <u/>
        <color rgb="FF0563C1"/>
      </font>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numFmt numFmtId="170" formatCode="d\ mmm\ yyyy"/>
      <alignment vertical="top" wrapText="1"/>
    </dxf>
    <dxf>
      <alignment vertical="top" wrapText="1"/>
    </dxf>
    <dxf>
      <font>
        <sz val="11"/>
        <color rgb="FF0000FF"/>
        <name val="Calibri"/>
      </font>
      <numFmt numFmtId="30" formatCode="@"/>
      <fill>
        <patternFill patternType="solid">
          <fgColor indexed="64"/>
          <bgColor rgb="FFF3EAF9"/>
        </patternFill>
      </fill>
      <alignment horizontal="center"/>
    </dxf>
    <dxf>
      <font>
        <b val="0"/>
        <i val="0"/>
        <strike val="0"/>
        <condense val="0"/>
        <extend val="0"/>
        <outline val="0"/>
        <shadow val="0"/>
        <u val="none"/>
        <vertAlign val="baseline"/>
        <sz val="11"/>
        <color rgb="FF008000"/>
        <name val="Calibri"/>
        <family val="2"/>
        <scheme val="minor"/>
      </font>
      <alignment vertical="top"/>
    </dxf>
    <dxf>
      <font>
        <b val="0"/>
        <i val="0"/>
        <strike val="0"/>
        <condense val="0"/>
        <extend val="0"/>
        <outline val="0"/>
        <shadow val="0"/>
        <u val="none"/>
        <vertAlign val="baseline"/>
        <sz val="11"/>
        <color theme="1"/>
        <name val="Calibri"/>
        <family val="2"/>
        <scheme val="minor"/>
      </font>
      <alignment vertical="top"/>
    </dxf>
    <dxf>
      <font>
        <b val="0"/>
        <i val="0"/>
        <strike val="0"/>
        <condense val="0"/>
        <extend val="0"/>
        <outline val="0"/>
        <shadow val="0"/>
        <u val="none"/>
        <vertAlign val="baseline"/>
        <sz val="11"/>
        <color rgb="FF008000"/>
        <name val="Calibri"/>
        <family val="2"/>
        <scheme val="minor"/>
      </font>
      <alignment vertical="top"/>
    </dxf>
    <dxf>
      <font>
        <b val="0"/>
        <i val="0"/>
        <strike val="0"/>
        <condense val="0"/>
        <extend val="0"/>
        <outline val="0"/>
        <shadow val="0"/>
        <u val="none"/>
        <vertAlign val="baseline"/>
        <sz val="11"/>
        <color rgb="FF008000"/>
        <name val="Calibri"/>
        <family val="2"/>
        <scheme val="minor"/>
      </font>
      <alignment vertical="top" wrapText="1"/>
    </dxf>
    <dxf>
      <font>
        <b val="0"/>
        <i val="0"/>
        <strike val="0"/>
        <condense val="0"/>
        <extend val="0"/>
        <outline val="0"/>
        <shadow val="0"/>
        <u val="none"/>
        <vertAlign val="baseline"/>
        <sz val="11"/>
        <color rgb="FF008000"/>
        <name val="Calibri"/>
        <family val="2"/>
        <scheme val="minor"/>
      </font>
      <numFmt numFmtId="1" formatCode="0"/>
      <alignment horizontal="center" vertical="top"/>
    </dxf>
    <dxf>
      <font>
        <b val="0"/>
        <i val="0"/>
        <strike val="0"/>
        <condense val="0"/>
        <extend val="0"/>
        <outline val="0"/>
        <shadow val="0"/>
        <u val="none"/>
        <vertAlign val="baseline"/>
        <sz val="11"/>
        <color rgb="FF008000"/>
        <name val="Calibri"/>
        <family val="2"/>
        <scheme val="minor"/>
      </font>
      <numFmt numFmtId="1" formatCode="0"/>
      <alignment horizontal="center" vertical="top"/>
    </dxf>
    <dxf>
      <font>
        <b val="0"/>
        <i val="0"/>
        <strike val="0"/>
        <condense val="0"/>
        <extend val="0"/>
        <outline val="0"/>
        <shadow val="0"/>
        <u val="none"/>
        <vertAlign val="baseline"/>
        <sz val="11"/>
        <color rgb="FF008000"/>
        <name val="Calibri"/>
        <family val="2"/>
        <scheme val="minor"/>
      </font>
      <alignment vertical="top" wrapText="1"/>
    </dxf>
    <dxf>
      <font>
        <b val="0"/>
        <i val="0"/>
        <strike val="0"/>
        <condense val="0"/>
        <extend val="0"/>
        <outline val="0"/>
        <shadow val="0"/>
        <u val="none"/>
        <vertAlign val="baseline"/>
        <sz val="11"/>
        <color rgb="FF008000"/>
        <name val="Calibri"/>
        <family val="2"/>
        <scheme val="minor"/>
      </font>
      <alignment vertical="top"/>
    </dxf>
    <dxf>
      <font>
        <b val="0"/>
        <i val="0"/>
        <strike val="0"/>
        <condense val="0"/>
        <extend val="0"/>
        <outline val="0"/>
        <shadow val="0"/>
        <u val="none"/>
        <vertAlign val="baseline"/>
        <sz val="11"/>
        <color rgb="FF008000"/>
        <name val="Calibri"/>
        <family val="2"/>
        <scheme val="minor"/>
      </font>
      <alignment vertical="top"/>
    </dxf>
    <dxf>
      <font>
        <color rgb="FF008000"/>
      </font>
      <alignment vertical="top"/>
    </dxf>
    <dxf>
      <font>
        <b val="0"/>
        <i val="0"/>
        <strike val="0"/>
        <condense val="0"/>
        <extend val="0"/>
        <outline val="0"/>
        <shadow val="0"/>
        <u val="none"/>
        <vertAlign val="baseline"/>
        <sz val="11"/>
        <color rgb="FF008000"/>
        <name val="Calibri"/>
        <family val="2"/>
        <scheme val="minor"/>
      </font>
      <numFmt numFmtId="30" formatCode="@"/>
      <alignment vertical="top"/>
    </dxf>
    <dxf>
      <font>
        <color rgb="FF008000"/>
      </font>
      <numFmt numFmtId="30" formatCode="@"/>
      <alignment horizontal="center" vertical="top"/>
    </dxf>
    <dxf>
      <font>
        <color rgb="FF008000"/>
      </font>
      <alignment horizontal="center" vertical="top"/>
    </dxf>
    <dxf>
      <alignment vertical="top"/>
    </dxf>
    <dxf>
      <alignment vertical="top"/>
    </dxf>
    <dxf>
      <alignment vertical="top" wrapText="1"/>
    </dxf>
    <dxf>
      <font>
        <color rgb="FF008000"/>
      </font>
      <alignment vertical="top"/>
    </dxf>
    <dxf>
      <font>
        <color rgb="FF008000"/>
      </font>
      <alignment vertical="top" wrapText="1"/>
    </dxf>
    <dxf>
      <font>
        <color rgb="FF008000"/>
      </font>
      <alignment vertical="top"/>
    </dxf>
    <dxf>
      <font>
        <color rgb="FF008000"/>
      </font>
      <alignment vertical="top"/>
    </dxf>
    <dxf>
      <font>
        <color rgb="FF008000"/>
      </font>
      <alignment vertical="top"/>
    </dxf>
    <dxf>
      <font>
        <sz val="11"/>
        <color rgb="FF008000"/>
        <name val="Calibri"/>
      </font>
    </dxf>
    <dxf>
      <font>
        <sz val="11"/>
        <color rgb="FF008000"/>
        <name val="Calibri"/>
      </font>
      <alignment horizontal="center"/>
    </dxf>
    <dxf>
      <font>
        <sz val="11"/>
        <color rgb="FF008000"/>
        <name val="Calibri"/>
      </font>
      <alignment horizontal="center"/>
    </dxf>
    <dxf>
      <font>
        <sz val="11"/>
        <color rgb="FF008000"/>
        <name val="Calibri"/>
      </font>
      <numFmt numFmtId="170" formatCode="d\ mmm\ yyyy"/>
    </dxf>
    <dxf>
      <font>
        <sz val="11"/>
        <color rgb="FF000000"/>
        <name val="Calibri"/>
      </font>
      <numFmt numFmtId="169" formatCode="&quot;$&quot;#,##0.00"/>
    </dxf>
    <dxf>
      <font>
        <sz val="11"/>
        <color rgb="FF000000"/>
        <name val="Calibri"/>
      </font>
    </dxf>
    <dxf>
      <font>
        <sz val="11"/>
        <color rgb="FF000000"/>
        <name val="Calibri"/>
      </font>
    </dxf>
    <dxf>
      <font>
        <sz val="11"/>
        <color rgb="FF008000"/>
        <name val="Calibri"/>
      </font>
      <alignment horizontal="center"/>
    </dxf>
    <dxf>
      <font>
        <sz val="11"/>
        <color rgb="FF008000"/>
        <name val="Calibri"/>
      </font>
    </dxf>
    <dxf>
      <font>
        <sz val="11"/>
        <color rgb="FF008000"/>
        <name val="Calibri"/>
      </font>
    </dxf>
    <dxf>
      <font>
        <sz val="11"/>
        <color rgb="FF008000"/>
        <name val="Calibri"/>
      </font>
    </dxf>
    <dxf>
      <font>
        <sz val="11"/>
        <color rgb="FF008000"/>
        <name val="Calibri"/>
      </font>
    </dxf>
    <dxf>
      <font>
        <sz val="11"/>
        <color rgb="FF008000"/>
        <name val="Calibri"/>
      </font>
    </dxf>
    <dxf>
      <font>
        <sz val="11"/>
        <color rgb="FF008000"/>
        <name val="Calibri"/>
      </font>
      <alignment horizontal="left"/>
    </dxf>
    <dxf>
      <font>
        <sz val="11"/>
        <color rgb="FF008000"/>
        <name val="Calibri"/>
      </font>
      <alignment horizontal="left"/>
    </dxf>
    <dxf>
      <font>
        <sz val="11"/>
        <color rgb="FF008000"/>
        <name val="Calibri"/>
      </font>
      <alignment horizontal="left"/>
    </dxf>
    <dxf>
      <font>
        <sz val="11"/>
        <color rgb="FF008000"/>
        <name val="Calibri"/>
      </font>
    </dxf>
    <dxf>
      <font>
        <sz val="11"/>
        <name val="Calibri"/>
      </font>
    </dxf>
    <dxf>
      <font>
        <b/>
        <sz val="11"/>
        <name val="Calibri"/>
      </font>
      <alignment vertical="center" wrapText="1"/>
    </dxf>
    <dxf>
      <font>
        <b val="0"/>
        <i val="0"/>
        <strike val="0"/>
        <condense val="0"/>
        <extend val="0"/>
        <outline val="0"/>
        <shadow val="0"/>
        <u val="none"/>
        <vertAlign val="baseline"/>
        <sz val="11"/>
        <color theme="1"/>
        <name val="Calibri"/>
        <family val="2"/>
        <scheme val="minor"/>
      </font>
      <alignment vertical="top" wrapText="1"/>
    </dxf>
    <dxf>
      <font>
        <b val="0"/>
        <i val="0"/>
        <strike val="0"/>
        <condense val="0"/>
        <extend val="0"/>
        <outline val="0"/>
        <shadow val="0"/>
        <u val="none"/>
        <vertAlign val="baseline"/>
        <sz val="11"/>
        <color theme="1"/>
        <name val="Calibri"/>
        <family val="2"/>
        <scheme val="minor"/>
      </font>
      <numFmt numFmtId="0" formatCode="General"/>
      <alignment horizontal="center" vertical="top"/>
    </dxf>
    <dxf>
      <font>
        <b val="0"/>
        <i val="0"/>
        <strike val="0"/>
        <condense val="0"/>
        <extend val="0"/>
        <outline val="0"/>
        <shadow val="0"/>
        <u val="none"/>
        <vertAlign val="baseline"/>
        <sz val="11"/>
        <color theme="1"/>
        <name val="Calibri"/>
        <family val="2"/>
        <scheme val="minor"/>
      </font>
      <alignment vertical="top"/>
    </dxf>
    <dxf>
      <font>
        <b val="0"/>
        <i val="0"/>
        <strike val="0"/>
        <condense val="0"/>
        <extend val="0"/>
        <outline val="0"/>
        <shadow val="0"/>
        <u val="none"/>
        <vertAlign val="baseline"/>
        <sz val="11"/>
        <color theme="1"/>
        <name val="Calibri"/>
        <family val="2"/>
        <scheme val="minor"/>
      </font>
      <alignment vertical="top"/>
    </dxf>
    <dxf>
      <font>
        <b val="0"/>
        <i val="0"/>
        <strike val="0"/>
        <condense val="0"/>
        <extend val="0"/>
        <outline val="0"/>
        <shadow val="0"/>
        <u val="none"/>
        <vertAlign val="baseline"/>
        <sz val="11"/>
        <color theme="1"/>
        <name val="Calibri"/>
        <family val="2"/>
        <scheme val="minor"/>
      </font>
      <alignment vertical="top"/>
    </dxf>
    <dxf>
      <font>
        <b val="0"/>
        <i val="0"/>
        <strike val="0"/>
        <condense val="0"/>
        <extend val="0"/>
        <outline val="0"/>
        <shadow val="0"/>
        <u val="none"/>
        <vertAlign val="baseline"/>
        <sz val="11"/>
        <color theme="1"/>
        <name val="Calibri"/>
        <family val="2"/>
        <scheme val="minor"/>
      </font>
      <alignment vertical="top"/>
    </dxf>
    <dxf>
      <font>
        <b val="0"/>
        <i val="0"/>
        <strike val="0"/>
        <condense val="0"/>
        <extend val="0"/>
        <outline val="0"/>
        <shadow val="0"/>
        <u val="none"/>
        <vertAlign val="baseline"/>
        <sz val="11"/>
        <color theme="1"/>
        <name val="Calibri"/>
        <family val="2"/>
        <scheme val="minor"/>
      </font>
      <alignment vertical="top"/>
    </dxf>
    <dxf>
      <font>
        <b val="0"/>
        <i val="0"/>
        <strike val="0"/>
        <condense val="0"/>
        <extend val="0"/>
        <outline val="0"/>
        <shadow val="0"/>
        <u val="none"/>
        <vertAlign val="baseline"/>
        <sz val="11"/>
        <color theme="1"/>
        <name val="Calibri"/>
        <family val="2"/>
        <scheme val="minor"/>
      </font>
      <alignment vertical="top"/>
    </dxf>
    <dxf>
      <font>
        <b val="0"/>
        <i val="0"/>
        <strike val="0"/>
        <condense val="0"/>
        <extend val="0"/>
        <outline val="0"/>
        <shadow val="0"/>
        <u val="none"/>
        <vertAlign val="baseline"/>
        <sz val="11"/>
        <color theme="1"/>
        <name val="Calibri"/>
        <family val="2"/>
        <scheme val="minor"/>
      </font>
      <alignment vertical="top" wrapText="1"/>
    </dxf>
    <dxf>
      <font>
        <b val="0"/>
        <i val="0"/>
        <strike val="0"/>
        <condense val="0"/>
        <extend val="0"/>
        <outline val="0"/>
        <shadow val="0"/>
        <u val="none"/>
        <vertAlign val="baseline"/>
        <sz val="11"/>
        <color theme="1"/>
        <name val="Calibri"/>
        <family val="2"/>
        <scheme val="minor"/>
      </font>
      <alignment vertical="top"/>
    </dxf>
    <dxf>
      <font>
        <b val="0"/>
        <i val="0"/>
        <strike val="0"/>
        <condense val="0"/>
        <extend val="0"/>
        <outline val="0"/>
        <shadow val="0"/>
        <u val="none"/>
        <vertAlign val="baseline"/>
        <sz val="11"/>
        <color theme="1"/>
        <name val="Calibri"/>
        <family val="2"/>
        <scheme val="minor"/>
      </font>
      <alignment vertical="top"/>
    </dxf>
    <dxf>
      <font>
        <b val="0"/>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DD7EE1-5680-D147-9452-48F4A836CF7A}" name="SourceRegister" displayName="SourceRegister" ref="A23:J33" totalsRowShown="0" headerRowDxfId="168" dataDxfId="167">
  <autoFilter ref="A23:J33" xr:uid="{63DD7EE1-5680-D147-9452-48F4A836CF7A}"/>
  <tableColumns count="10">
    <tableColumn id="1" xr3:uid="{D2493B02-F663-7645-9EC2-7B3BF5A467FD}" name="Source ID" dataDxfId="166"/>
    <tableColumn id="2" xr3:uid="{C8FBE8D9-6A5F-C44E-8E6E-E78A8683E126}" name="Document (file name)" dataDxfId="165"/>
    <tableColumn id="3" xr3:uid="{D95E6871-31CD-F94B-AFC7-4669BD11FC7D}" name="Provider / issuer" dataDxfId="164"/>
    <tableColumn id="4" xr3:uid="{5494211B-DBEA-0544-919B-9C80ED99A9E4}" name="Fee basis" dataDxfId="163"/>
    <tableColumn id="5" xr3:uid="{C29A7C79-CF25-684F-AD39-07C1AF0EFC19}" name="Effective date" dataDxfId="162"/>
    <tableColumn id="6" xr3:uid="{72721D51-5976-FE48-89A1-BF675B9A3DC4}" name="GST basis" dataDxfId="161"/>
    <tableColumn id="7" xr3:uid="{56A14B1A-B0F6-9045-95C2-545D8A1E371B}" name="Extract tab" dataDxfId="160"/>
    <tableColumn id="8" xr3:uid="{884977DE-888F-8B43-8F9D-0F0E5BDD933E}" name="Status" dataDxfId="159"/>
    <tableColumn id="9" xr3:uid="{CC7B83E2-C29C-E84C-8270-30616F59ED95}" name="Rows in master" dataDxfId="158">
      <calculatedColumnFormula>COUNTIF(MasterFees[Source ID],SourceRegister[[#This Row],[Source ID]])</calculatedColumnFormula>
    </tableColumn>
    <tableColumn id="10" xr3:uid="{2E5B4F8B-8210-2448-9CC9-E43ADBE00BE7}" name="Notes" dataDxfId="15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533A79F-A320-B145-B6E0-07F2A29CEF74}" name="OpenQuestions" displayName="OpenQuestions" ref="A4:K43" totalsRowShown="0" headerRowDxfId="108" dataDxfId="107">
  <autoFilter ref="A4:K43" xr:uid="{2533A79F-A320-B145-B6E0-07F2A29CEF74}"/>
  <tableColumns count="11">
    <tableColumn id="1" xr3:uid="{1B270B40-D893-EE42-8F80-BEAC34824673}" name="Q#" dataDxfId="115"/>
    <tableColumn id="2" xr3:uid="{161BEA07-C75C-2743-A35D-47E315BC3023}" name="Raised" dataDxfId="114">
      <calculatedColumnFormula>DATE(2026,9,28)</calculatedColumnFormula>
    </tableColumn>
    <tableColumn id="3" xr3:uid="{F3B2FEED-DA1D-D24B-A51B-6A27A87D1B71}" name="Topic" dataDxfId="113"/>
    <tableColumn id="4" xr3:uid="{1F0B537F-DEBB-1943-AEE8-7CE37299F084}" name="Question" dataDxfId="112"/>
    <tableColumn id="5" xr3:uid="{56588B9B-5624-2942-ABAE-973059E12661}" name="Why it matters" dataDxfId="111"/>
    <tableColumn id="6" xr3:uid="{4E50FDCC-F67C-9D4D-B340-05BB3C09DD7F}" name="Options" dataDxfId="110"/>
    <tableColumn id="7" xr3:uid="{CE1ED2C5-0552-7C4C-A936-1C310DE2661B}" name="Current handling (until answered)" dataDxfId="109"/>
    <tableColumn id="8" xr3:uid="{104826BF-771A-2D4F-819F-3E1F0FA1F189}" name="Link" dataDxfId="106" dataCellStyle="Hyperlink"/>
    <tableColumn id="9" xr3:uid="{F60EA37F-598B-E241-A0B5-B3BBE0F9FB5E}" name="Status" dataDxfId="105"/>
    <tableColumn id="10" xr3:uid="{618B2B55-5E72-8A49-8B51-FDAEB6E414B6}" name="Answer / Decision" dataDxfId="104"/>
    <tableColumn id="11" xr3:uid="{C0DD3A11-37E3-B141-829C-8785ED7F75AE}" name="Answered by" dataDxfId="103"/>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9A8A50-6D58-F141-88CF-27A100C76CDC}" name="MasterFees" displayName="MasterFees" ref="A1:AC1297" totalsRowShown="0" headerRowDxfId="156" dataDxfId="155">
  <autoFilter ref="A1:AC1297" xr:uid="{879A8A50-6D58-F141-88CF-27A100C76CDC}"/>
  <sortState xmlns:xlrd2="http://schemas.microsoft.com/office/spreadsheetml/2017/richdata2" ref="A2:X1297">
    <sortCondition ref="C2:C1297"/>
    <sortCondition ref="D2:D1297"/>
    <sortCondition ref="G2:G1297"/>
    <sortCondition ref="U2:U1297"/>
  </sortState>
  <tableColumns count="29">
    <tableColumn id="1" xr3:uid="{E1A65491-3735-164F-A078-3C5156E807B0}" name="RVG Code" dataDxfId="116"/>
    <tableColumn id="2" xr3:uid="{057316CE-35D3-1D45-B1AF-CC402DEF1F7A}" name="RVG Base Units" dataDxfId="35">
      <calculatedColumnFormula>IF(MasterFees[[#This Row],[RVG Code]]="","",_xlfn.XLOOKUP(MasterFees[[#This Row],[RVG Code]],RVGCodes[Code],RVGCodes[Base Units],"Code not found"))</calculatedColumnFormula>
    </tableColumn>
    <tableColumn id="23" xr3:uid="{55E6BD75-27FA-6B48-BDE5-231C74FA37B9}" name="Region / Section" dataDxfId="32">
      <calculatedColumnFormula>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calculatedColumnFormula>
    </tableColumn>
    <tableColumn id="24" xr3:uid="{6D237DC0-836C-584F-BB10-4553CF026F53}" name="Sub-heading" dataDxfId="31">
      <calculatedColumnFormula>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calculatedColumnFormula>
    </tableColumn>
    <tableColumn id="20" xr3:uid="{0A1F0309-EF06-EF45-943E-77E53ED88548}" name="Procedure Group" dataDxfId="33"/>
    <tableColumn id="21" xr3:uid="{C9079E61-8C0F-8A46-AE39-A2B8E360DF99}" name="Match Basis" dataDxfId="34"/>
    <tableColumn id="3" xr3:uid="{930E08D7-2E7E-B348-9582-C2B51D3BCAC7}" name="Operation / Description" dataDxfId="154"/>
    <tableColumn id="4" xr3:uid="{0B107F0B-C58E-8149-8B14-15AD7B125936}" name="Provider / Payer" dataDxfId="153"/>
    <tableColumn id="5" xr3:uid="{399705AA-8C45-0741-8F88-D3D72507912C}" name="Fee Code" dataDxfId="152"/>
    <tableColumn id="6" xr3:uid="{BAA6F264-83C6-C248-8D1D-55309DFA9440}" name="Fee Basis" dataDxfId="151"/>
    <tableColumn id="7" xr3:uid="{DE4368C0-93A4-C545-BECB-636406EB13DB}" name="Basic Units" dataDxfId="150"/>
    <tableColumn id="8" xr3:uid="{DD6A5A2D-BA9D-C24C-87FC-08D1C896A830}" name="Time Units" dataDxfId="149"/>
    <tableColumn id="9" xr3:uid="{388AE80F-C953-1D49-8428-404FC8B7C3C3}" name="Modifying Units" dataDxfId="148"/>
    <tableColumn id="10" xr3:uid="{8CF5614E-2308-2644-A965-97BB33A36A57}" name="Total Units" dataDxfId="147"/>
    <tableColumn id="11" xr3:uid="{B2A1003B-D006-BA46-8B8E-A701DC190B40}" name="Fee as Printed" dataDxfId="146"/>
    <tableColumn id="12" xr3:uid="{929ED0C5-2C7F-5A40-8A32-D4FEFAE62302}" name="GST Basis" dataDxfId="145"/>
    <tableColumn id="13" xr3:uid="{AE2AC229-2D7F-3848-8348-933E63744D35}" name="Fee Excl. GST" dataDxfId="144">
      <calculatedColumnFormula>IF(MasterFees[[#This Row],[GST Basis]]="Excl",MasterFees[[#This Row],[Fee as Printed]],IF(MasterFees[[#This Row],[GST Basis]]="Incl",MasterFees[[#This Row],[Fee as Printed]]/(1+GST_Rate),""))</calculatedColumnFormula>
    </tableColumn>
    <tableColumn id="14" xr3:uid="{F68A527B-D80A-5946-9BE4-237C59EA0B0A}" name="Fee Incl. GST" dataDxfId="143">
      <calculatedColumnFormula>IF(MasterFees[[#This Row],[GST Basis]]="Incl",MasterFees[[#This Row],[Fee as Printed]],IF(MasterFees[[#This Row],[GST Basis]]="Excl",MasterFees[[#This Row],[Fee as Printed]]*(1+GST_Rate),""))</calculatedColumnFormula>
    </tableColumn>
    <tableColumn id="15" xr3:uid="{6B5C5A3C-7B7F-CD4F-84A0-69856B53DCFE}" name="Implied $/Unit" dataDxfId="142">
      <calculatedColumnFormula>IF(N(MasterFees[[#This Row],[Total Units]])=0,"",MasterFees[[#This Row],[Fee as Printed]]/MasterFees[[#This Row],[Total Units]])</calculatedColumnFormula>
    </tableColumn>
    <tableColumn id="16" xr3:uid="{FA6EFE3E-419C-6647-B7ED-54F01EB09085}" name="Effective Date" dataDxfId="141"/>
    <tableColumn id="17" xr3:uid="{92DC63DA-86A9-1247-B907-2218F3AE1163}" name="Source ID" dataDxfId="140"/>
    <tableColumn id="18" xr3:uid="{A1AA1C7B-0A4E-D74B-AE81-6B62EA2B5E3F}" name="Source Ref" dataDxfId="139"/>
    <tableColumn id="19" xr3:uid="{76A1B035-903F-934D-98C8-00964992BB38}" name="Notes / Conditions" dataDxfId="138"/>
    <tableColumn id="22" xr3:uid="{5875893F-995B-284C-9302-34D8F4D4293E}" name="Source Link" dataDxfId="102"/>
    <tableColumn id="26" xr3:uid="{B40AC98D-ECD5-2B43-9EE0-D28B808B20EF}" name="Contract ID" dataDxfId="13">
      <calculatedColumnFormula>_xlfn.XLOOKUP(MasterFees[[#This Row],[Provider / Payer]],Contracts[Contract Name],Contracts[Contract ID],"No contract")</calculatedColumnFormula>
    </tableColumn>
    <tableColumn id="27" xr3:uid="{27F51BDD-66A4-9944-8290-3713B7F4F767}" name="Pricing Basis" dataDxfId="12">
      <calculatedColumnFormula>_xlfn.XLOOKUP(MasterFees[[#This Row],[Provider / Payer]],Contracts[Contract Name],Contracts[Pricing Basis],"To confirm")</calculatedColumnFormula>
    </tableColumn>
    <tableColumn id="28" xr3:uid="{00AA3E28-E5F6-EB4B-9404-A08AE5305F2A}" name="Fixed Fee?" dataDxfId="11">
      <calculatedColumnFormula>IF(MasterFees[[#This Row],[Pricing Basis]]="Fixed fee schedule","Yes","No")</calculatedColumnFormula>
    </tableColumn>
    <tableColumn id="29" xr3:uid="{45A014BD-2442-C04D-AF65-0C9D3124411D}" name="Line Type" dataDxfId="10">
      <calculatedColumnFormula>IF(OR(MasterFees[[#This Row],[Fee Basis]]="Add-on",MasterFees[[#This Row],[Fee Basis]]="Time band",MasterFees[[#This Row],[Fee Basis]]="Other"),MasterFees[[#This Row],[Fee Basis]],"Base")</calculatedColumnFormula>
    </tableColumn>
    <tableColumn id="30" xr3:uid="{7474D539-D1B4-FA48-92B5-0F4BF54C7166}" name="Std Fee Excl. GST" dataDxfId="9">
      <calculatedColumnFormula>IF(MasterFees[[#This Row],[Fixed Fee?]]="Yes",MasterFees[[#This Row],[Fee Excl. GST]],"")</calculatedColumnFormula>
    </tableColumn>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A4DE417-BC83-2743-9F6B-DF83D635D290}" name="Contracts" displayName="Contracts" ref="A4:O14" totalsRowShown="0" headerRowDxfId="19" dataDxfId="27">
  <autoFilter ref="A4:O14" xr:uid="{EA4DE417-BC83-2743-9F6B-DF83D635D290}"/>
  <tableColumns count="15">
    <tableColumn id="1" xr3:uid="{8BB5D02F-0109-0848-8FF2-F77CD6AC01C7}" name="Contract ID" dataDxfId="26"/>
    <tableColumn id="2" xr3:uid="{A50C17E2-13BA-7D48-8CF7-9BDEF438D9A0}" name="Contract Name" dataDxfId="25"/>
    <tableColumn id="3" xr3:uid="{64468EBD-5FD6-1B46-856A-B4BCA44E8EF8}" name="Issuer" dataDxfId="30">
      <calculatedColumnFormula>_xlfn.XLOOKUP(_xlfn.TEXTBEFORE(Contracts[[#This Row],[Source IDs]]&amp;",",","),SourceRegister[Source ID],SourceRegister[Provider / issuer],"")</calculatedColumnFormula>
    </tableColumn>
    <tableColumn id="4" xr3:uid="{FD75066C-6BE5-0D42-9003-F138EEC1E462}" name="Source IDs" dataDxfId="29">
      <calculatedColumnFormula array="1">_xlfn.TEXTJOIN(", ",TRUE,_xlfn._xlws.SORT(_xlfn.UNIQUE(_xlfn._xlws.FILTER(MasterFees[Source ID],MasterFees[Provider / Payer]=Contracts[[#This Row],[Contract Name]],""))))</calculatedColumnFormula>
    </tableColumn>
    <tableColumn id="5" xr3:uid="{4B1FAEFB-F515-FF48-AD39-9B1EA2EFCA7D}" name="Pricing Basis" dataDxfId="24"/>
    <tableColumn id="6" xr3:uid="{A9B83012-9B45-5E44-AC93-8D3C78A8A8B5}" name="Contract Rate ($/unit)" dataDxfId="18"/>
    <tableColumn id="7" xr3:uid="{AFF3FCD1-04A6-8142-A182-63B28EBE70DF}" name="Discount %" dataDxfId="17"/>
    <tableColumn id="8" xr3:uid="{D3842883-1878-E64F-B8B7-8BBC18716D3C}" name="Base-Unit Overrides" dataDxfId="23"/>
    <tableColumn id="9" xr3:uid="{E49ECA38-E8D7-F34C-9344-E32A03184405}" name="Anaesthetist Adjustment" dataDxfId="22"/>
    <tableColumn id="10" xr3:uid="{9D7E5CA6-13CF-B84F-816A-BE0E711428B1}" name="GST Basis (as printed)" dataDxfId="28">
      <calculatedColumnFormula array="1">_xlfn.TEXTJOIN(", ",TRUE,_xlfn.UNIQUE(_xlfn._xlws.FILTER(MasterFees[GST Basis],MasterFees[Provider / Payer]=Contracts[[#This Row],[Contract Name]],"")))</calculatedColumnFormula>
    </tableColumn>
    <tableColumn id="11" xr3:uid="{6A81388F-8003-B641-984C-4C8B1B25DCD4}" name="Master Lines" dataDxfId="16">
      <calculatedColumnFormula>COUNTIFS(MasterFees[Provider / Payer],Contracts[[#This Row],[Contract Name]])</calculatedColumnFormula>
    </tableColumn>
    <tableColumn id="12" xr3:uid="{8DA22A3E-8F4F-0C4F-984F-CEA78F37DB2D}" name="Base Lines" dataDxfId="15">
      <calculatedColumnFormula>Contracts[[#This Row],[Master Lines]]-Contracts[[#This Row],[Add-on / Time-band Lines]]</calculatedColumnFormula>
    </tableColumn>
    <tableColumn id="13" xr3:uid="{FED3335D-F750-3B4E-8C6E-94FDF87B9F46}" name="Add-on / Time-band Lines" dataDxfId="14">
      <calculatedColumnFormula>COUNTIFS(MasterFees[Provider / Payer],Contracts[[#This Row],[Contract Name]],MasterFees[Fee Basis],"Add-on")+COUNTIFS(MasterFees[Provider / Payer],Contracts[[#This Row],[Contract Name]],MasterFees[Fee Basis],"Time band")</calculatedColumnFormula>
    </tableColumn>
    <tableColumn id="14" xr3:uid="{A88D8F11-907B-E34F-A226-8CD1163C74D4}" name="Status" dataDxfId="21"/>
    <tableColumn id="15" xr3:uid="{0885CF01-4083-FA4C-86E1-023383DBE58F}" name="Notes" dataDxfId="20"/>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49309F-0FE4-6343-B715-A0EC06001622}" name="RVGCodes" displayName="RVGCodes" ref="A4:I142" totalsRowShown="0" headerRowDxfId="118" dataDxfId="117">
  <autoFilter ref="A4:I142" xr:uid="{7449309F-0FE4-6343-B715-A0EC06001622}"/>
  <tableColumns count="9">
    <tableColumn id="1" xr3:uid="{85E79CA9-B43D-5043-840C-FBC2170A81F0}" name="Code" dataDxfId="127"/>
    <tableColumn id="8" xr3:uid="{A462B39A-EF63-F74F-AD3F-DD029CD69DB6}" name="Type" dataDxfId="126"/>
    <tableColumn id="2" xr3:uid="{F98A9D9C-5E94-BE4D-B5AD-805E8578A309}" name="Region" dataDxfId="125"/>
    <tableColumn id="3" xr3:uid="{6E2BF916-0D15-EF4C-86E0-3524CCC1EC71}" name="Sub-category" dataDxfId="124"/>
    <tableColumn id="4" xr3:uid="{AC9FC347-725D-B940-B858-DE2F74778FFB}" name="Procedure" dataDxfId="123"/>
    <tableColumn id="5" xr3:uid="{D79E1CE7-4951-9048-B2B8-0634CB696546}" name="Base Units" dataDxfId="122"/>
    <tableColumn id="6" xr3:uid="{5F8B1A0D-61A0-7045-8E8F-FA01AD384677}" name="Max Units" dataDxfId="121"/>
    <tableColumn id="7" xr3:uid="{7A6F7CBF-2DC3-9941-891D-AACBE9CF185F}" name="Notes" dataDxfId="120"/>
    <tableColumn id="9" xr3:uid="{B952093B-2F09-E34F-95CB-EE8B8755E90C}" name="Source Ref" dataDxfId="11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0FF7F17-2A16-BF4D-9D3C-ECA05CBB4161}" name="SRC01_RVG" displayName="SRC01_RVG" ref="A4:H152" totalsRowShown="0" headerRowDxfId="131" dataDxfId="130">
  <autoFilter ref="A4:H152" xr:uid="{B0FF7F17-2A16-BF4D-9D3C-ECA05CBB4161}"/>
  <tableColumns count="8">
    <tableColumn id="1" xr3:uid="{DD66DD0C-5943-F249-A77E-C8C71C86587C}" name="Page" dataDxfId="129"/>
    <tableColumn id="2" xr3:uid="{743F3479-EDB0-6141-88FF-F987687A74A0}" name="Region / Section" dataDxfId="137"/>
    <tableColumn id="3" xr3:uid="{225C6DC7-64D4-0744-AFDF-043328657E34}" name="Sub-heading" dataDxfId="136"/>
    <tableColumn id="4" xr3:uid="{BA7C2E98-0A1F-EB40-B2AB-7BC9A75C5122}" name="Code (as printed)" dataDxfId="135"/>
    <tableColumn id="5" xr3:uid="{3FD02498-7DAF-FA43-A278-7CA96E50DF16}" name="Procedure / Description (as printed)" dataDxfId="134"/>
    <tableColumn id="6" xr3:uid="{8AD55792-4AD6-E343-9DBC-F7B1FA8D0091}" name="Units (as printed)" dataDxfId="128"/>
    <tableColumn id="7" xr3:uid="{FB483C9D-4A61-7945-A70C-A889C36019BF}" name="Row Type" dataDxfId="133"/>
    <tableColumn id="8" xr3:uid="{12CD7F3D-C9F0-6D4E-990F-1F2FEB03994C}" name="Extraction Notes" dataDxfId="132"/>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2D3E9AA-4F7F-7642-A3DF-6B0A615DB0BE}" name="SRC02_CESL" displayName="SRC02_CESL" ref="A4:H25" totalsRowShown="0" headerRowDxfId="46" headerRowBorderDxfId="56" tableBorderDxfId="57" totalsRowBorderDxfId="55">
  <autoFilter ref="A4:H25" xr:uid="{62D3E9AA-4F7F-7642-A3DF-6B0A615DB0BE}"/>
  <tableColumns count="8">
    <tableColumn id="1" xr3:uid="{EB418C26-4B5D-1E45-A300-65F251114B1E}" name="Page" dataDxfId="54"/>
    <tableColumn id="2" xr3:uid="{379AA07C-D9F5-A040-B471-909E7C8FEA05}" name="Section" dataDxfId="53"/>
    <tableColumn id="3" xr3:uid="{36114189-C0DA-2B4B-9665-942ACE6AFBDC}" name="Code (as printed)" dataDxfId="52"/>
    <tableColumn id="4" xr3:uid="{F61540D9-85BD-3F46-AFB5-7B944E1B3A55}" name="Procedure / Description (as printed)" dataDxfId="51"/>
    <tableColumn id="5" xr3:uid="{C0F042E5-77CB-794E-99CC-FC0630C8C074}" name="Fee Excl. GST (as printed)" dataDxfId="50"/>
    <tableColumn id="6" xr3:uid="{99DBBE63-CD21-C945-988F-800CE1F86E77}" name="Fee Incl. GST (as printed)" dataDxfId="49"/>
    <tableColumn id="7" xr3:uid="{6B331AD3-8870-7B4C-8E9E-59AB800CFF06}" name="Row Type" dataDxfId="48"/>
    <tableColumn id="8" xr3:uid="{E1245B7D-2C89-BE45-B999-1F71BBB4CEBF}" name="Extraction Notes" dataDxfId="47"/>
  </tableColumns>
  <tableStyleInfo name="TableStyleLight1"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932793D-74FA-9B43-AE13-A2BD87886F9B}" name="SRC03_SXAPMIGS" displayName="SRC03_SXAPMIGS" ref="A4:H17" totalsRowShown="0">
  <autoFilter ref="A4:H17" xr:uid="{9932793D-74FA-9B43-AE13-A2BD87886F9B}"/>
  <tableColumns count="8">
    <tableColumn id="1" xr3:uid="{69539921-FDCB-0247-8387-79FDAA340DD7}" name="Page" dataDxfId="65"/>
    <tableColumn id="2" xr3:uid="{961D180A-275E-024F-8CDD-0074925E6E96}" name="Section" dataDxfId="64"/>
    <tableColumn id="3" xr3:uid="{C2918410-DE20-7E41-9E1A-90F654AE4B23}" name="Code (as printed)" dataDxfId="63"/>
    <tableColumn id="4" xr3:uid="{ADE48BAE-472F-9B4D-95DC-9C32578C0DEE}" name="Procedure / Description (as printed)" dataDxfId="62"/>
    <tableColumn id="5" xr3:uid="{46DB5116-55E2-2A4D-B587-FBCF47E908F8}" name="Fee (as printed)" dataDxfId="61"/>
    <tableColumn id="6" xr3:uid="{050C568F-7BB6-9645-A740-E52D2ABD14FA}" name="GST (as printed)" dataDxfId="60"/>
    <tableColumn id="7" xr3:uid="{FF10E5B8-FCFB-6443-A25C-56A503C7E388}" name="Row Type" dataDxfId="59"/>
    <tableColumn id="8" xr3:uid="{BE82B780-95FD-2F46-BD5F-4C7737826805}" name="Extraction Notes" dataDxfId="58"/>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3D52B3E-60E2-2644-9CB2-DEC29C2A4474}" name="SRC04_Merivale" displayName="SRC04_Merivale" ref="A4:H26" totalsRowShown="0" dataDxfId="93">
  <autoFilter ref="A4:H26" xr:uid="{93D52B3E-60E2-2644-9CB2-DEC29C2A4474}"/>
  <tableColumns count="8">
    <tableColumn id="1" xr3:uid="{9441D848-BAB2-854F-B1A0-20EABDC26BC7}" name="Page" dataDxfId="101"/>
    <tableColumn id="2" xr3:uid="{425E2008-DA16-9B41-BFEB-C41D623D6F26}" name="Section" dataDxfId="100"/>
    <tableColumn id="3" xr3:uid="{A6A708CC-4780-4046-98AE-B646179C7176}" name="Code (as printed)" dataDxfId="99"/>
    <tableColumn id="4" xr3:uid="{E9F5EC2E-2572-CE40-B39B-F717CC2E8816}" name="Procedure / Description (as printed)" dataDxfId="98"/>
    <tableColumn id="5" xr3:uid="{85C60A18-442F-9C43-A2B5-B9643D9CFC2A}" name="Fee (as printed)" dataDxfId="97"/>
    <tableColumn id="6" xr3:uid="{450397F3-3CA7-DD4C-A2F2-08580AB1BC57}" name="GST (as printed)" dataDxfId="96"/>
    <tableColumn id="7" xr3:uid="{DF4BD128-D44B-8441-92FF-FC085B5BBC9B}" name="Row Type" dataDxfId="95"/>
    <tableColumn id="8" xr3:uid="{8B550FB5-55EA-0F4C-8416-DA48E310115C}" name="Extraction Notes" dataDxfId="94"/>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7134DE-75E9-BD4F-83C8-05CDA14E99C0}" name="SRC05_SXAPEctropion" displayName="SRC05_SXAPEctropion" ref="A4:H17" totalsRowShown="0" dataDxfId="92">
  <autoFilter ref="A4:H17" xr:uid="{93D52B3E-60E2-2644-9CB2-DEC29C2A4474}"/>
  <tableColumns count="8">
    <tableColumn id="1" xr3:uid="{63D1C3D4-B37E-3344-B312-695FFAC9AB58}" name="Page" dataDxfId="91"/>
    <tableColumn id="2" xr3:uid="{949E65F6-81BD-4B48-B41D-52600979DA78}" name="Section" dataDxfId="90"/>
    <tableColumn id="3" xr3:uid="{AE15A3E3-B50C-9147-A28B-0A8BF0F3BDD3}" name="Code (as printed)" dataDxfId="84"/>
    <tableColumn id="4" xr3:uid="{D6E49023-90B2-FB45-8C0B-0760474E556F}" name="Procedure / Description (as printed)" dataDxfId="89"/>
    <tableColumn id="5" xr3:uid="{403C5B72-2FF2-0E42-8C48-C65499151D02}" name="Fee (as printed)" dataDxfId="88"/>
    <tableColumn id="6" xr3:uid="{E05A2492-DD43-BF49-A6BA-5A4D03A906F5}" name="GST (as printed)" dataDxfId="87"/>
    <tableColumn id="7" xr3:uid="{CE177BFC-66E0-7647-BEEC-B9FDD90619FC}" name="Row Type" dataDxfId="86"/>
    <tableColumn id="8" xr3:uid="{A915FCCD-5C2E-9545-9C68-F46C64BB9C5F}" name="Extraction Notes" dataDxfId="85"/>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5808FF4-A39A-E24B-AC0D-5AB7D90EE76C}" name="SRC06_SXAPPterygium" displayName="SRC06_SXAPPterygium" ref="A4:H16" totalsRowShown="0" dataDxfId="83">
  <autoFilter ref="A4:H16" xr:uid="{93D52B3E-60E2-2644-9CB2-DEC29C2A4474}"/>
  <tableColumns count="8">
    <tableColumn id="1" xr3:uid="{EABBED34-AFE4-364F-A757-E495FE9A56C9}" name="Page" dataDxfId="82"/>
    <tableColumn id="2" xr3:uid="{9F2E774E-1214-564D-B268-8BF5E639F584}" name="Section" dataDxfId="81"/>
    <tableColumn id="3" xr3:uid="{F9AB7111-D07F-7C41-8812-BF72AB761DD4}" name="Code (as printed)" dataDxfId="75"/>
    <tableColumn id="4" xr3:uid="{A832CC09-E42A-2644-9068-67B55422BACB}" name="Procedure / Description (as printed)" dataDxfId="80"/>
    <tableColumn id="5" xr3:uid="{CB88D32D-2244-6343-8D90-3EDECE32F769}" name="Fee (as printed)" dataDxfId="79"/>
    <tableColumn id="6" xr3:uid="{FAACF3C5-D7BD-154D-AAC8-090E371E7D40}" name="GST (as printed)" dataDxfId="78"/>
    <tableColumn id="7" xr3:uid="{11A2A82B-6E62-314F-8B58-AE1B17D2C5D6}" name="Row Type" dataDxfId="77"/>
    <tableColumn id="8" xr3:uid="{30DA2320-2C20-5248-B840-95ED571F3D12}" name="Extraction Notes" dataDxfId="76"/>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AEA6799-3745-BD4C-9D11-91DDD48A11D0}" name="SRC07_SXAPPtosisBleph" displayName="SRC07_SXAPPtosisBleph" ref="A4:H17" totalsRowShown="0" dataDxfId="74">
  <autoFilter ref="A4:H17" xr:uid="{93D52B3E-60E2-2644-9CB2-DEC29C2A4474}"/>
  <tableColumns count="8">
    <tableColumn id="1" xr3:uid="{90F76524-1144-D14A-A920-14994847AC58}" name="Page" dataDxfId="73"/>
    <tableColumn id="2" xr3:uid="{018808DB-66E9-F343-B82E-12A7B702CA6A}" name="Section" dataDxfId="72"/>
    <tableColumn id="3" xr3:uid="{509E87AC-CF59-274E-A5A9-87D1F7D66C53}" name="Code (as printed)" dataDxfId="71"/>
    <tableColumn id="4" xr3:uid="{A09EA303-BB40-7F4E-A643-3BABBABEFF85}" name="Procedure / Description (as printed)" dataDxfId="70"/>
    <tableColumn id="5" xr3:uid="{A6E9FF7A-4A0F-9140-AF68-7189D6312572}" name="Fee (as printed)" dataDxfId="69"/>
    <tableColumn id="6" xr3:uid="{35F09727-BA26-9748-A850-13ADC2525078}" name="GST (as printed)" dataDxfId="68"/>
    <tableColumn id="7" xr3:uid="{3CC4A78C-92BB-AF46-AC88-83A4FC386E25}" name="Row Type" dataDxfId="67"/>
    <tableColumn id="8" xr3:uid="{339717E1-A18A-7846-ABA0-487D3546BDAA}" name="Extraction Notes" dataDxfId="66"/>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C2A0602-4F71-CA4A-B95D-4D35FE2480F7}" name="SRC08_CESHNZ" displayName="SRC08_CESHNZ" ref="A4:H70" totalsRowShown="0" headerRowDxfId="44" headerRowBorderDxfId="45">
  <autoFilter ref="A4:H70" xr:uid="{4C2A0602-4F71-CA4A-B95D-4D35FE2480F7}"/>
  <tableColumns count="8">
    <tableColumn id="1" xr3:uid="{B6A5B91A-7D23-3B45-9DB5-6FACA8C6752C}" name="Source Row" dataDxfId="43"/>
    <tableColumn id="2" xr3:uid="{47132899-18BC-2D4F-9D4E-57997E87755E}" name="Section" dataDxfId="42"/>
    <tableColumn id="3" xr3:uid="{56C2F822-E79A-9042-A517-39E970952938}" name="Code (as printed)" dataDxfId="36"/>
    <tableColumn id="4" xr3:uid="{D3047797-AAFF-3048-982F-3546265481A2}" name="Procedure / Description (as printed)" dataDxfId="41"/>
    <tableColumn id="5" xr3:uid="{902575AE-D2D2-3340-8C62-B8C9E67A491D}" name="Anaes Fee – Commitment (as printed)" dataDxfId="40"/>
    <tableColumn id="6" xr3:uid="{4DEDD379-92FD-474C-831B-8EB33ECDCFF8}" name="Anaes Fee – Panel (as printed)" dataDxfId="39"/>
    <tableColumn id="7" xr3:uid="{2A0E088D-966B-074A-9834-EF8D6444FCFD}" name="Row Type" dataDxfId="38"/>
    <tableColumn id="8" xr3:uid="{144C0F29-44BB-B745-9237-821354BF5FD8}" name="Extraction Notes" dataDxfId="37"/>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D6623FB-4A88-254E-B911-22CF2C84AB48}">
  <we:reference id="WA200010725" version="1.0.0.1" store="Omex" storeType="OMEX"/>
  <we:alternateReferences>
    <we:reference id="WA200010725" version="1.0.0.1" store="WA200010725" storeType="OMEX"/>
  </we:alternateReferences>
  <we:properties>
    <we:property name="claude.fileId" value="&quot;727b7b88-8f37-4ba6-a0c4-107d3bd3f59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3.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6.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7.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8.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9.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10.xml"/><Relationship Id="rId1"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11.xml"/><Relationship Id="rId1"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12.xml"/><Relationship Id="rId1"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table" Target="../tables/table13.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64894-B90B-FA48-A33D-5AF3C23D443D}">
  <sheetPr>
    <tabColor theme="5" tint="0.79998168889431442"/>
  </sheetPr>
  <dimension ref="A1:R92"/>
  <sheetViews>
    <sheetView showGridLines="0" workbookViewId="0">
      <pane ySplit="2" topLeftCell="A53" activePane="bottomLeft" state="frozen"/>
      <selection pane="bottomLeft" activeCell="B66" sqref="B66"/>
    </sheetView>
  </sheetViews>
  <sheetFormatPr baseColWidth="10" defaultRowHeight="15" x14ac:dyDescent="0.2"/>
  <cols>
    <col min="1" max="1" width="20" customWidth="1"/>
    <col min="2" max="2" width="48" customWidth="1"/>
    <col min="3" max="3" width="28" customWidth="1"/>
    <col min="4" max="4" width="20" customWidth="1"/>
    <col min="5" max="5" width="18" customWidth="1"/>
    <col min="6" max="6" width="16" customWidth="1"/>
    <col min="7" max="7" width="24" customWidth="1"/>
    <col min="8" max="8" width="20" customWidth="1"/>
    <col min="9" max="9" width="15" customWidth="1"/>
    <col min="10" max="10" width="101.1640625" customWidth="1"/>
  </cols>
  <sheetData>
    <row r="1" spans="1:10" ht="21" x14ac:dyDescent="0.25">
      <c r="A1" s="10" t="s">
        <v>976</v>
      </c>
    </row>
    <row r="2" spans="1:10" x14ac:dyDescent="0.2">
      <c r="A2" s="11" t="s">
        <v>977</v>
      </c>
    </row>
    <row r="4" spans="1:10" ht="17" x14ac:dyDescent="0.2">
      <c r="A4" s="12" t="s">
        <v>978</v>
      </c>
      <c r="B4" s="13"/>
      <c r="C4" s="13"/>
      <c r="D4" s="13"/>
      <c r="E4" s="13"/>
      <c r="F4" s="13"/>
      <c r="G4" s="13"/>
      <c r="H4" s="13"/>
      <c r="I4" s="13"/>
      <c r="J4" s="13"/>
    </row>
    <row r="5" spans="1:10" x14ac:dyDescent="0.2">
      <c r="A5" s="14" t="s">
        <v>979</v>
      </c>
      <c r="B5" t="s">
        <v>980</v>
      </c>
    </row>
    <row r="6" spans="1:10" x14ac:dyDescent="0.2">
      <c r="A6" s="14" t="s">
        <v>981</v>
      </c>
      <c r="B6" t="s">
        <v>982</v>
      </c>
    </row>
    <row r="7" spans="1:10" x14ac:dyDescent="0.2">
      <c r="A7" s="14" t="s">
        <v>983</v>
      </c>
      <c r="B7" t="s">
        <v>4021</v>
      </c>
    </row>
    <row r="8" spans="1:10" x14ac:dyDescent="0.2">
      <c r="A8" s="14" t="s">
        <v>984</v>
      </c>
      <c r="B8" t="s">
        <v>985</v>
      </c>
    </row>
    <row r="10" spans="1:10" ht="17" x14ac:dyDescent="0.2">
      <c r="A10" s="12" t="s">
        <v>986</v>
      </c>
      <c r="B10" s="13"/>
      <c r="C10" s="13"/>
      <c r="D10" s="13"/>
      <c r="E10" s="13"/>
      <c r="F10" s="13"/>
      <c r="G10" s="13"/>
      <c r="H10" s="13"/>
      <c r="I10" s="13"/>
      <c r="J10" s="13"/>
    </row>
    <row r="11" spans="1:10" x14ac:dyDescent="0.2">
      <c r="A11" s="19" t="s">
        <v>987</v>
      </c>
      <c r="B11" s="19" t="s">
        <v>988</v>
      </c>
      <c r="C11" s="19" t="s">
        <v>989</v>
      </c>
      <c r="D11" s="19" t="s">
        <v>990</v>
      </c>
    </row>
    <row r="12" spans="1:10" ht="32" x14ac:dyDescent="0.2">
      <c r="A12" s="41" t="s">
        <v>991</v>
      </c>
      <c r="B12" s="42" t="s">
        <v>992</v>
      </c>
      <c r="C12" s="42" t="s">
        <v>2078</v>
      </c>
      <c r="D12" s="42" t="s">
        <v>993</v>
      </c>
    </row>
    <row r="13" spans="1:10" ht="80" x14ac:dyDescent="0.2">
      <c r="A13" s="41" t="s">
        <v>2793</v>
      </c>
      <c r="B13" s="42" t="s">
        <v>4017</v>
      </c>
      <c r="C13" s="42" t="s">
        <v>4018</v>
      </c>
      <c r="D13" s="42" t="s">
        <v>4019</v>
      </c>
    </row>
    <row r="14" spans="1:10" ht="80" x14ac:dyDescent="0.2">
      <c r="A14" s="41" t="s">
        <v>2079</v>
      </c>
      <c r="B14" s="42" t="s">
        <v>2080</v>
      </c>
      <c r="C14" s="42" t="s">
        <v>2081</v>
      </c>
      <c r="D14" s="42" t="s">
        <v>4020</v>
      </c>
    </row>
    <row r="15" spans="1:10" ht="64" x14ac:dyDescent="0.2">
      <c r="A15" s="41" t="s">
        <v>2792</v>
      </c>
      <c r="B15" s="42" t="s">
        <v>2082</v>
      </c>
      <c r="C15" s="42" t="s">
        <v>2083</v>
      </c>
      <c r="D15" s="42" t="s">
        <v>2084</v>
      </c>
    </row>
    <row r="16" spans="1:10" ht="80" x14ac:dyDescent="0.2">
      <c r="A16" s="41" t="s">
        <v>2085</v>
      </c>
      <c r="B16" s="42" t="s">
        <v>2086</v>
      </c>
      <c r="C16" s="42" t="s">
        <v>2563</v>
      </c>
      <c r="D16" s="42" t="s">
        <v>2087</v>
      </c>
    </row>
    <row r="17" spans="1:10" ht="48" x14ac:dyDescent="0.2">
      <c r="A17" s="41" t="s">
        <v>994</v>
      </c>
      <c r="B17" s="42" t="s">
        <v>995</v>
      </c>
      <c r="C17" s="42" t="s">
        <v>996</v>
      </c>
      <c r="D17" s="42" t="s">
        <v>997</v>
      </c>
    </row>
    <row r="18" spans="1:10" ht="48" x14ac:dyDescent="0.2">
      <c r="A18" s="41" t="s">
        <v>998</v>
      </c>
      <c r="B18" s="42" t="s">
        <v>999</v>
      </c>
      <c r="C18" s="42" t="s">
        <v>2088</v>
      </c>
      <c r="D18" s="42" t="s">
        <v>1000</v>
      </c>
    </row>
    <row r="20" spans="1:10" x14ac:dyDescent="0.2">
      <c r="A20" s="15" t="s">
        <v>4024</v>
      </c>
    </row>
    <row r="22" spans="1:10" ht="17" x14ac:dyDescent="0.2">
      <c r="A22" s="12" t="s">
        <v>1001</v>
      </c>
      <c r="B22" s="13"/>
      <c r="C22" s="13"/>
      <c r="D22" s="13"/>
      <c r="E22" s="13"/>
      <c r="F22" s="13"/>
      <c r="G22" s="13"/>
      <c r="H22" s="13"/>
      <c r="I22" s="13"/>
      <c r="J22" s="13"/>
    </row>
    <row r="23" spans="1:10" x14ac:dyDescent="0.2">
      <c r="A23" t="s">
        <v>1002</v>
      </c>
      <c r="B23" t="s">
        <v>1003</v>
      </c>
      <c r="C23" t="s">
        <v>1004</v>
      </c>
      <c r="D23" t="s">
        <v>1005</v>
      </c>
      <c r="E23" t="s">
        <v>1006</v>
      </c>
      <c r="F23" t="s">
        <v>1007</v>
      </c>
      <c r="G23" t="s">
        <v>1008</v>
      </c>
      <c r="H23" t="s">
        <v>1009</v>
      </c>
      <c r="I23" t="s">
        <v>1010</v>
      </c>
      <c r="J23" t="s">
        <v>1011</v>
      </c>
    </row>
    <row r="24" spans="1:10" ht="48" x14ac:dyDescent="0.2">
      <c r="A24" s="16" t="s">
        <v>1012</v>
      </c>
      <c r="B24" s="18" t="s">
        <v>2089</v>
      </c>
      <c r="C24" s="16" t="s">
        <v>2090</v>
      </c>
      <c r="D24" s="16" t="s">
        <v>1013</v>
      </c>
      <c r="E24" s="25" t="s">
        <v>1014</v>
      </c>
      <c r="F24" s="16" t="s">
        <v>1014</v>
      </c>
      <c r="G24" s="16" t="s">
        <v>2792</v>
      </c>
      <c r="H24" s="16" t="s">
        <v>1015</v>
      </c>
      <c r="I24" s="17">
        <f>COUNTIF(MasterFees[Source ID],SourceRegister[[#This Row],[Source ID]])</f>
        <v>981</v>
      </c>
      <c r="J24" s="18" t="s">
        <v>4022</v>
      </c>
    </row>
    <row r="25" spans="1:10" ht="64" x14ac:dyDescent="0.2">
      <c r="A25" s="16" t="s">
        <v>1016</v>
      </c>
      <c r="B25" s="18" t="s">
        <v>1017</v>
      </c>
      <c r="C25" s="16" t="s">
        <v>1018</v>
      </c>
      <c r="D25" s="16" t="s">
        <v>1019</v>
      </c>
      <c r="E25" s="25">
        <v>2021</v>
      </c>
      <c r="F25" s="16" t="s">
        <v>1020</v>
      </c>
      <c r="G25" s="16" t="s">
        <v>2564</v>
      </c>
      <c r="H25" s="16" t="s">
        <v>1015</v>
      </c>
      <c r="I25" s="17">
        <f>COUNTIF(MasterFees[Source ID],SourceRegister[[#This Row],[Source ID]])</f>
        <v>141</v>
      </c>
      <c r="J25" s="18" t="s">
        <v>2791</v>
      </c>
    </row>
    <row r="26" spans="1:10" ht="128" x14ac:dyDescent="0.2">
      <c r="A26" s="16" t="s">
        <v>1021</v>
      </c>
      <c r="B26" s="18" t="s">
        <v>1022</v>
      </c>
      <c r="C26" s="16" t="s">
        <v>1023</v>
      </c>
      <c r="D26" s="16" t="s">
        <v>1024</v>
      </c>
      <c r="E26" s="25" t="s">
        <v>1025</v>
      </c>
      <c r="F26" s="16" t="s">
        <v>1026</v>
      </c>
      <c r="G26" s="16" t="s">
        <v>1027</v>
      </c>
      <c r="H26" s="16" t="s">
        <v>1015</v>
      </c>
      <c r="I26" s="17">
        <f>COUNTIF(MasterFees[Source ID],SourceRegister[[#This Row],[Source ID]])</f>
        <v>12</v>
      </c>
      <c r="J26" s="18" t="s">
        <v>4462</v>
      </c>
    </row>
    <row r="27" spans="1:10" ht="96" x14ac:dyDescent="0.2">
      <c r="A27" s="16" t="s">
        <v>1028</v>
      </c>
      <c r="B27" s="18" t="s">
        <v>1029</v>
      </c>
      <c r="C27" s="16" t="s">
        <v>1030</v>
      </c>
      <c r="D27" s="16" t="s">
        <v>1024</v>
      </c>
      <c r="E27" s="81">
        <v>46113</v>
      </c>
      <c r="F27" s="16" t="s">
        <v>1031</v>
      </c>
      <c r="G27" s="16" t="s">
        <v>1032</v>
      </c>
      <c r="H27" s="16" t="s">
        <v>1015</v>
      </c>
      <c r="I27" s="17">
        <f>COUNTIF(MasterFees[Source ID],SourceRegister[[#This Row],[Source ID]])</f>
        <v>8</v>
      </c>
      <c r="J27" s="18" t="s">
        <v>4359</v>
      </c>
    </row>
    <row r="28" spans="1:10" ht="64" x14ac:dyDescent="0.2">
      <c r="A28" s="65" t="s">
        <v>4025</v>
      </c>
      <c r="B28" s="74" t="s">
        <v>4026</v>
      </c>
      <c r="C28" s="65" t="s">
        <v>4027</v>
      </c>
      <c r="D28" s="65" t="s">
        <v>1024</v>
      </c>
      <c r="E28" s="78">
        <v>46174</v>
      </c>
      <c r="F28" s="65" t="s">
        <v>1031</v>
      </c>
      <c r="G28" s="65" t="s">
        <v>4028</v>
      </c>
      <c r="H28" s="65" t="s">
        <v>1015</v>
      </c>
      <c r="I28" s="75">
        <f>COUNTIF(MasterFees[Source ID],SourceRegister[[#This Row],[Source ID]])</f>
        <v>16</v>
      </c>
      <c r="J28" s="74" t="s">
        <v>4129</v>
      </c>
    </row>
    <row r="29" spans="1:10" ht="80" x14ac:dyDescent="0.2">
      <c r="A29" s="65" t="s">
        <v>4158</v>
      </c>
      <c r="B29" s="74" t="s">
        <v>4197</v>
      </c>
      <c r="C29" s="65" t="s">
        <v>1030</v>
      </c>
      <c r="D29" s="65" t="s">
        <v>1024</v>
      </c>
      <c r="E29" s="78">
        <v>46113</v>
      </c>
      <c r="F29" s="65" t="s">
        <v>1031</v>
      </c>
      <c r="G29" s="65" t="s">
        <v>4198</v>
      </c>
      <c r="H29" s="65" t="s">
        <v>1015</v>
      </c>
      <c r="I29" s="75">
        <v>7</v>
      </c>
      <c r="J29" s="74" t="s">
        <v>4199</v>
      </c>
    </row>
    <row r="30" spans="1:10" ht="64" x14ac:dyDescent="0.2">
      <c r="A30" s="65" t="s">
        <v>4201</v>
      </c>
      <c r="B30" s="74" t="s">
        <v>4202</v>
      </c>
      <c r="C30" s="65" t="s">
        <v>1030</v>
      </c>
      <c r="D30" s="65" t="s">
        <v>1024</v>
      </c>
      <c r="E30" s="78">
        <v>46113</v>
      </c>
      <c r="F30" s="65" t="s">
        <v>1031</v>
      </c>
      <c r="G30" s="65" t="s">
        <v>4203</v>
      </c>
      <c r="H30" s="65" t="s">
        <v>1015</v>
      </c>
      <c r="I30" s="75">
        <f>COUNTIF(MasterFees[Source ID],SourceRegister[[#This Row],[Source ID]])</f>
        <v>6</v>
      </c>
      <c r="J30" s="74" t="s">
        <v>4246</v>
      </c>
    </row>
    <row r="31" spans="1:10" ht="96" x14ac:dyDescent="0.2">
      <c r="A31" s="65" t="s">
        <v>4247</v>
      </c>
      <c r="B31" s="74" t="s">
        <v>4248</v>
      </c>
      <c r="C31" s="65" t="s">
        <v>1030</v>
      </c>
      <c r="D31" s="65" t="s">
        <v>1024</v>
      </c>
      <c r="E31" s="78">
        <v>46113</v>
      </c>
      <c r="F31" s="65" t="s">
        <v>1031</v>
      </c>
      <c r="G31" s="65" t="s">
        <v>4249</v>
      </c>
      <c r="H31" s="65" t="s">
        <v>1015</v>
      </c>
      <c r="I31" s="75">
        <f>COUNTIF(MasterFees[Source ID],SourceRegister[[#This Row],[Source ID]])</f>
        <v>7</v>
      </c>
      <c r="J31" s="74" t="s">
        <v>4300</v>
      </c>
    </row>
    <row r="32" spans="1:10" ht="128" x14ac:dyDescent="0.2">
      <c r="A32" s="65" t="s">
        <v>4587</v>
      </c>
      <c r="B32" s="74" t="s">
        <v>4588</v>
      </c>
      <c r="C32" s="65" t="s">
        <v>4589</v>
      </c>
      <c r="D32" s="65" t="s">
        <v>4590</v>
      </c>
      <c r="E32" s="78" t="s">
        <v>4591</v>
      </c>
      <c r="F32" s="65" t="s">
        <v>4592</v>
      </c>
      <c r="G32" s="65" t="s">
        <v>4593</v>
      </c>
      <c r="H32" s="65" t="s">
        <v>1015</v>
      </c>
      <c r="I32" s="75">
        <f>COUNTIF(MasterFees[Source ID],SourceRegister[[#This Row],[Source ID]])</f>
        <v>118</v>
      </c>
      <c r="J32" s="74" t="s">
        <v>4897</v>
      </c>
    </row>
    <row r="33" spans="1:10" x14ac:dyDescent="0.2">
      <c r="A33" s="65" t="s">
        <v>4200</v>
      </c>
      <c r="B33" s="74"/>
      <c r="C33" s="65"/>
      <c r="D33" s="65"/>
      <c r="E33" s="65"/>
      <c r="F33" s="65"/>
      <c r="G33" s="65"/>
      <c r="H33" s="65"/>
      <c r="I33" s="75">
        <f>COUNTIF(MasterFees[Source ID],SourceRegister[[#This Row],[Source ID]])</f>
        <v>0</v>
      </c>
      <c r="J33" s="74"/>
    </row>
    <row r="34" spans="1:10" ht="17" x14ac:dyDescent="0.2">
      <c r="A34" s="12" t="s">
        <v>2091</v>
      </c>
      <c r="B34" s="13"/>
      <c r="C34" s="13"/>
      <c r="D34" s="13"/>
      <c r="E34" s="13"/>
      <c r="F34" s="13"/>
      <c r="G34" s="13"/>
      <c r="H34" s="13"/>
      <c r="I34" s="13"/>
      <c r="J34" s="13"/>
    </row>
    <row r="35" spans="1:10" x14ac:dyDescent="0.2">
      <c r="A35" s="26" t="s">
        <v>1033</v>
      </c>
      <c r="B35" s="20" t="s">
        <v>1034</v>
      </c>
      <c r="C35" s="20" t="s">
        <v>1035</v>
      </c>
    </row>
    <row r="36" spans="1:10" x14ac:dyDescent="0.2">
      <c r="A36" s="43" t="s">
        <v>1036</v>
      </c>
      <c r="B36" s="52" t="s">
        <v>1077</v>
      </c>
      <c r="C36" s="51" t="s">
        <v>2113</v>
      </c>
    </row>
    <row r="37" spans="1:10" x14ac:dyDescent="0.2">
      <c r="A37" s="43" t="s">
        <v>1037</v>
      </c>
      <c r="B37" s="52" t="s">
        <v>1078</v>
      </c>
      <c r="C37" s="51" t="s">
        <v>2092</v>
      </c>
    </row>
    <row r="38" spans="1:10" x14ac:dyDescent="0.2">
      <c r="A38" s="53" t="s">
        <v>2093</v>
      </c>
      <c r="B38" s="54" t="s">
        <v>2111</v>
      </c>
      <c r="C38" s="51" t="s">
        <v>4023</v>
      </c>
    </row>
    <row r="39" spans="1:10" x14ac:dyDescent="0.2">
      <c r="A39" s="53" t="s">
        <v>2094</v>
      </c>
      <c r="B39" s="54" t="s">
        <v>2112</v>
      </c>
      <c r="C39" s="51" t="s">
        <v>2114</v>
      </c>
    </row>
    <row r="40" spans="1:10" x14ac:dyDescent="0.2">
      <c r="A40" s="49" t="s">
        <v>2095</v>
      </c>
      <c r="B40" s="51" t="s">
        <v>1079</v>
      </c>
      <c r="C40" s="51" t="s">
        <v>2115</v>
      </c>
    </row>
    <row r="41" spans="1:10" x14ac:dyDescent="0.2">
      <c r="A41" s="49" t="s">
        <v>2097</v>
      </c>
      <c r="B41" s="51" t="s">
        <v>1080</v>
      </c>
      <c r="C41" s="51" t="s">
        <v>2116</v>
      </c>
    </row>
    <row r="42" spans="1:10" x14ac:dyDescent="0.2">
      <c r="A42" s="49" t="s">
        <v>2099</v>
      </c>
      <c r="B42" s="51" t="s">
        <v>1081</v>
      </c>
      <c r="C42" s="51" t="s">
        <v>2096</v>
      </c>
    </row>
    <row r="43" spans="1:10" x14ac:dyDescent="0.2">
      <c r="A43" s="49" t="s">
        <v>1038</v>
      </c>
      <c r="B43" s="51" t="s">
        <v>1082</v>
      </c>
      <c r="C43" s="51" t="s">
        <v>2098</v>
      </c>
    </row>
    <row r="44" spans="1:10" x14ac:dyDescent="0.2">
      <c r="A44" s="49" t="s">
        <v>1039</v>
      </c>
      <c r="B44" s="51" t="s">
        <v>1083</v>
      </c>
      <c r="C44" s="51" t="s">
        <v>2100</v>
      </c>
    </row>
    <row r="45" spans="1:10" x14ac:dyDescent="0.2">
      <c r="A45" s="49" t="s">
        <v>1041</v>
      </c>
      <c r="B45" s="51" t="s">
        <v>1084</v>
      </c>
      <c r="C45" s="51" t="s">
        <v>2101</v>
      </c>
    </row>
    <row r="46" spans="1:10" x14ac:dyDescent="0.2">
      <c r="A46" s="49" t="s">
        <v>1042</v>
      </c>
      <c r="B46" s="51" t="s">
        <v>1085</v>
      </c>
      <c r="C46" s="51" t="s">
        <v>2102</v>
      </c>
    </row>
    <row r="47" spans="1:10" x14ac:dyDescent="0.2">
      <c r="A47" s="49" t="s">
        <v>1043</v>
      </c>
      <c r="B47" s="51" t="s">
        <v>1086</v>
      </c>
      <c r="C47" s="51" t="s">
        <v>2103</v>
      </c>
    </row>
    <row r="48" spans="1:10" x14ac:dyDescent="0.2">
      <c r="A48" s="49" t="s">
        <v>1044</v>
      </c>
      <c r="B48" s="51" t="s">
        <v>1087</v>
      </c>
      <c r="C48" s="51" t="s">
        <v>2104</v>
      </c>
    </row>
    <row r="49" spans="1:18" x14ac:dyDescent="0.2">
      <c r="A49" s="49" t="s">
        <v>1045</v>
      </c>
      <c r="B49" s="51" t="s">
        <v>1088</v>
      </c>
      <c r="C49" s="51" t="s">
        <v>2117</v>
      </c>
    </row>
    <row r="50" spans="1:18" x14ac:dyDescent="0.2">
      <c r="A50" s="49" t="s">
        <v>1046</v>
      </c>
      <c r="B50" s="51" t="s">
        <v>1089</v>
      </c>
      <c r="C50" s="51" t="s">
        <v>2118</v>
      </c>
    </row>
    <row r="51" spans="1:18" x14ac:dyDescent="0.2">
      <c r="A51" s="49" t="s">
        <v>1048</v>
      </c>
      <c r="B51" s="51" t="s">
        <v>1090</v>
      </c>
      <c r="C51" s="51" t="s">
        <v>2118</v>
      </c>
    </row>
    <row r="52" spans="1:18" x14ac:dyDescent="0.2">
      <c r="A52" s="49" t="s">
        <v>2105</v>
      </c>
      <c r="B52" s="51" t="s">
        <v>1091</v>
      </c>
      <c r="C52" s="51" t="s">
        <v>2119</v>
      </c>
    </row>
    <row r="53" spans="1:18" x14ac:dyDescent="0.2">
      <c r="A53" s="49" t="s">
        <v>2106</v>
      </c>
      <c r="B53" s="51" t="s">
        <v>1092</v>
      </c>
      <c r="C53" s="51" t="s">
        <v>1047</v>
      </c>
    </row>
    <row r="54" spans="1:18" x14ac:dyDescent="0.2">
      <c r="A54" s="49" t="s">
        <v>2108</v>
      </c>
      <c r="B54" s="51" t="s">
        <v>1002</v>
      </c>
      <c r="C54" s="51" t="s">
        <v>1040</v>
      </c>
      <c r="R54" s="14"/>
    </row>
    <row r="55" spans="1:18" x14ac:dyDescent="0.2">
      <c r="A55" s="49" t="s">
        <v>2120</v>
      </c>
      <c r="B55" s="51" t="s">
        <v>1093</v>
      </c>
      <c r="C55" s="51" t="s">
        <v>2107</v>
      </c>
    </row>
    <row r="56" spans="1:18" x14ac:dyDescent="0.2">
      <c r="A56" s="49" t="s">
        <v>2121</v>
      </c>
      <c r="B56" s="51" t="s">
        <v>1094</v>
      </c>
      <c r="C56" s="51" t="s">
        <v>2109</v>
      </c>
    </row>
    <row r="57" spans="1:18" x14ac:dyDescent="0.2">
      <c r="A57" s="49" t="s">
        <v>4001</v>
      </c>
      <c r="B57" s="51" t="s">
        <v>2878</v>
      </c>
      <c r="C57" s="51" t="s">
        <v>4002</v>
      </c>
    </row>
    <row r="58" spans="1:18" x14ac:dyDescent="0.2">
      <c r="A58" s="21" t="s">
        <v>2110</v>
      </c>
    </row>
    <row r="60" spans="1:18" x14ac:dyDescent="0.2">
      <c r="A60" s="22" t="s">
        <v>1049</v>
      </c>
      <c r="B60" s="23">
        <v>0.15</v>
      </c>
      <c r="C60" s="11" t="s">
        <v>2122</v>
      </c>
    </row>
    <row r="62" spans="1:18" ht="17" x14ac:dyDescent="0.2">
      <c r="A62" s="12" t="s">
        <v>2123</v>
      </c>
      <c r="B62" s="13"/>
      <c r="C62" s="13"/>
      <c r="D62" s="13"/>
      <c r="E62" s="13"/>
      <c r="F62" s="13"/>
      <c r="G62" s="13"/>
      <c r="H62" s="13"/>
      <c r="I62" s="13"/>
      <c r="J62" s="13"/>
    </row>
    <row r="63" spans="1:18" x14ac:dyDescent="0.2">
      <c r="A63" s="14" t="s">
        <v>1050</v>
      </c>
      <c r="B63" s="40" t="s">
        <v>1051</v>
      </c>
    </row>
    <row r="64" spans="1:18" x14ac:dyDescent="0.2">
      <c r="A64" s="14" t="s">
        <v>1052</v>
      </c>
      <c r="B64" s="40" t="s">
        <v>2124</v>
      </c>
    </row>
    <row r="65" spans="1:10" x14ac:dyDescent="0.2">
      <c r="A65" s="14" t="s">
        <v>1053</v>
      </c>
      <c r="B65" s="40" t="s">
        <v>2125</v>
      </c>
    </row>
    <row r="66" spans="1:10" x14ac:dyDescent="0.2">
      <c r="A66" s="14" t="s">
        <v>1054</v>
      </c>
      <c r="B66" s="40" t="s">
        <v>2126</v>
      </c>
    </row>
    <row r="67" spans="1:10" x14ac:dyDescent="0.2">
      <c r="A67" s="14" t="s">
        <v>1055</v>
      </c>
      <c r="B67" s="40" t="s">
        <v>2127</v>
      </c>
    </row>
    <row r="68" spans="1:10" x14ac:dyDescent="0.2">
      <c r="A68" s="14" t="s">
        <v>1056</v>
      </c>
      <c r="B68" s="40" t="s">
        <v>4012</v>
      </c>
    </row>
    <row r="69" spans="1:10" x14ac:dyDescent="0.2">
      <c r="A69" s="14" t="s">
        <v>1057</v>
      </c>
      <c r="B69" s="40" t="s">
        <v>4016</v>
      </c>
    </row>
    <row r="70" spans="1:10" x14ac:dyDescent="0.2">
      <c r="A70" s="14" t="s">
        <v>2128</v>
      </c>
      <c r="B70" s="40" t="s">
        <v>4013</v>
      </c>
    </row>
    <row r="71" spans="1:10" x14ac:dyDescent="0.2">
      <c r="A71" s="55" t="s">
        <v>4014</v>
      </c>
      <c r="B71" s="50" t="s">
        <v>4015</v>
      </c>
      <c r="C71" s="56"/>
      <c r="D71" s="56"/>
      <c r="E71" s="56"/>
      <c r="F71" s="56"/>
      <c r="G71" s="56"/>
      <c r="H71" s="56"/>
      <c r="I71" s="56"/>
      <c r="J71" s="56"/>
    </row>
    <row r="73" spans="1:10" ht="17" x14ac:dyDescent="0.2">
      <c r="A73" s="12" t="s">
        <v>2129</v>
      </c>
      <c r="B73" s="13"/>
      <c r="C73" s="13"/>
      <c r="D73" s="13"/>
      <c r="E73" s="13"/>
      <c r="F73" s="13"/>
      <c r="G73" s="13"/>
      <c r="H73" s="13"/>
      <c r="I73" s="13"/>
      <c r="J73" s="13"/>
    </row>
    <row r="74" spans="1:10" x14ac:dyDescent="0.2">
      <c r="A74" s="14" t="s">
        <v>1058</v>
      </c>
      <c r="B74" t="s">
        <v>1059</v>
      </c>
    </row>
    <row r="75" spans="1:10" x14ac:dyDescent="0.2">
      <c r="A75" s="14" t="s">
        <v>1060</v>
      </c>
      <c r="B75" t="s">
        <v>1061</v>
      </c>
    </row>
    <row r="76" spans="1:10" x14ac:dyDescent="0.2">
      <c r="A76" s="14" t="s">
        <v>1062</v>
      </c>
      <c r="B76" t="s">
        <v>1063</v>
      </c>
    </row>
    <row r="77" spans="1:10" x14ac:dyDescent="0.2">
      <c r="A77" s="14" t="s">
        <v>1064</v>
      </c>
      <c r="B77" t="s">
        <v>1065</v>
      </c>
    </row>
    <row r="78" spans="1:10" x14ac:dyDescent="0.2">
      <c r="A78" s="14" t="s">
        <v>1066</v>
      </c>
      <c r="B78" t="s">
        <v>2140</v>
      </c>
    </row>
    <row r="79" spans="1:10" x14ac:dyDescent="0.2">
      <c r="A79" s="14" t="s">
        <v>975</v>
      </c>
      <c r="B79" t="s">
        <v>1067</v>
      </c>
    </row>
    <row r="80" spans="1:10" x14ac:dyDescent="0.2">
      <c r="A80" s="57" t="s">
        <v>2130</v>
      </c>
      <c r="B80" s="50" t="s">
        <v>2131</v>
      </c>
    </row>
    <row r="81" spans="1:10" x14ac:dyDescent="0.2">
      <c r="A81" s="57" t="s">
        <v>2132</v>
      </c>
      <c r="B81" s="50" t="s">
        <v>2133</v>
      </c>
    </row>
    <row r="82" spans="1:10" x14ac:dyDescent="0.2">
      <c r="A82" s="57" t="s">
        <v>2134</v>
      </c>
      <c r="B82" s="50" t="s">
        <v>2135</v>
      </c>
    </row>
    <row r="83" spans="1:10" x14ac:dyDescent="0.2">
      <c r="A83" s="57" t="s">
        <v>2136</v>
      </c>
      <c r="B83" s="50" t="s">
        <v>2137</v>
      </c>
    </row>
    <row r="84" spans="1:10" x14ac:dyDescent="0.2">
      <c r="A84" s="57" t="s">
        <v>2138</v>
      </c>
      <c r="B84" s="50" t="s">
        <v>2139</v>
      </c>
    </row>
    <row r="85" spans="1:10" x14ac:dyDescent="0.2">
      <c r="A85" s="57" t="s">
        <v>4004</v>
      </c>
      <c r="B85" s="50" t="s">
        <v>4005</v>
      </c>
    </row>
    <row r="86" spans="1:10" x14ac:dyDescent="0.2">
      <c r="A86" s="57" t="s">
        <v>4006</v>
      </c>
      <c r="B86" s="50" t="s">
        <v>4007</v>
      </c>
    </row>
    <row r="87" spans="1:10" ht="80" customHeight="1" x14ac:dyDescent="0.2">
      <c r="A87" s="57" t="s">
        <v>4008</v>
      </c>
      <c r="B87" s="50" t="s">
        <v>4009</v>
      </c>
    </row>
    <row r="88" spans="1:10" ht="71" customHeight="1" x14ac:dyDescent="0.2">
      <c r="A88" s="57" t="s">
        <v>4010</v>
      </c>
      <c r="B88" s="50" t="s">
        <v>4011</v>
      </c>
    </row>
    <row r="89" spans="1:10" ht="48" customHeight="1" x14ac:dyDescent="0.2"/>
    <row r="90" spans="1:10" ht="17" x14ac:dyDescent="0.2">
      <c r="A90" s="12" t="s">
        <v>1068</v>
      </c>
      <c r="B90" s="13"/>
      <c r="C90" s="13"/>
      <c r="D90" s="13"/>
      <c r="E90" s="13"/>
      <c r="F90" s="13"/>
      <c r="G90" s="13"/>
      <c r="H90" s="13"/>
      <c r="I90" s="13"/>
      <c r="J90" s="13"/>
    </row>
    <row r="91" spans="1:10" x14ac:dyDescent="0.2">
      <c r="A91" s="44" t="s">
        <v>4003</v>
      </c>
      <c r="B91" s="45"/>
      <c r="C91" s="45"/>
      <c r="D91" s="45"/>
      <c r="E91" s="45"/>
      <c r="F91" s="45"/>
      <c r="G91" s="45"/>
      <c r="H91" s="45"/>
      <c r="I91" s="45"/>
      <c r="J91" s="46"/>
    </row>
    <row r="92" spans="1:10" x14ac:dyDescent="0.2">
      <c r="A92" s="24" t="s">
        <v>1069</v>
      </c>
    </row>
  </sheetData>
  <mergeCells count="1">
    <mergeCell ref="A91:J91"/>
  </mergeCells>
  <pageMargins left="0.7" right="0.7" top="0.75" bottom="0.75" header="0.3" footer="0.3"/>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0B5DE-6625-0D40-A03A-8535D5AA0146}">
  <sheetPr>
    <tabColor theme="7" tint="0.79998168889431442"/>
  </sheetPr>
  <dimension ref="A1:K43"/>
  <sheetViews>
    <sheetView workbookViewId="0">
      <pane ySplit="4" topLeftCell="A16" activePane="bottomLeft" state="frozen"/>
      <selection pane="bottomLeft" activeCell="J7" sqref="J7"/>
    </sheetView>
  </sheetViews>
  <sheetFormatPr baseColWidth="10" defaultRowHeight="15" x14ac:dyDescent="0.2"/>
  <cols>
    <col min="1" max="1" width="6.6640625" customWidth="1"/>
    <col min="2" max="2" width="12.5" customWidth="1"/>
    <col min="3" max="3" width="18.33203125" customWidth="1"/>
    <col min="4" max="4" width="53.33203125" customWidth="1"/>
    <col min="5" max="5" width="43.33203125" customWidth="1"/>
    <col min="6" max="6" width="40" customWidth="1"/>
    <col min="7" max="7" width="36.6640625" customWidth="1"/>
    <col min="8" max="8" width="28.33203125" customWidth="1"/>
    <col min="9" max="9" width="12.5" customWidth="1"/>
    <col min="10" max="10" width="40" customWidth="1"/>
    <col min="11" max="11" width="15" customWidth="1"/>
  </cols>
  <sheetData>
    <row r="1" spans="1:11" ht="19" x14ac:dyDescent="0.25">
      <c r="A1" s="58" t="s">
        <v>2793</v>
      </c>
    </row>
    <row r="2" spans="1:11" x14ac:dyDescent="0.2">
      <c r="A2" t="s">
        <v>2794</v>
      </c>
    </row>
    <row r="4" spans="1:11" ht="16" x14ac:dyDescent="0.2">
      <c r="A4" s="18" t="s">
        <v>2795</v>
      </c>
      <c r="B4" s="18" t="s">
        <v>2796</v>
      </c>
      <c r="C4" s="18" t="s">
        <v>2797</v>
      </c>
      <c r="D4" s="18" t="s">
        <v>2798</v>
      </c>
      <c r="E4" s="18" t="s">
        <v>2799</v>
      </c>
      <c r="F4" s="18" t="s">
        <v>2800</v>
      </c>
      <c r="G4" s="18" t="s">
        <v>2801</v>
      </c>
      <c r="H4" s="18" t="s">
        <v>2802</v>
      </c>
      <c r="I4" s="18" t="s">
        <v>1009</v>
      </c>
      <c r="J4" s="18" t="s">
        <v>2803</v>
      </c>
      <c r="K4" s="18" t="s">
        <v>2804</v>
      </c>
    </row>
    <row r="5" spans="1:11" ht="64" x14ac:dyDescent="0.2">
      <c r="A5" s="18" t="s">
        <v>2805</v>
      </c>
      <c r="B5" s="68">
        <f>DATE(2026,9,28)</f>
        <v>46293</v>
      </c>
      <c r="C5" s="18" t="s">
        <v>2806</v>
      </c>
      <c r="D5" s="18" t="s">
        <v>2807</v>
      </c>
      <c r="E5" s="18" t="s">
        <v>2808</v>
      </c>
      <c r="F5" s="18" t="s">
        <v>2809</v>
      </c>
      <c r="G5" s="18" t="s">
        <v>2810</v>
      </c>
      <c r="H5" s="70" t="s">
        <v>2811</v>
      </c>
      <c r="I5" s="71" t="s">
        <v>2812</v>
      </c>
      <c r="J5" s="72"/>
      <c r="K5" s="72"/>
    </row>
    <row r="6" spans="1:11" ht="48" x14ac:dyDescent="0.2">
      <c r="A6" s="18" t="s">
        <v>2813</v>
      </c>
      <c r="B6" s="68">
        <f>DATE(2026,9,28)</f>
        <v>46293</v>
      </c>
      <c r="C6" s="18" t="s">
        <v>2806</v>
      </c>
      <c r="D6" s="18" t="s">
        <v>2814</v>
      </c>
      <c r="E6" s="18" t="s">
        <v>2815</v>
      </c>
      <c r="F6" s="18" t="s">
        <v>2816</v>
      </c>
      <c r="G6" s="18" t="s">
        <v>2817</v>
      </c>
      <c r="H6" s="70" t="s">
        <v>2818</v>
      </c>
      <c r="I6" s="71" t="s">
        <v>2812</v>
      </c>
      <c r="J6" s="72"/>
      <c r="K6" s="72"/>
    </row>
    <row r="7" spans="1:11" ht="48" x14ac:dyDescent="0.2">
      <c r="A7" s="18" t="s">
        <v>2819</v>
      </c>
      <c r="B7" s="68">
        <f>DATE(2026,9,28)</f>
        <v>46293</v>
      </c>
      <c r="C7" s="18" t="s">
        <v>2820</v>
      </c>
      <c r="D7" s="18" t="s">
        <v>2821</v>
      </c>
      <c r="E7" s="18" t="s">
        <v>2822</v>
      </c>
      <c r="F7" s="18" t="s">
        <v>2823</v>
      </c>
      <c r="G7" s="18" t="s">
        <v>2824</v>
      </c>
      <c r="H7" s="70" t="s">
        <v>2825</v>
      </c>
      <c r="I7" s="71" t="s">
        <v>2812</v>
      </c>
      <c r="J7" s="72"/>
      <c r="K7" s="72"/>
    </row>
    <row r="8" spans="1:11" ht="32" x14ac:dyDescent="0.2">
      <c r="A8" s="18" t="s">
        <v>2826</v>
      </c>
      <c r="B8" s="68">
        <f>DATE(2026,9,28)</f>
        <v>46293</v>
      </c>
      <c r="C8" s="18" t="s">
        <v>2827</v>
      </c>
      <c r="D8" s="18" t="s">
        <v>2828</v>
      </c>
      <c r="E8" s="18" t="s">
        <v>2829</v>
      </c>
      <c r="F8" s="18" t="s">
        <v>2830</v>
      </c>
      <c r="G8" s="18" t="s">
        <v>2831</v>
      </c>
      <c r="H8" s="70" t="s">
        <v>2832</v>
      </c>
      <c r="I8" s="71" t="s">
        <v>2812</v>
      </c>
      <c r="J8" s="72"/>
      <c r="K8" s="72"/>
    </row>
    <row r="9" spans="1:11" ht="48" x14ac:dyDescent="0.2">
      <c r="A9" s="18" t="s">
        <v>2833</v>
      </c>
      <c r="B9" s="68">
        <f>DATE(2026,9,28)</f>
        <v>46293</v>
      </c>
      <c r="C9" s="18" t="s">
        <v>2834</v>
      </c>
      <c r="D9" s="18" t="s">
        <v>2835</v>
      </c>
      <c r="E9" s="18" t="s">
        <v>2836</v>
      </c>
      <c r="F9" s="18" t="s">
        <v>2837</v>
      </c>
      <c r="G9" s="18" t="s">
        <v>2838</v>
      </c>
      <c r="H9" s="70" t="s">
        <v>2839</v>
      </c>
      <c r="I9" s="71" t="s">
        <v>2812</v>
      </c>
      <c r="J9" s="72"/>
      <c r="K9" s="72"/>
    </row>
    <row r="10" spans="1:11" ht="48" x14ac:dyDescent="0.2">
      <c r="A10" s="18" t="s">
        <v>2840</v>
      </c>
      <c r="B10" s="68">
        <f>DATE(2026,9,28)</f>
        <v>46293</v>
      </c>
      <c r="C10" s="18" t="s">
        <v>2834</v>
      </c>
      <c r="D10" s="18" t="s">
        <v>2841</v>
      </c>
      <c r="E10" s="18" t="s">
        <v>2842</v>
      </c>
      <c r="F10" s="18" t="s">
        <v>2843</v>
      </c>
      <c r="G10" s="18" t="s">
        <v>2844</v>
      </c>
      <c r="H10" s="70" t="s">
        <v>2845</v>
      </c>
      <c r="I10" s="71" t="s">
        <v>2812</v>
      </c>
      <c r="J10" s="72"/>
      <c r="K10" s="72"/>
    </row>
    <row r="11" spans="1:11" ht="32" x14ac:dyDescent="0.2">
      <c r="A11" s="18" t="s">
        <v>2846</v>
      </c>
      <c r="B11" s="68">
        <f>DATE(2026,9,28)</f>
        <v>46293</v>
      </c>
      <c r="C11" s="18" t="s">
        <v>2834</v>
      </c>
      <c r="D11" s="18" t="s">
        <v>2847</v>
      </c>
      <c r="E11" s="18" t="s">
        <v>2848</v>
      </c>
      <c r="F11" s="18" t="s">
        <v>2849</v>
      </c>
      <c r="G11" s="18" t="s">
        <v>2850</v>
      </c>
      <c r="H11" s="69" t="s">
        <v>2851</v>
      </c>
      <c r="I11" s="71" t="s">
        <v>2812</v>
      </c>
      <c r="J11" s="72"/>
      <c r="K11" s="72"/>
    </row>
    <row r="12" spans="1:11" ht="32" x14ac:dyDescent="0.2">
      <c r="A12" s="18" t="s">
        <v>2852</v>
      </c>
      <c r="B12" s="68">
        <f>DATE(2026,9,28)</f>
        <v>46293</v>
      </c>
      <c r="C12" s="18" t="s">
        <v>2834</v>
      </c>
      <c r="D12" s="18" t="s">
        <v>2853</v>
      </c>
      <c r="E12" s="18" t="s">
        <v>2854</v>
      </c>
      <c r="F12" s="18" t="s">
        <v>2855</v>
      </c>
      <c r="G12" s="18" t="s">
        <v>2856</v>
      </c>
      <c r="H12" s="69" t="s">
        <v>2857</v>
      </c>
      <c r="I12" s="71" t="s">
        <v>2812</v>
      </c>
      <c r="J12" s="72"/>
      <c r="K12" s="72"/>
    </row>
    <row r="13" spans="1:11" ht="48" x14ac:dyDescent="0.2">
      <c r="A13" s="18" t="s">
        <v>2858</v>
      </c>
      <c r="B13" s="68">
        <f>DATE(2026,9,28)</f>
        <v>46293</v>
      </c>
      <c r="C13" s="18" t="s">
        <v>2859</v>
      </c>
      <c r="D13" s="18" t="s">
        <v>2860</v>
      </c>
      <c r="E13" s="18" t="s">
        <v>2861</v>
      </c>
      <c r="F13" s="18" t="s">
        <v>2862</v>
      </c>
      <c r="G13" s="18" t="s">
        <v>2863</v>
      </c>
      <c r="H13" s="70" t="s">
        <v>2864</v>
      </c>
      <c r="I13" s="71" t="s">
        <v>2812</v>
      </c>
      <c r="J13" s="72"/>
      <c r="K13" s="72"/>
    </row>
    <row r="14" spans="1:11" ht="48" x14ac:dyDescent="0.2">
      <c r="A14" s="18" t="s">
        <v>2865</v>
      </c>
      <c r="B14" s="68">
        <f>DATE(2026,9,28)</f>
        <v>46293</v>
      </c>
      <c r="C14" s="18" t="s">
        <v>2859</v>
      </c>
      <c r="D14" s="18" t="s">
        <v>2866</v>
      </c>
      <c r="E14" s="18" t="s">
        <v>2867</v>
      </c>
      <c r="F14" s="18" t="s">
        <v>2868</v>
      </c>
      <c r="G14" s="18" t="s">
        <v>2869</v>
      </c>
      <c r="H14" s="69" t="s">
        <v>2870</v>
      </c>
      <c r="I14" s="71" t="s">
        <v>2812</v>
      </c>
      <c r="J14" s="72"/>
      <c r="K14" s="72"/>
    </row>
    <row r="15" spans="1:11" ht="48" x14ac:dyDescent="0.2">
      <c r="A15" s="18" t="s">
        <v>2871</v>
      </c>
      <c r="B15" s="68">
        <f>DATE(2026,9,28)</f>
        <v>46293</v>
      </c>
      <c r="C15" s="18" t="s">
        <v>2872</v>
      </c>
      <c r="D15" s="18" t="s">
        <v>2873</v>
      </c>
      <c r="E15" s="18" t="s">
        <v>2874</v>
      </c>
      <c r="F15" s="18" t="s">
        <v>2875</v>
      </c>
      <c r="G15" s="18" t="s">
        <v>2876</v>
      </c>
      <c r="H15" s="70" t="s">
        <v>2877</v>
      </c>
      <c r="I15" s="71" t="s">
        <v>2812</v>
      </c>
      <c r="J15" s="72"/>
      <c r="K15" s="72"/>
    </row>
    <row r="16" spans="1:11" ht="96" x14ac:dyDescent="0.2">
      <c r="A16" s="18" t="s">
        <v>4098</v>
      </c>
      <c r="B16" s="68">
        <f>DATE(2026,9,28)</f>
        <v>46293</v>
      </c>
      <c r="C16" s="18" t="s">
        <v>2834</v>
      </c>
      <c r="D16" s="18" t="s">
        <v>4128</v>
      </c>
      <c r="E16" s="18" t="s">
        <v>4099</v>
      </c>
      <c r="F16" s="18" t="s">
        <v>4100</v>
      </c>
      <c r="G16" s="18" t="s">
        <v>4101</v>
      </c>
      <c r="H16" s="70" t="s">
        <v>4123</v>
      </c>
      <c r="I16" s="71" t="s">
        <v>2812</v>
      </c>
      <c r="J16" s="72"/>
      <c r="K16" s="72"/>
    </row>
    <row r="17" spans="1:11" ht="80" x14ac:dyDescent="0.2">
      <c r="A17" s="18" t="s">
        <v>4102</v>
      </c>
      <c r="B17" s="68">
        <f>DATE(2026,9,28)</f>
        <v>46293</v>
      </c>
      <c r="C17" s="18" t="s">
        <v>2834</v>
      </c>
      <c r="D17" s="18" t="s">
        <v>4103</v>
      </c>
      <c r="E17" s="18" t="s">
        <v>4104</v>
      </c>
      <c r="F17" s="18" t="s">
        <v>4105</v>
      </c>
      <c r="G17" s="18" t="s">
        <v>4106</v>
      </c>
      <c r="H17" s="70" t="s">
        <v>4124</v>
      </c>
      <c r="I17" s="71" t="s">
        <v>2812</v>
      </c>
      <c r="J17" s="72"/>
      <c r="K17" s="72"/>
    </row>
    <row r="18" spans="1:11" ht="48" x14ac:dyDescent="0.2">
      <c r="A18" s="18" t="s">
        <v>4107</v>
      </c>
      <c r="B18" s="68">
        <f>DATE(2026,9,28)</f>
        <v>46293</v>
      </c>
      <c r="C18" s="18" t="s">
        <v>2859</v>
      </c>
      <c r="D18" s="18" t="s">
        <v>4108</v>
      </c>
      <c r="E18" s="18" t="s">
        <v>4109</v>
      </c>
      <c r="F18" s="18" t="s">
        <v>4110</v>
      </c>
      <c r="G18" s="18" t="s">
        <v>4111</v>
      </c>
      <c r="H18" s="69" t="s">
        <v>4125</v>
      </c>
      <c r="I18" s="71" t="s">
        <v>2812</v>
      </c>
      <c r="J18" s="72"/>
      <c r="K18" s="72"/>
    </row>
    <row r="19" spans="1:11" ht="48" x14ac:dyDescent="0.2">
      <c r="A19" s="18" t="s">
        <v>4112</v>
      </c>
      <c r="B19" s="68">
        <f>DATE(2026,9,28)</f>
        <v>46293</v>
      </c>
      <c r="C19" s="18" t="s">
        <v>1006</v>
      </c>
      <c r="D19" s="18" t="s">
        <v>4113</v>
      </c>
      <c r="E19" s="18" t="s">
        <v>4114</v>
      </c>
      <c r="F19" s="18" t="s">
        <v>4115</v>
      </c>
      <c r="G19" s="18" t="s">
        <v>4116</v>
      </c>
      <c r="H19" s="70" t="s">
        <v>4126</v>
      </c>
      <c r="I19" s="71" t="s">
        <v>2812</v>
      </c>
      <c r="J19" s="72"/>
      <c r="K19" s="72"/>
    </row>
    <row r="20" spans="1:11" ht="48" x14ac:dyDescent="0.2">
      <c r="A20" s="18" t="s">
        <v>4117</v>
      </c>
      <c r="B20" s="68">
        <f>DATE(2026,9,28)</f>
        <v>46293</v>
      </c>
      <c r="C20" s="18" t="s">
        <v>4118</v>
      </c>
      <c r="D20" s="18" t="s">
        <v>4119</v>
      </c>
      <c r="E20" s="18" t="s">
        <v>4120</v>
      </c>
      <c r="F20" s="18" t="s">
        <v>4121</v>
      </c>
      <c r="G20" s="18" t="s">
        <v>4122</v>
      </c>
      <c r="H20" s="70" t="s">
        <v>4127</v>
      </c>
      <c r="I20" s="71" t="s">
        <v>2812</v>
      </c>
      <c r="J20" s="72"/>
      <c r="K20" s="72"/>
    </row>
    <row r="21" spans="1:11" ht="80" x14ac:dyDescent="0.2">
      <c r="A21" s="18" t="s">
        <v>4173</v>
      </c>
      <c r="B21" s="68">
        <v>46293</v>
      </c>
      <c r="C21" s="18" t="s">
        <v>2834</v>
      </c>
      <c r="D21" s="18" t="s">
        <v>4174</v>
      </c>
      <c r="E21" s="18" t="s">
        <v>4175</v>
      </c>
      <c r="F21" s="18" t="s">
        <v>4176</v>
      </c>
      <c r="G21" s="18" t="s">
        <v>4177</v>
      </c>
      <c r="H21" s="69" t="s">
        <v>4178</v>
      </c>
      <c r="I21" s="71" t="s">
        <v>2812</v>
      </c>
      <c r="J21" s="72"/>
      <c r="K21" s="72"/>
    </row>
    <row r="22" spans="1:11" ht="80" x14ac:dyDescent="0.2">
      <c r="A22" s="18" t="s">
        <v>4179</v>
      </c>
      <c r="B22" s="68">
        <v>46293</v>
      </c>
      <c r="C22" s="18" t="s">
        <v>2834</v>
      </c>
      <c r="D22" s="18" t="s">
        <v>4180</v>
      </c>
      <c r="E22" s="18" t="s">
        <v>4181</v>
      </c>
      <c r="F22" s="18" t="s">
        <v>4182</v>
      </c>
      <c r="G22" s="18" t="s">
        <v>4183</v>
      </c>
      <c r="H22" s="69" t="s">
        <v>4184</v>
      </c>
      <c r="I22" s="71" t="s">
        <v>2812</v>
      </c>
      <c r="J22" s="72"/>
      <c r="K22" s="72"/>
    </row>
    <row r="23" spans="1:11" ht="48" x14ac:dyDescent="0.2">
      <c r="A23" s="18" t="s">
        <v>4185</v>
      </c>
      <c r="B23" s="68">
        <v>46293</v>
      </c>
      <c r="C23" s="18" t="s">
        <v>2859</v>
      </c>
      <c r="D23" s="18" t="s">
        <v>4186</v>
      </c>
      <c r="E23" s="18" t="s">
        <v>4187</v>
      </c>
      <c r="F23" s="18" t="s">
        <v>4188</v>
      </c>
      <c r="G23" s="18" t="s">
        <v>4189</v>
      </c>
      <c r="H23" s="69" t="s">
        <v>4190</v>
      </c>
      <c r="I23" s="71" t="s">
        <v>2812</v>
      </c>
      <c r="J23" s="72"/>
      <c r="K23" s="72"/>
    </row>
    <row r="24" spans="1:11" ht="48" x14ac:dyDescent="0.2">
      <c r="A24" s="18" t="s">
        <v>4191</v>
      </c>
      <c r="B24" s="68">
        <v>46293</v>
      </c>
      <c r="C24" s="18" t="s">
        <v>4118</v>
      </c>
      <c r="D24" s="18" t="s">
        <v>4192</v>
      </c>
      <c r="E24" s="18" t="s">
        <v>4193</v>
      </c>
      <c r="F24" s="18" t="s">
        <v>4194</v>
      </c>
      <c r="G24" s="18" t="s">
        <v>4195</v>
      </c>
      <c r="H24" s="69" t="s">
        <v>4196</v>
      </c>
      <c r="I24" s="71" t="s">
        <v>2812</v>
      </c>
      <c r="J24" s="72"/>
      <c r="K24" s="72"/>
    </row>
    <row r="25" spans="1:11" ht="112" x14ac:dyDescent="0.2">
      <c r="A25" s="18" t="s">
        <v>4234</v>
      </c>
      <c r="B25" s="68">
        <v>46293</v>
      </c>
      <c r="C25" s="18" t="s">
        <v>2834</v>
      </c>
      <c r="D25" s="18" t="s">
        <v>4235</v>
      </c>
      <c r="E25" s="18" t="s">
        <v>4236</v>
      </c>
      <c r="F25" s="18" t="s">
        <v>4237</v>
      </c>
      <c r="G25" s="18" t="s">
        <v>4238</v>
      </c>
      <c r="H25" s="69" t="s">
        <v>4244</v>
      </c>
      <c r="I25" s="71" t="s">
        <v>2812</v>
      </c>
      <c r="J25" s="72"/>
      <c r="K25" s="72"/>
    </row>
    <row r="26" spans="1:11" ht="80" x14ac:dyDescent="0.2">
      <c r="A26" s="18" t="s">
        <v>4239</v>
      </c>
      <c r="B26" s="68">
        <v>46293</v>
      </c>
      <c r="C26" s="18" t="s">
        <v>4118</v>
      </c>
      <c r="D26" s="18" t="s">
        <v>4240</v>
      </c>
      <c r="E26" s="18" t="s">
        <v>4241</v>
      </c>
      <c r="F26" s="18" t="s">
        <v>4242</v>
      </c>
      <c r="G26" s="18" t="s">
        <v>4243</v>
      </c>
      <c r="H26" s="69" t="s">
        <v>4245</v>
      </c>
      <c r="I26" s="71" t="s">
        <v>2812</v>
      </c>
      <c r="J26" s="72"/>
      <c r="K26" s="72"/>
    </row>
    <row r="27" spans="1:11" ht="128" x14ac:dyDescent="0.2">
      <c r="A27" s="18" t="s">
        <v>4282</v>
      </c>
      <c r="B27" s="68">
        <v>46293</v>
      </c>
      <c r="C27" s="18" t="s">
        <v>2834</v>
      </c>
      <c r="D27" s="18" t="s">
        <v>4283</v>
      </c>
      <c r="E27" s="18" t="s">
        <v>4284</v>
      </c>
      <c r="F27" s="18" t="s">
        <v>4285</v>
      </c>
      <c r="G27" s="18" t="s">
        <v>4286</v>
      </c>
      <c r="H27" s="69" t="s">
        <v>4287</v>
      </c>
      <c r="I27" s="71" t="s">
        <v>2812</v>
      </c>
      <c r="J27" s="72"/>
      <c r="K27" s="72"/>
    </row>
    <row r="28" spans="1:11" ht="80" x14ac:dyDescent="0.2">
      <c r="A28" s="18" t="s">
        <v>4288</v>
      </c>
      <c r="B28" s="68">
        <v>46293</v>
      </c>
      <c r="C28" s="18" t="s">
        <v>2834</v>
      </c>
      <c r="D28" s="18" t="s">
        <v>4289</v>
      </c>
      <c r="E28" s="18" t="s">
        <v>4290</v>
      </c>
      <c r="F28" s="18" t="s">
        <v>4291</v>
      </c>
      <c r="G28" s="18" t="s">
        <v>4292</v>
      </c>
      <c r="H28" s="69" t="s">
        <v>4293</v>
      </c>
      <c r="I28" s="71" t="s">
        <v>2812</v>
      </c>
      <c r="J28" s="72"/>
      <c r="K28" s="72"/>
    </row>
    <row r="29" spans="1:11" ht="80" x14ac:dyDescent="0.2">
      <c r="A29" s="18" t="s">
        <v>4294</v>
      </c>
      <c r="B29" s="68">
        <v>46293</v>
      </c>
      <c r="C29" s="18" t="s">
        <v>2859</v>
      </c>
      <c r="D29" s="18" t="s">
        <v>4295</v>
      </c>
      <c r="E29" s="18" t="s">
        <v>4296</v>
      </c>
      <c r="F29" s="18" t="s">
        <v>4297</v>
      </c>
      <c r="G29" s="18" t="s">
        <v>4298</v>
      </c>
      <c r="H29" s="69" t="s">
        <v>4299</v>
      </c>
      <c r="I29" s="71" t="s">
        <v>2812</v>
      </c>
      <c r="J29" s="72"/>
      <c r="K29" s="72"/>
    </row>
    <row r="30" spans="1:11" ht="80" x14ac:dyDescent="0.2">
      <c r="A30" s="18" t="s">
        <v>4340</v>
      </c>
      <c r="B30" s="68">
        <v>46293</v>
      </c>
      <c r="C30" s="18" t="s">
        <v>2834</v>
      </c>
      <c r="D30" s="18" t="s">
        <v>4341</v>
      </c>
      <c r="E30" s="18" t="s">
        <v>4342</v>
      </c>
      <c r="F30" s="18" t="s">
        <v>4343</v>
      </c>
      <c r="G30" s="18" t="s">
        <v>4344</v>
      </c>
      <c r="H30" s="69" t="s">
        <v>4345</v>
      </c>
      <c r="I30" s="71" t="s">
        <v>2812</v>
      </c>
      <c r="J30" s="72"/>
      <c r="K30" s="72"/>
    </row>
    <row r="31" spans="1:11" ht="80" x14ac:dyDescent="0.2">
      <c r="A31" s="18" t="s">
        <v>4346</v>
      </c>
      <c r="B31" s="68">
        <v>46293</v>
      </c>
      <c r="C31" s="18" t="s">
        <v>4347</v>
      </c>
      <c r="D31" s="18" t="s">
        <v>4348</v>
      </c>
      <c r="E31" s="18" t="s">
        <v>4349</v>
      </c>
      <c r="F31" s="18" t="s">
        <v>4350</v>
      </c>
      <c r="G31" s="18" t="s">
        <v>4351</v>
      </c>
      <c r="H31" s="69" t="s">
        <v>4352</v>
      </c>
      <c r="I31" s="71" t="s">
        <v>2812</v>
      </c>
      <c r="J31" s="72"/>
      <c r="K31" s="72"/>
    </row>
    <row r="32" spans="1:11" ht="64" x14ac:dyDescent="0.2">
      <c r="A32" s="18" t="s">
        <v>4353</v>
      </c>
      <c r="B32" s="68">
        <v>46293</v>
      </c>
      <c r="C32" s="18" t="s">
        <v>4118</v>
      </c>
      <c r="D32" s="18" t="s">
        <v>4354</v>
      </c>
      <c r="E32" s="18" t="s">
        <v>4355</v>
      </c>
      <c r="F32" s="18" t="s">
        <v>4356</v>
      </c>
      <c r="G32" s="18" t="s">
        <v>4357</v>
      </c>
      <c r="H32" s="69" t="s">
        <v>4358</v>
      </c>
      <c r="I32" s="71" t="s">
        <v>2812</v>
      </c>
      <c r="J32" s="72"/>
      <c r="K32" s="72"/>
    </row>
    <row r="33" spans="1:11" ht="128" x14ac:dyDescent="0.2">
      <c r="A33" s="18" t="s">
        <v>4429</v>
      </c>
      <c r="B33" s="68">
        <v>46293</v>
      </c>
      <c r="C33" s="18" t="s">
        <v>2834</v>
      </c>
      <c r="D33" s="18" t="s">
        <v>4430</v>
      </c>
      <c r="E33" s="18" t="s">
        <v>4431</v>
      </c>
      <c r="F33" s="18" t="s">
        <v>4432</v>
      </c>
      <c r="G33" s="18" t="s">
        <v>4433</v>
      </c>
      <c r="H33" s="69" t="s">
        <v>4434</v>
      </c>
      <c r="I33" s="71" t="s">
        <v>2812</v>
      </c>
      <c r="J33" s="72"/>
      <c r="K33" s="72"/>
    </row>
    <row r="34" spans="1:11" ht="96" x14ac:dyDescent="0.2">
      <c r="A34" s="18" t="s">
        <v>4435</v>
      </c>
      <c r="B34" s="68">
        <v>46293</v>
      </c>
      <c r="C34" s="18" t="s">
        <v>2859</v>
      </c>
      <c r="D34" s="18" t="s">
        <v>4436</v>
      </c>
      <c r="E34" s="18" t="s">
        <v>4437</v>
      </c>
      <c r="F34" s="18" t="s">
        <v>4438</v>
      </c>
      <c r="G34" s="18" t="s">
        <v>4439</v>
      </c>
      <c r="H34" s="69" t="s">
        <v>4440</v>
      </c>
      <c r="I34" s="71" t="s">
        <v>2812</v>
      </c>
      <c r="J34" s="72"/>
      <c r="K34" s="72"/>
    </row>
    <row r="35" spans="1:11" ht="64" x14ac:dyDescent="0.2">
      <c r="A35" s="18" t="s">
        <v>4441</v>
      </c>
      <c r="B35" s="68">
        <v>46293</v>
      </c>
      <c r="C35" s="18" t="s">
        <v>4442</v>
      </c>
      <c r="D35" s="18" t="s">
        <v>4443</v>
      </c>
      <c r="E35" s="18" t="s">
        <v>4444</v>
      </c>
      <c r="F35" s="18" t="s">
        <v>4445</v>
      </c>
      <c r="G35" s="18" t="s">
        <v>4446</v>
      </c>
      <c r="H35" s="69" t="s">
        <v>4447</v>
      </c>
      <c r="I35" s="71" t="s">
        <v>2812</v>
      </c>
      <c r="J35" s="72"/>
      <c r="K35" s="72"/>
    </row>
    <row r="36" spans="1:11" ht="80" x14ac:dyDescent="0.2">
      <c r="A36" s="18" t="s">
        <v>4448</v>
      </c>
      <c r="B36" s="68">
        <v>46293</v>
      </c>
      <c r="C36" s="18" t="s">
        <v>4449</v>
      </c>
      <c r="D36" s="18" t="s">
        <v>4450</v>
      </c>
      <c r="E36" s="18" t="s">
        <v>4451</v>
      </c>
      <c r="F36" s="18" t="s">
        <v>4452</v>
      </c>
      <c r="G36" s="18" t="s">
        <v>4453</v>
      </c>
      <c r="H36" s="69" t="s">
        <v>4454</v>
      </c>
      <c r="I36" s="71" t="s">
        <v>2812</v>
      </c>
      <c r="J36" s="72"/>
      <c r="K36" s="72"/>
    </row>
    <row r="37" spans="1:11" ht="96" x14ac:dyDescent="0.2">
      <c r="A37" s="18" t="s">
        <v>4455</v>
      </c>
      <c r="B37" s="68">
        <v>46293</v>
      </c>
      <c r="C37" s="18" t="s">
        <v>4456</v>
      </c>
      <c r="D37" s="18" t="s">
        <v>4457</v>
      </c>
      <c r="E37" s="18" t="s">
        <v>4458</v>
      </c>
      <c r="F37" s="18" t="s">
        <v>4459</v>
      </c>
      <c r="G37" s="18" t="s">
        <v>4460</v>
      </c>
      <c r="H37" s="69" t="s">
        <v>4461</v>
      </c>
      <c r="I37" s="71" t="s">
        <v>2812</v>
      </c>
      <c r="J37" s="72"/>
      <c r="K37" s="72"/>
    </row>
    <row r="38" spans="1:11" ht="64" x14ac:dyDescent="0.2">
      <c r="A38" s="18" t="s">
        <v>4863</v>
      </c>
      <c r="B38" s="68">
        <v>46293</v>
      </c>
      <c r="C38" s="18" t="s">
        <v>4864</v>
      </c>
      <c r="D38" s="18" t="s">
        <v>4896</v>
      </c>
      <c r="E38" s="18" t="s">
        <v>4865</v>
      </c>
      <c r="F38" s="18" t="s">
        <v>4866</v>
      </c>
      <c r="G38" s="18" t="s">
        <v>4867</v>
      </c>
      <c r="H38" s="69" t="s">
        <v>4868</v>
      </c>
      <c r="I38" s="71" t="s">
        <v>2812</v>
      </c>
      <c r="J38" s="72"/>
      <c r="K38" s="72"/>
    </row>
    <row r="39" spans="1:11" ht="64" x14ac:dyDescent="0.2">
      <c r="A39" s="18" t="s">
        <v>4869</v>
      </c>
      <c r="B39" s="68">
        <v>46293</v>
      </c>
      <c r="C39" s="18" t="s">
        <v>4870</v>
      </c>
      <c r="D39" s="18" t="s">
        <v>4871</v>
      </c>
      <c r="E39" s="18" t="s">
        <v>4872</v>
      </c>
      <c r="F39" s="18" t="s">
        <v>4873</v>
      </c>
      <c r="G39" s="18" t="s">
        <v>4874</v>
      </c>
      <c r="H39" s="69" t="s">
        <v>4875</v>
      </c>
      <c r="I39" s="71" t="s">
        <v>2812</v>
      </c>
      <c r="J39" s="72"/>
      <c r="K39" s="72"/>
    </row>
    <row r="40" spans="1:11" ht="80" x14ac:dyDescent="0.2">
      <c r="A40" s="18" t="s">
        <v>4876</v>
      </c>
      <c r="B40" s="68">
        <v>46293</v>
      </c>
      <c r="C40" s="18" t="s">
        <v>4442</v>
      </c>
      <c r="D40" s="18" t="s">
        <v>4877</v>
      </c>
      <c r="E40" s="18" t="s">
        <v>4878</v>
      </c>
      <c r="F40" s="18" t="s">
        <v>4879</v>
      </c>
      <c r="G40" s="18" t="s">
        <v>4880</v>
      </c>
      <c r="H40" s="69" t="s">
        <v>4881</v>
      </c>
      <c r="I40" s="71" t="s">
        <v>2812</v>
      </c>
      <c r="J40" s="72"/>
      <c r="K40" s="72"/>
    </row>
    <row r="41" spans="1:11" ht="64" x14ac:dyDescent="0.2">
      <c r="A41" s="18" t="s">
        <v>4882</v>
      </c>
      <c r="B41" s="68">
        <v>46293</v>
      </c>
      <c r="C41" s="18" t="s">
        <v>4883</v>
      </c>
      <c r="D41" s="18" t="s">
        <v>4884</v>
      </c>
      <c r="E41" s="18" t="s">
        <v>4885</v>
      </c>
      <c r="F41" s="18" t="s">
        <v>4886</v>
      </c>
      <c r="G41" s="18" t="s">
        <v>4887</v>
      </c>
      <c r="H41" s="69" t="s">
        <v>4888</v>
      </c>
      <c r="I41" s="71" t="s">
        <v>2812</v>
      </c>
      <c r="J41" s="72"/>
      <c r="K41" s="72"/>
    </row>
    <row r="42" spans="1:11" ht="144" x14ac:dyDescent="0.2">
      <c r="A42" s="18" t="s">
        <v>4889</v>
      </c>
      <c r="B42" s="68">
        <v>46293</v>
      </c>
      <c r="C42" s="18" t="s">
        <v>4890</v>
      </c>
      <c r="D42" s="18" t="s">
        <v>4891</v>
      </c>
      <c r="E42" s="18" t="s">
        <v>4892</v>
      </c>
      <c r="F42" s="18" t="s">
        <v>4893</v>
      </c>
      <c r="G42" s="18" t="s">
        <v>4894</v>
      </c>
      <c r="H42" s="69" t="s">
        <v>4895</v>
      </c>
      <c r="I42" s="71" t="s">
        <v>2812</v>
      </c>
      <c r="J42" s="72"/>
      <c r="K42" s="72"/>
    </row>
    <row r="43" spans="1:11" ht="64" x14ac:dyDescent="0.2">
      <c r="A43" s="18" t="s">
        <v>4952</v>
      </c>
      <c r="B43" s="68">
        <v>46293</v>
      </c>
      <c r="C43" s="18" t="s">
        <v>4953</v>
      </c>
      <c r="D43" s="18" t="s">
        <v>4954</v>
      </c>
      <c r="E43" s="18" t="s">
        <v>4955</v>
      </c>
      <c r="F43" s="18" t="s">
        <v>4956</v>
      </c>
      <c r="G43" s="18" t="s">
        <v>4957</v>
      </c>
      <c r="H43" s="70" t="s">
        <v>4958</v>
      </c>
      <c r="I43" s="71" t="s">
        <v>2812</v>
      </c>
      <c r="J43" s="72"/>
      <c r="K43" s="72"/>
    </row>
  </sheetData>
  <dataValidations count="1">
    <dataValidation type="list" allowBlank="1" showInputMessage="1" showErrorMessage="1" sqref="I5:I43" xr:uid="{722820DB-52DB-264E-8D4C-1937813C3589}">
      <formula1>"Open,Answered,Closed"</formula1>
    </dataValidation>
  </dataValidations>
  <hyperlinks>
    <hyperlink ref="H5" location="'RVG Codes'!A28" tooltip="Go to RVG Codes!A28" display="RVG Codes – T2" xr:uid="{AE908E53-FE6F-1944-BCC1-ACBA4A4949E6}"/>
    <hyperlink ref="H6" location="'RVG Codes'!A75" tooltip="Go to RVG Codes!A75" display="RVG Codes – P6" xr:uid="{1E1734CF-1184-0245-AEC2-B1289819EB3D}"/>
    <hyperlink ref="H7" location="'RVG Codes'!A111" tooltip="Go to RVG Codes!A111" display="RVG Codes – TIME-T1" xr:uid="{239EE27C-15BA-6145-BDD1-AF5ACEF95C87}"/>
    <hyperlink ref="H8" location="'RVG Codes'!A9" tooltip="Go to RVG Codes!A9" display="RVG Codes – H4" xr:uid="{B4982FDE-967B-BF46-90CB-15F3E851942B}"/>
    <hyperlink ref="H9" location="'Master Fee List'!D3" tooltip="Go to Master Fee List!D3" display="Master – first 'likely' row" xr:uid="{29407EB1-99C3-EA4F-8524-9CA1457A37B0}"/>
    <hyperlink ref="H10" location="'Master Fee List'!A5" tooltip="Go to Master Fee List!A5" display="Master – first H6a row" xr:uid="{E8E70FC3-B7B2-C648-B2A6-46BBC8AEA4FC}"/>
    <hyperlink ref="H11" location="'Master Fee List'!A235" tooltip="Master Fee List!A235" display="Master – first E1 row" xr:uid="{1CD6D8DE-B675-394D-BBB7-C4FBD66C5748}"/>
    <hyperlink ref="H12" location="'Master Fee List'!E223" tooltip="Master Fee List!E223" display="Master – first circumcision row" xr:uid="{0FB87771-DF79-8E41-A0F7-3095221E98FF}"/>
    <hyperlink ref="H13" location="'Master Fee List'!D2" tooltip="Go to Master Fee List!D2" display="Master – first unmatched row" xr:uid="{D7A92C65-DC99-D449-B1C3-1FC5DDB52B32}"/>
    <hyperlink ref="H14" location="'Master Fee List'!A1215" tooltip="Master Fee List!A1215" display="Master – first SRC-01 unmatched row" xr:uid="{F080EBAD-5057-9B4D-A4DA-D0C1E75EB14E}"/>
    <hyperlink ref="H15" location="'SRC-01 NZSA RVG'!D38" tooltip="Go to SRC-01 NZSA RVG!D38" display="SRC-01 – T5b" xr:uid="{08D15768-A79A-694B-B5BD-15CD0F7F6C92}"/>
    <hyperlink ref="H16" location="'Master Fee List'!D20" tooltip="Go to Master Fee List!D20" display="Master – first SRC-04 'likely' row" xr:uid="{567F0E0A-A4AF-4245-AB5A-B1C2F816B64D}"/>
    <hyperlink ref="H17" location="'Master Fee List'!A20" tooltip="Go to Master Fee List!A20" display="Master – SRC-04 combined row" xr:uid="{3F4A70CD-5A7A-E440-B01E-D04E6CE6FC83}"/>
    <hyperlink ref="H18" location="'Master Fee List'!E1293" tooltip="Master Fee List!E1293" display="Master – SRC-04 liposuction add-on" xr:uid="{9D5BEF76-67DE-1940-8BF4-9F3FDA94EE57}"/>
    <hyperlink ref="H19" location="'Master Fee List'!R15" tooltip="Go to Master Fee List!R15" display="Master – SRC-04 effective date" xr:uid="{D3170856-6574-5848-9A9B-5344B999228C}"/>
    <hyperlink ref="H20" location="'Master Fee List'!E15" tooltip="Go to Master Fee List!E15" display="Master – SRC-04 Abdominoplasty Simple" xr:uid="{483BAB2D-265A-9B46-94B5-D87A9E48D315}"/>
    <hyperlink ref="H21" location="'Master Fee List'!E90" tooltip="Go to Master Fee List!E90" display="Master – SRC-05 AP0139" xr:uid="{A85E93BA-EC93-3C4B-BC34-9A39A14EA93E}"/>
    <hyperlink ref="H22" location="'Master Fee List'!E94" tooltip="Go to Master Fee List!E94" display="Master – SRC-05 AP0140" xr:uid="{DE31F4B4-0C60-E04F-81C9-F60A494B3E4A}"/>
    <hyperlink ref="H23" location="'Master Fee List'!E1294" tooltip="Master Fee List!E1294" display="Master – SRC-05 GA add-on" xr:uid="{376D4D37-F9DC-0A41-9CA3-CD8B8C4F812F}"/>
    <hyperlink ref="H24" location="'SRC-05 SXAP Ectropion'!D10" tooltip="Go to SRC-05 SXAP Ectropion!D10" display="SRC-05 – NB 50% rule" xr:uid="{14410930-B594-AB48-9587-34F8B5FEE452}"/>
    <hyperlink ref="H25" location="'Master Fee List'!E820" tooltip="Master Fee List!E820" display="Master – SRC-06 7329" xr:uid="{2957D522-E19F-664B-8136-7CA721374367}"/>
    <hyperlink ref="H26" location="'SRC-06 SXAP Pterygium'!D10" tooltip="Go to SRC-06 SXAP Pterygium!D10" display="SRC-06 – NB 50% rule" xr:uid="{7490B31E-A0D6-C748-BF6C-3058AFAD2BDC}"/>
    <hyperlink ref="H27" location="'Master Fee List'!E148" tooltip="Master Fee List!E148" display="Master – SRC-07 AP0126" xr:uid="{17FBCE35-1A30-6341-8C5C-BE54E0384A60}"/>
    <hyperlink ref="H28" location="'Master Fee List'!E152" tooltip="Master Fee List!E152" display="Master – SRC-07 AP0130" xr:uid="{4DFB0C2A-65CE-5A4A-AC51-01AC292CD29A}"/>
    <hyperlink ref="H29" location="'Master Fee List'!E1295" tooltip="Master Fee List!E1295" display="Master – SRC-07 GA add-on" xr:uid="{226A9963-28CA-EB4B-A368-7591CF49271C}"/>
    <hyperlink ref="H30" location="'Master Fee List'!E1115" tooltip="Master Fee List!E1115" display="Master – SRC-03 AP1313" xr:uid="{7955CE7D-F976-D94D-8B90-48570CD700E5}"/>
    <hyperlink ref="H31" location="'Master Fee List'!M1121" tooltip="Master Fee List!M1121" display="Master – SRC-03 AP1319" xr:uid="{9595A1D7-4A64-964C-ACB9-EFBDE13C4FD1}"/>
    <hyperlink ref="H32" location="'Master Fee List'!U1116" tooltip="Master Fee List!U1116" display="Master – SRC-03 AP1314" xr:uid="{CDC668A8-CB68-6548-B13F-08635F0EB867}"/>
    <hyperlink ref="H33" location="'Master Fee List'!E209" tooltip="Master Fee List!E209" display="Master – SRC-02 All Cataract &amp; IOL" xr:uid="{70BAF21B-362B-324F-A803-7517BE2887A8}"/>
    <hyperlink ref="H34" location="'Master Fee List'!E1296" tooltip="Master Fee List!E1296" display="Master – SRC-02 HNZ Level 1" xr:uid="{CFF8ADD2-E4BB-3845-B035-CBCC1997CD9B}"/>
    <hyperlink ref="H35" location="'Master Fee List'!U209" tooltip="Master Fee List!U209" display="Master – SRC-02 SX AP cataract fee" xr:uid="{79918C57-9FAF-8745-9363-BDF0BE7A2D52}"/>
    <hyperlink ref="H36" location="'Master Fee List'!M209" tooltip="Master Fee List!M209" display="Master – SRC-02 SX AP fee as printed" xr:uid="{0A35FDF0-F6BA-034C-A60E-9633D4004FBF}"/>
    <hyperlink ref="H37" location="'Master Fee List'!R210" tooltip="Master Fee List!R210" display="Master – SRC-02 HNZ effective date" xr:uid="{E0302414-6A99-1645-B313-04AEEB11CC36}"/>
    <hyperlink ref="H38" location="'Master Fee List'!F96" tooltip="Master Fee List!F96" display="Master – SRC-08 first row (tier)" xr:uid="{4020F5A6-8AA8-2346-9F66-CB4209BF3B2C}"/>
    <hyperlink ref="H39" location="'Master Fee List'!R214" tooltip="Master Fee List!R214" display="Master – SRC-08 effective date" xr:uid="{1BFCE253-9617-FA4B-961D-3130D572E831}"/>
    <hyperlink ref="H40" location="'Master Fee List'!E214" tooltip="Master Fee List!E214" display="Master – SRC-08 HNZ cataract" xr:uid="{21189B5D-290B-084D-AEFB-70330EDB5A76}"/>
    <hyperlink ref="H41" location="'SRC-08 CES HNZ'!D65" tooltip="SRC-08 CES HNZ!D65" display="SRC-08 – duplicate HNZ49" xr:uid="{58AABFFA-89F0-314F-8965-D811C39C4876}"/>
    <hyperlink ref="H42" location="'Master Fee List'!A1193" tooltip="Master Fee List!A1193" display="Master – SRC-08 H6a group-only rows" xr:uid="{D5C4613E-5780-6941-8896-B515B4FF0CAD}"/>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6D172-383E-4F4B-85DD-AB8F623DCBCD}">
  <sheetPr>
    <tabColor theme="4"/>
  </sheetPr>
  <dimension ref="A1:AC1297"/>
  <sheetViews>
    <sheetView workbookViewId="0">
      <pane xSplit="7" ySplit="1" topLeftCell="H34" activePane="bottomRight" state="frozen"/>
      <selection pane="topRight" activeCell="H1" sqref="H1"/>
      <selection pane="bottomLeft" activeCell="A2" sqref="A2"/>
      <selection pane="bottomRight" activeCell="G45" sqref="G45"/>
    </sheetView>
  </sheetViews>
  <sheetFormatPr baseColWidth="10" defaultRowHeight="15" x14ac:dyDescent="0.2"/>
  <cols>
    <col min="1" max="2" width="10" customWidth="1"/>
    <col min="3" max="3" width="15.6640625" style="126" customWidth="1"/>
    <col min="4" max="4" width="18.33203125" customWidth="1"/>
    <col min="5" max="5" width="41.6640625" customWidth="1"/>
    <col min="6" max="6" width="18.6640625" customWidth="1"/>
    <col min="7" max="7" width="61" customWidth="1"/>
    <col min="8" max="8" width="18.6640625" customWidth="1"/>
    <col min="9" max="9" width="16.83203125" customWidth="1"/>
    <col min="10" max="10" width="19.1640625" customWidth="1"/>
    <col min="11" max="11" width="10" customWidth="1"/>
    <col min="12" max="12" width="9" customWidth="1"/>
    <col min="13" max="13" width="15.83203125" customWidth="1"/>
    <col min="14" max="14" width="11.83203125" customWidth="1"/>
    <col min="15" max="15" width="14.5" customWidth="1"/>
    <col min="16" max="16" width="10.5" customWidth="1"/>
    <col min="17" max="17" width="13.5" customWidth="1"/>
    <col min="18" max="18" width="13.33203125" customWidth="1"/>
    <col min="19" max="19" width="15.1640625" customWidth="1"/>
    <col min="20" max="20" width="14.33203125" customWidth="1"/>
    <col min="21" max="21" width="11" customWidth="1"/>
    <col min="22" max="22" width="11.83203125" customWidth="1"/>
    <col min="23" max="23" width="37.6640625" customWidth="1"/>
    <col min="24" max="24" width="26.33203125" customWidth="1"/>
    <col min="25" max="25" width="12.5" customWidth="1"/>
    <col min="26" max="26" width="23.33203125" customWidth="1"/>
    <col min="27" max="27" width="11.6640625" customWidth="1"/>
    <col min="28" max="28" width="12.5" customWidth="1"/>
    <col min="29" max="29" width="15.83203125" customWidth="1"/>
  </cols>
  <sheetData>
    <row r="1" spans="1:29" ht="32" customHeight="1" x14ac:dyDescent="0.2">
      <c r="A1" s="28" t="s">
        <v>1077</v>
      </c>
      <c r="B1" s="28" t="s">
        <v>1078</v>
      </c>
      <c r="C1" s="28" t="s">
        <v>2144</v>
      </c>
      <c r="D1" s="28" t="s">
        <v>2145</v>
      </c>
      <c r="E1" s="47" t="s">
        <v>2111</v>
      </c>
      <c r="F1" s="47" t="s">
        <v>2112</v>
      </c>
      <c r="G1" s="29" t="s">
        <v>1079</v>
      </c>
      <c r="H1" s="29" t="s">
        <v>1080</v>
      </c>
      <c r="I1" s="29" t="s">
        <v>1081</v>
      </c>
      <c r="J1" s="29" t="s">
        <v>1082</v>
      </c>
      <c r="K1" s="29" t="s">
        <v>1083</v>
      </c>
      <c r="L1" s="29" t="s">
        <v>1084</v>
      </c>
      <c r="M1" s="29" t="s">
        <v>1085</v>
      </c>
      <c r="N1" s="29" t="s">
        <v>1086</v>
      </c>
      <c r="O1" s="29" t="s">
        <v>1087</v>
      </c>
      <c r="P1" s="29" t="s">
        <v>1088</v>
      </c>
      <c r="Q1" s="29" t="s">
        <v>1089</v>
      </c>
      <c r="R1" s="29" t="s">
        <v>1090</v>
      </c>
      <c r="S1" s="29" t="s">
        <v>1091</v>
      </c>
      <c r="T1" s="29" t="s">
        <v>1092</v>
      </c>
      <c r="U1" s="29" t="s">
        <v>1002</v>
      </c>
      <c r="V1" s="29" t="s">
        <v>1093</v>
      </c>
      <c r="W1" s="29" t="s">
        <v>1094</v>
      </c>
      <c r="X1" s="29" t="s">
        <v>2878</v>
      </c>
      <c r="Y1" s="29" t="s">
        <v>4900</v>
      </c>
      <c r="Z1" s="29" t="s">
        <v>4904</v>
      </c>
      <c r="AA1" s="29" t="s">
        <v>4934</v>
      </c>
      <c r="AB1" s="29" t="s">
        <v>4935</v>
      </c>
      <c r="AC1" s="29" t="s">
        <v>4936</v>
      </c>
    </row>
    <row r="2" spans="1:29" x14ac:dyDescent="0.2">
      <c r="A2" s="67" t="s">
        <v>2546</v>
      </c>
      <c r="B2" s="31">
        <f>IF(MasterFees[[#This Row],[RVG Code]]="","",_xlfn.XLOOKUP(MasterFees[[#This Row],[RVG Code]],RVGCodes[Code],RVGCodes[Base Units],"Code not found"))</f>
        <v>4</v>
      </c>
      <c r="C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00 - Supervision</v>
      </c>
      <c r="D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2" s="125" t="s">
        <v>2682</v>
      </c>
      <c r="F2" s="48" t="s">
        <v>2565</v>
      </c>
      <c r="G2" s="30" t="s">
        <v>2153</v>
      </c>
      <c r="H2" s="37" t="s">
        <v>2630</v>
      </c>
      <c r="I2" s="37" t="s">
        <v>2152</v>
      </c>
      <c r="J2" s="37" t="s">
        <v>1096</v>
      </c>
      <c r="K2" s="32">
        <v>4</v>
      </c>
      <c r="L2" s="32"/>
      <c r="M2" s="32"/>
      <c r="N2" s="32">
        <v>4</v>
      </c>
      <c r="O2" s="33"/>
      <c r="P2" s="38"/>
      <c r="Q2" s="34" t="str">
        <f>IF(MasterFees[[#This Row],[GST Basis]]="Excl",MasterFees[[#This Row],[Fee as Printed]],IF(MasterFees[[#This Row],[GST Basis]]="Incl",MasterFees[[#This Row],[Fee as Printed]]/(1+GST_Rate),""))</f>
        <v/>
      </c>
      <c r="R2" s="34" t="str">
        <f>IF(MasterFees[[#This Row],[GST Basis]]="Incl",MasterFees[[#This Row],[Fee as Printed]],IF(MasterFees[[#This Row],[GST Basis]]="Excl",MasterFees[[#This Row],[Fee as Printed]]*(1+GST_Rate),""))</f>
        <v/>
      </c>
      <c r="S2" s="35">
        <f>IF(N(MasterFees[[#This Row],[Total Units]])=0,"",MasterFees[[#This Row],[Fee as Printed]]/MasterFees[[#This Row],[Total Units]])</f>
        <v>0</v>
      </c>
      <c r="T2" s="36"/>
      <c r="U2" s="39" t="s">
        <v>1016</v>
      </c>
      <c r="V2" s="39" t="s">
        <v>2683</v>
      </c>
      <c r="W2" s="30" t="s">
        <v>2632</v>
      </c>
      <c r="X2" s="73" t="s">
        <v>3923</v>
      </c>
      <c r="Y2" s="127" t="str">
        <f>_xlfn.XLOOKUP(MasterFees[[#This Row],[Provider / Payer]],Contracts[Contract Name],Contracts[Contract ID],"No contract")</f>
        <v>CON-10</v>
      </c>
      <c r="Z2" s="127" t="str">
        <f>_xlfn.XLOOKUP(MasterFees[[#This Row],[Provider / Payer]],Contracts[Contract Name],Contracts[Pricing Basis],"To confirm")</f>
        <v>Reference – units only</v>
      </c>
      <c r="AA2" s="127" t="str">
        <f>IF(MasterFees[[#This Row],[Pricing Basis]]="Fixed fee schedule","Yes","No")</f>
        <v>No</v>
      </c>
      <c r="AB2" s="127" t="str">
        <f>IF(OR(MasterFees[[#This Row],[Fee Basis]]="Add-on",MasterFees[[#This Row],[Fee Basis]]="Time band",MasterFees[[#This Row],[Fee Basis]]="Other"),MasterFees[[#This Row],[Fee Basis]],"Base")</f>
        <v>Base</v>
      </c>
      <c r="AC2" s="141" t="str">
        <f>IF(MasterFees[[#This Row],[Fixed Fee?]]="Yes",MasterFees[[#This Row],[Fee Excl. GST]],"")</f>
        <v/>
      </c>
    </row>
    <row r="3" spans="1:29" x14ac:dyDescent="0.2">
      <c r="A3" s="67" t="s">
        <v>2159</v>
      </c>
      <c r="B3" s="31">
        <f>IF(MasterFees[[#This Row],[RVG Code]]="","",_xlfn.XLOOKUP(MasterFees[[#This Row],[RVG Code]],RVGCodes[Code],RVGCodes[Base Units],"Code not found"))</f>
        <v>5</v>
      </c>
      <c r="C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3" s="125" t="s">
        <v>2571</v>
      </c>
      <c r="F3" s="48" t="s">
        <v>2569</v>
      </c>
      <c r="G3" s="30" t="s">
        <v>12</v>
      </c>
      <c r="H3" s="37" t="s">
        <v>1095</v>
      </c>
      <c r="I3" s="37"/>
      <c r="J3" s="37" t="s">
        <v>1096</v>
      </c>
      <c r="K3" s="32">
        <v>5</v>
      </c>
      <c r="L3" s="32">
        <v>3</v>
      </c>
      <c r="M3" s="32">
        <v>0</v>
      </c>
      <c r="N3" s="32">
        <v>8</v>
      </c>
      <c r="O3" s="33">
        <v>440</v>
      </c>
      <c r="P3" s="38" t="s">
        <v>1014</v>
      </c>
      <c r="Q3" s="34" t="str">
        <f>IF(MasterFees[[#This Row],[GST Basis]]="Excl",MasterFees[[#This Row],[Fee as Printed]],IF(MasterFees[[#This Row],[GST Basis]]="Incl",MasterFees[[#This Row],[Fee as Printed]]/(1+GST_Rate),""))</f>
        <v/>
      </c>
      <c r="R3" s="34" t="str">
        <f>IF(MasterFees[[#This Row],[GST Basis]]="Incl",MasterFees[[#This Row],[Fee as Printed]],IF(MasterFees[[#This Row],[GST Basis]]="Excl",MasterFees[[#This Row],[Fee as Printed]]*(1+GST_Rate),""))</f>
        <v/>
      </c>
      <c r="S3" s="35">
        <f>IF(N(MasterFees[[#This Row],[Total Units]])=0,"",MasterFees[[#This Row],[Fee as Printed]]/MasterFees[[#This Row],[Total Units]])</f>
        <v>55</v>
      </c>
      <c r="T3" s="36"/>
      <c r="U3" s="39" t="s">
        <v>1012</v>
      </c>
      <c r="V3" s="39" t="s">
        <v>1101</v>
      </c>
      <c r="W3" s="30"/>
      <c r="X3" s="73" t="s">
        <v>2883</v>
      </c>
      <c r="Y3" s="127" t="str">
        <f>_xlfn.XLOOKUP(MasterFees[[#This Row],[Provider / Payer]],Contracts[Contract Name],Contracts[Contract ID],"No contract")</f>
        <v>CON-01</v>
      </c>
      <c r="Z3" s="127" t="str">
        <f>_xlfn.XLOOKUP(MasterFees[[#This Row],[Provider / Payer]],Contracts[Contract Name],Contracts[Pricing Basis],"To confirm")</f>
        <v>To confirm</v>
      </c>
      <c r="AA3" s="127" t="str">
        <f>IF(MasterFees[[#This Row],[Pricing Basis]]="Fixed fee schedule","Yes","No")</f>
        <v>No</v>
      </c>
      <c r="AB3" s="127" t="str">
        <f>IF(OR(MasterFees[[#This Row],[Fee Basis]]="Add-on",MasterFees[[#This Row],[Fee Basis]]="Time band",MasterFees[[#This Row],[Fee Basis]]="Other"),MasterFees[[#This Row],[Fee Basis]],"Base")</f>
        <v>Base</v>
      </c>
      <c r="AC3" s="141" t="str">
        <f>IF(MasterFees[[#This Row],[Fixed Fee?]]="Yes",MasterFees[[#This Row],[Fee Excl. GST]],"")</f>
        <v/>
      </c>
    </row>
    <row r="4" spans="1:29" x14ac:dyDescent="0.2">
      <c r="A4" s="67" t="s">
        <v>2157</v>
      </c>
      <c r="B4" s="31">
        <f>IF(MasterFees[[#This Row],[RVG Code]]="","",_xlfn.XLOOKUP(MasterFees[[#This Row],[RVG Code]],RVGCodes[Code],RVGCodes[Base Units],"Code not found"))</f>
        <v>4</v>
      </c>
      <c r="C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 s="125" t="s">
        <v>2572</v>
      </c>
      <c r="F4" s="48" t="s">
        <v>2569</v>
      </c>
      <c r="G4" s="30" t="s">
        <v>15</v>
      </c>
      <c r="H4" s="37" t="s">
        <v>1095</v>
      </c>
      <c r="I4" s="37"/>
      <c r="J4" s="37" t="s">
        <v>1096</v>
      </c>
      <c r="K4" s="32">
        <v>0</v>
      </c>
      <c r="L4" s="32">
        <v>0</v>
      </c>
      <c r="M4" s="32">
        <v>0</v>
      </c>
      <c r="N4" s="32">
        <v>0</v>
      </c>
      <c r="O4" s="33">
        <v>0</v>
      </c>
      <c r="P4" s="38" t="s">
        <v>1014</v>
      </c>
      <c r="Q4" s="34" t="str">
        <f>IF(MasterFees[[#This Row],[GST Basis]]="Excl",MasterFees[[#This Row],[Fee as Printed]],IF(MasterFees[[#This Row],[GST Basis]]="Incl",MasterFees[[#This Row],[Fee as Printed]]/(1+GST_Rate),""))</f>
        <v/>
      </c>
      <c r="R4" s="34" t="str">
        <f>IF(MasterFees[[#This Row],[GST Basis]]="Incl",MasterFees[[#This Row],[Fee as Printed]],IF(MasterFees[[#This Row],[GST Basis]]="Excl",MasterFees[[#This Row],[Fee as Printed]]*(1+GST_Rate),""))</f>
        <v/>
      </c>
      <c r="S4" s="35" t="str">
        <f>IF(N(MasterFees[[#This Row],[Total Units]])=0,"",MasterFees[[#This Row],[Fee as Printed]]/MasterFees[[#This Row],[Total Units]])</f>
        <v/>
      </c>
      <c r="T4" s="36"/>
      <c r="U4" s="39" t="s">
        <v>1012</v>
      </c>
      <c r="V4" s="39" t="s">
        <v>1104</v>
      </c>
      <c r="W4" s="30"/>
      <c r="X4" s="73" t="s">
        <v>2886</v>
      </c>
      <c r="Y4" s="127" t="str">
        <f>_xlfn.XLOOKUP(MasterFees[[#This Row],[Provider / Payer]],Contracts[Contract Name],Contracts[Contract ID],"No contract")</f>
        <v>CON-01</v>
      </c>
      <c r="Z4" s="127" t="str">
        <f>_xlfn.XLOOKUP(MasterFees[[#This Row],[Provider / Payer]],Contracts[Contract Name],Contracts[Pricing Basis],"To confirm")</f>
        <v>To confirm</v>
      </c>
      <c r="AA4" s="127" t="str">
        <f>IF(MasterFees[[#This Row],[Pricing Basis]]="Fixed fee schedule","Yes","No")</f>
        <v>No</v>
      </c>
      <c r="AB4" s="127" t="str">
        <f>IF(OR(MasterFees[[#This Row],[Fee Basis]]="Add-on",MasterFees[[#This Row],[Fee Basis]]="Time band",MasterFees[[#This Row],[Fee Basis]]="Other"),MasterFees[[#This Row],[Fee Basis]],"Base")</f>
        <v>Base</v>
      </c>
      <c r="AC4" s="141" t="str">
        <f>IF(MasterFees[[#This Row],[Fixed Fee?]]="Yes",MasterFees[[#This Row],[Fee Excl. GST]],"")</f>
        <v/>
      </c>
    </row>
    <row r="5" spans="1:29" x14ac:dyDescent="0.2">
      <c r="A5" s="67" t="s">
        <v>2159</v>
      </c>
      <c r="B5" s="31">
        <f>IF(MasterFees[[#This Row],[RVG Code]]="","",_xlfn.XLOOKUP(MasterFees[[#This Row],[RVG Code]],RVGCodes[Code],RVGCodes[Base Units],"Code not found"))</f>
        <v>5</v>
      </c>
      <c r="C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 s="125" t="s">
        <v>2571</v>
      </c>
      <c r="F5" s="48" t="s">
        <v>2569</v>
      </c>
      <c r="G5" s="30" t="s">
        <v>35</v>
      </c>
      <c r="H5" s="37" t="s">
        <v>1095</v>
      </c>
      <c r="I5" s="37"/>
      <c r="J5" s="37" t="s">
        <v>1096</v>
      </c>
      <c r="K5" s="32">
        <v>5</v>
      </c>
      <c r="L5" s="32">
        <v>3.2</v>
      </c>
      <c r="M5" s="32">
        <v>0.2</v>
      </c>
      <c r="N5" s="32">
        <v>8.4</v>
      </c>
      <c r="O5" s="33">
        <v>459.8</v>
      </c>
      <c r="P5" s="38" t="s">
        <v>1014</v>
      </c>
      <c r="Q5" s="34" t="str">
        <f>IF(MasterFees[[#This Row],[GST Basis]]="Excl",MasterFees[[#This Row],[Fee as Printed]],IF(MasterFees[[#This Row],[GST Basis]]="Incl",MasterFees[[#This Row],[Fee as Printed]]/(1+GST_Rate),""))</f>
        <v/>
      </c>
      <c r="R5" s="34" t="str">
        <f>IF(MasterFees[[#This Row],[GST Basis]]="Incl",MasterFees[[#This Row],[Fee as Printed]],IF(MasterFees[[#This Row],[GST Basis]]="Excl",MasterFees[[#This Row],[Fee as Printed]]*(1+GST_Rate),""))</f>
        <v/>
      </c>
      <c r="S5" s="35">
        <f>IF(N(MasterFees[[#This Row],[Total Units]])=0,"",MasterFees[[#This Row],[Fee as Printed]]/MasterFees[[#This Row],[Total Units]])</f>
        <v>54.738095238095234</v>
      </c>
      <c r="T5" s="36"/>
      <c r="U5" s="39" t="s">
        <v>1012</v>
      </c>
      <c r="V5" s="39" t="s">
        <v>1124</v>
      </c>
      <c r="W5" s="30"/>
      <c r="X5" s="73" t="s">
        <v>2906</v>
      </c>
      <c r="Y5" s="127" t="str">
        <f>_xlfn.XLOOKUP(MasterFees[[#This Row],[Provider / Payer]],Contracts[Contract Name],Contracts[Contract ID],"No contract")</f>
        <v>CON-01</v>
      </c>
      <c r="Z5" s="127" t="str">
        <f>_xlfn.XLOOKUP(MasterFees[[#This Row],[Provider / Payer]],Contracts[Contract Name],Contracts[Pricing Basis],"To confirm")</f>
        <v>To confirm</v>
      </c>
      <c r="AA5" s="127" t="str">
        <f>IF(MasterFees[[#This Row],[Pricing Basis]]="Fixed fee schedule","Yes","No")</f>
        <v>No</v>
      </c>
      <c r="AB5" s="127" t="str">
        <f>IF(OR(MasterFees[[#This Row],[Fee Basis]]="Add-on",MasterFees[[#This Row],[Fee Basis]]="Time band",MasterFees[[#This Row],[Fee Basis]]="Other"),MasterFees[[#This Row],[Fee Basis]],"Base")</f>
        <v>Base</v>
      </c>
      <c r="AC5" s="141" t="str">
        <f>IF(MasterFees[[#This Row],[Fixed Fee?]]="Yes",MasterFees[[#This Row],[Fee Excl. GST]],"")</f>
        <v/>
      </c>
    </row>
    <row r="6" spans="1:29" x14ac:dyDescent="0.2">
      <c r="A6" s="67" t="s">
        <v>2159</v>
      </c>
      <c r="B6" s="31">
        <f>IF(MasterFees[[#This Row],[RVG Code]]="","",_xlfn.XLOOKUP(MasterFees[[#This Row],[RVG Code]],RVGCodes[Code],RVGCodes[Base Units],"Code not found"))</f>
        <v>5</v>
      </c>
      <c r="C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 s="125" t="s">
        <v>2571</v>
      </c>
      <c r="F6" s="48" t="s">
        <v>2569</v>
      </c>
      <c r="G6" s="30" t="s">
        <v>36</v>
      </c>
      <c r="H6" s="37" t="s">
        <v>1095</v>
      </c>
      <c r="I6" s="37"/>
      <c r="J6" s="37" t="s">
        <v>1096</v>
      </c>
      <c r="K6" s="32">
        <v>0</v>
      </c>
      <c r="L6" s="32">
        <v>0</v>
      </c>
      <c r="M6" s="32">
        <v>0</v>
      </c>
      <c r="N6" s="32">
        <v>0</v>
      </c>
      <c r="O6" s="33">
        <v>0</v>
      </c>
      <c r="P6" s="38" t="s">
        <v>1014</v>
      </c>
      <c r="Q6" s="34" t="str">
        <f>IF(MasterFees[[#This Row],[GST Basis]]="Excl",MasterFees[[#This Row],[Fee as Printed]],IF(MasterFees[[#This Row],[GST Basis]]="Incl",MasterFees[[#This Row],[Fee as Printed]]/(1+GST_Rate),""))</f>
        <v/>
      </c>
      <c r="R6" s="34" t="str">
        <f>IF(MasterFees[[#This Row],[GST Basis]]="Incl",MasterFees[[#This Row],[Fee as Printed]],IF(MasterFees[[#This Row],[GST Basis]]="Excl",MasterFees[[#This Row],[Fee as Printed]]*(1+GST_Rate),""))</f>
        <v/>
      </c>
      <c r="S6" s="35" t="str">
        <f>IF(N(MasterFees[[#This Row],[Total Units]])=0,"",MasterFees[[#This Row],[Fee as Printed]]/MasterFees[[#This Row],[Total Units]])</f>
        <v/>
      </c>
      <c r="T6" s="36"/>
      <c r="U6" s="39" t="s">
        <v>1012</v>
      </c>
      <c r="V6" s="39" t="s">
        <v>1125</v>
      </c>
      <c r="W6" s="30"/>
      <c r="X6" s="73" t="s">
        <v>2907</v>
      </c>
      <c r="Y6" s="127" t="str">
        <f>_xlfn.XLOOKUP(MasterFees[[#This Row],[Provider / Payer]],Contracts[Contract Name],Contracts[Contract ID],"No contract")</f>
        <v>CON-01</v>
      </c>
      <c r="Z6" s="127" t="str">
        <f>_xlfn.XLOOKUP(MasterFees[[#This Row],[Provider / Payer]],Contracts[Contract Name],Contracts[Pricing Basis],"To confirm")</f>
        <v>To confirm</v>
      </c>
      <c r="AA6" s="127" t="str">
        <f>IF(MasterFees[[#This Row],[Pricing Basis]]="Fixed fee schedule","Yes","No")</f>
        <v>No</v>
      </c>
      <c r="AB6" s="127" t="str">
        <f>IF(OR(MasterFees[[#This Row],[Fee Basis]]="Add-on",MasterFees[[#This Row],[Fee Basis]]="Time band",MasterFees[[#This Row],[Fee Basis]]="Other"),MasterFees[[#This Row],[Fee Basis]],"Base")</f>
        <v>Base</v>
      </c>
      <c r="AC6" s="141" t="str">
        <f>IF(MasterFees[[#This Row],[Fixed Fee?]]="Yes",MasterFees[[#This Row],[Fee Excl. GST]],"")</f>
        <v/>
      </c>
    </row>
    <row r="7" spans="1:29" x14ac:dyDescent="0.2">
      <c r="A7" s="67" t="s">
        <v>2159</v>
      </c>
      <c r="B7" s="31">
        <f>IF(MasterFees[[#This Row],[RVG Code]]="","",_xlfn.XLOOKUP(MasterFees[[#This Row],[RVG Code]],RVGCodes[Code],RVGCodes[Base Units],"Code not found"))</f>
        <v>5</v>
      </c>
      <c r="C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 s="125" t="s">
        <v>2571</v>
      </c>
      <c r="F7" s="48" t="s">
        <v>2569</v>
      </c>
      <c r="G7" s="30" t="s">
        <v>30</v>
      </c>
      <c r="H7" s="37" t="s">
        <v>1095</v>
      </c>
      <c r="I7" s="37"/>
      <c r="J7" s="37" t="s">
        <v>1096</v>
      </c>
      <c r="K7" s="32">
        <v>4.7</v>
      </c>
      <c r="L7" s="32">
        <v>2.2999999999999998</v>
      </c>
      <c r="M7" s="32">
        <v>0.4</v>
      </c>
      <c r="N7" s="32">
        <v>7.5</v>
      </c>
      <c r="O7" s="33">
        <v>411.95</v>
      </c>
      <c r="P7" s="38" t="s">
        <v>1014</v>
      </c>
      <c r="Q7" s="34" t="str">
        <f>IF(MasterFees[[#This Row],[GST Basis]]="Excl",MasterFees[[#This Row],[Fee as Printed]],IF(MasterFees[[#This Row],[GST Basis]]="Incl",MasterFees[[#This Row],[Fee as Printed]]/(1+GST_Rate),""))</f>
        <v/>
      </c>
      <c r="R7" s="34" t="str">
        <f>IF(MasterFees[[#This Row],[GST Basis]]="Incl",MasterFees[[#This Row],[Fee as Printed]],IF(MasterFees[[#This Row],[GST Basis]]="Excl",MasterFees[[#This Row],[Fee as Printed]]*(1+GST_Rate),""))</f>
        <v/>
      </c>
      <c r="S7" s="35">
        <f>IF(N(MasterFees[[#This Row],[Total Units]])=0,"",MasterFees[[#This Row],[Fee as Printed]]/MasterFees[[#This Row],[Total Units]])</f>
        <v>54.926666666666662</v>
      </c>
      <c r="T7" s="36"/>
      <c r="U7" s="39" t="s">
        <v>1012</v>
      </c>
      <c r="V7" s="39" t="s">
        <v>1119</v>
      </c>
      <c r="W7" s="30"/>
      <c r="X7" s="73" t="s">
        <v>2901</v>
      </c>
      <c r="Y7" s="127" t="str">
        <f>_xlfn.XLOOKUP(MasterFees[[#This Row],[Provider / Payer]],Contracts[Contract Name],Contracts[Contract ID],"No contract")</f>
        <v>CON-01</v>
      </c>
      <c r="Z7" s="127" t="str">
        <f>_xlfn.XLOOKUP(MasterFees[[#This Row],[Provider / Payer]],Contracts[Contract Name],Contracts[Pricing Basis],"To confirm")</f>
        <v>To confirm</v>
      </c>
      <c r="AA7" s="127" t="str">
        <f>IF(MasterFees[[#This Row],[Pricing Basis]]="Fixed fee schedule","Yes","No")</f>
        <v>No</v>
      </c>
      <c r="AB7" s="127" t="str">
        <f>IF(OR(MasterFees[[#This Row],[Fee Basis]]="Add-on",MasterFees[[#This Row],[Fee Basis]]="Time band",MasterFees[[#This Row],[Fee Basis]]="Other"),MasterFees[[#This Row],[Fee Basis]],"Base")</f>
        <v>Base</v>
      </c>
      <c r="AC7" s="141" t="str">
        <f>IF(MasterFees[[#This Row],[Fixed Fee?]]="Yes",MasterFees[[#This Row],[Fee Excl. GST]],"")</f>
        <v/>
      </c>
    </row>
    <row r="8" spans="1:29" x14ac:dyDescent="0.2">
      <c r="A8" s="67" t="s">
        <v>2159</v>
      </c>
      <c r="B8" s="31">
        <f>IF(MasterFees[[#This Row],[RVG Code]]="","",_xlfn.XLOOKUP(MasterFees[[#This Row],[RVG Code]],RVGCodes[Code],RVGCodes[Base Units],"Code not found"))</f>
        <v>5</v>
      </c>
      <c r="C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 s="125" t="s">
        <v>2571</v>
      </c>
      <c r="F8" s="48" t="s">
        <v>2569</v>
      </c>
      <c r="G8" s="30" t="s">
        <v>32</v>
      </c>
      <c r="H8" s="37" t="s">
        <v>1095</v>
      </c>
      <c r="I8" s="37"/>
      <c r="J8" s="37" t="s">
        <v>1096</v>
      </c>
      <c r="K8" s="32">
        <v>4.7</v>
      </c>
      <c r="L8" s="32">
        <v>2.5</v>
      </c>
      <c r="M8" s="32">
        <v>0</v>
      </c>
      <c r="N8" s="32">
        <v>7.3</v>
      </c>
      <c r="O8" s="33">
        <v>400.95</v>
      </c>
      <c r="P8" s="38" t="s">
        <v>1014</v>
      </c>
      <c r="Q8" s="34" t="str">
        <f>IF(MasterFees[[#This Row],[GST Basis]]="Excl",MasterFees[[#This Row],[Fee as Printed]],IF(MasterFees[[#This Row],[GST Basis]]="Incl",MasterFees[[#This Row],[Fee as Printed]]/(1+GST_Rate),""))</f>
        <v/>
      </c>
      <c r="R8" s="34" t="str">
        <f>IF(MasterFees[[#This Row],[GST Basis]]="Incl",MasterFees[[#This Row],[Fee as Printed]],IF(MasterFees[[#This Row],[GST Basis]]="Excl",MasterFees[[#This Row],[Fee as Printed]]*(1+GST_Rate),""))</f>
        <v/>
      </c>
      <c r="S8" s="35">
        <f>IF(N(MasterFees[[#This Row],[Total Units]])=0,"",MasterFees[[#This Row],[Fee as Printed]]/MasterFees[[#This Row],[Total Units]])</f>
        <v>54.924657534246577</v>
      </c>
      <c r="T8" s="36"/>
      <c r="U8" s="39" t="s">
        <v>1012</v>
      </c>
      <c r="V8" s="39" t="s">
        <v>1121</v>
      </c>
      <c r="W8" s="30"/>
      <c r="X8" s="73" t="s">
        <v>2903</v>
      </c>
      <c r="Y8" s="127" t="str">
        <f>_xlfn.XLOOKUP(MasterFees[[#This Row],[Provider / Payer]],Contracts[Contract Name],Contracts[Contract ID],"No contract")</f>
        <v>CON-01</v>
      </c>
      <c r="Z8" s="127" t="str">
        <f>_xlfn.XLOOKUP(MasterFees[[#This Row],[Provider / Payer]],Contracts[Contract Name],Contracts[Pricing Basis],"To confirm")</f>
        <v>To confirm</v>
      </c>
      <c r="AA8" s="127" t="str">
        <f>IF(MasterFees[[#This Row],[Pricing Basis]]="Fixed fee schedule","Yes","No")</f>
        <v>No</v>
      </c>
      <c r="AB8" s="127" t="str">
        <f>IF(OR(MasterFees[[#This Row],[Fee Basis]]="Add-on",MasterFees[[#This Row],[Fee Basis]]="Time band",MasterFees[[#This Row],[Fee Basis]]="Other"),MasterFees[[#This Row],[Fee Basis]],"Base")</f>
        <v>Base</v>
      </c>
      <c r="AC8" s="141" t="str">
        <f>IF(MasterFees[[#This Row],[Fixed Fee?]]="Yes",MasterFees[[#This Row],[Fee Excl. GST]],"")</f>
        <v/>
      </c>
    </row>
    <row r="9" spans="1:29" x14ac:dyDescent="0.2">
      <c r="A9" s="67" t="s">
        <v>2159</v>
      </c>
      <c r="B9" s="31">
        <f>IF(MasterFees[[#This Row],[RVG Code]]="","",_xlfn.XLOOKUP(MasterFees[[#This Row],[RVG Code]],RVGCodes[Code],RVGCodes[Base Units],"Code not found"))</f>
        <v>5</v>
      </c>
      <c r="C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 s="125" t="s">
        <v>2571</v>
      </c>
      <c r="F9" s="48" t="s">
        <v>2569</v>
      </c>
      <c r="G9" s="30" t="s">
        <v>31</v>
      </c>
      <c r="H9" s="37" t="s">
        <v>1095</v>
      </c>
      <c r="I9" s="37"/>
      <c r="J9" s="37" t="s">
        <v>1096</v>
      </c>
      <c r="K9" s="32">
        <v>4.8</v>
      </c>
      <c r="L9" s="32">
        <v>2.4</v>
      </c>
      <c r="M9" s="32">
        <v>0.2</v>
      </c>
      <c r="N9" s="32">
        <v>7.4</v>
      </c>
      <c r="O9" s="33">
        <v>406.45</v>
      </c>
      <c r="P9" s="38" t="s">
        <v>1014</v>
      </c>
      <c r="Q9" s="34" t="str">
        <f>IF(MasterFees[[#This Row],[GST Basis]]="Excl",MasterFees[[#This Row],[Fee as Printed]],IF(MasterFees[[#This Row],[GST Basis]]="Incl",MasterFees[[#This Row],[Fee as Printed]]/(1+GST_Rate),""))</f>
        <v/>
      </c>
      <c r="R9" s="34" t="str">
        <f>IF(MasterFees[[#This Row],[GST Basis]]="Incl",MasterFees[[#This Row],[Fee as Printed]],IF(MasterFees[[#This Row],[GST Basis]]="Excl",MasterFees[[#This Row],[Fee as Printed]]*(1+GST_Rate),""))</f>
        <v/>
      </c>
      <c r="S9" s="35">
        <f>IF(N(MasterFees[[#This Row],[Total Units]])=0,"",MasterFees[[#This Row],[Fee as Printed]]/MasterFees[[#This Row],[Total Units]])</f>
        <v>54.92567567567567</v>
      </c>
      <c r="T9" s="36"/>
      <c r="U9" s="39" t="s">
        <v>1012</v>
      </c>
      <c r="V9" s="39" t="s">
        <v>1120</v>
      </c>
      <c r="W9" s="30"/>
      <c r="X9" s="73" t="s">
        <v>2902</v>
      </c>
      <c r="Y9" s="127" t="str">
        <f>_xlfn.XLOOKUP(MasterFees[[#This Row],[Provider / Payer]],Contracts[Contract Name],Contracts[Contract ID],"No contract")</f>
        <v>CON-01</v>
      </c>
      <c r="Z9" s="127" t="str">
        <f>_xlfn.XLOOKUP(MasterFees[[#This Row],[Provider / Payer]],Contracts[Contract Name],Contracts[Pricing Basis],"To confirm")</f>
        <v>To confirm</v>
      </c>
      <c r="AA9" s="127" t="str">
        <f>IF(MasterFees[[#This Row],[Pricing Basis]]="Fixed fee schedule","Yes","No")</f>
        <v>No</v>
      </c>
      <c r="AB9" s="127" t="str">
        <f>IF(OR(MasterFees[[#This Row],[Fee Basis]]="Add-on",MasterFees[[#This Row],[Fee Basis]]="Time band",MasterFees[[#This Row],[Fee Basis]]="Other"),MasterFees[[#This Row],[Fee Basis]],"Base")</f>
        <v>Base</v>
      </c>
      <c r="AC9" s="141" t="str">
        <f>IF(MasterFees[[#This Row],[Fixed Fee?]]="Yes",MasterFees[[#This Row],[Fee Excl. GST]],"")</f>
        <v/>
      </c>
    </row>
    <row r="10" spans="1:29" x14ac:dyDescent="0.2">
      <c r="A10" s="67" t="s">
        <v>2159</v>
      </c>
      <c r="B10" s="31">
        <f>IF(MasterFees[[#This Row],[RVG Code]]="","",_xlfn.XLOOKUP(MasterFees[[#This Row],[RVG Code]],RVGCodes[Code],RVGCodes[Base Units],"Code not found"))</f>
        <v>5</v>
      </c>
      <c r="C1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 s="125" t="s">
        <v>2571</v>
      </c>
      <c r="F10" s="48" t="s">
        <v>2569</v>
      </c>
      <c r="G10" s="30" t="s">
        <v>33</v>
      </c>
      <c r="H10" s="37" t="s">
        <v>1095</v>
      </c>
      <c r="I10" s="37"/>
      <c r="J10" s="37" t="s">
        <v>1096</v>
      </c>
      <c r="K10" s="32">
        <v>5</v>
      </c>
      <c r="L10" s="32">
        <v>3</v>
      </c>
      <c r="M10" s="32">
        <v>2</v>
      </c>
      <c r="N10" s="32">
        <v>10</v>
      </c>
      <c r="O10" s="33">
        <v>550</v>
      </c>
      <c r="P10" s="38" t="s">
        <v>1014</v>
      </c>
      <c r="Q10" s="34" t="str">
        <f>IF(MasterFees[[#This Row],[GST Basis]]="Excl",MasterFees[[#This Row],[Fee as Printed]],IF(MasterFees[[#This Row],[GST Basis]]="Incl",MasterFees[[#This Row],[Fee as Printed]]/(1+GST_Rate),""))</f>
        <v/>
      </c>
      <c r="R10" s="34" t="str">
        <f>IF(MasterFees[[#This Row],[GST Basis]]="Incl",MasterFees[[#This Row],[Fee as Printed]],IF(MasterFees[[#This Row],[GST Basis]]="Excl",MasterFees[[#This Row],[Fee as Printed]]*(1+GST_Rate),""))</f>
        <v/>
      </c>
      <c r="S10" s="35">
        <f>IF(N(MasterFees[[#This Row],[Total Units]])=0,"",MasterFees[[#This Row],[Fee as Printed]]/MasterFees[[#This Row],[Total Units]])</f>
        <v>55</v>
      </c>
      <c r="T10" s="36"/>
      <c r="U10" s="39" t="s">
        <v>1012</v>
      </c>
      <c r="V10" s="39" t="s">
        <v>1122</v>
      </c>
      <c r="W10" s="30"/>
      <c r="X10" s="73" t="s">
        <v>2904</v>
      </c>
      <c r="Y10" s="127" t="str">
        <f>_xlfn.XLOOKUP(MasterFees[[#This Row],[Provider / Payer]],Contracts[Contract Name],Contracts[Contract ID],"No contract")</f>
        <v>CON-01</v>
      </c>
      <c r="Z10" s="127" t="str">
        <f>_xlfn.XLOOKUP(MasterFees[[#This Row],[Provider / Payer]],Contracts[Contract Name],Contracts[Pricing Basis],"To confirm")</f>
        <v>To confirm</v>
      </c>
      <c r="AA10" s="127" t="str">
        <f>IF(MasterFees[[#This Row],[Pricing Basis]]="Fixed fee schedule","Yes","No")</f>
        <v>No</v>
      </c>
      <c r="AB10" s="127" t="str">
        <f>IF(OR(MasterFees[[#This Row],[Fee Basis]]="Add-on",MasterFees[[#This Row],[Fee Basis]]="Time band",MasterFees[[#This Row],[Fee Basis]]="Other"),MasterFees[[#This Row],[Fee Basis]],"Base")</f>
        <v>Base</v>
      </c>
      <c r="AC10" s="141" t="str">
        <f>IF(MasterFees[[#This Row],[Fixed Fee?]]="Yes",MasterFees[[#This Row],[Fee Excl. GST]],"")</f>
        <v/>
      </c>
    </row>
    <row r="11" spans="1:29" x14ac:dyDescent="0.2">
      <c r="A11" s="67" t="s">
        <v>2159</v>
      </c>
      <c r="B11" s="31">
        <f>IF(MasterFees[[#This Row],[RVG Code]]="","",_xlfn.XLOOKUP(MasterFees[[#This Row],[RVG Code]],RVGCodes[Code],RVGCodes[Base Units],"Code not found"))</f>
        <v>5</v>
      </c>
      <c r="C1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1" s="125" t="s">
        <v>2571</v>
      </c>
      <c r="F11" s="48" t="s">
        <v>2569</v>
      </c>
      <c r="G11" s="30" t="s">
        <v>34</v>
      </c>
      <c r="H11" s="37" t="s">
        <v>1095</v>
      </c>
      <c r="I11" s="37"/>
      <c r="J11" s="37" t="s">
        <v>1096</v>
      </c>
      <c r="K11" s="32">
        <v>4.9000000000000004</v>
      </c>
      <c r="L11" s="32">
        <v>3.2</v>
      </c>
      <c r="M11" s="32">
        <v>0.2</v>
      </c>
      <c r="N11" s="32">
        <v>8.3000000000000007</v>
      </c>
      <c r="O11" s="33">
        <v>458.15</v>
      </c>
      <c r="P11" s="38" t="s">
        <v>1014</v>
      </c>
      <c r="Q11" s="34" t="str">
        <f>IF(MasterFees[[#This Row],[GST Basis]]="Excl",MasterFees[[#This Row],[Fee as Printed]],IF(MasterFees[[#This Row],[GST Basis]]="Incl",MasterFees[[#This Row],[Fee as Printed]]/(1+GST_Rate),""))</f>
        <v/>
      </c>
      <c r="R11" s="34" t="str">
        <f>IF(MasterFees[[#This Row],[GST Basis]]="Incl",MasterFees[[#This Row],[Fee as Printed]],IF(MasterFees[[#This Row],[GST Basis]]="Excl",MasterFees[[#This Row],[Fee as Printed]]*(1+GST_Rate),""))</f>
        <v/>
      </c>
      <c r="S11" s="35">
        <f>IF(N(MasterFees[[#This Row],[Total Units]])=0,"",MasterFees[[#This Row],[Fee as Printed]]/MasterFees[[#This Row],[Total Units]])</f>
        <v>55.198795180722882</v>
      </c>
      <c r="T11" s="36"/>
      <c r="U11" s="39" t="s">
        <v>1012</v>
      </c>
      <c r="V11" s="39" t="s">
        <v>1123</v>
      </c>
      <c r="W11" s="30"/>
      <c r="X11" s="73" t="s">
        <v>2905</v>
      </c>
      <c r="Y11" s="127" t="str">
        <f>_xlfn.XLOOKUP(MasterFees[[#This Row],[Provider / Payer]],Contracts[Contract Name],Contracts[Contract ID],"No contract")</f>
        <v>CON-01</v>
      </c>
      <c r="Z11" s="127" t="str">
        <f>_xlfn.XLOOKUP(MasterFees[[#This Row],[Provider / Payer]],Contracts[Contract Name],Contracts[Pricing Basis],"To confirm")</f>
        <v>To confirm</v>
      </c>
      <c r="AA11" s="127" t="str">
        <f>IF(MasterFees[[#This Row],[Pricing Basis]]="Fixed fee schedule","Yes","No")</f>
        <v>No</v>
      </c>
      <c r="AB11" s="127" t="str">
        <f>IF(OR(MasterFees[[#This Row],[Fee Basis]]="Add-on",MasterFees[[#This Row],[Fee Basis]]="Time band",MasterFees[[#This Row],[Fee Basis]]="Other"),MasterFees[[#This Row],[Fee Basis]],"Base")</f>
        <v>Base</v>
      </c>
      <c r="AC11" s="141" t="str">
        <f>IF(MasterFees[[#This Row],[Fixed Fee?]]="Yes",MasterFees[[#This Row],[Fee Excl. GST]],"")</f>
        <v/>
      </c>
    </row>
    <row r="12" spans="1:29" x14ac:dyDescent="0.2">
      <c r="A12" s="67" t="s">
        <v>2159</v>
      </c>
      <c r="B12" s="31">
        <f>IF(MasterFees[[#This Row],[RVG Code]]="","",_xlfn.XLOOKUP(MasterFees[[#This Row],[RVG Code]],RVGCodes[Code],RVGCodes[Base Units],"Code not found"))</f>
        <v>5</v>
      </c>
      <c r="C1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 s="125" t="s">
        <v>2571</v>
      </c>
      <c r="F12" s="48" t="s">
        <v>2567</v>
      </c>
      <c r="G12" s="30" t="s">
        <v>68</v>
      </c>
      <c r="H12" s="37" t="s">
        <v>1095</v>
      </c>
      <c r="I12" s="37"/>
      <c r="J12" s="37" t="s">
        <v>1096</v>
      </c>
      <c r="K12" s="32">
        <v>5</v>
      </c>
      <c r="L12" s="32">
        <v>9</v>
      </c>
      <c r="M12" s="32">
        <v>0</v>
      </c>
      <c r="N12" s="32">
        <v>14</v>
      </c>
      <c r="O12" s="33">
        <v>770</v>
      </c>
      <c r="P12" s="38" t="s">
        <v>1014</v>
      </c>
      <c r="Q12" s="34" t="str">
        <f>IF(MasterFees[[#This Row],[GST Basis]]="Excl",MasterFees[[#This Row],[Fee as Printed]],IF(MasterFees[[#This Row],[GST Basis]]="Incl",MasterFees[[#This Row],[Fee as Printed]]/(1+GST_Rate),""))</f>
        <v/>
      </c>
      <c r="R12" s="34" t="str">
        <f>IF(MasterFees[[#This Row],[GST Basis]]="Incl",MasterFees[[#This Row],[Fee as Printed]],IF(MasterFees[[#This Row],[GST Basis]]="Excl",MasterFees[[#This Row],[Fee as Printed]]*(1+GST_Rate),""))</f>
        <v/>
      </c>
      <c r="S12" s="35">
        <f>IF(N(MasterFees[[#This Row],[Total Units]])=0,"",MasterFees[[#This Row],[Fee as Printed]]/MasterFees[[#This Row],[Total Units]])</f>
        <v>55</v>
      </c>
      <c r="T12" s="36"/>
      <c r="U12" s="39" t="s">
        <v>1012</v>
      </c>
      <c r="V12" s="39" t="s">
        <v>1157</v>
      </c>
      <c r="W12" s="30"/>
      <c r="X12" s="73" t="s">
        <v>2940</v>
      </c>
      <c r="Y12" s="127" t="str">
        <f>_xlfn.XLOOKUP(MasterFees[[#This Row],[Provider / Payer]],Contracts[Contract Name],Contracts[Contract ID],"No contract")</f>
        <v>CON-01</v>
      </c>
      <c r="Z12" s="127" t="str">
        <f>_xlfn.XLOOKUP(MasterFees[[#This Row],[Provider / Payer]],Contracts[Contract Name],Contracts[Pricing Basis],"To confirm")</f>
        <v>To confirm</v>
      </c>
      <c r="AA12" s="127" t="str">
        <f>IF(MasterFees[[#This Row],[Pricing Basis]]="Fixed fee schedule","Yes","No")</f>
        <v>No</v>
      </c>
      <c r="AB12" s="127" t="str">
        <f>IF(OR(MasterFees[[#This Row],[Fee Basis]]="Add-on",MasterFees[[#This Row],[Fee Basis]]="Time band",MasterFees[[#This Row],[Fee Basis]]="Other"),MasterFees[[#This Row],[Fee Basis]],"Base")</f>
        <v>Base</v>
      </c>
      <c r="AC12" s="141" t="str">
        <f>IF(MasterFees[[#This Row],[Fixed Fee?]]="Yes",MasterFees[[#This Row],[Fee Excl. GST]],"")</f>
        <v/>
      </c>
    </row>
    <row r="13" spans="1:29" x14ac:dyDescent="0.2">
      <c r="A13" s="67" t="s">
        <v>2157</v>
      </c>
      <c r="B13" s="31">
        <f>IF(MasterFees[[#This Row],[RVG Code]]="","",_xlfn.XLOOKUP(MasterFees[[#This Row],[RVG Code]],RVGCodes[Code],RVGCodes[Base Units],"Code not found"))</f>
        <v>4</v>
      </c>
      <c r="C1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3" s="125" t="s">
        <v>2572</v>
      </c>
      <c r="F13" s="48" t="s">
        <v>2567</v>
      </c>
      <c r="G13" s="30" t="s">
        <v>69</v>
      </c>
      <c r="H13" s="37" t="s">
        <v>1095</v>
      </c>
      <c r="I13" s="37"/>
      <c r="J13" s="37" t="s">
        <v>1096</v>
      </c>
      <c r="K13" s="32">
        <v>0</v>
      </c>
      <c r="L13" s="32">
        <v>0</v>
      </c>
      <c r="M13" s="32">
        <v>0</v>
      </c>
      <c r="N13" s="32">
        <v>0</v>
      </c>
      <c r="O13" s="33">
        <v>0</v>
      </c>
      <c r="P13" s="38" t="s">
        <v>1014</v>
      </c>
      <c r="Q13" s="34" t="str">
        <f>IF(MasterFees[[#This Row],[GST Basis]]="Excl",MasterFees[[#This Row],[Fee as Printed]],IF(MasterFees[[#This Row],[GST Basis]]="Incl",MasterFees[[#This Row],[Fee as Printed]]/(1+GST_Rate),""))</f>
        <v/>
      </c>
      <c r="R13" s="34" t="str">
        <f>IF(MasterFees[[#This Row],[GST Basis]]="Incl",MasterFees[[#This Row],[Fee as Printed]],IF(MasterFees[[#This Row],[GST Basis]]="Excl",MasterFees[[#This Row],[Fee as Printed]]*(1+GST_Rate),""))</f>
        <v/>
      </c>
      <c r="S13" s="35" t="str">
        <f>IF(N(MasterFees[[#This Row],[Total Units]])=0,"",MasterFees[[#This Row],[Fee as Printed]]/MasterFees[[#This Row],[Total Units]])</f>
        <v/>
      </c>
      <c r="T13" s="36"/>
      <c r="U13" s="39" t="s">
        <v>1012</v>
      </c>
      <c r="V13" s="39" t="s">
        <v>1158</v>
      </c>
      <c r="W13" s="30"/>
      <c r="X13" s="73" t="s">
        <v>2941</v>
      </c>
      <c r="Y13" s="127" t="str">
        <f>_xlfn.XLOOKUP(MasterFees[[#This Row],[Provider / Payer]],Contracts[Contract Name],Contracts[Contract ID],"No contract")</f>
        <v>CON-01</v>
      </c>
      <c r="Z13" s="127" t="str">
        <f>_xlfn.XLOOKUP(MasterFees[[#This Row],[Provider / Payer]],Contracts[Contract Name],Contracts[Pricing Basis],"To confirm")</f>
        <v>To confirm</v>
      </c>
      <c r="AA13" s="127" t="str">
        <f>IF(MasterFees[[#This Row],[Pricing Basis]]="Fixed fee schedule","Yes","No")</f>
        <v>No</v>
      </c>
      <c r="AB13" s="127" t="str">
        <f>IF(OR(MasterFees[[#This Row],[Fee Basis]]="Add-on",MasterFees[[#This Row],[Fee Basis]]="Time band",MasterFees[[#This Row],[Fee Basis]]="Other"),MasterFees[[#This Row],[Fee Basis]],"Base")</f>
        <v>Base</v>
      </c>
      <c r="AC13" s="141" t="str">
        <f>IF(MasterFees[[#This Row],[Fixed Fee?]]="Yes",MasterFees[[#This Row],[Fee Excl. GST]],"")</f>
        <v/>
      </c>
    </row>
    <row r="14" spans="1:29" x14ac:dyDescent="0.2">
      <c r="A14" s="67" t="s">
        <v>2162</v>
      </c>
      <c r="B14" s="31">
        <f>IF(MasterFees[[#This Row],[RVG Code]]="","",_xlfn.XLOOKUP(MasterFees[[#This Row],[RVG Code]],RVGCodes[Code],RVGCodes[Base Units],"Code not found"))</f>
        <v>6</v>
      </c>
      <c r="C1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4" s="125" t="s">
        <v>2592</v>
      </c>
      <c r="F14" s="48" t="s">
        <v>2567</v>
      </c>
      <c r="G14" s="30" t="s">
        <v>87</v>
      </c>
      <c r="H14" s="37" t="s">
        <v>1095</v>
      </c>
      <c r="I14" s="37"/>
      <c r="J14" s="37" t="s">
        <v>1096</v>
      </c>
      <c r="K14" s="32">
        <v>6.4</v>
      </c>
      <c r="L14" s="32">
        <v>21.3</v>
      </c>
      <c r="M14" s="32">
        <v>1.2</v>
      </c>
      <c r="N14" s="32">
        <v>28.8</v>
      </c>
      <c r="O14" s="33">
        <v>1584.55</v>
      </c>
      <c r="P14" s="38" t="s">
        <v>1014</v>
      </c>
      <c r="Q14" s="34" t="str">
        <f>IF(MasterFees[[#This Row],[GST Basis]]="Excl",MasterFees[[#This Row],[Fee as Printed]],IF(MasterFees[[#This Row],[GST Basis]]="Incl",MasterFees[[#This Row],[Fee as Printed]]/(1+GST_Rate),""))</f>
        <v/>
      </c>
      <c r="R14" s="34" t="str">
        <f>IF(MasterFees[[#This Row],[GST Basis]]="Incl",MasterFees[[#This Row],[Fee as Printed]],IF(MasterFees[[#This Row],[GST Basis]]="Excl",MasterFees[[#This Row],[Fee as Printed]]*(1+GST_Rate),""))</f>
        <v/>
      </c>
      <c r="S14" s="35">
        <f>IF(N(MasterFees[[#This Row],[Total Units]])=0,"",MasterFees[[#This Row],[Fee as Printed]]/MasterFees[[#This Row],[Total Units]])</f>
        <v>55.019097222222221</v>
      </c>
      <c r="T14" s="36"/>
      <c r="U14" s="39" t="s">
        <v>1012</v>
      </c>
      <c r="V14" s="39" t="s">
        <v>1176</v>
      </c>
      <c r="W14" s="30"/>
      <c r="X14" s="73" t="s">
        <v>2959</v>
      </c>
      <c r="Y14" s="127" t="str">
        <f>_xlfn.XLOOKUP(MasterFees[[#This Row],[Provider / Payer]],Contracts[Contract Name],Contracts[Contract ID],"No contract")</f>
        <v>CON-01</v>
      </c>
      <c r="Z14" s="127" t="str">
        <f>_xlfn.XLOOKUP(MasterFees[[#This Row],[Provider / Payer]],Contracts[Contract Name],Contracts[Pricing Basis],"To confirm")</f>
        <v>To confirm</v>
      </c>
      <c r="AA14" s="127" t="str">
        <f>IF(MasterFees[[#This Row],[Pricing Basis]]="Fixed fee schedule","Yes","No")</f>
        <v>No</v>
      </c>
      <c r="AB14" s="127" t="str">
        <f>IF(OR(MasterFees[[#This Row],[Fee Basis]]="Add-on",MasterFees[[#This Row],[Fee Basis]]="Time band",MasterFees[[#This Row],[Fee Basis]]="Other"),MasterFees[[#This Row],[Fee Basis]],"Base")</f>
        <v>Base</v>
      </c>
      <c r="AC14" s="141" t="str">
        <f>IF(MasterFees[[#This Row],[Fixed Fee?]]="Yes",MasterFees[[#This Row],[Fee Excl. GST]],"")</f>
        <v/>
      </c>
    </row>
    <row r="15" spans="1:29" x14ac:dyDescent="0.2">
      <c r="A15" s="67" t="s">
        <v>2162</v>
      </c>
      <c r="B15" s="31">
        <f>IF(MasterFees[[#This Row],[RVG Code]]="","",_xlfn.XLOOKUP(MasterFees[[#This Row],[RVG Code]],RVGCodes[Code],RVGCodes[Base Units],"Code not found"))</f>
        <v>6</v>
      </c>
      <c r="C1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5" s="125" t="s">
        <v>2592</v>
      </c>
      <c r="F15" s="48" t="s">
        <v>2569</v>
      </c>
      <c r="G15" s="30" t="s">
        <v>88</v>
      </c>
      <c r="H15" s="37" t="s">
        <v>1095</v>
      </c>
      <c r="I15" s="37"/>
      <c r="J15" s="37" t="s">
        <v>1096</v>
      </c>
      <c r="K15" s="32">
        <v>6.1</v>
      </c>
      <c r="L15" s="32">
        <v>8</v>
      </c>
      <c r="M15" s="32">
        <v>0.3</v>
      </c>
      <c r="N15" s="32">
        <v>14.4</v>
      </c>
      <c r="O15" s="33">
        <v>789.8</v>
      </c>
      <c r="P15" s="38" t="s">
        <v>1014</v>
      </c>
      <c r="Q15" s="34" t="str">
        <f>IF(MasterFees[[#This Row],[GST Basis]]="Excl",MasterFees[[#This Row],[Fee as Printed]],IF(MasterFees[[#This Row],[GST Basis]]="Incl",MasterFees[[#This Row],[Fee as Printed]]/(1+GST_Rate),""))</f>
        <v/>
      </c>
      <c r="R15" s="34" t="str">
        <f>IF(MasterFees[[#This Row],[GST Basis]]="Incl",MasterFees[[#This Row],[Fee as Printed]],IF(MasterFees[[#This Row],[GST Basis]]="Excl",MasterFees[[#This Row],[Fee as Printed]]*(1+GST_Rate),""))</f>
        <v/>
      </c>
      <c r="S15" s="35">
        <f>IF(N(MasterFees[[#This Row],[Total Units]])=0,"",MasterFees[[#This Row],[Fee as Printed]]/MasterFees[[#This Row],[Total Units]])</f>
        <v>54.847222222222214</v>
      </c>
      <c r="T15" s="36"/>
      <c r="U15" s="39" t="s">
        <v>1012</v>
      </c>
      <c r="V15" s="39" t="s">
        <v>1177</v>
      </c>
      <c r="W15" s="30"/>
      <c r="X15" s="73" t="s">
        <v>2960</v>
      </c>
      <c r="Y15" s="127" t="str">
        <f>_xlfn.XLOOKUP(MasterFees[[#This Row],[Provider / Payer]],Contracts[Contract Name],Contracts[Contract ID],"No contract")</f>
        <v>CON-01</v>
      </c>
      <c r="Z15" s="127" t="str">
        <f>_xlfn.XLOOKUP(MasterFees[[#This Row],[Provider / Payer]],Contracts[Contract Name],Contracts[Pricing Basis],"To confirm")</f>
        <v>To confirm</v>
      </c>
      <c r="AA15" s="127" t="str">
        <f>IF(MasterFees[[#This Row],[Pricing Basis]]="Fixed fee schedule","Yes","No")</f>
        <v>No</v>
      </c>
      <c r="AB15" s="127" t="str">
        <f>IF(OR(MasterFees[[#This Row],[Fee Basis]]="Add-on",MasterFees[[#This Row],[Fee Basis]]="Time band",MasterFees[[#This Row],[Fee Basis]]="Other"),MasterFees[[#This Row],[Fee Basis]],"Base")</f>
        <v>Base</v>
      </c>
      <c r="AC15" s="141" t="str">
        <f>IF(MasterFees[[#This Row],[Fixed Fee?]]="Yes",MasterFees[[#This Row],[Fee Excl. GST]],"")</f>
        <v/>
      </c>
    </row>
    <row r="16" spans="1:29" x14ac:dyDescent="0.2">
      <c r="A16" s="67" t="s">
        <v>2157</v>
      </c>
      <c r="B16" s="31">
        <f>IF(MasterFees[[#This Row],[RVG Code]]="","",_xlfn.XLOOKUP(MasterFees[[#This Row],[RVG Code]],RVGCodes[Code],RVGCodes[Base Units],"Code not found"))</f>
        <v>4</v>
      </c>
      <c r="C1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6" s="125" t="s">
        <v>2572</v>
      </c>
      <c r="F16" s="48" t="s">
        <v>2567</v>
      </c>
      <c r="G16" s="30" t="s">
        <v>89</v>
      </c>
      <c r="H16" s="37" t="s">
        <v>1095</v>
      </c>
      <c r="I16" s="37"/>
      <c r="J16" s="37" t="s">
        <v>1096</v>
      </c>
      <c r="K16" s="32">
        <v>1.8</v>
      </c>
      <c r="L16" s="32">
        <v>2</v>
      </c>
      <c r="M16" s="32">
        <v>0.5</v>
      </c>
      <c r="N16" s="32">
        <v>4.3</v>
      </c>
      <c r="O16" s="33">
        <v>234.3</v>
      </c>
      <c r="P16" s="38" t="s">
        <v>1014</v>
      </c>
      <c r="Q16" s="34" t="str">
        <f>IF(MasterFees[[#This Row],[GST Basis]]="Excl",MasterFees[[#This Row],[Fee as Printed]],IF(MasterFees[[#This Row],[GST Basis]]="Incl",MasterFees[[#This Row],[Fee as Printed]]/(1+GST_Rate),""))</f>
        <v/>
      </c>
      <c r="R16" s="34" t="str">
        <f>IF(MasterFees[[#This Row],[GST Basis]]="Incl",MasterFees[[#This Row],[Fee as Printed]],IF(MasterFees[[#This Row],[GST Basis]]="Excl",MasterFees[[#This Row],[Fee as Printed]]*(1+GST_Rate),""))</f>
        <v/>
      </c>
      <c r="S16" s="35">
        <f>IF(N(MasterFees[[#This Row],[Total Units]])=0,"",MasterFees[[#This Row],[Fee as Printed]]/MasterFees[[#This Row],[Total Units]])</f>
        <v>54.488372093023258</v>
      </c>
      <c r="T16" s="36"/>
      <c r="U16" s="39" t="s">
        <v>1012</v>
      </c>
      <c r="V16" s="39" t="s">
        <v>1178</v>
      </c>
      <c r="W16" s="30"/>
      <c r="X16" s="73" t="s">
        <v>2961</v>
      </c>
      <c r="Y16" s="127" t="str">
        <f>_xlfn.XLOOKUP(MasterFees[[#This Row],[Provider / Payer]],Contracts[Contract Name],Contracts[Contract ID],"No contract")</f>
        <v>CON-01</v>
      </c>
      <c r="Z16" s="127" t="str">
        <f>_xlfn.XLOOKUP(MasterFees[[#This Row],[Provider / Payer]],Contracts[Contract Name],Contracts[Pricing Basis],"To confirm")</f>
        <v>To confirm</v>
      </c>
      <c r="AA16" s="127" t="str">
        <f>IF(MasterFees[[#This Row],[Pricing Basis]]="Fixed fee schedule","Yes","No")</f>
        <v>No</v>
      </c>
      <c r="AB16" s="127" t="str">
        <f>IF(OR(MasterFees[[#This Row],[Fee Basis]]="Add-on",MasterFees[[#This Row],[Fee Basis]]="Time band",MasterFees[[#This Row],[Fee Basis]]="Other"),MasterFees[[#This Row],[Fee Basis]],"Base")</f>
        <v>Base</v>
      </c>
      <c r="AC16" s="141" t="str">
        <f>IF(MasterFees[[#This Row],[Fixed Fee?]]="Yes",MasterFees[[#This Row],[Fee Excl. GST]],"")</f>
        <v/>
      </c>
    </row>
    <row r="17" spans="1:29" x14ac:dyDescent="0.2">
      <c r="A17" s="67" t="s">
        <v>2159</v>
      </c>
      <c r="B17" s="31">
        <f>IF(MasterFees[[#This Row],[RVG Code]]="","",_xlfn.XLOOKUP(MasterFees[[#This Row],[RVG Code]],RVGCodes[Code],RVGCodes[Base Units],"Code not found"))</f>
        <v>5</v>
      </c>
      <c r="C1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7" s="125" t="s">
        <v>2571</v>
      </c>
      <c r="F17" s="48" t="s">
        <v>2567</v>
      </c>
      <c r="G17" s="30" t="s">
        <v>90</v>
      </c>
      <c r="H17" s="37" t="s">
        <v>1095</v>
      </c>
      <c r="I17" s="37"/>
      <c r="J17" s="37" t="s">
        <v>1096</v>
      </c>
      <c r="K17" s="32">
        <v>5.2</v>
      </c>
      <c r="L17" s="32">
        <v>3.7</v>
      </c>
      <c r="M17" s="32">
        <v>0.2</v>
      </c>
      <c r="N17" s="32">
        <v>9.1</v>
      </c>
      <c r="O17" s="33">
        <v>498.85</v>
      </c>
      <c r="P17" s="38" t="s">
        <v>1014</v>
      </c>
      <c r="Q17" s="34" t="str">
        <f>IF(MasterFees[[#This Row],[GST Basis]]="Excl",MasterFees[[#This Row],[Fee as Printed]],IF(MasterFees[[#This Row],[GST Basis]]="Incl",MasterFees[[#This Row],[Fee as Printed]]/(1+GST_Rate),""))</f>
        <v/>
      </c>
      <c r="R17" s="34" t="str">
        <f>IF(MasterFees[[#This Row],[GST Basis]]="Incl",MasterFees[[#This Row],[Fee as Printed]],IF(MasterFees[[#This Row],[GST Basis]]="Excl",MasterFees[[#This Row],[Fee as Printed]]*(1+GST_Rate),""))</f>
        <v/>
      </c>
      <c r="S17" s="35">
        <f>IF(N(MasterFees[[#This Row],[Total Units]])=0,"",MasterFees[[#This Row],[Fee as Printed]]/MasterFees[[#This Row],[Total Units]])</f>
        <v>54.818681318681321</v>
      </c>
      <c r="T17" s="36"/>
      <c r="U17" s="39" t="s">
        <v>1012</v>
      </c>
      <c r="V17" s="39" t="s">
        <v>1179</v>
      </c>
      <c r="W17" s="30"/>
      <c r="X17" s="73" t="s">
        <v>2962</v>
      </c>
      <c r="Y17" s="127" t="str">
        <f>_xlfn.XLOOKUP(MasterFees[[#This Row],[Provider / Payer]],Contracts[Contract Name],Contracts[Contract ID],"No contract")</f>
        <v>CON-01</v>
      </c>
      <c r="Z17" s="127" t="str">
        <f>_xlfn.XLOOKUP(MasterFees[[#This Row],[Provider / Payer]],Contracts[Contract Name],Contracts[Pricing Basis],"To confirm")</f>
        <v>To confirm</v>
      </c>
      <c r="AA17" s="127" t="str">
        <f>IF(MasterFees[[#This Row],[Pricing Basis]]="Fixed fee schedule","Yes","No")</f>
        <v>No</v>
      </c>
      <c r="AB17" s="127" t="str">
        <f>IF(OR(MasterFees[[#This Row],[Fee Basis]]="Add-on",MasterFees[[#This Row],[Fee Basis]]="Time band",MasterFees[[#This Row],[Fee Basis]]="Other"),MasterFees[[#This Row],[Fee Basis]],"Base")</f>
        <v>Base</v>
      </c>
      <c r="AC17" s="141" t="str">
        <f>IF(MasterFees[[#This Row],[Fixed Fee?]]="Yes",MasterFees[[#This Row],[Fee Excl. GST]],"")</f>
        <v/>
      </c>
    </row>
    <row r="18" spans="1:29" x14ac:dyDescent="0.2">
      <c r="A18" s="67" t="s">
        <v>2162</v>
      </c>
      <c r="B18" s="31">
        <f>IF(MasterFees[[#This Row],[RVG Code]]="","",_xlfn.XLOOKUP(MasterFees[[#This Row],[RVG Code]],RVGCodes[Code],RVGCodes[Base Units],"Code not found"))</f>
        <v>6</v>
      </c>
      <c r="C1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8" s="125" t="s">
        <v>2592</v>
      </c>
      <c r="F18" s="48" t="s">
        <v>2569</v>
      </c>
      <c r="G18" s="30" t="s">
        <v>92</v>
      </c>
      <c r="H18" s="37" t="s">
        <v>1095</v>
      </c>
      <c r="I18" s="37"/>
      <c r="J18" s="37" t="s">
        <v>1096</v>
      </c>
      <c r="K18" s="32">
        <v>6</v>
      </c>
      <c r="L18" s="32">
        <v>5.5</v>
      </c>
      <c r="M18" s="32">
        <v>1</v>
      </c>
      <c r="N18" s="32">
        <v>12.5</v>
      </c>
      <c r="O18" s="33">
        <v>687.5</v>
      </c>
      <c r="P18" s="38" t="s">
        <v>1014</v>
      </c>
      <c r="Q18" s="34" t="str">
        <f>IF(MasterFees[[#This Row],[GST Basis]]="Excl",MasterFees[[#This Row],[Fee as Printed]],IF(MasterFees[[#This Row],[GST Basis]]="Incl",MasterFees[[#This Row],[Fee as Printed]]/(1+GST_Rate),""))</f>
        <v/>
      </c>
      <c r="R18" s="34" t="str">
        <f>IF(MasterFees[[#This Row],[GST Basis]]="Incl",MasterFees[[#This Row],[Fee as Printed]],IF(MasterFees[[#This Row],[GST Basis]]="Excl",MasterFees[[#This Row],[Fee as Printed]]*(1+GST_Rate),""))</f>
        <v/>
      </c>
      <c r="S18" s="35">
        <f>IF(N(MasterFees[[#This Row],[Total Units]])=0,"",MasterFees[[#This Row],[Fee as Printed]]/MasterFees[[#This Row],[Total Units]])</f>
        <v>55</v>
      </c>
      <c r="T18" s="36"/>
      <c r="U18" s="39" t="s">
        <v>1012</v>
      </c>
      <c r="V18" s="39" t="s">
        <v>1181</v>
      </c>
      <c r="W18" s="30"/>
      <c r="X18" s="73" t="s">
        <v>2964</v>
      </c>
      <c r="Y18" s="127" t="str">
        <f>_xlfn.XLOOKUP(MasterFees[[#This Row],[Provider / Payer]],Contracts[Contract Name],Contracts[Contract ID],"No contract")</f>
        <v>CON-01</v>
      </c>
      <c r="Z18" s="127" t="str">
        <f>_xlfn.XLOOKUP(MasterFees[[#This Row],[Provider / Payer]],Contracts[Contract Name],Contracts[Pricing Basis],"To confirm")</f>
        <v>To confirm</v>
      </c>
      <c r="AA18" s="127" t="str">
        <f>IF(MasterFees[[#This Row],[Pricing Basis]]="Fixed fee schedule","Yes","No")</f>
        <v>No</v>
      </c>
      <c r="AB18" s="127" t="str">
        <f>IF(OR(MasterFees[[#This Row],[Fee Basis]]="Add-on",MasterFees[[#This Row],[Fee Basis]]="Time band",MasterFees[[#This Row],[Fee Basis]]="Other"),MasterFees[[#This Row],[Fee Basis]],"Base")</f>
        <v>Base</v>
      </c>
      <c r="AC18" s="141" t="str">
        <f>IF(MasterFees[[#This Row],[Fixed Fee?]]="Yes",MasterFees[[#This Row],[Fee Excl. GST]],"")</f>
        <v/>
      </c>
    </row>
    <row r="19" spans="1:29" x14ac:dyDescent="0.2">
      <c r="A19" s="67" t="s">
        <v>2157</v>
      </c>
      <c r="B19" s="31">
        <f>IF(MasterFees[[#This Row],[RVG Code]]="","",_xlfn.XLOOKUP(MasterFees[[#This Row],[RVG Code]],RVGCodes[Code],RVGCodes[Base Units],"Code not found"))</f>
        <v>4</v>
      </c>
      <c r="C1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9" s="125" t="s">
        <v>2572</v>
      </c>
      <c r="F19" s="48" t="s">
        <v>2569</v>
      </c>
      <c r="G19" s="30" t="s">
        <v>95</v>
      </c>
      <c r="H19" s="37" t="s">
        <v>1095</v>
      </c>
      <c r="I19" s="37"/>
      <c r="J19" s="37" t="s">
        <v>1096</v>
      </c>
      <c r="K19" s="32">
        <v>3.8</v>
      </c>
      <c r="L19" s="32">
        <v>1.7</v>
      </c>
      <c r="M19" s="32">
        <v>0.4</v>
      </c>
      <c r="N19" s="32">
        <v>5.9</v>
      </c>
      <c r="O19" s="33">
        <v>323.39999999999998</v>
      </c>
      <c r="P19" s="38" t="s">
        <v>1014</v>
      </c>
      <c r="Q19" s="34" t="str">
        <f>IF(MasterFees[[#This Row],[GST Basis]]="Excl",MasterFees[[#This Row],[Fee as Printed]],IF(MasterFees[[#This Row],[GST Basis]]="Incl",MasterFees[[#This Row],[Fee as Printed]]/(1+GST_Rate),""))</f>
        <v/>
      </c>
      <c r="R19" s="34" t="str">
        <f>IF(MasterFees[[#This Row],[GST Basis]]="Incl",MasterFees[[#This Row],[Fee as Printed]],IF(MasterFees[[#This Row],[GST Basis]]="Excl",MasterFees[[#This Row],[Fee as Printed]]*(1+GST_Rate),""))</f>
        <v/>
      </c>
      <c r="S19" s="35">
        <f>IF(N(MasterFees[[#This Row],[Total Units]])=0,"",MasterFees[[#This Row],[Fee as Printed]]/MasterFees[[#This Row],[Total Units]])</f>
        <v>54.813559322033889</v>
      </c>
      <c r="T19" s="36"/>
      <c r="U19" s="39" t="s">
        <v>1012</v>
      </c>
      <c r="V19" s="39" t="s">
        <v>1184</v>
      </c>
      <c r="W19" s="30"/>
      <c r="X19" s="73" t="s">
        <v>2967</v>
      </c>
      <c r="Y19" s="127" t="str">
        <f>_xlfn.XLOOKUP(MasterFees[[#This Row],[Provider / Payer]],Contracts[Contract Name],Contracts[Contract ID],"No contract")</f>
        <v>CON-01</v>
      </c>
      <c r="Z19" s="127" t="str">
        <f>_xlfn.XLOOKUP(MasterFees[[#This Row],[Provider / Payer]],Contracts[Contract Name],Contracts[Pricing Basis],"To confirm")</f>
        <v>To confirm</v>
      </c>
      <c r="AA19" s="127" t="str">
        <f>IF(MasterFees[[#This Row],[Pricing Basis]]="Fixed fee schedule","Yes","No")</f>
        <v>No</v>
      </c>
      <c r="AB19" s="127" t="str">
        <f>IF(OR(MasterFees[[#This Row],[Fee Basis]]="Add-on",MasterFees[[#This Row],[Fee Basis]]="Time band",MasterFees[[#This Row],[Fee Basis]]="Other"),MasterFees[[#This Row],[Fee Basis]],"Base")</f>
        <v>Base</v>
      </c>
      <c r="AC19" s="141" t="str">
        <f>IF(MasterFees[[#This Row],[Fixed Fee?]]="Yes",MasterFees[[#This Row],[Fee Excl. GST]],"")</f>
        <v/>
      </c>
    </row>
    <row r="20" spans="1:29" x14ac:dyDescent="0.2">
      <c r="A20" s="67" t="s">
        <v>2157</v>
      </c>
      <c r="B20" s="31">
        <f>IF(MasterFees[[#This Row],[RVG Code]]="","",_xlfn.XLOOKUP(MasterFees[[#This Row],[RVG Code]],RVGCodes[Code],RVGCodes[Base Units],"Code not found"))</f>
        <v>4</v>
      </c>
      <c r="C2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20" s="125" t="s">
        <v>2572</v>
      </c>
      <c r="F20" s="48" t="s">
        <v>2569</v>
      </c>
      <c r="G20" s="30" t="s">
        <v>96</v>
      </c>
      <c r="H20" s="37" t="s">
        <v>1095</v>
      </c>
      <c r="I20" s="37"/>
      <c r="J20" s="37" t="s">
        <v>1096</v>
      </c>
      <c r="K20" s="32">
        <v>4</v>
      </c>
      <c r="L20" s="32">
        <v>1.5</v>
      </c>
      <c r="M20" s="32">
        <v>0.6</v>
      </c>
      <c r="N20" s="32">
        <v>6.1</v>
      </c>
      <c r="O20" s="33">
        <v>332.75</v>
      </c>
      <c r="P20" s="38" t="s">
        <v>1014</v>
      </c>
      <c r="Q20" s="34" t="str">
        <f>IF(MasterFees[[#This Row],[GST Basis]]="Excl",MasterFees[[#This Row],[Fee as Printed]],IF(MasterFees[[#This Row],[GST Basis]]="Incl",MasterFees[[#This Row],[Fee as Printed]]/(1+GST_Rate),""))</f>
        <v/>
      </c>
      <c r="R20" s="34" t="str">
        <f>IF(MasterFees[[#This Row],[GST Basis]]="Incl",MasterFees[[#This Row],[Fee as Printed]],IF(MasterFees[[#This Row],[GST Basis]]="Excl",MasterFees[[#This Row],[Fee as Printed]]*(1+GST_Rate),""))</f>
        <v/>
      </c>
      <c r="S20" s="35">
        <f>IF(N(MasterFees[[#This Row],[Total Units]])=0,"",MasterFees[[#This Row],[Fee as Printed]]/MasterFees[[#This Row],[Total Units]])</f>
        <v>54.549180327868854</v>
      </c>
      <c r="T20" s="36"/>
      <c r="U20" s="39" t="s">
        <v>1012</v>
      </c>
      <c r="V20" s="39" t="s">
        <v>1185</v>
      </c>
      <c r="W20" s="30"/>
      <c r="X20" s="73" t="s">
        <v>2968</v>
      </c>
      <c r="Y20" s="127" t="str">
        <f>_xlfn.XLOOKUP(MasterFees[[#This Row],[Provider / Payer]],Contracts[Contract Name],Contracts[Contract ID],"No contract")</f>
        <v>CON-01</v>
      </c>
      <c r="Z20" s="127" t="str">
        <f>_xlfn.XLOOKUP(MasterFees[[#This Row],[Provider / Payer]],Contracts[Contract Name],Contracts[Pricing Basis],"To confirm")</f>
        <v>To confirm</v>
      </c>
      <c r="AA20" s="127" t="str">
        <f>IF(MasterFees[[#This Row],[Pricing Basis]]="Fixed fee schedule","Yes","No")</f>
        <v>No</v>
      </c>
      <c r="AB20" s="127" t="str">
        <f>IF(OR(MasterFees[[#This Row],[Fee Basis]]="Add-on",MasterFees[[#This Row],[Fee Basis]]="Time band",MasterFees[[#This Row],[Fee Basis]]="Other"),MasterFees[[#This Row],[Fee Basis]],"Base")</f>
        <v>Base</v>
      </c>
      <c r="AC20" s="141" t="str">
        <f>IF(MasterFees[[#This Row],[Fixed Fee?]]="Yes",MasterFees[[#This Row],[Fee Excl. GST]],"")</f>
        <v/>
      </c>
    </row>
    <row r="21" spans="1:29" x14ac:dyDescent="0.2">
      <c r="A21" s="67" t="s">
        <v>2159</v>
      </c>
      <c r="B21" s="31">
        <f>IF(MasterFees[[#This Row],[RVG Code]]="","",_xlfn.XLOOKUP(MasterFees[[#This Row],[RVG Code]],RVGCodes[Code],RVGCodes[Base Units],"Code not found"))</f>
        <v>5</v>
      </c>
      <c r="C2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21" s="125" t="s">
        <v>2571</v>
      </c>
      <c r="F21" s="48" t="s">
        <v>2567</v>
      </c>
      <c r="G21" s="30" t="s">
        <v>100</v>
      </c>
      <c r="H21" s="37" t="s">
        <v>1095</v>
      </c>
      <c r="I21" s="37"/>
      <c r="J21" s="37" t="s">
        <v>1096</v>
      </c>
      <c r="K21" s="32">
        <v>5.0999999999999996</v>
      </c>
      <c r="L21" s="32">
        <v>3.5</v>
      </c>
      <c r="M21" s="32">
        <v>0.1</v>
      </c>
      <c r="N21" s="32">
        <v>8.8000000000000007</v>
      </c>
      <c r="O21" s="33">
        <v>482.35</v>
      </c>
      <c r="P21" s="38" t="s">
        <v>1014</v>
      </c>
      <c r="Q21" s="34" t="str">
        <f>IF(MasterFees[[#This Row],[GST Basis]]="Excl",MasterFees[[#This Row],[Fee as Printed]],IF(MasterFees[[#This Row],[GST Basis]]="Incl",MasterFees[[#This Row],[Fee as Printed]]/(1+GST_Rate),""))</f>
        <v/>
      </c>
      <c r="R21" s="34" t="str">
        <f>IF(MasterFees[[#This Row],[GST Basis]]="Incl",MasterFees[[#This Row],[Fee as Printed]],IF(MasterFees[[#This Row],[GST Basis]]="Excl",MasterFees[[#This Row],[Fee as Printed]]*(1+GST_Rate),""))</f>
        <v/>
      </c>
      <c r="S21" s="35">
        <f>IF(N(MasterFees[[#This Row],[Total Units]])=0,"",MasterFees[[#This Row],[Fee as Printed]]/MasterFees[[#This Row],[Total Units]])</f>
        <v>54.8125</v>
      </c>
      <c r="T21" s="36"/>
      <c r="U21" s="39" t="s">
        <v>1012</v>
      </c>
      <c r="V21" s="39" t="s">
        <v>1189</v>
      </c>
      <c r="W21" s="30"/>
      <c r="X21" s="73" t="s">
        <v>2972</v>
      </c>
      <c r="Y21" s="127" t="str">
        <f>_xlfn.XLOOKUP(MasterFees[[#This Row],[Provider / Payer]],Contracts[Contract Name],Contracts[Contract ID],"No contract")</f>
        <v>CON-01</v>
      </c>
      <c r="Z21" s="127" t="str">
        <f>_xlfn.XLOOKUP(MasterFees[[#This Row],[Provider / Payer]],Contracts[Contract Name],Contracts[Pricing Basis],"To confirm")</f>
        <v>To confirm</v>
      </c>
      <c r="AA21" s="127" t="str">
        <f>IF(MasterFees[[#This Row],[Pricing Basis]]="Fixed fee schedule","Yes","No")</f>
        <v>No</v>
      </c>
      <c r="AB21" s="127" t="str">
        <f>IF(OR(MasterFees[[#This Row],[Fee Basis]]="Add-on",MasterFees[[#This Row],[Fee Basis]]="Time band",MasterFees[[#This Row],[Fee Basis]]="Other"),MasterFees[[#This Row],[Fee Basis]],"Base")</f>
        <v>Base</v>
      </c>
      <c r="AC21" s="141" t="str">
        <f>IF(MasterFees[[#This Row],[Fixed Fee?]]="Yes",MasterFees[[#This Row],[Fee Excl. GST]],"")</f>
        <v/>
      </c>
    </row>
    <row r="22" spans="1:29" x14ac:dyDescent="0.2">
      <c r="A22" s="67" t="s">
        <v>2159</v>
      </c>
      <c r="B22" s="31">
        <f>IF(MasterFees[[#This Row],[RVG Code]]="","",_xlfn.XLOOKUP(MasterFees[[#This Row],[RVG Code]],RVGCodes[Code],RVGCodes[Base Units],"Code not found"))</f>
        <v>5</v>
      </c>
      <c r="C2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22" s="125" t="s">
        <v>2571</v>
      </c>
      <c r="F22" s="48" t="s">
        <v>2569</v>
      </c>
      <c r="G22" s="30" t="s">
        <v>101</v>
      </c>
      <c r="H22" s="37" t="s">
        <v>1095</v>
      </c>
      <c r="I22" s="37"/>
      <c r="J22" s="37" t="s">
        <v>1096</v>
      </c>
      <c r="K22" s="32">
        <v>7</v>
      </c>
      <c r="L22" s="32">
        <v>6</v>
      </c>
      <c r="M22" s="32">
        <v>0</v>
      </c>
      <c r="N22" s="32">
        <v>13</v>
      </c>
      <c r="O22" s="33">
        <v>715</v>
      </c>
      <c r="P22" s="38" t="s">
        <v>1014</v>
      </c>
      <c r="Q22" s="34" t="str">
        <f>IF(MasterFees[[#This Row],[GST Basis]]="Excl",MasterFees[[#This Row],[Fee as Printed]],IF(MasterFees[[#This Row],[GST Basis]]="Incl",MasterFees[[#This Row],[Fee as Printed]]/(1+GST_Rate),""))</f>
        <v/>
      </c>
      <c r="R22" s="34" t="str">
        <f>IF(MasterFees[[#This Row],[GST Basis]]="Incl",MasterFees[[#This Row],[Fee as Printed]],IF(MasterFees[[#This Row],[GST Basis]]="Excl",MasterFees[[#This Row],[Fee as Printed]]*(1+GST_Rate),""))</f>
        <v/>
      </c>
      <c r="S22" s="35">
        <f>IF(N(MasterFees[[#This Row],[Total Units]])=0,"",MasterFees[[#This Row],[Fee as Printed]]/MasterFees[[#This Row],[Total Units]])</f>
        <v>55</v>
      </c>
      <c r="T22" s="36"/>
      <c r="U22" s="39" t="s">
        <v>1012</v>
      </c>
      <c r="V22" s="39" t="s">
        <v>1190</v>
      </c>
      <c r="W22" s="30"/>
      <c r="X22" s="73" t="s">
        <v>2973</v>
      </c>
      <c r="Y22" s="127" t="str">
        <f>_xlfn.XLOOKUP(MasterFees[[#This Row],[Provider / Payer]],Contracts[Contract Name],Contracts[Contract ID],"No contract")</f>
        <v>CON-01</v>
      </c>
      <c r="Z22" s="127" t="str">
        <f>_xlfn.XLOOKUP(MasterFees[[#This Row],[Provider / Payer]],Contracts[Contract Name],Contracts[Pricing Basis],"To confirm")</f>
        <v>To confirm</v>
      </c>
      <c r="AA22" s="127" t="str">
        <f>IF(MasterFees[[#This Row],[Pricing Basis]]="Fixed fee schedule","Yes","No")</f>
        <v>No</v>
      </c>
      <c r="AB22" s="127" t="str">
        <f>IF(OR(MasterFees[[#This Row],[Fee Basis]]="Add-on",MasterFees[[#This Row],[Fee Basis]]="Time band",MasterFees[[#This Row],[Fee Basis]]="Other"),MasterFees[[#This Row],[Fee Basis]],"Base")</f>
        <v>Base</v>
      </c>
      <c r="AC22" s="141" t="str">
        <f>IF(MasterFees[[#This Row],[Fixed Fee?]]="Yes",MasterFees[[#This Row],[Fee Excl. GST]],"")</f>
        <v/>
      </c>
    </row>
    <row r="23" spans="1:29" x14ac:dyDescent="0.2">
      <c r="A23" s="67" t="s">
        <v>2157</v>
      </c>
      <c r="B23" s="31">
        <f>IF(MasterFees[[#This Row],[RVG Code]]="","",_xlfn.XLOOKUP(MasterFees[[#This Row],[RVG Code]],RVGCodes[Code],RVGCodes[Base Units],"Code not found"))</f>
        <v>4</v>
      </c>
      <c r="C2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23" s="125" t="s">
        <v>2572</v>
      </c>
      <c r="F23" s="48" t="s">
        <v>2567</v>
      </c>
      <c r="G23" s="30" t="s">
        <v>70</v>
      </c>
      <c r="H23" s="37" t="s">
        <v>1095</v>
      </c>
      <c r="I23" s="37"/>
      <c r="J23" s="37" t="s">
        <v>1096</v>
      </c>
      <c r="K23" s="32">
        <v>2.7</v>
      </c>
      <c r="L23" s="32">
        <v>2.5</v>
      </c>
      <c r="M23" s="32">
        <v>0.2</v>
      </c>
      <c r="N23" s="32">
        <v>5.3</v>
      </c>
      <c r="O23" s="33">
        <v>292.60000000000002</v>
      </c>
      <c r="P23" s="38" t="s">
        <v>1014</v>
      </c>
      <c r="Q23" s="34" t="str">
        <f>IF(MasterFees[[#This Row],[GST Basis]]="Excl",MasterFees[[#This Row],[Fee as Printed]],IF(MasterFees[[#This Row],[GST Basis]]="Incl",MasterFees[[#This Row],[Fee as Printed]]/(1+GST_Rate),""))</f>
        <v/>
      </c>
      <c r="R23" s="34" t="str">
        <f>IF(MasterFees[[#This Row],[GST Basis]]="Incl",MasterFees[[#This Row],[Fee as Printed]],IF(MasterFees[[#This Row],[GST Basis]]="Excl",MasterFees[[#This Row],[Fee as Printed]]*(1+GST_Rate),""))</f>
        <v/>
      </c>
      <c r="S23" s="35">
        <f>IF(N(MasterFees[[#This Row],[Total Units]])=0,"",MasterFees[[#This Row],[Fee as Printed]]/MasterFees[[#This Row],[Total Units]])</f>
        <v>55.207547169811328</v>
      </c>
      <c r="T23" s="36"/>
      <c r="U23" s="39" t="s">
        <v>1012</v>
      </c>
      <c r="V23" s="39" t="s">
        <v>1159</v>
      </c>
      <c r="W23" s="30"/>
      <c r="X23" s="73" t="s">
        <v>2942</v>
      </c>
      <c r="Y23" s="127" t="str">
        <f>_xlfn.XLOOKUP(MasterFees[[#This Row],[Provider / Payer]],Contracts[Contract Name],Contracts[Contract ID],"No contract")</f>
        <v>CON-01</v>
      </c>
      <c r="Z23" s="127" t="str">
        <f>_xlfn.XLOOKUP(MasterFees[[#This Row],[Provider / Payer]],Contracts[Contract Name],Contracts[Pricing Basis],"To confirm")</f>
        <v>To confirm</v>
      </c>
      <c r="AA23" s="127" t="str">
        <f>IF(MasterFees[[#This Row],[Pricing Basis]]="Fixed fee schedule","Yes","No")</f>
        <v>No</v>
      </c>
      <c r="AB23" s="127" t="str">
        <f>IF(OR(MasterFees[[#This Row],[Fee Basis]]="Add-on",MasterFees[[#This Row],[Fee Basis]]="Time band",MasterFees[[#This Row],[Fee Basis]]="Other"),MasterFees[[#This Row],[Fee Basis]],"Base")</f>
        <v>Base</v>
      </c>
      <c r="AC23" s="141" t="str">
        <f>IF(MasterFees[[#This Row],[Fixed Fee?]]="Yes",MasterFees[[#This Row],[Fee Excl. GST]],"")</f>
        <v/>
      </c>
    </row>
    <row r="24" spans="1:29" x14ac:dyDescent="0.2">
      <c r="A24" s="67" t="s">
        <v>2157</v>
      </c>
      <c r="B24" s="31">
        <f>IF(MasterFees[[#This Row],[RVG Code]]="","",_xlfn.XLOOKUP(MasterFees[[#This Row],[RVG Code]],RVGCodes[Code],RVGCodes[Base Units],"Code not found"))</f>
        <v>4</v>
      </c>
      <c r="C2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24" s="125" t="s">
        <v>2572</v>
      </c>
      <c r="F24" s="48" t="s">
        <v>2567</v>
      </c>
      <c r="G24" s="30" t="s">
        <v>70</v>
      </c>
      <c r="H24" s="37" t="s">
        <v>1095</v>
      </c>
      <c r="I24" s="37"/>
      <c r="J24" s="37" t="s">
        <v>1096</v>
      </c>
      <c r="K24" s="32">
        <v>1.6</v>
      </c>
      <c r="L24" s="32">
        <v>2.4</v>
      </c>
      <c r="M24" s="32">
        <v>0</v>
      </c>
      <c r="N24" s="32">
        <v>4</v>
      </c>
      <c r="O24" s="33">
        <v>220</v>
      </c>
      <c r="P24" s="38" t="s">
        <v>1014</v>
      </c>
      <c r="Q24" s="34" t="str">
        <f>IF(MasterFees[[#This Row],[GST Basis]]="Excl",MasterFees[[#This Row],[Fee as Printed]],IF(MasterFees[[#This Row],[GST Basis]]="Incl",MasterFees[[#This Row],[Fee as Printed]]/(1+GST_Rate),""))</f>
        <v/>
      </c>
      <c r="R24" s="34" t="str">
        <f>IF(MasterFees[[#This Row],[GST Basis]]="Incl",MasterFees[[#This Row],[Fee as Printed]],IF(MasterFees[[#This Row],[GST Basis]]="Excl",MasterFees[[#This Row],[Fee as Printed]]*(1+GST_Rate),""))</f>
        <v/>
      </c>
      <c r="S24" s="35">
        <f>IF(N(MasterFees[[#This Row],[Total Units]])=0,"",MasterFees[[#This Row],[Fee as Printed]]/MasterFees[[#This Row],[Total Units]])</f>
        <v>55</v>
      </c>
      <c r="T24" s="36"/>
      <c r="U24" s="39" t="s">
        <v>1012</v>
      </c>
      <c r="V24" s="39" t="s">
        <v>1191</v>
      </c>
      <c r="W24" s="30"/>
      <c r="X24" s="73" t="s">
        <v>2974</v>
      </c>
      <c r="Y24" s="127" t="str">
        <f>_xlfn.XLOOKUP(MasterFees[[#This Row],[Provider / Payer]],Contracts[Contract Name],Contracts[Contract ID],"No contract")</f>
        <v>CON-01</v>
      </c>
      <c r="Z24" s="127" t="str">
        <f>_xlfn.XLOOKUP(MasterFees[[#This Row],[Provider / Payer]],Contracts[Contract Name],Contracts[Pricing Basis],"To confirm")</f>
        <v>To confirm</v>
      </c>
      <c r="AA24" s="127" t="str">
        <f>IF(MasterFees[[#This Row],[Pricing Basis]]="Fixed fee schedule","Yes","No")</f>
        <v>No</v>
      </c>
      <c r="AB24" s="127" t="str">
        <f>IF(OR(MasterFees[[#This Row],[Fee Basis]]="Add-on",MasterFees[[#This Row],[Fee Basis]]="Time band",MasterFees[[#This Row],[Fee Basis]]="Other"),MasterFees[[#This Row],[Fee Basis]],"Base")</f>
        <v>Base</v>
      </c>
      <c r="AC24" s="141" t="str">
        <f>IF(MasterFees[[#This Row],[Fixed Fee?]]="Yes",MasterFees[[#This Row],[Fee Excl. GST]],"")</f>
        <v/>
      </c>
    </row>
    <row r="25" spans="1:29" x14ac:dyDescent="0.2">
      <c r="A25" s="67" t="s">
        <v>2157</v>
      </c>
      <c r="B25" s="31">
        <f>IF(MasterFees[[#This Row],[RVG Code]]="","",_xlfn.XLOOKUP(MasterFees[[#This Row],[RVG Code]],RVGCodes[Code],RVGCodes[Base Units],"Code not found"))</f>
        <v>4</v>
      </c>
      <c r="C2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25" s="125" t="s">
        <v>2572</v>
      </c>
      <c r="F25" s="48" t="s">
        <v>2569</v>
      </c>
      <c r="G25" s="30" t="s">
        <v>108</v>
      </c>
      <c r="H25" s="37" t="s">
        <v>1095</v>
      </c>
      <c r="I25" s="37"/>
      <c r="J25" s="37" t="s">
        <v>1096</v>
      </c>
      <c r="K25" s="32">
        <v>4</v>
      </c>
      <c r="L25" s="32">
        <v>1.3</v>
      </c>
      <c r="M25" s="32">
        <v>0.3</v>
      </c>
      <c r="N25" s="32">
        <v>5.6</v>
      </c>
      <c r="O25" s="33">
        <v>307.45</v>
      </c>
      <c r="P25" s="38" t="s">
        <v>1014</v>
      </c>
      <c r="Q25" s="34" t="str">
        <f>IF(MasterFees[[#This Row],[GST Basis]]="Excl",MasterFees[[#This Row],[Fee as Printed]],IF(MasterFees[[#This Row],[GST Basis]]="Incl",MasterFees[[#This Row],[Fee as Printed]]/(1+GST_Rate),""))</f>
        <v/>
      </c>
      <c r="R25" s="34" t="str">
        <f>IF(MasterFees[[#This Row],[GST Basis]]="Incl",MasterFees[[#This Row],[Fee as Printed]],IF(MasterFees[[#This Row],[GST Basis]]="Excl",MasterFees[[#This Row],[Fee as Printed]]*(1+GST_Rate),""))</f>
        <v/>
      </c>
      <c r="S25" s="35">
        <f>IF(N(MasterFees[[#This Row],[Total Units]])=0,"",MasterFees[[#This Row],[Fee as Printed]]/MasterFees[[#This Row],[Total Units]])</f>
        <v>54.901785714285715</v>
      </c>
      <c r="T25" s="36"/>
      <c r="U25" s="39" t="s">
        <v>1012</v>
      </c>
      <c r="V25" s="39" t="s">
        <v>1199</v>
      </c>
      <c r="W25" s="30"/>
      <c r="X25" s="73" t="s">
        <v>2982</v>
      </c>
      <c r="Y25" s="127" t="str">
        <f>_xlfn.XLOOKUP(MasterFees[[#This Row],[Provider / Payer]],Contracts[Contract Name],Contracts[Contract ID],"No contract")</f>
        <v>CON-01</v>
      </c>
      <c r="Z25" s="127" t="str">
        <f>_xlfn.XLOOKUP(MasterFees[[#This Row],[Provider / Payer]],Contracts[Contract Name],Contracts[Pricing Basis],"To confirm")</f>
        <v>To confirm</v>
      </c>
      <c r="AA25" s="127" t="str">
        <f>IF(MasterFees[[#This Row],[Pricing Basis]]="Fixed fee schedule","Yes","No")</f>
        <v>No</v>
      </c>
      <c r="AB25" s="127" t="str">
        <f>IF(OR(MasterFees[[#This Row],[Fee Basis]]="Add-on",MasterFees[[#This Row],[Fee Basis]]="Time band",MasterFees[[#This Row],[Fee Basis]]="Other"),MasterFees[[#This Row],[Fee Basis]],"Base")</f>
        <v>Base</v>
      </c>
      <c r="AC25" s="141" t="str">
        <f>IF(MasterFees[[#This Row],[Fixed Fee?]]="Yes",MasterFees[[#This Row],[Fee Excl. GST]],"")</f>
        <v/>
      </c>
    </row>
    <row r="26" spans="1:29" x14ac:dyDescent="0.2">
      <c r="A26" s="67" t="s">
        <v>2157</v>
      </c>
      <c r="B26" s="31">
        <f>IF(MasterFees[[#This Row],[RVG Code]]="","",_xlfn.XLOOKUP(MasterFees[[#This Row],[RVG Code]],RVGCodes[Code],RVGCodes[Base Units],"Code not found"))</f>
        <v>4</v>
      </c>
      <c r="C2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26" s="125" t="s">
        <v>2572</v>
      </c>
      <c r="F26" s="48" t="s">
        <v>2569</v>
      </c>
      <c r="G26" s="30" t="s">
        <v>109</v>
      </c>
      <c r="H26" s="37" t="s">
        <v>1095</v>
      </c>
      <c r="I26" s="37"/>
      <c r="J26" s="37" t="s">
        <v>1096</v>
      </c>
      <c r="K26" s="32">
        <v>4</v>
      </c>
      <c r="L26" s="32">
        <v>1.4</v>
      </c>
      <c r="M26" s="32">
        <v>0.4</v>
      </c>
      <c r="N26" s="32">
        <v>5.8</v>
      </c>
      <c r="O26" s="33">
        <v>319</v>
      </c>
      <c r="P26" s="38" t="s">
        <v>1014</v>
      </c>
      <c r="Q26" s="34" t="str">
        <f>IF(MasterFees[[#This Row],[GST Basis]]="Excl",MasterFees[[#This Row],[Fee as Printed]],IF(MasterFees[[#This Row],[GST Basis]]="Incl",MasterFees[[#This Row],[Fee as Printed]]/(1+GST_Rate),""))</f>
        <v/>
      </c>
      <c r="R26" s="34" t="str">
        <f>IF(MasterFees[[#This Row],[GST Basis]]="Incl",MasterFees[[#This Row],[Fee as Printed]],IF(MasterFees[[#This Row],[GST Basis]]="Excl",MasterFees[[#This Row],[Fee as Printed]]*(1+GST_Rate),""))</f>
        <v/>
      </c>
      <c r="S26" s="35">
        <f>IF(N(MasterFees[[#This Row],[Total Units]])=0,"",MasterFees[[#This Row],[Fee as Printed]]/MasterFees[[#This Row],[Total Units]])</f>
        <v>55</v>
      </c>
      <c r="T26" s="36"/>
      <c r="U26" s="39" t="s">
        <v>1012</v>
      </c>
      <c r="V26" s="39" t="s">
        <v>1200</v>
      </c>
      <c r="W26" s="30"/>
      <c r="X26" s="73" t="s">
        <v>2983</v>
      </c>
      <c r="Y26" s="127" t="str">
        <f>_xlfn.XLOOKUP(MasterFees[[#This Row],[Provider / Payer]],Contracts[Contract Name],Contracts[Contract ID],"No contract")</f>
        <v>CON-01</v>
      </c>
      <c r="Z26" s="127" t="str">
        <f>_xlfn.XLOOKUP(MasterFees[[#This Row],[Provider / Payer]],Contracts[Contract Name],Contracts[Pricing Basis],"To confirm")</f>
        <v>To confirm</v>
      </c>
      <c r="AA26" s="127" t="str">
        <f>IF(MasterFees[[#This Row],[Pricing Basis]]="Fixed fee schedule","Yes","No")</f>
        <v>No</v>
      </c>
      <c r="AB26" s="127" t="str">
        <f>IF(OR(MasterFees[[#This Row],[Fee Basis]]="Add-on",MasterFees[[#This Row],[Fee Basis]]="Time band",MasterFees[[#This Row],[Fee Basis]]="Other"),MasterFees[[#This Row],[Fee Basis]],"Base")</f>
        <v>Base</v>
      </c>
      <c r="AC26" s="141" t="str">
        <f>IF(MasterFees[[#This Row],[Fixed Fee?]]="Yes",MasterFees[[#This Row],[Fee Excl. GST]],"")</f>
        <v/>
      </c>
    </row>
    <row r="27" spans="1:29" x14ac:dyDescent="0.2">
      <c r="A27" s="67" t="s">
        <v>2159</v>
      </c>
      <c r="B27" s="31">
        <f>IF(MasterFees[[#This Row],[RVG Code]]="","",_xlfn.XLOOKUP(MasterFees[[#This Row],[RVG Code]],RVGCodes[Code],RVGCodes[Base Units],"Code not found"))</f>
        <v>5</v>
      </c>
      <c r="C2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27" s="125" t="s">
        <v>2571</v>
      </c>
      <c r="F27" s="48" t="s">
        <v>2567</v>
      </c>
      <c r="G27" s="30" t="s">
        <v>110</v>
      </c>
      <c r="H27" s="37" t="s">
        <v>1095</v>
      </c>
      <c r="I27" s="37"/>
      <c r="J27" s="37" t="s">
        <v>1096</v>
      </c>
      <c r="K27" s="32">
        <v>4.8</v>
      </c>
      <c r="L27" s="32">
        <v>7.6</v>
      </c>
      <c r="M27" s="32">
        <v>0.3</v>
      </c>
      <c r="N27" s="32">
        <v>12.7</v>
      </c>
      <c r="O27" s="33">
        <v>700.7</v>
      </c>
      <c r="P27" s="38" t="s">
        <v>1014</v>
      </c>
      <c r="Q27" s="34" t="str">
        <f>IF(MasterFees[[#This Row],[GST Basis]]="Excl",MasterFees[[#This Row],[Fee as Printed]],IF(MasterFees[[#This Row],[GST Basis]]="Incl",MasterFees[[#This Row],[Fee as Printed]]/(1+GST_Rate),""))</f>
        <v/>
      </c>
      <c r="R27" s="34" t="str">
        <f>IF(MasterFees[[#This Row],[GST Basis]]="Incl",MasterFees[[#This Row],[Fee as Printed]],IF(MasterFees[[#This Row],[GST Basis]]="Excl",MasterFees[[#This Row],[Fee as Printed]]*(1+GST_Rate),""))</f>
        <v/>
      </c>
      <c r="S27" s="35">
        <f>IF(N(MasterFees[[#This Row],[Total Units]])=0,"",MasterFees[[#This Row],[Fee as Printed]]/MasterFees[[#This Row],[Total Units]])</f>
        <v>55.173228346456696</v>
      </c>
      <c r="T27" s="36"/>
      <c r="U27" s="39" t="s">
        <v>1012</v>
      </c>
      <c r="V27" s="39" t="s">
        <v>1201</v>
      </c>
      <c r="W27" s="30"/>
      <c r="X27" s="73" t="s">
        <v>2984</v>
      </c>
      <c r="Y27" s="127" t="str">
        <f>_xlfn.XLOOKUP(MasterFees[[#This Row],[Provider / Payer]],Contracts[Contract Name],Contracts[Contract ID],"No contract")</f>
        <v>CON-01</v>
      </c>
      <c r="Z27" s="127" t="str">
        <f>_xlfn.XLOOKUP(MasterFees[[#This Row],[Provider / Payer]],Contracts[Contract Name],Contracts[Pricing Basis],"To confirm")</f>
        <v>To confirm</v>
      </c>
      <c r="AA27" s="127" t="str">
        <f>IF(MasterFees[[#This Row],[Pricing Basis]]="Fixed fee schedule","Yes","No")</f>
        <v>No</v>
      </c>
      <c r="AB27" s="127" t="str">
        <f>IF(OR(MasterFees[[#This Row],[Fee Basis]]="Add-on",MasterFees[[#This Row],[Fee Basis]]="Time band",MasterFees[[#This Row],[Fee Basis]]="Other"),MasterFees[[#This Row],[Fee Basis]],"Base")</f>
        <v>Base</v>
      </c>
      <c r="AC27" s="141" t="str">
        <f>IF(MasterFees[[#This Row],[Fixed Fee?]]="Yes",MasterFees[[#This Row],[Fee Excl. GST]],"")</f>
        <v/>
      </c>
    </row>
    <row r="28" spans="1:29" x14ac:dyDescent="0.2">
      <c r="A28" s="67" t="s">
        <v>2157</v>
      </c>
      <c r="B28" s="31">
        <f>IF(MasterFees[[#This Row],[RVG Code]]="","",_xlfn.XLOOKUP(MasterFees[[#This Row],[RVG Code]],RVGCodes[Code],RVGCodes[Base Units],"Code not found"))</f>
        <v>4</v>
      </c>
      <c r="C2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28" s="125" t="s">
        <v>2572</v>
      </c>
      <c r="F28" s="48" t="s">
        <v>2569</v>
      </c>
      <c r="G28" s="30" t="s">
        <v>4151</v>
      </c>
      <c r="H28" s="37" t="s">
        <v>4157</v>
      </c>
      <c r="I28" s="79" t="s">
        <v>4150</v>
      </c>
      <c r="J28" s="37" t="s">
        <v>1024</v>
      </c>
      <c r="K28" s="32"/>
      <c r="L28" s="32"/>
      <c r="M28" s="32"/>
      <c r="N28" s="32"/>
      <c r="O28" s="33">
        <v>1265</v>
      </c>
      <c r="P28" s="38" t="s">
        <v>4043</v>
      </c>
      <c r="Q28" s="34">
        <f>IF(MasterFees[[#This Row],[GST Basis]]="Excl",MasterFees[[#This Row],[Fee as Printed]],IF(MasterFees[[#This Row],[GST Basis]]="Incl",MasterFees[[#This Row],[Fee as Printed]]/(1+GST_Rate),""))</f>
        <v>1100</v>
      </c>
      <c r="R28" s="34">
        <f>IF(MasterFees[[#This Row],[GST Basis]]="Incl",MasterFees[[#This Row],[Fee as Printed]],IF(MasterFees[[#This Row],[GST Basis]]="Excl",MasterFees[[#This Row],[Fee as Printed]]*(1+GST_Rate),""))</f>
        <v>1265</v>
      </c>
      <c r="S28" s="35" t="str">
        <f>IF(N(MasterFees[[#This Row],[Total Units]])=0,"",MasterFees[[#This Row],[Fee as Printed]]/MasterFees[[#This Row],[Total Units]])</f>
        <v/>
      </c>
      <c r="T28" s="36">
        <v>46113</v>
      </c>
      <c r="U28" s="39" t="s">
        <v>4158</v>
      </c>
      <c r="V28" s="39" t="s">
        <v>4070</v>
      </c>
      <c r="W28" s="30" t="s">
        <v>4159</v>
      </c>
      <c r="X28" s="77" t="s">
        <v>4160</v>
      </c>
      <c r="Y28" s="127" t="str">
        <f>_xlfn.XLOOKUP(MasterFees[[#This Row],[Provider / Payer]],Contracts[Contract Name],Contracts[Contract ID],"No contract")</f>
        <v>CON-02</v>
      </c>
      <c r="Z28" s="127" t="str">
        <f>_xlfn.XLOOKUP(MasterFees[[#This Row],[Provider / Payer]],Contracts[Contract Name],Contracts[Pricing Basis],"To confirm")</f>
        <v>Fixed fee schedule</v>
      </c>
      <c r="AA28" s="127" t="str">
        <f>IF(MasterFees[[#This Row],[Pricing Basis]]="Fixed fee schedule","Yes","No")</f>
        <v>Yes</v>
      </c>
      <c r="AB28" s="127" t="str">
        <f>IF(OR(MasterFees[[#This Row],[Fee Basis]]="Add-on",MasterFees[[#This Row],[Fee Basis]]="Time band",MasterFees[[#This Row],[Fee Basis]]="Other"),MasterFees[[#This Row],[Fee Basis]],"Base")</f>
        <v>Base</v>
      </c>
      <c r="AC28" s="141">
        <f>IF(MasterFees[[#This Row],[Fixed Fee?]]="Yes",MasterFees[[#This Row],[Fee Excl. GST]],"")</f>
        <v>1100</v>
      </c>
    </row>
    <row r="29" spans="1:29" x14ac:dyDescent="0.2">
      <c r="A29" s="67" t="s">
        <v>2157</v>
      </c>
      <c r="B29" s="31">
        <f>IF(MasterFees[[#This Row],[RVG Code]]="","",_xlfn.XLOOKUP(MasterFees[[#This Row],[RVG Code]],RVGCodes[Code],RVGCodes[Base Units],"Code not found"))</f>
        <v>4</v>
      </c>
      <c r="C2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29" s="125" t="s">
        <v>2572</v>
      </c>
      <c r="F29" s="48" t="s">
        <v>2567</v>
      </c>
      <c r="G29" s="30" t="s">
        <v>4147</v>
      </c>
      <c r="H29" s="37" t="s">
        <v>4157</v>
      </c>
      <c r="I29" s="79" t="s">
        <v>4146</v>
      </c>
      <c r="J29" s="37" t="s">
        <v>1024</v>
      </c>
      <c r="K29" s="32"/>
      <c r="L29" s="32"/>
      <c r="M29" s="32"/>
      <c r="N29" s="32"/>
      <c r="O29" s="33">
        <v>1265</v>
      </c>
      <c r="P29" s="38" t="s">
        <v>4043</v>
      </c>
      <c r="Q29" s="34">
        <f>IF(MasterFees[[#This Row],[GST Basis]]="Excl",MasterFees[[#This Row],[Fee as Printed]],IF(MasterFees[[#This Row],[GST Basis]]="Incl",MasterFees[[#This Row],[Fee as Printed]]/(1+GST_Rate),""))</f>
        <v>1100</v>
      </c>
      <c r="R29" s="34">
        <f>IF(MasterFees[[#This Row],[GST Basis]]="Incl",MasterFees[[#This Row],[Fee as Printed]],IF(MasterFees[[#This Row],[GST Basis]]="Excl",MasterFees[[#This Row],[Fee as Printed]]*(1+GST_Rate),""))</f>
        <v>1265</v>
      </c>
      <c r="S29" s="35" t="str">
        <f>IF(N(MasterFees[[#This Row],[Total Units]])=0,"",MasterFees[[#This Row],[Fee as Printed]]/MasterFees[[#This Row],[Total Units]])</f>
        <v/>
      </c>
      <c r="T29" s="36">
        <v>46113</v>
      </c>
      <c r="U29" s="39" t="s">
        <v>4158</v>
      </c>
      <c r="V29" s="39" t="s">
        <v>4070</v>
      </c>
      <c r="W29" s="30" t="s">
        <v>4161</v>
      </c>
      <c r="X29" s="77" t="s">
        <v>4162</v>
      </c>
      <c r="Y29" s="127" t="str">
        <f>_xlfn.XLOOKUP(MasterFees[[#This Row],[Provider / Payer]],Contracts[Contract Name],Contracts[Contract ID],"No contract")</f>
        <v>CON-02</v>
      </c>
      <c r="Z29" s="127" t="str">
        <f>_xlfn.XLOOKUP(MasterFees[[#This Row],[Provider / Payer]],Contracts[Contract Name],Contracts[Pricing Basis],"To confirm")</f>
        <v>Fixed fee schedule</v>
      </c>
      <c r="AA29" s="127" t="str">
        <f>IF(MasterFees[[#This Row],[Pricing Basis]]="Fixed fee schedule","Yes","No")</f>
        <v>Yes</v>
      </c>
      <c r="AB29" s="127" t="str">
        <f>IF(OR(MasterFees[[#This Row],[Fee Basis]]="Add-on",MasterFees[[#This Row],[Fee Basis]]="Time band",MasterFees[[#This Row],[Fee Basis]]="Other"),MasterFees[[#This Row],[Fee Basis]],"Base")</f>
        <v>Base</v>
      </c>
      <c r="AC29" s="141">
        <f>IF(MasterFees[[#This Row],[Fixed Fee?]]="Yes",MasterFees[[#This Row],[Fee Excl. GST]],"")</f>
        <v>1100</v>
      </c>
    </row>
    <row r="30" spans="1:29" x14ac:dyDescent="0.2">
      <c r="A30" s="67" t="s">
        <v>2157</v>
      </c>
      <c r="B30" s="31">
        <f>IF(MasterFees[[#This Row],[RVG Code]]="","",_xlfn.XLOOKUP(MasterFees[[#This Row],[RVG Code]],RVGCodes[Code],RVGCodes[Base Units],"Code not found"))</f>
        <v>4</v>
      </c>
      <c r="C3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30" s="125" t="s">
        <v>2572</v>
      </c>
      <c r="F30" s="48" t="s">
        <v>2567</v>
      </c>
      <c r="G30" s="30" t="s">
        <v>4142</v>
      </c>
      <c r="H30" s="37" t="s">
        <v>4157</v>
      </c>
      <c r="I30" s="79" t="s">
        <v>4141</v>
      </c>
      <c r="J30" s="37" t="s">
        <v>1024</v>
      </c>
      <c r="K30" s="32"/>
      <c r="L30" s="32"/>
      <c r="M30" s="32"/>
      <c r="N30" s="32"/>
      <c r="O30" s="33">
        <v>1265</v>
      </c>
      <c r="P30" s="38" t="s">
        <v>4043</v>
      </c>
      <c r="Q30" s="34">
        <f>IF(MasterFees[[#This Row],[GST Basis]]="Excl",MasterFees[[#This Row],[Fee as Printed]],IF(MasterFees[[#This Row],[GST Basis]]="Incl",MasterFees[[#This Row],[Fee as Printed]]/(1+GST_Rate),""))</f>
        <v>1100</v>
      </c>
      <c r="R30" s="34">
        <f>IF(MasterFees[[#This Row],[GST Basis]]="Incl",MasterFees[[#This Row],[Fee as Printed]],IF(MasterFees[[#This Row],[GST Basis]]="Excl",MasterFees[[#This Row],[Fee as Printed]]*(1+GST_Rate),""))</f>
        <v>1265</v>
      </c>
      <c r="S30" s="35" t="str">
        <f>IF(N(MasterFees[[#This Row],[Total Units]])=0,"",MasterFees[[#This Row],[Fee as Printed]]/MasterFees[[#This Row],[Total Units]])</f>
        <v/>
      </c>
      <c r="T30" s="36">
        <v>46113</v>
      </c>
      <c r="U30" s="39" t="s">
        <v>4158</v>
      </c>
      <c r="V30" s="39" t="s">
        <v>4070</v>
      </c>
      <c r="W30" s="30" t="s">
        <v>4169</v>
      </c>
      <c r="X30" s="77" t="s">
        <v>4170</v>
      </c>
      <c r="Y30" s="127" t="str">
        <f>_xlfn.XLOOKUP(MasterFees[[#This Row],[Provider / Payer]],Contracts[Contract Name],Contracts[Contract ID],"No contract")</f>
        <v>CON-02</v>
      </c>
      <c r="Z30" s="127" t="str">
        <f>_xlfn.XLOOKUP(MasterFees[[#This Row],[Provider / Payer]],Contracts[Contract Name],Contracts[Pricing Basis],"To confirm")</f>
        <v>Fixed fee schedule</v>
      </c>
      <c r="AA30" s="127" t="str">
        <f>IF(MasterFees[[#This Row],[Pricing Basis]]="Fixed fee schedule","Yes","No")</f>
        <v>Yes</v>
      </c>
      <c r="AB30" s="127" t="str">
        <f>IF(OR(MasterFees[[#This Row],[Fee Basis]]="Add-on",MasterFees[[#This Row],[Fee Basis]]="Time band",MasterFees[[#This Row],[Fee Basis]]="Other"),MasterFees[[#This Row],[Fee Basis]],"Base")</f>
        <v>Base</v>
      </c>
      <c r="AC30" s="141">
        <f>IF(MasterFees[[#This Row],[Fixed Fee?]]="Yes",MasterFees[[#This Row],[Fee Excl. GST]],"")</f>
        <v>1100</v>
      </c>
    </row>
    <row r="31" spans="1:29" x14ac:dyDescent="0.2">
      <c r="A31" s="67" t="s">
        <v>2165</v>
      </c>
      <c r="B31" s="31">
        <f>IF(MasterFees[[#This Row],[RVG Code]]="","",_xlfn.XLOOKUP(MasterFees[[#This Row],[RVG Code]],RVGCodes[Code],RVGCodes[Base Units],"Code not found"))</f>
        <v>10</v>
      </c>
      <c r="C3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31" s="125" t="s">
        <v>2593</v>
      </c>
      <c r="F31" s="48" t="s">
        <v>2569</v>
      </c>
      <c r="G31" s="30" t="s">
        <v>112</v>
      </c>
      <c r="H31" s="37" t="s">
        <v>1095</v>
      </c>
      <c r="I31" s="37"/>
      <c r="J31" s="37" t="s">
        <v>1096</v>
      </c>
      <c r="K31" s="32">
        <v>13.5</v>
      </c>
      <c r="L31" s="32">
        <v>7.3</v>
      </c>
      <c r="M31" s="32">
        <v>1</v>
      </c>
      <c r="N31" s="32">
        <v>21.8</v>
      </c>
      <c r="O31" s="33">
        <v>1196.25</v>
      </c>
      <c r="P31" s="38" t="s">
        <v>1014</v>
      </c>
      <c r="Q31" s="34" t="str">
        <f>IF(MasterFees[[#This Row],[GST Basis]]="Excl",MasterFees[[#This Row],[Fee as Printed]],IF(MasterFees[[#This Row],[GST Basis]]="Incl",MasterFees[[#This Row],[Fee as Printed]]/(1+GST_Rate),""))</f>
        <v/>
      </c>
      <c r="R31" s="34" t="str">
        <f>IF(MasterFees[[#This Row],[GST Basis]]="Incl",MasterFees[[#This Row],[Fee as Printed]],IF(MasterFees[[#This Row],[GST Basis]]="Excl",MasterFees[[#This Row],[Fee as Printed]]*(1+GST_Rate),""))</f>
        <v/>
      </c>
      <c r="S31" s="35">
        <f>IF(N(MasterFees[[#This Row],[Total Units]])=0,"",MasterFees[[#This Row],[Fee as Printed]]/MasterFees[[#This Row],[Total Units]])</f>
        <v>54.87385321100917</v>
      </c>
      <c r="T31" s="36"/>
      <c r="U31" s="39" t="s">
        <v>1012</v>
      </c>
      <c r="V31" s="39" t="s">
        <v>1203</v>
      </c>
      <c r="W31" s="30"/>
      <c r="X31" s="73" t="s">
        <v>2986</v>
      </c>
      <c r="Y31" s="127" t="str">
        <f>_xlfn.XLOOKUP(MasterFees[[#This Row],[Provider / Payer]],Contracts[Contract Name],Contracts[Contract ID],"No contract")</f>
        <v>CON-01</v>
      </c>
      <c r="Z31" s="127" t="str">
        <f>_xlfn.XLOOKUP(MasterFees[[#This Row],[Provider / Payer]],Contracts[Contract Name],Contracts[Pricing Basis],"To confirm")</f>
        <v>To confirm</v>
      </c>
      <c r="AA31" s="127" t="str">
        <f>IF(MasterFees[[#This Row],[Pricing Basis]]="Fixed fee schedule","Yes","No")</f>
        <v>No</v>
      </c>
      <c r="AB31" s="127" t="str">
        <f>IF(OR(MasterFees[[#This Row],[Fee Basis]]="Add-on",MasterFees[[#This Row],[Fee Basis]]="Time band",MasterFees[[#This Row],[Fee Basis]]="Other"),MasterFees[[#This Row],[Fee Basis]],"Base")</f>
        <v>Base</v>
      </c>
      <c r="AC31" s="141" t="str">
        <f>IF(MasterFees[[#This Row],[Fixed Fee?]]="Yes",MasterFees[[#This Row],[Fee Excl. GST]],"")</f>
        <v/>
      </c>
    </row>
    <row r="32" spans="1:29" x14ac:dyDescent="0.2">
      <c r="A32" s="67" t="s">
        <v>2162</v>
      </c>
      <c r="B32" s="31">
        <f>IF(MasterFees[[#This Row],[RVG Code]]="","",_xlfn.XLOOKUP(MasterFees[[#This Row],[RVG Code]],RVGCodes[Code],RVGCodes[Base Units],"Code not found"))</f>
        <v>6</v>
      </c>
      <c r="C3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32" s="125" t="s">
        <v>2592</v>
      </c>
      <c r="F32" s="48" t="s">
        <v>2567</v>
      </c>
      <c r="G32" s="30" t="s">
        <v>114</v>
      </c>
      <c r="H32" s="37" t="s">
        <v>1095</v>
      </c>
      <c r="I32" s="37"/>
      <c r="J32" s="37" t="s">
        <v>1096</v>
      </c>
      <c r="K32" s="32">
        <v>5.6</v>
      </c>
      <c r="L32" s="32">
        <v>6.2</v>
      </c>
      <c r="M32" s="32">
        <v>0.4</v>
      </c>
      <c r="N32" s="32">
        <v>12.1</v>
      </c>
      <c r="O32" s="33">
        <v>667.7</v>
      </c>
      <c r="P32" s="38" t="s">
        <v>1014</v>
      </c>
      <c r="Q32" s="34" t="str">
        <f>IF(MasterFees[[#This Row],[GST Basis]]="Excl",MasterFees[[#This Row],[Fee as Printed]],IF(MasterFees[[#This Row],[GST Basis]]="Incl",MasterFees[[#This Row],[Fee as Printed]]/(1+GST_Rate),""))</f>
        <v/>
      </c>
      <c r="R32" s="34" t="str">
        <f>IF(MasterFees[[#This Row],[GST Basis]]="Incl",MasterFees[[#This Row],[Fee as Printed]],IF(MasterFees[[#This Row],[GST Basis]]="Excl",MasterFees[[#This Row],[Fee as Printed]]*(1+GST_Rate),""))</f>
        <v/>
      </c>
      <c r="S32" s="35">
        <f>IF(N(MasterFees[[#This Row],[Total Units]])=0,"",MasterFees[[#This Row],[Fee as Printed]]/MasterFees[[#This Row],[Total Units]])</f>
        <v>55.181818181818187</v>
      </c>
      <c r="T32" s="36"/>
      <c r="U32" s="39" t="s">
        <v>1012</v>
      </c>
      <c r="V32" s="39" t="s">
        <v>1205</v>
      </c>
      <c r="W32" s="30"/>
      <c r="X32" s="73" t="s">
        <v>2988</v>
      </c>
      <c r="Y32" s="127" t="str">
        <f>_xlfn.XLOOKUP(MasterFees[[#This Row],[Provider / Payer]],Contracts[Contract Name],Contracts[Contract ID],"No contract")</f>
        <v>CON-01</v>
      </c>
      <c r="Z32" s="127" t="str">
        <f>_xlfn.XLOOKUP(MasterFees[[#This Row],[Provider / Payer]],Contracts[Contract Name],Contracts[Pricing Basis],"To confirm")</f>
        <v>To confirm</v>
      </c>
      <c r="AA32" s="127" t="str">
        <f>IF(MasterFees[[#This Row],[Pricing Basis]]="Fixed fee schedule","Yes","No")</f>
        <v>No</v>
      </c>
      <c r="AB32" s="127" t="str">
        <f>IF(OR(MasterFees[[#This Row],[Fee Basis]]="Add-on",MasterFees[[#This Row],[Fee Basis]]="Time band",MasterFees[[#This Row],[Fee Basis]]="Other"),MasterFees[[#This Row],[Fee Basis]],"Base")</f>
        <v>Base</v>
      </c>
      <c r="AC32" s="141" t="str">
        <f>IF(MasterFees[[#This Row],[Fixed Fee?]]="Yes",MasterFees[[#This Row],[Fee Excl. GST]],"")</f>
        <v/>
      </c>
    </row>
    <row r="33" spans="1:29" x14ac:dyDescent="0.2">
      <c r="A33" s="67" t="s">
        <v>2159</v>
      </c>
      <c r="B33" s="31">
        <f>IF(MasterFees[[#This Row],[RVG Code]]="","",_xlfn.XLOOKUP(MasterFees[[#This Row],[RVG Code]],RVGCodes[Code],RVGCodes[Base Units],"Code not found"))</f>
        <v>5</v>
      </c>
      <c r="C3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33" s="125" t="s">
        <v>2571</v>
      </c>
      <c r="F33" s="48" t="s">
        <v>2569</v>
      </c>
      <c r="G33" s="30" t="s">
        <v>115</v>
      </c>
      <c r="H33" s="37" t="s">
        <v>1095</v>
      </c>
      <c r="I33" s="37"/>
      <c r="J33" s="37" t="s">
        <v>1096</v>
      </c>
      <c r="K33" s="32">
        <v>5</v>
      </c>
      <c r="L33" s="32">
        <v>3.4</v>
      </c>
      <c r="M33" s="32">
        <v>0.3</v>
      </c>
      <c r="N33" s="32">
        <v>8.6999999999999993</v>
      </c>
      <c r="O33" s="33">
        <v>477.95</v>
      </c>
      <c r="P33" s="38" t="s">
        <v>1014</v>
      </c>
      <c r="Q33" s="34" t="str">
        <f>IF(MasterFees[[#This Row],[GST Basis]]="Excl",MasterFees[[#This Row],[Fee as Printed]],IF(MasterFees[[#This Row],[GST Basis]]="Incl",MasterFees[[#This Row],[Fee as Printed]]/(1+GST_Rate),""))</f>
        <v/>
      </c>
      <c r="R33" s="34" t="str">
        <f>IF(MasterFees[[#This Row],[GST Basis]]="Incl",MasterFees[[#This Row],[Fee as Printed]],IF(MasterFees[[#This Row],[GST Basis]]="Excl",MasterFees[[#This Row],[Fee as Printed]]*(1+GST_Rate),""))</f>
        <v/>
      </c>
      <c r="S33" s="35">
        <f>IF(N(MasterFees[[#This Row],[Total Units]])=0,"",MasterFees[[#This Row],[Fee as Printed]]/MasterFees[[#This Row],[Total Units]])</f>
        <v>54.936781609195407</v>
      </c>
      <c r="T33" s="36"/>
      <c r="U33" s="39" t="s">
        <v>1012</v>
      </c>
      <c r="V33" s="39" t="s">
        <v>1206</v>
      </c>
      <c r="W33" s="30"/>
      <c r="X33" s="73" t="s">
        <v>2989</v>
      </c>
      <c r="Y33" s="127" t="str">
        <f>_xlfn.XLOOKUP(MasterFees[[#This Row],[Provider / Payer]],Contracts[Contract Name],Contracts[Contract ID],"No contract")</f>
        <v>CON-01</v>
      </c>
      <c r="Z33" s="127" t="str">
        <f>_xlfn.XLOOKUP(MasterFees[[#This Row],[Provider / Payer]],Contracts[Contract Name],Contracts[Pricing Basis],"To confirm")</f>
        <v>To confirm</v>
      </c>
      <c r="AA33" s="127" t="str">
        <f>IF(MasterFees[[#This Row],[Pricing Basis]]="Fixed fee schedule","Yes","No")</f>
        <v>No</v>
      </c>
      <c r="AB33" s="127" t="str">
        <f>IF(OR(MasterFees[[#This Row],[Fee Basis]]="Add-on",MasterFees[[#This Row],[Fee Basis]]="Time band",MasterFees[[#This Row],[Fee Basis]]="Other"),MasterFees[[#This Row],[Fee Basis]],"Base")</f>
        <v>Base</v>
      </c>
      <c r="AC33" s="141" t="str">
        <f>IF(MasterFees[[#This Row],[Fixed Fee?]]="Yes",MasterFees[[#This Row],[Fee Excl. GST]],"")</f>
        <v/>
      </c>
    </row>
    <row r="34" spans="1:29" x14ac:dyDescent="0.2">
      <c r="A34" s="67" t="s">
        <v>2159</v>
      </c>
      <c r="B34" s="31">
        <f>IF(MasterFees[[#This Row],[RVG Code]]="","",_xlfn.XLOOKUP(MasterFees[[#This Row],[RVG Code]],RVGCodes[Code],RVGCodes[Base Units],"Code not found"))</f>
        <v>5</v>
      </c>
      <c r="C3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34" s="125" t="s">
        <v>2571</v>
      </c>
      <c r="F34" s="48" t="s">
        <v>2567</v>
      </c>
      <c r="G34" s="30" t="s">
        <v>118</v>
      </c>
      <c r="H34" s="37" t="s">
        <v>1095</v>
      </c>
      <c r="I34" s="37"/>
      <c r="J34" s="37" t="s">
        <v>1096</v>
      </c>
      <c r="K34" s="32">
        <v>4.7</v>
      </c>
      <c r="L34" s="32">
        <v>2.9</v>
      </c>
      <c r="M34" s="32">
        <v>0.3</v>
      </c>
      <c r="N34" s="32">
        <v>7.8</v>
      </c>
      <c r="O34" s="33">
        <v>431.2</v>
      </c>
      <c r="P34" s="38" t="s">
        <v>1014</v>
      </c>
      <c r="Q34" s="34" t="str">
        <f>IF(MasterFees[[#This Row],[GST Basis]]="Excl",MasterFees[[#This Row],[Fee as Printed]],IF(MasterFees[[#This Row],[GST Basis]]="Incl",MasterFees[[#This Row],[Fee as Printed]]/(1+GST_Rate),""))</f>
        <v/>
      </c>
      <c r="R34" s="34" t="str">
        <f>IF(MasterFees[[#This Row],[GST Basis]]="Incl",MasterFees[[#This Row],[Fee as Printed]],IF(MasterFees[[#This Row],[GST Basis]]="Excl",MasterFees[[#This Row],[Fee as Printed]]*(1+GST_Rate),""))</f>
        <v/>
      </c>
      <c r="S34" s="35">
        <f>IF(N(MasterFees[[#This Row],[Total Units]])=0,"",MasterFees[[#This Row],[Fee as Printed]]/MasterFees[[#This Row],[Total Units]])</f>
        <v>55.282051282051285</v>
      </c>
      <c r="T34" s="36"/>
      <c r="U34" s="39" t="s">
        <v>1012</v>
      </c>
      <c r="V34" s="39" t="s">
        <v>1209</v>
      </c>
      <c r="W34" s="30"/>
      <c r="X34" s="73" t="s">
        <v>2992</v>
      </c>
      <c r="Y34" s="127" t="str">
        <f>_xlfn.XLOOKUP(MasterFees[[#This Row],[Provider / Payer]],Contracts[Contract Name],Contracts[Contract ID],"No contract")</f>
        <v>CON-01</v>
      </c>
      <c r="Z34" s="127" t="str">
        <f>_xlfn.XLOOKUP(MasterFees[[#This Row],[Provider / Payer]],Contracts[Contract Name],Contracts[Pricing Basis],"To confirm")</f>
        <v>To confirm</v>
      </c>
      <c r="AA34" s="127" t="str">
        <f>IF(MasterFees[[#This Row],[Pricing Basis]]="Fixed fee schedule","Yes","No")</f>
        <v>No</v>
      </c>
      <c r="AB34" s="127" t="str">
        <f>IF(OR(MasterFees[[#This Row],[Fee Basis]]="Add-on",MasterFees[[#This Row],[Fee Basis]]="Time band",MasterFees[[#This Row],[Fee Basis]]="Other"),MasterFees[[#This Row],[Fee Basis]],"Base")</f>
        <v>Base</v>
      </c>
      <c r="AC34" s="141" t="str">
        <f>IF(MasterFees[[#This Row],[Fixed Fee?]]="Yes",MasterFees[[#This Row],[Fee Excl. GST]],"")</f>
        <v/>
      </c>
    </row>
    <row r="35" spans="1:29" x14ac:dyDescent="0.2">
      <c r="A35" s="67" t="s">
        <v>2157</v>
      </c>
      <c r="B35" s="31">
        <f>IF(MasterFees[[#This Row],[RVG Code]]="","",_xlfn.XLOOKUP(MasterFees[[#This Row],[RVG Code]],RVGCodes[Code],RVGCodes[Base Units],"Code not found"))</f>
        <v>4</v>
      </c>
      <c r="C3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35" s="125" t="s">
        <v>2572</v>
      </c>
      <c r="F35" s="48" t="s">
        <v>2567</v>
      </c>
      <c r="G35" s="30" t="s">
        <v>120</v>
      </c>
      <c r="H35" s="37" t="s">
        <v>1095</v>
      </c>
      <c r="I35" s="37"/>
      <c r="J35" s="37" t="s">
        <v>1096</v>
      </c>
      <c r="K35" s="32">
        <v>1.8</v>
      </c>
      <c r="L35" s="32">
        <v>1.4</v>
      </c>
      <c r="M35" s="32">
        <v>0.5</v>
      </c>
      <c r="N35" s="32">
        <v>3.7</v>
      </c>
      <c r="O35" s="33">
        <v>200.75</v>
      </c>
      <c r="P35" s="38" t="s">
        <v>1014</v>
      </c>
      <c r="Q35" s="34" t="str">
        <f>IF(MasterFees[[#This Row],[GST Basis]]="Excl",MasterFees[[#This Row],[Fee as Printed]],IF(MasterFees[[#This Row],[GST Basis]]="Incl",MasterFees[[#This Row],[Fee as Printed]]/(1+GST_Rate),""))</f>
        <v/>
      </c>
      <c r="R35" s="34" t="str">
        <f>IF(MasterFees[[#This Row],[GST Basis]]="Incl",MasterFees[[#This Row],[Fee as Printed]],IF(MasterFees[[#This Row],[GST Basis]]="Excl",MasterFees[[#This Row],[Fee as Printed]]*(1+GST_Rate),""))</f>
        <v/>
      </c>
      <c r="S35" s="35">
        <f>IF(N(MasterFees[[#This Row],[Total Units]])=0,"",MasterFees[[#This Row],[Fee as Printed]]/MasterFees[[#This Row],[Total Units]])</f>
        <v>54.256756756756751</v>
      </c>
      <c r="T35" s="36"/>
      <c r="U35" s="39" t="s">
        <v>1012</v>
      </c>
      <c r="V35" s="39" t="s">
        <v>1211</v>
      </c>
      <c r="W35" s="30"/>
      <c r="X35" s="73" t="s">
        <v>2994</v>
      </c>
      <c r="Y35" s="127" t="str">
        <f>_xlfn.XLOOKUP(MasterFees[[#This Row],[Provider / Payer]],Contracts[Contract Name],Contracts[Contract ID],"No contract")</f>
        <v>CON-01</v>
      </c>
      <c r="Z35" s="127" t="str">
        <f>_xlfn.XLOOKUP(MasterFees[[#This Row],[Provider / Payer]],Contracts[Contract Name],Contracts[Pricing Basis],"To confirm")</f>
        <v>To confirm</v>
      </c>
      <c r="AA35" s="127" t="str">
        <f>IF(MasterFees[[#This Row],[Pricing Basis]]="Fixed fee schedule","Yes","No")</f>
        <v>No</v>
      </c>
      <c r="AB35" s="127" t="str">
        <f>IF(OR(MasterFees[[#This Row],[Fee Basis]]="Add-on",MasterFees[[#This Row],[Fee Basis]]="Time band",MasterFees[[#This Row],[Fee Basis]]="Other"),MasterFees[[#This Row],[Fee Basis]],"Base")</f>
        <v>Base</v>
      </c>
      <c r="AC35" s="141" t="str">
        <f>IF(MasterFees[[#This Row],[Fixed Fee?]]="Yes",MasterFees[[#This Row],[Fee Excl. GST]],"")</f>
        <v/>
      </c>
    </row>
    <row r="36" spans="1:29" x14ac:dyDescent="0.2">
      <c r="A36" s="67" t="s">
        <v>2157</v>
      </c>
      <c r="B36" s="31">
        <f>IF(MasterFees[[#This Row],[RVG Code]]="","",_xlfn.XLOOKUP(MasterFees[[#This Row],[RVG Code]],RVGCodes[Code],RVGCodes[Base Units],"Code not found"))</f>
        <v>4</v>
      </c>
      <c r="C3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36" s="125" t="s">
        <v>2572</v>
      </c>
      <c r="F36" s="48" t="s">
        <v>2567</v>
      </c>
      <c r="G36" s="30" t="s">
        <v>121</v>
      </c>
      <c r="H36" s="37" t="s">
        <v>1095</v>
      </c>
      <c r="I36" s="37"/>
      <c r="J36" s="37" t="s">
        <v>1096</v>
      </c>
      <c r="K36" s="32">
        <v>3.9</v>
      </c>
      <c r="L36" s="32">
        <v>3.3</v>
      </c>
      <c r="M36" s="32">
        <v>0.4</v>
      </c>
      <c r="N36" s="32">
        <v>7.5</v>
      </c>
      <c r="O36" s="33">
        <v>413.6</v>
      </c>
      <c r="P36" s="38" t="s">
        <v>1014</v>
      </c>
      <c r="Q36" s="34" t="str">
        <f>IF(MasterFees[[#This Row],[GST Basis]]="Excl",MasterFees[[#This Row],[Fee as Printed]],IF(MasterFees[[#This Row],[GST Basis]]="Incl",MasterFees[[#This Row],[Fee as Printed]]/(1+GST_Rate),""))</f>
        <v/>
      </c>
      <c r="R36" s="34" t="str">
        <f>IF(MasterFees[[#This Row],[GST Basis]]="Incl",MasterFees[[#This Row],[Fee as Printed]],IF(MasterFees[[#This Row],[GST Basis]]="Excl",MasterFees[[#This Row],[Fee as Printed]]*(1+GST_Rate),""))</f>
        <v/>
      </c>
      <c r="S36" s="35">
        <f>IF(N(MasterFees[[#This Row],[Total Units]])=0,"",MasterFees[[#This Row],[Fee as Printed]]/MasterFees[[#This Row],[Total Units]])</f>
        <v>55.146666666666668</v>
      </c>
      <c r="T36" s="36"/>
      <c r="U36" s="39" t="s">
        <v>1012</v>
      </c>
      <c r="V36" s="39" t="s">
        <v>1212</v>
      </c>
      <c r="W36" s="30"/>
      <c r="X36" s="73" t="s">
        <v>2995</v>
      </c>
      <c r="Y36" s="127" t="str">
        <f>_xlfn.XLOOKUP(MasterFees[[#This Row],[Provider / Payer]],Contracts[Contract Name],Contracts[Contract ID],"No contract")</f>
        <v>CON-01</v>
      </c>
      <c r="Z36" s="127" t="str">
        <f>_xlfn.XLOOKUP(MasterFees[[#This Row],[Provider / Payer]],Contracts[Contract Name],Contracts[Pricing Basis],"To confirm")</f>
        <v>To confirm</v>
      </c>
      <c r="AA36" s="127" t="str">
        <f>IF(MasterFees[[#This Row],[Pricing Basis]]="Fixed fee schedule","Yes","No")</f>
        <v>No</v>
      </c>
      <c r="AB36" s="127" t="str">
        <f>IF(OR(MasterFees[[#This Row],[Fee Basis]]="Add-on",MasterFees[[#This Row],[Fee Basis]]="Time band",MasterFees[[#This Row],[Fee Basis]]="Other"),MasterFees[[#This Row],[Fee Basis]],"Base")</f>
        <v>Base</v>
      </c>
      <c r="AC36" s="141" t="str">
        <f>IF(MasterFees[[#This Row],[Fixed Fee?]]="Yes",MasterFees[[#This Row],[Fee Excl. GST]],"")</f>
        <v/>
      </c>
    </row>
    <row r="37" spans="1:29" x14ac:dyDescent="0.2">
      <c r="A37" s="67" t="s">
        <v>2157</v>
      </c>
      <c r="B37" s="31">
        <f>IF(MasterFees[[#This Row],[RVG Code]]="","",_xlfn.XLOOKUP(MasterFees[[#This Row],[RVG Code]],RVGCodes[Code],RVGCodes[Base Units],"Code not found"))</f>
        <v>4</v>
      </c>
      <c r="C3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37" s="125" t="s">
        <v>2572</v>
      </c>
      <c r="F37" s="48" t="s">
        <v>2567</v>
      </c>
      <c r="G37" s="30" t="s">
        <v>122</v>
      </c>
      <c r="H37" s="37" t="s">
        <v>1095</v>
      </c>
      <c r="I37" s="37"/>
      <c r="J37" s="37" t="s">
        <v>1096</v>
      </c>
      <c r="K37" s="32">
        <v>3.1</v>
      </c>
      <c r="L37" s="32">
        <v>2.6</v>
      </c>
      <c r="M37" s="32">
        <v>0.3</v>
      </c>
      <c r="N37" s="32">
        <v>6</v>
      </c>
      <c r="O37" s="33">
        <v>328.9</v>
      </c>
      <c r="P37" s="38" t="s">
        <v>1014</v>
      </c>
      <c r="Q37" s="34" t="str">
        <f>IF(MasterFees[[#This Row],[GST Basis]]="Excl",MasterFees[[#This Row],[Fee as Printed]],IF(MasterFees[[#This Row],[GST Basis]]="Incl",MasterFees[[#This Row],[Fee as Printed]]/(1+GST_Rate),""))</f>
        <v/>
      </c>
      <c r="R37" s="34" t="str">
        <f>IF(MasterFees[[#This Row],[GST Basis]]="Incl",MasterFees[[#This Row],[Fee as Printed]],IF(MasterFees[[#This Row],[GST Basis]]="Excl",MasterFees[[#This Row],[Fee as Printed]]*(1+GST_Rate),""))</f>
        <v/>
      </c>
      <c r="S37" s="35">
        <f>IF(N(MasterFees[[#This Row],[Total Units]])=0,"",MasterFees[[#This Row],[Fee as Printed]]/MasterFees[[#This Row],[Total Units]])</f>
        <v>54.816666666666663</v>
      </c>
      <c r="T37" s="36"/>
      <c r="U37" s="39" t="s">
        <v>1012</v>
      </c>
      <c r="V37" s="39" t="s">
        <v>1213</v>
      </c>
      <c r="W37" s="30"/>
      <c r="X37" s="73" t="s">
        <v>2996</v>
      </c>
      <c r="Y37" s="127" t="str">
        <f>_xlfn.XLOOKUP(MasterFees[[#This Row],[Provider / Payer]],Contracts[Contract Name],Contracts[Contract ID],"No contract")</f>
        <v>CON-01</v>
      </c>
      <c r="Z37" s="127" t="str">
        <f>_xlfn.XLOOKUP(MasterFees[[#This Row],[Provider / Payer]],Contracts[Contract Name],Contracts[Pricing Basis],"To confirm")</f>
        <v>To confirm</v>
      </c>
      <c r="AA37" s="127" t="str">
        <f>IF(MasterFees[[#This Row],[Pricing Basis]]="Fixed fee schedule","Yes","No")</f>
        <v>No</v>
      </c>
      <c r="AB37" s="127" t="str">
        <f>IF(OR(MasterFees[[#This Row],[Fee Basis]]="Add-on",MasterFees[[#This Row],[Fee Basis]]="Time band",MasterFees[[#This Row],[Fee Basis]]="Other"),MasterFees[[#This Row],[Fee Basis]],"Base")</f>
        <v>Base</v>
      </c>
      <c r="AC37" s="141" t="str">
        <f>IF(MasterFees[[#This Row],[Fixed Fee?]]="Yes",MasterFees[[#This Row],[Fee Excl. GST]],"")</f>
        <v/>
      </c>
    </row>
    <row r="38" spans="1:29" x14ac:dyDescent="0.2">
      <c r="A38" s="67" t="s">
        <v>2157</v>
      </c>
      <c r="B38" s="31">
        <f>IF(MasterFees[[#This Row],[RVG Code]]="","",_xlfn.XLOOKUP(MasterFees[[#This Row],[RVG Code]],RVGCodes[Code],RVGCodes[Base Units],"Code not found"))</f>
        <v>4</v>
      </c>
      <c r="C3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38" s="125" t="s">
        <v>2572</v>
      </c>
      <c r="F38" s="48" t="s">
        <v>2567</v>
      </c>
      <c r="G38" s="30" t="s">
        <v>119</v>
      </c>
      <c r="H38" s="37" t="s">
        <v>1095</v>
      </c>
      <c r="I38" s="37"/>
      <c r="J38" s="37" t="s">
        <v>1096</v>
      </c>
      <c r="K38" s="32">
        <v>3.7</v>
      </c>
      <c r="L38" s="32">
        <v>2.7</v>
      </c>
      <c r="M38" s="32">
        <v>0.3</v>
      </c>
      <c r="N38" s="32">
        <v>6.7</v>
      </c>
      <c r="O38" s="33">
        <v>367.4</v>
      </c>
      <c r="P38" s="38" t="s">
        <v>1014</v>
      </c>
      <c r="Q38" s="34" t="str">
        <f>IF(MasterFees[[#This Row],[GST Basis]]="Excl",MasterFees[[#This Row],[Fee as Printed]],IF(MasterFees[[#This Row],[GST Basis]]="Incl",MasterFees[[#This Row],[Fee as Printed]]/(1+GST_Rate),""))</f>
        <v/>
      </c>
      <c r="R38" s="34" t="str">
        <f>IF(MasterFees[[#This Row],[GST Basis]]="Incl",MasterFees[[#This Row],[Fee as Printed]],IF(MasterFees[[#This Row],[GST Basis]]="Excl",MasterFees[[#This Row],[Fee as Printed]]*(1+GST_Rate),""))</f>
        <v/>
      </c>
      <c r="S38" s="35">
        <f>IF(N(MasterFees[[#This Row],[Total Units]])=0,"",MasterFees[[#This Row],[Fee as Printed]]/MasterFees[[#This Row],[Total Units]])</f>
        <v>54.835820895522382</v>
      </c>
      <c r="T38" s="36"/>
      <c r="U38" s="39" t="s">
        <v>1012</v>
      </c>
      <c r="V38" s="39" t="s">
        <v>1210</v>
      </c>
      <c r="W38" s="30"/>
      <c r="X38" s="73" t="s">
        <v>2993</v>
      </c>
      <c r="Y38" s="127" t="str">
        <f>_xlfn.XLOOKUP(MasterFees[[#This Row],[Provider / Payer]],Contracts[Contract Name],Contracts[Contract ID],"No contract")</f>
        <v>CON-01</v>
      </c>
      <c r="Z38" s="127" t="str">
        <f>_xlfn.XLOOKUP(MasterFees[[#This Row],[Provider / Payer]],Contracts[Contract Name],Contracts[Pricing Basis],"To confirm")</f>
        <v>To confirm</v>
      </c>
      <c r="AA38" s="127" t="str">
        <f>IF(MasterFees[[#This Row],[Pricing Basis]]="Fixed fee schedule","Yes","No")</f>
        <v>No</v>
      </c>
      <c r="AB38" s="127" t="str">
        <f>IF(OR(MasterFees[[#This Row],[Fee Basis]]="Add-on",MasterFees[[#This Row],[Fee Basis]]="Time band",MasterFees[[#This Row],[Fee Basis]]="Other"),MasterFees[[#This Row],[Fee Basis]],"Base")</f>
        <v>Base</v>
      </c>
      <c r="AC38" s="141" t="str">
        <f>IF(MasterFees[[#This Row],[Fixed Fee?]]="Yes",MasterFees[[#This Row],[Fee Excl. GST]],"")</f>
        <v/>
      </c>
    </row>
    <row r="39" spans="1:29" x14ac:dyDescent="0.2">
      <c r="A39" s="67" t="s">
        <v>2157</v>
      </c>
      <c r="B39" s="31">
        <f>IF(MasterFees[[#This Row],[RVG Code]]="","",_xlfn.XLOOKUP(MasterFees[[#This Row],[RVG Code]],RVGCodes[Code],RVGCodes[Base Units],"Code not found"))</f>
        <v>4</v>
      </c>
      <c r="C3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39" s="125" t="s">
        <v>2572</v>
      </c>
      <c r="F39" s="48" t="s">
        <v>2567</v>
      </c>
      <c r="G39" s="30" t="s">
        <v>119</v>
      </c>
      <c r="H39" s="37" t="s">
        <v>1095</v>
      </c>
      <c r="I39" s="37"/>
      <c r="J39" s="37" t="s">
        <v>1096</v>
      </c>
      <c r="K39" s="32">
        <v>3.2</v>
      </c>
      <c r="L39" s="32">
        <v>2.6</v>
      </c>
      <c r="M39" s="32">
        <v>0.3</v>
      </c>
      <c r="N39" s="32">
        <v>6.2</v>
      </c>
      <c r="O39" s="33">
        <v>338.25</v>
      </c>
      <c r="P39" s="38" t="s">
        <v>1014</v>
      </c>
      <c r="Q39" s="34" t="str">
        <f>IF(MasterFees[[#This Row],[GST Basis]]="Excl",MasterFees[[#This Row],[Fee as Printed]],IF(MasterFees[[#This Row],[GST Basis]]="Incl",MasterFees[[#This Row],[Fee as Printed]]/(1+GST_Rate),""))</f>
        <v/>
      </c>
      <c r="R39" s="34" t="str">
        <f>IF(MasterFees[[#This Row],[GST Basis]]="Incl",MasterFees[[#This Row],[Fee as Printed]],IF(MasterFees[[#This Row],[GST Basis]]="Excl",MasterFees[[#This Row],[Fee as Printed]]*(1+GST_Rate),""))</f>
        <v/>
      </c>
      <c r="S39" s="35">
        <f>IF(N(MasterFees[[#This Row],[Total Units]])=0,"",MasterFees[[#This Row],[Fee as Printed]]/MasterFees[[#This Row],[Total Units]])</f>
        <v>54.556451612903224</v>
      </c>
      <c r="T39" s="36"/>
      <c r="U39" s="39" t="s">
        <v>1012</v>
      </c>
      <c r="V39" s="39" t="s">
        <v>1214</v>
      </c>
      <c r="W39" s="30"/>
      <c r="X39" s="73" t="s">
        <v>2997</v>
      </c>
      <c r="Y39" s="127" t="str">
        <f>_xlfn.XLOOKUP(MasterFees[[#This Row],[Provider / Payer]],Contracts[Contract Name],Contracts[Contract ID],"No contract")</f>
        <v>CON-01</v>
      </c>
      <c r="Z39" s="127" t="str">
        <f>_xlfn.XLOOKUP(MasterFees[[#This Row],[Provider / Payer]],Contracts[Contract Name],Contracts[Pricing Basis],"To confirm")</f>
        <v>To confirm</v>
      </c>
      <c r="AA39" s="127" t="str">
        <f>IF(MasterFees[[#This Row],[Pricing Basis]]="Fixed fee schedule","Yes","No")</f>
        <v>No</v>
      </c>
      <c r="AB39" s="127" t="str">
        <f>IF(OR(MasterFees[[#This Row],[Fee Basis]]="Add-on",MasterFees[[#This Row],[Fee Basis]]="Time band",MasterFees[[#This Row],[Fee Basis]]="Other"),MasterFees[[#This Row],[Fee Basis]],"Base")</f>
        <v>Base</v>
      </c>
      <c r="AC39" s="141" t="str">
        <f>IF(MasterFees[[#This Row],[Fixed Fee?]]="Yes",MasterFees[[#This Row],[Fee Excl. GST]],"")</f>
        <v/>
      </c>
    </row>
    <row r="40" spans="1:29" x14ac:dyDescent="0.2">
      <c r="A40" s="67" t="s">
        <v>2157</v>
      </c>
      <c r="B40" s="31">
        <f>IF(MasterFees[[#This Row],[RVG Code]]="","",_xlfn.XLOOKUP(MasterFees[[#This Row],[RVG Code]],RVGCodes[Code],RVGCodes[Base Units],"Code not found"))</f>
        <v>4</v>
      </c>
      <c r="C4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0" s="125" t="s">
        <v>2572</v>
      </c>
      <c r="F40" s="48" t="s">
        <v>2569</v>
      </c>
      <c r="G40" s="30" t="s">
        <v>123</v>
      </c>
      <c r="H40" s="37" t="s">
        <v>1095</v>
      </c>
      <c r="I40" s="37"/>
      <c r="J40" s="37" t="s">
        <v>1096</v>
      </c>
      <c r="K40" s="32">
        <v>4</v>
      </c>
      <c r="L40" s="32">
        <v>1.4</v>
      </c>
      <c r="M40" s="32">
        <v>0.3</v>
      </c>
      <c r="N40" s="32">
        <v>5.6</v>
      </c>
      <c r="O40" s="33">
        <v>310.2</v>
      </c>
      <c r="P40" s="38" t="s">
        <v>1014</v>
      </c>
      <c r="Q40" s="34" t="str">
        <f>IF(MasterFees[[#This Row],[GST Basis]]="Excl",MasterFees[[#This Row],[Fee as Printed]],IF(MasterFees[[#This Row],[GST Basis]]="Incl",MasterFees[[#This Row],[Fee as Printed]]/(1+GST_Rate),""))</f>
        <v/>
      </c>
      <c r="R40" s="34" t="str">
        <f>IF(MasterFees[[#This Row],[GST Basis]]="Incl",MasterFees[[#This Row],[Fee as Printed]],IF(MasterFees[[#This Row],[GST Basis]]="Excl",MasterFees[[#This Row],[Fee as Printed]]*(1+GST_Rate),""))</f>
        <v/>
      </c>
      <c r="S40" s="35">
        <f>IF(N(MasterFees[[#This Row],[Total Units]])=0,"",MasterFees[[#This Row],[Fee as Printed]]/MasterFees[[#This Row],[Total Units]])</f>
        <v>55.392857142857146</v>
      </c>
      <c r="T40" s="36"/>
      <c r="U40" s="39" t="s">
        <v>1012</v>
      </c>
      <c r="V40" s="39" t="s">
        <v>1215</v>
      </c>
      <c r="W40" s="30"/>
      <c r="X40" s="73" t="s">
        <v>2998</v>
      </c>
      <c r="Y40" s="127" t="str">
        <f>_xlfn.XLOOKUP(MasterFees[[#This Row],[Provider / Payer]],Contracts[Contract Name],Contracts[Contract ID],"No contract")</f>
        <v>CON-01</v>
      </c>
      <c r="Z40" s="127" t="str">
        <f>_xlfn.XLOOKUP(MasterFees[[#This Row],[Provider / Payer]],Contracts[Contract Name],Contracts[Pricing Basis],"To confirm")</f>
        <v>To confirm</v>
      </c>
      <c r="AA40" s="127" t="str">
        <f>IF(MasterFees[[#This Row],[Pricing Basis]]="Fixed fee schedule","Yes","No")</f>
        <v>No</v>
      </c>
      <c r="AB40" s="127" t="str">
        <f>IF(OR(MasterFees[[#This Row],[Fee Basis]]="Add-on",MasterFees[[#This Row],[Fee Basis]]="Time band",MasterFees[[#This Row],[Fee Basis]]="Other"),MasterFees[[#This Row],[Fee Basis]],"Base")</f>
        <v>Base</v>
      </c>
      <c r="AC40" s="141" t="str">
        <f>IF(MasterFees[[#This Row],[Fixed Fee?]]="Yes",MasterFees[[#This Row],[Fee Excl. GST]],"")</f>
        <v/>
      </c>
    </row>
    <row r="41" spans="1:29" x14ac:dyDescent="0.2">
      <c r="A41" s="67" t="s">
        <v>2157</v>
      </c>
      <c r="B41" s="31">
        <f>IF(MasterFees[[#This Row],[RVG Code]]="","",_xlfn.XLOOKUP(MasterFees[[#This Row],[RVG Code]],RVGCodes[Code],RVGCodes[Base Units],"Code not found"))</f>
        <v>4</v>
      </c>
      <c r="C4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1" s="125" t="s">
        <v>2572</v>
      </c>
      <c r="F41" s="48" t="s">
        <v>2569</v>
      </c>
      <c r="G41" s="30" t="s">
        <v>124</v>
      </c>
      <c r="H41" s="37" t="s">
        <v>1095</v>
      </c>
      <c r="I41" s="37"/>
      <c r="J41" s="37" t="s">
        <v>1096</v>
      </c>
      <c r="K41" s="32">
        <v>4</v>
      </c>
      <c r="L41" s="32">
        <v>1.4</v>
      </c>
      <c r="M41" s="32">
        <v>0.4</v>
      </c>
      <c r="N41" s="32">
        <v>5.8</v>
      </c>
      <c r="O41" s="33">
        <v>317.89999999999998</v>
      </c>
      <c r="P41" s="38" t="s">
        <v>1014</v>
      </c>
      <c r="Q41" s="34" t="str">
        <f>IF(MasterFees[[#This Row],[GST Basis]]="Excl",MasterFees[[#This Row],[Fee as Printed]],IF(MasterFees[[#This Row],[GST Basis]]="Incl",MasterFees[[#This Row],[Fee as Printed]]/(1+GST_Rate),""))</f>
        <v/>
      </c>
      <c r="R41" s="34" t="str">
        <f>IF(MasterFees[[#This Row],[GST Basis]]="Incl",MasterFees[[#This Row],[Fee as Printed]],IF(MasterFees[[#This Row],[GST Basis]]="Excl",MasterFees[[#This Row],[Fee as Printed]]*(1+GST_Rate),""))</f>
        <v/>
      </c>
      <c r="S41" s="35">
        <f>IF(N(MasterFees[[#This Row],[Total Units]])=0,"",MasterFees[[#This Row],[Fee as Printed]]/MasterFees[[#This Row],[Total Units]])</f>
        <v>54.810344827586206</v>
      </c>
      <c r="T41" s="36"/>
      <c r="U41" s="39" t="s">
        <v>1012</v>
      </c>
      <c r="V41" s="39" t="s">
        <v>1216</v>
      </c>
      <c r="W41" s="30"/>
      <c r="X41" s="73" t="s">
        <v>2999</v>
      </c>
      <c r="Y41" s="127" t="str">
        <f>_xlfn.XLOOKUP(MasterFees[[#This Row],[Provider / Payer]],Contracts[Contract Name],Contracts[Contract ID],"No contract")</f>
        <v>CON-01</v>
      </c>
      <c r="Z41" s="127" t="str">
        <f>_xlfn.XLOOKUP(MasterFees[[#This Row],[Provider / Payer]],Contracts[Contract Name],Contracts[Pricing Basis],"To confirm")</f>
        <v>To confirm</v>
      </c>
      <c r="AA41" s="127" t="str">
        <f>IF(MasterFees[[#This Row],[Pricing Basis]]="Fixed fee schedule","Yes","No")</f>
        <v>No</v>
      </c>
      <c r="AB41" s="127" t="str">
        <f>IF(OR(MasterFees[[#This Row],[Fee Basis]]="Add-on",MasterFees[[#This Row],[Fee Basis]]="Time band",MasterFees[[#This Row],[Fee Basis]]="Other"),MasterFees[[#This Row],[Fee Basis]],"Base")</f>
        <v>Base</v>
      </c>
      <c r="AC41" s="141" t="str">
        <f>IF(MasterFees[[#This Row],[Fixed Fee?]]="Yes",MasterFees[[#This Row],[Fee Excl. GST]],"")</f>
        <v/>
      </c>
    </row>
    <row r="42" spans="1:29" x14ac:dyDescent="0.2">
      <c r="A42" s="67" t="s">
        <v>2159</v>
      </c>
      <c r="B42" s="31">
        <f>IF(MasterFees[[#This Row],[RVG Code]]="","",_xlfn.XLOOKUP(MasterFees[[#This Row],[RVG Code]],RVGCodes[Code],RVGCodes[Base Units],"Code not found"))</f>
        <v>5</v>
      </c>
      <c r="C4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2" s="125" t="s">
        <v>2571</v>
      </c>
      <c r="F42" s="48" t="s">
        <v>2569</v>
      </c>
      <c r="G42" s="30" t="s">
        <v>125</v>
      </c>
      <c r="H42" s="37" t="s">
        <v>1095</v>
      </c>
      <c r="I42" s="37"/>
      <c r="J42" s="37" t="s">
        <v>1096</v>
      </c>
      <c r="K42" s="32">
        <v>4.9000000000000004</v>
      </c>
      <c r="L42" s="32">
        <v>2.2999999999999998</v>
      </c>
      <c r="M42" s="32">
        <v>0.3</v>
      </c>
      <c r="N42" s="32">
        <v>7.5</v>
      </c>
      <c r="O42" s="33">
        <v>413.6</v>
      </c>
      <c r="P42" s="38" t="s">
        <v>1014</v>
      </c>
      <c r="Q42" s="34" t="str">
        <f>IF(MasterFees[[#This Row],[GST Basis]]="Excl",MasterFees[[#This Row],[Fee as Printed]],IF(MasterFees[[#This Row],[GST Basis]]="Incl",MasterFees[[#This Row],[Fee as Printed]]/(1+GST_Rate),""))</f>
        <v/>
      </c>
      <c r="R42" s="34" t="str">
        <f>IF(MasterFees[[#This Row],[GST Basis]]="Incl",MasterFees[[#This Row],[Fee as Printed]],IF(MasterFees[[#This Row],[GST Basis]]="Excl",MasterFees[[#This Row],[Fee as Printed]]*(1+GST_Rate),""))</f>
        <v/>
      </c>
      <c r="S42" s="35">
        <f>IF(N(MasterFees[[#This Row],[Total Units]])=0,"",MasterFees[[#This Row],[Fee as Printed]]/MasterFees[[#This Row],[Total Units]])</f>
        <v>55.146666666666668</v>
      </c>
      <c r="T42" s="36"/>
      <c r="U42" s="39" t="s">
        <v>1012</v>
      </c>
      <c r="V42" s="39" t="s">
        <v>1217</v>
      </c>
      <c r="W42" s="30"/>
      <c r="X42" s="73" t="s">
        <v>3000</v>
      </c>
      <c r="Y42" s="127" t="str">
        <f>_xlfn.XLOOKUP(MasterFees[[#This Row],[Provider / Payer]],Contracts[Contract Name],Contracts[Contract ID],"No contract")</f>
        <v>CON-01</v>
      </c>
      <c r="Z42" s="127" t="str">
        <f>_xlfn.XLOOKUP(MasterFees[[#This Row],[Provider / Payer]],Contracts[Contract Name],Contracts[Pricing Basis],"To confirm")</f>
        <v>To confirm</v>
      </c>
      <c r="AA42" s="127" t="str">
        <f>IF(MasterFees[[#This Row],[Pricing Basis]]="Fixed fee schedule","Yes","No")</f>
        <v>No</v>
      </c>
      <c r="AB42" s="127" t="str">
        <f>IF(OR(MasterFees[[#This Row],[Fee Basis]]="Add-on",MasterFees[[#This Row],[Fee Basis]]="Time band",MasterFees[[#This Row],[Fee Basis]]="Other"),MasterFees[[#This Row],[Fee Basis]],"Base")</f>
        <v>Base</v>
      </c>
      <c r="AC42" s="141" t="str">
        <f>IF(MasterFees[[#This Row],[Fixed Fee?]]="Yes",MasterFees[[#This Row],[Fee Excl. GST]],"")</f>
        <v/>
      </c>
    </row>
    <row r="43" spans="1:29" x14ac:dyDescent="0.2">
      <c r="A43" s="67" t="s">
        <v>2157</v>
      </c>
      <c r="B43" s="31">
        <f>IF(MasterFees[[#This Row],[RVG Code]]="","",_xlfn.XLOOKUP(MasterFees[[#This Row],[RVG Code]],RVGCodes[Code],RVGCodes[Base Units],"Code not found"))</f>
        <v>4</v>
      </c>
      <c r="C4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3" s="125" t="s">
        <v>2572</v>
      </c>
      <c r="F43" s="48" t="s">
        <v>2569</v>
      </c>
      <c r="G43" s="30" t="s">
        <v>126</v>
      </c>
      <c r="H43" s="37" t="s">
        <v>1095</v>
      </c>
      <c r="I43" s="37"/>
      <c r="J43" s="37" t="s">
        <v>1096</v>
      </c>
      <c r="K43" s="32">
        <v>4</v>
      </c>
      <c r="L43" s="32">
        <v>1.5</v>
      </c>
      <c r="M43" s="32">
        <v>0.3</v>
      </c>
      <c r="N43" s="32">
        <v>5.8</v>
      </c>
      <c r="O43" s="33">
        <v>316.25</v>
      </c>
      <c r="P43" s="38" t="s">
        <v>1014</v>
      </c>
      <c r="Q43" s="34" t="str">
        <f>IF(MasterFees[[#This Row],[GST Basis]]="Excl",MasterFees[[#This Row],[Fee as Printed]],IF(MasterFees[[#This Row],[GST Basis]]="Incl",MasterFees[[#This Row],[Fee as Printed]]/(1+GST_Rate),""))</f>
        <v/>
      </c>
      <c r="R43" s="34" t="str">
        <f>IF(MasterFees[[#This Row],[GST Basis]]="Incl",MasterFees[[#This Row],[Fee as Printed]],IF(MasterFees[[#This Row],[GST Basis]]="Excl",MasterFees[[#This Row],[Fee as Printed]]*(1+GST_Rate),""))</f>
        <v/>
      </c>
      <c r="S43" s="35">
        <f>IF(N(MasterFees[[#This Row],[Total Units]])=0,"",MasterFees[[#This Row],[Fee as Printed]]/MasterFees[[#This Row],[Total Units]])</f>
        <v>54.525862068965516</v>
      </c>
      <c r="T43" s="36"/>
      <c r="U43" s="39" t="s">
        <v>1012</v>
      </c>
      <c r="V43" s="39" t="s">
        <v>1218</v>
      </c>
      <c r="W43" s="30"/>
      <c r="X43" s="73" t="s">
        <v>3001</v>
      </c>
      <c r="Y43" s="127" t="str">
        <f>_xlfn.XLOOKUP(MasterFees[[#This Row],[Provider / Payer]],Contracts[Contract Name],Contracts[Contract ID],"No contract")</f>
        <v>CON-01</v>
      </c>
      <c r="Z43" s="127" t="str">
        <f>_xlfn.XLOOKUP(MasterFees[[#This Row],[Provider / Payer]],Contracts[Contract Name],Contracts[Pricing Basis],"To confirm")</f>
        <v>To confirm</v>
      </c>
      <c r="AA43" s="127" t="str">
        <f>IF(MasterFees[[#This Row],[Pricing Basis]]="Fixed fee schedule","Yes","No")</f>
        <v>No</v>
      </c>
      <c r="AB43" s="127" t="str">
        <f>IF(OR(MasterFees[[#This Row],[Fee Basis]]="Add-on",MasterFees[[#This Row],[Fee Basis]]="Time band",MasterFees[[#This Row],[Fee Basis]]="Other"),MasterFees[[#This Row],[Fee Basis]],"Base")</f>
        <v>Base</v>
      </c>
      <c r="AC43" s="141" t="str">
        <f>IF(MasterFees[[#This Row],[Fixed Fee?]]="Yes",MasterFees[[#This Row],[Fee Excl. GST]],"")</f>
        <v/>
      </c>
    </row>
    <row r="44" spans="1:29" x14ac:dyDescent="0.2">
      <c r="A44" s="67" t="s">
        <v>2159</v>
      </c>
      <c r="B44" s="31">
        <f>IF(MasterFees[[#This Row],[RVG Code]]="","",_xlfn.XLOOKUP(MasterFees[[#This Row],[RVG Code]],RVGCodes[Code],RVGCodes[Base Units],"Code not found"))</f>
        <v>5</v>
      </c>
      <c r="C4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4" s="125" t="s">
        <v>2571</v>
      </c>
      <c r="F44" s="48" t="s">
        <v>2569</v>
      </c>
      <c r="G44" s="30" t="s">
        <v>127</v>
      </c>
      <c r="H44" s="37" t="s">
        <v>1095</v>
      </c>
      <c r="I44" s="37"/>
      <c r="J44" s="37" t="s">
        <v>1096</v>
      </c>
      <c r="K44" s="32">
        <v>5</v>
      </c>
      <c r="L44" s="32">
        <v>2.5</v>
      </c>
      <c r="M44" s="32">
        <v>0.3</v>
      </c>
      <c r="N44" s="32">
        <v>7.8</v>
      </c>
      <c r="O44" s="33">
        <v>426.25</v>
      </c>
      <c r="P44" s="38" t="s">
        <v>1014</v>
      </c>
      <c r="Q44" s="34" t="str">
        <f>IF(MasterFees[[#This Row],[GST Basis]]="Excl",MasterFees[[#This Row],[Fee as Printed]],IF(MasterFees[[#This Row],[GST Basis]]="Incl",MasterFees[[#This Row],[Fee as Printed]]/(1+GST_Rate),""))</f>
        <v/>
      </c>
      <c r="R44" s="34" t="str">
        <f>IF(MasterFees[[#This Row],[GST Basis]]="Incl",MasterFees[[#This Row],[Fee as Printed]],IF(MasterFees[[#This Row],[GST Basis]]="Excl",MasterFees[[#This Row],[Fee as Printed]]*(1+GST_Rate),""))</f>
        <v/>
      </c>
      <c r="S44" s="35">
        <f>IF(N(MasterFees[[#This Row],[Total Units]])=0,"",MasterFees[[#This Row],[Fee as Printed]]/MasterFees[[#This Row],[Total Units]])</f>
        <v>54.647435897435898</v>
      </c>
      <c r="T44" s="36"/>
      <c r="U44" s="39" t="s">
        <v>1012</v>
      </c>
      <c r="V44" s="39" t="s">
        <v>1219</v>
      </c>
      <c r="W44" s="30"/>
      <c r="X44" s="73" t="s">
        <v>3002</v>
      </c>
      <c r="Y44" s="127" t="str">
        <f>_xlfn.XLOOKUP(MasterFees[[#This Row],[Provider / Payer]],Contracts[Contract Name],Contracts[Contract ID],"No contract")</f>
        <v>CON-01</v>
      </c>
      <c r="Z44" s="127" t="str">
        <f>_xlfn.XLOOKUP(MasterFees[[#This Row],[Provider / Payer]],Contracts[Contract Name],Contracts[Pricing Basis],"To confirm")</f>
        <v>To confirm</v>
      </c>
      <c r="AA44" s="127" t="str">
        <f>IF(MasterFees[[#This Row],[Pricing Basis]]="Fixed fee schedule","Yes","No")</f>
        <v>No</v>
      </c>
      <c r="AB44" s="127" t="str">
        <f>IF(OR(MasterFees[[#This Row],[Fee Basis]]="Add-on",MasterFees[[#This Row],[Fee Basis]]="Time band",MasterFees[[#This Row],[Fee Basis]]="Other"),MasterFees[[#This Row],[Fee Basis]],"Base")</f>
        <v>Base</v>
      </c>
      <c r="AC44" s="141" t="str">
        <f>IF(MasterFees[[#This Row],[Fixed Fee?]]="Yes",MasterFees[[#This Row],[Fee Excl. GST]],"")</f>
        <v/>
      </c>
    </row>
    <row r="45" spans="1:29" x14ac:dyDescent="0.2">
      <c r="A45" s="67" t="s">
        <v>2165</v>
      </c>
      <c r="B45" s="31">
        <f>IF(MasterFees[[#This Row],[RVG Code]]="","",_xlfn.XLOOKUP(MasterFees[[#This Row],[RVG Code]],RVGCodes[Code],RVGCodes[Base Units],"Code not found"))</f>
        <v>10</v>
      </c>
      <c r="C4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5" s="125" t="s">
        <v>2593</v>
      </c>
      <c r="F45" s="48" t="s">
        <v>2569</v>
      </c>
      <c r="G45" s="30" t="s">
        <v>128</v>
      </c>
      <c r="H45" s="37" t="s">
        <v>1095</v>
      </c>
      <c r="I45" s="37"/>
      <c r="J45" s="37" t="s">
        <v>1096</v>
      </c>
      <c r="K45" s="32">
        <v>12</v>
      </c>
      <c r="L45" s="32">
        <v>12.9</v>
      </c>
      <c r="M45" s="32">
        <v>1.1000000000000001</v>
      </c>
      <c r="N45" s="32">
        <v>26</v>
      </c>
      <c r="O45" s="33">
        <v>1429.45</v>
      </c>
      <c r="P45" s="38" t="s">
        <v>1014</v>
      </c>
      <c r="Q45" s="34" t="str">
        <f>IF(MasterFees[[#This Row],[GST Basis]]="Excl",MasterFees[[#This Row],[Fee as Printed]],IF(MasterFees[[#This Row],[GST Basis]]="Incl",MasterFees[[#This Row],[Fee as Printed]]/(1+GST_Rate),""))</f>
        <v/>
      </c>
      <c r="R45" s="34" t="str">
        <f>IF(MasterFees[[#This Row],[GST Basis]]="Incl",MasterFees[[#This Row],[Fee as Printed]],IF(MasterFees[[#This Row],[GST Basis]]="Excl",MasterFees[[#This Row],[Fee as Printed]]*(1+GST_Rate),""))</f>
        <v/>
      </c>
      <c r="S45" s="35">
        <f>IF(N(MasterFees[[#This Row],[Total Units]])=0,"",MasterFees[[#This Row],[Fee as Printed]]/MasterFees[[#This Row],[Total Units]])</f>
        <v>54.978846153846156</v>
      </c>
      <c r="T45" s="36"/>
      <c r="U45" s="39" t="s">
        <v>1012</v>
      </c>
      <c r="V45" s="39" t="s">
        <v>1220</v>
      </c>
      <c r="W45" s="30"/>
      <c r="X45" s="73" t="s">
        <v>3003</v>
      </c>
      <c r="Y45" s="127" t="str">
        <f>_xlfn.XLOOKUP(MasterFees[[#This Row],[Provider / Payer]],Contracts[Contract Name],Contracts[Contract ID],"No contract")</f>
        <v>CON-01</v>
      </c>
      <c r="Z45" s="127" t="str">
        <f>_xlfn.XLOOKUP(MasterFees[[#This Row],[Provider / Payer]],Contracts[Contract Name],Contracts[Pricing Basis],"To confirm")</f>
        <v>To confirm</v>
      </c>
      <c r="AA45" s="127" t="str">
        <f>IF(MasterFees[[#This Row],[Pricing Basis]]="Fixed fee schedule","Yes","No")</f>
        <v>No</v>
      </c>
      <c r="AB45" s="127" t="str">
        <f>IF(OR(MasterFees[[#This Row],[Fee Basis]]="Add-on",MasterFees[[#This Row],[Fee Basis]]="Time band",MasterFees[[#This Row],[Fee Basis]]="Other"),MasterFees[[#This Row],[Fee Basis]],"Base")</f>
        <v>Base</v>
      </c>
      <c r="AC45" s="141" t="str">
        <f>IF(MasterFees[[#This Row],[Fixed Fee?]]="Yes",MasterFees[[#This Row],[Fee Excl. GST]],"")</f>
        <v/>
      </c>
    </row>
    <row r="46" spans="1:29" x14ac:dyDescent="0.2">
      <c r="A46" s="67" t="s">
        <v>2157</v>
      </c>
      <c r="B46" s="31">
        <f>IF(MasterFees[[#This Row],[RVG Code]]="","",_xlfn.XLOOKUP(MasterFees[[#This Row],[RVG Code]],RVGCodes[Code],RVGCodes[Base Units],"Code not found"))</f>
        <v>4</v>
      </c>
      <c r="C4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6" s="125" t="s">
        <v>2572</v>
      </c>
      <c r="F46" s="48" t="s">
        <v>2567</v>
      </c>
      <c r="G46" s="30" t="s">
        <v>4544</v>
      </c>
      <c r="H46" s="37" t="s">
        <v>4622</v>
      </c>
      <c r="I46" s="37" t="s">
        <v>4543</v>
      </c>
      <c r="J46" s="37" t="s">
        <v>1024</v>
      </c>
      <c r="K46" s="32"/>
      <c r="L46" s="32"/>
      <c r="M46" s="32"/>
      <c r="N46" s="32"/>
      <c r="O46" s="33">
        <v>480</v>
      </c>
      <c r="P46" s="38" t="s">
        <v>4398</v>
      </c>
      <c r="Q46" s="34">
        <f>IF(MasterFees[[#This Row],[GST Basis]]="Excl",MasterFees[[#This Row],[Fee as Printed]],IF(MasterFees[[#This Row],[GST Basis]]="Incl",MasterFees[[#This Row],[Fee as Printed]]/(1+GST_Rate),""))</f>
        <v>480</v>
      </c>
      <c r="R46" s="34">
        <f>IF(MasterFees[[#This Row],[GST Basis]]="Incl",MasterFees[[#This Row],[Fee as Printed]],IF(MasterFees[[#This Row],[GST Basis]]="Excl",MasterFees[[#This Row],[Fee as Printed]]*(1+GST_Rate),""))</f>
        <v>552</v>
      </c>
      <c r="S46" s="35" t="str">
        <f>IF(N(MasterFees[[#This Row],[Total Units]])=0,"",MasterFees[[#This Row],[Fee as Printed]]/MasterFees[[#This Row],[Total Units]])</f>
        <v/>
      </c>
      <c r="T46" s="36"/>
      <c r="U46" s="39" t="s">
        <v>4587</v>
      </c>
      <c r="V46" s="39" t="s">
        <v>4738</v>
      </c>
      <c r="W46" s="30" t="s">
        <v>4739</v>
      </c>
      <c r="X46" s="77" t="s">
        <v>4826</v>
      </c>
      <c r="Y46" s="127" t="str">
        <f>_xlfn.XLOOKUP(MasterFees[[#This Row],[Provider / Payer]],Contracts[Contract Name],Contracts[Contract ID],"No contract")</f>
        <v>CON-05</v>
      </c>
      <c r="Z46" s="127" t="str">
        <f>_xlfn.XLOOKUP(MasterFees[[#This Row],[Provider / Payer]],Contracts[Contract Name],Contracts[Pricing Basis],"To confirm")</f>
        <v>Fixed fee schedule</v>
      </c>
      <c r="AA46" s="127" t="str">
        <f>IF(MasterFees[[#This Row],[Pricing Basis]]="Fixed fee schedule","Yes","No")</f>
        <v>Yes</v>
      </c>
      <c r="AB46" s="127" t="str">
        <f>IF(OR(MasterFees[[#This Row],[Fee Basis]]="Add-on",MasterFees[[#This Row],[Fee Basis]]="Time band",MasterFees[[#This Row],[Fee Basis]]="Other"),MasterFees[[#This Row],[Fee Basis]],"Base")</f>
        <v>Base</v>
      </c>
      <c r="AC46" s="141">
        <f>IF(MasterFees[[#This Row],[Fixed Fee?]]="Yes",MasterFees[[#This Row],[Fee Excl. GST]],"")</f>
        <v>480</v>
      </c>
    </row>
    <row r="47" spans="1:29" x14ac:dyDescent="0.2">
      <c r="A47" s="67" t="s">
        <v>2157</v>
      </c>
      <c r="B47" s="31">
        <f>IF(MasterFees[[#This Row],[RVG Code]]="","",_xlfn.XLOOKUP(MasterFees[[#This Row],[RVG Code]],RVGCodes[Code],RVGCodes[Base Units],"Code not found"))</f>
        <v>4</v>
      </c>
      <c r="C4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7" s="125" t="s">
        <v>2572</v>
      </c>
      <c r="F47" s="48" t="s">
        <v>2567</v>
      </c>
      <c r="G47" s="30" t="s">
        <v>4544</v>
      </c>
      <c r="H47" s="37" t="s">
        <v>4625</v>
      </c>
      <c r="I47" s="37" t="s">
        <v>4543</v>
      </c>
      <c r="J47" s="37" t="s">
        <v>1024</v>
      </c>
      <c r="K47" s="32"/>
      <c r="L47" s="32"/>
      <c r="M47" s="32"/>
      <c r="N47" s="32"/>
      <c r="O47" s="33">
        <v>500</v>
      </c>
      <c r="P47" s="38" t="s">
        <v>4398</v>
      </c>
      <c r="Q47" s="34">
        <f>IF(MasterFees[[#This Row],[GST Basis]]="Excl",MasterFees[[#This Row],[Fee as Printed]],IF(MasterFees[[#This Row],[GST Basis]]="Incl",MasterFees[[#This Row],[Fee as Printed]]/(1+GST_Rate),""))</f>
        <v>500</v>
      </c>
      <c r="R47" s="34">
        <f>IF(MasterFees[[#This Row],[GST Basis]]="Incl",MasterFees[[#This Row],[Fee as Printed]],IF(MasterFees[[#This Row],[GST Basis]]="Excl",MasterFees[[#This Row],[Fee as Printed]]*(1+GST_Rate),""))</f>
        <v>575</v>
      </c>
      <c r="S47" s="35" t="str">
        <f>IF(N(MasterFees[[#This Row],[Total Units]])=0,"",MasterFees[[#This Row],[Fee as Printed]]/MasterFees[[#This Row],[Total Units]])</f>
        <v/>
      </c>
      <c r="T47" s="36"/>
      <c r="U47" s="39" t="s">
        <v>4587</v>
      </c>
      <c r="V47" s="39" t="s">
        <v>4740</v>
      </c>
      <c r="W47" s="30" t="s">
        <v>4741</v>
      </c>
      <c r="X47" s="77" t="s">
        <v>4826</v>
      </c>
      <c r="Y47" s="127" t="str">
        <f>_xlfn.XLOOKUP(MasterFees[[#This Row],[Provider / Payer]],Contracts[Contract Name],Contracts[Contract ID],"No contract")</f>
        <v>CON-06</v>
      </c>
      <c r="Z47" s="127" t="str">
        <f>_xlfn.XLOOKUP(MasterFees[[#This Row],[Provider / Payer]],Contracts[Contract Name],Contracts[Pricing Basis],"To confirm")</f>
        <v>Fixed fee schedule</v>
      </c>
      <c r="AA47" s="127" t="str">
        <f>IF(MasterFees[[#This Row],[Pricing Basis]]="Fixed fee schedule","Yes","No")</f>
        <v>Yes</v>
      </c>
      <c r="AB47" s="127" t="str">
        <f>IF(OR(MasterFees[[#This Row],[Fee Basis]]="Add-on",MasterFees[[#This Row],[Fee Basis]]="Time band",MasterFees[[#This Row],[Fee Basis]]="Other"),MasterFees[[#This Row],[Fee Basis]],"Base")</f>
        <v>Base</v>
      </c>
      <c r="AC47" s="141">
        <f>IF(MasterFees[[#This Row],[Fixed Fee?]]="Yes",MasterFees[[#This Row],[Fee Excl. GST]],"")</f>
        <v>500</v>
      </c>
    </row>
    <row r="48" spans="1:29" x14ac:dyDescent="0.2">
      <c r="A48" s="67" t="s">
        <v>2157</v>
      </c>
      <c r="B48" s="31">
        <f>IF(MasterFees[[#This Row],[RVG Code]]="","",_xlfn.XLOOKUP(MasterFees[[#This Row],[RVG Code]],RVGCodes[Code],RVGCodes[Base Units],"Code not found"))</f>
        <v>4</v>
      </c>
      <c r="C4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8" s="125" t="s">
        <v>2572</v>
      </c>
      <c r="F48" s="48" t="s">
        <v>2567</v>
      </c>
      <c r="G48" s="30" t="s">
        <v>130</v>
      </c>
      <c r="H48" s="37" t="s">
        <v>1095</v>
      </c>
      <c r="I48" s="37"/>
      <c r="J48" s="37" t="s">
        <v>1096</v>
      </c>
      <c r="K48" s="32">
        <v>3</v>
      </c>
      <c r="L48" s="32">
        <v>2</v>
      </c>
      <c r="M48" s="32">
        <v>1</v>
      </c>
      <c r="N48" s="32">
        <v>6</v>
      </c>
      <c r="O48" s="33">
        <v>330</v>
      </c>
      <c r="P48" s="38" t="s">
        <v>1014</v>
      </c>
      <c r="Q48" s="34" t="str">
        <f>IF(MasterFees[[#This Row],[GST Basis]]="Excl",MasterFees[[#This Row],[Fee as Printed]],IF(MasterFees[[#This Row],[GST Basis]]="Incl",MasterFees[[#This Row],[Fee as Printed]]/(1+GST_Rate),""))</f>
        <v/>
      </c>
      <c r="R48" s="34" t="str">
        <f>IF(MasterFees[[#This Row],[GST Basis]]="Incl",MasterFees[[#This Row],[Fee as Printed]],IF(MasterFees[[#This Row],[GST Basis]]="Excl",MasterFees[[#This Row],[Fee as Printed]]*(1+GST_Rate),""))</f>
        <v/>
      </c>
      <c r="S48" s="35">
        <f>IF(N(MasterFees[[#This Row],[Total Units]])=0,"",MasterFees[[#This Row],[Fee as Printed]]/MasterFees[[#This Row],[Total Units]])</f>
        <v>55</v>
      </c>
      <c r="T48" s="36"/>
      <c r="U48" s="39" t="s">
        <v>1012</v>
      </c>
      <c r="V48" s="39" t="s">
        <v>1222</v>
      </c>
      <c r="W48" s="30"/>
      <c r="X48" s="73" t="s">
        <v>3005</v>
      </c>
      <c r="Y48" s="127" t="str">
        <f>_xlfn.XLOOKUP(MasterFees[[#This Row],[Provider / Payer]],Contracts[Contract Name],Contracts[Contract ID],"No contract")</f>
        <v>CON-01</v>
      </c>
      <c r="Z48" s="127" t="str">
        <f>_xlfn.XLOOKUP(MasterFees[[#This Row],[Provider / Payer]],Contracts[Contract Name],Contracts[Pricing Basis],"To confirm")</f>
        <v>To confirm</v>
      </c>
      <c r="AA48" s="127" t="str">
        <f>IF(MasterFees[[#This Row],[Pricing Basis]]="Fixed fee schedule","Yes","No")</f>
        <v>No</v>
      </c>
      <c r="AB48" s="127" t="str">
        <f>IF(OR(MasterFees[[#This Row],[Fee Basis]]="Add-on",MasterFees[[#This Row],[Fee Basis]]="Time band",MasterFees[[#This Row],[Fee Basis]]="Other"),MasterFees[[#This Row],[Fee Basis]],"Base")</f>
        <v>Base</v>
      </c>
      <c r="AC48" s="141" t="str">
        <f>IF(MasterFees[[#This Row],[Fixed Fee?]]="Yes",MasterFees[[#This Row],[Fee Excl. GST]],"")</f>
        <v/>
      </c>
    </row>
    <row r="49" spans="1:29" x14ac:dyDescent="0.2">
      <c r="A49" s="67" t="s">
        <v>2157</v>
      </c>
      <c r="B49" s="31">
        <f>IF(MasterFees[[#This Row],[RVG Code]]="","",_xlfn.XLOOKUP(MasterFees[[#This Row],[RVG Code]],RVGCodes[Code],RVGCodes[Base Units],"Code not found"))</f>
        <v>4</v>
      </c>
      <c r="C4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9" s="125" t="s">
        <v>2572</v>
      </c>
      <c r="F49" s="48" t="s">
        <v>2567</v>
      </c>
      <c r="G49" s="30" t="s">
        <v>4516</v>
      </c>
      <c r="H49" s="37" t="s">
        <v>4622</v>
      </c>
      <c r="I49" s="37" t="s">
        <v>4515</v>
      </c>
      <c r="J49" s="37" t="s">
        <v>1024</v>
      </c>
      <c r="K49" s="32"/>
      <c r="L49" s="32"/>
      <c r="M49" s="32"/>
      <c r="N49" s="32"/>
      <c r="O49" s="33">
        <v>800</v>
      </c>
      <c r="P49" s="38" t="s">
        <v>4398</v>
      </c>
      <c r="Q49" s="34">
        <f>IF(MasterFees[[#This Row],[GST Basis]]="Excl",MasterFees[[#This Row],[Fee as Printed]],IF(MasterFees[[#This Row],[GST Basis]]="Incl",MasterFees[[#This Row],[Fee as Printed]]/(1+GST_Rate),""))</f>
        <v>800</v>
      </c>
      <c r="R49" s="34">
        <f>IF(MasterFees[[#This Row],[GST Basis]]="Incl",MasterFees[[#This Row],[Fee as Printed]],IF(MasterFees[[#This Row],[GST Basis]]="Excl",MasterFees[[#This Row],[Fee as Printed]]*(1+GST_Rate),""))</f>
        <v>919.99999999999989</v>
      </c>
      <c r="S49" s="35" t="str">
        <f>IF(N(MasterFees[[#This Row],[Total Units]])=0,"",MasterFees[[#This Row],[Fee as Printed]]/MasterFees[[#This Row],[Total Units]])</f>
        <v/>
      </c>
      <c r="T49" s="36"/>
      <c r="U49" s="39" t="s">
        <v>4587</v>
      </c>
      <c r="V49" s="39" t="s">
        <v>4772</v>
      </c>
      <c r="W49" s="30" t="s">
        <v>4773</v>
      </c>
      <c r="X49" s="77" t="s">
        <v>4812</v>
      </c>
      <c r="Y49" s="127" t="str">
        <f>_xlfn.XLOOKUP(MasterFees[[#This Row],[Provider / Payer]],Contracts[Contract Name],Contracts[Contract ID],"No contract")</f>
        <v>CON-05</v>
      </c>
      <c r="Z49" s="127" t="str">
        <f>_xlfn.XLOOKUP(MasterFees[[#This Row],[Provider / Payer]],Contracts[Contract Name],Contracts[Pricing Basis],"To confirm")</f>
        <v>Fixed fee schedule</v>
      </c>
      <c r="AA49" s="127" t="str">
        <f>IF(MasterFees[[#This Row],[Pricing Basis]]="Fixed fee schedule","Yes","No")</f>
        <v>Yes</v>
      </c>
      <c r="AB49" s="127" t="str">
        <f>IF(OR(MasterFees[[#This Row],[Fee Basis]]="Add-on",MasterFees[[#This Row],[Fee Basis]]="Time band",MasterFees[[#This Row],[Fee Basis]]="Other"),MasterFees[[#This Row],[Fee Basis]],"Base")</f>
        <v>Base</v>
      </c>
      <c r="AC49" s="141">
        <f>IF(MasterFees[[#This Row],[Fixed Fee?]]="Yes",MasterFees[[#This Row],[Fee Excl. GST]],"")</f>
        <v>800</v>
      </c>
    </row>
    <row r="50" spans="1:29" x14ac:dyDescent="0.2">
      <c r="A50" s="67" t="s">
        <v>2157</v>
      </c>
      <c r="B50" s="31">
        <f>IF(MasterFees[[#This Row],[RVG Code]]="","",_xlfn.XLOOKUP(MasterFees[[#This Row],[RVG Code]],RVGCodes[Code],RVGCodes[Base Units],"Code not found"))</f>
        <v>4</v>
      </c>
      <c r="C5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5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0" s="125" t="s">
        <v>2572</v>
      </c>
      <c r="F50" s="48" t="s">
        <v>2567</v>
      </c>
      <c r="G50" s="30" t="s">
        <v>4516</v>
      </c>
      <c r="H50" s="37" t="s">
        <v>4625</v>
      </c>
      <c r="I50" s="37" t="s">
        <v>4515</v>
      </c>
      <c r="J50" s="37" t="s">
        <v>1024</v>
      </c>
      <c r="K50" s="32"/>
      <c r="L50" s="32"/>
      <c r="M50" s="32"/>
      <c r="N50" s="32"/>
      <c r="O50" s="33">
        <v>800</v>
      </c>
      <c r="P50" s="38" t="s">
        <v>4398</v>
      </c>
      <c r="Q50" s="34">
        <f>IF(MasterFees[[#This Row],[GST Basis]]="Excl",MasterFees[[#This Row],[Fee as Printed]],IF(MasterFees[[#This Row],[GST Basis]]="Incl",MasterFees[[#This Row],[Fee as Printed]]/(1+GST_Rate),""))</f>
        <v>800</v>
      </c>
      <c r="R50" s="34">
        <f>IF(MasterFees[[#This Row],[GST Basis]]="Incl",MasterFees[[#This Row],[Fee as Printed]],IF(MasterFees[[#This Row],[GST Basis]]="Excl",MasterFees[[#This Row],[Fee as Printed]]*(1+GST_Rate),""))</f>
        <v>919.99999999999989</v>
      </c>
      <c r="S50" s="35" t="str">
        <f>IF(N(MasterFees[[#This Row],[Total Units]])=0,"",MasterFees[[#This Row],[Fee as Printed]]/MasterFees[[#This Row],[Total Units]])</f>
        <v/>
      </c>
      <c r="T50" s="36"/>
      <c r="U50" s="39" t="s">
        <v>4587</v>
      </c>
      <c r="V50" s="39" t="s">
        <v>4774</v>
      </c>
      <c r="W50" s="30" t="s">
        <v>4775</v>
      </c>
      <c r="X50" s="77" t="s">
        <v>4812</v>
      </c>
      <c r="Y50" s="127" t="str">
        <f>_xlfn.XLOOKUP(MasterFees[[#This Row],[Provider / Payer]],Contracts[Contract Name],Contracts[Contract ID],"No contract")</f>
        <v>CON-06</v>
      </c>
      <c r="Z50" s="127" t="str">
        <f>_xlfn.XLOOKUP(MasterFees[[#This Row],[Provider / Payer]],Contracts[Contract Name],Contracts[Pricing Basis],"To confirm")</f>
        <v>Fixed fee schedule</v>
      </c>
      <c r="AA50" s="127" t="str">
        <f>IF(MasterFees[[#This Row],[Pricing Basis]]="Fixed fee schedule","Yes","No")</f>
        <v>Yes</v>
      </c>
      <c r="AB50" s="127" t="str">
        <f>IF(OR(MasterFees[[#This Row],[Fee Basis]]="Add-on",MasterFees[[#This Row],[Fee Basis]]="Time band",MasterFees[[#This Row],[Fee Basis]]="Other"),MasterFees[[#This Row],[Fee Basis]],"Base")</f>
        <v>Base</v>
      </c>
      <c r="AC50" s="141">
        <f>IF(MasterFees[[#This Row],[Fixed Fee?]]="Yes",MasterFees[[#This Row],[Fee Excl. GST]],"")</f>
        <v>800</v>
      </c>
    </row>
    <row r="51" spans="1:29" x14ac:dyDescent="0.2">
      <c r="A51" s="67" t="s">
        <v>2157</v>
      </c>
      <c r="B51" s="31">
        <f>IF(MasterFees[[#This Row],[RVG Code]]="","",_xlfn.XLOOKUP(MasterFees[[#This Row],[RVG Code]],RVGCodes[Code],RVGCodes[Base Units],"Code not found"))</f>
        <v>4</v>
      </c>
      <c r="C5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5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1" s="125" t="s">
        <v>2572</v>
      </c>
      <c r="F51" s="48" t="s">
        <v>2567</v>
      </c>
      <c r="G51" s="30" t="s">
        <v>4254</v>
      </c>
      <c r="H51" s="37" t="s">
        <v>4157</v>
      </c>
      <c r="I51" s="79" t="s">
        <v>4253</v>
      </c>
      <c r="J51" s="37" t="s">
        <v>1024</v>
      </c>
      <c r="K51" s="32"/>
      <c r="L51" s="32"/>
      <c r="M51" s="32"/>
      <c r="N51" s="32"/>
      <c r="O51" s="33">
        <v>910</v>
      </c>
      <c r="P51" s="38" t="s">
        <v>4043</v>
      </c>
      <c r="Q51" s="34">
        <f>IF(MasterFees[[#This Row],[GST Basis]]="Excl",MasterFees[[#This Row],[Fee as Printed]],IF(MasterFees[[#This Row],[GST Basis]]="Incl",MasterFees[[#This Row],[Fee as Printed]]/(1+GST_Rate),""))</f>
        <v>791.304347826087</v>
      </c>
      <c r="R51" s="34">
        <f>IF(MasterFees[[#This Row],[GST Basis]]="Incl",MasterFees[[#This Row],[Fee as Printed]],IF(MasterFees[[#This Row],[GST Basis]]="Excl",MasterFees[[#This Row],[Fee as Printed]]*(1+GST_Rate),""))</f>
        <v>910</v>
      </c>
      <c r="S51" s="35" t="str">
        <f>IF(N(MasterFees[[#This Row],[Total Units]])=0,"",MasterFees[[#This Row],[Fee as Printed]]/MasterFees[[#This Row],[Total Units]])</f>
        <v/>
      </c>
      <c r="T51" s="36">
        <v>46113</v>
      </c>
      <c r="U51" s="39" t="s">
        <v>4247</v>
      </c>
      <c r="V51" s="39" t="s">
        <v>4070</v>
      </c>
      <c r="W51" s="30" t="s">
        <v>4268</v>
      </c>
      <c r="X51" s="77" t="s">
        <v>4269</v>
      </c>
      <c r="Y51" s="127" t="str">
        <f>_xlfn.XLOOKUP(MasterFees[[#This Row],[Provider / Payer]],Contracts[Contract Name],Contracts[Contract ID],"No contract")</f>
        <v>CON-02</v>
      </c>
      <c r="Z51" s="127" t="str">
        <f>_xlfn.XLOOKUP(MasterFees[[#This Row],[Provider / Payer]],Contracts[Contract Name],Contracts[Pricing Basis],"To confirm")</f>
        <v>Fixed fee schedule</v>
      </c>
      <c r="AA51" s="127" t="str">
        <f>IF(MasterFees[[#This Row],[Pricing Basis]]="Fixed fee schedule","Yes","No")</f>
        <v>Yes</v>
      </c>
      <c r="AB51" s="127" t="str">
        <f>IF(OR(MasterFees[[#This Row],[Fee Basis]]="Add-on",MasterFees[[#This Row],[Fee Basis]]="Time band",MasterFees[[#This Row],[Fee Basis]]="Other"),MasterFees[[#This Row],[Fee Basis]],"Base")</f>
        <v>Base</v>
      </c>
      <c r="AC51" s="141">
        <f>IF(MasterFees[[#This Row],[Fixed Fee?]]="Yes",MasterFees[[#This Row],[Fee Excl. GST]],"")</f>
        <v>791.304347826087</v>
      </c>
    </row>
    <row r="52" spans="1:29" x14ac:dyDescent="0.2">
      <c r="A52" s="67" t="s">
        <v>2157</v>
      </c>
      <c r="B52" s="31">
        <f>IF(MasterFees[[#This Row],[RVG Code]]="","",_xlfn.XLOOKUP(MasterFees[[#This Row],[RVG Code]],RVGCodes[Code],RVGCodes[Base Units],"Code not found"))</f>
        <v>4</v>
      </c>
      <c r="C5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5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2" s="125" t="s">
        <v>2572</v>
      </c>
      <c r="F52" s="48" t="s">
        <v>2567</v>
      </c>
      <c r="G52" s="30" t="s">
        <v>4266</v>
      </c>
      <c r="H52" s="37" t="s">
        <v>4157</v>
      </c>
      <c r="I52" s="79" t="s">
        <v>4265</v>
      </c>
      <c r="J52" s="37" t="s">
        <v>1024</v>
      </c>
      <c r="K52" s="32"/>
      <c r="L52" s="32"/>
      <c r="M52" s="32"/>
      <c r="N52" s="32"/>
      <c r="O52" s="33">
        <v>1325</v>
      </c>
      <c r="P52" s="38" t="s">
        <v>4043</v>
      </c>
      <c r="Q52" s="34">
        <f>IF(MasterFees[[#This Row],[GST Basis]]="Excl",MasterFees[[#This Row],[Fee as Printed]],IF(MasterFees[[#This Row],[GST Basis]]="Incl",MasterFees[[#This Row],[Fee as Printed]]/(1+GST_Rate),""))</f>
        <v>1152.1739130434783</v>
      </c>
      <c r="R52" s="34">
        <f>IF(MasterFees[[#This Row],[GST Basis]]="Incl",MasterFees[[#This Row],[Fee as Printed]],IF(MasterFees[[#This Row],[GST Basis]]="Excl",MasterFees[[#This Row],[Fee as Printed]]*(1+GST_Rate),""))</f>
        <v>1325</v>
      </c>
      <c r="S52" s="35" t="str">
        <f>IF(N(MasterFees[[#This Row],[Total Units]])=0,"",MasterFees[[#This Row],[Fee as Printed]]/MasterFees[[#This Row],[Total Units]])</f>
        <v/>
      </c>
      <c r="T52" s="36">
        <v>46113</v>
      </c>
      <c r="U52" s="39" t="s">
        <v>4247</v>
      </c>
      <c r="V52" s="39" t="s">
        <v>4070</v>
      </c>
      <c r="W52" s="30" t="s">
        <v>4274</v>
      </c>
      <c r="X52" s="77" t="s">
        <v>4275</v>
      </c>
      <c r="Y52" s="127" t="str">
        <f>_xlfn.XLOOKUP(MasterFees[[#This Row],[Provider / Payer]],Contracts[Contract Name],Contracts[Contract ID],"No contract")</f>
        <v>CON-02</v>
      </c>
      <c r="Z52" s="127" t="str">
        <f>_xlfn.XLOOKUP(MasterFees[[#This Row],[Provider / Payer]],Contracts[Contract Name],Contracts[Pricing Basis],"To confirm")</f>
        <v>Fixed fee schedule</v>
      </c>
      <c r="AA52" s="127" t="str">
        <f>IF(MasterFees[[#This Row],[Pricing Basis]]="Fixed fee schedule","Yes","No")</f>
        <v>Yes</v>
      </c>
      <c r="AB52" s="127" t="str">
        <f>IF(OR(MasterFees[[#This Row],[Fee Basis]]="Add-on",MasterFees[[#This Row],[Fee Basis]]="Time band",MasterFees[[#This Row],[Fee Basis]]="Other"),MasterFees[[#This Row],[Fee Basis]],"Base")</f>
        <v>Base</v>
      </c>
      <c r="AC52" s="141">
        <f>IF(MasterFees[[#This Row],[Fixed Fee?]]="Yes",MasterFees[[#This Row],[Fee Excl. GST]],"")</f>
        <v>1152.1739130434783</v>
      </c>
    </row>
    <row r="53" spans="1:29" x14ac:dyDescent="0.2">
      <c r="A53" s="67" t="s">
        <v>2157</v>
      </c>
      <c r="B53" s="31">
        <f>IF(MasterFees[[#This Row],[RVG Code]]="","",_xlfn.XLOOKUP(MasterFees[[#This Row],[RVG Code]],RVGCodes[Code],RVGCodes[Base Units],"Code not found"))</f>
        <v>4</v>
      </c>
      <c r="C5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5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3" s="125" t="s">
        <v>2572</v>
      </c>
      <c r="F53" s="48" t="s">
        <v>2567</v>
      </c>
      <c r="G53" s="30" t="s">
        <v>4263</v>
      </c>
      <c r="H53" s="37" t="s">
        <v>4157</v>
      </c>
      <c r="I53" s="79" t="s">
        <v>4262</v>
      </c>
      <c r="J53" s="37" t="s">
        <v>1024</v>
      </c>
      <c r="K53" s="32"/>
      <c r="L53" s="32"/>
      <c r="M53" s="32"/>
      <c r="N53" s="32"/>
      <c r="O53" s="33">
        <v>1030</v>
      </c>
      <c r="P53" s="38" t="s">
        <v>4043</v>
      </c>
      <c r="Q53" s="34">
        <f>IF(MasterFees[[#This Row],[GST Basis]]="Excl",MasterFees[[#This Row],[Fee as Printed]],IF(MasterFees[[#This Row],[GST Basis]]="Incl",MasterFees[[#This Row],[Fee as Printed]]/(1+GST_Rate),""))</f>
        <v>895.6521739130435</v>
      </c>
      <c r="R53" s="34">
        <f>IF(MasterFees[[#This Row],[GST Basis]]="Incl",MasterFees[[#This Row],[Fee as Printed]],IF(MasterFees[[#This Row],[GST Basis]]="Excl",MasterFees[[#This Row],[Fee as Printed]]*(1+GST_Rate),""))</f>
        <v>1030</v>
      </c>
      <c r="S53" s="35" t="str">
        <f>IF(N(MasterFees[[#This Row],[Total Units]])=0,"",MasterFees[[#This Row],[Fee as Printed]]/MasterFees[[#This Row],[Total Units]])</f>
        <v/>
      </c>
      <c r="T53" s="36">
        <v>46113</v>
      </c>
      <c r="U53" s="39" t="s">
        <v>4247</v>
      </c>
      <c r="V53" s="39" t="s">
        <v>4070</v>
      </c>
      <c r="W53" s="30" t="s">
        <v>4272</v>
      </c>
      <c r="X53" s="77" t="s">
        <v>4273</v>
      </c>
      <c r="Y53" s="127" t="str">
        <f>_xlfn.XLOOKUP(MasterFees[[#This Row],[Provider / Payer]],Contracts[Contract Name],Contracts[Contract ID],"No contract")</f>
        <v>CON-02</v>
      </c>
      <c r="Z53" s="127" t="str">
        <f>_xlfn.XLOOKUP(MasterFees[[#This Row],[Provider / Payer]],Contracts[Contract Name],Contracts[Pricing Basis],"To confirm")</f>
        <v>Fixed fee schedule</v>
      </c>
      <c r="AA53" s="127" t="str">
        <f>IF(MasterFees[[#This Row],[Pricing Basis]]="Fixed fee schedule","Yes","No")</f>
        <v>Yes</v>
      </c>
      <c r="AB53" s="127" t="str">
        <f>IF(OR(MasterFees[[#This Row],[Fee Basis]]="Add-on",MasterFees[[#This Row],[Fee Basis]]="Time band",MasterFees[[#This Row],[Fee Basis]]="Other"),MasterFees[[#This Row],[Fee Basis]],"Base")</f>
        <v>Base</v>
      </c>
      <c r="AC53" s="141">
        <f>IF(MasterFees[[#This Row],[Fixed Fee?]]="Yes",MasterFees[[#This Row],[Fee Excl. GST]],"")</f>
        <v>895.6521739130435</v>
      </c>
    </row>
    <row r="54" spans="1:29" x14ac:dyDescent="0.2">
      <c r="A54" s="67" t="s">
        <v>2157</v>
      </c>
      <c r="B54" s="31">
        <f>IF(MasterFees[[#This Row],[RVG Code]]="","",_xlfn.XLOOKUP(MasterFees[[#This Row],[RVG Code]],RVGCodes[Code],RVGCodes[Base Units],"Code not found"))</f>
        <v>4</v>
      </c>
      <c r="C5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5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4" s="125" t="s">
        <v>2572</v>
      </c>
      <c r="F54" s="48" t="s">
        <v>2567</v>
      </c>
      <c r="G54" s="30" t="s">
        <v>4256</v>
      </c>
      <c r="H54" s="37" t="s">
        <v>4157</v>
      </c>
      <c r="I54" s="79" t="s">
        <v>4255</v>
      </c>
      <c r="J54" s="37" t="s">
        <v>1024</v>
      </c>
      <c r="K54" s="32"/>
      <c r="L54" s="32"/>
      <c r="M54" s="32"/>
      <c r="N54" s="32"/>
      <c r="O54" s="33">
        <v>1030</v>
      </c>
      <c r="P54" s="38" t="s">
        <v>4043</v>
      </c>
      <c r="Q54" s="34">
        <f>IF(MasterFees[[#This Row],[GST Basis]]="Excl",MasterFees[[#This Row],[Fee as Printed]],IF(MasterFees[[#This Row],[GST Basis]]="Incl",MasterFees[[#This Row],[Fee as Printed]]/(1+GST_Rate),""))</f>
        <v>895.6521739130435</v>
      </c>
      <c r="R54" s="34">
        <f>IF(MasterFees[[#This Row],[GST Basis]]="Incl",MasterFees[[#This Row],[Fee as Printed]],IF(MasterFees[[#This Row],[GST Basis]]="Excl",MasterFees[[#This Row],[Fee as Printed]]*(1+GST_Rate),""))</f>
        <v>1030</v>
      </c>
      <c r="S54" s="35" t="str">
        <f>IF(N(MasterFees[[#This Row],[Total Units]])=0,"",MasterFees[[#This Row],[Fee as Printed]]/MasterFees[[#This Row],[Total Units]])</f>
        <v/>
      </c>
      <c r="T54" s="36">
        <v>46113</v>
      </c>
      <c r="U54" s="39" t="s">
        <v>4247</v>
      </c>
      <c r="V54" s="39" t="s">
        <v>4070</v>
      </c>
      <c r="W54" s="30" t="s">
        <v>4270</v>
      </c>
      <c r="X54" s="77" t="s">
        <v>4271</v>
      </c>
      <c r="Y54" s="127" t="str">
        <f>_xlfn.XLOOKUP(MasterFees[[#This Row],[Provider / Payer]],Contracts[Contract Name],Contracts[Contract ID],"No contract")</f>
        <v>CON-02</v>
      </c>
      <c r="Z54" s="127" t="str">
        <f>_xlfn.XLOOKUP(MasterFees[[#This Row],[Provider / Payer]],Contracts[Contract Name],Contracts[Pricing Basis],"To confirm")</f>
        <v>Fixed fee schedule</v>
      </c>
      <c r="AA54" s="127" t="str">
        <f>IF(MasterFees[[#This Row],[Pricing Basis]]="Fixed fee schedule","Yes","No")</f>
        <v>Yes</v>
      </c>
      <c r="AB54" s="127" t="str">
        <f>IF(OR(MasterFees[[#This Row],[Fee Basis]]="Add-on",MasterFees[[#This Row],[Fee Basis]]="Time band",MasterFees[[#This Row],[Fee Basis]]="Other"),MasterFees[[#This Row],[Fee Basis]],"Base")</f>
        <v>Base</v>
      </c>
      <c r="AC54" s="141">
        <f>IF(MasterFees[[#This Row],[Fixed Fee?]]="Yes",MasterFees[[#This Row],[Fee Excl. GST]],"")</f>
        <v>895.6521739130435</v>
      </c>
    </row>
    <row r="55" spans="1:29" x14ac:dyDescent="0.2">
      <c r="A55" s="67" t="s">
        <v>2159</v>
      </c>
      <c r="B55" s="31">
        <f>IF(MasterFees[[#This Row],[RVG Code]]="","",_xlfn.XLOOKUP(MasterFees[[#This Row],[RVG Code]],RVGCodes[Code],RVGCodes[Base Units],"Code not found"))</f>
        <v>5</v>
      </c>
      <c r="C5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5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5" s="125" t="s">
        <v>2571</v>
      </c>
      <c r="F55" s="48" t="s">
        <v>2567</v>
      </c>
      <c r="G55" s="30" t="s">
        <v>4536</v>
      </c>
      <c r="H55" s="37" t="s">
        <v>4622</v>
      </c>
      <c r="I55" s="37" t="s">
        <v>4535</v>
      </c>
      <c r="J55" s="37" t="s">
        <v>1024</v>
      </c>
      <c r="K55" s="32"/>
      <c r="L55" s="32"/>
      <c r="M55" s="32"/>
      <c r="N55" s="32"/>
      <c r="O55" s="33">
        <v>750</v>
      </c>
      <c r="P55" s="38" t="s">
        <v>4398</v>
      </c>
      <c r="Q55" s="34">
        <f>IF(MasterFees[[#This Row],[GST Basis]]="Excl",MasterFees[[#This Row],[Fee as Printed]],IF(MasterFees[[#This Row],[GST Basis]]="Incl",MasterFees[[#This Row],[Fee as Printed]]/(1+GST_Rate),""))</f>
        <v>750</v>
      </c>
      <c r="R55" s="34">
        <f>IF(MasterFees[[#This Row],[GST Basis]]="Incl",MasterFees[[#This Row],[Fee as Printed]],IF(MasterFees[[#This Row],[GST Basis]]="Excl",MasterFees[[#This Row],[Fee as Printed]]*(1+GST_Rate),""))</f>
        <v>862.49999999999989</v>
      </c>
      <c r="S55" s="35" t="str">
        <f>IF(N(MasterFees[[#This Row],[Total Units]])=0,"",MasterFees[[#This Row],[Fee as Printed]]/MasterFees[[#This Row],[Total Units]])</f>
        <v/>
      </c>
      <c r="T55" s="36"/>
      <c r="U55" s="39" t="s">
        <v>4587</v>
      </c>
      <c r="V55" s="39" t="s">
        <v>4768</v>
      </c>
      <c r="W55" s="30" t="s">
        <v>4769</v>
      </c>
      <c r="X55" s="77" t="s">
        <v>4816</v>
      </c>
      <c r="Y55" s="127" t="str">
        <f>_xlfn.XLOOKUP(MasterFees[[#This Row],[Provider / Payer]],Contracts[Contract Name],Contracts[Contract ID],"No contract")</f>
        <v>CON-05</v>
      </c>
      <c r="Z55" s="127" t="str">
        <f>_xlfn.XLOOKUP(MasterFees[[#This Row],[Provider / Payer]],Contracts[Contract Name],Contracts[Pricing Basis],"To confirm")</f>
        <v>Fixed fee schedule</v>
      </c>
      <c r="AA55" s="127" t="str">
        <f>IF(MasterFees[[#This Row],[Pricing Basis]]="Fixed fee schedule","Yes","No")</f>
        <v>Yes</v>
      </c>
      <c r="AB55" s="127" t="str">
        <f>IF(OR(MasterFees[[#This Row],[Fee Basis]]="Add-on",MasterFees[[#This Row],[Fee Basis]]="Time band",MasterFees[[#This Row],[Fee Basis]]="Other"),MasterFees[[#This Row],[Fee Basis]],"Base")</f>
        <v>Base</v>
      </c>
      <c r="AC55" s="141">
        <f>IF(MasterFees[[#This Row],[Fixed Fee?]]="Yes",MasterFees[[#This Row],[Fee Excl. GST]],"")</f>
        <v>750</v>
      </c>
    </row>
    <row r="56" spans="1:29" x14ac:dyDescent="0.2">
      <c r="A56" s="67" t="s">
        <v>2159</v>
      </c>
      <c r="B56" s="31">
        <f>IF(MasterFees[[#This Row],[RVG Code]]="","",_xlfn.XLOOKUP(MasterFees[[#This Row],[RVG Code]],RVGCodes[Code],RVGCodes[Base Units],"Code not found"))</f>
        <v>5</v>
      </c>
      <c r="C5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5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6" s="125" t="s">
        <v>2571</v>
      </c>
      <c r="F56" s="48" t="s">
        <v>2567</v>
      </c>
      <c r="G56" s="30" t="s">
        <v>4536</v>
      </c>
      <c r="H56" s="37" t="s">
        <v>4625</v>
      </c>
      <c r="I56" s="37" t="s">
        <v>4535</v>
      </c>
      <c r="J56" s="37" t="s">
        <v>1024</v>
      </c>
      <c r="K56" s="32"/>
      <c r="L56" s="32"/>
      <c r="M56" s="32"/>
      <c r="N56" s="32"/>
      <c r="O56" s="33">
        <v>800</v>
      </c>
      <c r="P56" s="38" t="s">
        <v>4398</v>
      </c>
      <c r="Q56" s="34">
        <f>IF(MasterFees[[#This Row],[GST Basis]]="Excl",MasterFees[[#This Row],[Fee as Printed]],IF(MasterFees[[#This Row],[GST Basis]]="Incl",MasterFees[[#This Row],[Fee as Printed]]/(1+GST_Rate),""))</f>
        <v>800</v>
      </c>
      <c r="R56" s="34">
        <f>IF(MasterFees[[#This Row],[GST Basis]]="Incl",MasterFees[[#This Row],[Fee as Printed]],IF(MasterFees[[#This Row],[GST Basis]]="Excl",MasterFees[[#This Row],[Fee as Printed]]*(1+GST_Rate),""))</f>
        <v>919.99999999999989</v>
      </c>
      <c r="S56" s="35" t="str">
        <f>IF(N(MasterFees[[#This Row],[Total Units]])=0,"",MasterFees[[#This Row],[Fee as Printed]]/MasterFees[[#This Row],[Total Units]])</f>
        <v/>
      </c>
      <c r="T56" s="36"/>
      <c r="U56" s="39" t="s">
        <v>4587</v>
      </c>
      <c r="V56" s="39" t="s">
        <v>4770</v>
      </c>
      <c r="W56" s="30" t="s">
        <v>4771</v>
      </c>
      <c r="X56" s="77" t="s">
        <v>4816</v>
      </c>
      <c r="Y56" s="127" t="str">
        <f>_xlfn.XLOOKUP(MasterFees[[#This Row],[Provider / Payer]],Contracts[Contract Name],Contracts[Contract ID],"No contract")</f>
        <v>CON-06</v>
      </c>
      <c r="Z56" s="127" t="str">
        <f>_xlfn.XLOOKUP(MasterFees[[#This Row],[Provider / Payer]],Contracts[Contract Name],Contracts[Pricing Basis],"To confirm")</f>
        <v>Fixed fee schedule</v>
      </c>
      <c r="AA56" s="127" t="str">
        <f>IF(MasterFees[[#This Row],[Pricing Basis]]="Fixed fee schedule","Yes","No")</f>
        <v>Yes</v>
      </c>
      <c r="AB56" s="127" t="str">
        <f>IF(OR(MasterFees[[#This Row],[Fee Basis]]="Add-on",MasterFees[[#This Row],[Fee Basis]]="Time band",MasterFees[[#This Row],[Fee Basis]]="Other"),MasterFees[[#This Row],[Fee Basis]],"Base")</f>
        <v>Base</v>
      </c>
      <c r="AC56" s="141">
        <f>IF(MasterFees[[#This Row],[Fixed Fee?]]="Yes",MasterFees[[#This Row],[Fee Excl. GST]],"")</f>
        <v>800</v>
      </c>
    </row>
    <row r="57" spans="1:29" x14ac:dyDescent="0.2">
      <c r="A57" s="67" t="s">
        <v>2159</v>
      </c>
      <c r="B57" s="31">
        <f>IF(MasterFees[[#This Row],[RVG Code]]="","",_xlfn.XLOOKUP(MasterFees[[#This Row],[RVG Code]],RVGCodes[Code],RVGCodes[Base Units],"Code not found"))</f>
        <v>5</v>
      </c>
      <c r="C5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5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7" s="125" t="s">
        <v>2571</v>
      </c>
      <c r="F57" s="48" t="s">
        <v>2567</v>
      </c>
      <c r="G57" s="30" t="s">
        <v>144</v>
      </c>
      <c r="H57" s="37" t="s">
        <v>1095</v>
      </c>
      <c r="I57" s="37"/>
      <c r="J57" s="37" t="s">
        <v>1096</v>
      </c>
      <c r="K57" s="32">
        <v>1.3</v>
      </c>
      <c r="L57" s="32">
        <v>7.3</v>
      </c>
      <c r="M57" s="32">
        <v>0.3</v>
      </c>
      <c r="N57" s="32">
        <v>9</v>
      </c>
      <c r="O57" s="33">
        <v>494.45</v>
      </c>
      <c r="P57" s="38" t="s">
        <v>1014</v>
      </c>
      <c r="Q57" s="34" t="str">
        <f>IF(MasterFees[[#This Row],[GST Basis]]="Excl",MasterFees[[#This Row],[Fee as Printed]],IF(MasterFees[[#This Row],[GST Basis]]="Incl",MasterFees[[#This Row],[Fee as Printed]]/(1+GST_Rate),""))</f>
        <v/>
      </c>
      <c r="R57" s="34" t="str">
        <f>IF(MasterFees[[#This Row],[GST Basis]]="Incl",MasterFees[[#This Row],[Fee as Printed]],IF(MasterFees[[#This Row],[GST Basis]]="Excl",MasterFees[[#This Row],[Fee as Printed]]*(1+GST_Rate),""))</f>
        <v/>
      </c>
      <c r="S57" s="35">
        <f>IF(N(MasterFees[[#This Row],[Total Units]])=0,"",MasterFees[[#This Row],[Fee as Printed]]/MasterFees[[#This Row],[Total Units]])</f>
        <v>54.93888888888889</v>
      </c>
      <c r="T57" s="36"/>
      <c r="U57" s="39" t="s">
        <v>1012</v>
      </c>
      <c r="V57" s="39" t="s">
        <v>1237</v>
      </c>
      <c r="W57" s="30"/>
      <c r="X57" s="73" t="s">
        <v>3020</v>
      </c>
      <c r="Y57" s="127" t="str">
        <f>_xlfn.XLOOKUP(MasterFees[[#This Row],[Provider / Payer]],Contracts[Contract Name],Contracts[Contract ID],"No contract")</f>
        <v>CON-01</v>
      </c>
      <c r="Z57" s="127" t="str">
        <f>_xlfn.XLOOKUP(MasterFees[[#This Row],[Provider / Payer]],Contracts[Contract Name],Contracts[Pricing Basis],"To confirm")</f>
        <v>To confirm</v>
      </c>
      <c r="AA57" s="127" t="str">
        <f>IF(MasterFees[[#This Row],[Pricing Basis]]="Fixed fee schedule","Yes","No")</f>
        <v>No</v>
      </c>
      <c r="AB57" s="127" t="str">
        <f>IF(OR(MasterFees[[#This Row],[Fee Basis]]="Add-on",MasterFees[[#This Row],[Fee Basis]]="Time band",MasterFees[[#This Row],[Fee Basis]]="Other"),MasterFees[[#This Row],[Fee Basis]],"Base")</f>
        <v>Base</v>
      </c>
      <c r="AC57" s="141" t="str">
        <f>IF(MasterFees[[#This Row],[Fixed Fee?]]="Yes",MasterFees[[#This Row],[Fee Excl. GST]],"")</f>
        <v/>
      </c>
    </row>
    <row r="58" spans="1:29" x14ac:dyDescent="0.2">
      <c r="A58" s="67" t="s">
        <v>2165</v>
      </c>
      <c r="B58" s="31">
        <f>IF(MasterFees[[#This Row],[RVG Code]]="","",_xlfn.XLOOKUP(MasterFees[[#This Row],[RVG Code]],RVGCodes[Code],RVGCodes[Base Units],"Code not found"))</f>
        <v>10</v>
      </c>
      <c r="C5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5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8" s="125" t="s">
        <v>2593</v>
      </c>
      <c r="F58" s="48" t="s">
        <v>2569</v>
      </c>
      <c r="G58" s="30" t="s">
        <v>145</v>
      </c>
      <c r="H58" s="37" t="s">
        <v>1095</v>
      </c>
      <c r="I58" s="37"/>
      <c r="J58" s="37" t="s">
        <v>1096</v>
      </c>
      <c r="K58" s="32">
        <v>11.7</v>
      </c>
      <c r="L58" s="32">
        <v>8.1999999999999993</v>
      </c>
      <c r="M58" s="32">
        <v>0.9</v>
      </c>
      <c r="N58" s="32">
        <v>20.8</v>
      </c>
      <c r="O58" s="33">
        <v>1146.2</v>
      </c>
      <c r="P58" s="38" t="s">
        <v>1014</v>
      </c>
      <c r="Q58" s="34" t="str">
        <f>IF(MasterFees[[#This Row],[GST Basis]]="Excl",MasterFees[[#This Row],[Fee as Printed]],IF(MasterFees[[#This Row],[GST Basis]]="Incl",MasterFees[[#This Row],[Fee as Printed]]/(1+GST_Rate),""))</f>
        <v/>
      </c>
      <c r="R58" s="34" t="str">
        <f>IF(MasterFees[[#This Row],[GST Basis]]="Incl",MasterFees[[#This Row],[Fee as Printed]],IF(MasterFees[[#This Row],[GST Basis]]="Excl",MasterFees[[#This Row],[Fee as Printed]]*(1+GST_Rate),""))</f>
        <v/>
      </c>
      <c r="S58" s="35">
        <f>IF(N(MasterFees[[#This Row],[Total Units]])=0,"",MasterFees[[#This Row],[Fee as Printed]]/MasterFees[[#This Row],[Total Units]])</f>
        <v>55.105769230769234</v>
      </c>
      <c r="T58" s="36"/>
      <c r="U58" s="39" t="s">
        <v>1012</v>
      </c>
      <c r="V58" s="39" t="s">
        <v>1238</v>
      </c>
      <c r="W58" s="30"/>
      <c r="X58" s="73" t="s">
        <v>3021</v>
      </c>
      <c r="Y58" s="127" t="str">
        <f>_xlfn.XLOOKUP(MasterFees[[#This Row],[Provider / Payer]],Contracts[Contract Name],Contracts[Contract ID],"No contract")</f>
        <v>CON-01</v>
      </c>
      <c r="Z58" s="127" t="str">
        <f>_xlfn.XLOOKUP(MasterFees[[#This Row],[Provider / Payer]],Contracts[Contract Name],Contracts[Pricing Basis],"To confirm")</f>
        <v>To confirm</v>
      </c>
      <c r="AA58" s="127" t="str">
        <f>IF(MasterFees[[#This Row],[Pricing Basis]]="Fixed fee schedule","Yes","No")</f>
        <v>No</v>
      </c>
      <c r="AB58" s="127" t="str">
        <f>IF(OR(MasterFees[[#This Row],[Fee Basis]]="Add-on",MasterFees[[#This Row],[Fee Basis]]="Time band",MasterFees[[#This Row],[Fee Basis]]="Other"),MasterFees[[#This Row],[Fee Basis]],"Base")</f>
        <v>Base</v>
      </c>
      <c r="AC58" s="141" t="str">
        <f>IF(MasterFees[[#This Row],[Fixed Fee?]]="Yes",MasterFees[[#This Row],[Fee Excl. GST]],"")</f>
        <v/>
      </c>
    </row>
    <row r="59" spans="1:29" x14ac:dyDescent="0.2">
      <c r="A59" s="67" t="s">
        <v>2165</v>
      </c>
      <c r="B59" s="31">
        <f>IF(MasterFees[[#This Row],[RVG Code]]="","",_xlfn.XLOOKUP(MasterFees[[#This Row],[RVG Code]],RVGCodes[Code],RVGCodes[Base Units],"Code not found"))</f>
        <v>10</v>
      </c>
      <c r="C5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5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9" s="125" t="s">
        <v>2593</v>
      </c>
      <c r="F59" s="48" t="s">
        <v>2569</v>
      </c>
      <c r="G59" s="30" t="s">
        <v>146</v>
      </c>
      <c r="H59" s="37" t="s">
        <v>1095</v>
      </c>
      <c r="I59" s="37"/>
      <c r="J59" s="37" t="s">
        <v>1096</v>
      </c>
      <c r="K59" s="32">
        <v>12.3</v>
      </c>
      <c r="L59" s="32">
        <v>5.5</v>
      </c>
      <c r="M59" s="32">
        <v>1.3</v>
      </c>
      <c r="N59" s="32">
        <v>19.100000000000001</v>
      </c>
      <c r="O59" s="33">
        <v>1048.3</v>
      </c>
      <c r="P59" s="38" t="s">
        <v>1014</v>
      </c>
      <c r="Q59" s="34" t="str">
        <f>IF(MasterFees[[#This Row],[GST Basis]]="Excl",MasterFees[[#This Row],[Fee as Printed]],IF(MasterFees[[#This Row],[GST Basis]]="Incl",MasterFees[[#This Row],[Fee as Printed]]/(1+GST_Rate),""))</f>
        <v/>
      </c>
      <c r="R59" s="34" t="str">
        <f>IF(MasterFees[[#This Row],[GST Basis]]="Incl",MasterFees[[#This Row],[Fee as Printed]],IF(MasterFees[[#This Row],[GST Basis]]="Excl",MasterFees[[#This Row],[Fee as Printed]]*(1+GST_Rate),""))</f>
        <v/>
      </c>
      <c r="S59" s="35">
        <f>IF(N(MasterFees[[#This Row],[Total Units]])=0,"",MasterFees[[#This Row],[Fee as Printed]]/MasterFees[[#This Row],[Total Units]])</f>
        <v>54.884816753926692</v>
      </c>
      <c r="T59" s="36"/>
      <c r="U59" s="39" t="s">
        <v>1012</v>
      </c>
      <c r="V59" s="39" t="s">
        <v>1239</v>
      </c>
      <c r="W59" s="30"/>
      <c r="X59" s="73" t="s">
        <v>3022</v>
      </c>
      <c r="Y59" s="127" t="str">
        <f>_xlfn.XLOOKUP(MasterFees[[#This Row],[Provider / Payer]],Contracts[Contract Name],Contracts[Contract ID],"No contract")</f>
        <v>CON-01</v>
      </c>
      <c r="Z59" s="127" t="str">
        <f>_xlfn.XLOOKUP(MasterFees[[#This Row],[Provider / Payer]],Contracts[Contract Name],Contracts[Pricing Basis],"To confirm")</f>
        <v>To confirm</v>
      </c>
      <c r="AA59" s="127" t="str">
        <f>IF(MasterFees[[#This Row],[Pricing Basis]]="Fixed fee schedule","Yes","No")</f>
        <v>No</v>
      </c>
      <c r="AB59" s="127" t="str">
        <f>IF(OR(MasterFees[[#This Row],[Fee Basis]]="Add-on",MasterFees[[#This Row],[Fee Basis]]="Time band",MasterFees[[#This Row],[Fee Basis]]="Other"),MasterFees[[#This Row],[Fee Basis]],"Base")</f>
        <v>Base</v>
      </c>
      <c r="AC59" s="141" t="str">
        <f>IF(MasterFees[[#This Row],[Fixed Fee?]]="Yes",MasterFees[[#This Row],[Fee Excl. GST]],"")</f>
        <v/>
      </c>
    </row>
    <row r="60" spans="1:29" x14ac:dyDescent="0.2">
      <c r="A60" s="67" t="s">
        <v>2157</v>
      </c>
      <c r="B60" s="31">
        <f>IF(MasterFees[[#This Row],[RVG Code]]="","",_xlfn.XLOOKUP(MasterFees[[#This Row],[RVG Code]],RVGCodes[Code],RVGCodes[Base Units],"Code not found"))</f>
        <v>4</v>
      </c>
      <c r="C6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6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0" s="125" t="s">
        <v>2572</v>
      </c>
      <c r="F60" s="48" t="s">
        <v>2567</v>
      </c>
      <c r="G60" s="30" t="s">
        <v>4500</v>
      </c>
      <c r="H60" s="37" t="s">
        <v>4622</v>
      </c>
      <c r="I60" s="37" t="s">
        <v>4499</v>
      </c>
      <c r="J60" s="37" t="s">
        <v>1024</v>
      </c>
      <c r="K60" s="32"/>
      <c r="L60" s="32"/>
      <c r="M60" s="32"/>
      <c r="N60" s="32"/>
      <c r="O60" s="33">
        <v>800</v>
      </c>
      <c r="P60" s="38" t="s">
        <v>4398</v>
      </c>
      <c r="Q60" s="34">
        <f>IF(MasterFees[[#This Row],[GST Basis]]="Excl",MasterFees[[#This Row],[Fee as Printed]],IF(MasterFees[[#This Row],[GST Basis]]="Incl",MasterFees[[#This Row],[Fee as Printed]]/(1+GST_Rate),""))</f>
        <v>800</v>
      </c>
      <c r="R60" s="34">
        <f>IF(MasterFees[[#This Row],[GST Basis]]="Incl",MasterFees[[#This Row],[Fee as Printed]],IF(MasterFees[[#This Row],[GST Basis]]="Excl",MasterFees[[#This Row],[Fee as Printed]]*(1+GST_Rate),""))</f>
        <v>919.99999999999989</v>
      </c>
      <c r="S60" s="35" t="str">
        <f>IF(N(MasterFees[[#This Row],[Total Units]])=0,"",MasterFees[[#This Row],[Fee as Printed]]/MasterFees[[#This Row],[Total Units]])</f>
        <v/>
      </c>
      <c r="T60" s="36"/>
      <c r="U60" s="39" t="s">
        <v>4587</v>
      </c>
      <c r="V60" s="39" t="s">
        <v>4788</v>
      </c>
      <c r="W60" s="30" t="s">
        <v>4785</v>
      </c>
      <c r="X60" s="77" t="s">
        <v>4805</v>
      </c>
      <c r="Y60" s="127" t="str">
        <f>_xlfn.XLOOKUP(MasterFees[[#This Row],[Provider / Payer]],Contracts[Contract Name],Contracts[Contract ID],"No contract")</f>
        <v>CON-05</v>
      </c>
      <c r="Z60" s="127" t="str">
        <f>_xlfn.XLOOKUP(MasterFees[[#This Row],[Provider / Payer]],Contracts[Contract Name],Contracts[Pricing Basis],"To confirm")</f>
        <v>Fixed fee schedule</v>
      </c>
      <c r="AA60" s="127" t="str">
        <f>IF(MasterFees[[#This Row],[Pricing Basis]]="Fixed fee schedule","Yes","No")</f>
        <v>Yes</v>
      </c>
      <c r="AB60" s="127" t="str">
        <f>IF(OR(MasterFees[[#This Row],[Fee Basis]]="Add-on",MasterFees[[#This Row],[Fee Basis]]="Time band",MasterFees[[#This Row],[Fee Basis]]="Other"),MasterFees[[#This Row],[Fee Basis]],"Base")</f>
        <v>Base</v>
      </c>
      <c r="AC60" s="141">
        <f>IF(MasterFees[[#This Row],[Fixed Fee?]]="Yes",MasterFees[[#This Row],[Fee Excl. GST]],"")</f>
        <v>800</v>
      </c>
    </row>
    <row r="61" spans="1:29" x14ac:dyDescent="0.2">
      <c r="A61" s="67" t="s">
        <v>2157</v>
      </c>
      <c r="B61" s="31">
        <f>IF(MasterFees[[#This Row],[RVG Code]]="","",_xlfn.XLOOKUP(MasterFees[[#This Row],[RVG Code]],RVGCodes[Code],RVGCodes[Base Units],"Code not found"))</f>
        <v>4</v>
      </c>
      <c r="C6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6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1" s="125" t="s">
        <v>2572</v>
      </c>
      <c r="F61" s="48" t="s">
        <v>2567</v>
      </c>
      <c r="G61" s="30" t="s">
        <v>4500</v>
      </c>
      <c r="H61" s="37" t="s">
        <v>4625</v>
      </c>
      <c r="I61" s="37" t="s">
        <v>4499</v>
      </c>
      <c r="J61" s="37" t="s">
        <v>1024</v>
      </c>
      <c r="K61" s="32"/>
      <c r="L61" s="32"/>
      <c r="M61" s="32"/>
      <c r="N61" s="32"/>
      <c r="O61" s="33">
        <v>800</v>
      </c>
      <c r="P61" s="38" t="s">
        <v>4398</v>
      </c>
      <c r="Q61" s="34">
        <f>IF(MasterFees[[#This Row],[GST Basis]]="Excl",MasterFees[[#This Row],[Fee as Printed]],IF(MasterFees[[#This Row],[GST Basis]]="Incl",MasterFees[[#This Row],[Fee as Printed]]/(1+GST_Rate),""))</f>
        <v>800</v>
      </c>
      <c r="R61" s="34">
        <f>IF(MasterFees[[#This Row],[GST Basis]]="Incl",MasterFees[[#This Row],[Fee as Printed]],IF(MasterFees[[#This Row],[GST Basis]]="Excl",MasterFees[[#This Row],[Fee as Printed]]*(1+GST_Rate),""))</f>
        <v>919.99999999999989</v>
      </c>
      <c r="S61" s="35" t="str">
        <f>IF(N(MasterFees[[#This Row],[Total Units]])=0,"",MasterFees[[#This Row],[Fee as Printed]]/MasterFees[[#This Row],[Total Units]])</f>
        <v/>
      </c>
      <c r="T61" s="36"/>
      <c r="U61" s="39" t="s">
        <v>4587</v>
      </c>
      <c r="V61" s="39" t="s">
        <v>4789</v>
      </c>
      <c r="W61" s="30" t="s">
        <v>4787</v>
      </c>
      <c r="X61" s="77" t="s">
        <v>4805</v>
      </c>
      <c r="Y61" s="127" t="str">
        <f>_xlfn.XLOOKUP(MasterFees[[#This Row],[Provider / Payer]],Contracts[Contract Name],Contracts[Contract ID],"No contract")</f>
        <v>CON-06</v>
      </c>
      <c r="Z61" s="127" t="str">
        <f>_xlfn.XLOOKUP(MasterFees[[#This Row],[Provider / Payer]],Contracts[Contract Name],Contracts[Pricing Basis],"To confirm")</f>
        <v>Fixed fee schedule</v>
      </c>
      <c r="AA61" s="127" t="str">
        <f>IF(MasterFees[[#This Row],[Pricing Basis]]="Fixed fee schedule","Yes","No")</f>
        <v>Yes</v>
      </c>
      <c r="AB61" s="127" t="str">
        <f>IF(OR(MasterFees[[#This Row],[Fee Basis]]="Add-on",MasterFees[[#This Row],[Fee Basis]]="Time band",MasterFees[[#This Row],[Fee Basis]]="Other"),MasterFees[[#This Row],[Fee Basis]],"Base")</f>
        <v>Base</v>
      </c>
      <c r="AC61" s="141">
        <f>IF(MasterFees[[#This Row],[Fixed Fee?]]="Yes",MasterFees[[#This Row],[Fee Excl. GST]],"")</f>
        <v>800</v>
      </c>
    </row>
    <row r="62" spans="1:29" x14ac:dyDescent="0.2">
      <c r="A62" s="67" t="s">
        <v>2157</v>
      </c>
      <c r="B62" s="31">
        <f>IF(MasterFees[[#This Row],[RVG Code]]="","",_xlfn.XLOOKUP(MasterFees[[#This Row],[RVG Code]],RVGCodes[Code],RVGCodes[Base Units],"Code not found"))</f>
        <v>4</v>
      </c>
      <c r="C6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6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2" s="125" t="s">
        <v>2572</v>
      </c>
      <c r="F62" s="48" t="s">
        <v>2567</v>
      </c>
      <c r="G62" s="30" t="s">
        <v>4498</v>
      </c>
      <c r="H62" s="37" t="s">
        <v>4622</v>
      </c>
      <c r="I62" s="37" t="s">
        <v>4497</v>
      </c>
      <c r="J62" s="37" t="s">
        <v>1024</v>
      </c>
      <c r="K62" s="32"/>
      <c r="L62" s="32"/>
      <c r="M62" s="32"/>
      <c r="N62" s="32"/>
      <c r="O62" s="33">
        <v>800</v>
      </c>
      <c r="P62" s="38" t="s">
        <v>4398</v>
      </c>
      <c r="Q62" s="34">
        <f>IF(MasterFees[[#This Row],[GST Basis]]="Excl",MasterFees[[#This Row],[Fee as Printed]],IF(MasterFees[[#This Row],[GST Basis]]="Incl",MasterFees[[#This Row],[Fee as Printed]]/(1+GST_Rate),""))</f>
        <v>800</v>
      </c>
      <c r="R62" s="34">
        <f>IF(MasterFees[[#This Row],[GST Basis]]="Incl",MasterFees[[#This Row],[Fee as Printed]],IF(MasterFees[[#This Row],[GST Basis]]="Excl",MasterFees[[#This Row],[Fee as Printed]]*(1+GST_Rate),""))</f>
        <v>919.99999999999989</v>
      </c>
      <c r="S62" s="35" t="str">
        <f>IF(N(MasterFees[[#This Row],[Total Units]])=0,"",MasterFees[[#This Row],[Fee as Printed]]/MasterFees[[#This Row],[Total Units]])</f>
        <v/>
      </c>
      <c r="T62" s="36"/>
      <c r="U62" s="39" t="s">
        <v>4587</v>
      </c>
      <c r="V62" s="39" t="s">
        <v>4784</v>
      </c>
      <c r="W62" s="30" t="s">
        <v>4785</v>
      </c>
      <c r="X62" s="77" t="s">
        <v>4804</v>
      </c>
      <c r="Y62" s="127" t="str">
        <f>_xlfn.XLOOKUP(MasterFees[[#This Row],[Provider / Payer]],Contracts[Contract Name],Contracts[Contract ID],"No contract")</f>
        <v>CON-05</v>
      </c>
      <c r="Z62" s="127" t="str">
        <f>_xlfn.XLOOKUP(MasterFees[[#This Row],[Provider / Payer]],Contracts[Contract Name],Contracts[Pricing Basis],"To confirm")</f>
        <v>Fixed fee schedule</v>
      </c>
      <c r="AA62" s="127" t="str">
        <f>IF(MasterFees[[#This Row],[Pricing Basis]]="Fixed fee schedule","Yes","No")</f>
        <v>Yes</v>
      </c>
      <c r="AB62" s="127" t="str">
        <f>IF(OR(MasterFees[[#This Row],[Fee Basis]]="Add-on",MasterFees[[#This Row],[Fee Basis]]="Time band",MasterFees[[#This Row],[Fee Basis]]="Other"),MasterFees[[#This Row],[Fee Basis]],"Base")</f>
        <v>Base</v>
      </c>
      <c r="AC62" s="141">
        <f>IF(MasterFees[[#This Row],[Fixed Fee?]]="Yes",MasterFees[[#This Row],[Fee Excl. GST]],"")</f>
        <v>800</v>
      </c>
    </row>
    <row r="63" spans="1:29" x14ac:dyDescent="0.2">
      <c r="A63" s="67" t="s">
        <v>2157</v>
      </c>
      <c r="B63" s="31">
        <f>IF(MasterFees[[#This Row],[RVG Code]]="","",_xlfn.XLOOKUP(MasterFees[[#This Row],[RVG Code]],RVGCodes[Code],RVGCodes[Base Units],"Code not found"))</f>
        <v>4</v>
      </c>
      <c r="C6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6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3" s="125" t="s">
        <v>2572</v>
      </c>
      <c r="F63" s="48" t="s">
        <v>2567</v>
      </c>
      <c r="G63" s="30" t="s">
        <v>4498</v>
      </c>
      <c r="H63" s="37" t="s">
        <v>4625</v>
      </c>
      <c r="I63" s="37" t="s">
        <v>4497</v>
      </c>
      <c r="J63" s="37" t="s">
        <v>1024</v>
      </c>
      <c r="K63" s="32"/>
      <c r="L63" s="32"/>
      <c r="M63" s="32"/>
      <c r="N63" s="32"/>
      <c r="O63" s="33">
        <v>800</v>
      </c>
      <c r="P63" s="38" t="s">
        <v>4398</v>
      </c>
      <c r="Q63" s="34">
        <f>IF(MasterFees[[#This Row],[GST Basis]]="Excl",MasterFees[[#This Row],[Fee as Printed]],IF(MasterFees[[#This Row],[GST Basis]]="Incl",MasterFees[[#This Row],[Fee as Printed]]/(1+GST_Rate),""))</f>
        <v>800</v>
      </c>
      <c r="R63" s="34">
        <f>IF(MasterFees[[#This Row],[GST Basis]]="Incl",MasterFees[[#This Row],[Fee as Printed]],IF(MasterFees[[#This Row],[GST Basis]]="Excl",MasterFees[[#This Row],[Fee as Printed]]*(1+GST_Rate),""))</f>
        <v>919.99999999999989</v>
      </c>
      <c r="S63" s="35" t="str">
        <f>IF(N(MasterFees[[#This Row],[Total Units]])=0,"",MasterFees[[#This Row],[Fee as Printed]]/MasterFees[[#This Row],[Total Units]])</f>
        <v/>
      </c>
      <c r="T63" s="36"/>
      <c r="U63" s="39" t="s">
        <v>4587</v>
      </c>
      <c r="V63" s="39" t="s">
        <v>4786</v>
      </c>
      <c r="W63" s="30" t="s">
        <v>4787</v>
      </c>
      <c r="X63" s="77" t="s">
        <v>4804</v>
      </c>
      <c r="Y63" s="127" t="str">
        <f>_xlfn.XLOOKUP(MasterFees[[#This Row],[Provider / Payer]],Contracts[Contract Name],Contracts[Contract ID],"No contract")</f>
        <v>CON-06</v>
      </c>
      <c r="Z63" s="127" t="str">
        <f>_xlfn.XLOOKUP(MasterFees[[#This Row],[Provider / Payer]],Contracts[Contract Name],Contracts[Pricing Basis],"To confirm")</f>
        <v>Fixed fee schedule</v>
      </c>
      <c r="AA63" s="127" t="str">
        <f>IF(MasterFees[[#This Row],[Pricing Basis]]="Fixed fee schedule","Yes","No")</f>
        <v>Yes</v>
      </c>
      <c r="AB63" s="127" t="str">
        <f>IF(OR(MasterFees[[#This Row],[Fee Basis]]="Add-on",MasterFees[[#This Row],[Fee Basis]]="Time band",MasterFees[[#This Row],[Fee Basis]]="Other"),MasterFees[[#This Row],[Fee Basis]],"Base")</f>
        <v>Base</v>
      </c>
      <c r="AC63" s="141">
        <f>IF(MasterFees[[#This Row],[Fixed Fee?]]="Yes",MasterFees[[#This Row],[Fee Excl. GST]],"")</f>
        <v>800</v>
      </c>
    </row>
    <row r="64" spans="1:29" x14ac:dyDescent="0.2">
      <c r="A64" s="67" t="s">
        <v>2159</v>
      </c>
      <c r="B64" s="31">
        <f>IF(MasterFees[[#This Row],[RVG Code]]="","",_xlfn.XLOOKUP(MasterFees[[#This Row],[RVG Code]],RVGCodes[Code],RVGCodes[Base Units],"Code not found"))</f>
        <v>5</v>
      </c>
      <c r="C6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6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4" s="125" t="s">
        <v>2571</v>
      </c>
      <c r="F64" s="48" t="s">
        <v>2567</v>
      </c>
      <c r="G64" s="30" t="s">
        <v>161</v>
      </c>
      <c r="H64" s="37" t="s">
        <v>1095</v>
      </c>
      <c r="I64" s="37"/>
      <c r="J64" s="37" t="s">
        <v>1096</v>
      </c>
      <c r="K64" s="32">
        <v>4.3</v>
      </c>
      <c r="L64" s="32">
        <v>2.2000000000000002</v>
      </c>
      <c r="M64" s="32">
        <v>0.5</v>
      </c>
      <c r="N64" s="32">
        <v>7</v>
      </c>
      <c r="O64" s="33">
        <v>384.45</v>
      </c>
      <c r="P64" s="38" t="s">
        <v>1014</v>
      </c>
      <c r="Q64" s="34" t="str">
        <f>IF(MasterFees[[#This Row],[GST Basis]]="Excl",MasterFees[[#This Row],[Fee as Printed]],IF(MasterFees[[#This Row],[GST Basis]]="Incl",MasterFees[[#This Row],[Fee as Printed]]/(1+GST_Rate),""))</f>
        <v/>
      </c>
      <c r="R64" s="34" t="str">
        <f>IF(MasterFees[[#This Row],[GST Basis]]="Incl",MasterFees[[#This Row],[Fee as Printed]],IF(MasterFees[[#This Row],[GST Basis]]="Excl",MasterFees[[#This Row],[Fee as Printed]]*(1+GST_Rate),""))</f>
        <v/>
      </c>
      <c r="S64" s="35">
        <f>IF(N(MasterFees[[#This Row],[Total Units]])=0,"",MasterFees[[#This Row],[Fee as Printed]]/MasterFees[[#This Row],[Total Units]])</f>
        <v>54.921428571428571</v>
      </c>
      <c r="T64" s="36"/>
      <c r="U64" s="39" t="s">
        <v>1012</v>
      </c>
      <c r="V64" s="39" t="s">
        <v>1255</v>
      </c>
      <c r="W64" s="30"/>
      <c r="X64" s="73" t="s">
        <v>3039</v>
      </c>
      <c r="Y64" s="127" t="str">
        <f>_xlfn.XLOOKUP(MasterFees[[#This Row],[Provider / Payer]],Contracts[Contract Name],Contracts[Contract ID],"No contract")</f>
        <v>CON-01</v>
      </c>
      <c r="Z64" s="127" t="str">
        <f>_xlfn.XLOOKUP(MasterFees[[#This Row],[Provider / Payer]],Contracts[Contract Name],Contracts[Pricing Basis],"To confirm")</f>
        <v>To confirm</v>
      </c>
      <c r="AA64" s="127" t="str">
        <f>IF(MasterFees[[#This Row],[Pricing Basis]]="Fixed fee schedule","Yes","No")</f>
        <v>No</v>
      </c>
      <c r="AB64" s="127" t="str">
        <f>IF(OR(MasterFees[[#This Row],[Fee Basis]]="Add-on",MasterFees[[#This Row],[Fee Basis]]="Time band",MasterFees[[#This Row],[Fee Basis]]="Other"),MasterFees[[#This Row],[Fee Basis]],"Base")</f>
        <v>Base</v>
      </c>
      <c r="AC64" s="141" t="str">
        <f>IF(MasterFees[[#This Row],[Fixed Fee?]]="Yes",MasterFees[[#This Row],[Fee Excl. GST]],"")</f>
        <v/>
      </c>
    </row>
    <row r="65" spans="1:29" x14ac:dyDescent="0.2">
      <c r="A65" s="67" t="s">
        <v>2157</v>
      </c>
      <c r="B65" s="31">
        <f>IF(MasterFees[[#This Row],[RVG Code]]="","",_xlfn.XLOOKUP(MasterFees[[#This Row],[RVG Code]],RVGCodes[Code],RVGCodes[Base Units],"Code not found"))</f>
        <v>4</v>
      </c>
      <c r="C6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6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5" s="125" t="s">
        <v>2572</v>
      </c>
      <c r="F65" s="48" t="s">
        <v>2567</v>
      </c>
      <c r="G65" s="30" t="s">
        <v>4526</v>
      </c>
      <c r="H65" s="37" t="s">
        <v>4622</v>
      </c>
      <c r="I65" s="37" t="s">
        <v>4525</v>
      </c>
      <c r="J65" s="37" t="s">
        <v>1024</v>
      </c>
      <c r="K65" s="32"/>
      <c r="L65" s="32"/>
      <c r="M65" s="32"/>
      <c r="N65" s="32"/>
      <c r="O65" s="33">
        <v>480</v>
      </c>
      <c r="P65" s="38" t="s">
        <v>4398</v>
      </c>
      <c r="Q65" s="34">
        <f>IF(MasterFees[[#This Row],[GST Basis]]="Excl",MasterFees[[#This Row],[Fee as Printed]],IF(MasterFees[[#This Row],[GST Basis]]="Incl",MasterFees[[#This Row],[Fee as Printed]]/(1+GST_Rate),""))</f>
        <v>480</v>
      </c>
      <c r="R65" s="34">
        <f>IF(MasterFees[[#This Row],[GST Basis]]="Incl",MasterFees[[#This Row],[Fee as Printed]],IF(MasterFees[[#This Row],[GST Basis]]="Excl",MasterFees[[#This Row],[Fee as Printed]]*(1+GST_Rate),""))</f>
        <v>552</v>
      </c>
      <c r="S65" s="35" t="str">
        <f>IF(N(MasterFees[[#This Row],[Total Units]])=0,"",MasterFees[[#This Row],[Fee as Printed]]/MasterFees[[#This Row],[Total Units]])</f>
        <v/>
      </c>
      <c r="T65" s="36"/>
      <c r="U65" s="39" t="s">
        <v>4587</v>
      </c>
      <c r="V65" s="39" t="s">
        <v>4700</v>
      </c>
      <c r="W65" s="30" t="s">
        <v>4701</v>
      </c>
      <c r="X65" s="77" t="s">
        <v>4837</v>
      </c>
      <c r="Y65" s="127" t="str">
        <f>_xlfn.XLOOKUP(MasterFees[[#This Row],[Provider / Payer]],Contracts[Contract Name],Contracts[Contract ID],"No contract")</f>
        <v>CON-05</v>
      </c>
      <c r="Z65" s="127" t="str">
        <f>_xlfn.XLOOKUP(MasterFees[[#This Row],[Provider / Payer]],Contracts[Contract Name],Contracts[Pricing Basis],"To confirm")</f>
        <v>Fixed fee schedule</v>
      </c>
      <c r="AA65" s="127" t="str">
        <f>IF(MasterFees[[#This Row],[Pricing Basis]]="Fixed fee schedule","Yes","No")</f>
        <v>Yes</v>
      </c>
      <c r="AB65" s="127" t="str">
        <f>IF(OR(MasterFees[[#This Row],[Fee Basis]]="Add-on",MasterFees[[#This Row],[Fee Basis]]="Time band",MasterFees[[#This Row],[Fee Basis]]="Other"),MasterFees[[#This Row],[Fee Basis]],"Base")</f>
        <v>Base</v>
      </c>
      <c r="AC65" s="141">
        <f>IF(MasterFees[[#This Row],[Fixed Fee?]]="Yes",MasterFees[[#This Row],[Fee Excl. GST]],"")</f>
        <v>480</v>
      </c>
    </row>
    <row r="66" spans="1:29" x14ac:dyDescent="0.2">
      <c r="A66" s="67" t="s">
        <v>2157</v>
      </c>
      <c r="B66" s="31">
        <f>IF(MasterFees[[#This Row],[RVG Code]]="","",_xlfn.XLOOKUP(MasterFees[[#This Row],[RVG Code]],RVGCodes[Code],RVGCodes[Base Units],"Code not found"))</f>
        <v>4</v>
      </c>
      <c r="C6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6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6" s="125" t="s">
        <v>2572</v>
      </c>
      <c r="F66" s="48" t="s">
        <v>2567</v>
      </c>
      <c r="G66" s="30" t="s">
        <v>4526</v>
      </c>
      <c r="H66" s="37" t="s">
        <v>4625</v>
      </c>
      <c r="I66" s="37" t="s">
        <v>4525</v>
      </c>
      <c r="J66" s="37" t="s">
        <v>1024</v>
      </c>
      <c r="K66" s="32"/>
      <c r="L66" s="32"/>
      <c r="M66" s="32"/>
      <c r="N66" s="32"/>
      <c r="O66" s="33">
        <v>500</v>
      </c>
      <c r="P66" s="38" t="s">
        <v>4398</v>
      </c>
      <c r="Q66" s="34">
        <f>IF(MasterFees[[#This Row],[GST Basis]]="Excl",MasterFees[[#This Row],[Fee as Printed]],IF(MasterFees[[#This Row],[GST Basis]]="Incl",MasterFees[[#This Row],[Fee as Printed]]/(1+GST_Rate),""))</f>
        <v>500</v>
      </c>
      <c r="R66" s="34">
        <f>IF(MasterFees[[#This Row],[GST Basis]]="Incl",MasterFees[[#This Row],[Fee as Printed]],IF(MasterFees[[#This Row],[GST Basis]]="Excl",MasterFees[[#This Row],[Fee as Printed]]*(1+GST_Rate),""))</f>
        <v>575</v>
      </c>
      <c r="S66" s="35" t="str">
        <f>IF(N(MasterFees[[#This Row],[Total Units]])=0,"",MasterFees[[#This Row],[Fee as Printed]]/MasterFees[[#This Row],[Total Units]])</f>
        <v/>
      </c>
      <c r="T66" s="36"/>
      <c r="U66" s="39" t="s">
        <v>4587</v>
      </c>
      <c r="V66" s="39" t="s">
        <v>4702</v>
      </c>
      <c r="W66" s="30" t="s">
        <v>4703</v>
      </c>
      <c r="X66" s="77" t="s">
        <v>4837</v>
      </c>
      <c r="Y66" s="127" t="str">
        <f>_xlfn.XLOOKUP(MasterFees[[#This Row],[Provider / Payer]],Contracts[Contract Name],Contracts[Contract ID],"No contract")</f>
        <v>CON-06</v>
      </c>
      <c r="Z66" s="127" t="str">
        <f>_xlfn.XLOOKUP(MasterFees[[#This Row],[Provider / Payer]],Contracts[Contract Name],Contracts[Pricing Basis],"To confirm")</f>
        <v>Fixed fee schedule</v>
      </c>
      <c r="AA66" s="127" t="str">
        <f>IF(MasterFees[[#This Row],[Pricing Basis]]="Fixed fee schedule","Yes","No")</f>
        <v>Yes</v>
      </c>
      <c r="AB66" s="127" t="str">
        <f>IF(OR(MasterFees[[#This Row],[Fee Basis]]="Add-on",MasterFees[[#This Row],[Fee Basis]]="Time band",MasterFees[[#This Row],[Fee Basis]]="Other"),MasterFees[[#This Row],[Fee Basis]],"Base")</f>
        <v>Base</v>
      </c>
      <c r="AC66" s="141">
        <f>IF(MasterFees[[#This Row],[Fixed Fee?]]="Yes",MasterFees[[#This Row],[Fee Excl. GST]],"")</f>
        <v>500</v>
      </c>
    </row>
    <row r="67" spans="1:29" x14ac:dyDescent="0.2">
      <c r="A67" s="67" t="s">
        <v>2159</v>
      </c>
      <c r="B67" s="31">
        <f>IF(MasterFees[[#This Row],[RVG Code]]="","",_xlfn.XLOOKUP(MasterFees[[#This Row],[RVG Code]],RVGCodes[Code],RVGCodes[Base Units],"Code not found"))</f>
        <v>5</v>
      </c>
      <c r="C6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6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7" s="125" t="s">
        <v>2571</v>
      </c>
      <c r="F67" s="48" t="s">
        <v>2567</v>
      </c>
      <c r="G67" s="30" t="s">
        <v>166</v>
      </c>
      <c r="H67" s="37" t="s">
        <v>1095</v>
      </c>
      <c r="I67" s="37"/>
      <c r="J67" s="37" t="s">
        <v>1096</v>
      </c>
      <c r="K67" s="32">
        <v>0</v>
      </c>
      <c r="L67" s="32">
        <v>2.2999999999999998</v>
      </c>
      <c r="M67" s="32">
        <v>0</v>
      </c>
      <c r="N67" s="32">
        <v>2.2999999999999998</v>
      </c>
      <c r="O67" s="33">
        <v>128.15</v>
      </c>
      <c r="P67" s="38" t="s">
        <v>1014</v>
      </c>
      <c r="Q67" s="34" t="str">
        <f>IF(MasterFees[[#This Row],[GST Basis]]="Excl",MasterFees[[#This Row],[Fee as Printed]],IF(MasterFees[[#This Row],[GST Basis]]="Incl",MasterFees[[#This Row],[Fee as Printed]]/(1+GST_Rate),""))</f>
        <v/>
      </c>
      <c r="R67" s="34" t="str">
        <f>IF(MasterFees[[#This Row],[GST Basis]]="Incl",MasterFees[[#This Row],[Fee as Printed]],IF(MasterFees[[#This Row],[GST Basis]]="Excl",MasterFees[[#This Row],[Fee as Printed]]*(1+GST_Rate),""))</f>
        <v/>
      </c>
      <c r="S67" s="35">
        <f>IF(N(MasterFees[[#This Row],[Total Units]])=0,"",MasterFees[[#This Row],[Fee as Printed]]/MasterFees[[#This Row],[Total Units]])</f>
        <v>55.717391304347835</v>
      </c>
      <c r="T67" s="36"/>
      <c r="U67" s="39" t="s">
        <v>1012</v>
      </c>
      <c r="V67" s="39" t="s">
        <v>1260</v>
      </c>
      <c r="W67" s="30"/>
      <c r="X67" s="73" t="s">
        <v>3045</v>
      </c>
      <c r="Y67" s="127" t="str">
        <f>_xlfn.XLOOKUP(MasterFees[[#This Row],[Provider / Payer]],Contracts[Contract Name],Contracts[Contract ID],"No contract")</f>
        <v>CON-01</v>
      </c>
      <c r="Z67" s="127" t="str">
        <f>_xlfn.XLOOKUP(MasterFees[[#This Row],[Provider / Payer]],Contracts[Contract Name],Contracts[Pricing Basis],"To confirm")</f>
        <v>To confirm</v>
      </c>
      <c r="AA67" s="127" t="str">
        <f>IF(MasterFees[[#This Row],[Pricing Basis]]="Fixed fee schedule","Yes","No")</f>
        <v>No</v>
      </c>
      <c r="AB67" s="127" t="str">
        <f>IF(OR(MasterFees[[#This Row],[Fee Basis]]="Add-on",MasterFees[[#This Row],[Fee Basis]]="Time band",MasterFees[[#This Row],[Fee Basis]]="Other"),MasterFees[[#This Row],[Fee Basis]],"Base")</f>
        <v>Base</v>
      </c>
      <c r="AC67" s="141" t="str">
        <f>IF(MasterFees[[#This Row],[Fixed Fee?]]="Yes",MasterFees[[#This Row],[Fee Excl. GST]],"")</f>
        <v/>
      </c>
    </row>
    <row r="68" spans="1:29" x14ac:dyDescent="0.2">
      <c r="A68" s="67" t="s">
        <v>2159</v>
      </c>
      <c r="B68" s="31">
        <f>IF(MasterFees[[#This Row],[RVG Code]]="","",_xlfn.XLOOKUP(MasterFees[[#This Row],[RVG Code]],RVGCodes[Code],RVGCodes[Base Units],"Code not found"))</f>
        <v>5</v>
      </c>
      <c r="C6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6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8" s="125" t="s">
        <v>2571</v>
      </c>
      <c r="F68" s="48" t="s">
        <v>2569</v>
      </c>
      <c r="G68" s="30" t="s">
        <v>174</v>
      </c>
      <c r="H68" s="37" t="s">
        <v>1095</v>
      </c>
      <c r="I68" s="37"/>
      <c r="J68" s="37" t="s">
        <v>1096</v>
      </c>
      <c r="K68" s="32">
        <v>5</v>
      </c>
      <c r="L68" s="32">
        <v>3.4</v>
      </c>
      <c r="M68" s="32">
        <v>0.1</v>
      </c>
      <c r="N68" s="32">
        <v>8.4</v>
      </c>
      <c r="O68" s="33">
        <v>461.45</v>
      </c>
      <c r="P68" s="38" t="s">
        <v>1014</v>
      </c>
      <c r="Q68" s="34" t="str">
        <f>IF(MasterFees[[#This Row],[GST Basis]]="Excl",MasterFees[[#This Row],[Fee as Printed]],IF(MasterFees[[#This Row],[GST Basis]]="Incl",MasterFees[[#This Row],[Fee as Printed]]/(1+GST_Rate),""))</f>
        <v/>
      </c>
      <c r="R68" s="34" t="str">
        <f>IF(MasterFees[[#This Row],[GST Basis]]="Incl",MasterFees[[#This Row],[Fee as Printed]],IF(MasterFees[[#This Row],[GST Basis]]="Excl",MasterFees[[#This Row],[Fee as Printed]]*(1+GST_Rate),""))</f>
        <v/>
      </c>
      <c r="S68" s="35">
        <f>IF(N(MasterFees[[#This Row],[Total Units]])=0,"",MasterFees[[#This Row],[Fee as Printed]]/MasterFees[[#This Row],[Total Units]])</f>
        <v>54.934523809523803</v>
      </c>
      <c r="T68" s="36"/>
      <c r="U68" s="39" t="s">
        <v>1012</v>
      </c>
      <c r="V68" s="39" t="s">
        <v>1268</v>
      </c>
      <c r="W68" s="30"/>
      <c r="X68" s="73" t="s">
        <v>3053</v>
      </c>
      <c r="Y68" s="127" t="str">
        <f>_xlfn.XLOOKUP(MasterFees[[#This Row],[Provider / Payer]],Contracts[Contract Name],Contracts[Contract ID],"No contract")</f>
        <v>CON-01</v>
      </c>
      <c r="Z68" s="127" t="str">
        <f>_xlfn.XLOOKUP(MasterFees[[#This Row],[Provider / Payer]],Contracts[Contract Name],Contracts[Pricing Basis],"To confirm")</f>
        <v>To confirm</v>
      </c>
      <c r="AA68" s="127" t="str">
        <f>IF(MasterFees[[#This Row],[Pricing Basis]]="Fixed fee schedule","Yes","No")</f>
        <v>No</v>
      </c>
      <c r="AB68" s="127" t="str">
        <f>IF(OR(MasterFees[[#This Row],[Fee Basis]]="Add-on",MasterFees[[#This Row],[Fee Basis]]="Time band",MasterFees[[#This Row],[Fee Basis]]="Other"),MasterFees[[#This Row],[Fee Basis]],"Base")</f>
        <v>Base</v>
      </c>
      <c r="AC68" s="141" t="str">
        <f>IF(MasterFees[[#This Row],[Fixed Fee?]]="Yes",MasterFees[[#This Row],[Fee Excl. GST]],"")</f>
        <v/>
      </c>
    </row>
    <row r="69" spans="1:29" x14ac:dyDescent="0.2">
      <c r="A69" s="67" t="s">
        <v>2159</v>
      </c>
      <c r="B69" s="31">
        <f>IF(MasterFees[[#This Row],[RVG Code]]="","",_xlfn.XLOOKUP(MasterFees[[#This Row],[RVG Code]],RVGCodes[Code],RVGCodes[Base Units],"Code not found"))</f>
        <v>5</v>
      </c>
      <c r="C6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6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9" s="125" t="s">
        <v>2571</v>
      </c>
      <c r="F69" s="48" t="s">
        <v>2569</v>
      </c>
      <c r="G69" s="30" t="s">
        <v>175</v>
      </c>
      <c r="H69" s="37" t="s">
        <v>1095</v>
      </c>
      <c r="I69" s="37"/>
      <c r="J69" s="37" t="s">
        <v>1096</v>
      </c>
      <c r="K69" s="32">
        <v>5</v>
      </c>
      <c r="L69" s="32">
        <v>3.9</v>
      </c>
      <c r="M69" s="32">
        <v>1.1000000000000001</v>
      </c>
      <c r="N69" s="32">
        <v>10</v>
      </c>
      <c r="O69" s="33">
        <v>547.25</v>
      </c>
      <c r="P69" s="38" t="s">
        <v>1014</v>
      </c>
      <c r="Q69" s="34" t="str">
        <f>IF(MasterFees[[#This Row],[GST Basis]]="Excl",MasterFees[[#This Row],[Fee as Printed]],IF(MasterFees[[#This Row],[GST Basis]]="Incl",MasterFees[[#This Row],[Fee as Printed]]/(1+GST_Rate),""))</f>
        <v/>
      </c>
      <c r="R69" s="34" t="str">
        <f>IF(MasterFees[[#This Row],[GST Basis]]="Incl",MasterFees[[#This Row],[Fee as Printed]],IF(MasterFees[[#This Row],[GST Basis]]="Excl",MasterFees[[#This Row],[Fee as Printed]]*(1+GST_Rate),""))</f>
        <v/>
      </c>
      <c r="S69" s="35">
        <f>IF(N(MasterFees[[#This Row],[Total Units]])=0,"",MasterFees[[#This Row],[Fee as Printed]]/MasterFees[[#This Row],[Total Units]])</f>
        <v>54.725000000000001</v>
      </c>
      <c r="T69" s="36"/>
      <c r="U69" s="39" t="s">
        <v>1012</v>
      </c>
      <c r="V69" s="39" t="s">
        <v>1269</v>
      </c>
      <c r="W69" s="30"/>
      <c r="X69" s="73" t="s">
        <v>3054</v>
      </c>
      <c r="Y69" s="127" t="str">
        <f>_xlfn.XLOOKUP(MasterFees[[#This Row],[Provider / Payer]],Contracts[Contract Name],Contracts[Contract ID],"No contract")</f>
        <v>CON-01</v>
      </c>
      <c r="Z69" s="127" t="str">
        <f>_xlfn.XLOOKUP(MasterFees[[#This Row],[Provider / Payer]],Contracts[Contract Name],Contracts[Pricing Basis],"To confirm")</f>
        <v>To confirm</v>
      </c>
      <c r="AA69" s="127" t="str">
        <f>IF(MasterFees[[#This Row],[Pricing Basis]]="Fixed fee schedule","Yes","No")</f>
        <v>No</v>
      </c>
      <c r="AB69" s="127" t="str">
        <f>IF(OR(MasterFees[[#This Row],[Fee Basis]]="Add-on",MasterFees[[#This Row],[Fee Basis]]="Time band",MasterFees[[#This Row],[Fee Basis]]="Other"),MasterFees[[#This Row],[Fee Basis]],"Base")</f>
        <v>Base</v>
      </c>
      <c r="AC69" s="141" t="str">
        <f>IF(MasterFees[[#This Row],[Fixed Fee?]]="Yes",MasterFees[[#This Row],[Fee Excl. GST]],"")</f>
        <v/>
      </c>
    </row>
    <row r="70" spans="1:29" x14ac:dyDescent="0.2">
      <c r="A70" s="67" t="s">
        <v>2162</v>
      </c>
      <c r="B70" s="31">
        <f>IF(MasterFees[[#This Row],[RVG Code]]="","",_xlfn.XLOOKUP(MasterFees[[#This Row],[RVG Code]],RVGCodes[Code],RVGCodes[Base Units],"Code not found"))</f>
        <v>6</v>
      </c>
      <c r="C7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7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0" s="125" t="s">
        <v>2592</v>
      </c>
      <c r="F70" s="48" t="s">
        <v>2567</v>
      </c>
      <c r="G70" s="30" t="s">
        <v>177</v>
      </c>
      <c r="H70" s="37" t="s">
        <v>1095</v>
      </c>
      <c r="I70" s="37"/>
      <c r="J70" s="37" t="s">
        <v>1096</v>
      </c>
      <c r="K70" s="32">
        <v>6.1</v>
      </c>
      <c r="L70" s="32">
        <v>10.6</v>
      </c>
      <c r="M70" s="32">
        <v>1.5</v>
      </c>
      <c r="N70" s="32">
        <v>18.100000000000001</v>
      </c>
      <c r="O70" s="33">
        <v>994.95</v>
      </c>
      <c r="P70" s="38" t="s">
        <v>1014</v>
      </c>
      <c r="Q70" s="34" t="str">
        <f>IF(MasterFees[[#This Row],[GST Basis]]="Excl",MasterFees[[#This Row],[Fee as Printed]],IF(MasterFees[[#This Row],[GST Basis]]="Incl",MasterFees[[#This Row],[Fee as Printed]]/(1+GST_Rate),""))</f>
        <v/>
      </c>
      <c r="R70" s="34" t="str">
        <f>IF(MasterFees[[#This Row],[GST Basis]]="Incl",MasterFees[[#This Row],[Fee as Printed]],IF(MasterFees[[#This Row],[GST Basis]]="Excl",MasterFees[[#This Row],[Fee as Printed]]*(1+GST_Rate),""))</f>
        <v/>
      </c>
      <c r="S70" s="35">
        <f>IF(N(MasterFees[[#This Row],[Total Units]])=0,"",MasterFees[[#This Row],[Fee as Printed]]/MasterFees[[#This Row],[Total Units]])</f>
        <v>54.969613259668506</v>
      </c>
      <c r="T70" s="36"/>
      <c r="U70" s="39" t="s">
        <v>1012</v>
      </c>
      <c r="V70" s="39" t="s">
        <v>1271</v>
      </c>
      <c r="W70" s="30"/>
      <c r="X70" s="73" t="s">
        <v>3056</v>
      </c>
      <c r="Y70" s="127" t="str">
        <f>_xlfn.XLOOKUP(MasterFees[[#This Row],[Provider / Payer]],Contracts[Contract Name],Contracts[Contract ID],"No contract")</f>
        <v>CON-01</v>
      </c>
      <c r="Z70" s="127" t="str">
        <f>_xlfn.XLOOKUP(MasterFees[[#This Row],[Provider / Payer]],Contracts[Contract Name],Contracts[Pricing Basis],"To confirm")</f>
        <v>To confirm</v>
      </c>
      <c r="AA70" s="127" t="str">
        <f>IF(MasterFees[[#This Row],[Pricing Basis]]="Fixed fee schedule","Yes","No")</f>
        <v>No</v>
      </c>
      <c r="AB70" s="127" t="str">
        <f>IF(OR(MasterFees[[#This Row],[Fee Basis]]="Add-on",MasterFees[[#This Row],[Fee Basis]]="Time band",MasterFees[[#This Row],[Fee Basis]]="Other"),MasterFees[[#This Row],[Fee Basis]],"Base")</f>
        <v>Base</v>
      </c>
      <c r="AC70" s="141" t="str">
        <f>IF(MasterFees[[#This Row],[Fixed Fee?]]="Yes",MasterFees[[#This Row],[Fee Excl. GST]],"")</f>
        <v/>
      </c>
    </row>
    <row r="71" spans="1:29" x14ac:dyDescent="0.2">
      <c r="A71" s="67" t="s">
        <v>2165</v>
      </c>
      <c r="B71" s="31">
        <f>IF(MasterFees[[#This Row],[RVG Code]]="","",_xlfn.XLOOKUP(MasterFees[[#This Row],[RVG Code]],RVGCodes[Code],RVGCodes[Base Units],"Code not found"))</f>
        <v>10</v>
      </c>
      <c r="C7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7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1" s="125" t="s">
        <v>2593</v>
      </c>
      <c r="F71" s="48" t="s">
        <v>2629</v>
      </c>
      <c r="G71" s="30" t="s">
        <v>2166</v>
      </c>
      <c r="H71" s="37" t="s">
        <v>2630</v>
      </c>
      <c r="I71" s="37" t="s">
        <v>2165</v>
      </c>
      <c r="J71" s="37" t="s">
        <v>1096</v>
      </c>
      <c r="K71" s="32">
        <v>10</v>
      </c>
      <c r="L71" s="32"/>
      <c r="M71" s="32"/>
      <c r="N71" s="32"/>
      <c r="O71" s="33"/>
      <c r="P71" s="38"/>
      <c r="Q71" s="34" t="str">
        <f>IF(MasterFees[[#This Row],[GST Basis]]="Excl",MasterFees[[#This Row],[Fee as Printed]],IF(MasterFees[[#This Row],[GST Basis]]="Incl",MasterFees[[#This Row],[Fee as Printed]]/(1+GST_Rate),""))</f>
        <v/>
      </c>
      <c r="R71" s="34" t="str">
        <f>IF(MasterFees[[#This Row],[GST Basis]]="Incl",MasterFees[[#This Row],[Fee as Printed]],IF(MasterFees[[#This Row],[GST Basis]]="Excl",MasterFees[[#This Row],[Fee as Printed]]*(1+GST_Rate),""))</f>
        <v/>
      </c>
      <c r="S71" s="35" t="str">
        <f>IF(N(MasterFees[[#This Row],[Total Units]])=0,"",MasterFees[[#This Row],[Fee as Printed]]/MasterFees[[#This Row],[Total Units]])</f>
        <v/>
      </c>
      <c r="T71" s="36"/>
      <c r="U71" s="39" t="s">
        <v>1016</v>
      </c>
      <c r="V71" s="39" t="s">
        <v>2636</v>
      </c>
      <c r="W71" s="30" t="s">
        <v>2664</v>
      </c>
      <c r="X71" s="73" t="s">
        <v>3725</v>
      </c>
      <c r="Y71" s="127" t="str">
        <f>_xlfn.XLOOKUP(MasterFees[[#This Row],[Provider / Payer]],Contracts[Contract Name],Contracts[Contract ID],"No contract")</f>
        <v>CON-10</v>
      </c>
      <c r="Z71" s="127" t="str">
        <f>_xlfn.XLOOKUP(MasterFees[[#This Row],[Provider / Payer]],Contracts[Contract Name],Contracts[Pricing Basis],"To confirm")</f>
        <v>Reference – units only</v>
      </c>
      <c r="AA71" s="127" t="str">
        <f>IF(MasterFees[[#This Row],[Pricing Basis]]="Fixed fee schedule","Yes","No")</f>
        <v>No</v>
      </c>
      <c r="AB71" s="127" t="str">
        <f>IF(OR(MasterFees[[#This Row],[Fee Basis]]="Add-on",MasterFees[[#This Row],[Fee Basis]]="Time band",MasterFees[[#This Row],[Fee Basis]]="Other"),MasterFees[[#This Row],[Fee Basis]],"Base")</f>
        <v>Base</v>
      </c>
      <c r="AC71" s="141" t="str">
        <f>IF(MasterFees[[#This Row],[Fixed Fee?]]="Yes",MasterFees[[#This Row],[Fee Excl. GST]],"")</f>
        <v/>
      </c>
    </row>
    <row r="72" spans="1:29" x14ac:dyDescent="0.2">
      <c r="A72" s="67" t="s">
        <v>2159</v>
      </c>
      <c r="B72" s="31">
        <f>IF(MasterFees[[#This Row],[RVG Code]]="","",_xlfn.XLOOKUP(MasterFees[[#This Row],[RVG Code]],RVGCodes[Code],RVGCodes[Base Units],"Code not found"))</f>
        <v>5</v>
      </c>
      <c r="C7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7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2" s="125" t="s">
        <v>2571</v>
      </c>
      <c r="F72" s="48" t="s">
        <v>2567</v>
      </c>
      <c r="G72" s="30" t="s">
        <v>216</v>
      </c>
      <c r="H72" s="37" t="s">
        <v>1095</v>
      </c>
      <c r="I72" s="37"/>
      <c r="J72" s="37" t="s">
        <v>1096</v>
      </c>
      <c r="K72" s="32">
        <v>5.5</v>
      </c>
      <c r="L72" s="32">
        <v>6.5</v>
      </c>
      <c r="M72" s="32">
        <v>1</v>
      </c>
      <c r="N72" s="32">
        <v>13</v>
      </c>
      <c r="O72" s="33">
        <v>715</v>
      </c>
      <c r="P72" s="38" t="s">
        <v>1014</v>
      </c>
      <c r="Q72" s="34" t="str">
        <f>IF(MasterFees[[#This Row],[GST Basis]]="Excl",MasterFees[[#This Row],[Fee as Printed]],IF(MasterFees[[#This Row],[GST Basis]]="Incl",MasterFees[[#This Row],[Fee as Printed]]/(1+GST_Rate),""))</f>
        <v/>
      </c>
      <c r="R72" s="34" t="str">
        <f>IF(MasterFees[[#This Row],[GST Basis]]="Incl",MasterFees[[#This Row],[Fee as Printed]],IF(MasterFees[[#This Row],[GST Basis]]="Excl",MasterFees[[#This Row],[Fee as Printed]]*(1+GST_Rate),""))</f>
        <v/>
      </c>
      <c r="S72" s="35">
        <f>IF(N(MasterFees[[#This Row],[Total Units]])=0,"",MasterFees[[#This Row],[Fee as Printed]]/MasterFees[[#This Row],[Total Units]])</f>
        <v>55</v>
      </c>
      <c r="T72" s="36"/>
      <c r="U72" s="39" t="s">
        <v>1012</v>
      </c>
      <c r="V72" s="39" t="s">
        <v>1310</v>
      </c>
      <c r="W72" s="30"/>
      <c r="X72" s="73" t="s">
        <v>3096</v>
      </c>
      <c r="Y72" s="127" t="str">
        <f>_xlfn.XLOOKUP(MasterFees[[#This Row],[Provider / Payer]],Contracts[Contract Name],Contracts[Contract ID],"No contract")</f>
        <v>CON-01</v>
      </c>
      <c r="Z72" s="127" t="str">
        <f>_xlfn.XLOOKUP(MasterFees[[#This Row],[Provider / Payer]],Contracts[Contract Name],Contracts[Pricing Basis],"To confirm")</f>
        <v>To confirm</v>
      </c>
      <c r="AA72" s="127" t="str">
        <f>IF(MasterFees[[#This Row],[Pricing Basis]]="Fixed fee schedule","Yes","No")</f>
        <v>No</v>
      </c>
      <c r="AB72" s="127" t="str">
        <f>IF(OR(MasterFees[[#This Row],[Fee Basis]]="Add-on",MasterFees[[#This Row],[Fee Basis]]="Time band",MasterFees[[#This Row],[Fee Basis]]="Other"),MasterFees[[#This Row],[Fee Basis]],"Base")</f>
        <v>Base</v>
      </c>
      <c r="AC72" s="141" t="str">
        <f>IF(MasterFees[[#This Row],[Fixed Fee?]]="Yes",MasterFees[[#This Row],[Fee Excl. GST]],"")</f>
        <v/>
      </c>
    </row>
    <row r="73" spans="1:29" x14ac:dyDescent="0.2">
      <c r="A73" s="67" t="s">
        <v>2157</v>
      </c>
      <c r="B73" s="31">
        <f>IF(MasterFees[[#This Row],[RVG Code]]="","",_xlfn.XLOOKUP(MasterFees[[#This Row],[RVG Code]],RVGCodes[Code],RVGCodes[Base Units],"Code not found"))</f>
        <v>4</v>
      </c>
      <c r="C7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7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3" s="125" t="s">
        <v>2572</v>
      </c>
      <c r="F73" s="48" t="s">
        <v>2567</v>
      </c>
      <c r="G73" s="30" t="s">
        <v>4548</v>
      </c>
      <c r="H73" s="37" t="s">
        <v>4622</v>
      </c>
      <c r="I73" s="37" t="s">
        <v>4547</v>
      </c>
      <c r="J73" s="37" t="s">
        <v>1024</v>
      </c>
      <c r="K73" s="32"/>
      <c r="L73" s="32"/>
      <c r="M73" s="32"/>
      <c r="N73" s="32"/>
      <c r="O73" s="33">
        <v>900</v>
      </c>
      <c r="P73" s="38" t="s">
        <v>4398</v>
      </c>
      <c r="Q73" s="34">
        <f>IF(MasterFees[[#This Row],[GST Basis]]="Excl",MasterFees[[#This Row],[Fee as Printed]],IF(MasterFees[[#This Row],[GST Basis]]="Incl",MasterFees[[#This Row],[Fee as Printed]]/(1+GST_Rate),""))</f>
        <v>900</v>
      </c>
      <c r="R73" s="34">
        <f>IF(MasterFees[[#This Row],[GST Basis]]="Incl",MasterFees[[#This Row],[Fee as Printed]],IF(MasterFees[[#This Row],[GST Basis]]="Excl",MasterFees[[#This Row],[Fee as Printed]]*(1+GST_Rate),""))</f>
        <v>1035</v>
      </c>
      <c r="S73" s="35" t="str">
        <f>IF(N(MasterFees[[#This Row],[Total Units]])=0,"",MasterFees[[#This Row],[Fee as Printed]]/MasterFees[[#This Row],[Total Units]])</f>
        <v/>
      </c>
      <c r="T73" s="36"/>
      <c r="U73" s="39" t="s">
        <v>4587</v>
      </c>
      <c r="V73" s="39" t="s">
        <v>4782</v>
      </c>
      <c r="W73" s="30" t="s">
        <v>4773</v>
      </c>
      <c r="X73" s="77" t="s">
        <v>4815</v>
      </c>
      <c r="Y73" s="127" t="str">
        <f>_xlfn.XLOOKUP(MasterFees[[#This Row],[Provider / Payer]],Contracts[Contract Name],Contracts[Contract ID],"No contract")</f>
        <v>CON-05</v>
      </c>
      <c r="Z73" s="127" t="str">
        <f>_xlfn.XLOOKUP(MasterFees[[#This Row],[Provider / Payer]],Contracts[Contract Name],Contracts[Pricing Basis],"To confirm")</f>
        <v>Fixed fee schedule</v>
      </c>
      <c r="AA73" s="127" t="str">
        <f>IF(MasterFees[[#This Row],[Pricing Basis]]="Fixed fee schedule","Yes","No")</f>
        <v>Yes</v>
      </c>
      <c r="AB73" s="127" t="str">
        <f>IF(OR(MasterFees[[#This Row],[Fee Basis]]="Add-on",MasterFees[[#This Row],[Fee Basis]]="Time band",MasterFees[[#This Row],[Fee Basis]]="Other"),MasterFees[[#This Row],[Fee Basis]],"Base")</f>
        <v>Base</v>
      </c>
      <c r="AC73" s="141">
        <f>IF(MasterFees[[#This Row],[Fixed Fee?]]="Yes",MasterFees[[#This Row],[Fee Excl. GST]],"")</f>
        <v>900</v>
      </c>
    </row>
    <row r="74" spans="1:29" x14ac:dyDescent="0.2">
      <c r="A74" s="67" t="s">
        <v>2157</v>
      </c>
      <c r="B74" s="31">
        <f>IF(MasterFees[[#This Row],[RVG Code]]="","",_xlfn.XLOOKUP(MasterFees[[#This Row],[RVG Code]],RVGCodes[Code],RVGCodes[Base Units],"Code not found"))</f>
        <v>4</v>
      </c>
      <c r="C7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7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4" s="125" t="s">
        <v>2572</v>
      </c>
      <c r="F74" s="48" t="s">
        <v>2567</v>
      </c>
      <c r="G74" s="30" t="s">
        <v>4548</v>
      </c>
      <c r="H74" s="37" t="s">
        <v>4625</v>
      </c>
      <c r="I74" s="37" t="s">
        <v>4547</v>
      </c>
      <c r="J74" s="37" t="s">
        <v>1024</v>
      </c>
      <c r="K74" s="32"/>
      <c r="L74" s="32"/>
      <c r="M74" s="32"/>
      <c r="N74" s="32"/>
      <c r="O74" s="33">
        <v>900</v>
      </c>
      <c r="P74" s="38" t="s">
        <v>4398</v>
      </c>
      <c r="Q74" s="34">
        <f>IF(MasterFees[[#This Row],[GST Basis]]="Excl",MasterFees[[#This Row],[Fee as Printed]],IF(MasterFees[[#This Row],[GST Basis]]="Incl",MasterFees[[#This Row],[Fee as Printed]]/(1+GST_Rate),""))</f>
        <v>900</v>
      </c>
      <c r="R74" s="34">
        <f>IF(MasterFees[[#This Row],[GST Basis]]="Incl",MasterFees[[#This Row],[Fee as Printed]],IF(MasterFees[[#This Row],[GST Basis]]="Excl",MasterFees[[#This Row],[Fee as Printed]]*(1+GST_Rate),""))</f>
        <v>1035</v>
      </c>
      <c r="S74" s="35" t="str">
        <f>IF(N(MasterFees[[#This Row],[Total Units]])=0,"",MasterFees[[#This Row],[Fee as Printed]]/MasterFees[[#This Row],[Total Units]])</f>
        <v/>
      </c>
      <c r="T74" s="36"/>
      <c r="U74" s="39" t="s">
        <v>4587</v>
      </c>
      <c r="V74" s="39" t="s">
        <v>4783</v>
      </c>
      <c r="W74" s="30" t="s">
        <v>4775</v>
      </c>
      <c r="X74" s="77" t="s">
        <v>4815</v>
      </c>
      <c r="Y74" s="127" t="str">
        <f>_xlfn.XLOOKUP(MasterFees[[#This Row],[Provider / Payer]],Contracts[Contract Name],Contracts[Contract ID],"No contract")</f>
        <v>CON-06</v>
      </c>
      <c r="Z74" s="127" t="str">
        <f>_xlfn.XLOOKUP(MasterFees[[#This Row],[Provider / Payer]],Contracts[Contract Name],Contracts[Pricing Basis],"To confirm")</f>
        <v>Fixed fee schedule</v>
      </c>
      <c r="AA74" s="127" t="str">
        <f>IF(MasterFees[[#This Row],[Pricing Basis]]="Fixed fee schedule","Yes","No")</f>
        <v>Yes</v>
      </c>
      <c r="AB74" s="127" t="str">
        <f>IF(OR(MasterFees[[#This Row],[Fee Basis]]="Add-on",MasterFees[[#This Row],[Fee Basis]]="Time band",MasterFees[[#This Row],[Fee Basis]]="Other"),MasterFees[[#This Row],[Fee Basis]],"Base")</f>
        <v>Base</v>
      </c>
      <c r="AC74" s="141">
        <f>IF(MasterFees[[#This Row],[Fixed Fee?]]="Yes",MasterFees[[#This Row],[Fee Excl. GST]],"")</f>
        <v>900</v>
      </c>
    </row>
    <row r="75" spans="1:29" x14ac:dyDescent="0.2">
      <c r="A75" s="67" t="s">
        <v>2157</v>
      </c>
      <c r="B75" s="31">
        <f>IF(MasterFees[[#This Row],[RVG Code]]="","",_xlfn.XLOOKUP(MasterFees[[#This Row],[RVG Code]],RVGCodes[Code],RVGCodes[Base Units],"Code not found"))</f>
        <v>4</v>
      </c>
      <c r="C7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7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5" s="125" t="s">
        <v>2572</v>
      </c>
      <c r="F75" s="48" t="s">
        <v>2567</v>
      </c>
      <c r="G75" s="30" t="s">
        <v>4546</v>
      </c>
      <c r="H75" s="37" t="s">
        <v>4622</v>
      </c>
      <c r="I75" s="37" t="s">
        <v>4545</v>
      </c>
      <c r="J75" s="37" t="s">
        <v>1024</v>
      </c>
      <c r="K75" s="32"/>
      <c r="L75" s="32"/>
      <c r="M75" s="32"/>
      <c r="N75" s="32"/>
      <c r="O75" s="33">
        <v>800</v>
      </c>
      <c r="P75" s="38" t="s">
        <v>4398</v>
      </c>
      <c r="Q75" s="34">
        <f>IF(MasterFees[[#This Row],[GST Basis]]="Excl",MasterFees[[#This Row],[Fee as Printed]],IF(MasterFees[[#This Row],[GST Basis]]="Incl",MasterFees[[#This Row],[Fee as Printed]]/(1+GST_Rate),""))</f>
        <v>800</v>
      </c>
      <c r="R75" s="34">
        <f>IF(MasterFees[[#This Row],[GST Basis]]="Incl",MasterFees[[#This Row],[Fee as Printed]],IF(MasterFees[[#This Row],[GST Basis]]="Excl",MasterFees[[#This Row],[Fee as Printed]]*(1+GST_Rate),""))</f>
        <v>919.99999999999989</v>
      </c>
      <c r="S75" s="35" t="str">
        <f>IF(N(MasterFees[[#This Row],[Total Units]])=0,"",MasterFees[[#This Row],[Fee as Printed]]/MasterFees[[#This Row],[Total Units]])</f>
        <v/>
      </c>
      <c r="T75" s="36"/>
      <c r="U75" s="39" t="s">
        <v>4587</v>
      </c>
      <c r="V75" s="39" t="s">
        <v>4780</v>
      </c>
      <c r="W75" s="30" t="s">
        <v>4773</v>
      </c>
      <c r="X75" s="77" t="s">
        <v>4814</v>
      </c>
      <c r="Y75" s="127" t="str">
        <f>_xlfn.XLOOKUP(MasterFees[[#This Row],[Provider / Payer]],Contracts[Contract Name],Contracts[Contract ID],"No contract")</f>
        <v>CON-05</v>
      </c>
      <c r="Z75" s="127" t="str">
        <f>_xlfn.XLOOKUP(MasterFees[[#This Row],[Provider / Payer]],Contracts[Contract Name],Contracts[Pricing Basis],"To confirm")</f>
        <v>Fixed fee schedule</v>
      </c>
      <c r="AA75" s="127" t="str">
        <f>IF(MasterFees[[#This Row],[Pricing Basis]]="Fixed fee schedule","Yes","No")</f>
        <v>Yes</v>
      </c>
      <c r="AB75" s="127" t="str">
        <f>IF(OR(MasterFees[[#This Row],[Fee Basis]]="Add-on",MasterFees[[#This Row],[Fee Basis]]="Time band",MasterFees[[#This Row],[Fee Basis]]="Other"),MasterFees[[#This Row],[Fee Basis]],"Base")</f>
        <v>Base</v>
      </c>
      <c r="AC75" s="141">
        <f>IF(MasterFees[[#This Row],[Fixed Fee?]]="Yes",MasterFees[[#This Row],[Fee Excl. GST]],"")</f>
        <v>800</v>
      </c>
    </row>
    <row r="76" spans="1:29" x14ac:dyDescent="0.2">
      <c r="A76" s="67" t="s">
        <v>2157</v>
      </c>
      <c r="B76" s="31">
        <f>IF(MasterFees[[#This Row],[RVG Code]]="","",_xlfn.XLOOKUP(MasterFees[[#This Row],[RVG Code]],RVGCodes[Code],RVGCodes[Base Units],"Code not found"))</f>
        <v>4</v>
      </c>
      <c r="C7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7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6" s="125" t="s">
        <v>2572</v>
      </c>
      <c r="F76" s="48" t="s">
        <v>2567</v>
      </c>
      <c r="G76" s="30" t="s">
        <v>4546</v>
      </c>
      <c r="H76" s="37" t="s">
        <v>4625</v>
      </c>
      <c r="I76" s="37" t="s">
        <v>4545</v>
      </c>
      <c r="J76" s="37" t="s">
        <v>1024</v>
      </c>
      <c r="K76" s="32"/>
      <c r="L76" s="32"/>
      <c r="M76" s="32"/>
      <c r="N76" s="32"/>
      <c r="O76" s="33">
        <v>800</v>
      </c>
      <c r="P76" s="38" t="s">
        <v>4398</v>
      </c>
      <c r="Q76" s="34">
        <f>IF(MasterFees[[#This Row],[GST Basis]]="Excl",MasterFees[[#This Row],[Fee as Printed]],IF(MasterFees[[#This Row],[GST Basis]]="Incl",MasterFees[[#This Row],[Fee as Printed]]/(1+GST_Rate),""))</f>
        <v>800</v>
      </c>
      <c r="R76" s="34">
        <f>IF(MasterFees[[#This Row],[GST Basis]]="Incl",MasterFees[[#This Row],[Fee as Printed]],IF(MasterFees[[#This Row],[GST Basis]]="Excl",MasterFees[[#This Row],[Fee as Printed]]*(1+GST_Rate),""))</f>
        <v>919.99999999999989</v>
      </c>
      <c r="S76" s="35" t="str">
        <f>IF(N(MasterFees[[#This Row],[Total Units]])=0,"",MasterFees[[#This Row],[Fee as Printed]]/MasterFees[[#This Row],[Total Units]])</f>
        <v/>
      </c>
      <c r="T76" s="36"/>
      <c r="U76" s="39" t="s">
        <v>4587</v>
      </c>
      <c r="V76" s="39" t="s">
        <v>4781</v>
      </c>
      <c r="W76" s="30" t="s">
        <v>4775</v>
      </c>
      <c r="X76" s="77" t="s">
        <v>4814</v>
      </c>
      <c r="Y76" s="127" t="str">
        <f>_xlfn.XLOOKUP(MasterFees[[#This Row],[Provider / Payer]],Contracts[Contract Name],Contracts[Contract ID],"No contract")</f>
        <v>CON-06</v>
      </c>
      <c r="Z76" s="127" t="str">
        <f>_xlfn.XLOOKUP(MasterFees[[#This Row],[Provider / Payer]],Contracts[Contract Name],Contracts[Pricing Basis],"To confirm")</f>
        <v>Fixed fee schedule</v>
      </c>
      <c r="AA76" s="127" t="str">
        <f>IF(MasterFees[[#This Row],[Pricing Basis]]="Fixed fee schedule","Yes","No")</f>
        <v>Yes</v>
      </c>
      <c r="AB76" s="127" t="str">
        <f>IF(OR(MasterFees[[#This Row],[Fee Basis]]="Add-on",MasterFees[[#This Row],[Fee Basis]]="Time band",MasterFees[[#This Row],[Fee Basis]]="Other"),MasterFees[[#This Row],[Fee Basis]],"Base")</f>
        <v>Base</v>
      </c>
      <c r="AC76" s="141">
        <f>IF(MasterFees[[#This Row],[Fixed Fee?]]="Yes",MasterFees[[#This Row],[Fee Excl. GST]],"")</f>
        <v>800</v>
      </c>
    </row>
    <row r="77" spans="1:29" x14ac:dyDescent="0.2">
      <c r="A77" s="67" t="s">
        <v>2157</v>
      </c>
      <c r="B77" s="31">
        <f>IF(MasterFees[[#This Row],[RVG Code]]="","",_xlfn.XLOOKUP(MasterFees[[#This Row],[RVG Code]],RVGCodes[Code],RVGCodes[Base Units],"Code not found"))</f>
        <v>4</v>
      </c>
      <c r="C7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7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7" s="125" t="s">
        <v>2572</v>
      </c>
      <c r="F77" s="48" t="s">
        <v>2567</v>
      </c>
      <c r="G77" s="30" t="s">
        <v>4508</v>
      </c>
      <c r="H77" s="37" t="s">
        <v>4622</v>
      </c>
      <c r="I77" s="37" t="s">
        <v>4507</v>
      </c>
      <c r="J77" s="37" t="s">
        <v>1024</v>
      </c>
      <c r="K77" s="32"/>
      <c r="L77" s="32"/>
      <c r="M77" s="32"/>
      <c r="N77" s="32"/>
      <c r="O77" s="33">
        <v>500</v>
      </c>
      <c r="P77" s="38" t="s">
        <v>4398</v>
      </c>
      <c r="Q77" s="34">
        <f>IF(MasterFees[[#This Row],[GST Basis]]="Excl",MasterFees[[#This Row],[Fee as Printed]],IF(MasterFees[[#This Row],[GST Basis]]="Incl",MasterFees[[#This Row],[Fee as Printed]]/(1+GST_Rate),""))</f>
        <v>500</v>
      </c>
      <c r="R77" s="34">
        <f>IF(MasterFees[[#This Row],[GST Basis]]="Incl",MasterFees[[#This Row],[Fee as Printed]],IF(MasterFees[[#This Row],[GST Basis]]="Excl",MasterFees[[#This Row],[Fee as Printed]]*(1+GST_Rate),""))</f>
        <v>575</v>
      </c>
      <c r="S77" s="35" t="str">
        <f>IF(N(MasterFees[[#This Row],[Total Units]])=0,"",MasterFees[[#This Row],[Fee as Printed]]/MasterFees[[#This Row],[Total Units]])</f>
        <v/>
      </c>
      <c r="T77" s="36"/>
      <c r="U77" s="39" t="s">
        <v>4587</v>
      </c>
      <c r="V77" s="39" t="s">
        <v>4696</v>
      </c>
      <c r="W77" s="30" t="s">
        <v>4697</v>
      </c>
      <c r="X77" s="77" t="s">
        <v>4836</v>
      </c>
      <c r="Y77" s="127" t="str">
        <f>_xlfn.XLOOKUP(MasterFees[[#This Row],[Provider / Payer]],Contracts[Contract Name],Contracts[Contract ID],"No contract")</f>
        <v>CON-05</v>
      </c>
      <c r="Z77" s="127" t="str">
        <f>_xlfn.XLOOKUP(MasterFees[[#This Row],[Provider / Payer]],Contracts[Contract Name],Contracts[Pricing Basis],"To confirm")</f>
        <v>Fixed fee schedule</v>
      </c>
      <c r="AA77" s="127" t="str">
        <f>IF(MasterFees[[#This Row],[Pricing Basis]]="Fixed fee schedule","Yes","No")</f>
        <v>Yes</v>
      </c>
      <c r="AB77" s="127" t="str">
        <f>IF(OR(MasterFees[[#This Row],[Fee Basis]]="Add-on",MasterFees[[#This Row],[Fee Basis]]="Time band",MasterFees[[#This Row],[Fee Basis]]="Other"),MasterFees[[#This Row],[Fee Basis]],"Base")</f>
        <v>Base</v>
      </c>
      <c r="AC77" s="141">
        <f>IF(MasterFees[[#This Row],[Fixed Fee?]]="Yes",MasterFees[[#This Row],[Fee Excl. GST]],"")</f>
        <v>500</v>
      </c>
    </row>
    <row r="78" spans="1:29" x14ac:dyDescent="0.2">
      <c r="A78" s="67" t="s">
        <v>2157</v>
      </c>
      <c r="B78" s="31">
        <f>IF(MasterFees[[#This Row],[RVG Code]]="","",_xlfn.XLOOKUP(MasterFees[[#This Row],[RVG Code]],RVGCodes[Code],RVGCodes[Base Units],"Code not found"))</f>
        <v>4</v>
      </c>
      <c r="C7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7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8" s="125" t="s">
        <v>2572</v>
      </c>
      <c r="F78" s="48" t="s">
        <v>2567</v>
      </c>
      <c r="G78" s="30" t="s">
        <v>4508</v>
      </c>
      <c r="H78" s="37" t="s">
        <v>4625</v>
      </c>
      <c r="I78" s="37" t="s">
        <v>4507</v>
      </c>
      <c r="J78" s="37" t="s">
        <v>1024</v>
      </c>
      <c r="K78" s="32"/>
      <c r="L78" s="32"/>
      <c r="M78" s="32"/>
      <c r="N78" s="32"/>
      <c r="O78" s="33">
        <v>500</v>
      </c>
      <c r="P78" s="38" t="s">
        <v>4398</v>
      </c>
      <c r="Q78" s="34">
        <f>IF(MasterFees[[#This Row],[GST Basis]]="Excl",MasterFees[[#This Row],[Fee as Printed]],IF(MasterFees[[#This Row],[GST Basis]]="Incl",MasterFees[[#This Row],[Fee as Printed]]/(1+GST_Rate),""))</f>
        <v>500</v>
      </c>
      <c r="R78" s="34">
        <f>IF(MasterFees[[#This Row],[GST Basis]]="Incl",MasterFees[[#This Row],[Fee as Printed]],IF(MasterFees[[#This Row],[GST Basis]]="Excl",MasterFees[[#This Row],[Fee as Printed]]*(1+GST_Rate),""))</f>
        <v>575</v>
      </c>
      <c r="S78" s="35" t="str">
        <f>IF(N(MasterFees[[#This Row],[Total Units]])=0,"",MasterFees[[#This Row],[Fee as Printed]]/MasterFees[[#This Row],[Total Units]])</f>
        <v/>
      </c>
      <c r="T78" s="36"/>
      <c r="U78" s="39" t="s">
        <v>4587</v>
      </c>
      <c r="V78" s="39" t="s">
        <v>4698</v>
      </c>
      <c r="W78" s="30" t="s">
        <v>4699</v>
      </c>
      <c r="X78" s="77" t="s">
        <v>4836</v>
      </c>
      <c r="Y78" s="127" t="str">
        <f>_xlfn.XLOOKUP(MasterFees[[#This Row],[Provider / Payer]],Contracts[Contract Name],Contracts[Contract ID],"No contract")</f>
        <v>CON-06</v>
      </c>
      <c r="Z78" s="127" t="str">
        <f>_xlfn.XLOOKUP(MasterFees[[#This Row],[Provider / Payer]],Contracts[Contract Name],Contracts[Pricing Basis],"To confirm")</f>
        <v>Fixed fee schedule</v>
      </c>
      <c r="AA78" s="127" t="str">
        <f>IF(MasterFees[[#This Row],[Pricing Basis]]="Fixed fee schedule","Yes","No")</f>
        <v>Yes</v>
      </c>
      <c r="AB78" s="127" t="str">
        <f>IF(OR(MasterFees[[#This Row],[Fee Basis]]="Add-on",MasterFees[[#This Row],[Fee Basis]]="Time band",MasterFees[[#This Row],[Fee Basis]]="Other"),MasterFees[[#This Row],[Fee Basis]],"Base")</f>
        <v>Base</v>
      </c>
      <c r="AC78" s="141">
        <f>IF(MasterFees[[#This Row],[Fixed Fee?]]="Yes",MasterFees[[#This Row],[Fee Excl. GST]],"")</f>
        <v>500</v>
      </c>
    </row>
    <row r="79" spans="1:29" x14ac:dyDescent="0.2">
      <c r="A79" s="67" t="s">
        <v>2162</v>
      </c>
      <c r="B79" s="31">
        <f>IF(MasterFees[[#This Row],[RVG Code]]="","",_xlfn.XLOOKUP(MasterFees[[#This Row],[RVG Code]],RVGCodes[Code],RVGCodes[Base Units],"Code not found"))</f>
        <v>6</v>
      </c>
      <c r="C7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7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9" s="125" t="s">
        <v>2592</v>
      </c>
      <c r="F79" s="48" t="s">
        <v>2567</v>
      </c>
      <c r="G79" s="30" t="s">
        <v>232</v>
      </c>
      <c r="H79" s="37" t="s">
        <v>1095</v>
      </c>
      <c r="I79" s="37"/>
      <c r="J79" s="37" t="s">
        <v>1096</v>
      </c>
      <c r="K79" s="32">
        <v>5</v>
      </c>
      <c r="L79" s="32">
        <v>16</v>
      </c>
      <c r="M79" s="32">
        <v>0</v>
      </c>
      <c r="N79" s="32">
        <v>21</v>
      </c>
      <c r="O79" s="33">
        <v>1155</v>
      </c>
      <c r="P79" s="38" t="s">
        <v>1014</v>
      </c>
      <c r="Q79" s="34" t="str">
        <f>IF(MasterFees[[#This Row],[GST Basis]]="Excl",MasterFees[[#This Row],[Fee as Printed]],IF(MasterFees[[#This Row],[GST Basis]]="Incl",MasterFees[[#This Row],[Fee as Printed]]/(1+GST_Rate),""))</f>
        <v/>
      </c>
      <c r="R79" s="34" t="str">
        <f>IF(MasterFees[[#This Row],[GST Basis]]="Incl",MasterFees[[#This Row],[Fee as Printed]],IF(MasterFees[[#This Row],[GST Basis]]="Excl",MasterFees[[#This Row],[Fee as Printed]]*(1+GST_Rate),""))</f>
        <v/>
      </c>
      <c r="S79" s="35">
        <f>IF(N(MasterFees[[#This Row],[Total Units]])=0,"",MasterFees[[#This Row],[Fee as Printed]]/MasterFees[[#This Row],[Total Units]])</f>
        <v>55</v>
      </c>
      <c r="T79" s="36"/>
      <c r="U79" s="39" t="s">
        <v>1012</v>
      </c>
      <c r="V79" s="39" t="s">
        <v>1326</v>
      </c>
      <c r="W79" s="30"/>
      <c r="X79" s="73" t="s">
        <v>3115</v>
      </c>
      <c r="Y79" s="127" t="str">
        <f>_xlfn.XLOOKUP(MasterFees[[#This Row],[Provider / Payer]],Contracts[Contract Name],Contracts[Contract ID],"No contract")</f>
        <v>CON-01</v>
      </c>
      <c r="Z79" s="127" t="str">
        <f>_xlfn.XLOOKUP(MasterFees[[#This Row],[Provider / Payer]],Contracts[Contract Name],Contracts[Pricing Basis],"To confirm")</f>
        <v>To confirm</v>
      </c>
      <c r="AA79" s="127" t="str">
        <f>IF(MasterFees[[#This Row],[Pricing Basis]]="Fixed fee schedule","Yes","No")</f>
        <v>No</v>
      </c>
      <c r="AB79" s="127" t="str">
        <f>IF(OR(MasterFees[[#This Row],[Fee Basis]]="Add-on",MasterFees[[#This Row],[Fee Basis]]="Time band",MasterFees[[#This Row],[Fee Basis]]="Other"),MasterFees[[#This Row],[Fee Basis]],"Base")</f>
        <v>Base</v>
      </c>
      <c r="AC79" s="141" t="str">
        <f>IF(MasterFees[[#This Row],[Fixed Fee?]]="Yes",MasterFees[[#This Row],[Fee Excl. GST]],"")</f>
        <v/>
      </c>
    </row>
    <row r="80" spans="1:29" x14ac:dyDescent="0.2">
      <c r="A80" s="67" t="s">
        <v>2162</v>
      </c>
      <c r="B80" s="31">
        <f>IF(MasterFees[[#This Row],[RVG Code]]="","",_xlfn.XLOOKUP(MasterFees[[#This Row],[RVG Code]],RVGCodes[Code],RVGCodes[Base Units],"Code not found"))</f>
        <v>6</v>
      </c>
      <c r="C8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8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0" s="125" t="s">
        <v>2592</v>
      </c>
      <c r="F80" s="48" t="s">
        <v>2569</v>
      </c>
      <c r="G80" s="30" t="s">
        <v>4558</v>
      </c>
      <c r="H80" s="37" t="s">
        <v>4622</v>
      </c>
      <c r="I80" s="37" t="s">
        <v>4557</v>
      </c>
      <c r="J80" s="37" t="s">
        <v>1024</v>
      </c>
      <c r="K80" s="32"/>
      <c r="L80" s="32"/>
      <c r="M80" s="32"/>
      <c r="N80" s="32"/>
      <c r="O80" s="33">
        <v>900</v>
      </c>
      <c r="P80" s="38" t="s">
        <v>4398</v>
      </c>
      <c r="Q80" s="34">
        <f>IF(MasterFees[[#This Row],[GST Basis]]="Excl",MasterFees[[#This Row],[Fee as Printed]],IF(MasterFees[[#This Row],[GST Basis]]="Incl",MasterFees[[#This Row],[Fee as Printed]]/(1+GST_Rate),""))</f>
        <v>900</v>
      </c>
      <c r="R80" s="34">
        <f>IF(MasterFees[[#This Row],[GST Basis]]="Incl",MasterFees[[#This Row],[Fee as Printed]],IF(MasterFees[[#This Row],[GST Basis]]="Excl",MasterFees[[#This Row],[Fee as Printed]]*(1+GST_Rate),""))</f>
        <v>1035</v>
      </c>
      <c r="S80" s="35" t="str">
        <f>IF(N(MasterFees[[#This Row],[Total Units]])=0,"",MasterFees[[#This Row],[Fee as Printed]]/MasterFees[[#This Row],[Total Units]])</f>
        <v/>
      </c>
      <c r="T80" s="36"/>
      <c r="U80" s="39" t="s">
        <v>4587</v>
      </c>
      <c r="V80" s="39" t="s">
        <v>4750</v>
      </c>
      <c r="W80" s="30" t="s">
        <v>4751</v>
      </c>
      <c r="X80" s="77" t="s">
        <v>4821</v>
      </c>
      <c r="Y80" s="127" t="str">
        <f>_xlfn.XLOOKUP(MasterFees[[#This Row],[Provider / Payer]],Contracts[Contract Name],Contracts[Contract ID],"No contract")</f>
        <v>CON-05</v>
      </c>
      <c r="Z80" s="127" t="str">
        <f>_xlfn.XLOOKUP(MasterFees[[#This Row],[Provider / Payer]],Contracts[Contract Name],Contracts[Pricing Basis],"To confirm")</f>
        <v>Fixed fee schedule</v>
      </c>
      <c r="AA80" s="127" t="str">
        <f>IF(MasterFees[[#This Row],[Pricing Basis]]="Fixed fee schedule","Yes","No")</f>
        <v>Yes</v>
      </c>
      <c r="AB80" s="127" t="str">
        <f>IF(OR(MasterFees[[#This Row],[Fee Basis]]="Add-on",MasterFees[[#This Row],[Fee Basis]]="Time band",MasterFees[[#This Row],[Fee Basis]]="Other"),MasterFees[[#This Row],[Fee Basis]],"Base")</f>
        <v>Base</v>
      </c>
      <c r="AC80" s="141">
        <f>IF(MasterFees[[#This Row],[Fixed Fee?]]="Yes",MasterFees[[#This Row],[Fee Excl. GST]],"")</f>
        <v>900</v>
      </c>
    </row>
    <row r="81" spans="1:29" x14ac:dyDescent="0.2">
      <c r="A81" s="67" t="s">
        <v>2162</v>
      </c>
      <c r="B81" s="31">
        <f>IF(MasterFees[[#This Row],[RVG Code]]="","",_xlfn.XLOOKUP(MasterFees[[#This Row],[RVG Code]],RVGCodes[Code],RVGCodes[Base Units],"Code not found"))</f>
        <v>6</v>
      </c>
      <c r="C8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8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1" s="125" t="s">
        <v>2592</v>
      </c>
      <c r="F81" s="48" t="s">
        <v>2569</v>
      </c>
      <c r="G81" s="30" t="s">
        <v>4558</v>
      </c>
      <c r="H81" s="37" t="s">
        <v>4625</v>
      </c>
      <c r="I81" s="37" t="s">
        <v>4557</v>
      </c>
      <c r="J81" s="37" t="s">
        <v>1024</v>
      </c>
      <c r="K81" s="32"/>
      <c r="L81" s="32"/>
      <c r="M81" s="32"/>
      <c r="N81" s="32"/>
      <c r="O81" s="33">
        <v>900</v>
      </c>
      <c r="P81" s="38" t="s">
        <v>4398</v>
      </c>
      <c r="Q81" s="34">
        <f>IF(MasterFees[[#This Row],[GST Basis]]="Excl",MasterFees[[#This Row],[Fee as Printed]],IF(MasterFees[[#This Row],[GST Basis]]="Incl",MasterFees[[#This Row],[Fee as Printed]]/(1+GST_Rate),""))</f>
        <v>900</v>
      </c>
      <c r="R81" s="34">
        <f>IF(MasterFees[[#This Row],[GST Basis]]="Incl",MasterFees[[#This Row],[Fee as Printed]],IF(MasterFees[[#This Row],[GST Basis]]="Excl",MasterFees[[#This Row],[Fee as Printed]]*(1+GST_Rate),""))</f>
        <v>1035</v>
      </c>
      <c r="S81" s="35" t="str">
        <f>IF(N(MasterFees[[#This Row],[Total Units]])=0,"",MasterFees[[#This Row],[Fee as Printed]]/MasterFees[[#This Row],[Total Units]])</f>
        <v/>
      </c>
      <c r="T81" s="36"/>
      <c r="U81" s="39" t="s">
        <v>4587</v>
      </c>
      <c r="V81" s="39" t="s">
        <v>4752</v>
      </c>
      <c r="W81" s="30" t="s">
        <v>4753</v>
      </c>
      <c r="X81" s="77" t="s">
        <v>4821</v>
      </c>
      <c r="Y81" s="127" t="str">
        <f>_xlfn.XLOOKUP(MasterFees[[#This Row],[Provider / Payer]],Contracts[Contract Name],Contracts[Contract ID],"No contract")</f>
        <v>CON-06</v>
      </c>
      <c r="Z81" s="127" t="str">
        <f>_xlfn.XLOOKUP(MasterFees[[#This Row],[Provider / Payer]],Contracts[Contract Name],Contracts[Pricing Basis],"To confirm")</f>
        <v>Fixed fee schedule</v>
      </c>
      <c r="AA81" s="127" t="str">
        <f>IF(MasterFees[[#This Row],[Pricing Basis]]="Fixed fee schedule","Yes","No")</f>
        <v>Yes</v>
      </c>
      <c r="AB81" s="127" t="str">
        <f>IF(OR(MasterFees[[#This Row],[Fee Basis]]="Add-on",MasterFees[[#This Row],[Fee Basis]]="Time band",MasterFees[[#This Row],[Fee Basis]]="Other"),MasterFees[[#This Row],[Fee Basis]],"Base")</f>
        <v>Base</v>
      </c>
      <c r="AC81" s="141">
        <f>IF(MasterFees[[#This Row],[Fixed Fee?]]="Yes",MasterFees[[#This Row],[Fee Excl. GST]],"")</f>
        <v>900</v>
      </c>
    </row>
    <row r="82" spans="1:29" x14ac:dyDescent="0.2">
      <c r="A82" s="67" t="s">
        <v>2162</v>
      </c>
      <c r="B82" s="31">
        <f>IF(MasterFees[[#This Row],[RVG Code]]="","",_xlfn.XLOOKUP(MasterFees[[#This Row],[RVG Code]],RVGCodes[Code],RVGCodes[Base Units],"Code not found"))</f>
        <v>6</v>
      </c>
      <c r="C8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8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2" s="125" t="s">
        <v>2592</v>
      </c>
      <c r="F82" s="48" t="s">
        <v>2567</v>
      </c>
      <c r="G82" s="30" t="s">
        <v>233</v>
      </c>
      <c r="H82" s="37" t="s">
        <v>1095</v>
      </c>
      <c r="I82" s="37"/>
      <c r="J82" s="37" t="s">
        <v>1096</v>
      </c>
      <c r="K82" s="32">
        <v>4.5999999999999996</v>
      </c>
      <c r="L82" s="32">
        <v>5.5</v>
      </c>
      <c r="M82" s="32">
        <v>1.5</v>
      </c>
      <c r="N82" s="32">
        <v>11.5</v>
      </c>
      <c r="O82" s="33">
        <v>634.15</v>
      </c>
      <c r="P82" s="38" t="s">
        <v>1014</v>
      </c>
      <c r="Q82" s="34" t="str">
        <f>IF(MasterFees[[#This Row],[GST Basis]]="Excl",MasterFees[[#This Row],[Fee as Printed]],IF(MasterFees[[#This Row],[GST Basis]]="Incl",MasterFees[[#This Row],[Fee as Printed]]/(1+GST_Rate),""))</f>
        <v/>
      </c>
      <c r="R82" s="34" t="str">
        <f>IF(MasterFees[[#This Row],[GST Basis]]="Incl",MasterFees[[#This Row],[Fee as Printed]],IF(MasterFees[[#This Row],[GST Basis]]="Excl",MasterFees[[#This Row],[Fee as Printed]]*(1+GST_Rate),""))</f>
        <v/>
      </c>
      <c r="S82" s="35">
        <f>IF(N(MasterFees[[#This Row],[Total Units]])=0,"",MasterFees[[#This Row],[Fee as Printed]]/MasterFees[[#This Row],[Total Units]])</f>
        <v>55.143478260869564</v>
      </c>
      <c r="T82" s="36"/>
      <c r="U82" s="39" t="s">
        <v>1012</v>
      </c>
      <c r="V82" s="39" t="s">
        <v>1327</v>
      </c>
      <c r="W82" s="30"/>
      <c r="X82" s="73" t="s">
        <v>3116</v>
      </c>
      <c r="Y82" s="127" t="str">
        <f>_xlfn.XLOOKUP(MasterFees[[#This Row],[Provider / Payer]],Contracts[Contract Name],Contracts[Contract ID],"No contract")</f>
        <v>CON-01</v>
      </c>
      <c r="Z82" s="127" t="str">
        <f>_xlfn.XLOOKUP(MasterFees[[#This Row],[Provider / Payer]],Contracts[Contract Name],Contracts[Pricing Basis],"To confirm")</f>
        <v>To confirm</v>
      </c>
      <c r="AA82" s="127" t="str">
        <f>IF(MasterFees[[#This Row],[Pricing Basis]]="Fixed fee schedule","Yes","No")</f>
        <v>No</v>
      </c>
      <c r="AB82" s="127" t="str">
        <f>IF(OR(MasterFees[[#This Row],[Fee Basis]]="Add-on",MasterFees[[#This Row],[Fee Basis]]="Time band",MasterFees[[#This Row],[Fee Basis]]="Other"),MasterFees[[#This Row],[Fee Basis]],"Base")</f>
        <v>Base</v>
      </c>
      <c r="AC82" s="141" t="str">
        <f>IF(MasterFees[[#This Row],[Fixed Fee?]]="Yes",MasterFees[[#This Row],[Fee Excl. GST]],"")</f>
        <v/>
      </c>
    </row>
    <row r="83" spans="1:29" x14ac:dyDescent="0.2">
      <c r="A83" s="67" t="s">
        <v>2157</v>
      </c>
      <c r="B83" s="31">
        <f>IF(MasterFees[[#This Row],[RVG Code]]="","",_xlfn.XLOOKUP(MasterFees[[#This Row],[RVG Code]],RVGCodes[Code],RVGCodes[Base Units],"Code not found"))</f>
        <v>4</v>
      </c>
      <c r="C8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8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3" s="125" t="s">
        <v>2572</v>
      </c>
      <c r="F83" s="48" t="s">
        <v>2567</v>
      </c>
      <c r="G83" s="30" t="s">
        <v>4540</v>
      </c>
      <c r="H83" s="37" t="s">
        <v>4622</v>
      </c>
      <c r="I83" s="37" t="s">
        <v>4539</v>
      </c>
      <c r="J83" s="37" t="s">
        <v>1024</v>
      </c>
      <c r="K83" s="32"/>
      <c r="L83" s="32"/>
      <c r="M83" s="32"/>
      <c r="N83" s="32"/>
      <c r="O83" s="33">
        <v>750</v>
      </c>
      <c r="P83" s="38" t="s">
        <v>4398</v>
      </c>
      <c r="Q83" s="34">
        <f>IF(MasterFees[[#This Row],[GST Basis]]="Excl",MasterFees[[#This Row],[Fee as Printed]],IF(MasterFees[[#This Row],[GST Basis]]="Incl",MasterFees[[#This Row],[Fee as Printed]]/(1+GST_Rate),""))</f>
        <v>750</v>
      </c>
      <c r="R83" s="34">
        <f>IF(MasterFees[[#This Row],[GST Basis]]="Incl",MasterFees[[#This Row],[Fee as Printed]],IF(MasterFees[[#This Row],[GST Basis]]="Excl",MasterFees[[#This Row],[Fee as Printed]]*(1+GST_Rate),""))</f>
        <v>862.49999999999989</v>
      </c>
      <c r="S83" s="35" t="str">
        <f>IF(N(MasterFees[[#This Row],[Total Units]])=0,"",MasterFees[[#This Row],[Fee as Printed]]/MasterFees[[#This Row],[Total Units]])</f>
        <v/>
      </c>
      <c r="T83" s="36"/>
      <c r="U83" s="39" t="s">
        <v>4587</v>
      </c>
      <c r="V83" s="39" t="s">
        <v>4704</v>
      </c>
      <c r="W83" s="30" t="s">
        <v>4705</v>
      </c>
      <c r="X83" s="77" t="s">
        <v>4838</v>
      </c>
      <c r="Y83" s="127" t="str">
        <f>_xlfn.XLOOKUP(MasterFees[[#This Row],[Provider / Payer]],Contracts[Contract Name],Contracts[Contract ID],"No contract")</f>
        <v>CON-05</v>
      </c>
      <c r="Z83" s="127" t="str">
        <f>_xlfn.XLOOKUP(MasterFees[[#This Row],[Provider / Payer]],Contracts[Contract Name],Contracts[Pricing Basis],"To confirm")</f>
        <v>Fixed fee schedule</v>
      </c>
      <c r="AA83" s="127" t="str">
        <f>IF(MasterFees[[#This Row],[Pricing Basis]]="Fixed fee schedule","Yes","No")</f>
        <v>Yes</v>
      </c>
      <c r="AB83" s="127" t="str">
        <f>IF(OR(MasterFees[[#This Row],[Fee Basis]]="Add-on",MasterFees[[#This Row],[Fee Basis]]="Time band",MasterFees[[#This Row],[Fee Basis]]="Other"),MasterFees[[#This Row],[Fee Basis]],"Base")</f>
        <v>Base</v>
      </c>
      <c r="AC83" s="141">
        <f>IF(MasterFees[[#This Row],[Fixed Fee?]]="Yes",MasterFees[[#This Row],[Fee Excl. GST]],"")</f>
        <v>750</v>
      </c>
    </row>
    <row r="84" spans="1:29" x14ac:dyDescent="0.2">
      <c r="A84" s="67" t="s">
        <v>2157</v>
      </c>
      <c r="B84" s="31">
        <f>IF(MasterFees[[#This Row],[RVG Code]]="","",_xlfn.XLOOKUP(MasterFees[[#This Row],[RVG Code]],RVGCodes[Code],RVGCodes[Base Units],"Code not found"))</f>
        <v>4</v>
      </c>
      <c r="C8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8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4" s="125" t="s">
        <v>2572</v>
      </c>
      <c r="F84" s="48" t="s">
        <v>2567</v>
      </c>
      <c r="G84" s="30" t="s">
        <v>4540</v>
      </c>
      <c r="H84" s="37" t="s">
        <v>4625</v>
      </c>
      <c r="I84" s="37" t="s">
        <v>4539</v>
      </c>
      <c r="J84" s="37" t="s">
        <v>1024</v>
      </c>
      <c r="K84" s="32"/>
      <c r="L84" s="32"/>
      <c r="M84" s="32"/>
      <c r="N84" s="32"/>
      <c r="O84" s="33">
        <v>800</v>
      </c>
      <c r="P84" s="38" t="s">
        <v>4398</v>
      </c>
      <c r="Q84" s="34">
        <f>IF(MasterFees[[#This Row],[GST Basis]]="Excl",MasterFees[[#This Row],[Fee as Printed]],IF(MasterFees[[#This Row],[GST Basis]]="Incl",MasterFees[[#This Row],[Fee as Printed]]/(1+GST_Rate),""))</f>
        <v>800</v>
      </c>
      <c r="R84" s="34">
        <f>IF(MasterFees[[#This Row],[GST Basis]]="Incl",MasterFees[[#This Row],[Fee as Printed]],IF(MasterFees[[#This Row],[GST Basis]]="Excl",MasterFees[[#This Row],[Fee as Printed]]*(1+GST_Rate),""))</f>
        <v>919.99999999999989</v>
      </c>
      <c r="S84" s="35" t="str">
        <f>IF(N(MasterFees[[#This Row],[Total Units]])=0,"",MasterFees[[#This Row],[Fee as Printed]]/MasterFees[[#This Row],[Total Units]])</f>
        <v/>
      </c>
      <c r="T84" s="36"/>
      <c r="U84" s="39" t="s">
        <v>4587</v>
      </c>
      <c r="V84" s="39" t="s">
        <v>4706</v>
      </c>
      <c r="W84" s="30" t="s">
        <v>4707</v>
      </c>
      <c r="X84" s="77" t="s">
        <v>4838</v>
      </c>
      <c r="Y84" s="127" t="str">
        <f>_xlfn.XLOOKUP(MasterFees[[#This Row],[Provider / Payer]],Contracts[Contract Name],Contracts[Contract ID],"No contract")</f>
        <v>CON-06</v>
      </c>
      <c r="Z84" s="127" t="str">
        <f>_xlfn.XLOOKUP(MasterFees[[#This Row],[Provider / Payer]],Contracts[Contract Name],Contracts[Pricing Basis],"To confirm")</f>
        <v>Fixed fee schedule</v>
      </c>
      <c r="AA84" s="127" t="str">
        <f>IF(MasterFees[[#This Row],[Pricing Basis]]="Fixed fee schedule","Yes","No")</f>
        <v>Yes</v>
      </c>
      <c r="AB84" s="127" t="str">
        <f>IF(OR(MasterFees[[#This Row],[Fee Basis]]="Add-on",MasterFees[[#This Row],[Fee Basis]]="Time band",MasterFees[[#This Row],[Fee Basis]]="Other"),MasterFees[[#This Row],[Fee Basis]],"Base")</f>
        <v>Base</v>
      </c>
      <c r="AC84" s="141">
        <f>IF(MasterFees[[#This Row],[Fixed Fee?]]="Yes",MasterFees[[#This Row],[Fee Excl. GST]],"")</f>
        <v>800</v>
      </c>
    </row>
    <row r="85" spans="1:29" x14ac:dyDescent="0.2">
      <c r="A85" s="67" t="s">
        <v>2157</v>
      </c>
      <c r="B85" s="31">
        <f>IF(MasterFees[[#This Row],[RVG Code]]="","",_xlfn.XLOOKUP(MasterFees[[#This Row],[RVG Code]],RVGCodes[Code],RVGCodes[Base Units],"Code not found"))</f>
        <v>4</v>
      </c>
      <c r="C8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8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5" s="125" t="s">
        <v>2572</v>
      </c>
      <c r="F85" s="48" t="s">
        <v>2567</v>
      </c>
      <c r="G85" s="30" t="s">
        <v>4554</v>
      </c>
      <c r="H85" s="37" t="s">
        <v>4622</v>
      </c>
      <c r="I85" s="37" t="s">
        <v>4553</v>
      </c>
      <c r="J85" s="37" t="s">
        <v>1024</v>
      </c>
      <c r="K85" s="32"/>
      <c r="L85" s="32"/>
      <c r="M85" s="32"/>
      <c r="N85" s="32"/>
      <c r="O85" s="33">
        <v>500</v>
      </c>
      <c r="P85" s="38" t="s">
        <v>4398</v>
      </c>
      <c r="Q85" s="34">
        <f>IF(MasterFees[[#This Row],[GST Basis]]="Excl",MasterFees[[#This Row],[Fee as Printed]],IF(MasterFees[[#This Row],[GST Basis]]="Incl",MasterFees[[#This Row],[Fee as Printed]]/(1+GST_Rate),""))</f>
        <v>500</v>
      </c>
      <c r="R85" s="34">
        <f>IF(MasterFees[[#This Row],[GST Basis]]="Incl",MasterFees[[#This Row],[Fee as Printed]],IF(MasterFees[[#This Row],[GST Basis]]="Excl",MasterFees[[#This Row],[Fee as Printed]]*(1+GST_Rate),""))</f>
        <v>575</v>
      </c>
      <c r="S85" s="35" t="str">
        <f>IF(N(MasterFees[[#This Row],[Total Units]])=0,"",MasterFees[[#This Row],[Fee as Printed]]/MasterFees[[#This Row],[Total Units]])</f>
        <v/>
      </c>
      <c r="T85" s="36"/>
      <c r="U85" s="39" t="s">
        <v>4587</v>
      </c>
      <c r="V85" s="39" t="s">
        <v>4746</v>
      </c>
      <c r="W85" s="30" t="s">
        <v>4727</v>
      </c>
      <c r="X85" s="77" t="s">
        <v>4829</v>
      </c>
      <c r="Y85" s="127" t="str">
        <f>_xlfn.XLOOKUP(MasterFees[[#This Row],[Provider / Payer]],Contracts[Contract Name],Contracts[Contract ID],"No contract")</f>
        <v>CON-05</v>
      </c>
      <c r="Z85" s="127" t="str">
        <f>_xlfn.XLOOKUP(MasterFees[[#This Row],[Provider / Payer]],Contracts[Contract Name],Contracts[Pricing Basis],"To confirm")</f>
        <v>Fixed fee schedule</v>
      </c>
      <c r="AA85" s="127" t="str">
        <f>IF(MasterFees[[#This Row],[Pricing Basis]]="Fixed fee schedule","Yes","No")</f>
        <v>Yes</v>
      </c>
      <c r="AB85" s="127" t="str">
        <f>IF(OR(MasterFees[[#This Row],[Fee Basis]]="Add-on",MasterFees[[#This Row],[Fee Basis]]="Time band",MasterFees[[#This Row],[Fee Basis]]="Other"),MasterFees[[#This Row],[Fee Basis]],"Base")</f>
        <v>Base</v>
      </c>
      <c r="AC85" s="141">
        <f>IF(MasterFees[[#This Row],[Fixed Fee?]]="Yes",MasterFees[[#This Row],[Fee Excl. GST]],"")</f>
        <v>500</v>
      </c>
    </row>
    <row r="86" spans="1:29" x14ac:dyDescent="0.2">
      <c r="A86" s="67" t="s">
        <v>2157</v>
      </c>
      <c r="B86" s="31">
        <f>IF(MasterFees[[#This Row],[RVG Code]]="","",_xlfn.XLOOKUP(MasterFees[[#This Row],[RVG Code]],RVGCodes[Code],RVGCodes[Base Units],"Code not found"))</f>
        <v>4</v>
      </c>
      <c r="C8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8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6" s="125" t="s">
        <v>2572</v>
      </c>
      <c r="F86" s="48" t="s">
        <v>2567</v>
      </c>
      <c r="G86" s="30" t="s">
        <v>4554</v>
      </c>
      <c r="H86" s="37" t="s">
        <v>4625</v>
      </c>
      <c r="I86" s="37" t="s">
        <v>4553</v>
      </c>
      <c r="J86" s="37" t="s">
        <v>1024</v>
      </c>
      <c r="K86" s="32"/>
      <c r="L86" s="32"/>
      <c r="M86" s="32"/>
      <c r="N86" s="32"/>
      <c r="O86" s="33">
        <v>500</v>
      </c>
      <c r="P86" s="38" t="s">
        <v>4398</v>
      </c>
      <c r="Q86" s="34">
        <f>IF(MasterFees[[#This Row],[GST Basis]]="Excl",MasterFees[[#This Row],[Fee as Printed]],IF(MasterFees[[#This Row],[GST Basis]]="Incl",MasterFees[[#This Row],[Fee as Printed]]/(1+GST_Rate),""))</f>
        <v>500</v>
      </c>
      <c r="R86" s="34">
        <f>IF(MasterFees[[#This Row],[GST Basis]]="Incl",MasterFees[[#This Row],[Fee as Printed]],IF(MasterFees[[#This Row],[GST Basis]]="Excl",MasterFees[[#This Row],[Fee as Printed]]*(1+GST_Rate),""))</f>
        <v>575</v>
      </c>
      <c r="S86" s="35" t="str">
        <f>IF(N(MasterFees[[#This Row],[Total Units]])=0,"",MasterFees[[#This Row],[Fee as Printed]]/MasterFees[[#This Row],[Total Units]])</f>
        <v/>
      </c>
      <c r="T86" s="36"/>
      <c r="U86" s="39" t="s">
        <v>4587</v>
      </c>
      <c r="V86" s="39" t="s">
        <v>4747</v>
      </c>
      <c r="W86" s="30" t="s">
        <v>4729</v>
      </c>
      <c r="X86" s="77" t="s">
        <v>4829</v>
      </c>
      <c r="Y86" s="127" t="str">
        <f>_xlfn.XLOOKUP(MasterFees[[#This Row],[Provider / Payer]],Contracts[Contract Name],Contracts[Contract ID],"No contract")</f>
        <v>CON-06</v>
      </c>
      <c r="Z86" s="127" t="str">
        <f>_xlfn.XLOOKUP(MasterFees[[#This Row],[Provider / Payer]],Contracts[Contract Name],Contracts[Pricing Basis],"To confirm")</f>
        <v>Fixed fee schedule</v>
      </c>
      <c r="AA86" s="127" t="str">
        <f>IF(MasterFees[[#This Row],[Pricing Basis]]="Fixed fee schedule","Yes","No")</f>
        <v>Yes</v>
      </c>
      <c r="AB86" s="127" t="str">
        <f>IF(OR(MasterFees[[#This Row],[Fee Basis]]="Add-on",MasterFees[[#This Row],[Fee Basis]]="Time band",MasterFees[[#This Row],[Fee Basis]]="Other"),MasterFees[[#This Row],[Fee Basis]],"Base")</f>
        <v>Base</v>
      </c>
      <c r="AC86" s="141">
        <f>IF(MasterFees[[#This Row],[Fixed Fee?]]="Yes",MasterFees[[#This Row],[Fee Excl. GST]],"")</f>
        <v>500</v>
      </c>
    </row>
    <row r="87" spans="1:29" x14ac:dyDescent="0.2">
      <c r="A87" s="67" t="s">
        <v>2159</v>
      </c>
      <c r="B87" s="31">
        <f>IF(MasterFees[[#This Row],[RVG Code]]="","",_xlfn.XLOOKUP(MasterFees[[#This Row],[RVG Code]],RVGCodes[Code],RVGCodes[Base Units],"Code not found"))</f>
        <v>5</v>
      </c>
      <c r="C8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8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7" s="125" t="s">
        <v>2571</v>
      </c>
      <c r="F87" s="48" t="s">
        <v>2569</v>
      </c>
      <c r="G87" s="30" t="s">
        <v>244</v>
      </c>
      <c r="H87" s="37" t="s">
        <v>1095</v>
      </c>
      <c r="I87" s="37"/>
      <c r="J87" s="37" t="s">
        <v>1096</v>
      </c>
      <c r="K87" s="32">
        <v>5</v>
      </c>
      <c r="L87" s="32">
        <v>3.4</v>
      </c>
      <c r="M87" s="32">
        <v>0.6</v>
      </c>
      <c r="N87" s="32">
        <v>9</v>
      </c>
      <c r="O87" s="33">
        <v>495.55</v>
      </c>
      <c r="P87" s="38" t="s">
        <v>1014</v>
      </c>
      <c r="Q87" s="34" t="str">
        <f>IF(MasterFees[[#This Row],[GST Basis]]="Excl",MasterFees[[#This Row],[Fee as Printed]],IF(MasterFees[[#This Row],[GST Basis]]="Incl",MasterFees[[#This Row],[Fee as Printed]]/(1+GST_Rate),""))</f>
        <v/>
      </c>
      <c r="R87" s="34" t="str">
        <f>IF(MasterFees[[#This Row],[GST Basis]]="Incl",MasterFees[[#This Row],[Fee as Printed]],IF(MasterFees[[#This Row],[GST Basis]]="Excl",MasterFees[[#This Row],[Fee as Printed]]*(1+GST_Rate),""))</f>
        <v/>
      </c>
      <c r="S87" s="35">
        <f>IF(N(MasterFees[[#This Row],[Total Units]])=0,"",MasterFees[[#This Row],[Fee as Printed]]/MasterFees[[#This Row],[Total Units]])</f>
        <v>55.06111111111111</v>
      </c>
      <c r="T87" s="36"/>
      <c r="U87" s="39" t="s">
        <v>1012</v>
      </c>
      <c r="V87" s="39" t="s">
        <v>1338</v>
      </c>
      <c r="W87" s="30"/>
      <c r="X87" s="73" t="s">
        <v>3128</v>
      </c>
      <c r="Y87" s="127" t="str">
        <f>_xlfn.XLOOKUP(MasterFees[[#This Row],[Provider / Payer]],Contracts[Contract Name],Contracts[Contract ID],"No contract")</f>
        <v>CON-01</v>
      </c>
      <c r="Z87" s="127" t="str">
        <f>_xlfn.XLOOKUP(MasterFees[[#This Row],[Provider / Payer]],Contracts[Contract Name],Contracts[Pricing Basis],"To confirm")</f>
        <v>To confirm</v>
      </c>
      <c r="AA87" s="127" t="str">
        <f>IF(MasterFees[[#This Row],[Pricing Basis]]="Fixed fee schedule","Yes","No")</f>
        <v>No</v>
      </c>
      <c r="AB87" s="127" t="str">
        <f>IF(OR(MasterFees[[#This Row],[Fee Basis]]="Add-on",MasterFees[[#This Row],[Fee Basis]]="Time band",MasterFees[[#This Row],[Fee Basis]]="Other"),MasterFees[[#This Row],[Fee Basis]],"Base")</f>
        <v>Base</v>
      </c>
      <c r="AC87" s="141" t="str">
        <f>IF(MasterFees[[#This Row],[Fixed Fee?]]="Yes",MasterFees[[#This Row],[Fee Excl. GST]],"")</f>
        <v/>
      </c>
    </row>
    <row r="88" spans="1:29" x14ac:dyDescent="0.2">
      <c r="A88" s="67" t="s">
        <v>2159</v>
      </c>
      <c r="B88" s="31">
        <f>IF(MasterFees[[#This Row],[RVG Code]]="","",_xlfn.XLOOKUP(MasterFees[[#This Row],[RVG Code]],RVGCodes[Code],RVGCodes[Base Units],"Code not found"))</f>
        <v>5</v>
      </c>
      <c r="C8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8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8" s="125" t="s">
        <v>2571</v>
      </c>
      <c r="F88" s="48" t="s">
        <v>2569</v>
      </c>
      <c r="G88" s="30" t="s">
        <v>245</v>
      </c>
      <c r="H88" s="37" t="s">
        <v>1095</v>
      </c>
      <c r="I88" s="37"/>
      <c r="J88" s="37" t="s">
        <v>1096</v>
      </c>
      <c r="K88" s="32">
        <v>5</v>
      </c>
      <c r="L88" s="32">
        <v>6</v>
      </c>
      <c r="M88" s="32">
        <v>2</v>
      </c>
      <c r="N88" s="32">
        <v>13</v>
      </c>
      <c r="O88" s="33">
        <v>715</v>
      </c>
      <c r="P88" s="38" t="s">
        <v>1014</v>
      </c>
      <c r="Q88" s="34" t="str">
        <f>IF(MasterFees[[#This Row],[GST Basis]]="Excl",MasterFees[[#This Row],[Fee as Printed]],IF(MasterFees[[#This Row],[GST Basis]]="Incl",MasterFees[[#This Row],[Fee as Printed]]/(1+GST_Rate),""))</f>
        <v/>
      </c>
      <c r="R88" s="34" t="str">
        <f>IF(MasterFees[[#This Row],[GST Basis]]="Incl",MasterFees[[#This Row],[Fee as Printed]],IF(MasterFees[[#This Row],[GST Basis]]="Excl",MasterFees[[#This Row],[Fee as Printed]]*(1+GST_Rate),""))</f>
        <v/>
      </c>
      <c r="S88" s="35">
        <f>IF(N(MasterFees[[#This Row],[Total Units]])=0,"",MasterFees[[#This Row],[Fee as Printed]]/MasterFees[[#This Row],[Total Units]])</f>
        <v>55</v>
      </c>
      <c r="T88" s="36"/>
      <c r="U88" s="39" t="s">
        <v>1012</v>
      </c>
      <c r="V88" s="39" t="s">
        <v>1339</v>
      </c>
      <c r="W88" s="30"/>
      <c r="X88" s="73" t="s">
        <v>3129</v>
      </c>
      <c r="Y88" s="127" t="str">
        <f>_xlfn.XLOOKUP(MasterFees[[#This Row],[Provider / Payer]],Contracts[Contract Name],Contracts[Contract ID],"No contract")</f>
        <v>CON-01</v>
      </c>
      <c r="Z88" s="127" t="str">
        <f>_xlfn.XLOOKUP(MasterFees[[#This Row],[Provider / Payer]],Contracts[Contract Name],Contracts[Pricing Basis],"To confirm")</f>
        <v>To confirm</v>
      </c>
      <c r="AA88" s="127" t="str">
        <f>IF(MasterFees[[#This Row],[Pricing Basis]]="Fixed fee schedule","Yes","No")</f>
        <v>No</v>
      </c>
      <c r="AB88" s="127" t="str">
        <f>IF(OR(MasterFees[[#This Row],[Fee Basis]]="Add-on",MasterFees[[#This Row],[Fee Basis]]="Time band",MasterFees[[#This Row],[Fee Basis]]="Other"),MasterFees[[#This Row],[Fee Basis]],"Base")</f>
        <v>Base</v>
      </c>
      <c r="AC88" s="141" t="str">
        <f>IF(MasterFees[[#This Row],[Fixed Fee?]]="Yes",MasterFees[[#This Row],[Fee Excl. GST]],"")</f>
        <v/>
      </c>
    </row>
    <row r="89" spans="1:29" x14ac:dyDescent="0.2">
      <c r="A89" s="67" t="s">
        <v>2159</v>
      </c>
      <c r="B89" s="31">
        <f>IF(MasterFees[[#This Row],[RVG Code]]="","",_xlfn.XLOOKUP(MasterFees[[#This Row],[RVG Code]],RVGCodes[Code],RVGCodes[Base Units],"Code not found"))</f>
        <v>5</v>
      </c>
      <c r="C8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8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9" s="125" t="s">
        <v>2571</v>
      </c>
      <c r="F89" s="48" t="s">
        <v>2569</v>
      </c>
      <c r="G89" s="30" t="s">
        <v>246</v>
      </c>
      <c r="H89" s="37" t="s">
        <v>1095</v>
      </c>
      <c r="I89" s="37"/>
      <c r="J89" s="37" t="s">
        <v>1096</v>
      </c>
      <c r="K89" s="32">
        <v>5</v>
      </c>
      <c r="L89" s="32">
        <v>5</v>
      </c>
      <c r="M89" s="32">
        <v>2</v>
      </c>
      <c r="N89" s="32">
        <v>12</v>
      </c>
      <c r="O89" s="33">
        <v>660</v>
      </c>
      <c r="P89" s="38" t="s">
        <v>1014</v>
      </c>
      <c r="Q89" s="34" t="str">
        <f>IF(MasterFees[[#This Row],[GST Basis]]="Excl",MasterFees[[#This Row],[Fee as Printed]],IF(MasterFees[[#This Row],[GST Basis]]="Incl",MasterFees[[#This Row],[Fee as Printed]]/(1+GST_Rate),""))</f>
        <v/>
      </c>
      <c r="R89" s="34" t="str">
        <f>IF(MasterFees[[#This Row],[GST Basis]]="Incl",MasterFees[[#This Row],[Fee as Printed]],IF(MasterFees[[#This Row],[GST Basis]]="Excl",MasterFees[[#This Row],[Fee as Printed]]*(1+GST_Rate),""))</f>
        <v/>
      </c>
      <c r="S89" s="35">
        <f>IF(N(MasterFees[[#This Row],[Total Units]])=0,"",MasterFees[[#This Row],[Fee as Printed]]/MasterFees[[#This Row],[Total Units]])</f>
        <v>55</v>
      </c>
      <c r="T89" s="36"/>
      <c r="U89" s="39" t="s">
        <v>1012</v>
      </c>
      <c r="V89" s="39" t="s">
        <v>1340</v>
      </c>
      <c r="W89" s="30"/>
      <c r="X89" s="73" t="s">
        <v>3130</v>
      </c>
      <c r="Y89" s="127" t="str">
        <f>_xlfn.XLOOKUP(MasterFees[[#This Row],[Provider / Payer]],Contracts[Contract Name],Contracts[Contract ID],"No contract")</f>
        <v>CON-01</v>
      </c>
      <c r="Z89" s="127" t="str">
        <f>_xlfn.XLOOKUP(MasterFees[[#This Row],[Provider / Payer]],Contracts[Contract Name],Contracts[Pricing Basis],"To confirm")</f>
        <v>To confirm</v>
      </c>
      <c r="AA89" s="127" t="str">
        <f>IF(MasterFees[[#This Row],[Pricing Basis]]="Fixed fee schedule","Yes","No")</f>
        <v>No</v>
      </c>
      <c r="AB89" s="127" t="str">
        <f>IF(OR(MasterFees[[#This Row],[Fee Basis]]="Add-on",MasterFees[[#This Row],[Fee Basis]]="Time band",MasterFees[[#This Row],[Fee Basis]]="Other"),MasterFees[[#This Row],[Fee Basis]],"Base")</f>
        <v>Base</v>
      </c>
      <c r="AC89" s="141" t="str">
        <f>IF(MasterFees[[#This Row],[Fixed Fee?]]="Yes",MasterFees[[#This Row],[Fee Excl. GST]],"")</f>
        <v/>
      </c>
    </row>
    <row r="90" spans="1:29" x14ac:dyDescent="0.2">
      <c r="A90" s="67" t="s">
        <v>2159</v>
      </c>
      <c r="B90" s="31">
        <f>IF(MasterFees[[#This Row],[RVG Code]]="","",_xlfn.XLOOKUP(MasterFees[[#This Row],[RVG Code]],RVGCodes[Code],RVGCodes[Base Units],"Code not found"))</f>
        <v>5</v>
      </c>
      <c r="C9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9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0" s="125" t="s">
        <v>2571</v>
      </c>
      <c r="F90" s="48" t="s">
        <v>2569</v>
      </c>
      <c r="G90" s="30" t="s">
        <v>250</v>
      </c>
      <c r="H90" s="37" t="s">
        <v>1095</v>
      </c>
      <c r="I90" s="37"/>
      <c r="J90" s="37" t="s">
        <v>1096</v>
      </c>
      <c r="K90" s="32">
        <v>5</v>
      </c>
      <c r="L90" s="32">
        <v>3</v>
      </c>
      <c r="M90" s="32">
        <v>1</v>
      </c>
      <c r="N90" s="32">
        <v>9</v>
      </c>
      <c r="O90" s="33">
        <v>495</v>
      </c>
      <c r="P90" s="38" t="s">
        <v>1014</v>
      </c>
      <c r="Q90" s="34" t="str">
        <f>IF(MasterFees[[#This Row],[GST Basis]]="Excl",MasterFees[[#This Row],[Fee as Printed]],IF(MasterFees[[#This Row],[GST Basis]]="Incl",MasterFees[[#This Row],[Fee as Printed]]/(1+GST_Rate),""))</f>
        <v/>
      </c>
      <c r="R90" s="34" t="str">
        <f>IF(MasterFees[[#This Row],[GST Basis]]="Incl",MasterFees[[#This Row],[Fee as Printed]],IF(MasterFees[[#This Row],[GST Basis]]="Excl",MasterFees[[#This Row],[Fee as Printed]]*(1+GST_Rate),""))</f>
        <v/>
      </c>
      <c r="S90" s="35">
        <f>IF(N(MasterFees[[#This Row],[Total Units]])=0,"",MasterFees[[#This Row],[Fee as Printed]]/MasterFees[[#This Row],[Total Units]])</f>
        <v>55</v>
      </c>
      <c r="T90" s="36"/>
      <c r="U90" s="39" t="s">
        <v>1012</v>
      </c>
      <c r="V90" s="39" t="s">
        <v>1344</v>
      </c>
      <c r="W90" s="30"/>
      <c r="X90" s="73" t="s">
        <v>3134</v>
      </c>
      <c r="Y90" s="127" t="str">
        <f>_xlfn.XLOOKUP(MasterFees[[#This Row],[Provider / Payer]],Contracts[Contract Name],Contracts[Contract ID],"No contract")</f>
        <v>CON-01</v>
      </c>
      <c r="Z90" s="127" t="str">
        <f>_xlfn.XLOOKUP(MasterFees[[#This Row],[Provider / Payer]],Contracts[Contract Name],Contracts[Pricing Basis],"To confirm")</f>
        <v>To confirm</v>
      </c>
      <c r="AA90" s="127" t="str">
        <f>IF(MasterFees[[#This Row],[Pricing Basis]]="Fixed fee schedule","Yes","No")</f>
        <v>No</v>
      </c>
      <c r="AB90" s="127" t="str">
        <f>IF(OR(MasterFees[[#This Row],[Fee Basis]]="Add-on",MasterFees[[#This Row],[Fee Basis]]="Time band",MasterFees[[#This Row],[Fee Basis]]="Other"),MasterFees[[#This Row],[Fee Basis]],"Base")</f>
        <v>Base</v>
      </c>
      <c r="AC90" s="141" t="str">
        <f>IF(MasterFees[[#This Row],[Fixed Fee?]]="Yes",MasterFees[[#This Row],[Fee Excl. GST]],"")</f>
        <v/>
      </c>
    </row>
    <row r="91" spans="1:29" x14ac:dyDescent="0.2">
      <c r="A91" s="67" t="s">
        <v>2157</v>
      </c>
      <c r="B91" s="31">
        <f>IF(MasterFees[[#This Row],[RVG Code]]="","",_xlfn.XLOOKUP(MasterFees[[#This Row],[RVG Code]],RVGCodes[Code],RVGCodes[Base Units],"Code not found"))</f>
        <v>4</v>
      </c>
      <c r="C9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9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1" s="125" t="s">
        <v>2572</v>
      </c>
      <c r="F91" s="48" t="s">
        <v>2567</v>
      </c>
      <c r="G91" s="30" t="s">
        <v>260</v>
      </c>
      <c r="H91" s="37" t="s">
        <v>1095</v>
      </c>
      <c r="I91" s="37"/>
      <c r="J91" s="37" t="s">
        <v>1096</v>
      </c>
      <c r="K91" s="32">
        <v>4.5999999999999996</v>
      </c>
      <c r="L91" s="32">
        <v>1.6</v>
      </c>
      <c r="M91" s="32">
        <v>0</v>
      </c>
      <c r="N91" s="32">
        <v>6.1</v>
      </c>
      <c r="O91" s="33">
        <v>337.7</v>
      </c>
      <c r="P91" s="38" t="s">
        <v>1014</v>
      </c>
      <c r="Q91" s="34" t="str">
        <f>IF(MasterFees[[#This Row],[GST Basis]]="Excl",MasterFees[[#This Row],[Fee as Printed]],IF(MasterFees[[#This Row],[GST Basis]]="Incl",MasterFees[[#This Row],[Fee as Printed]]/(1+GST_Rate),""))</f>
        <v/>
      </c>
      <c r="R91" s="34" t="str">
        <f>IF(MasterFees[[#This Row],[GST Basis]]="Incl",MasterFees[[#This Row],[Fee as Printed]],IF(MasterFees[[#This Row],[GST Basis]]="Excl",MasterFees[[#This Row],[Fee as Printed]]*(1+GST_Rate),""))</f>
        <v/>
      </c>
      <c r="S91" s="35">
        <f>IF(N(MasterFees[[#This Row],[Total Units]])=0,"",MasterFees[[#This Row],[Fee as Printed]]/MasterFees[[#This Row],[Total Units]])</f>
        <v>55.360655737704917</v>
      </c>
      <c r="T91" s="36"/>
      <c r="U91" s="39" t="s">
        <v>1012</v>
      </c>
      <c r="V91" s="39" t="s">
        <v>1354</v>
      </c>
      <c r="W91" s="30"/>
      <c r="X91" s="73" t="s">
        <v>3144</v>
      </c>
      <c r="Y91" s="127" t="str">
        <f>_xlfn.XLOOKUP(MasterFees[[#This Row],[Provider / Payer]],Contracts[Contract Name],Contracts[Contract ID],"No contract")</f>
        <v>CON-01</v>
      </c>
      <c r="Z91" s="127" t="str">
        <f>_xlfn.XLOOKUP(MasterFees[[#This Row],[Provider / Payer]],Contracts[Contract Name],Contracts[Pricing Basis],"To confirm")</f>
        <v>To confirm</v>
      </c>
      <c r="AA91" s="127" t="str">
        <f>IF(MasterFees[[#This Row],[Pricing Basis]]="Fixed fee schedule","Yes","No")</f>
        <v>No</v>
      </c>
      <c r="AB91" s="127" t="str">
        <f>IF(OR(MasterFees[[#This Row],[Fee Basis]]="Add-on",MasterFees[[#This Row],[Fee Basis]]="Time band",MasterFees[[#This Row],[Fee Basis]]="Other"),MasterFees[[#This Row],[Fee Basis]],"Base")</f>
        <v>Base</v>
      </c>
      <c r="AC91" s="141" t="str">
        <f>IF(MasterFees[[#This Row],[Fixed Fee?]]="Yes",MasterFees[[#This Row],[Fee Excl. GST]],"")</f>
        <v/>
      </c>
    </row>
    <row r="92" spans="1:29" x14ac:dyDescent="0.2">
      <c r="A92" s="67" t="s">
        <v>2157</v>
      </c>
      <c r="B92" s="31">
        <f>IF(MasterFees[[#This Row],[RVG Code]]="","",_xlfn.XLOOKUP(MasterFees[[#This Row],[RVG Code]],RVGCodes[Code],RVGCodes[Base Units],"Code not found"))</f>
        <v>4</v>
      </c>
      <c r="C9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9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2" s="125" t="s">
        <v>2572</v>
      </c>
      <c r="F92" s="48" t="s">
        <v>2567</v>
      </c>
      <c r="G92" s="30" t="s">
        <v>4512</v>
      </c>
      <c r="H92" s="37" t="s">
        <v>4622</v>
      </c>
      <c r="I92" s="37" t="s">
        <v>4511</v>
      </c>
      <c r="J92" s="37" t="s">
        <v>1024</v>
      </c>
      <c r="K92" s="32"/>
      <c r="L92" s="32"/>
      <c r="M92" s="32"/>
      <c r="N92" s="32"/>
      <c r="O92" s="33">
        <v>800</v>
      </c>
      <c r="P92" s="38" t="s">
        <v>4398</v>
      </c>
      <c r="Q92" s="34">
        <f>IF(MasterFees[[#This Row],[GST Basis]]="Excl",MasterFees[[#This Row],[Fee as Printed]],IF(MasterFees[[#This Row],[GST Basis]]="Incl",MasterFees[[#This Row],[Fee as Printed]]/(1+GST_Rate),""))</f>
        <v>800</v>
      </c>
      <c r="R92" s="34">
        <f>IF(MasterFees[[#This Row],[GST Basis]]="Incl",MasterFees[[#This Row],[Fee as Printed]],IF(MasterFees[[#This Row],[GST Basis]]="Excl",MasterFees[[#This Row],[Fee as Printed]]*(1+GST_Rate),""))</f>
        <v>919.99999999999989</v>
      </c>
      <c r="S92" s="35" t="str">
        <f>IF(N(MasterFees[[#This Row],[Total Units]])=0,"",MasterFees[[#This Row],[Fee as Printed]]/MasterFees[[#This Row],[Total Units]])</f>
        <v/>
      </c>
      <c r="T92" s="36"/>
      <c r="U92" s="39" t="s">
        <v>4587</v>
      </c>
      <c r="V92" s="39" t="s">
        <v>4796</v>
      </c>
      <c r="W92" s="30" t="s">
        <v>4785</v>
      </c>
      <c r="X92" s="77" t="s">
        <v>4808</v>
      </c>
      <c r="Y92" s="127" t="str">
        <f>_xlfn.XLOOKUP(MasterFees[[#This Row],[Provider / Payer]],Contracts[Contract Name],Contracts[Contract ID],"No contract")</f>
        <v>CON-05</v>
      </c>
      <c r="Z92" s="127" t="str">
        <f>_xlfn.XLOOKUP(MasterFees[[#This Row],[Provider / Payer]],Contracts[Contract Name],Contracts[Pricing Basis],"To confirm")</f>
        <v>Fixed fee schedule</v>
      </c>
      <c r="AA92" s="127" t="str">
        <f>IF(MasterFees[[#This Row],[Pricing Basis]]="Fixed fee schedule","Yes","No")</f>
        <v>Yes</v>
      </c>
      <c r="AB92" s="127" t="str">
        <f>IF(OR(MasterFees[[#This Row],[Fee Basis]]="Add-on",MasterFees[[#This Row],[Fee Basis]]="Time band",MasterFees[[#This Row],[Fee Basis]]="Other"),MasterFees[[#This Row],[Fee Basis]],"Base")</f>
        <v>Base</v>
      </c>
      <c r="AC92" s="141">
        <f>IF(MasterFees[[#This Row],[Fixed Fee?]]="Yes",MasterFees[[#This Row],[Fee Excl. GST]],"")</f>
        <v>800</v>
      </c>
    </row>
    <row r="93" spans="1:29" x14ac:dyDescent="0.2">
      <c r="A93" s="67" t="s">
        <v>2157</v>
      </c>
      <c r="B93" s="31">
        <f>IF(MasterFees[[#This Row],[RVG Code]]="","",_xlfn.XLOOKUP(MasterFees[[#This Row],[RVG Code]],RVGCodes[Code],RVGCodes[Base Units],"Code not found"))</f>
        <v>4</v>
      </c>
      <c r="C9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9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3" s="125" t="s">
        <v>2572</v>
      </c>
      <c r="F93" s="48" t="s">
        <v>2567</v>
      </c>
      <c r="G93" s="30" t="s">
        <v>4512</v>
      </c>
      <c r="H93" s="37" t="s">
        <v>4625</v>
      </c>
      <c r="I93" s="37" t="s">
        <v>4511</v>
      </c>
      <c r="J93" s="37" t="s">
        <v>1024</v>
      </c>
      <c r="K93" s="32"/>
      <c r="L93" s="32"/>
      <c r="M93" s="32"/>
      <c r="N93" s="32"/>
      <c r="O93" s="33">
        <v>800</v>
      </c>
      <c r="P93" s="38" t="s">
        <v>4398</v>
      </c>
      <c r="Q93" s="34">
        <f>IF(MasterFees[[#This Row],[GST Basis]]="Excl",MasterFees[[#This Row],[Fee as Printed]],IF(MasterFees[[#This Row],[GST Basis]]="Incl",MasterFees[[#This Row],[Fee as Printed]]/(1+GST_Rate),""))</f>
        <v>800</v>
      </c>
      <c r="R93" s="34">
        <f>IF(MasterFees[[#This Row],[GST Basis]]="Incl",MasterFees[[#This Row],[Fee as Printed]],IF(MasterFees[[#This Row],[GST Basis]]="Excl",MasterFees[[#This Row],[Fee as Printed]]*(1+GST_Rate),""))</f>
        <v>919.99999999999989</v>
      </c>
      <c r="S93" s="35" t="str">
        <f>IF(N(MasterFees[[#This Row],[Total Units]])=0,"",MasterFees[[#This Row],[Fee as Printed]]/MasterFees[[#This Row],[Total Units]])</f>
        <v/>
      </c>
      <c r="T93" s="36"/>
      <c r="U93" s="39" t="s">
        <v>4587</v>
      </c>
      <c r="V93" s="39" t="s">
        <v>4797</v>
      </c>
      <c r="W93" s="30" t="s">
        <v>4787</v>
      </c>
      <c r="X93" s="77" t="s">
        <v>4808</v>
      </c>
      <c r="Y93" s="127" t="str">
        <f>_xlfn.XLOOKUP(MasterFees[[#This Row],[Provider / Payer]],Contracts[Contract Name],Contracts[Contract ID],"No contract")</f>
        <v>CON-06</v>
      </c>
      <c r="Z93" s="127" t="str">
        <f>_xlfn.XLOOKUP(MasterFees[[#This Row],[Provider / Payer]],Contracts[Contract Name],Contracts[Pricing Basis],"To confirm")</f>
        <v>Fixed fee schedule</v>
      </c>
      <c r="AA93" s="127" t="str">
        <f>IF(MasterFees[[#This Row],[Pricing Basis]]="Fixed fee schedule","Yes","No")</f>
        <v>Yes</v>
      </c>
      <c r="AB93" s="127" t="str">
        <f>IF(OR(MasterFees[[#This Row],[Fee Basis]]="Add-on",MasterFees[[#This Row],[Fee Basis]]="Time band",MasterFees[[#This Row],[Fee Basis]]="Other"),MasterFees[[#This Row],[Fee Basis]],"Base")</f>
        <v>Base</v>
      </c>
      <c r="AC93" s="141">
        <f>IF(MasterFees[[#This Row],[Fixed Fee?]]="Yes",MasterFees[[#This Row],[Fee Excl. GST]],"")</f>
        <v>800</v>
      </c>
    </row>
    <row r="94" spans="1:29" x14ac:dyDescent="0.2">
      <c r="A94" s="67" t="s">
        <v>2162</v>
      </c>
      <c r="B94" s="31">
        <f>IF(MasterFees[[#This Row],[RVG Code]]="","",_xlfn.XLOOKUP(MasterFees[[#This Row],[RVG Code]],RVGCodes[Code],RVGCodes[Base Units],"Code not found"))</f>
        <v>6</v>
      </c>
      <c r="C9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9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4" s="125" t="s">
        <v>2592</v>
      </c>
      <c r="F94" s="48" t="s">
        <v>2569</v>
      </c>
      <c r="G94" s="30" t="s">
        <v>274</v>
      </c>
      <c r="H94" s="37" t="s">
        <v>1095</v>
      </c>
      <c r="I94" s="37"/>
      <c r="J94" s="37" t="s">
        <v>1096</v>
      </c>
      <c r="K94" s="32">
        <v>5</v>
      </c>
      <c r="L94" s="32">
        <v>5.5</v>
      </c>
      <c r="M94" s="32">
        <v>0</v>
      </c>
      <c r="N94" s="32">
        <v>10.5</v>
      </c>
      <c r="O94" s="33">
        <v>577.5</v>
      </c>
      <c r="P94" s="38" t="s">
        <v>1014</v>
      </c>
      <c r="Q94" s="34" t="str">
        <f>IF(MasterFees[[#This Row],[GST Basis]]="Excl",MasterFees[[#This Row],[Fee as Printed]],IF(MasterFees[[#This Row],[GST Basis]]="Incl",MasterFees[[#This Row],[Fee as Printed]]/(1+GST_Rate),""))</f>
        <v/>
      </c>
      <c r="R94" s="34" t="str">
        <f>IF(MasterFees[[#This Row],[GST Basis]]="Incl",MasterFees[[#This Row],[Fee as Printed]],IF(MasterFees[[#This Row],[GST Basis]]="Excl",MasterFees[[#This Row],[Fee as Printed]]*(1+GST_Rate),""))</f>
        <v/>
      </c>
      <c r="S94" s="35">
        <f>IF(N(MasterFees[[#This Row],[Total Units]])=0,"",MasterFees[[#This Row],[Fee as Printed]]/MasterFees[[#This Row],[Total Units]])</f>
        <v>55</v>
      </c>
      <c r="T94" s="36"/>
      <c r="U94" s="39" t="s">
        <v>1012</v>
      </c>
      <c r="V94" s="39" t="s">
        <v>1368</v>
      </c>
      <c r="W94" s="30"/>
      <c r="X94" s="73" t="s">
        <v>3159</v>
      </c>
      <c r="Y94" s="127" t="str">
        <f>_xlfn.XLOOKUP(MasterFees[[#This Row],[Provider / Payer]],Contracts[Contract Name],Contracts[Contract ID],"No contract")</f>
        <v>CON-01</v>
      </c>
      <c r="Z94" s="127" t="str">
        <f>_xlfn.XLOOKUP(MasterFees[[#This Row],[Provider / Payer]],Contracts[Contract Name],Contracts[Pricing Basis],"To confirm")</f>
        <v>To confirm</v>
      </c>
      <c r="AA94" s="127" t="str">
        <f>IF(MasterFees[[#This Row],[Pricing Basis]]="Fixed fee schedule","Yes","No")</f>
        <v>No</v>
      </c>
      <c r="AB94" s="127" t="str">
        <f>IF(OR(MasterFees[[#This Row],[Fee Basis]]="Add-on",MasterFees[[#This Row],[Fee Basis]]="Time band",MasterFees[[#This Row],[Fee Basis]]="Other"),MasterFees[[#This Row],[Fee Basis]],"Base")</f>
        <v>Base</v>
      </c>
      <c r="AC94" s="141" t="str">
        <f>IF(MasterFees[[#This Row],[Fixed Fee?]]="Yes",MasterFees[[#This Row],[Fee Excl. GST]],"")</f>
        <v/>
      </c>
    </row>
    <row r="95" spans="1:29" x14ac:dyDescent="0.2">
      <c r="A95" s="67" t="s">
        <v>2159</v>
      </c>
      <c r="B95" s="31">
        <f>IF(MasterFees[[#This Row],[RVG Code]]="","",_xlfn.XLOOKUP(MasterFees[[#This Row],[RVG Code]],RVGCodes[Code],RVGCodes[Base Units],"Code not found"))</f>
        <v>5</v>
      </c>
      <c r="C9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9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5" s="125" t="s">
        <v>2571</v>
      </c>
      <c r="F95" s="48" t="s">
        <v>2569</v>
      </c>
      <c r="G95" s="30" t="s">
        <v>275</v>
      </c>
      <c r="H95" s="37" t="s">
        <v>1095</v>
      </c>
      <c r="I95" s="37"/>
      <c r="J95" s="37" t="s">
        <v>1096</v>
      </c>
      <c r="K95" s="32">
        <v>5.7</v>
      </c>
      <c r="L95" s="32">
        <v>5.9</v>
      </c>
      <c r="M95" s="32">
        <v>0.2</v>
      </c>
      <c r="N95" s="32">
        <v>11.7</v>
      </c>
      <c r="O95" s="33">
        <v>645.15</v>
      </c>
      <c r="P95" s="38" t="s">
        <v>1014</v>
      </c>
      <c r="Q95" s="34" t="str">
        <f>IF(MasterFees[[#This Row],[GST Basis]]="Excl",MasterFees[[#This Row],[Fee as Printed]],IF(MasterFees[[#This Row],[GST Basis]]="Incl",MasterFees[[#This Row],[Fee as Printed]]/(1+GST_Rate),""))</f>
        <v/>
      </c>
      <c r="R95" s="34" t="str">
        <f>IF(MasterFees[[#This Row],[GST Basis]]="Incl",MasterFees[[#This Row],[Fee as Printed]],IF(MasterFees[[#This Row],[GST Basis]]="Excl",MasterFees[[#This Row],[Fee as Printed]]*(1+GST_Rate),""))</f>
        <v/>
      </c>
      <c r="S95" s="35">
        <f>IF(N(MasterFees[[#This Row],[Total Units]])=0,"",MasterFees[[#This Row],[Fee as Printed]]/MasterFees[[#This Row],[Total Units]])</f>
        <v>55.141025641025642</v>
      </c>
      <c r="T95" s="36"/>
      <c r="U95" s="39" t="s">
        <v>1012</v>
      </c>
      <c r="V95" s="39" t="s">
        <v>1369</v>
      </c>
      <c r="W95" s="30"/>
      <c r="X95" s="73" t="s">
        <v>3160</v>
      </c>
      <c r="Y95" s="127" t="str">
        <f>_xlfn.XLOOKUP(MasterFees[[#This Row],[Provider / Payer]],Contracts[Contract Name],Contracts[Contract ID],"No contract")</f>
        <v>CON-01</v>
      </c>
      <c r="Z95" s="127" t="str">
        <f>_xlfn.XLOOKUP(MasterFees[[#This Row],[Provider / Payer]],Contracts[Contract Name],Contracts[Pricing Basis],"To confirm")</f>
        <v>To confirm</v>
      </c>
      <c r="AA95" s="127" t="str">
        <f>IF(MasterFees[[#This Row],[Pricing Basis]]="Fixed fee schedule","Yes","No")</f>
        <v>No</v>
      </c>
      <c r="AB95" s="127" t="str">
        <f>IF(OR(MasterFees[[#This Row],[Fee Basis]]="Add-on",MasterFees[[#This Row],[Fee Basis]]="Time band",MasterFees[[#This Row],[Fee Basis]]="Other"),MasterFees[[#This Row],[Fee Basis]],"Base")</f>
        <v>Base</v>
      </c>
      <c r="AC95" s="141" t="str">
        <f>IF(MasterFees[[#This Row],[Fixed Fee?]]="Yes",MasterFees[[#This Row],[Fee Excl. GST]],"")</f>
        <v/>
      </c>
    </row>
    <row r="96" spans="1:29" x14ac:dyDescent="0.2">
      <c r="A96" s="67" t="s">
        <v>2162</v>
      </c>
      <c r="B96" s="31">
        <f>IF(MasterFees[[#This Row],[RVG Code]]="","",_xlfn.XLOOKUP(MasterFees[[#This Row],[RVG Code]],RVGCodes[Code],RVGCodes[Base Units],"Code not found"))</f>
        <v>6</v>
      </c>
      <c r="C9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9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6" s="125" t="s">
        <v>2592</v>
      </c>
      <c r="F96" s="48" t="s">
        <v>2569</v>
      </c>
      <c r="G96" s="30" t="s">
        <v>276</v>
      </c>
      <c r="H96" s="37" t="s">
        <v>1095</v>
      </c>
      <c r="I96" s="37"/>
      <c r="J96" s="37" t="s">
        <v>1096</v>
      </c>
      <c r="K96" s="32">
        <v>6.3</v>
      </c>
      <c r="L96" s="32">
        <v>6.1</v>
      </c>
      <c r="M96" s="32">
        <v>0.5</v>
      </c>
      <c r="N96" s="32">
        <v>12.8</v>
      </c>
      <c r="O96" s="33">
        <v>702.9</v>
      </c>
      <c r="P96" s="38" t="s">
        <v>1014</v>
      </c>
      <c r="Q96" s="34" t="str">
        <f>IF(MasterFees[[#This Row],[GST Basis]]="Excl",MasterFees[[#This Row],[Fee as Printed]],IF(MasterFees[[#This Row],[GST Basis]]="Incl",MasterFees[[#This Row],[Fee as Printed]]/(1+GST_Rate),""))</f>
        <v/>
      </c>
      <c r="R96" s="34" t="str">
        <f>IF(MasterFees[[#This Row],[GST Basis]]="Incl",MasterFees[[#This Row],[Fee as Printed]],IF(MasterFees[[#This Row],[GST Basis]]="Excl",MasterFees[[#This Row],[Fee as Printed]]*(1+GST_Rate),""))</f>
        <v/>
      </c>
      <c r="S96" s="35">
        <f>IF(N(MasterFees[[#This Row],[Total Units]])=0,"",MasterFees[[#This Row],[Fee as Printed]]/MasterFees[[#This Row],[Total Units]])</f>
        <v>54.914062499999993</v>
      </c>
      <c r="T96" s="36"/>
      <c r="U96" s="39" t="s">
        <v>1012</v>
      </c>
      <c r="V96" s="39" t="s">
        <v>1370</v>
      </c>
      <c r="W96" s="30"/>
      <c r="X96" s="73" t="s">
        <v>3161</v>
      </c>
      <c r="Y96" s="127" t="str">
        <f>_xlfn.XLOOKUP(MasterFees[[#This Row],[Provider / Payer]],Contracts[Contract Name],Contracts[Contract ID],"No contract")</f>
        <v>CON-01</v>
      </c>
      <c r="Z96" s="127" t="str">
        <f>_xlfn.XLOOKUP(MasterFees[[#This Row],[Provider / Payer]],Contracts[Contract Name],Contracts[Pricing Basis],"To confirm")</f>
        <v>To confirm</v>
      </c>
      <c r="AA96" s="127" t="str">
        <f>IF(MasterFees[[#This Row],[Pricing Basis]]="Fixed fee schedule","Yes","No")</f>
        <v>No</v>
      </c>
      <c r="AB96" s="127" t="str">
        <f>IF(OR(MasterFees[[#This Row],[Fee Basis]]="Add-on",MasterFees[[#This Row],[Fee Basis]]="Time band",MasterFees[[#This Row],[Fee Basis]]="Other"),MasterFees[[#This Row],[Fee Basis]],"Base")</f>
        <v>Base</v>
      </c>
      <c r="AC96" s="141" t="str">
        <f>IF(MasterFees[[#This Row],[Fixed Fee?]]="Yes",MasterFees[[#This Row],[Fee Excl. GST]],"")</f>
        <v/>
      </c>
    </row>
    <row r="97" spans="1:29" x14ac:dyDescent="0.2">
      <c r="A97" s="67" t="s">
        <v>2157</v>
      </c>
      <c r="B97" s="31">
        <f>IF(MasterFees[[#This Row],[RVG Code]]="","",_xlfn.XLOOKUP(MasterFees[[#This Row],[RVG Code]],RVGCodes[Code],RVGCodes[Base Units],"Code not found"))</f>
        <v>4</v>
      </c>
      <c r="C9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9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7" s="125" t="s">
        <v>2572</v>
      </c>
      <c r="F97" s="48" t="s">
        <v>2567</v>
      </c>
      <c r="G97" s="30" t="s">
        <v>4510</v>
      </c>
      <c r="H97" s="37" t="s">
        <v>4622</v>
      </c>
      <c r="I97" s="37" t="s">
        <v>4509</v>
      </c>
      <c r="J97" s="37" t="s">
        <v>1024</v>
      </c>
      <c r="K97" s="32"/>
      <c r="L97" s="32"/>
      <c r="M97" s="32"/>
      <c r="N97" s="32"/>
      <c r="O97" s="33">
        <v>800</v>
      </c>
      <c r="P97" s="38" t="s">
        <v>4398</v>
      </c>
      <c r="Q97" s="34">
        <f>IF(MasterFees[[#This Row],[GST Basis]]="Excl",MasterFees[[#This Row],[Fee as Printed]],IF(MasterFees[[#This Row],[GST Basis]]="Incl",MasterFees[[#This Row],[Fee as Printed]]/(1+GST_Rate),""))</f>
        <v>800</v>
      </c>
      <c r="R97" s="34">
        <f>IF(MasterFees[[#This Row],[GST Basis]]="Incl",MasterFees[[#This Row],[Fee as Printed]],IF(MasterFees[[#This Row],[GST Basis]]="Excl",MasterFees[[#This Row],[Fee as Printed]]*(1+GST_Rate),""))</f>
        <v>919.99999999999989</v>
      </c>
      <c r="S97" s="35" t="str">
        <f>IF(N(MasterFees[[#This Row],[Total Units]])=0,"",MasterFees[[#This Row],[Fee as Printed]]/MasterFees[[#This Row],[Total Units]])</f>
        <v/>
      </c>
      <c r="T97" s="36"/>
      <c r="U97" s="39" t="s">
        <v>4587</v>
      </c>
      <c r="V97" s="39" t="s">
        <v>4794</v>
      </c>
      <c r="W97" s="30" t="s">
        <v>4785</v>
      </c>
      <c r="X97" s="77" t="s">
        <v>4807</v>
      </c>
      <c r="Y97" s="127" t="str">
        <f>_xlfn.XLOOKUP(MasterFees[[#This Row],[Provider / Payer]],Contracts[Contract Name],Contracts[Contract ID],"No contract")</f>
        <v>CON-05</v>
      </c>
      <c r="Z97" s="127" t="str">
        <f>_xlfn.XLOOKUP(MasterFees[[#This Row],[Provider / Payer]],Contracts[Contract Name],Contracts[Pricing Basis],"To confirm")</f>
        <v>Fixed fee schedule</v>
      </c>
      <c r="AA97" s="127" t="str">
        <f>IF(MasterFees[[#This Row],[Pricing Basis]]="Fixed fee schedule","Yes","No")</f>
        <v>Yes</v>
      </c>
      <c r="AB97" s="127" t="str">
        <f>IF(OR(MasterFees[[#This Row],[Fee Basis]]="Add-on",MasterFees[[#This Row],[Fee Basis]]="Time band",MasterFees[[#This Row],[Fee Basis]]="Other"),MasterFees[[#This Row],[Fee Basis]],"Base")</f>
        <v>Base</v>
      </c>
      <c r="AC97" s="141">
        <f>IF(MasterFees[[#This Row],[Fixed Fee?]]="Yes",MasterFees[[#This Row],[Fee Excl. GST]],"")</f>
        <v>800</v>
      </c>
    </row>
    <row r="98" spans="1:29" x14ac:dyDescent="0.2">
      <c r="A98" s="67" t="s">
        <v>2157</v>
      </c>
      <c r="B98" s="31">
        <f>IF(MasterFees[[#This Row],[RVG Code]]="","",_xlfn.XLOOKUP(MasterFees[[#This Row],[RVG Code]],RVGCodes[Code],RVGCodes[Base Units],"Code not found"))</f>
        <v>4</v>
      </c>
      <c r="C9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9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8" s="125" t="s">
        <v>2572</v>
      </c>
      <c r="F98" s="48" t="s">
        <v>2567</v>
      </c>
      <c r="G98" s="30" t="s">
        <v>4510</v>
      </c>
      <c r="H98" s="37" t="s">
        <v>4625</v>
      </c>
      <c r="I98" s="37" t="s">
        <v>4509</v>
      </c>
      <c r="J98" s="37" t="s">
        <v>1024</v>
      </c>
      <c r="K98" s="32"/>
      <c r="L98" s="32"/>
      <c r="M98" s="32"/>
      <c r="N98" s="32"/>
      <c r="O98" s="33">
        <v>800</v>
      </c>
      <c r="P98" s="38" t="s">
        <v>4398</v>
      </c>
      <c r="Q98" s="34">
        <f>IF(MasterFees[[#This Row],[GST Basis]]="Excl",MasterFees[[#This Row],[Fee as Printed]],IF(MasterFees[[#This Row],[GST Basis]]="Incl",MasterFees[[#This Row],[Fee as Printed]]/(1+GST_Rate),""))</f>
        <v>800</v>
      </c>
      <c r="R98" s="34">
        <f>IF(MasterFees[[#This Row],[GST Basis]]="Incl",MasterFees[[#This Row],[Fee as Printed]],IF(MasterFees[[#This Row],[GST Basis]]="Excl",MasterFees[[#This Row],[Fee as Printed]]*(1+GST_Rate),""))</f>
        <v>919.99999999999989</v>
      </c>
      <c r="S98" s="35" t="str">
        <f>IF(N(MasterFees[[#This Row],[Total Units]])=0,"",MasterFees[[#This Row],[Fee as Printed]]/MasterFees[[#This Row],[Total Units]])</f>
        <v/>
      </c>
      <c r="T98" s="36"/>
      <c r="U98" s="39" t="s">
        <v>4587</v>
      </c>
      <c r="V98" s="39" t="s">
        <v>4795</v>
      </c>
      <c r="W98" s="30" t="s">
        <v>4787</v>
      </c>
      <c r="X98" s="77" t="s">
        <v>4807</v>
      </c>
      <c r="Y98" s="127" t="str">
        <f>_xlfn.XLOOKUP(MasterFees[[#This Row],[Provider / Payer]],Contracts[Contract Name],Contracts[Contract ID],"No contract")</f>
        <v>CON-06</v>
      </c>
      <c r="Z98" s="127" t="str">
        <f>_xlfn.XLOOKUP(MasterFees[[#This Row],[Provider / Payer]],Contracts[Contract Name],Contracts[Pricing Basis],"To confirm")</f>
        <v>Fixed fee schedule</v>
      </c>
      <c r="AA98" s="127" t="str">
        <f>IF(MasterFees[[#This Row],[Pricing Basis]]="Fixed fee schedule","Yes","No")</f>
        <v>Yes</v>
      </c>
      <c r="AB98" s="127" t="str">
        <f>IF(OR(MasterFees[[#This Row],[Fee Basis]]="Add-on",MasterFees[[#This Row],[Fee Basis]]="Time band",MasterFees[[#This Row],[Fee Basis]]="Other"),MasterFees[[#This Row],[Fee Basis]],"Base")</f>
        <v>Base</v>
      </c>
      <c r="AC98" s="141">
        <f>IF(MasterFees[[#This Row],[Fixed Fee?]]="Yes",MasterFees[[#This Row],[Fee Excl. GST]],"")</f>
        <v>800</v>
      </c>
    </row>
    <row r="99" spans="1:29" x14ac:dyDescent="0.2">
      <c r="A99" s="67" t="s">
        <v>2157</v>
      </c>
      <c r="B99" s="31">
        <f>IF(MasterFees[[#This Row],[RVG Code]]="","",_xlfn.XLOOKUP(MasterFees[[#This Row],[RVG Code]],RVGCodes[Code],RVGCodes[Base Units],"Code not found"))</f>
        <v>4</v>
      </c>
      <c r="C9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9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9" s="125" t="s">
        <v>2572</v>
      </c>
      <c r="F99" s="48" t="s">
        <v>2567</v>
      </c>
      <c r="G99" s="30" t="s">
        <v>4514</v>
      </c>
      <c r="H99" s="37" t="s">
        <v>4622</v>
      </c>
      <c r="I99" s="37" t="s">
        <v>4513</v>
      </c>
      <c r="J99" s="37" t="s">
        <v>1024</v>
      </c>
      <c r="K99" s="32"/>
      <c r="L99" s="32"/>
      <c r="M99" s="32"/>
      <c r="N99" s="32"/>
      <c r="O99" s="33">
        <v>700</v>
      </c>
      <c r="P99" s="38" t="s">
        <v>4398</v>
      </c>
      <c r="Q99" s="34">
        <f>IF(MasterFees[[#This Row],[GST Basis]]="Excl",MasterFees[[#This Row],[Fee as Printed]],IF(MasterFees[[#This Row],[GST Basis]]="Incl",MasterFees[[#This Row],[Fee as Printed]]/(1+GST_Rate),""))</f>
        <v>700</v>
      </c>
      <c r="R99" s="34">
        <f>IF(MasterFees[[#This Row],[GST Basis]]="Incl",MasterFees[[#This Row],[Fee as Printed]],IF(MasterFees[[#This Row],[GST Basis]]="Excl",MasterFees[[#This Row],[Fee as Printed]]*(1+GST_Rate),""))</f>
        <v>804.99999999999989</v>
      </c>
      <c r="S99" s="35" t="str">
        <f>IF(N(MasterFees[[#This Row],[Total Units]])=0,"",MasterFees[[#This Row],[Fee as Printed]]/MasterFees[[#This Row],[Total Units]])</f>
        <v/>
      </c>
      <c r="T99" s="36"/>
      <c r="U99" s="39" t="s">
        <v>4587</v>
      </c>
      <c r="V99" s="39" t="s">
        <v>4798</v>
      </c>
      <c r="W99" s="30" t="s">
        <v>4785</v>
      </c>
      <c r="X99" s="77" t="s">
        <v>4809</v>
      </c>
      <c r="Y99" s="127" t="str">
        <f>_xlfn.XLOOKUP(MasterFees[[#This Row],[Provider / Payer]],Contracts[Contract Name],Contracts[Contract ID],"No contract")</f>
        <v>CON-05</v>
      </c>
      <c r="Z99" s="127" t="str">
        <f>_xlfn.XLOOKUP(MasterFees[[#This Row],[Provider / Payer]],Contracts[Contract Name],Contracts[Pricing Basis],"To confirm")</f>
        <v>Fixed fee schedule</v>
      </c>
      <c r="AA99" s="127" t="str">
        <f>IF(MasterFees[[#This Row],[Pricing Basis]]="Fixed fee schedule","Yes","No")</f>
        <v>Yes</v>
      </c>
      <c r="AB99" s="127" t="str">
        <f>IF(OR(MasterFees[[#This Row],[Fee Basis]]="Add-on",MasterFees[[#This Row],[Fee Basis]]="Time band",MasterFees[[#This Row],[Fee Basis]]="Other"),MasterFees[[#This Row],[Fee Basis]],"Base")</f>
        <v>Base</v>
      </c>
      <c r="AC99" s="141">
        <f>IF(MasterFees[[#This Row],[Fixed Fee?]]="Yes",MasterFees[[#This Row],[Fee Excl. GST]],"")</f>
        <v>700</v>
      </c>
    </row>
    <row r="100" spans="1:29" x14ac:dyDescent="0.2">
      <c r="A100" s="67" t="s">
        <v>2157</v>
      </c>
      <c r="B100" s="31">
        <f>IF(MasterFees[[#This Row],[RVG Code]]="","",_xlfn.XLOOKUP(MasterFees[[#This Row],[RVG Code]],RVGCodes[Code],RVGCodes[Base Units],"Code not found"))</f>
        <v>4</v>
      </c>
      <c r="C10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0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0" s="125" t="s">
        <v>2572</v>
      </c>
      <c r="F100" s="48" t="s">
        <v>2567</v>
      </c>
      <c r="G100" s="30" t="s">
        <v>4514</v>
      </c>
      <c r="H100" s="37" t="s">
        <v>4625</v>
      </c>
      <c r="I100" s="37" t="s">
        <v>4513</v>
      </c>
      <c r="J100" s="37" t="s">
        <v>1024</v>
      </c>
      <c r="K100" s="32"/>
      <c r="L100" s="32"/>
      <c r="M100" s="32"/>
      <c r="N100" s="32"/>
      <c r="O100" s="33">
        <v>700</v>
      </c>
      <c r="P100" s="38" t="s">
        <v>4398</v>
      </c>
      <c r="Q100" s="34">
        <f>IF(MasterFees[[#This Row],[GST Basis]]="Excl",MasterFees[[#This Row],[Fee as Printed]],IF(MasterFees[[#This Row],[GST Basis]]="Incl",MasterFees[[#This Row],[Fee as Printed]]/(1+GST_Rate),""))</f>
        <v>700</v>
      </c>
      <c r="R100" s="34">
        <f>IF(MasterFees[[#This Row],[GST Basis]]="Incl",MasterFees[[#This Row],[Fee as Printed]],IF(MasterFees[[#This Row],[GST Basis]]="Excl",MasterFees[[#This Row],[Fee as Printed]]*(1+GST_Rate),""))</f>
        <v>804.99999999999989</v>
      </c>
      <c r="S100" s="35" t="str">
        <f>IF(N(MasterFees[[#This Row],[Total Units]])=0,"",MasterFees[[#This Row],[Fee as Printed]]/MasterFees[[#This Row],[Total Units]])</f>
        <v/>
      </c>
      <c r="T100" s="36"/>
      <c r="U100" s="39" t="s">
        <v>4587</v>
      </c>
      <c r="V100" s="39" t="s">
        <v>4799</v>
      </c>
      <c r="W100" s="30" t="s">
        <v>4787</v>
      </c>
      <c r="X100" s="77" t="s">
        <v>4809</v>
      </c>
      <c r="Y100" s="127" t="str">
        <f>_xlfn.XLOOKUP(MasterFees[[#This Row],[Provider / Payer]],Contracts[Contract Name],Contracts[Contract ID],"No contract")</f>
        <v>CON-06</v>
      </c>
      <c r="Z100" s="127" t="str">
        <f>_xlfn.XLOOKUP(MasterFees[[#This Row],[Provider / Payer]],Contracts[Contract Name],Contracts[Pricing Basis],"To confirm")</f>
        <v>Fixed fee schedule</v>
      </c>
      <c r="AA100" s="127" t="str">
        <f>IF(MasterFees[[#This Row],[Pricing Basis]]="Fixed fee schedule","Yes","No")</f>
        <v>Yes</v>
      </c>
      <c r="AB100" s="127" t="str">
        <f>IF(OR(MasterFees[[#This Row],[Fee Basis]]="Add-on",MasterFees[[#This Row],[Fee Basis]]="Time band",MasterFees[[#This Row],[Fee Basis]]="Other"),MasterFees[[#This Row],[Fee Basis]],"Base")</f>
        <v>Base</v>
      </c>
      <c r="AC100" s="141">
        <f>IF(MasterFees[[#This Row],[Fixed Fee?]]="Yes",MasterFees[[#This Row],[Fee Excl. GST]],"")</f>
        <v>700</v>
      </c>
    </row>
    <row r="101" spans="1:29" x14ac:dyDescent="0.2">
      <c r="A101" s="67" t="s">
        <v>2157</v>
      </c>
      <c r="B101" s="31">
        <f>IF(MasterFees[[#This Row],[RVG Code]]="","",_xlfn.XLOOKUP(MasterFees[[#This Row],[RVG Code]],RVGCodes[Code],RVGCodes[Base Units],"Code not found"))</f>
        <v>4</v>
      </c>
      <c r="C10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0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1" s="125" t="s">
        <v>2572</v>
      </c>
      <c r="F101" s="48" t="s">
        <v>2569</v>
      </c>
      <c r="G101" s="30" t="s">
        <v>304</v>
      </c>
      <c r="H101" s="37" t="s">
        <v>1095</v>
      </c>
      <c r="I101" s="37"/>
      <c r="J101" s="37" t="s">
        <v>1096</v>
      </c>
      <c r="K101" s="32">
        <v>4</v>
      </c>
      <c r="L101" s="32">
        <v>6</v>
      </c>
      <c r="M101" s="32">
        <v>3</v>
      </c>
      <c r="N101" s="32">
        <v>13</v>
      </c>
      <c r="O101" s="33">
        <v>715</v>
      </c>
      <c r="P101" s="38" t="s">
        <v>1014</v>
      </c>
      <c r="Q101" s="34" t="str">
        <f>IF(MasterFees[[#This Row],[GST Basis]]="Excl",MasterFees[[#This Row],[Fee as Printed]],IF(MasterFees[[#This Row],[GST Basis]]="Incl",MasterFees[[#This Row],[Fee as Printed]]/(1+GST_Rate),""))</f>
        <v/>
      </c>
      <c r="R101" s="34" t="str">
        <f>IF(MasterFees[[#This Row],[GST Basis]]="Incl",MasterFees[[#This Row],[Fee as Printed]],IF(MasterFees[[#This Row],[GST Basis]]="Excl",MasterFees[[#This Row],[Fee as Printed]]*(1+GST_Rate),""))</f>
        <v/>
      </c>
      <c r="S101" s="35">
        <f>IF(N(MasterFees[[#This Row],[Total Units]])=0,"",MasterFees[[#This Row],[Fee as Printed]]/MasterFees[[#This Row],[Total Units]])</f>
        <v>55</v>
      </c>
      <c r="T101" s="36"/>
      <c r="U101" s="39" t="s">
        <v>1012</v>
      </c>
      <c r="V101" s="39" t="s">
        <v>1398</v>
      </c>
      <c r="W101" s="30"/>
      <c r="X101" s="73" t="s">
        <v>3189</v>
      </c>
      <c r="Y101" s="127" t="str">
        <f>_xlfn.XLOOKUP(MasterFees[[#This Row],[Provider / Payer]],Contracts[Contract Name],Contracts[Contract ID],"No contract")</f>
        <v>CON-01</v>
      </c>
      <c r="Z101" s="127" t="str">
        <f>_xlfn.XLOOKUP(MasterFees[[#This Row],[Provider / Payer]],Contracts[Contract Name],Contracts[Pricing Basis],"To confirm")</f>
        <v>To confirm</v>
      </c>
      <c r="AA101" s="127" t="str">
        <f>IF(MasterFees[[#This Row],[Pricing Basis]]="Fixed fee schedule","Yes","No")</f>
        <v>No</v>
      </c>
      <c r="AB101" s="127" t="str">
        <f>IF(OR(MasterFees[[#This Row],[Fee Basis]]="Add-on",MasterFees[[#This Row],[Fee Basis]]="Time band",MasterFees[[#This Row],[Fee Basis]]="Other"),MasterFees[[#This Row],[Fee Basis]],"Base")</f>
        <v>Base</v>
      </c>
      <c r="AC101" s="141" t="str">
        <f>IF(MasterFees[[#This Row],[Fixed Fee?]]="Yes",MasterFees[[#This Row],[Fee Excl. GST]],"")</f>
        <v/>
      </c>
    </row>
    <row r="102" spans="1:29" x14ac:dyDescent="0.2">
      <c r="A102" s="67" t="s">
        <v>2157</v>
      </c>
      <c r="B102" s="31">
        <f>IF(MasterFees[[#This Row],[RVG Code]]="","",_xlfn.XLOOKUP(MasterFees[[#This Row],[RVG Code]],RVGCodes[Code],RVGCodes[Base Units],"Code not found"))</f>
        <v>4</v>
      </c>
      <c r="C10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0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2" s="125" t="s">
        <v>2572</v>
      </c>
      <c r="F102" s="48" t="s">
        <v>2567</v>
      </c>
      <c r="G102" s="30" t="s">
        <v>320</v>
      </c>
      <c r="H102" s="37" t="s">
        <v>1095</v>
      </c>
      <c r="I102" s="37"/>
      <c r="J102" s="37" t="s">
        <v>1096</v>
      </c>
      <c r="K102" s="32">
        <v>4</v>
      </c>
      <c r="L102" s="32">
        <v>3</v>
      </c>
      <c r="M102" s="32">
        <v>0</v>
      </c>
      <c r="N102" s="32">
        <v>7</v>
      </c>
      <c r="O102" s="33">
        <v>385</v>
      </c>
      <c r="P102" s="38" t="s">
        <v>1014</v>
      </c>
      <c r="Q102" s="34" t="str">
        <f>IF(MasterFees[[#This Row],[GST Basis]]="Excl",MasterFees[[#This Row],[Fee as Printed]],IF(MasterFees[[#This Row],[GST Basis]]="Incl",MasterFees[[#This Row],[Fee as Printed]]/(1+GST_Rate),""))</f>
        <v/>
      </c>
      <c r="R102" s="34" t="str">
        <f>IF(MasterFees[[#This Row],[GST Basis]]="Incl",MasterFees[[#This Row],[Fee as Printed]],IF(MasterFees[[#This Row],[GST Basis]]="Excl",MasterFees[[#This Row],[Fee as Printed]]*(1+GST_Rate),""))</f>
        <v/>
      </c>
      <c r="S102" s="35">
        <f>IF(N(MasterFees[[#This Row],[Total Units]])=0,"",MasterFees[[#This Row],[Fee as Printed]]/MasterFees[[#This Row],[Total Units]])</f>
        <v>55</v>
      </c>
      <c r="T102" s="36"/>
      <c r="U102" s="39" t="s">
        <v>1012</v>
      </c>
      <c r="V102" s="39" t="s">
        <v>1414</v>
      </c>
      <c r="W102" s="30"/>
      <c r="X102" s="73" t="s">
        <v>3206</v>
      </c>
      <c r="Y102" s="127" t="str">
        <f>_xlfn.XLOOKUP(MasterFees[[#This Row],[Provider / Payer]],Contracts[Contract Name],Contracts[Contract ID],"No contract")</f>
        <v>CON-01</v>
      </c>
      <c r="Z102" s="127" t="str">
        <f>_xlfn.XLOOKUP(MasterFees[[#This Row],[Provider / Payer]],Contracts[Contract Name],Contracts[Pricing Basis],"To confirm")</f>
        <v>To confirm</v>
      </c>
      <c r="AA102" s="127" t="str">
        <f>IF(MasterFees[[#This Row],[Pricing Basis]]="Fixed fee schedule","Yes","No")</f>
        <v>No</v>
      </c>
      <c r="AB102" s="127" t="str">
        <f>IF(OR(MasterFees[[#This Row],[Fee Basis]]="Add-on",MasterFees[[#This Row],[Fee Basis]]="Time band",MasterFees[[#This Row],[Fee Basis]]="Other"),MasterFees[[#This Row],[Fee Basis]],"Base")</f>
        <v>Base</v>
      </c>
      <c r="AC102" s="141" t="str">
        <f>IF(MasterFees[[#This Row],[Fixed Fee?]]="Yes",MasterFees[[#This Row],[Fee Excl. GST]],"")</f>
        <v/>
      </c>
    </row>
    <row r="103" spans="1:29" x14ac:dyDescent="0.2">
      <c r="A103" s="67" t="s">
        <v>2157</v>
      </c>
      <c r="B103" s="31">
        <f>IF(MasterFees[[#This Row],[RVG Code]]="","",_xlfn.XLOOKUP(MasterFees[[#This Row],[RVG Code]],RVGCodes[Code],RVGCodes[Base Units],"Code not found"))</f>
        <v>4</v>
      </c>
      <c r="C10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0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3" s="125" t="s">
        <v>2572</v>
      </c>
      <c r="F103" s="48" t="s">
        <v>2567</v>
      </c>
      <c r="G103" s="30" t="s">
        <v>4550</v>
      </c>
      <c r="H103" s="37" t="s">
        <v>4622</v>
      </c>
      <c r="I103" s="37" t="s">
        <v>4549</v>
      </c>
      <c r="J103" s="37" t="s">
        <v>1024</v>
      </c>
      <c r="K103" s="32"/>
      <c r="L103" s="32"/>
      <c r="M103" s="32"/>
      <c r="N103" s="32"/>
      <c r="O103" s="33">
        <v>800</v>
      </c>
      <c r="P103" s="38" t="s">
        <v>4398</v>
      </c>
      <c r="Q103" s="34">
        <f>IF(MasterFees[[#This Row],[GST Basis]]="Excl",MasterFees[[#This Row],[Fee as Printed]],IF(MasterFees[[#This Row],[GST Basis]]="Incl",MasterFees[[#This Row],[Fee as Printed]]/(1+GST_Rate),""))</f>
        <v>800</v>
      </c>
      <c r="R103" s="34">
        <f>IF(MasterFees[[#This Row],[GST Basis]]="Incl",MasterFees[[#This Row],[Fee as Printed]],IF(MasterFees[[#This Row],[GST Basis]]="Excl",MasterFees[[#This Row],[Fee as Printed]]*(1+GST_Rate),""))</f>
        <v>919.99999999999989</v>
      </c>
      <c r="S103" s="35" t="str">
        <f>IF(N(MasterFees[[#This Row],[Total Units]])=0,"",MasterFees[[#This Row],[Fee as Printed]]/MasterFees[[#This Row],[Total Units]])</f>
        <v/>
      </c>
      <c r="T103" s="36"/>
      <c r="U103" s="39" t="s">
        <v>4587</v>
      </c>
      <c r="V103" s="39" t="s">
        <v>4742</v>
      </c>
      <c r="W103" s="30" t="s">
        <v>4727</v>
      </c>
      <c r="X103" s="77" t="s">
        <v>4827</v>
      </c>
      <c r="Y103" s="127" t="str">
        <f>_xlfn.XLOOKUP(MasterFees[[#This Row],[Provider / Payer]],Contracts[Contract Name],Contracts[Contract ID],"No contract")</f>
        <v>CON-05</v>
      </c>
      <c r="Z103" s="127" t="str">
        <f>_xlfn.XLOOKUP(MasterFees[[#This Row],[Provider / Payer]],Contracts[Contract Name],Contracts[Pricing Basis],"To confirm")</f>
        <v>Fixed fee schedule</v>
      </c>
      <c r="AA103" s="127" t="str">
        <f>IF(MasterFees[[#This Row],[Pricing Basis]]="Fixed fee schedule","Yes","No")</f>
        <v>Yes</v>
      </c>
      <c r="AB103" s="127" t="str">
        <f>IF(OR(MasterFees[[#This Row],[Fee Basis]]="Add-on",MasterFees[[#This Row],[Fee Basis]]="Time band",MasterFees[[#This Row],[Fee Basis]]="Other"),MasterFees[[#This Row],[Fee Basis]],"Base")</f>
        <v>Base</v>
      </c>
      <c r="AC103" s="141">
        <f>IF(MasterFees[[#This Row],[Fixed Fee?]]="Yes",MasterFees[[#This Row],[Fee Excl. GST]],"")</f>
        <v>800</v>
      </c>
    </row>
    <row r="104" spans="1:29" x14ac:dyDescent="0.2">
      <c r="A104" s="67" t="s">
        <v>2157</v>
      </c>
      <c r="B104" s="31">
        <f>IF(MasterFees[[#This Row],[RVG Code]]="","",_xlfn.XLOOKUP(MasterFees[[#This Row],[RVG Code]],RVGCodes[Code],RVGCodes[Base Units],"Code not found"))</f>
        <v>4</v>
      </c>
      <c r="C10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0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4" s="125" t="s">
        <v>2572</v>
      </c>
      <c r="F104" s="48" t="s">
        <v>2567</v>
      </c>
      <c r="G104" s="30" t="s">
        <v>4550</v>
      </c>
      <c r="H104" s="37" t="s">
        <v>4625</v>
      </c>
      <c r="I104" s="37" t="s">
        <v>4549</v>
      </c>
      <c r="J104" s="37" t="s">
        <v>1024</v>
      </c>
      <c r="K104" s="32"/>
      <c r="L104" s="32"/>
      <c r="M104" s="32"/>
      <c r="N104" s="32"/>
      <c r="O104" s="33">
        <v>800</v>
      </c>
      <c r="P104" s="38" t="s">
        <v>4398</v>
      </c>
      <c r="Q104" s="34">
        <f>IF(MasterFees[[#This Row],[GST Basis]]="Excl",MasterFees[[#This Row],[Fee as Printed]],IF(MasterFees[[#This Row],[GST Basis]]="Incl",MasterFees[[#This Row],[Fee as Printed]]/(1+GST_Rate),""))</f>
        <v>800</v>
      </c>
      <c r="R104" s="34">
        <f>IF(MasterFees[[#This Row],[GST Basis]]="Incl",MasterFees[[#This Row],[Fee as Printed]],IF(MasterFees[[#This Row],[GST Basis]]="Excl",MasterFees[[#This Row],[Fee as Printed]]*(1+GST_Rate),""))</f>
        <v>919.99999999999989</v>
      </c>
      <c r="S104" s="35" t="str">
        <f>IF(N(MasterFees[[#This Row],[Total Units]])=0,"",MasterFees[[#This Row],[Fee as Printed]]/MasterFees[[#This Row],[Total Units]])</f>
        <v/>
      </c>
      <c r="T104" s="36"/>
      <c r="U104" s="39" t="s">
        <v>4587</v>
      </c>
      <c r="V104" s="39" t="s">
        <v>4743</v>
      </c>
      <c r="W104" s="30" t="s">
        <v>4729</v>
      </c>
      <c r="X104" s="77" t="s">
        <v>4827</v>
      </c>
      <c r="Y104" s="127" t="str">
        <f>_xlfn.XLOOKUP(MasterFees[[#This Row],[Provider / Payer]],Contracts[Contract Name],Contracts[Contract ID],"No contract")</f>
        <v>CON-06</v>
      </c>
      <c r="Z104" s="127" t="str">
        <f>_xlfn.XLOOKUP(MasterFees[[#This Row],[Provider / Payer]],Contracts[Contract Name],Contracts[Pricing Basis],"To confirm")</f>
        <v>Fixed fee schedule</v>
      </c>
      <c r="AA104" s="127" t="str">
        <f>IF(MasterFees[[#This Row],[Pricing Basis]]="Fixed fee schedule","Yes","No")</f>
        <v>Yes</v>
      </c>
      <c r="AB104" s="127" t="str">
        <f>IF(OR(MasterFees[[#This Row],[Fee Basis]]="Add-on",MasterFees[[#This Row],[Fee Basis]]="Time band",MasterFees[[#This Row],[Fee Basis]]="Other"),MasterFees[[#This Row],[Fee Basis]],"Base")</f>
        <v>Base</v>
      </c>
      <c r="AC104" s="141">
        <f>IF(MasterFees[[#This Row],[Fixed Fee?]]="Yes",MasterFees[[#This Row],[Fee Excl. GST]],"")</f>
        <v>800</v>
      </c>
    </row>
    <row r="105" spans="1:29" x14ac:dyDescent="0.2">
      <c r="A105" s="67" t="s">
        <v>2157</v>
      </c>
      <c r="B105" s="31">
        <f>IF(MasterFees[[#This Row],[RVG Code]]="","",_xlfn.XLOOKUP(MasterFees[[#This Row],[RVG Code]],RVGCodes[Code],RVGCodes[Base Units],"Code not found"))</f>
        <v>4</v>
      </c>
      <c r="C10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0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5" s="125" t="s">
        <v>2572</v>
      </c>
      <c r="F105" s="48" t="s">
        <v>2569</v>
      </c>
      <c r="G105" s="30" t="s">
        <v>321</v>
      </c>
      <c r="H105" s="37" t="s">
        <v>1095</v>
      </c>
      <c r="I105" s="37"/>
      <c r="J105" s="37" t="s">
        <v>1096</v>
      </c>
      <c r="K105" s="32">
        <v>4</v>
      </c>
      <c r="L105" s="32">
        <v>5</v>
      </c>
      <c r="M105" s="32">
        <v>1</v>
      </c>
      <c r="N105" s="32">
        <v>10</v>
      </c>
      <c r="O105" s="33">
        <v>550</v>
      </c>
      <c r="P105" s="38" t="s">
        <v>1014</v>
      </c>
      <c r="Q105" s="34" t="str">
        <f>IF(MasterFees[[#This Row],[GST Basis]]="Excl",MasterFees[[#This Row],[Fee as Printed]],IF(MasterFees[[#This Row],[GST Basis]]="Incl",MasterFees[[#This Row],[Fee as Printed]]/(1+GST_Rate),""))</f>
        <v/>
      </c>
      <c r="R105" s="34" t="str">
        <f>IF(MasterFees[[#This Row],[GST Basis]]="Incl",MasterFees[[#This Row],[Fee as Printed]],IF(MasterFees[[#This Row],[GST Basis]]="Excl",MasterFees[[#This Row],[Fee as Printed]]*(1+GST_Rate),""))</f>
        <v/>
      </c>
      <c r="S105" s="35">
        <f>IF(N(MasterFees[[#This Row],[Total Units]])=0,"",MasterFees[[#This Row],[Fee as Printed]]/MasterFees[[#This Row],[Total Units]])</f>
        <v>55</v>
      </c>
      <c r="T105" s="36"/>
      <c r="U105" s="39" t="s">
        <v>1012</v>
      </c>
      <c r="V105" s="39" t="s">
        <v>1415</v>
      </c>
      <c r="W105" s="30"/>
      <c r="X105" s="73" t="s">
        <v>3207</v>
      </c>
      <c r="Y105" s="127" t="str">
        <f>_xlfn.XLOOKUP(MasterFees[[#This Row],[Provider / Payer]],Contracts[Contract Name],Contracts[Contract ID],"No contract")</f>
        <v>CON-01</v>
      </c>
      <c r="Z105" s="127" t="str">
        <f>_xlfn.XLOOKUP(MasterFees[[#This Row],[Provider / Payer]],Contracts[Contract Name],Contracts[Pricing Basis],"To confirm")</f>
        <v>To confirm</v>
      </c>
      <c r="AA105" s="127" t="str">
        <f>IF(MasterFees[[#This Row],[Pricing Basis]]="Fixed fee schedule","Yes","No")</f>
        <v>No</v>
      </c>
      <c r="AB105" s="127" t="str">
        <f>IF(OR(MasterFees[[#This Row],[Fee Basis]]="Add-on",MasterFees[[#This Row],[Fee Basis]]="Time band",MasterFees[[#This Row],[Fee Basis]]="Other"),MasterFees[[#This Row],[Fee Basis]],"Base")</f>
        <v>Base</v>
      </c>
      <c r="AC105" s="141" t="str">
        <f>IF(MasterFees[[#This Row],[Fixed Fee?]]="Yes",MasterFees[[#This Row],[Fee Excl. GST]],"")</f>
        <v/>
      </c>
    </row>
    <row r="106" spans="1:29" x14ac:dyDescent="0.2">
      <c r="A106" s="67" t="s">
        <v>2157</v>
      </c>
      <c r="B106" s="31">
        <f>IF(MasterFees[[#This Row],[RVG Code]]="","",_xlfn.XLOOKUP(MasterFees[[#This Row],[RVG Code]],RVGCodes[Code],RVGCodes[Base Units],"Code not found"))</f>
        <v>4</v>
      </c>
      <c r="C10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0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6" s="125" t="s">
        <v>2572</v>
      </c>
      <c r="F106" s="48" t="s">
        <v>2569</v>
      </c>
      <c r="G106" s="30" t="s">
        <v>322</v>
      </c>
      <c r="H106" s="37" t="s">
        <v>1095</v>
      </c>
      <c r="I106" s="37"/>
      <c r="J106" s="37" t="s">
        <v>1096</v>
      </c>
      <c r="K106" s="32">
        <v>0</v>
      </c>
      <c r="L106" s="32">
        <v>0</v>
      </c>
      <c r="M106" s="32">
        <v>0</v>
      </c>
      <c r="N106" s="32">
        <v>0</v>
      </c>
      <c r="O106" s="33">
        <v>0</v>
      </c>
      <c r="P106" s="38" t="s">
        <v>1014</v>
      </c>
      <c r="Q106" s="34" t="str">
        <f>IF(MasterFees[[#This Row],[GST Basis]]="Excl",MasterFees[[#This Row],[Fee as Printed]],IF(MasterFees[[#This Row],[GST Basis]]="Incl",MasterFees[[#This Row],[Fee as Printed]]/(1+GST_Rate),""))</f>
        <v/>
      </c>
      <c r="R106" s="34" t="str">
        <f>IF(MasterFees[[#This Row],[GST Basis]]="Incl",MasterFees[[#This Row],[Fee as Printed]],IF(MasterFees[[#This Row],[GST Basis]]="Excl",MasterFees[[#This Row],[Fee as Printed]]*(1+GST_Rate),""))</f>
        <v/>
      </c>
      <c r="S106" s="35" t="str">
        <f>IF(N(MasterFees[[#This Row],[Total Units]])=0,"",MasterFees[[#This Row],[Fee as Printed]]/MasterFees[[#This Row],[Total Units]])</f>
        <v/>
      </c>
      <c r="T106" s="36"/>
      <c r="U106" s="39" t="s">
        <v>1012</v>
      </c>
      <c r="V106" s="39" t="s">
        <v>1416</v>
      </c>
      <c r="W106" s="30"/>
      <c r="X106" s="73" t="s">
        <v>3208</v>
      </c>
      <c r="Y106" s="127" t="str">
        <f>_xlfn.XLOOKUP(MasterFees[[#This Row],[Provider / Payer]],Contracts[Contract Name],Contracts[Contract ID],"No contract")</f>
        <v>CON-01</v>
      </c>
      <c r="Z106" s="127" t="str">
        <f>_xlfn.XLOOKUP(MasterFees[[#This Row],[Provider / Payer]],Contracts[Contract Name],Contracts[Pricing Basis],"To confirm")</f>
        <v>To confirm</v>
      </c>
      <c r="AA106" s="127" t="str">
        <f>IF(MasterFees[[#This Row],[Pricing Basis]]="Fixed fee schedule","Yes","No")</f>
        <v>No</v>
      </c>
      <c r="AB106" s="127" t="str">
        <f>IF(OR(MasterFees[[#This Row],[Fee Basis]]="Add-on",MasterFees[[#This Row],[Fee Basis]]="Time band",MasterFees[[#This Row],[Fee Basis]]="Other"),MasterFees[[#This Row],[Fee Basis]],"Base")</f>
        <v>Base</v>
      </c>
      <c r="AC106" s="141" t="str">
        <f>IF(MasterFees[[#This Row],[Fixed Fee?]]="Yes",MasterFees[[#This Row],[Fee Excl. GST]],"")</f>
        <v/>
      </c>
    </row>
    <row r="107" spans="1:29" x14ac:dyDescent="0.2">
      <c r="A107" s="67" t="s">
        <v>2162</v>
      </c>
      <c r="B107" s="31">
        <f>IF(MasterFees[[#This Row],[RVG Code]]="","",_xlfn.XLOOKUP(MasterFees[[#This Row],[RVG Code]],RVGCodes[Code],RVGCodes[Base Units],"Code not found"))</f>
        <v>6</v>
      </c>
      <c r="C10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0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7" s="125" t="s">
        <v>2592</v>
      </c>
      <c r="F107" s="48" t="s">
        <v>2567</v>
      </c>
      <c r="G107" s="30" t="s">
        <v>330</v>
      </c>
      <c r="H107" s="37" t="s">
        <v>1095</v>
      </c>
      <c r="I107" s="37"/>
      <c r="J107" s="37" t="s">
        <v>1096</v>
      </c>
      <c r="K107" s="32">
        <v>2.7</v>
      </c>
      <c r="L107" s="32">
        <v>8.8000000000000007</v>
      </c>
      <c r="M107" s="32">
        <v>0.2</v>
      </c>
      <c r="N107" s="32">
        <v>11.7</v>
      </c>
      <c r="O107" s="33">
        <v>640.75</v>
      </c>
      <c r="P107" s="38" t="s">
        <v>1014</v>
      </c>
      <c r="Q107" s="34" t="str">
        <f>IF(MasterFees[[#This Row],[GST Basis]]="Excl",MasterFees[[#This Row],[Fee as Printed]],IF(MasterFees[[#This Row],[GST Basis]]="Incl",MasterFees[[#This Row],[Fee as Printed]]/(1+GST_Rate),""))</f>
        <v/>
      </c>
      <c r="R107" s="34" t="str">
        <f>IF(MasterFees[[#This Row],[GST Basis]]="Incl",MasterFees[[#This Row],[Fee as Printed]],IF(MasterFees[[#This Row],[GST Basis]]="Excl",MasterFees[[#This Row],[Fee as Printed]]*(1+GST_Rate),""))</f>
        <v/>
      </c>
      <c r="S107" s="35">
        <f>IF(N(MasterFees[[#This Row],[Total Units]])=0,"",MasterFees[[#This Row],[Fee as Printed]]/MasterFees[[#This Row],[Total Units]])</f>
        <v>54.764957264957268</v>
      </c>
      <c r="T107" s="36"/>
      <c r="U107" s="39" t="s">
        <v>1012</v>
      </c>
      <c r="V107" s="39" t="s">
        <v>1424</v>
      </c>
      <c r="W107" s="30"/>
      <c r="X107" s="73" t="s">
        <v>3216</v>
      </c>
      <c r="Y107" s="127" t="str">
        <f>_xlfn.XLOOKUP(MasterFees[[#This Row],[Provider / Payer]],Contracts[Contract Name],Contracts[Contract ID],"No contract")</f>
        <v>CON-01</v>
      </c>
      <c r="Z107" s="127" t="str">
        <f>_xlfn.XLOOKUP(MasterFees[[#This Row],[Provider / Payer]],Contracts[Contract Name],Contracts[Pricing Basis],"To confirm")</f>
        <v>To confirm</v>
      </c>
      <c r="AA107" s="127" t="str">
        <f>IF(MasterFees[[#This Row],[Pricing Basis]]="Fixed fee schedule","Yes","No")</f>
        <v>No</v>
      </c>
      <c r="AB107" s="127" t="str">
        <f>IF(OR(MasterFees[[#This Row],[Fee Basis]]="Add-on",MasterFees[[#This Row],[Fee Basis]]="Time band",MasterFees[[#This Row],[Fee Basis]]="Other"),MasterFees[[#This Row],[Fee Basis]],"Base")</f>
        <v>Base</v>
      </c>
      <c r="AC107" s="141" t="str">
        <f>IF(MasterFees[[#This Row],[Fixed Fee?]]="Yes",MasterFees[[#This Row],[Fee Excl. GST]],"")</f>
        <v/>
      </c>
    </row>
    <row r="108" spans="1:29" x14ac:dyDescent="0.2">
      <c r="A108" s="67" t="s">
        <v>2162</v>
      </c>
      <c r="B108" s="31">
        <f>IF(MasterFees[[#This Row],[RVG Code]]="","",_xlfn.XLOOKUP(MasterFees[[#This Row],[RVG Code]],RVGCodes[Code],RVGCodes[Base Units],"Code not found"))</f>
        <v>6</v>
      </c>
      <c r="C10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0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8" s="125" t="s">
        <v>2592</v>
      </c>
      <c r="F108" s="48" t="s">
        <v>2569</v>
      </c>
      <c r="G108" s="30" t="s">
        <v>331</v>
      </c>
      <c r="H108" s="37" t="s">
        <v>1095</v>
      </c>
      <c r="I108" s="37"/>
      <c r="J108" s="37" t="s">
        <v>1096</v>
      </c>
      <c r="K108" s="32">
        <v>5.8</v>
      </c>
      <c r="L108" s="32">
        <v>10.6</v>
      </c>
      <c r="M108" s="32">
        <v>0.2</v>
      </c>
      <c r="N108" s="32">
        <v>16.5</v>
      </c>
      <c r="O108" s="33">
        <v>908.6</v>
      </c>
      <c r="P108" s="38" t="s">
        <v>1014</v>
      </c>
      <c r="Q108" s="34" t="str">
        <f>IF(MasterFees[[#This Row],[GST Basis]]="Excl",MasterFees[[#This Row],[Fee as Printed]],IF(MasterFees[[#This Row],[GST Basis]]="Incl",MasterFees[[#This Row],[Fee as Printed]]/(1+GST_Rate),""))</f>
        <v/>
      </c>
      <c r="R108" s="34" t="str">
        <f>IF(MasterFees[[#This Row],[GST Basis]]="Incl",MasterFees[[#This Row],[Fee as Printed]],IF(MasterFees[[#This Row],[GST Basis]]="Excl",MasterFees[[#This Row],[Fee as Printed]]*(1+GST_Rate),""))</f>
        <v/>
      </c>
      <c r="S108" s="35">
        <f>IF(N(MasterFees[[#This Row],[Total Units]])=0,"",MasterFees[[#This Row],[Fee as Printed]]/MasterFees[[#This Row],[Total Units]])</f>
        <v>55.06666666666667</v>
      </c>
      <c r="T108" s="36"/>
      <c r="U108" s="39" t="s">
        <v>1012</v>
      </c>
      <c r="V108" s="39" t="s">
        <v>1425</v>
      </c>
      <c r="W108" s="30"/>
      <c r="X108" s="73" t="s">
        <v>3217</v>
      </c>
      <c r="Y108" s="127" t="str">
        <f>_xlfn.XLOOKUP(MasterFees[[#This Row],[Provider / Payer]],Contracts[Contract Name],Contracts[Contract ID],"No contract")</f>
        <v>CON-01</v>
      </c>
      <c r="Z108" s="127" t="str">
        <f>_xlfn.XLOOKUP(MasterFees[[#This Row],[Provider / Payer]],Contracts[Contract Name],Contracts[Pricing Basis],"To confirm")</f>
        <v>To confirm</v>
      </c>
      <c r="AA108" s="127" t="str">
        <f>IF(MasterFees[[#This Row],[Pricing Basis]]="Fixed fee schedule","Yes","No")</f>
        <v>No</v>
      </c>
      <c r="AB108" s="127" t="str">
        <f>IF(OR(MasterFees[[#This Row],[Fee Basis]]="Add-on",MasterFees[[#This Row],[Fee Basis]]="Time band",MasterFees[[#This Row],[Fee Basis]]="Other"),MasterFees[[#This Row],[Fee Basis]],"Base")</f>
        <v>Base</v>
      </c>
      <c r="AC108" s="141" t="str">
        <f>IF(MasterFees[[#This Row],[Fixed Fee?]]="Yes",MasterFees[[#This Row],[Fee Excl. GST]],"")</f>
        <v/>
      </c>
    </row>
    <row r="109" spans="1:29" x14ac:dyDescent="0.2">
      <c r="A109" s="67" t="s">
        <v>2162</v>
      </c>
      <c r="B109" s="31">
        <f>IF(MasterFees[[#This Row],[RVG Code]]="","",_xlfn.XLOOKUP(MasterFees[[#This Row],[RVG Code]],RVGCodes[Code],RVGCodes[Base Units],"Code not found"))</f>
        <v>6</v>
      </c>
      <c r="C10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0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9" s="125" t="s">
        <v>2592</v>
      </c>
      <c r="F109" s="48" t="s">
        <v>2569</v>
      </c>
      <c r="G109" s="30" t="s">
        <v>331</v>
      </c>
      <c r="H109" s="37" t="s">
        <v>1095</v>
      </c>
      <c r="I109" s="37"/>
      <c r="J109" s="37" t="s">
        <v>1096</v>
      </c>
      <c r="K109" s="32">
        <v>5.8</v>
      </c>
      <c r="L109" s="32">
        <v>10.6</v>
      </c>
      <c r="M109" s="32">
        <v>0.2</v>
      </c>
      <c r="N109" s="32">
        <v>16.5</v>
      </c>
      <c r="O109" s="33">
        <v>908.6</v>
      </c>
      <c r="P109" s="38" t="s">
        <v>1014</v>
      </c>
      <c r="Q109" s="34" t="str">
        <f>IF(MasterFees[[#This Row],[GST Basis]]="Excl",MasterFees[[#This Row],[Fee as Printed]],IF(MasterFees[[#This Row],[GST Basis]]="Incl",MasterFees[[#This Row],[Fee as Printed]]/(1+GST_Rate),""))</f>
        <v/>
      </c>
      <c r="R109" s="34" t="str">
        <f>IF(MasterFees[[#This Row],[GST Basis]]="Incl",MasterFees[[#This Row],[Fee as Printed]],IF(MasterFees[[#This Row],[GST Basis]]="Excl",MasterFees[[#This Row],[Fee as Printed]]*(1+GST_Rate),""))</f>
        <v/>
      </c>
      <c r="S109" s="35">
        <f>IF(N(MasterFees[[#This Row],[Total Units]])=0,"",MasterFees[[#This Row],[Fee as Printed]]/MasterFees[[#This Row],[Total Units]])</f>
        <v>55.06666666666667</v>
      </c>
      <c r="T109" s="36"/>
      <c r="U109" s="39" t="s">
        <v>1012</v>
      </c>
      <c r="V109" s="39" t="s">
        <v>1426</v>
      </c>
      <c r="W109" s="30"/>
      <c r="X109" s="73" t="s">
        <v>3218</v>
      </c>
      <c r="Y109" s="127" t="str">
        <f>_xlfn.XLOOKUP(MasterFees[[#This Row],[Provider / Payer]],Contracts[Contract Name],Contracts[Contract ID],"No contract")</f>
        <v>CON-01</v>
      </c>
      <c r="Z109" s="127" t="str">
        <f>_xlfn.XLOOKUP(MasterFees[[#This Row],[Provider / Payer]],Contracts[Contract Name],Contracts[Pricing Basis],"To confirm")</f>
        <v>To confirm</v>
      </c>
      <c r="AA109" s="127" t="str">
        <f>IF(MasterFees[[#This Row],[Pricing Basis]]="Fixed fee schedule","Yes","No")</f>
        <v>No</v>
      </c>
      <c r="AB109" s="127" t="str">
        <f>IF(OR(MasterFees[[#This Row],[Fee Basis]]="Add-on",MasterFees[[#This Row],[Fee Basis]]="Time band",MasterFees[[#This Row],[Fee Basis]]="Other"),MasterFees[[#This Row],[Fee Basis]],"Base")</f>
        <v>Base</v>
      </c>
      <c r="AC109" s="141" t="str">
        <f>IF(MasterFees[[#This Row],[Fixed Fee?]]="Yes",MasterFees[[#This Row],[Fee Excl. GST]],"")</f>
        <v/>
      </c>
    </row>
    <row r="110" spans="1:29" x14ac:dyDescent="0.2">
      <c r="A110" s="67" t="s">
        <v>2162</v>
      </c>
      <c r="B110" s="31">
        <f>IF(MasterFees[[#This Row],[RVG Code]]="","",_xlfn.XLOOKUP(MasterFees[[#This Row],[RVG Code]],RVGCodes[Code],RVGCodes[Base Units],"Code not found"))</f>
        <v>6</v>
      </c>
      <c r="C11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1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10" s="125" t="s">
        <v>2592</v>
      </c>
      <c r="F110" s="48" t="s">
        <v>2569</v>
      </c>
      <c r="G110" s="30" t="s">
        <v>332</v>
      </c>
      <c r="H110" s="37" t="s">
        <v>1095</v>
      </c>
      <c r="I110" s="37"/>
      <c r="J110" s="37" t="s">
        <v>1096</v>
      </c>
      <c r="K110" s="32">
        <v>6</v>
      </c>
      <c r="L110" s="32">
        <v>9</v>
      </c>
      <c r="M110" s="32">
        <v>0.4</v>
      </c>
      <c r="N110" s="32">
        <v>15.4</v>
      </c>
      <c r="O110" s="33">
        <v>847</v>
      </c>
      <c r="P110" s="38" t="s">
        <v>1014</v>
      </c>
      <c r="Q110" s="34" t="str">
        <f>IF(MasterFees[[#This Row],[GST Basis]]="Excl",MasterFees[[#This Row],[Fee as Printed]],IF(MasterFees[[#This Row],[GST Basis]]="Incl",MasterFees[[#This Row],[Fee as Printed]]/(1+GST_Rate),""))</f>
        <v/>
      </c>
      <c r="R110" s="34" t="str">
        <f>IF(MasterFees[[#This Row],[GST Basis]]="Incl",MasterFees[[#This Row],[Fee as Printed]],IF(MasterFees[[#This Row],[GST Basis]]="Excl",MasterFees[[#This Row],[Fee as Printed]]*(1+GST_Rate),""))</f>
        <v/>
      </c>
      <c r="S110" s="35">
        <f>IF(N(MasterFees[[#This Row],[Total Units]])=0,"",MasterFees[[#This Row],[Fee as Printed]]/MasterFees[[#This Row],[Total Units]])</f>
        <v>55</v>
      </c>
      <c r="T110" s="36"/>
      <c r="U110" s="39" t="s">
        <v>1012</v>
      </c>
      <c r="V110" s="39" t="s">
        <v>1427</v>
      </c>
      <c r="W110" s="30"/>
      <c r="X110" s="73" t="s">
        <v>3219</v>
      </c>
      <c r="Y110" s="127" t="str">
        <f>_xlfn.XLOOKUP(MasterFees[[#This Row],[Provider / Payer]],Contracts[Contract Name],Contracts[Contract ID],"No contract")</f>
        <v>CON-01</v>
      </c>
      <c r="Z110" s="127" t="str">
        <f>_xlfn.XLOOKUP(MasterFees[[#This Row],[Provider / Payer]],Contracts[Contract Name],Contracts[Pricing Basis],"To confirm")</f>
        <v>To confirm</v>
      </c>
      <c r="AA110" s="127" t="str">
        <f>IF(MasterFees[[#This Row],[Pricing Basis]]="Fixed fee schedule","Yes","No")</f>
        <v>No</v>
      </c>
      <c r="AB110" s="127" t="str">
        <f>IF(OR(MasterFees[[#This Row],[Fee Basis]]="Add-on",MasterFees[[#This Row],[Fee Basis]]="Time band",MasterFees[[#This Row],[Fee Basis]]="Other"),MasterFees[[#This Row],[Fee Basis]],"Base")</f>
        <v>Base</v>
      </c>
      <c r="AC110" s="141" t="str">
        <f>IF(MasterFees[[#This Row],[Fixed Fee?]]="Yes",MasterFees[[#This Row],[Fee Excl. GST]],"")</f>
        <v/>
      </c>
    </row>
    <row r="111" spans="1:29" x14ac:dyDescent="0.2">
      <c r="A111" s="67" t="s">
        <v>2162</v>
      </c>
      <c r="B111" s="31">
        <f>IF(MasterFees[[#This Row],[RVG Code]]="","",_xlfn.XLOOKUP(MasterFees[[#This Row],[RVG Code]],RVGCodes[Code],RVGCodes[Base Units],"Code not found"))</f>
        <v>6</v>
      </c>
      <c r="C11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1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11" s="125" t="s">
        <v>2592</v>
      </c>
      <c r="F111" s="48" t="s">
        <v>2569</v>
      </c>
      <c r="G111" s="30" t="s">
        <v>333</v>
      </c>
      <c r="H111" s="37" t="s">
        <v>1095</v>
      </c>
      <c r="I111" s="37"/>
      <c r="J111" s="37" t="s">
        <v>1096</v>
      </c>
      <c r="K111" s="32">
        <v>0</v>
      </c>
      <c r="L111" s="32">
        <v>0</v>
      </c>
      <c r="M111" s="32">
        <v>0</v>
      </c>
      <c r="N111" s="32">
        <v>0</v>
      </c>
      <c r="O111" s="33">
        <v>0</v>
      </c>
      <c r="P111" s="38" t="s">
        <v>1014</v>
      </c>
      <c r="Q111" s="34" t="str">
        <f>IF(MasterFees[[#This Row],[GST Basis]]="Excl",MasterFees[[#This Row],[Fee as Printed]],IF(MasterFees[[#This Row],[GST Basis]]="Incl",MasterFees[[#This Row],[Fee as Printed]]/(1+GST_Rate),""))</f>
        <v/>
      </c>
      <c r="R111" s="34" t="str">
        <f>IF(MasterFees[[#This Row],[GST Basis]]="Incl",MasterFees[[#This Row],[Fee as Printed]],IF(MasterFees[[#This Row],[GST Basis]]="Excl",MasterFees[[#This Row],[Fee as Printed]]*(1+GST_Rate),""))</f>
        <v/>
      </c>
      <c r="S111" s="35" t="str">
        <f>IF(N(MasterFees[[#This Row],[Total Units]])=0,"",MasterFees[[#This Row],[Fee as Printed]]/MasterFees[[#This Row],[Total Units]])</f>
        <v/>
      </c>
      <c r="T111" s="36"/>
      <c r="U111" s="39" t="s">
        <v>1012</v>
      </c>
      <c r="V111" s="39" t="s">
        <v>1428</v>
      </c>
      <c r="W111" s="30"/>
      <c r="X111" s="73" t="s">
        <v>3220</v>
      </c>
      <c r="Y111" s="127" t="str">
        <f>_xlfn.XLOOKUP(MasterFees[[#This Row],[Provider / Payer]],Contracts[Contract Name],Contracts[Contract ID],"No contract")</f>
        <v>CON-01</v>
      </c>
      <c r="Z111" s="127" t="str">
        <f>_xlfn.XLOOKUP(MasterFees[[#This Row],[Provider / Payer]],Contracts[Contract Name],Contracts[Pricing Basis],"To confirm")</f>
        <v>To confirm</v>
      </c>
      <c r="AA111" s="127" t="str">
        <f>IF(MasterFees[[#This Row],[Pricing Basis]]="Fixed fee schedule","Yes","No")</f>
        <v>No</v>
      </c>
      <c r="AB111" s="127" t="str">
        <f>IF(OR(MasterFees[[#This Row],[Fee Basis]]="Add-on",MasterFees[[#This Row],[Fee Basis]]="Time band",MasterFees[[#This Row],[Fee Basis]]="Other"),MasterFees[[#This Row],[Fee Basis]],"Base")</f>
        <v>Base</v>
      </c>
      <c r="AC111" s="141" t="str">
        <f>IF(MasterFees[[#This Row],[Fixed Fee?]]="Yes",MasterFees[[#This Row],[Fee Excl. GST]],"")</f>
        <v/>
      </c>
    </row>
    <row r="112" spans="1:29" x14ac:dyDescent="0.2">
      <c r="A112" s="67" t="s">
        <v>2162</v>
      </c>
      <c r="B112" s="31">
        <f>IF(MasterFees[[#This Row],[RVG Code]]="","",_xlfn.XLOOKUP(MasterFees[[#This Row],[RVG Code]],RVGCodes[Code],RVGCodes[Base Units],"Code not found"))</f>
        <v>6</v>
      </c>
      <c r="C11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1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12" s="125" t="s">
        <v>2592</v>
      </c>
      <c r="F112" s="48" t="s">
        <v>2569</v>
      </c>
      <c r="G112" s="30" t="s">
        <v>334</v>
      </c>
      <c r="H112" s="37" t="s">
        <v>1095</v>
      </c>
      <c r="I112" s="37"/>
      <c r="J112" s="37" t="s">
        <v>1096</v>
      </c>
      <c r="K112" s="32">
        <v>5.3</v>
      </c>
      <c r="L112" s="32">
        <v>8.5</v>
      </c>
      <c r="M112" s="32">
        <v>0.4</v>
      </c>
      <c r="N112" s="32">
        <v>14.1</v>
      </c>
      <c r="O112" s="33">
        <v>774.4</v>
      </c>
      <c r="P112" s="38" t="s">
        <v>1014</v>
      </c>
      <c r="Q112" s="34" t="str">
        <f>IF(MasterFees[[#This Row],[GST Basis]]="Excl",MasterFees[[#This Row],[Fee as Printed]],IF(MasterFees[[#This Row],[GST Basis]]="Incl",MasterFees[[#This Row],[Fee as Printed]]/(1+GST_Rate),""))</f>
        <v/>
      </c>
      <c r="R112" s="34" t="str">
        <f>IF(MasterFees[[#This Row],[GST Basis]]="Incl",MasterFees[[#This Row],[Fee as Printed]],IF(MasterFees[[#This Row],[GST Basis]]="Excl",MasterFees[[#This Row],[Fee as Printed]]*(1+GST_Rate),""))</f>
        <v/>
      </c>
      <c r="S112" s="35">
        <f>IF(N(MasterFees[[#This Row],[Total Units]])=0,"",MasterFees[[#This Row],[Fee as Printed]]/MasterFees[[#This Row],[Total Units]])</f>
        <v>54.921985815602838</v>
      </c>
      <c r="T112" s="36"/>
      <c r="U112" s="39" t="s">
        <v>1012</v>
      </c>
      <c r="V112" s="39" t="s">
        <v>1429</v>
      </c>
      <c r="W112" s="30"/>
      <c r="X112" s="73" t="s">
        <v>3221</v>
      </c>
      <c r="Y112" s="127" t="str">
        <f>_xlfn.XLOOKUP(MasterFees[[#This Row],[Provider / Payer]],Contracts[Contract Name],Contracts[Contract ID],"No contract")</f>
        <v>CON-01</v>
      </c>
      <c r="Z112" s="127" t="str">
        <f>_xlfn.XLOOKUP(MasterFees[[#This Row],[Provider / Payer]],Contracts[Contract Name],Contracts[Pricing Basis],"To confirm")</f>
        <v>To confirm</v>
      </c>
      <c r="AA112" s="127" t="str">
        <f>IF(MasterFees[[#This Row],[Pricing Basis]]="Fixed fee schedule","Yes","No")</f>
        <v>No</v>
      </c>
      <c r="AB112" s="127" t="str">
        <f>IF(OR(MasterFees[[#This Row],[Fee Basis]]="Add-on",MasterFees[[#This Row],[Fee Basis]]="Time band",MasterFees[[#This Row],[Fee Basis]]="Other"),MasterFees[[#This Row],[Fee Basis]],"Base")</f>
        <v>Base</v>
      </c>
      <c r="AC112" s="141" t="str">
        <f>IF(MasterFees[[#This Row],[Fixed Fee?]]="Yes",MasterFees[[#This Row],[Fee Excl. GST]],"")</f>
        <v/>
      </c>
    </row>
    <row r="113" spans="1:29" x14ac:dyDescent="0.2">
      <c r="A113" s="67" t="s">
        <v>2162</v>
      </c>
      <c r="B113" s="31">
        <f>IF(MasterFees[[#This Row],[RVG Code]]="","",_xlfn.XLOOKUP(MasterFees[[#This Row],[RVG Code]],RVGCodes[Code],RVGCodes[Base Units],"Code not found"))</f>
        <v>6</v>
      </c>
      <c r="C11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1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13" s="125" t="s">
        <v>2592</v>
      </c>
      <c r="F113" s="48" t="s">
        <v>2567</v>
      </c>
      <c r="G113" s="30" t="s">
        <v>354</v>
      </c>
      <c r="H113" s="37" t="s">
        <v>1095</v>
      </c>
      <c r="I113" s="37"/>
      <c r="J113" s="37" t="s">
        <v>1096</v>
      </c>
      <c r="K113" s="32">
        <v>0</v>
      </c>
      <c r="L113" s="32">
        <v>0</v>
      </c>
      <c r="M113" s="32">
        <v>0</v>
      </c>
      <c r="N113" s="32">
        <v>0</v>
      </c>
      <c r="O113" s="33">
        <v>0</v>
      </c>
      <c r="P113" s="38" t="s">
        <v>1014</v>
      </c>
      <c r="Q113" s="34" t="str">
        <f>IF(MasterFees[[#This Row],[GST Basis]]="Excl",MasterFees[[#This Row],[Fee as Printed]],IF(MasterFees[[#This Row],[GST Basis]]="Incl",MasterFees[[#This Row],[Fee as Printed]]/(1+GST_Rate),""))</f>
        <v/>
      </c>
      <c r="R113" s="34" t="str">
        <f>IF(MasterFees[[#This Row],[GST Basis]]="Incl",MasterFees[[#This Row],[Fee as Printed]],IF(MasterFees[[#This Row],[GST Basis]]="Excl",MasterFees[[#This Row],[Fee as Printed]]*(1+GST_Rate),""))</f>
        <v/>
      </c>
      <c r="S113" s="35" t="str">
        <f>IF(N(MasterFees[[#This Row],[Total Units]])=0,"",MasterFees[[#This Row],[Fee as Printed]]/MasterFees[[#This Row],[Total Units]])</f>
        <v/>
      </c>
      <c r="T113" s="36"/>
      <c r="U113" s="39" t="s">
        <v>1012</v>
      </c>
      <c r="V113" s="39" t="s">
        <v>1449</v>
      </c>
      <c r="W113" s="30"/>
      <c r="X113" s="73" t="s">
        <v>3241</v>
      </c>
      <c r="Y113" s="127" t="str">
        <f>_xlfn.XLOOKUP(MasterFees[[#This Row],[Provider / Payer]],Contracts[Contract Name],Contracts[Contract ID],"No contract")</f>
        <v>CON-01</v>
      </c>
      <c r="Z113" s="127" t="str">
        <f>_xlfn.XLOOKUP(MasterFees[[#This Row],[Provider / Payer]],Contracts[Contract Name],Contracts[Pricing Basis],"To confirm")</f>
        <v>To confirm</v>
      </c>
      <c r="AA113" s="127" t="str">
        <f>IF(MasterFees[[#This Row],[Pricing Basis]]="Fixed fee schedule","Yes","No")</f>
        <v>No</v>
      </c>
      <c r="AB113" s="127" t="str">
        <f>IF(OR(MasterFees[[#This Row],[Fee Basis]]="Add-on",MasterFees[[#This Row],[Fee Basis]]="Time band",MasterFees[[#This Row],[Fee Basis]]="Other"),MasterFees[[#This Row],[Fee Basis]],"Base")</f>
        <v>Base</v>
      </c>
      <c r="AC113" s="141" t="str">
        <f>IF(MasterFees[[#This Row],[Fixed Fee?]]="Yes",MasterFees[[#This Row],[Fee Excl. GST]],"")</f>
        <v/>
      </c>
    </row>
    <row r="114" spans="1:29" x14ac:dyDescent="0.2">
      <c r="A114" s="67" t="s">
        <v>2162</v>
      </c>
      <c r="B114" s="31">
        <f>IF(MasterFees[[#This Row],[RVG Code]]="","",_xlfn.XLOOKUP(MasterFees[[#This Row],[RVG Code]],RVGCodes[Code],RVGCodes[Base Units],"Code not found"))</f>
        <v>6</v>
      </c>
      <c r="C11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1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14" s="125" t="s">
        <v>2592</v>
      </c>
      <c r="F114" s="48" t="s">
        <v>2567</v>
      </c>
      <c r="G114" s="30" t="s">
        <v>355</v>
      </c>
      <c r="H114" s="37" t="s">
        <v>1095</v>
      </c>
      <c r="I114" s="37"/>
      <c r="J114" s="37" t="s">
        <v>1096</v>
      </c>
      <c r="K114" s="32">
        <v>0</v>
      </c>
      <c r="L114" s="32">
        <v>0</v>
      </c>
      <c r="M114" s="32">
        <v>0</v>
      </c>
      <c r="N114" s="32">
        <v>0</v>
      </c>
      <c r="O114" s="33">
        <v>0</v>
      </c>
      <c r="P114" s="38" t="s">
        <v>1014</v>
      </c>
      <c r="Q114" s="34" t="str">
        <f>IF(MasterFees[[#This Row],[GST Basis]]="Excl",MasterFees[[#This Row],[Fee as Printed]],IF(MasterFees[[#This Row],[GST Basis]]="Incl",MasterFees[[#This Row],[Fee as Printed]]/(1+GST_Rate),""))</f>
        <v/>
      </c>
      <c r="R114" s="34" t="str">
        <f>IF(MasterFees[[#This Row],[GST Basis]]="Incl",MasterFees[[#This Row],[Fee as Printed]],IF(MasterFees[[#This Row],[GST Basis]]="Excl",MasterFees[[#This Row],[Fee as Printed]]*(1+GST_Rate),""))</f>
        <v/>
      </c>
      <c r="S114" s="35" t="str">
        <f>IF(N(MasterFees[[#This Row],[Total Units]])=0,"",MasterFees[[#This Row],[Fee as Printed]]/MasterFees[[#This Row],[Total Units]])</f>
        <v/>
      </c>
      <c r="T114" s="36"/>
      <c r="U114" s="39" t="s">
        <v>1012</v>
      </c>
      <c r="V114" s="39" t="s">
        <v>1450</v>
      </c>
      <c r="W114" s="30"/>
      <c r="X114" s="73" t="s">
        <v>3242</v>
      </c>
      <c r="Y114" s="127" t="str">
        <f>_xlfn.XLOOKUP(MasterFees[[#This Row],[Provider / Payer]],Contracts[Contract Name],Contracts[Contract ID],"No contract")</f>
        <v>CON-01</v>
      </c>
      <c r="Z114" s="127" t="str">
        <f>_xlfn.XLOOKUP(MasterFees[[#This Row],[Provider / Payer]],Contracts[Contract Name],Contracts[Pricing Basis],"To confirm")</f>
        <v>To confirm</v>
      </c>
      <c r="AA114" s="127" t="str">
        <f>IF(MasterFees[[#This Row],[Pricing Basis]]="Fixed fee schedule","Yes","No")</f>
        <v>No</v>
      </c>
      <c r="AB114" s="127" t="str">
        <f>IF(OR(MasterFees[[#This Row],[Fee Basis]]="Add-on",MasterFees[[#This Row],[Fee Basis]]="Time band",MasterFees[[#This Row],[Fee Basis]]="Other"),MasterFees[[#This Row],[Fee Basis]],"Base")</f>
        <v>Base</v>
      </c>
      <c r="AC114" s="141" t="str">
        <f>IF(MasterFees[[#This Row],[Fixed Fee?]]="Yes",MasterFees[[#This Row],[Fee Excl. GST]],"")</f>
        <v/>
      </c>
    </row>
    <row r="115" spans="1:29" x14ac:dyDescent="0.2">
      <c r="A115" s="67" t="s">
        <v>2162</v>
      </c>
      <c r="B115" s="31">
        <f>IF(MasterFees[[#This Row],[RVG Code]]="","",_xlfn.XLOOKUP(MasterFees[[#This Row],[RVG Code]],RVGCodes[Code],RVGCodes[Base Units],"Code not found"))</f>
        <v>6</v>
      </c>
      <c r="C11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1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15" s="125" t="s">
        <v>2592</v>
      </c>
      <c r="F115" s="48" t="s">
        <v>2569</v>
      </c>
      <c r="G115" s="30" t="s">
        <v>356</v>
      </c>
      <c r="H115" s="37" t="s">
        <v>1095</v>
      </c>
      <c r="I115" s="37"/>
      <c r="J115" s="37" t="s">
        <v>1096</v>
      </c>
      <c r="K115" s="32">
        <v>7.5</v>
      </c>
      <c r="L115" s="32">
        <v>25</v>
      </c>
      <c r="M115" s="32">
        <v>2</v>
      </c>
      <c r="N115" s="32">
        <v>34.5</v>
      </c>
      <c r="O115" s="33">
        <v>1897.5</v>
      </c>
      <c r="P115" s="38" t="s">
        <v>1014</v>
      </c>
      <c r="Q115" s="34" t="str">
        <f>IF(MasterFees[[#This Row],[GST Basis]]="Excl",MasterFees[[#This Row],[Fee as Printed]],IF(MasterFees[[#This Row],[GST Basis]]="Incl",MasterFees[[#This Row],[Fee as Printed]]/(1+GST_Rate),""))</f>
        <v/>
      </c>
      <c r="R115" s="34" t="str">
        <f>IF(MasterFees[[#This Row],[GST Basis]]="Incl",MasterFees[[#This Row],[Fee as Printed]],IF(MasterFees[[#This Row],[GST Basis]]="Excl",MasterFees[[#This Row],[Fee as Printed]]*(1+GST_Rate),""))</f>
        <v/>
      </c>
      <c r="S115" s="35">
        <f>IF(N(MasterFees[[#This Row],[Total Units]])=0,"",MasterFees[[#This Row],[Fee as Printed]]/MasterFees[[#This Row],[Total Units]])</f>
        <v>55</v>
      </c>
      <c r="T115" s="36"/>
      <c r="U115" s="39" t="s">
        <v>1012</v>
      </c>
      <c r="V115" s="39" t="s">
        <v>1451</v>
      </c>
      <c r="W115" s="30"/>
      <c r="X115" s="73" t="s">
        <v>3243</v>
      </c>
      <c r="Y115" s="127" t="str">
        <f>_xlfn.XLOOKUP(MasterFees[[#This Row],[Provider / Payer]],Contracts[Contract Name],Contracts[Contract ID],"No contract")</f>
        <v>CON-01</v>
      </c>
      <c r="Z115" s="127" t="str">
        <f>_xlfn.XLOOKUP(MasterFees[[#This Row],[Provider / Payer]],Contracts[Contract Name],Contracts[Pricing Basis],"To confirm")</f>
        <v>To confirm</v>
      </c>
      <c r="AA115" s="127" t="str">
        <f>IF(MasterFees[[#This Row],[Pricing Basis]]="Fixed fee schedule","Yes","No")</f>
        <v>No</v>
      </c>
      <c r="AB115" s="127" t="str">
        <f>IF(OR(MasterFees[[#This Row],[Fee Basis]]="Add-on",MasterFees[[#This Row],[Fee Basis]]="Time band",MasterFees[[#This Row],[Fee Basis]]="Other"),MasterFees[[#This Row],[Fee Basis]],"Base")</f>
        <v>Base</v>
      </c>
      <c r="AC115" s="141" t="str">
        <f>IF(MasterFees[[#This Row],[Fixed Fee?]]="Yes",MasterFees[[#This Row],[Fee Excl. GST]],"")</f>
        <v/>
      </c>
    </row>
    <row r="116" spans="1:29" x14ac:dyDescent="0.2">
      <c r="A116" s="67" t="s">
        <v>2162</v>
      </c>
      <c r="B116" s="31">
        <f>IF(MasterFees[[#This Row],[RVG Code]]="","",_xlfn.XLOOKUP(MasterFees[[#This Row],[RVG Code]],RVGCodes[Code],RVGCodes[Base Units],"Code not found"))</f>
        <v>6</v>
      </c>
      <c r="C11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1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16" s="125" t="s">
        <v>2592</v>
      </c>
      <c r="F116" s="48" t="s">
        <v>2569</v>
      </c>
      <c r="G116" s="30" t="s">
        <v>357</v>
      </c>
      <c r="H116" s="37" t="s">
        <v>1095</v>
      </c>
      <c r="I116" s="37"/>
      <c r="J116" s="37" t="s">
        <v>1096</v>
      </c>
      <c r="K116" s="32">
        <v>7.1</v>
      </c>
      <c r="L116" s="32">
        <v>23.9</v>
      </c>
      <c r="M116" s="32">
        <v>1.7</v>
      </c>
      <c r="N116" s="32">
        <v>32.6</v>
      </c>
      <c r="O116" s="33">
        <v>1794.1</v>
      </c>
      <c r="P116" s="38" t="s">
        <v>1014</v>
      </c>
      <c r="Q116" s="34" t="str">
        <f>IF(MasterFees[[#This Row],[GST Basis]]="Excl",MasterFees[[#This Row],[Fee as Printed]],IF(MasterFees[[#This Row],[GST Basis]]="Incl",MasterFees[[#This Row],[Fee as Printed]]/(1+GST_Rate),""))</f>
        <v/>
      </c>
      <c r="R116" s="34" t="str">
        <f>IF(MasterFees[[#This Row],[GST Basis]]="Incl",MasterFees[[#This Row],[Fee as Printed]],IF(MasterFees[[#This Row],[GST Basis]]="Excl",MasterFees[[#This Row],[Fee as Printed]]*(1+GST_Rate),""))</f>
        <v/>
      </c>
      <c r="S116" s="35">
        <f>IF(N(MasterFees[[#This Row],[Total Units]])=0,"",MasterFees[[#This Row],[Fee as Printed]]/MasterFees[[#This Row],[Total Units]])</f>
        <v>55.033742331288337</v>
      </c>
      <c r="T116" s="36"/>
      <c r="U116" s="39" t="s">
        <v>1012</v>
      </c>
      <c r="V116" s="39" t="s">
        <v>1452</v>
      </c>
      <c r="W116" s="30"/>
      <c r="X116" s="73" t="s">
        <v>3244</v>
      </c>
      <c r="Y116" s="127" t="str">
        <f>_xlfn.XLOOKUP(MasterFees[[#This Row],[Provider / Payer]],Contracts[Contract Name],Contracts[Contract ID],"No contract")</f>
        <v>CON-01</v>
      </c>
      <c r="Z116" s="127" t="str">
        <f>_xlfn.XLOOKUP(MasterFees[[#This Row],[Provider / Payer]],Contracts[Contract Name],Contracts[Pricing Basis],"To confirm")</f>
        <v>To confirm</v>
      </c>
      <c r="AA116" s="127" t="str">
        <f>IF(MasterFees[[#This Row],[Pricing Basis]]="Fixed fee schedule","Yes","No")</f>
        <v>No</v>
      </c>
      <c r="AB116" s="127" t="str">
        <f>IF(OR(MasterFees[[#This Row],[Fee Basis]]="Add-on",MasterFees[[#This Row],[Fee Basis]]="Time band",MasterFees[[#This Row],[Fee Basis]]="Other"),MasterFees[[#This Row],[Fee Basis]],"Base")</f>
        <v>Base</v>
      </c>
      <c r="AC116" s="141" t="str">
        <f>IF(MasterFees[[#This Row],[Fixed Fee?]]="Yes",MasterFees[[#This Row],[Fee Excl. GST]],"")</f>
        <v/>
      </c>
    </row>
    <row r="117" spans="1:29" x14ac:dyDescent="0.2">
      <c r="A117" s="67" t="s">
        <v>2162</v>
      </c>
      <c r="B117" s="31">
        <f>IF(MasterFees[[#This Row],[RVG Code]]="","",_xlfn.XLOOKUP(MasterFees[[#This Row],[RVG Code]],RVGCodes[Code],RVGCodes[Base Units],"Code not found"))</f>
        <v>6</v>
      </c>
      <c r="C11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1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17" s="125" t="s">
        <v>2592</v>
      </c>
      <c r="F117" s="48" t="s">
        <v>2569</v>
      </c>
      <c r="G117" s="30" t="s">
        <v>358</v>
      </c>
      <c r="H117" s="37" t="s">
        <v>1095</v>
      </c>
      <c r="I117" s="37"/>
      <c r="J117" s="37" t="s">
        <v>1096</v>
      </c>
      <c r="K117" s="32">
        <v>5.9</v>
      </c>
      <c r="L117" s="32">
        <v>20</v>
      </c>
      <c r="M117" s="32">
        <v>1</v>
      </c>
      <c r="N117" s="32">
        <v>26.8</v>
      </c>
      <c r="O117" s="33">
        <v>1474</v>
      </c>
      <c r="P117" s="38" t="s">
        <v>1014</v>
      </c>
      <c r="Q117" s="34" t="str">
        <f>IF(MasterFees[[#This Row],[GST Basis]]="Excl",MasterFees[[#This Row],[Fee as Printed]],IF(MasterFees[[#This Row],[GST Basis]]="Incl",MasterFees[[#This Row],[Fee as Printed]]/(1+GST_Rate),""))</f>
        <v/>
      </c>
      <c r="R117" s="34" t="str">
        <f>IF(MasterFees[[#This Row],[GST Basis]]="Incl",MasterFees[[#This Row],[Fee as Printed]],IF(MasterFees[[#This Row],[GST Basis]]="Excl",MasterFees[[#This Row],[Fee as Printed]]*(1+GST_Rate),""))</f>
        <v/>
      </c>
      <c r="S117" s="35">
        <f>IF(N(MasterFees[[#This Row],[Total Units]])=0,"",MasterFees[[#This Row],[Fee as Printed]]/MasterFees[[#This Row],[Total Units]])</f>
        <v>55</v>
      </c>
      <c r="T117" s="36"/>
      <c r="U117" s="39" t="s">
        <v>1012</v>
      </c>
      <c r="V117" s="39" t="s">
        <v>1453</v>
      </c>
      <c r="W117" s="30"/>
      <c r="X117" s="73" t="s">
        <v>3245</v>
      </c>
      <c r="Y117" s="127" t="str">
        <f>_xlfn.XLOOKUP(MasterFees[[#This Row],[Provider / Payer]],Contracts[Contract Name],Contracts[Contract ID],"No contract")</f>
        <v>CON-01</v>
      </c>
      <c r="Z117" s="127" t="str">
        <f>_xlfn.XLOOKUP(MasterFees[[#This Row],[Provider / Payer]],Contracts[Contract Name],Contracts[Pricing Basis],"To confirm")</f>
        <v>To confirm</v>
      </c>
      <c r="AA117" s="127" t="str">
        <f>IF(MasterFees[[#This Row],[Pricing Basis]]="Fixed fee schedule","Yes","No")</f>
        <v>No</v>
      </c>
      <c r="AB117" s="127" t="str">
        <f>IF(OR(MasterFees[[#This Row],[Fee Basis]]="Add-on",MasterFees[[#This Row],[Fee Basis]]="Time band",MasterFees[[#This Row],[Fee Basis]]="Other"),MasterFees[[#This Row],[Fee Basis]],"Base")</f>
        <v>Base</v>
      </c>
      <c r="AC117" s="141" t="str">
        <f>IF(MasterFees[[#This Row],[Fixed Fee?]]="Yes",MasterFees[[#This Row],[Fee Excl. GST]],"")</f>
        <v/>
      </c>
    </row>
    <row r="118" spans="1:29" x14ac:dyDescent="0.2">
      <c r="A118" s="67" t="s">
        <v>2162</v>
      </c>
      <c r="B118" s="31">
        <f>IF(MasterFees[[#This Row],[RVG Code]]="","",_xlfn.XLOOKUP(MasterFees[[#This Row],[RVG Code]],RVGCodes[Code],RVGCodes[Base Units],"Code not found"))</f>
        <v>6</v>
      </c>
      <c r="C11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1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18" s="125" t="s">
        <v>2592</v>
      </c>
      <c r="F118" s="48" t="s">
        <v>2569</v>
      </c>
      <c r="G118" s="30" t="s">
        <v>4057</v>
      </c>
      <c r="H118" s="37" t="s">
        <v>4069</v>
      </c>
      <c r="I118" s="37"/>
      <c r="J118" s="37" t="s">
        <v>1024</v>
      </c>
      <c r="K118" s="32"/>
      <c r="L118" s="32"/>
      <c r="M118" s="32"/>
      <c r="N118" s="32"/>
      <c r="O118" s="33">
        <v>3565</v>
      </c>
      <c r="P118" s="38" t="s">
        <v>4043</v>
      </c>
      <c r="Q118" s="34">
        <f>IF(MasterFees[[#This Row],[GST Basis]]="Excl",MasterFees[[#This Row],[Fee as Printed]],IF(MasterFees[[#This Row],[GST Basis]]="Incl",MasterFees[[#This Row],[Fee as Printed]]/(1+GST_Rate),""))</f>
        <v>3100.0000000000005</v>
      </c>
      <c r="R118" s="34">
        <f>IF(MasterFees[[#This Row],[GST Basis]]="Incl",MasterFees[[#This Row],[Fee as Printed]],IF(MasterFees[[#This Row],[GST Basis]]="Excl",MasterFees[[#This Row],[Fee as Printed]]*(1+GST_Rate),""))</f>
        <v>3565</v>
      </c>
      <c r="S118" s="35" t="str">
        <f>IF(N(MasterFees[[#This Row],[Total Units]])=0,"",MasterFees[[#This Row],[Fee as Printed]]/MasterFees[[#This Row],[Total Units]])</f>
        <v/>
      </c>
      <c r="T118" s="36">
        <v>46174</v>
      </c>
      <c r="U118" s="39" t="s">
        <v>4025</v>
      </c>
      <c r="V118" s="39" t="s">
        <v>4070</v>
      </c>
      <c r="W118" s="30" t="s">
        <v>4077</v>
      </c>
      <c r="X118" s="77" t="s">
        <v>4091</v>
      </c>
      <c r="Y118" s="127" t="str">
        <f>_xlfn.XLOOKUP(MasterFees[[#This Row],[Provider / Payer]],Contracts[Contract Name],Contracts[Contract ID],"No contract")</f>
        <v>CON-08</v>
      </c>
      <c r="Z118" s="127" t="str">
        <f>_xlfn.XLOOKUP(MasterFees[[#This Row],[Provider / Payer]],Contracts[Contract Name],Contracts[Pricing Basis],"To confirm")</f>
        <v>Fixed fee schedule</v>
      </c>
      <c r="AA118" s="127" t="str">
        <f>IF(MasterFees[[#This Row],[Pricing Basis]]="Fixed fee schedule","Yes","No")</f>
        <v>Yes</v>
      </c>
      <c r="AB118" s="127" t="str">
        <f>IF(OR(MasterFees[[#This Row],[Fee Basis]]="Add-on",MasterFees[[#This Row],[Fee Basis]]="Time band",MasterFees[[#This Row],[Fee Basis]]="Other"),MasterFees[[#This Row],[Fee Basis]],"Base")</f>
        <v>Base</v>
      </c>
      <c r="AC118" s="141">
        <f>IF(MasterFees[[#This Row],[Fixed Fee?]]="Yes",MasterFees[[#This Row],[Fee Excl. GST]],"")</f>
        <v>3100.0000000000005</v>
      </c>
    </row>
    <row r="119" spans="1:29" x14ac:dyDescent="0.2">
      <c r="A119" s="67" t="s">
        <v>2162</v>
      </c>
      <c r="B119" s="31">
        <f>IF(MasterFees[[#This Row],[RVG Code]]="","",_xlfn.XLOOKUP(MasterFees[[#This Row],[RVG Code]],RVGCodes[Code],RVGCodes[Base Units],"Code not found"))</f>
        <v>6</v>
      </c>
      <c r="C11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1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19" s="125" t="s">
        <v>2592</v>
      </c>
      <c r="F119" s="48" t="s">
        <v>2569</v>
      </c>
      <c r="G119" s="30" t="s">
        <v>359</v>
      </c>
      <c r="H119" s="37" t="s">
        <v>1095</v>
      </c>
      <c r="I119" s="37"/>
      <c r="J119" s="37" t="s">
        <v>1096</v>
      </c>
      <c r="K119" s="32">
        <v>8.5</v>
      </c>
      <c r="L119" s="32">
        <v>24.5</v>
      </c>
      <c r="M119" s="32">
        <v>2</v>
      </c>
      <c r="N119" s="32">
        <v>35</v>
      </c>
      <c r="O119" s="33">
        <v>1925</v>
      </c>
      <c r="P119" s="38" t="s">
        <v>1014</v>
      </c>
      <c r="Q119" s="34" t="str">
        <f>IF(MasterFees[[#This Row],[GST Basis]]="Excl",MasterFees[[#This Row],[Fee as Printed]],IF(MasterFees[[#This Row],[GST Basis]]="Incl",MasterFees[[#This Row],[Fee as Printed]]/(1+GST_Rate),""))</f>
        <v/>
      </c>
      <c r="R119" s="34" t="str">
        <f>IF(MasterFees[[#This Row],[GST Basis]]="Incl",MasterFees[[#This Row],[Fee as Printed]],IF(MasterFees[[#This Row],[GST Basis]]="Excl",MasterFees[[#This Row],[Fee as Printed]]*(1+GST_Rate),""))</f>
        <v/>
      </c>
      <c r="S119" s="35">
        <f>IF(N(MasterFees[[#This Row],[Total Units]])=0,"",MasterFees[[#This Row],[Fee as Printed]]/MasterFees[[#This Row],[Total Units]])</f>
        <v>55</v>
      </c>
      <c r="T119" s="36"/>
      <c r="U119" s="39" t="s">
        <v>1012</v>
      </c>
      <c r="V119" s="39" t="s">
        <v>1454</v>
      </c>
      <c r="W119" s="30"/>
      <c r="X119" s="73" t="s">
        <v>3246</v>
      </c>
      <c r="Y119" s="127" t="str">
        <f>_xlfn.XLOOKUP(MasterFees[[#This Row],[Provider / Payer]],Contracts[Contract Name],Contracts[Contract ID],"No contract")</f>
        <v>CON-01</v>
      </c>
      <c r="Z119" s="127" t="str">
        <f>_xlfn.XLOOKUP(MasterFees[[#This Row],[Provider / Payer]],Contracts[Contract Name],Contracts[Pricing Basis],"To confirm")</f>
        <v>To confirm</v>
      </c>
      <c r="AA119" s="127" t="str">
        <f>IF(MasterFees[[#This Row],[Pricing Basis]]="Fixed fee schedule","Yes","No")</f>
        <v>No</v>
      </c>
      <c r="AB119" s="127" t="str">
        <f>IF(OR(MasterFees[[#This Row],[Fee Basis]]="Add-on",MasterFees[[#This Row],[Fee Basis]]="Time band",MasterFees[[#This Row],[Fee Basis]]="Other"),MasterFees[[#This Row],[Fee Basis]],"Base")</f>
        <v>Base</v>
      </c>
      <c r="AC119" s="141" t="str">
        <f>IF(MasterFees[[#This Row],[Fixed Fee?]]="Yes",MasterFees[[#This Row],[Fee Excl. GST]],"")</f>
        <v/>
      </c>
    </row>
    <row r="120" spans="1:29" x14ac:dyDescent="0.2">
      <c r="A120" s="67" t="s">
        <v>2162</v>
      </c>
      <c r="B120" s="31">
        <f>IF(MasterFees[[#This Row],[RVG Code]]="","",_xlfn.XLOOKUP(MasterFees[[#This Row],[RVG Code]],RVGCodes[Code],RVGCodes[Base Units],"Code not found"))</f>
        <v>6</v>
      </c>
      <c r="C12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2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0" s="125" t="s">
        <v>2592</v>
      </c>
      <c r="F120" s="48" t="s">
        <v>2567</v>
      </c>
      <c r="G120" s="30" t="s">
        <v>4058</v>
      </c>
      <c r="H120" s="37" t="s">
        <v>4069</v>
      </c>
      <c r="I120" s="37"/>
      <c r="J120" s="37" t="s">
        <v>1024</v>
      </c>
      <c r="K120" s="32"/>
      <c r="L120" s="32"/>
      <c r="M120" s="32"/>
      <c r="N120" s="32"/>
      <c r="O120" s="33">
        <v>3910</v>
      </c>
      <c r="P120" s="38" t="s">
        <v>4043</v>
      </c>
      <c r="Q120" s="34">
        <f>IF(MasterFees[[#This Row],[GST Basis]]="Excl",MasterFees[[#This Row],[Fee as Printed]],IF(MasterFees[[#This Row],[GST Basis]]="Incl",MasterFees[[#This Row],[Fee as Printed]]/(1+GST_Rate),""))</f>
        <v>3400.0000000000005</v>
      </c>
      <c r="R120" s="34">
        <f>IF(MasterFees[[#This Row],[GST Basis]]="Incl",MasterFees[[#This Row],[Fee as Printed]],IF(MasterFees[[#This Row],[GST Basis]]="Excl",MasterFees[[#This Row],[Fee as Printed]]*(1+GST_Rate),""))</f>
        <v>3910</v>
      </c>
      <c r="S120" s="35" t="str">
        <f>IF(N(MasterFees[[#This Row],[Total Units]])=0,"",MasterFees[[#This Row],[Fee as Printed]]/MasterFees[[#This Row],[Total Units]])</f>
        <v/>
      </c>
      <c r="T120" s="36">
        <v>46174</v>
      </c>
      <c r="U120" s="39" t="s">
        <v>4025</v>
      </c>
      <c r="V120" s="39" t="s">
        <v>4070</v>
      </c>
      <c r="W120" s="30" t="s">
        <v>4075</v>
      </c>
      <c r="X120" s="77" t="s">
        <v>4092</v>
      </c>
      <c r="Y120" s="127" t="str">
        <f>_xlfn.XLOOKUP(MasterFees[[#This Row],[Provider / Payer]],Contracts[Contract Name],Contracts[Contract ID],"No contract")</f>
        <v>CON-08</v>
      </c>
      <c r="Z120" s="127" t="str">
        <f>_xlfn.XLOOKUP(MasterFees[[#This Row],[Provider / Payer]],Contracts[Contract Name],Contracts[Pricing Basis],"To confirm")</f>
        <v>Fixed fee schedule</v>
      </c>
      <c r="AA120" s="127" t="str">
        <f>IF(MasterFees[[#This Row],[Pricing Basis]]="Fixed fee schedule","Yes","No")</f>
        <v>Yes</v>
      </c>
      <c r="AB120" s="127" t="str">
        <f>IF(OR(MasterFees[[#This Row],[Fee Basis]]="Add-on",MasterFees[[#This Row],[Fee Basis]]="Time band",MasterFees[[#This Row],[Fee Basis]]="Other"),MasterFees[[#This Row],[Fee Basis]],"Base")</f>
        <v>Base</v>
      </c>
      <c r="AC120" s="141">
        <f>IF(MasterFees[[#This Row],[Fixed Fee?]]="Yes",MasterFees[[#This Row],[Fee Excl. GST]],"")</f>
        <v>3400.0000000000005</v>
      </c>
    </row>
    <row r="121" spans="1:29" x14ac:dyDescent="0.2">
      <c r="A121" s="67" t="s">
        <v>2162</v>
      </c>
      <c r="B121" s="31">
        <f>IF(MasterFees[[#This Row],[RVG Code]]="","",_xlfn.XLOOKUP(MasterFees[[#This Row],[RVG Code]],RVGCodes[Code],RVGCodes[Base Units],"Code not found"))</f>
        <v>6</v>
      </c>
      <c r="C12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2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1" s="125" t="s">
        <v>2592</v>
      </c>
      <c r="F121" s="48" t="s">
        <v>2567</v>
      </c>
      <c r="G121" s="30" t="s">
        <v>4060</v>
      </c>
      <c r="H121" s="37" t="s">
        <v>4069</v>
      </c>
      <c r="I121" s="37"/>
      <c r="J121" s="37" t="s">
        <v>1024</v>
      </c>
      <c r="K121" s="32"/>
      <c r="L121" s="32"/>
      <c r="M121" s="32"/>
      <c r="N121" s="32"/>
      <c r="O121" s="33">
        <v>4255</v>
      </c>
      <c r="P121" s="38" t="s">
        <v>4043</v>
      </c>
      <c r="Q121" s="34">
        <f>IF(MasterFees[[#This Row],[GST Basis]]="Excl",MasterFees[[#This Row],[Fee as Printed]],IF(MasterFees[[#This Row],[GST Basis]]="Incl",MasterFees[[#This Row],[Fee as Printed]]/(1+GST_Rate),""))</f>
        <v>3700.0000000000005</v>
      </c>
      <c r="R121" s="34">
        <f>IF(MasterFees[[#This Row],[GST Basis]]="Incl",MasterFees[[#This Row],[Fee as Printed]],IF(MasterFees[[#This Row],[GST Basis]]="Excl",MasterFees[[#This Row],[Fee as Printed]]*(1+GST_Rate),""))</f>
        <v>4255</v>
      </c>
      <c r="S121" s="35" t="str">
        <f>IF(N(MasterFees[[#This Row],[Total Units]])=0,"",MasterFees[[#This Row],[Fee as Printed]]/MasterFees[[#This Row],[Total Units]])</f>
        <v/>
      </c>
      <c r="T121" s="36">
        <v>46174</v>
      </c>
      <c r="U121" s="39" t="s">
        <v>4025</v>
      </c>
      <c r="V121" s="39" t="s">
        <v>4070</v>
      </c>
      <c r="W121" s="30" t="s">
        <v>4076</v>
      </c>
      <c r="X121" s="77" t="s">
        <v>4093</v>
      </c>
      <c r="Y121" s="127" t="str">
        <f>_xlfn.XLOOKUP(MasterFees[[#This Row],[Provider / Payer]],Contracts[Contract Name],Contracts[Contract ID],"No contract")</f>
        <v>CON-08</v>
      </c>
      <c r="Z121" s="127" t="str">
        <f>_xlfn.XLOOKUP(MasterFees[[#This Row],[Provider / Payer]],Contracts[Contract Name],Contracts[Pricing Basis],"To confirm")</f>
        <v>Fixed fee schedule</v>
      </c>
      <c r="AA121" s="127" t="str">
        <f>IF(MasterFees[[#This Row],[Pricing Basis]]="Fixed fee schedule","Yes","No")</f>
        <v>Yes</v>
      </c>
      <c r="AB121" s="127" t="str">
        <f>IF(OR(MasterFees[[#This Row],[Fee Basis]]="Add-on",MasterFees[[#This Row],[Fee Basis]]="Time band",MasterFees[[#This Row],[Fee Basis]]="Other"),MasterFees[[#This Row],[Fee Basis]],"Base")</f>
        <v>Base</v>
      </c>
      <c r="AC121" s="141">
        <f>IF(MasterFees[[#This Row],[Fixed Fee?]]="Yes",MasterFees[[#This Row],[Fee Excl. GST]],"")</f>
        <v>3700.0000000000005</v>
      </c>
    </row>
    <row r="122" spans="1:29" x14ac:dyDescent="0.2">
      <c r="A122" s="67" t="s">
        <v>2162</v>
      </c>
      <c r="B122" s="31">
        <f>IF(MasterFees[[#This Row],[RVG Code]]="","",_xlfn.XLOOKUP(MasterFees[[#This Row],[RVG Code]],RVGCodes[Code],RVGCodes[Base Units],"Code not found"))</f>
        <v>6</v>
      </c>
      <c r="C12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2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2" s="125" t="s">
        <v>2592</v>
      </c>
      <c r="F122" s="48" t="s">
        <v>2569</v>
      </c>
      <c r="G122" s="30" t="s">
        <v>365</v>
      </c>
      <c r="H122" s="37" t="s">
        <v>1095</v>
      </c>
      <c r="I122" s="37"/>
      <c r="J122" s="37" t="s">
        <v>1096</v>
      </c>
      <c r="K122" s="32">
        <v>5.0999999999999996</v>
      </c>
      <c r="L122" s="32">
        <v>5.9</v>
      </c>
      <c r="M122" s="32">
        <v>0.7</v>
      </c>
      <c r="N122" s="32">
        <v>11.7</v>
      </c>
      <c r="O122" s="33">
        <v>645.15</v>
      </c>
      <c r="P122" s="38" t="s">
        <v>1014</v>
      </c>
      <c r="Q122" s="34" t="str">
        <f>IF(MasterFees[[#This Row],[GST Basis]]="Excl",MasterFees[[#This Row],[Fee as Printed]],IF(MasterFees[[#This Row],[GST Basis]]="Incl",MasterFees[[#This Row],[Fee as Printed]]/(1+GST_Rate),""))</f>
        <v/>
      </c>
      <c r="R122" s="34" t="str">
        <f>IF(MasterFees[[#This Row],[GST Basis]]="Incl",MasterFees[[#This Row],[Fee as Printed]],IF(MasterFees[[#This Row],[GST Basis]]="Excl",MasterFees[[#This Row],[Fee as Printed]]*(1+GST_Rate),""))</f>
        <v/>
      </c>
      <c r="S122" s="35">
        <f>IF(N(MasterFees[[#This Row],[Total Units]])=0,"",MasterFees[[#This Row],[Fee as Printed]]/MasterFees[[#This Row],[Total Units]])</f>
        <v>55.141025641025642</v>
      </c>
      <c r="T122" s="36"/>
      <c r="U122" s="39" t="s">
        <v>1012</v>
      </c>
      <c r="V122" s="39" t="s">
        <v>1460</v>
      </c>
      <c r="W122" s="30"/>
      <c r="X122" s="73" t="s">
        <v>3252</v>
      </c>
      <c r="Y122" s="127" t="str">
        <f>_xlfn.XLOOKUP(MasterFees[[#This Row],[Provider / Payer]],Contracts[Contract Name],Contracts[Contract ID],"No contract")</f>
        <v>CON-01</v>
      </c>
      <c r="Z122" s="127" t="str">
        <f>_xlfn.XLOOKUP(MasterFees[[#This Row],[Provider / Payer]],Contracts[Contract Name],Contracts[Pricing Basis],"To confirm")</f>
        <v>To confirm</v>
      </c>
      <c r="AA122" s="127" t="str">
        <f>IF(MasterFees[[#This Row],[Pricing Basis]]="Fixed fee schedule","Yes","No")</f>
        <v>No</v>
      </c>
      <c r="AB122" s="127" t="str">
        <f>IF(OR(MasterFees[[#This Row],[Fee Basis]]="Add-on",MasterFees[[#This Row],[Fee Basis]]="Time band",MasterFees[[#This Row],[Fee Basis]]="Other"),MasterFees[[#This Row],[Fee Basis]],"Base")</f>
        <v>Base</v>
      </c>
      <c r="AC122" s="141" t="str">
        <f>IF(MasterFees[[#This Row],[Fixed Fee?]]="Yes",MasterFees[[#This Row],[Fee Excl. GST]],"")</f>
        <v/>
      </c>
    </row>
    <row r="123" spans="1:29" x14ac:dyDescent="0.2">
      <c r="A123" s="67" t="s">
        <v>2162</v>
      </c>
      <c r="B123" s="31">
        <f>IF(MasterFees[[#This Row],[RVG Code]]="","",_xlfn.XLOOKUP(MasterFees[[#This Row],[RVG Code]],RVGCodes[Code],RVGCodes[Base Units],"Code not found"))</f>
        <v>6</v>
      </c>
      <c r="C12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2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3" s="125" t="s">
        <v>2592</v>
      </c>
      <c r="F123" s="48" t="s">
        <v>2569</v>
      </c>
      <c r="G123" s="30" t="s">
        <v>378</v>
      </c>
      <c r="H123" s="37" t="s">
        <v>1095</v>
      </c>
      <c r="I123" s="37"/>
      <c r="J123" s="37" t="s">
        <v>1096</v>
      </c>
      <c r="K123" s="32">
        <v>6.2</v>
      </c>
      <c r="L123" s="32">
        <v>11.6</v>
      </c>
      <c r="M123" s="32">
        <v>1</v>
      </c>
      <c r="N123" s="32">
        <v>18.8</v>
      </c>
      <c r="O123" s="33">
        <v>1034</v>
      </c>
      <c r="P123" s="38" t="s">
        <v>1014</v>
      </c>
      <c r="Q123" s="34" t="str">
        <f>IF(MasterFees[[#This Row],[GST Basis]]="Excl",MasterFees[[#This Row],[Fee as Printed]],IF(MasterFees[[#This Row],[GST Basis]]="Incl",MasterFees[[#This Row],[Fee as Printed]]/(1+GST_Rate),""))</f>
        <v/>
      </c>
      <c r="R123" s="34" t="str">
        <f>IF(MasterFees[[#This Row],[GST Basis]]="Incl",MasterFees[[#This Row],[Fee as Printed]],IF(MasterFees[[#This Row],[GST Basis]]="Excl",MasterFees[[#This Row],[Fee as Printed]]*(1+GST_Rate),""))</f>
        <v/>
      </c>
      <c r="S123" s="35">
        <f>IF(N(MasterFees[[#This Row],[Total Units]])=0,"",MasterFees[[#This Row],[Fee as Printed]]/MasterFees[[#This Row],[Total Units]])</f>
        <v>55</v>
      </c>
      <c r="T123" s="36"/>
      <c r="U123" s="39" t="s">
        <v>1012</v>
      </c>
      <c r="V123" s="39" t="s">
        <v>1473</v>
      </c>
      <c r="W123" s="30"/>
      <c r="X123" s="73" t="s">
        <v>3265</v>
      </c>
      <c r="Y123" s="127" t="str">
        <f>_xlfn.XLOOKUP(MasterFees[[#This Row],[Provider / Payer]],Contracts[Contract Name],Contracts[Contract ID],"No contract")</f>
        <v>CON-01</v>
      </c>
      <c r="Z123" s="127" t="str">
        <f>_xlfn.XLOOKUP(MasterFees[[#This Row],[Provider / Payer]],Contracts[Contract Name],Contracts[Pricing Basis],"To confirm")</f>
        <v>To confirm</v>
      </c>
      <c r="AA123" s="127" t="str">
        <f>IF(MasterFees[[#This Row],[Pricing Basis]]="Fixed fee schedule","Yes","No")</f>
        <v>No</v>
      </c>
      <c r="AB123" s="127" t="str">
        <f>IF(OR(MasterFees[[#This Row],[Fee Basis]]="Add-on",MasterFees[[#This Row],[Fee Basis]]="Time band",MasterFees[[#This Row],[Fee Basis]]="Other"),MasterFees[[#This Row],[Fee Basis]],"Base")</f>
        <v>Base</v>
      </c>
      <c r="AC123" s="141" t="str">
        <f>IF(MasterFees[[#This Row],[Fixed Fee?]]="Yes",MasterFees[[#This Row],[Fee Excl. GST]],"")</f>
        <v/>
      </c>
    </row>
    <row r="124" spans="1:29" x14ac:dyDescent="0.2">
      <c r="A124" s="67" t="s">
        <v>2165</v>
      </c>
      <c r="B124" s="31">
        <f>IF(MasterFees[[#This Row],[RVG Code]]="","",_xlfn.XLOOKUP(MasterFees[[#This Row],[RVG Code]],RVGCodes[Code],RVGCodes[Base Units],"Code not found"))</f>
        <v>10</v>
      </c>
      <c r="C12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2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4" s="125" t="s">
        <v>2593</v>
      </c>
      <c r="F124" s="48" t="s">
        <v>2567</v>
      </c>
      <c r="G124" s="30" t="s">
        <v>390</v>
      </c>
      <c r="H124" s="37" t="s">
        <v>1095</v>
      </c>
      <c r="I124" s="37"/>
      <c r="J124" s="37" t="s">
        <v>1096</v>
      </c>
      <c r="K124" s="32">
        <v>8</v>
      </c>
      <c r="L124" s="32">
        <v>7</v>
      </c>
      <c r="M124" s="32">
        <v>1.5</v>
      </c>
      <c r="N124" s="32">
        <v>16.5</v>
      </c>
      <c r="O124" s="33">
        <v>907.5</v>
      </c>
      <c r="P124" s="38" t="s">
        <v>1014</v>
      </c>
      <c r="Q124" s="34" t="str">
        <f>IF(MasterFees[[#This Row],[GST Basis]]="Excl",MasterFees[[#This Row],[Fee as Printed]],IF(MasterFees[[#This Row],[GST Basis]]="Incl",MasterFees[[#This Row],[Fee as Printed]]/(1+GST_Rate),""))</f>
        <v/>
      </c>
      <c r="R124" s="34" t="str">
        <f>IF(MasterFees[[#This Row],[GST Basis]]="Incl",MasterFees[[#This Row],[Fee as Printed]],IF(MasterFees[[#This Row],[GST Basis]]="Excl",MasterFees[[#This Row],[Fee as Printed]]*(1+GST_Rate),""))</f>
        <v/>
      </c>
      <c r="S124" s="35">
        <f>IF(N(MasterFees[[#This Row],[Total Units]])=0,"",MasterFees[[#This Row],[Fee as Printed]]/MasterFees[[#This Row],[Total Units]])</f>
        <v>55</v>
      </c>
      <c r="T124" s="36"/>
      <c r="U124" s="39" t="s">
        <v>1012</v>
      </c>
      <c r="V124" s="39" t="s">
        <v>1485</v>
      </c>
      <c r="W124" s="30"/>
      <c r="X124" s="73" t="s">
        <v>3278</v>
      </c>
      <c r="Y124" s="127" t="str">
        <f>_xlfn.XLOOKUP(MasterFees[[#This Row],[Provider / Payer]],Contracts[Contract Name],Contracts[Contract ID],"No contract")</f>
        <v>CON-01</v>
      </c>
      <c r="Z124" s="127" t="str">
        <f>_xlfn.XLOOKUP(MasterFees[[#This Row],[Provider / Payer]],Contracts[Contract Name],Contracts[Pricing Basis],"To confirm")</f>
        <v>To confirm</v>
      </c>
      <c r="AA124" s="127" t="str">
        <f>IF(MasterFees[[#This Row],[Pricing Basis]]="Fixed fee schedule","Yes","No")</f>
        <v>No</v>
      </c>
      <c r="AB124" s="127" t="str">
        <f>IF(OR(MasterFees[[#This Row],[Fee Basis]]="Add-on",MasterFees[[#This Row],[Fee Basis]]="Time band",MasterFees[[#This Row],[Fee Basis]]="Other"),MasterFees[[#This Row],[Fee Basis]],"Base")</f>
        <v>Base</v>
      </c>
      <c r="AC124" s="141" t="str">
        <f>IF(MasterFees[[#This Row],[Fixed Fee?]]="Yes",MasterFees[[#This Row],[Fee Excl. GST]],"")</f>
        <v/>
      </c>
    </row>
    <row r="125" spans="1:29" x14ac:dyDescent="0.2">
      <c r="A125" s="67" t="s">
        <v>2157</v>
      </c>
      <c r="B125" s="31">
        <f>IF(MasterFees[[#This Row],[RVG Code]]="","",_xlfn.XLOOKUP(MasterFees[[#This Row],[RVG Code]],RVGCodes[Code],RVGCodes[Base Units],"Code not found"))</f>
        <v>4</v>
      </c>
      <c r="C12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2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5" s="125" t="s">
        <v>2572</v>
      </c>
      <c r="F125" s="48" t="s">
        <v>2569</v>
      </c>
      <c r="G125" s="30" t="s">
        <v>392</v>
      </c>
      <c r="H125" s="37" t="s">
        <v>1095</v>
      </c>
      <c r="I125" s="37"/>
      <c r="J125" s="37" t="s">
        <v>1096</v>
      </c>
      <c r="K125" s="32">
        <v>3.9</v>
      </c>
      <c r="L125" s="32">
        <v>1.2</v>
      </c>
      <c r="M125" s="32">
        <v>0.1</v>
      </c>
      <c r="N125" s="32">
        <v>5.2</v>
      </c>
      <c r="O125" s="33">
        <v>286.55</v>
      </c>
      <c r="P125" s="38" t="s">
        <v>1014</v>
      </c>
      <c r="Q125" s="34" t="str">
        <f>IF(MasterFees[[#This Row],[GST Basis]]="Excl",MasterFees[[#This Row],[Fee as Printed]],IF(MasterFees[[#This Row],[GST Basis]]="Incl",MasterFees[[#This Row],[Fee as Printed]]/(1+GST_Rate),""))</f>
        <v/>
      </c>
      <c r="R125" s="34" t="str">
        <f>IF(MasterFees[[#This Row],[GST Basis]]="Incl",MasterFees[[#This Row],[Fee as Printed]],IF(MasterFees[[#This Row],[GST Basis]]="Excl",MasterFees[[#This Row],[Fee as Printed]]*(1+GST_Rate),""))</f>
        <v/>
      </c>
      <c r="S125" s="35">
        <f>IF(N(MasterFees[[#This Row],[Total Units]])=0,"",MasterFees[[#This Row],[Fee as Printed]]/MasterFees[[#This Row],[Total Units]])</f>
        <v>55.105769230769234</v>
      </c>
      <c r="T125" s="36"/>
      <c r="U125" s="39" t="s">
        <v>1012</v>
      </c>
      <c r="V125" s="39" t="s">
        <v>1487</v>
      </c>
      <c r="W125" s="30"/>
      <c r="X125" s="73" t="s">
        <v>3280</v>
      </c>
      <c r="Y125" s="127" t="str">
        <f>_xlfn.XLOOKUP(MasterFees[[#This Row],[Provider / Payer]],Contracts[Contract Name],Contracts[Contract ID],"No contract")</f>
        <v>CON-01</v>
      </c>
      <c r="Z125" s="127" t="str">
        <f>_xlfn.XLOOKUP(MasterFees[[#This Row],[Provider / Payer]],Contracts[Contract Name],Contracts[Pricing Basis],"To confirm")</f>
        <v>To confirm</v>
      </c>
      <c r="AA125" s="127" t="str">
        <f>IF(MasterFees[[#This Row],[Pricing Basis]]="Fixed fee schedule","Yes","No")</f>
        <v>No</v>
      </c>
      <c r="AB125" s="127" t="str">
        <f>IF(OR(MasterFees[[#This Row],[Fee Basis]]="Add-on",MasterFees[[#This Row],[Fee Basis]]="Time band",MasterFees[[#This Row],[Fee Basis]]="Other"),MasterFees[[#This Row],[Fee Basis]],"Base")</f>
        <v>Base</v>
      </c>
      <c r="AC125" s="141" t="str">
        <f>IF(MasterFees[[#This Row],[Fixed Fee?]]="Yes",MasterFees[[#This Row],[Fee Excl. GST]],"")</f>
        <v/>
      </c>
    </row>
    <row r="126" spans="1:29" x14ac:dyDescent="0.2">
      <c r="A126" s="67" t="s">
        <v>2159</v>
      </c>
      <c r="B126" s="31">
        <f>IF(MasterFees[[#This Row],[RVG Code]]="","",_xlfn.XLOOKUP(MasterFees[[#This Row],[RVG Code]],RVGCodes[Code],RVGCodes[Base Units],"Code not found"))</f>
        <v>5</v>
      </c>
      <c r="C12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2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6" s="125" t="s">
        <v>2571</v>
      </c>
      <c r="F126" s="48" t="s">
        <v>2567</v>
      </c>
      <c r="G126" s="30" t="s">
        <v>435</v>
      </c>
      <c r="H126" s="37" t="s">
        <v>1095</v>
      </c>
      <c r="I126" s="37"/>
      <c r="J126" s="37" t="s">
        <v>1096</v>
      </c>
      <c r="K126" s="32">
        <v>4.9000000000000004</v>
      </c>
      <c r="L126" s="32">
        <v>3.8</v>
      </c>
      <c r="M126" s="32">
        <v>0.1</v>
      </c>
      <c r="N126" s="32">
        <v>8.8000000000000007</v>
      </c>
      <c r="O126" s="33">
        <v>482.35</v>
      </c>
      <c r="P126" s="38" t="s">
        <v>1014</v>
      </c>
      <c r="Q126" s="34" t="str">
        <f>IF(MasterFees[[#This Row],[GST Basis]]="Excl",MasterFees[[#This Row],[Fee as Printed]],IF(MasterFees[[#This Row],[GST Basis]]="Incl",MasterFees[[#This Row],[Fee as Printed]]/(1+GST_Rate),""))</f>
        <v/>
      </c>
      <c r="R126" s="34" t="str">
        <f>IF(MasterFees[[#This Row],[GST Basis]]="Incl",MasterFees[[#This Row],[Fee as Printed]],IF(MasterFees[[#This Row],[GST Basis]]="Excl",MasterFees[[#This Row],[Fee as Printed]]*(1+GST_Rate),""))</f>
        <v/>
      </c>
      <c r="S126" s="35">
        <f>IF(N(MasterFees[[#This Row],[Total Units]])=0,"",MasterFees[[#This Row],[Fee as Printed]]/MasterFees[[#This Row],[Total Units]])</f>
        <v>54.8125</v>
      </c>
      <c r="T126" s="36"/>
      <c r="U126" s="39" t="s">
        <v>1012</v>
      </c>
      <c r="V126" s="39" t="s">
        <v>1530</v>
      </c>
      <c r="W126" s="30"/>
      <c r="X126" s="73" t="s">
        <v>3323</v>
      </c>
      <c r="Y126" s="127" t="str">
        <f>_xlfn.XLOOKUP(MasterFees[[#This Row],[Provider / Payer]],Contracts[Contract Name],Contracts[Contract ID],"No contract")</f>
        <v>CON-01</v>
      </c>
      <c r="Z126" s="127" t="str">
        <f>_xlfn.XLOOKUP(MasterFees[[#This Row],[Provider / Payer]],Contracts[Contract Name],Contracts[Pricing Basis],"To confirm")</f>
        <v>To confirm</v>
      </c>
      <c r="AA126" s="127" t="str">
        <f>IF(MasterFees[[#This Row],[Pricing Basis]]="Fixed fee schedule","Yes","No")</f>
        <v>No</v>
      </c>
      <c r="AB126" s="127" t="str">
        <f>IF(OR(MasterFees[[#This Row],[Fee Basis]]="Add-on",MasterFees[[#This Row],[Fee Basis]]="Time band",MasterFees[[#This Row],[Fee Basis]]="Other"),MasterFees[[#This Row],[Fee Basis]],"Base")</f>
        <v>Base</v>
      </c>
      <c r="AC126" s="141" t="str">
        <f>IF(MasterFees[[#This Row],[Fixed Fee?]]="Yes",MasterFees[[#This Row],[Fee Excl. GST]],"")</f>
        <v/>
      </c>
    </row>
    <row r="127" spans="1:29" x14ac:dyDescent="0.2">
      <c r="A127" s="67" t="s">
        <v>2157</v>
      </c>
      <c r="B127" s="31">
        <f>IF(MasterFees[[#This Row],[RVG Code]]="","",_xlfn.XLOOKUP(MasterFees[[#This Row],[RVG Code]],RVGCodes[Code],RVGCodes[Base Units],"Code not found"))</f>
        <v>4</v>
      </c>
      <c r="C12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2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7" s="125" t="s">
        <v>2572</v>
      </c>
      <c r="F127" s="48" t="s">
        <v>2567</v>
      </c>
      <c r="G127" s="30" t="s">
        <v>4530</v>
      </c>
      <c r="H127" s="37" t="s">
        <v>4622</v>
      </c>
      <c r="I127" s="37" t="s">
        <v>4529</v>
      </c>
      <c r="J127" s="37" t="s">
        <v>1024</v>
      </c>
      <c r="K127" s="32"/>
      <c r="L127" s="32"/>
      <c r="M127" s="32"/>
      <c r="N127" s="32"/>
      <c r="O127" s="33">
        <v>600</v>
      </c>
      <c r="P127" s="38" t="s">
        <v>4398</v>
      </c>
      <c r="Q127" s="34">
        <f>IF(MasterFees[[#This Row],[GST Basis]]="Excl",MasterFees[[#This Row],[Fee as Printed]],IF(MasterFees[[#This Row],[GST Basis]]="Incl",MasterFees[[#This Row],[Fee as Printed]]/(1+GST_Rate),""))</f>
        <v>600</v>
      </c>
      <c r="R127" s="34">
        <f>IF(MasterFees[[#This Row],[GST Basis]]="Incl",MasterFees[[#This Row],[Fee as Printed]],IF(MasterFees[[#This Row],[GST Basis]]="Excl",MasterFees[[#This Row],[Fee as Printed]]*(1+GST_Rate),""))</f>
        <v>690</v>
      </c>
      <c r="S127" s="35" t="str">
        <f>IF(N(MasterFees[[#This Row],[Total Units]])=0,"",MasterFees[[#This Row],[Fee as Printed]]/MasterFees[[#This Row],[Total Units]])</f>
        <v/>
      </c>
      <c r="T127" s="36"/>
      <c r="U127" s="39" t="s">
        <v>4587</v>
      </c>
      <c r="V127" s="39" t="s">
        <v>4776</v>
      </c>
      <c r="W127" s="30" t="s">
        <v>4777</v>
      </c>
      <c r="X127" s="77" t="s">
        <v>4813</v>
      </c>
      <c r="Y127" s="127" t="str">
        <f>_xlfn.XLOOKUP(MasterFees[[#This Row],[Provider / Payer]],Contracts[Contract Name],Contracts[Contract ID],"No contract")</f>
        <v>CON-05</v>
      </c>
      <c r="Z127" s="127" t="str">
        <f>_xlfn.XLOOKUP(MasterFees[[#This Row],[Provider / Payer]],Contracts[Contract Name],Contracts[Pricing Basis],"To confirm")</f>
        <v>Fixed fee schedule</v>
      </c>
      <c r="AA127" s="127" t="str">
        <f>IF(MasterFees[[#This Row],[Pricing Basis]]="Fixed fee schedule","Yes","No")</f>
        <v>Yes</v>
      </c>
      <c r="AB127" s="127" t="str">
        <f>IF(OR(MasterFees[[#This Row],[Fee Basis]]="Add-on",MasterFees[[#This Row],[Fee Basis]]="Time band",MasterFees[[#This Row],[Fee Basis]]="Other"),MasterFees[[#This Row],[Fee Basis]],"Base")</f>
        <v>Base</v>
      </c>
      <c r="AC127" s="141">
        <f>IF(MasterFees[[#This Row],[Fixed Fee?]]="Yes",MasterFees[[#This Row],[Fee Excl. GST]],"")</f>
        <v>600</v>
      </c>
    </row>
    <row r="128" spans="1:29" x14ac:dyDescent="0.2">
      <c r="A128" s="67" t="s">
        <v>2157</v>
      </c>
      <c r="B128" s="31">
        <f>IF(MasterFees[[#This Row],[RVG Code]]="","",_xlfn.XLOOKUP(MasterFees[[#This Row],[RVG Code]],RVGCodes[Code],RVGCodes[Base Units],"Code not found"))</f>
        <v>4</v>
      </c>
      <c r="C12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2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8" s="125" t="s">
        <v>2572</v>
      </c>
      <c r="F128" s="48" t="s">
        <v>2567</v>
      </c>
      <c r="G128" s="30" t="s">
        <v>4530</v>
      </c>
      <c r="H128" s="37" t="s">
        <v>4625</v>
      </c>
      <c r="I128" s="37" t="s">
        <v>4529</v>
      </c>
      <c r="J128" s="37" t="s">
        <v>1024</v>
      </c>
      <c r="K128" s="32"/>
      <c r="L128" s="32"/>
      <c r="M128" s="32"/>
      <c r="N128" s="32"/>
      <c r="O128" s="33">
        <v>700</v>
      </c>
      <c r="P128" s="38" t="s">
        <v>4398</v>
      </c>
      <c r="Q128" s="34">
        <f>IF(MasterFees[[#This Row],[GST Basis]]="Excl",MasterFees[[#This Row],[Fee as Printed]],IF(MasterFees[[#This Row],[GST Basis]]="Incl",MasterFees[[#This Row],[Fee as Printed]]/(1+GST_Rate),""))</f>
        <v>700</v>
      </c>
      <c r="R128" s="34">
        <f>IF(MasterFees[[#This Row],[GST Basis]]="Incl",MasterFees[[#This Row],[Fee as Printed]],IF(MasterFees[[#This Row],[GST Basis]]="Excl",MasterFees[[#This Row],[Fee as Printed]]*(1+GST_Rate),""))</f>
        <v>804.99999999999989</v>
      </c>
      <c r="S128" s="35" t="str">
        <f>IF(N(MasterFees[[#This Row],[Total Units]])=0,"",MasterFees[[#This Row],[Fee as Printed]]/MasterFees[[#This Row],[Total Units]])</f>
        <v/>
      </c>
      <c r="T128" s="36"/>
      <c r="U128" s="39" t="s">
        <v>4587</v>
      </c>
      <c r="V128" s="39" t="s">
        <v>4778</v>
      </c>
      <c r="W128" s="30" t="s">
        <v>4779</v>
      </c>
      <c r="X128" s="77" t="s">
        <v>4813</v>
      </c>
      <c r="Y128" s="127" t="str">
        <f>_xlfn.XLOOKUP(MasterFees[[#This Row],[Provider / Payer]],Contracts[Contract Name],Contracts[Contract ID],"No contract")</f>
        <v>CON-06</v>
      </c>
      <c r="Z128" s="127" t="str">
        <f>_xlfn.XLOOKUP(MasterFees[[#This Row],[Provider / Payer]],Contracts[Contract Name],Contracts[Pricing Basis],"To confirm")</f>
        <v>Fixed fee schedule</v>
      </c>
      <c r="AA128" s="127" t="str">
        <f>IF(MasterFees[[#This Row],[Pricing Basis]]="Fixed fee schedule","Yes","No")</f>
        <v>Yes</v>
      </c>
      <c r="AB128" s="127" t="str">
        <f>IF(OR(MasterFees[[#This Row],[Fee Basis]]="Add-on",MasterFees[[#This Row],[Fee Basis]]="Time band",MasterFees[[#This Row],[Fee Basis]]="Other"),MasterFees[[#This Row],[Fee Basis]],"Base")</f>
        <v>Base</v>
      </c>
      <c r="AC128" s="141">
        <f>IF(MasterFees[[#This Row],[Fixed Fee?]]="Yes",MasterFees[[#This Row],[Fee Excl. GST]],"")</f>
        <v>700</v>
      </c>
    </row>
    <row r="129" spans="1:29" x14ac:dyDescent="0.2">
      <c r="A129" s="67" t="s">
        <v>2162</v>
      </c>
      <c r="B129" s="31">
        <f>IF(MasterFees[[#This Row],[RVG Code]]="","",_xlfn.XLOOKUP(MasterFees[[#This Row],[RVG Code]],RVGCodes[Code],RVGCodes[Base Units],"Code not found"))</f>
        <v>6</v>
      </c>
      <c r="C12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2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9" s="125" t="s">
        <v>2592</v>
      </c>
      <c r="F129" s="48" t="s">
        <v>2569</v>
      </c>
      <c r="G129" s="30" t="s">
        <v>443</v>
      </c>
      <c r="H129" s="37" t="s">
        <v>1095</v>
      </c>
      <c r="I129" s="37"/>
      <c r="J129" s="37" t="s">
        <v>1096</v>
      </c>
      <c r="K129" s="32">
        <v>0</v>
      </c>
      <c r="L129" s="32">
        <v>0</v>
      </c>
      <c r="M129" s="32">
        <v>0</v>
      </c>
      <c r="N129" s="32">
        <v>0</v>
      </c>
      <c r="O129" s="33">
        <v>0</v>
      </c>
      <c r="P129" s="38" t="s">
        <v>1014</v>
      </c>
      <c r="Q129" s="34" t="str">
        <f>IF(MasterFees[[#This Row],[GST Basis]]="Excl",MasterFees[[#This Row],[Fee as Printed]],IF(MasterFees[[#This Row],[GST Basis]]="Incl",MasterFees[[#This Row],[Fee as Printed]]/(1+GST_Rate),""))</f>
        <v/>
      </c>
      <c r="R129" s="34" t="str">
        <f>IF(MasterFees[[#This Row],[GST Basis]]="Incl",MasterFees[[#This Row],[Fee as Printed]],IF(MasterFees[[#This Row],[GST Basis]]="Excl",MasterFees[[#This Row],[Fee as Printed]]*(1+GST_Rate),""))</f>
        <v/>
      </c>
      <c r="S129" s="35" t="str">
        <f>IF(N(MasterFees[[#This Row],[Total Units]])=0,"",MasterFees[[#This Row],[Fee as Printed]]/MasterFees[[#This Row],[Total Units]])</f>
        <v/>
      </c>
      <c r="T129" s="36"/>
      <c r="U129" s="39" t="s">
        <v>1012</v>
      </c>
      <c r="V129" s="39" t="s">
        <v>1538</v>
      </c>
      <c r="W129" s="30"/>
      <c r="X129" s="73" t="s">
        <v>3331</v>
      </c>
      <c r="Y129" s="127" t="str">
        <f>_xlfn.XLOOKUP(MasterFees[[#This Row],[Provider / Payer]],Contracts[Contract Name],Contracts[Contract ID],"No contract")</f>
        <v>CON-01</v>
      </c>
      <c r="Z129" s="127" t="str">
        <f>_xlfn.XLOOKUP(MasterFees[[#This Row],[Provider / Payer]],Contracts[Contract Name],Contracts[Pricing Basis],"To confirm")</f>
        <v>To confirm</v>
      </c>
      <c r="AA129" s="127" t="str">
        <f>IF(MasterFees[[#This Row],[Pricing Basis]]="Fixed fee schedule","Yes","No")</f>
        <v>No</v>
      </c>
      <c r="AB129" s="127" t="str">
        <f>IF(OR(MasterFees[[#This Row],[Fee Basis]]="Add-on",MasterFees[[#This Row],[Fee Basis]]="Time band",MasterFees[[#This Row],[Fee Basis]]="Other"),MasterFees[[#This Row],[Fee Basis]],"Base")</f>
        <v>Base</v>
      </c>
      <c r="AC129" s="141" t="str">
        <f>IF(MasterFees[[#This Row],[Fixed Fee?]]="Yes",MasterFees[[#This Row],[Fee Excl. GST]],"")</f>
        <v/>
      </c>
    </row>
    <row r="130" spans="1:29" x14ac:dyDescent="0.2">
      <c r="A130" s="67" t="s">
        <v>2157</v>
      </c>
      <c r="B130" s="31">
        <f>IF(MasterFees[[#This Row],[RVG Code]]="","",_xlfn.XLOOKUP(MasterFees[[#This Row],[RVG Code]],RVGCodes[Code],RVGCodes[Base Units],"Code not found"))</f>
        <v>4</v>
      </c>
      <c r="C13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3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30" s="125" t="s">
        <v>2572</v>
      </c>
      <c r="F130" s="48" t="s">
        <v>2567</v>
      </c>
      <c r="G130" s="30" t="s">
        <v>4502</v>
      </c>
      <c r="H130" s="37" t="s">
        <v>4622</v>
      </c>
      <c r="I130" s="37" t="s">
        <v>4501</v>
      </c>
      <c r="J130" s="37" t="s">
        <v>1024</v>
      </c>
      <c r="K130" s="32"/>
      <c r="L130" s="32"/>
      <c r="M130" s="32"/>
      <c r="N130" s="32"/>
      <c r="O130" s="33">
        <v>750</v>
      </c>
      <c r="P130" s="38" t="s">
        <v>4398</v>
      </c>
      <c r="Q130" s="34">
        <f>IF(MasterFees[[#This Row],[GST Basis]]="Excl",MasterFees[[#This Row],[Fee as Printed]],IF(MasterFees[[#This Row],[GST Basis]]="Incl",MasterFees[[#This Row],[Fee as Printed]]/(1+GST_Rate),""))</f>
        <v>750</v>
      </c>
      <c r="R130" s="34">
        <f>IF(MasterFees[[#This Row],[GST Basis]]="Incl",MasterFees[[#This Row],[Fee as Printed]],IF(MasterFees[[#This Row],[GST Basis]]="Excl",MasterFees[[#This Row],[Fee as Printed]]*(1+GST_Rate),""))</f>
        <v>862.49999999999989</v>
      </c>
      <c r="S130" s="35" t="str">
        <f>IF(N(MasterFees[[#This Row],[Total Units]])=0,"",MasterFees[[#This Row],[Fee as Printed]]/MasterFees[[#This Row],[Total Units]])</f>
        <v/>
      </c>
      <c r="T130" s="36"/>
      <c r="U130" s="39" t="s">
        <v>4587</v>
      </c>
      <c r="V130" s="39" t="s">
        <v>4790</v>
      </c>
      <c r="W130" s="30" t="s">
        <v>4791</v>
      </c>
      <c r="X130" s="77" t="s">
        <v>4806</v>
      </c>
      <c r="Y130" s="127" t="str">
        <f>_xlfn.XLOOKUP(MasterFees[[#This Row],[Provider / Payer]],Contracts[Contract Name],Contracts[Contract ID],"No contract")</f>
        <v>CON-05</v>
      </c>
      <c r="Z130" s="127" t="str">
        <f>_xlfn.XLOOKUP(MasterFees[[#This Row],[Provider / Payer]],Contracts[Contract Name],Contracts[Pricing Basis],"To confirm")</f>
        <v>Fixed fee schedule</v>
      </c>
      <c r="AA130" s="127" t="str">
        <f>IF(MasterFees[[#This Row],[Pricing Basis]]="Fixed fee schedule","Yes","No")</f>
        <v>Yes</v>
      </c>
      <c r="AB130" s="127" t="str">
        <f>IF(OR(MasterFees[[#This Row],[Fee Basis]]="Add-on",MasterFees[[#This Row],[Fee Basis]]="Time band",MasterFees[[#This Row],[Fee Basis]]="Other"),MasterFees[[#This Row],[Fee Basis]],"Base")</f>
        <v>Base</v>
      </c>
      <c r="AC130" s="141">
        <f>IF(MasterFees[[#This Row],[Fixed Fee?]]="Yes",MasterFees[[#This Row],[Fee Excl. GST]],"")</f>
        <v>750</v>
      </c>
    </row>
    <row r="131" spans="1:29" x14ac:dyDescent="0.2">
      <c r="A131" s="67" t="s">
        <v>2157</v>
      </c>
      <c r="B131" s="31">
        <f>IF(MasterFees[[#This Row],[RVG Code]]="","",_xlfn.XLOOKUP(MasterFees[[#This Row],[RVG Code]],RVGCodes[Code],RVGCodes[Base Units],"Code not found"))</f>
        <v>4</v>
      </c>
      <c r="C13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3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31" s="125" t="s">
        <v>2572</v>
      </c>
      <c r="F131" s="48" t="s">
        <v>2567</v>
      </c>
      <c r="G131" s="30" t="s">
        <v>4502</v>
      </c>
      <c r="H131" s="37" t="s">
        <v>4625</v>
      </c>
      <c r="I131" s="37" t="s">
        <v>4501</v>
      </c>
      <c r="J131" s="37" t="s">
        <v>1024</v>
      </c>
      <c r="K131" s="32"/>
      <c r="L131" s="32"/>
      <c r="M131" s="32"/>
      <c r="N131" s="32"/>
      <c r="O131" s="33">
        <v>800</v>
      </c>
      <c r="P131" s="38" t="s">
        <v>4398</v>
      </c>
      <c r="Q131" s="34">
        <f>IF(MasterFees[[#This Row],[GST Basis]]="Excl",MasterFees[[#This Row],[Fee as Printed]],IF(MasterFees[[#This Row],[GST Basis]]="Incl",MasterFees[[#This Row],[Fee as Printed]]/(1+GST_Rate),""))</f>
        <v>800</v>
      </c>
      <c r="R131" s="34">
        <f>IF(MasterFees[[#This Row],[GST Basis]]="Incl",MasterFees[[#This Row],[Fee as Printed]],IF(MasterFees[[#This Row],[GST Basis]]="Excl",MasterFees[[#This Row],[Fee as Printed]]*(1+GST_Rate),""))</f>
        <v>919.99999999999989</v>
      </c>
      <c r="S131" s="35" t="str">
        <f>IF(N(MasterFees[[#This Row],[Total Units]])=0,"",MasterFees[[#This Row],[Fee as Printed]]/MasterFees[[#This Row],[Total Units]])</f>
        <v/>
      </c>
      <c r="T131" s="36"/>
      <c r="U131" s="39" t="s">
        <v>4587</v>
      </c>
      <c r="V131" s="39" t="s">
        <v>4792</v>
      </c>
      <c r="W131" s="30" t="s">
        <v>4793</v>
      </c>
      <c r="X131" s="77" t="s">
        <v>4806</v>
      </c>
      <c r="Y131" s="127" t="str">
        <f>_xlfn.XLOOKUP(MasterFees[[#This Row],[Provider / Payer]],Contracts[Contract Name],Contracts[Contract ID],"No contract")</f>
        <v>CON-06</v>
      </c>
      <c r="Z131" s="127" t="str">
        <f>_xlfn.XLOOKUP(MasterFees[[#This Row],[Provider / Payer]],Contracts[Contract Name],Contracts[Pricing Basis],"To confirm")</f>
        <v>Fixed fee schedule</v>
      </c>
      <c r="AA131" s="127" t="str">
        <f>IF(MasterFees[[#This Row],[Pricing Basis]]="Fixed fee schedule","Yes","No")</f>
        <v>Yes</v>
      </c>
      <c r="AB131" s="127" t="str">
        <f>IF(OR(MasterFees[[#This Row],[Fee Basis]]="Add-on",MasterFees[[#This Row],[Fee Basis]]="Time band",MasterFees[[#This Row],[Fee Basis]]="Other"),MasterFees[[#This Row],[Fee Basis]],"Base")</f>
        <v>Base</v>
      </c>
      <c r="AC131" s="141">
        <f>IF(MasterFees[[#This Row],[Fixed Fee?]]="Yes",MasterFees[[#This Row],[Fee Excl. GST]],"")</f>
        <v>800</v>
      </c>
    </row>
    <row r="132" spans="1:29" x14ac:dyDescent="0.2">
      <c r="A132" s="67" t="s">
        <v>2157</v>
      </c>
      <c r="B132" s="31">
        <f>IF(MasterFees[[#This Row],[RVG Code]]="","",_xlfn.XLOOKUP(MasterFees[[#This Row],[RVG Code]],RVGCodes[Code],RVGCodes[Base Units],"Code not found"))</f>
        <v>4</v>
      </c>
      <c r="C13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3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32" s="125" t="s">
        <v>2572</v>
      </c>
      <c r="F132" s="48" t="s">
        <v>2567</v>
      </c>
      <c r="G132" s="30" t="s">
        <v>4560</v>
      </c>
      <c r="H132" s="37" t="s">
        <v>4622</v>
      </c>
      <c r="I132" s="37" t="s">
        <v>4559</v>
      </c>
      <c r="J132" s="37" t="s">
        <v>1024</v>
      </c>
      <c r="K132" s="32"/>
      <c r="L132" s="32"/>
      <c r="M132" s="32"/>
      <c r="N132" s="32"/>
      <c r="O132" s="33">
        <v>750</v>
      </c>
      <c r="P132" s="38" t="s">
        <v>4398</v>
      </c>
      <c r="Q132" s="34">
        <f>IF(MasterFees[[#This Row],[GST Basis]]="Excl",MasterFees[[#This Row],[Fee as Printed]],IF(MasterFees[[#This Row],[GST Basis]]="Incl",MasterFees[[#This Row],[Fee as Printed]]/(1+GST_Rate),""))</f>
        <v>750</v>
      </c>
      <c r="R132" s="34">
        <f>IF(MasterFees[[#This Row],[GST Basis]]="Incl",MasterFees[[#This Row],[Fee as Printed]],IF(MasterFees[[#This Row],[GST Basis]]="Excl",MasterFees[[#This Row],[Fee as Printed]]*(1+GST_Rate),""))</f>
        <v>862.49999999999989</v>
      </c>
      <c r="S132" s="35" t="str">
        <f>IF(N(MasterFees[[#This Row],[Total Units]])=0,"",MasterFees[[#This Row],[Fee as Printed]]/MasterFees[[#This Row],[Total Units]])</f>
        <v/>
      </c>
      <c r="T132" s="36"/>
      <c r="U132" s="39" t="s">
        <v>4587</v>
      </c>
      <c r="V132" s="39" t="s">
        <v>4800</v>
      </c>
      <c r="W132" s="30" t="s">
        <v>4791</v>
      </c>
      <c r="X132" s="77" t="s">
        <v>4810</v>
      </c>
      <c r="Y132" s="127" t="str">
        <f>_xlfn.XLOOKUP(MasterFees[[#This Row],[Provider / Payer]],Contracts[Contract Name],Contracts[Contract ID],"No contract")</f>
        <v>CON-05</v>
      </c>
      <c r="Z132" s="127" t="str">
        <f>_xlfn.XLOOKUP(MasterFees[[#This Row],[Provider / Payer]],Contracts[Contract Name],Contracts[Pricing Basis],"To confirm")</f>
        <v>Fixed fee schedule</v>
      </c>
      <c r="AA132" s="127" t="str">
        <f>IF(MasterFees[[#This Row],[Pricing Basis]]="Fixed fee schedule","Yes","No")</f>
        <v>Yes</v>
      </c>
      <c r="AB132" s="127" t="str">
        <f>IF(OR(MasterFees[[#This Row],[Fee Basis]]="Add-on",MasterFees[[#This Row],[Fee Basis]]="Time band",MasterFees[[#This Row],[Fee Basis]]="Other"),MasterFees[[#This Row],[Fee Basis]],"Base")</f>
        <v>Base</v>
      </c>
      <c r="AC132" s="141">
        <f>IF(MasterFees[[#This Row],[Fixed Fee?]]="Yes",MasterFees[[#This Row],[Fee Excl. GST]],"")</f>
        <v>750</v>
      </c>
    </row>
    <row r="133" spans="1:29" x14ac:dyDescent="0.2">
      <c r="A133" s="67" t="s">
        <v>2157</v>
      </c>
      <c r="B133" s="31">
        <f>IF(MasterFees[[#This Row],[RVG Code]]="","",_xlfn.XLOOKUP(MasterFees[[#This Row],[RVG Code]],RVGCodes[Code],RVGCodes[Base Units],"Code not found"))</f>
        <v>4</v>
      </c>
      <c r="C13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3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33" s="125" t="s">
        <v>2572</v>
      </c>
      <c r="F133" s="48" t="s">
        <v>2567</v>
      </c>
      <c r="G133" s="30" t="s">
        <v>4560</v>
      </c>
      <c r="H133" s="37" t="s">
        <v>4625</v>
      </c>
      <c r="I133" s="37" t="s">
        <v>4559</v>
      </c>
      <c r="J133" s="37" t="s">
        <v>1024</v>
      </c>
      <c r="K133" s="32"/>
      <c r="L133" s="32"/>
      <c r="M133" s="32"/>
      <c r="N133" s="32"/>
      <c r="O133" s="33">
        <v>800</v>
      </c>
      <c r="P133" s="38" t="s">
        <v>4398</v>
      </c>
      <c r="Q133" s="34">
        <f>IF(MasterFees[[#This Row],[GST Basis]]="Excl",MasterFees[[#This Row],[Fee as Printed]],IF(MasterFees[[#This Row],[GST Basis]]="Incl",MasterFees[[#This Row],[Fee as Printed]]/(1+GST_Rate),""))</f>
        <v>800</v>
      </c>
      <c r="R133" s="34">
        <f>IF(MasterFees[[#This Row],[GST Basis]]="Incl",MasterFees[[#This Row],[Fee as Printed]],IF(MasterFees[[#This Row],[GST Basis]]="Excl",MasterFees[[#This Row],[Fee as Printed]]*(1+GST_Rate),""))</f>
        <v>919.99999999999989</v>
      </c>
      <c r="S133" s="35" t="str">
        <f>IF(N(MasterFees[[#This Row],[Total Units]])=0,"",MasterFees[[#This Row],[Fee as Printed]]/MasterFees[[#This Row],[Total Units]])</f>
        <v/>
      </c>
      <c r="T133" s="36"/>
      <c r="U133" s="39" t="s">
        <v>4587</v>
      </c>
      <c r="V133" s="39" t="s">
        <v>4801</v>
      </c>
      <c r="W133" s="30" t="s">
        <v>4793</v>
      </c>
      <c r="X133" s="77" t="s">
        <v>4810</v>
      </c>
      <c r="Y133" s="127" t="str">
        <f>_xlfn.XLOOKUP(MasterFees[[#This Row],[Provider / Payer]],Contracts[Contract Name],Contracts[Contract ID],"No contract")</f>
        <v>CON-06</v>
      </c>
      <c r="Z133" s="127" t="str">
        <f>_xlfn.XLOOKUP(MasterFees[[#This Row],[Provider / Payer]],Contracts[Contract Name],Contracts[Pricing Basis],"To confirm")</f>
        <v>Fixed fee schedule</v>
      </c>
      <c r="AA133" s="127" t="str">
        <f>IF(MasterFees[[#This Row],[Pricing Basis]]="Fixed fee schedule","Yes","No")</f>
        <v>Yes</v>
      </c>
      <c r="AB133" s="127" t="str">
        <f>IF(OR(MasterFees[[#This Row],[Fee Basis]]="Add-on",MasterFees[[#This Row],[Fee Basis]]="Time band",MasterFees[[#This Row],[Fee Basis]]="Other"),MasterFees[[#This Row],[Fee Basis]],"Base")</f>
        <v>Base</v>
      </c>
      <c r="AC133" s="141">
        <f>IF(MasterFees[[#This Row],[Fixed Fee?]]="Yes",MasterFees[[#This Row],[Fee Excl. GST]],"")</f>
        <v>800</v>
      </c>
    </row>
    <row r="134" spans="1:29" x14ac:dyDescent="0.2">
      <c r="A134" s="67" t="s">
        <v>2165</v>
      </c>
      <c r="B134" s="31">
        <f>IF(MasterFees[[#This Row],[RVG Code]]="","",_xlfn.XLOOKUP(MasterFees[[#This Row],[RVG Code]],RVGCodes[Code],RVGCodes[Base Units],"Code not found"))</f>
        <v>10</v>
      </c>
      <c r="C13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3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34" s="125" t="s">
        <v>2593</v>
      </c>
      <c r="F134" s="48" t="s">
        <v>2569</v>
      </c>
      <c r="G134" s="30" t="s">
        <v>524</v>
      </c>
      <c r="H134" s="37" t="s">
        <v>1095</v>
      </c>
      <c r="I134" s="37"/>
      <c r="J134" s="37" t="s">
        <v>1096</v>
      </c>
      <c r="K134" s="32">
        <v>10</v>
      </c>
      <c r="L134" s="32">
        <v>12</v>
      </c>
      <c r="M134" s="32">
        <v>0</v>
      </c>
      <c r="N134" s="32">
        <v>22</v>
      </c>
      <c r="O134" s="33">
        <v>1210</v>
      </c>
      <c r="P134" s="38" t="s">
        <v>1014</v>
      </c>
      <c r="Q134" s="34" t="str">
        <f>IF(MasterFees[[#This Row],[GST Basis]]="Excl",MasterFees[[#This Row],[Fee as Printed]],IF(MasterFees[[#This Row],[GST Basis]]="Incl",MasterFees[[#This Row],[Fee as Printed]]/(1+GST_Rate),""))</f>
        <v/>
      </c>
      <c r="R134" s="34" t="str">
        <f>IF(MasterFees[[#This Row],[GST Basis]]="Incl",MasterFees[[#This Row],[Fee as Printed]],IF(MasterFees[[#This Row],[GST Basis]]="Excl",MasterFees[[#This Row],[Fee as Printed]]*(1+GST_Rate),""))</f>
        <v/>
      </c>
      <c r="S134" s="35">
        <f>IF(N(MasterFees[[#This Row],[Total Units]])=0,"",MasterFees[[#This Row],[Fee as Printed]]/MasterFees[[#This Row],[Total Units]])</f>
        <v>55</v>
      </c>
      <c r="T134" s="36"/>
      <c r="U134" s="39" t="s">
        <v>1012</v>
      </c>
      <c r="V134" s="39" t="s">
        <v>1619</v>
      </c>
      <c r="W134" s="30"/>
      <c r="X134" s="73" t="s">
        <v>3415</v>
      </c>
      <c r="Y134" s="127" t="str">
        <f>_xlfn.XLOOKUP(MasterFees[[#This Row],[Provider / Payer]],Contracts[Contract Name],Contracts[Contract ID],"No contract")</f>
        <v>CON-01</v>
      </c>
      <c r="Z134" s="127" t="str">
        <f>_xlfn.XLOOKUP(MasterFees[[#This Row],[Provider / Payer]],Contracts[Contract Name],Contracts[Pricing Basis],"To confirm")</f>
        <v>To confirm</v>
      </c>
      <c r="AA134" s="127" t="str">
        <f>IF(MasterFees[[#This Row],[Pricing Basis]]="Fixed fee schedule","Yes","No")</f>
        <v>No</v>
      </c>
      <c r="AB134" s="127" t="str">
        <f>IF(OR(MasterFees[[#This Row],[Fee Basis]]="Add-on",MasterFees[[#This Row],[Fee Basis]]="Time band",MasterFees[[#This Row],[Fee Basis]]="Other"),MasterFees[[#This Row],[Fee Basis]],"Base")</f>
        <v>Base</v>
      </c>
      <c r="AC134" s="141" t="str">
        <f>IF(MasterFees[[#This Row],[Fixed Fee?]]="Yes",MasterFees[[#This Row],[Fee Excl. GST]],"")</f>
        <v/>
      </c>
    </row>
    <row r="135" spans="1:29" x14ac:dyDescent="0.2">
      <c r="A135" s="67" t="s">
        <v>2162</v>
      </c>
      <c r="B135" s="31">
        <f>IF(MasterFees[[#This Row],[RVG Code]]="","",_xlfn.XLOOKUP(MasterFees[[#This Row],[RVG Code]],RVGCodes[Code],RVGCodes[Base Units],"Code not found"))</f>
        <v>6</v>
      </c>
      <c r="C13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3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35" s="125" t="s">
        <v>2592</v>
      </c>
      <c r="F135" s="48" t="s">
        <v>2567</v>
      </c>
      <c r="G135" s="30" t="s">
        <v>549</v>
      </c>
      <c r="H135" s="37" t="s">
        <v>1095</v>
      </c>
      <c r="I135" s="37"/>
      <c r="J135" s="37" t="s">
        <v>1096</v>
      </c>
      <c r="K135" s="32">
        <v>5.9</v>
      </c>
      <c r="L135" s="32">
        <v>10.8</v>
      </c>
      <c r="M135" s="32">
        <v>1.3</v>
      </c>
      <c r="N135" s="32">
        <v>18</v>
      </c>
      <c r="O135" s="33">
        <v>987.25</v>
      </c>
      <c r="P135" s="38" t="s">
        <v>1014</v>
      </c>
      <c r="Q135" s="34" t="str">
        <f>IF(MasterFees[[#This Row],[GST Basis]]="Excl",MasterFees[[#This Row],[Fee as Printed]],IF(MasterFees[[#This Row],[GST Basis]]="Incl",MasterFees[[#This Row],[Fee as Printed]]/(1+GST_Rate),""))</f>
        <v/>
      </c>
      <c r="R135" s="34" t="str">
        <f>IF(MasterFees[[#This Row],[GST Basis]]="Incl",MasterFees[[#This Row],[Fee as Printed]],IF(MasterFees[[#This Row],[GST Basis]]="Excl",MasterFees[[#This Row],[Fee as Printed]]*(1+GST_Rate),""))</f>
        <v/>
      </c>
      <c r="S135" s="35">
        <f>IF(N(MasterFees[[#This Row],[Total Units]])=0,"",MasterFees[[#This Row],[Fee as Printed]]/MasterFees[[#This Row],[Total Units]])</f>
        <v>54.847222222222221</v>
      </c>
      <c r="T135" s="36"/>
      <c r="U135" s="39" t="s">
        <v>1012</v>
      </c>
      <c r="V135" s="39" t="s">
        <v>1645</v>
      </c>
      <c r="W135" s="30"/>
      <c r="X135" s="73" t="s">
        <v>3442</v>
      </c>
      <c r="Y135" s="127" t="str">
        <f>_xlfn.XLOOKUP(MasterFees[[#This Row],[Provider / Payer]],Contracts[Contract Name],Contracts[Contract ID],"No contract")</f>
        <v>CON-01</v>
      </c>
      <c r="Z135" s="127" t="str">
        <f>_xlfn.XLOOKUP(MasterFees[[#This Row],[Provider / Payer]],Contracts[Contract Name],Contracts[Pricing Basis],"To confirm")</f>
        <v>To confirm</v>
      </c>
      <c r="AA135" s="127" t="str">
        <f>IF(MasterFees[[#This Row],[Pricing Basis]]="Fixed fee schedule","Yes","No")</f>
        <v>No</v>
      </c>
      <c r="AB135" s="127" t="str">
        <f>IF(OR(MasterFees[[#This Row],[Fee Basis]]="Add-on",MasterFees[[#This Row],[Fee Basis]]="Time band",MasterFees[[#This Row],[Fee Basis]]="Other"),MasterFees[[#This Row],[Fee Basis]],"Base")</f>
        <v>Base</v>
      </c>
      <c r="AC135" s="141" t="str">
        <f>IF(MasterFees[[#This Row],[Fixed Fee?]]="Yes",MasterFees[[#This Row],[Fee Excl. GST]],"")</f>
        <v/>
      </c>
    </row>
    <row r="136" spans="1:29" x14ac:dyDescent="0.2">
      <c r="A136" s="67" t="s">
        <v>2159</v>
      </c>
      <c r="B136" s="31">
        <f>IF(MasterFees[[#This Row],[RVG Code]]="","",_xlfn.XLOOKUP(MasterFees[[#This Row],[RVG Code]],RVGCodes[Code],RVGCodes[Base Units],"Code not found"))</f>
        <v>5</v>
      </c>
      <c r="C13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3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36" s="125" t="s">
        <v>2571</v>
      </c>
      <c r="F136" s="48" t="s">
        <v>2567</v>
      </c>
      <c r="G136" s="30" t="s">
        <v>555</v>
      </c>
      <c r="H136" s="37" t="s">
        <v>1095</v>
      </c>
      <c r="I136" s="37"/>
      <c r="J136" s="37" t="s">
        <v>1096</v>
      </c>
      <c r="K136" s="32">
        <v>5</v>
      </c>
      <c r="L136" s="32">
        <v>2.4</v>
      </c>
      <c r="M136" s="32">
        <v>0</v>
      </c>
      <c r="N136" s="32">
        <v>7.4</v>
      </c>
      <c r="O136" s="33">
        <v>407</v>
      </c>
      <c r="P136" s="38" t="s">
        <v>1014</v>
      </c>
      <c r="Q136" s="34" t="str">
        <f>IF(MasterFees[[#This Row],[GST Basis]]="Excl",MasterFees[[#This Row],[Fee as Printed]],IF(MasterFees[[#This Row],[GST Basis]]="Incl",MasterFees[[#This Row],[Fee as Printed]]/(1+GST_Rate),""))</f>
        <v/>
      </c>
      <c r="R136" s="34" t="str">
        <f>IF(MasterFees[[#This Row],[GST Basis]]="Incl",MasterFees[[#This Row],[Fee as Printed]],IF(MasterFees[[#This Row],[GST Basis]]="Excl",MasterFees[[#This Row],[Fee as Printed]]*(1+GST_Rate),""))</f>
        <v/>
      </c>
      <c r="S136" s="35">
        <f>IF(N(MasterFees[[#This Row],[Total Units]])=0,"",MasterFees[[#This Row],[Fee as Printed]]/MasterFees[[#This Row],[Total Units]])</f>
        <v>55</v>
      </c>
      <c r="T136" s="36"/>
      <c r="U136" s="39" t="s">
        <v>1012</v>
      </c>
      <c r="V136" s="39" t="s">
        <v>1651</v>
      </c>
      <c r="W136" s="30"/>
      <c r="X136" s="73" t="s">
        <v>3448</v>
      </c>
      <c r="Y136" s="127" t="str">
        <f>_xlfn.XLOOKUP(MasterFees[[#This Row],[Provider / Payer]],Contracts[Contract Name],Contracts[Contract ID],"No contract")</f>
        <v>CON-01</v>
      </c>
      <c r="Z136" s="127" t="str">
        <f>_xlfn.XLOOKUP(MasterFees[[#This Row],[Provider / Payer]],Contracts[Contract Name],Contracts[Pricing Basis],"To confirm")</f>
        <v>To confirm</v>
      </c>
      <c r="AA136" s="127" t="str">
        <f>IF(MasterFees[[#This Row],[Pricing Basis]]="Fixed fee schedule","Yes","No")</f>
        <v>No</v>
      </c>
      <c r="AB136" s="127" t="str">
        <f>IF(OR(MasterFees[[#This Row],[Fee Basis]]="Add-on",MasterFees[[#This Row],[Fee Basis]]="Time band",MasterFees[[#This Row],[Fee Basis]]="Other"),MasterFees[[#This Row],[Fee Basis]],"Base")</f>
        <v>Base</v>
      </c>
      <c r="AC136" s="141" t="str">
        <f>IF(MasterFees[[#This Row],[Fixed Fee?]]="Yes",MasterFees[[#This Row],[Fee Excl. GST]],"")</f>
        <v/>
      </c>
    </row>
    <row r="137" spans="1:29" x14ac:dyDescent="0.2">
      <c r="A137" s="67" t="s">
        <v>2162</v>
      </c>
      <c r="B137" s="31">
        <f>IF(MasterFees[[#This Row],[RVG Code]]="","",_xlfn.XLOOKUP(MasterFees[[#This Row],[RVG Code]],RVGCodes[Code],RVGCodes[Base Units],"Code not found"))</f>
        <v>6</v>
      </c>
      <c r="C13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3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37" s="125" t="s">
        <v>2592</v>
      </c>
      <c r="F137" s="48" t="s">
        <v>2569</v>
      </c>
      <c r="G137" s="30" t="s">
        <v>593</v>
      </c>
      <c r="H137" s="37" t="s">
        <v>1095</v>
      </c>
      <c r="I137" s="37"/>
      <c r="J137" s="37" t="s">
        <v>1096</v>
      </c>
      <c r="K137" s="32">
        <v>3</v>
      </c>
      <c r="L137" s="32">
        <v>3</v>
      </c>
      <c r="M137" s="32">
        <v>1</v>
      </c>
      <c r="N137" s="32">
        <v>7</v>
      </c>
      <c r="O137" s="33">
        <v>385</v>
      </c>
      <c r="P137" s="38" t="s">
        <v>1014</v>
      </c>
      <c r="Q137" s="34" t="str">
        <f>IF(MasterFees[[#This Row],[GST Basis]]="Excl",MasterFees[[#This Row],[Fee as Printed]],IF(MasterFees[[#This Row],[GST Basis]]="Incl",MasterFees[[#This Row],[Fee as Printed]]/(1+GST_Rate),""))</f>
        <v/>
      </c>
      <c r="R137" s="34" t="str">
        <f>IF(MasterFees[[#This Row],[GST Basis]]="Incl",MasterFees[[#This Row],[Fee as Printed]],IF(MasterFees[[#This Row],[GST Basis]]="Excl",MasterFees[[#This Row],[Fee as Printed]]*(1+GST_Rate),""))</f>
        <v/>
      </c>
      <c r="S137" s="35">
        <f>IF(N(MasterFees[[#This Row],[Total Units]])=0,"",MasterFees[[#This Row],[Fee as Printed]]/MasterFees[[#This Row],[Total Units]])</f>
        <v>55</v>
      </c>
      <c r="T137" s="36"/>
      <c r="U137" s="39" t="s">
        <v>1012</v>
      </c>
      <c r="V137" s="39" t="s">
        <v>1689</v>
      </c>
      <c r="W137" s="30"/>
      <c r="X137" s="73" t="s">
        <v>3486</v>
      </c>
      <c r="Y137" s="127" t="str">
        <f>_xlfn.XLOOKUP(MasterFees[[#This Row],[Provider / Payer]],Contracts[Contract Name],Contracts[Contract ID],"No contract")</f>
        <v>CON-01</v>
      </c>
      <c r="Z137" s="127" t="str">
        <f>_xlfn.XLOOKUP(MasterFees[[#This Row],[Provider / Payer]],Contracts[Contract Name],Contracts[Pricing Basis],"To confirm")</f>
        <v>To confirm</v>
      </c>
      <c r="AA137" s="127" t="str">
        <f>IF(MasterFees[[#This Row],[Pricing Basis]]="Fixed fee schedule","Yes","No")</f>
        <v>No</v>
      </c>
      <c r="AB137" s="127" t="str">
        <f>IF(OR(MasterFees[[#This Row],[Fee Basis]]="Add-on",MasterFees[[#This Row],[Fee Basis]]="Time band",MasterFees[[#This Row],[Fee Basis]]="Other"),MasterFees[[#This Row],[Fee Basis]],"Base")</f>
        <v>Base</v>
      </c>
      <c r="AC137" s="141" t="str">
        <f>IF(MasterFees[[#This Row],[Fixed Fee?]]="Yes",MasterFees[[#This Row],[Fee Excl. GST]],"")</f>
        <v/>
      </c>
    </row>
    <row r="138" spans="1:29" x14ac:dyDescent="0.2">
      <c r="A138" s="67" t="s">
        <v>2159</v>
      </c>
      <c r="B138" s="31">
        <f>IF(MasterFees[[#This Row],[RVG Code]]="","",_xlfn.XLOOKUP(MasterFees[[#This Row],[RVG Code]],RVGCodes[Code],RVGCodes[Base Units],"Code not found"))</f>
        <v>5</v>
      </c>
      <c r="C13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3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38" s="125" t="s">
        <v>2571</v>
      </c>
      <c r="F138" s="48" t="s">
        <v>2569</v>
      </c>
      <c r="G138" s="30" t="s">
        <v>603</v>
      </c>
      <c r="H138" s="37" t="s">
        <v>1095</v>
      </c>
      <c r="I138" s="37"/>
      <c r="J138" s="37" t="s">
        <v>1096</v>
      </c>
      <c r="K138" s="32">
        <v>5</v>
      </c>
      <c r="L138" s="32">
        <v>3</v>
      </c>
      <c r="M138" s="32">
        <v>0</v>
      </c>
      <c r="N138" s="32">
        <v>8</v>
      </c>
      <c r="O138" s="33">
        <v>440</v>
      </c>
      <c r="P138" s="38" t="s">
        <v>1014</v>
      </c>
      <c r="Q138" s="34" t="str">
        <f>IF(MasterFees[[#This Row],[GST Basis]]="Excl",MasterFees[[#This Row],[Fee as Printed]],IF(MasterFees[[#This Row],[GST Basis]]="Incl",MasterFees[[#This Row],[Fee as Printed]]/(1+GST_Rate),""))</f>
        <v/>
      </c>
      <c r="R138" s="34" t="str">
        <f>IF(MasterFees[[#This Row],[GST Basis]]="Incl",MasterFees[[#This Row],[Fee as Printed]],IF(MasterFees[[#This Row],[GST Basis]]="Excl",MasterFees[[#This Row],[Fee as Printed]]*(1+GST_Rate),""))</f>
        <v/>
      </c>
      <c r="S138" s="35">
        <f>IF(N(MasterFees[[#This Row],[Total Units]])=0,"",MasterFees[[#This Row],[Fee as Printed]]/MasterFees[[#This Row],[Total Units]])</f>
        <v>55</v>
      </c>
      <c r="T138" s="36"/>
      <c r="U138" s="39" t="s">
        <v>1012</v>
      </c>
      <c r="V138" s="39" t="s">
        <v>1700</v>
      </c>
      <c r="W138" s="30"/>
      <c r="X138" s="73" t="s">
        <v>3497</v>
      </c>
      <c r="Y138" s="127" t="str">
        <f>_xlfn.XLOOKUP(MasterFees[[#This Row],[Provider / Payer]],Contracts[Contract Name],Contracts[Contract ID],"No contract")</f>
        <v>CON-01</v>
      </c>
      <c r="Z138" s="127" t="str">
        <f>_xlfn.XLOOKUP(MasterFees[[#This Row],[Provider / Payer]],Contracts[Contract Name],Contracts[Pricing Basis],"To confirm")</f>
        <v>To confirm</v>
      </c>
      <c r="AA138" s="127" t="str">
        <f>IF(MasterFees[[#This Row],[Pricing Basis]]="Fixed fee schedule","Yes","No")</f>
        <v>No</v>
      </c>
      <c r="AB138" s="127" t="str">
        <f>IF(OR(MasterFees[[#This Row],[Fee Basis]]="Add-on",MasterFees[[#This Row],[Fee Basis]]="Time band",MasterFees[[#This Row],[Fee Basis]]="Other"),MasterFees[[#This Row],[Fee Basis]],"Base")</f>
        <v>Base</v>
      </c>
      <c r="AC138" s="141" t="str">
        <f>IF(MasterFees[[#This Row],[Fixed Fee?]]="Yes",MasterFees[[#This Row],[Fee Excl. GST]],"")</f>
        <v/>
      </c>
    </row>
    <row r="139" spans="1:29" x14ac:dyDescent="0.2">
      <c r="A139" s="67" t="s">
        <v>2157</v>
      </c>
      <c r="B139" s="31">
        <f>IF(MasterFees[[#This Row],[RVG Code]]="","",_xlfn.XLOOKUP(MasterFees[[#This Row],[RVG Code]],RVGCodes[Code],RVGCodes[Base Units],"Code not found"))</f>
        <v>4</v>
      </c>
      <c r="C13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3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39" s="125" t="s">
        <v>2572</v>
      </c>
      <c r="F139" s="48" t="s">
        <v>2567</v>
      </c>
      <c r="G139" s="30" t="s">
        <v>4524</v>
      </c>
      <c r="H139" s="37" t="s">
        <v>4622</v>
      </c>
      <c r="I139" s="37" t="s">
        <v>4523</v>
      </c>
      <c r="J139" s="37" t="s">
        <v>1024</v>
      </c>
      <c r="K139" s="32"/>
      <c r="L139" s="32"/>
      <c r="M139" s="32"/>
      <c r="N139" s="32"/>
      <c r="O139" s="33">
        <v>750</v>
      </c>
      <c r="P139" s="38" t="s">
        <v>4398</v>
      </c>
      <c r="Q139" s="34">
        <f>IF(MasterFees[[#This Row],[GST Basis]]="Excl",MasterFees[[#This Row],[Fee as Printed]],IF(MasterFees[[#This Row],[GST Basis]]="Incl",MasterFees[[#This Row],[Fee as Printed]]/(1+GST_Rate),""))</f>
        <v>750</v>
      </c>
      <c r="R139" s="34">
        <f>IF(MasterFees[[#This Row],[GST Basis]]="Incl",MasterFees[[#This Row],[Fee as Printed]],IF(MasterFees[[#This Row],[GST Basis]]="Excl",MasterFees[[#This Row],[Fee as Printed]]*(1+GST_Rate),""))</f>
        <v>862.49999999999989</v>
      </c>
      <c r="S139" s="35" t="str">
        <f>IF(N(MasterFees[[#This Row],[Total Units]])=0,"",MasterFees[[#This Row],[Fee as Printed]]/MasterFees[[#This Row],[Total Units]])</f>
        <v/>
      </c>
      <c r="T139" s="36"/>
      <c r="U139" s="39" t="s">
        <v>4587</v>
      </c>
      <c r="V139" s="39" t="s">
        <v>4734</v>
      </c>
      <c r="W139" s="30" t="s">
        <v>4731</v>
      </c>
      <c r="X139" s="77" t="s">
        <v>4824</v>
      </c>
      <c r="Y139" s="127" t="str">
        <f>_xlfn.XLOOKUP(MasterFees[[#This Row],[Provider / Payer]],Contracts[Contract Name],Contracts[Contract ID],"No contract")</f>
        <v>CON-05</v>
      </c>
      <c r="Z139" s="127" t="str">
        <f>_xlfn.XLOOKUP(MasterFees[[#This Row],[Provider / Payer]],Contracts[Contract Name],Contracts[Pricing Basis],"To confirm")</f>
        <v>Fixed fee schedule</v>
      </c>
      <c r="AA139" s="127" t="str">
        <f>IF(MasterFees[[#This Row],[Pricing Basis]]="Fixed fee schedule","Yes","No")</f>
        <v>Yes</v>
      </c>
      <c r="AB139" s="127" t="str">
        <f>IF(OR(MasterFees[[#This Row],[Fee Basis]]="Add-on",MasterFees[[#This Row],[Fee Basis]]="Time band",MasterFees[[#This Row],[Fee Basis]]="Other"),MasterFees[[#This Row],[Fee Basis]],"Base")</f>
        <v>Base</v>
      </c>
      <c r="AC139" s="141">
        <f>IF(MasterFees[[#This Row],[Fixed Fee?]]="Yes",MasterFees[[#This Row],[Fee Excl. GST]],"")</f>
        <v>750</v>
      </c>
    </row>
    <row r="140" spans="1:29" x14ac:dyDescent="0.2">
      <c r="A140" s="67" t="s">
        <v>2157</v>
      </c>
      <c r="B140" s="31">
        <f>IF(MasterFees[[#This Row],[RVG Code]]="","",_xlfn.XLOOKUP(MasterFees[[#This Row],[RVG Code]],RVGCodes[Code],RVGCodes[Base Units],"Code not found"))</f>
        <v>4</v>
      </c>
      <c r="C14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4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40" s="125" t="s">
        <v>2572</v>
      </c>
      <c r="F140" s="48" t="s">
        <v>2567</v>
      </c>
      <c r="G140" s="30" t="s">
        <v>4524</v>
      </c>
      <c r="H140" s="37" t="s">
        <v>4625</v>
      </c>
      <c r="I140" s="37" t="s">
        <v>4523</v>
      </c>
      <c r="J140" s="37" t="s">
        <v>1024</v>
      </c>
      <c r="K140" s="32"/>
      <c r="L140" s="32"/>
      <c r="M140" s="32"/>
      <c r="N140" s="32"/>
      <c r="O140" s="33">
        <v>800</v>
      </c>
      <c r="P140" s="38" t="s">
        <v>4398</v>
      </c>
      <c r="Q140" s="34">
        <f>IF(MasterFees[[#This Row],[GST Basis]]="Excl",MasterFees[[#This Row],[Fee as Printed]],IF(MasterFees[[#This Row],[GST Basis]]="Incl",MasterFees[[#This Row],[Fee as Printed]]/(1+GST_Rate),""))</f>
        <v>800</v>
      </c>
      <c r="R140" s="34">
        <f>IF(MasterFees[[#This Row],[GST Basis]]="Incl",MasterFees[[#This Row],[Fee as Printed]],IF(MasterFees[[#This Row],[GST Basis]]="Excl",MasterFees[[#This Row],[Fee as Printed]]*(1+GST_Rate),""))</f>
        <v>919.99999999999989</v>
      </c>
      <c r="S140" s="35" t="str">
        <f>IF(N(MasterFees[[#This Row],[Total Units]])=0,"",MasterFees[[#This Row],[Fee as Printed]]/MasterFees[[#This Row],[Total Units]])</f>
        <v/>
      </c>
      <c r="T140" s="36"/>
      <c r="U140" s="39" t="s">
        <v>4587</v>
      </c>
      <c r="V140" s="39" t="s">
        <v>4735</v>
      </c>
      <c r="W140" s="30" t="s">
        <v>4733</v>
      </c>
      <c r="X140" s="77" t="s">
        <v>4824</v>
      </c>
      <c r="Y140" s="127" t="str">
        <f>_xlfn.XLOOKUP(MasterFees[[#This Row],[Provider / Payer]],Contracts[Contract Name],Contracts[Contract ID],"No contract")</f>
        <v>CON-06</v>
      </c>
      <c r="Z140" s="127" t="str">
        <f>_xlfn.XLOOKUP(MasterFees[[#This Row],[Provider / Payer]],Contracts[Contract Name],Contracts[Pricing Basis],"To confirm")</f>
        <v>Fixed fee schedule</v>
      </c>
      <c r="AA140" s="127" t="str">
        <f>IF(MasterFees[[#This Row],[Pricing Basis]]="Fixed fee schedule","Yes","No")</f>
        <v>Yes</v>
      </c>
      <c r="AB140" s="127" t="str">
        <f>IF(OR(MasterFees[[#This Row],[Fee Basis]]="Add-on",MasterFees[[#This Row],[Fee Basis]]="Time band",MasterFees[[#This Row],[Fee Basis]]="Other"),MasterFees[[#This Row],[Fee Basis]],"Base")</f>
        <v>Base</v>
      </c>
      <c r="AC140" s="141">
        <f>IF(MasterFees[[#This Row],[Fixed Fee?]]="Yes",MasterFees[[#This Row],[Fee Excl. GST]],"")</f>
        <v>800</v>
      </c>
    </row>
    <row r="141" spans="1:29" x14ac:dyDescent="0.2">
      <c r="A141" s="67" t="s">
        <v>2157</v>
      </c>
      <c r="B141" s="31">
        <f>IF(MasterFees[[#This Row],[RVG Code]]="","",_xlfn.XLOOKUP(MasterFees[[#This Row],[RVG Code]],RVGCodes[Code],RVGCodes[Base Units],"Code not found"))</f>
        <v>4</v>
      </c>
      <c r="C14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4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41" s="125" t="s">
        <v>2572</v>
      </c>
      <c r="F141" s="48" t="s">
        <v>2567</v>
      </c>
      <c r="G141" s="30" t="s">
        <v>619</v>
      </c>
      <c r="H141" s="37" t="s">
        <v>1095</v>
      </c>
      <c r="I141" s="37"/>
      <c r="J141" s="37" t="s">
        <v>1096</v>
      </c>
      <c r="K141" s="32">
        <v>3</v>
      </c>
      <c r="L141" s="32">
        <v>5.7</v>
      </c>
      <c r="M141" s="32">
        <v>0.3</v>
      </c>
      <c r="N141" s="32">
        <v>9</v>
      </c>
      <c r="O141" s="33">
        <v>494.45</v>
      </c>
      <c r="P141" s="38" t="s">
        <v>1014</v>
      </c>
      <c r="Q141" s="34" t="str">
        <f>IF(MasterFees[[#This Row],[GST Basis]]="Excl",MasterFees[[#This Row],[Fee as Printed]],IF(MasterFees[[#This Row],[GST Basis]]="Incl",MasterFees[[#This Row],[Fee as Printed]]/(1+GST_Rate),""))</f>
        <v/>
      </c>
      <c r="R141" s="34" t="str">
        <f>IF(MasterFees[[#This Row],[GST Basis]]="Incl",MasterFees[[#This Row],[Fee as Printed]],IF(MasterFees[[#This Row],[GST Basis]]="Excl",MasterFees[[#This Row],[Fee as Printed]]*(1+GST_Rate),""))</f>
        <v/>
      </c>
      <c r="S141" s="35">
        <f>IF(N(MasterFees[[#This Row],[Total Units]])=0,"",MasterFees[[#This Row],[Fee as Printed]]/MasterFees[[#This Row],[Total Units]])</f>
        <v>54.93888888888889</v>
      </c>
      <c r="T141" s="36"/>
      <c r="U141" s="39" t="s">
        <v>1012</v>
      </c>
      <c r="V141" s="39" t="s">
        <v>1716</v>
      </c>
      <c r="W141" s="30"/>
      <c r="X141" s="73" t="s">
        <v>3513</v>
      </c>
      <c r="Y141" s="127" t="str">
        <f>_xlfn.XLOOKUP(MasterFees[[#This Row],[Provider / Payer]],Contracts[Contract Name],Contracts[Contract ID],"No contract")</f>
        <v>CON-01</v>
      </c>
      <c r="Z141" s="127" t="str">
        <f>_xlfn.XLOOKUP(MasterFees[[#This Row],[Provider / Payer]],Contracts[Contract Name],Contracts[Pricing Basis],"To confirm")</f>
        <v>To confirm</v>
      </c>
      <c r="AA141" s="127" t="str">
        <f>IF(MasterFees[[#This Row],[Pricing Basis]]="Fixed fee schedule","Yes","No")</f>
        <v>No</v>
      </c>
      <c r="AB141" s="127" t="str">
        <f>IF(OR(MasterFees[[#This Row],[Fee Basis]]="Add-on",MasterFees[[#This Row],[Fee Basis]]="Time band",MasterFees[[#This Row],[Fee Basis]]="Other"),MasterFees[[#This Row],[Fee Basis]],"Base")</f>
        <v>Base</v>
      </c>
      <c r="AC141" s="141" t="str">
        <f>IF(MasterFees[[#This Row],[Fixed Fee?]]="Yes",MasterFees[[#This Row],[Fee Excl. GST]],"")</f>
        <v/>
      </c>
    </row>
    <row r="142" spans="1:29" x14ac:dyDescent="0.2">
      <c r="A142" s="67" t="s">
        <v>2157</v>
      </c>
      <c r="B142" s="31">
        <f>IF(MasterFees[[#This Row],[RVG Code]]="","",_xlfn.XLOOKUP(MasterFees[[#This Row],[RVG Code]],RVGCodes[Code],RVGCodes[Base Units],"Code not found"))</f>
        <v>4</v>
      </c>
      <c r="C14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4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42" s="125" t="s">
        <v>2572</v>
      </c>
      <c r="F142" s="48" t="s">
        <v>2567</v>
      </c>
      <c r="G142" s="30" t="s">
        <v>4520</v>
      </c>
      <c r="H142" s="37" t="s">
        <v>4622</v>
      </c>
      <c r="I142" s="37" t="s">
        <v>4519</v>
      </c>
      <c r="J142" s="37" t="s">
        <v>1024</v>
      </c>
      <c r="K142" s="32"/>
      <c r="L142" s="32"/>
      <c r="M142" s="32"/>
      <c r="N142" s="32"/>
      <c r="O142" s="33">
        <v>800</v>
      </c>
      <c r="P142" s="38" t="s">
        <v>4398</v>
      </c>
      <c r="Q142" s="34">
        <f>IF(MasterFees[[#This Row],[GST Basis]]="Excl",MasterFees[[#This Row],[Fee as Printed]],IF(MasterFees[[#This Row],[GST Basis]]="Incl",MasterFees[[#This Row],[Fee as Printed]]/(1+GST_Rate),""))</f>
        <v>800</v>
      </c>
      <c r="R142" s="34">
        <f>IF(MasterFees[[#This Row],[GST Basis]]="Incl",MasterFees[[#This Row],[Fee as Printed]],IF(MasterFees[[#This Row],[GST Basis]]="Excl",MasterFees[[#This Row],[Fee as Printed]]*(1+GST_Rate),""))</f>
        <v>919.99999999999989</v>
      </c>
      <c r="S142" s="35" t="str">
        <f>IF(N(MasterFees[[#This Row],[Total Units]])=0,"",MasterFees[[#This Row],[Fee as Printed]]/MasterFees[[#This Row],[Total Units]])</f>
        <v/>
      </c>
      <c r="T142" s="36"/>
      <c r="U142" s="39" t="s">
        <v>4587</v>
      </c>
      <c r="V142" s="39" t="s">
        <v>4726</v>
      </c>
      <c r="W142" s="30" t="s">
        <v>4727</v>
      </c>
      <c r="X142" s="77" t="s">
        <v>4822</v>
      </c>
      <c r="Y142" s="127" t="str">
        <f>_xlfn.XLOOKUP(MasterFees[[#This Row],[Provider / Payer]],Contracts[Contract Name],Contracts[Contract ID],"No contract")</f>
        <v>CON-05</v>
      </c>
      <c r="Z142" s="127" t="str">
        <f>_xlfn.XLOOKUP(MasterFees[[#This Row],[Provider / Payer]],Contracts[Contract Name],Contracts[Pricing Basis],"To confirm")</f>
        <v>Fixed fee schedule</v>
      </c>
      <c r="AA142" s="127" t="str">
        <f>IF(MasterFees[[#This Row],[Pricing Basis]]="Fixed fee schedule","Yes","No")</f>
        <v>Yes</v>
      </c>
      <c r="AB142" s="127" t="str">
        <f>IF(OR(MasterFees[[#This Row],[Fee Basis]]="Add-on",MasterFees[[#This Row],[Fee Basis]]="Time band",MasterFees[[#This Row],[Fee Basis]]="Other"),MasterFees[[#This Row],[Fee Basis]],"Base")</f>
        <v>Base</v>
      </c>
      <c r="AC142" s="141">
        <f>IF(MasterFees[[#This Row],[Fixed Fee?]]="Yes",MasterFees[[#This Row],[Fee Excl. GST]],"")</f>
        <v>800</v>
      </c>
    </row>
    <row r="143" spans="1:29" x14ac:dyDescent="0.2">
      <c r="A143" s="67" t="s">
        <v>2157</v>
      </c>
      <c r="B143" s="31">
        <f>IF(MasterFees[[#This Row],[RVG Code]]="","",_xlfn.XLOOKUP(MasterFees[[#This Row],[RVG Code]],RVGCodes[Code],RVGCodes[Base Units],"Code not found"))</f>
        <v>4</v>
      </c>
      <c r="C14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4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43" s="125" t="s">
        <v>2572</v>
      </c>
      <c r="F143" s="48" t="s">
        <v>2567</v>
      </c>
      <c r="G143" s="30" t="s">
        <v>4520</v>
      </c>
      <c r="H143" s="37" t="s">
        <v>4625</v>
      </c>
      <c r="I143" s="37" t="s">
        <v>4519</v>
      </c>
      <c r="J143" s="37" t="s">
        <v>1024</v>
      </c>
      <c r="K143" s="32"/>
      <c r="L143" s="32"/>
      <c r="M143" s="32"/>
      <c r="N143" s="32"/>
      <c r="O143" s="33">
        <v>800</v>
      </c>
      <c r="P143" s="38" t="s">
        <v>4398</v>
      </c>
      <c r="Q143" s="34">
        <f>IF(MasterFees[[#This Row],[GST Basis]]="Excl",MasterFees[[#This Row],[Fee as Printed]],IF(MasterFees[[#This Row],[GST Basis]]="Incl",MasterFees[[#This Row],[Fee as Printed]]/(1+GST_Rate),""))</f>
        <v>800</v>
      </c>
      <c r="R143" s="34">
        <f>IF(MasterFees[[#This Row],[GST Basis]]="Incl",MasterFees[[#This Row],[Fee as Printed]],IF(MasterFees[[#This Row],[GST Basis]]="Excl",MasterFees[[#This Row],[Fee as Printed]]*(1+GST_Rate),""))</f>
        <v>919.99999999999989</v>
      </c>
      <c r="S143" s="35" t="str">
        <f>IF(N(MasterFees[[#This Row],[Total Units]])=0,"",MasterFees[[#This Row],[Fee as Printed]]/MasterFees[[#This Row],[Total Units]])</f>
        <v/>
      </c>
      <c r="T143" s="36"/>
      <c r="U143" s="39" t="s">
        <v>4587</v>
      </c>
      <c r="V143" s="39" t="s">
        <v>4728</v>
      </c>
      <c r="W143" s="30" t="s">
        <v>4729</v>
      </c>
      <c r="X143" s="77" t="s">
        <v>4822</v>
      </c>
      <c r="Y143" s="127" t="str">
        <f>_xlfn.XLOOKUP(MasterFees[[#This Row],[Provider / Payer]],Contracts[Contract Name],Contracts[Contract ID],"No contract")</f>
        <v>CON-06</v>
      </c>
      <c r="Z143" s="127" t="str">
        <f>_xlfn.XLOOKUP(MasterFees[[#This Row],[Provider / Payer]],Contracts[Contract Name],Contracts[Pricing Basis],"To confirm")</f>
        <v>Fixed fee schedule</v>
      </c>
      <c r="AA143" s="127" t="str">
        <f>IF(MasterFees[[#This Row],[Pricing Basis]]="Fixed fee schedule","Yes","No")</f>
        <v>Yes</v>
      </c>
      <c r="AB143" s="127" t="str">
        <f>IF(OR(MasterFees[[#This Row],[Fee Basis]]="Add-on",MasterFees[[#This Row],[Fee Basis]]="Time band",MasterFees[[#This Row],[Fee Basis]]="Other"),MasterFees[[#This Row],[Fee Basis]],"Base")</f>
        <v>Base</v>
      </c>
      <c r="AC143" s="141">
        <f>IF(MasterFees[[#This Row],[Fixed Fee?]]="Yes",MasterFees[[#This Row],[Fee Excl. GST]],"")</f>
        <v>800</v>
      </c>
    </row>
    <row r="144" spans="1:29" x14ac:dyDescent="0.2">
      <c r="A144" s="67" t="s">
        <v>2159</v>
      </c>
      <c r="B144" s="31">
        <f>IF(MasterFees[[#This Row],[RVG Code]]="","",_xlfn.XLOOKUP(MasterFees[[#This Row],[RVG Code]],RVGCodes[Code],RVGCodes[Base Units],"Code not found"))</f>
        <v>5</v>
      </c>
      <c r="C14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4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44" s="125" t="s">
        <v>2571</v>
      </c>
      <c r="F144" s="48" t="s">
        <v>2567</v>
      </c>
      <c r="G144" s="30" t="s">
        <v>627</v>
      </c>
      <c r="H144" s="37" t="s">
        <v>1095</v>
      </c>
      <c r="I144" s="37"/>
      <c r="J144" s="37" t="s">
        <v>1096</v>
      </c>
      <c r="K144" s="32">
        <v>0</v>
      </c>
      <c r="L144" s="32">
        <v>0</v>
      </c>
      <c r="M144" s="32">
        <v>0</v>
      </c>
      <c r="N144" s="32">
        <v>0</v>
      </c>
      <c r="O144" s="33">
        <v>0</v>
      </c>
      <c r="P144" s="38" t="s">
        <v>1014</v>
      </c>
      <c r="Q144" s="34" t="str">
        <f>IF(MasterFees[[#This Row],[GST Basis]]="Excl",MasterFees[[#This Row],[Fee as Printed]],IF(MasterFees[[#This Row],[GST Basis]]="Incl",MasterFees[[#This Row],[Fee as Printed]]/(1+GST_Rate),""))</f>
        <v/>
      </c>
      <c r="R144" s="34" t="str">
        <f>IF(MasterFees[[#This Row],[GST Basis]]="Incl",MasterFees[[#This Row],[Fee as Printed]],IF(MasterFees[[#This Row],[GST Basis]]="Excl",MasterFees[[#This Row],[Fee as Printed]]*(1+GST_Rate),""))</f>
        <v/>
      </c>
      <c r="S144" s="35" t="str">
        <f>IF(N(MasterFees[[#This Row],[Total Units]])=0,"",MasterFees[[#This Row],[Fee as Printed]]/MasterFees[[#This Row],[Total Units]])</f>
        <v/>
      </c>
      <c r="T144" s="36"/>
      <c r="U144" s="39" t="s">
        <v>1012</v>
      </c>
      <c r="V144" s="39" t="s">
        <v>1724</v>
      </c>
      <c r="W144" s="30"/>
      <c r="X144" s="73" t="s">
        <v>3522</v>
      </c>
      <c r="Y144" s="127" t="str">
        <f>_xlfn.XLOOKUP(MasterFees[[#This Row],[Provider / Payer]],Contracts[Contract Name],Contracts[Contract ID],"No contract")</f>
        <v>CON-01</v>
      </c>
      <c r="Z144" s="127" t="str">
        <f>_xlfn.XLOOKUP(MasterFees[[#This Row],[Provider / Payer]],Contracts[Contract Name],Contracts[Pricing Basis],"To confirm")</f>
        <v>To confirm</v>
      </c>
      <c r="AA144" s="127" t="str">
        <f>IF(MasterFees[[#This Row],[Pricing Basis]]="Fixed fee schedule","Yes","No")</f>
        <v>No</v>
      </c>
      <c r="AB144" s="127" t="str">
        <f>IF(OR(MasterFees[[#This Row],[Fee Basis]]="Add-on",MasterFees[[#This Row],[Fee Basis]]="Time band",MasterFees[[#This Row],[Fee Basis]]="Other"),MasterFees[[#This Row],[Fee Basis]],"Base")</f>
        <v>Base</v>
      </c>
      <c r="AC144" s="141" t="str">
        <f>IF(MasterFees[[#This Row],[Fixed Fee?]]="Yes",MasterFees[[#This Row],[Fee Excl. GST]],"")</f>
        <v/>
      </c>
    </row>
    <row r="145" spans="1:29" x14ac:dyDescent="0.2">
      <c r="A145" s="67" t="s">
        <v>2162</v>
      </c>
      <c r="B145" s="31">
        <f>IF(MasterFees[[#This Row],[RVG Code]]="","",_xlfn.XLOOKUP(MasterFees[[#This Row],[RVG Code]],RVGCodes[Code],RVGCodes[Base Units],"Code not found"))</f>
        <v>6</v>
      </c>
      <c r="C14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4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45" s="125" t="s">
        <v>2592</v>
      </c>
      <c r="F145" s="48" t="s">
        <v>2567</v>
      </c>
      <c r="G145" s="30" t="s">
        <v>629</v>
      </c>
      <c r="H145" s="37" t="s">
        <v>1095</v>
      </c>
      <c r="I145" s="37"/>
      <c r="J145" s="37" t="s">
        <v>1096</v>
      </c>
      <c r="K145" s="32">
        <v>6</v>
      </c>
      <c r="L145" s="32">
        <v>16.3</v>
      </c>
      <c r="M145" s="32">
        <v>0.3</v>
      </c>
      <c r="N145" s="32">
        <v>22.7</v>
      </c>
      <c r="O145" s="33">
        <v>1246.3</v>
      </c>
      <c r="P145" s="38" t="s">
        <v>1014</v>
      </c>
      <c r="Q145" s="34" t="str">
        <f>IF(MasterFees[[#This Row],[GST Basis]]="Excl",MasterFees[[#This Row],[Fee as Printed]],IF(MasterFees[[#This Row],[GST Basis]]="Incl",MasterFees[[#This Row],[Fee as Printed]]/(1+GST_Rate),""))</f>
        <v/>
      </c>
      <c r="R145" s="34" t="str">
        <f>IF(MasterFees[[#This Row],[GST Basis]]="Incl",MasterFees[[#This Row],[Fee as Printed]],IF(MasterFees[[#This Row],[GST Basis]]="Excl",MasterFees[[#This Row],[Fee as Printed]]*(1+GST_Rate),""))</f>
        <v/>
      </c>
      <c r="S145" s="35">
        <f>IF(N(MasterFees[[#This Row],[Total Units]])=0,"",MasterFees[[#This Row],[Fee as Printed]]/MasterFees[[#This Row],[Total Units]])</f>
        <v>54.903083700440526</v>
      </c>
      <c r="T145" s="36"/>
      <c r="U145" s="39" t="s">
        <v>1012</v>
      </c>
      <c r="V145" s="39" t="s">
        <v>1726</v>
      </c>
      <c r="W145" s="30"/>
      <c r="X145" s="73" t="s">
        <v>3524</v>
      </c>
      <c r="Y145" s="127" t="str">
        <f>_xlfn.XLOOKUP(MasterFees[[#This Row],[Provider / Payer]],Contracts[Contract Name],Contracts[Contract ID],"No contract")</f>
        <v>CON-01</v>
      </c>
      <c r="Z145" s="127" t="str">
        <f>_xlfn.XLOOKUP(MasterFees[[#This Row],[Provider / Payer]],Contracts[Contract Name],Contracts[Pricing Basis],"To confirm")</f>
        <v>To confirm</v>
      </c>
      <c r="AA145" s="127" t="str">
        <f>IF(MasterFees[[#This Row],[Pricing Basis]]="Fixed fee schedule","Yes","No")</f>
        <v>No</v>
      </c>
      <c r="AB145" s="127" t="str">
        <f>IF(OR(MasterFees[[#This Row],[Fee Basis]]="Add-on",MasterFees[[#This Row],[Fee Basis]]="Time band",MasterFees[[#This Row],[Fee Basis]]="Other"),MasterFees[[#This Row],[Fee Basis]],"Base")</f>
        <v>Base</v>
      </c>
      <c r="AC145" s="141" t="str">
        <f>IF(MasterFees[[#This Row],[Fixed Fee?]]="Yes",MasterFees[[#This Row],[Fee Excl. GST]],"")</f>
        <v/>
      </c>
    </row>
    <row r="146" spans="1:29" x14ac:dyDescent="0.2">
      <c r="A146" s="67" t="s">
        <v>2165</v>
      </c>
      <c r="B146" s="31">
        <f>IF(MasterFees[[#This Row],[RVG Code]]="","",_xlfn.XLOOKUP(MasterFees[[#This Row],[RVG Code]],RVGCodes[Code],RVGCodes[Base Units],"Code not found"))</f>
        <v>10</v>
      </c>
      <c r="C14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4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46" s="125" t="s">
        <v>2593</v>
      </c>
      <c r="F146" s="48" t="s">
        <v>2569</v>
      </c>
      <c r="G146" s="30" t="s">
        <v>631</v>
      </c>
      <c r="H146" s="37" t="s">
        <v>1095</v>
      </c>
      <c r="I146" s="37"/>
      <c r="J146" s="37" t="s">
        <v>1096</v>
      </c>
      <c r="K146" s="32">
        <v>0</v>
      </c>
      <c r="L146" s="32">
        <v>0</v>
      </c>
      <c r="M146" s="32">
        <v>0</v>
      </c>
      <c r="N146" s="32">
        <v>0</v>
      </c>
      <c r="O146" s="33">
        <v>0</v>
      </c>
      <c r="P146" s="38" t="s">
        <v>1014</v>
      </c>
      <c r="Q146" s="34" t="str">
        <f>IF(MasterFees[[#This Row],[GST Basis]]="Excl",MasterFees[[#This Row],[Fee as Printed]],IF(MasterFees[[#This Row],[GST Basis]]="Incl",MasterFees[[#This Row],[Fee as Printed]]/(1+GST_Rate),""))</f>
        <v/>
      </c>
      <c r="R146" s="34" t="str">
        <f>IF(MasterFees[[#This Row],[GST Basis]]="Incl",MasterFees[[#This Row],[Fee as Printed]],IF(MasterFees[[#This Row],[GST Basis]]="Excl",MasterFees[[#This Row],[Fee as Printed]]*(1+GST_Rate),""))</f>
        <v/>
      </c>
      <c r="S146" s="35" t="str">
        <f>IF(N(MasterFees[[#This Row],[Total Units]])=0,"",MasterFees[[#This Row],[Fee as Printed]]/MasterFees[[#This Row],[Total Units]])</f>
        <v/>
      </c>
      <c r="T146" s="36"/>
      <c r="U146" s="39" t="s">
        <v>1012</v>
      </c>
      <c r="V146" s="39" t="s">
        <v>1728</v>
      </c>
      <c r="W146" s="30"/>
      <c r="X146" s="73" t="s">
        <v>3526</v>
      </c>
      <c r="Y146" s="127" t="str">
        <f>_xlfn.XLOOKUP(MasterFees[[#This Row],[Provider / Payer]],Contracts[Contract Name],Contracts[Contract ID],"No contract")</f>
        <v>CON-01</v>
      </c>
      <c r="Z146" s="127" t="str">
        <f>_xlfn.XLOOKUP(MasterFees[[#This Row],[Provider / Payer]],Contracts[Contract Name],Contracts[Pricing Basis],"To confirm")</f>
        <v>To confirm</v>
      </c>
      <c r="AA146" s="127" t="str">
        <f>IF(MasterFees[[#This Row],[Pricing Basis]]="Fixed fee schedule","Yes","No")</f>
        <v>No</v>
      </c>
      <c r="AB146" s="127" t="str">
        <f>IF(OR(MasterFees[[#This Row],[Fee Basis]]="Add-on",MasterFees[[#This Row],[Fee Basis]]="Time band",MasterFees[[#This Row],[Fee Basis]]="Other"),MasterFees[[#This Row],[Fee Basis]],"Base")</f>
        <v>Base</v>
      </c>
      <c r="AC146" s="141" t="str">
        <f>IF(MasterFees[[#This Row],[Fixed Fee?]]="Yes",MasterFees[[#This Row],[Fee Excl. GST]],"")</f>
        <v/>
      </c>
    </row>
    <row r="147" spans="1:29" x14ac:dyDescent="0.2">
      <c r="A147" s="67" t="s">
        <v>2162</v>
      </c>
      <c r="B147" s="31">
        <f>IF(MasterFees[[#This Row],[RVG Code]]="","",_xlfn.XLOOKUP(MasterFees[[#This Row],[RVG Code]],RVGCodes[Code],RVGCodes[Base Units],"Code not found"))</f>
        <v>6</v>
      </c>
      <c r="C14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4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47" s="125" t="s">
        <v>2592</v>
      </c>
      <c r="F147" s="48" t="s">
        <v>2569</v>
      </c>
      <c r="G147" s="30" t="s">
        <v>639</v>
      </c>
      <c r="H147" s="37" t="s">
        <v>1095</v>
      </c>
      <c r="I147" s="37"/>
      <c r="J147" s="37" t="s">
        <v>1096</v>
      </c>
      <c r="K147" s="32">
        <v>5.3</v>
      </c>
      <c r="L147" s="32">
        <v>2.8</v>
      </c>
      <c r="M147" s="32">
        <v>0.7</v>
      </c>
      <c r="N147" s="32">
        <v>8.8000000000000007</v>
      </c>
      <c r="O147" s="33">
        <v>484</v>
      </c>
      <c r="P147" s="38" t="s">
        <v>1014</v>
      </c>
      <c r="Q147" s="34" t="str">
        <f>IF(MasterFees[[#This Row],[GST Basis]]="Excl",MasterFees[[#This Row],[Fee as Printed]],IF(MasterFees[[#This Row],[GST Basis]]="Incl",MasterFees[[#This Row],[Fee as Printed]]/(1+GST_Rate),""))</f>
        <v/>
      </c>
      <c r="R147" s="34" t="str">
        <f>IF(MasterFees[[#This Row],[GST Basis]]="Incl",MasterFees[[#This Row],[Fee as Printed]],IF(MasterFees[[#This Row],[GST Basis]]="Excl",MasterFees[[#This Row],[Fee as Printed]]*(1+GST_Rate),""))</f>
        <v/>
      </c>
      <c r="S147" s="35">
        <f>IF(N(MasterFees[[#This Row],[Total Units]])=0,"",MasterFees[[#This Row],[Fee as Printed]]/MasterFees[[#This Row],[Total Units]])</f>
        <v>54.999999999999993</v>
      </c>
      <c r="T147" s="36"/>
      <c r="U147" s="39" t="s">
        <v>1012</v>
      </c>
      <c r="V147" s="39" t="s">
        <v>1736</v>
      </c>
      <c r="W147" s="30"/>
      <c r="X147" s="73" t="s">
        <v>3535</v>
      </c>
      <c r="Y147" s="127" t="str">
        <f>_xlfn.XLOOKUP(MasterFees[[#This Row],[Provider / Payer]],Contracts[Contract Name],Contracts[Contract ID],"No contract")</f>
        <v>CON-01</v>
      </c>
      <c r="Z147" s="127" t="str">
        <f>_xlfn.XLOOKUP(MasterFees[[#This Row],[Provider / Payer]],Contracts[Contract Name],Contracts[Pricing Basis],"To confirm")</f>
        <v>To confirm</v>
      </c>
      <c r="AA147" s="127" t="str">
        <f>IF(MasterFees[[#This Row],[Pricing Basis]]="Fixed fee schedule","Yes","No")</f>
        <v>No</v>
      </c>
      <c r="AB147" s="127" t="str">
        <f>IF(OR(MasterFees[[#This Row],[Fee Basis]]="Add-on",MasterFees[[#This Row],[Fee Basis]]="Time band",MasterFees[[#This Row],[Fee Basis]]="Other"),MasterFees[[#This Row],[Fee Basis]],"Base")</f>
        <v>Base</v>
      </c>
      <c r="AC147" s="141" t="str">
        <f>IF(MasterFees[[#This Row],[Fixed Fee?]]="Yes",MasterFees[[#This Row],[Fee Excl. GST]],"")</f>
        <v/>
      </c>
    </row>
    <row r="148" spans="1:29" x14ac:dyDescent="0.2">
      <c r="A148" s="67" t="s">
        <v>2162</v>
      </c>
      <c r="B148" s="31">
        <f>IF(MasterFees[[#This Row],[RVG Code]]="","",_xlfn.XLOOKUP(MasterFees[[#This Row],[RVG Code]],RVGCodes[Code],RVGCodes[Base Units],"Code not found"))</f>
        <v>6</v>
      </c>
      <c r="C14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4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48" s="125" t="s">
        <v>2592</v>
      </c>
      <c r="F148" s="48" t="s">
        <v>2569</v>
      </c>
      <c r="G148" s="30" t="s">
        <v>640</v>
      </c>
      <c r="H148" s="37" t="s">
        <v>1095</v>
      </c>
      <c r="I148" s="37"/>
      <c r="J148" s="37" t="s">
        <v>1096</v>
      </c>
      <c r="K148" s="32">
        <v>1.2</v>
      </c>
      <c r="L148" s="32">
        <v>1.3</v>
      </c>
      <c r="M148" s="32">
        <v>0</v>
      </c>
      <c r="N148" s="32">
        <v>2.5</v>
      </c>
      <c r="O148" s="33">
        <v>136.94999999999999</v>
      </c>
      <c r="P148" s="38" t="s">
        <v>1014</v>
      </c>
      <c r="Q148" s="34" t="str">
        <f>IF(MasterFees[[#This Row],[GST Basis]]="Excl",MasterFees[[#This Row],[Fee as Printed]],IF(MasterFees[[#This Row],[GST Basis]]="Incl",MasterFees[[#This Row],[Fee as Printed]]/(1+GST_Rate),""))</f>
        <v/>
      </c>
      <c r="R148" s="34" t="str">
        <f>IF(MasterFees[[#This Row],[GST Basis]]="Incl",MasterFees[[#This Row],[Fee as Printed]],IF(MasterFees[[#This Row],[GST Basis]]="Excl",MasterFees[[#This Row],[Fee as Printed]]*(1+GST_Rate),""))</f>
        <v/>
      </c>
      <c r="S148" s="35">
        <f>IF(N(MasterFees[[#This Row],[Total Units]])=0,"",MasterFees[[#This Row],[Fee as Printed]]/MasterFees[[#This Row],[Total Units]])</f>
        <v>54.779999999999994</v>
      </c>
      <c r="T148" s="36"/>
      <c r="U148" s="39" t="s">
        <v>1012</v>
      </c>
      <c r="V148" s="39" t="s">
        <v>1737</v>
      </c>
      <c r="W148" s="30"/>
      <c r="X148" s="73" t="s">
        <v>3536</v>
      </c>
      <c r="Y148" s="127" t="str">
        <f>_xlfn.XLOOKUP(MasterFees[[#This Row],[Provider / Payer]],Contracts[Contract Name],Contracts[Contract ID],"No contract")</f>
        <v>CON-01</v>
      </c>
      <c r="Z148" s="127" t="str">
        <f>_xlfn.XLOOKUP(MasterFees[[#This Row],[Provider / Payer]],Contracts[Contract Name],Contracts[Pricing Basis],"To confirm")</f>
        <v>To confirm</v>
      </c>
      <c r="AA148" s="127" t="str">
        <f>IF(MasterFees[[#This Row],[Pricing Basis]]="Fixed fee schedule","Yes","No")</f>
        <v>No</v>
      </c>
      <c r="AB148" s="127" t="str">
        <f>IF(OR(MasterFees[[#This Row],[Fee Basis]]="Add-on",MasterFees[[#This Row],[Fee Basis]]="Time band",MasterFees[[#This Row],[Fee Basis]]="Other"),MasterFees[[#This Row],[Fee Basis]],"Base")</f>
        <v>Base</v>
      </c>
      <c r="AC148" s="141" t="str">
        <f>IF(MasterFees[[#This Row],[Fixed Fee?]]="Yes",MasterFees[[#This Row],[Fee Excl. GST]],"")</f>
        <v/>
      </c>
    </row>
    <row r="149" spans="1:29" x14ac:dyDescent="0.2">
      <c r="A149" s="67" t="s">
        <v>2157</v>
      </c>
      <c r="B149" s="31">
        <f>IF(MasterFees[[#This Row],[RVG Code]]="","",_xlfn.XLOOKUP(MasterFees[[#This Row],[RVG Code]],RVGCodes[Code],RVGCodes[Base Units],"Code not found"))</f>
        <v>4</v>
      </c>
      <c r="C14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4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49" s="125" t="s">
        <v>2572</v>
      </c>
      <c r="F149" s="48" t="s">
        <v>2567</v>
      </c>
      <c r="G149" s="30" t="s">
        <v>4552</v>
      </c>
      <c r="H149" s="37" t="s">
        <v>4622</v>
      </c>
      <c r="I149" s="37" t="s">
        <v>4551</v>
      </c>
      <c r="J149" s="37" t="s">
        <v>1024</v>
      </c>
      <c r="K149" s="32"/>
      <c r="L149" s="32"/>
      <c r="M149" s="32"/>
      <c r="N149" s="32"/>
      <c r="O149" s="33">
        <v>700</v>
      </c>
      <c r="P149" s="38" t="s">
        <v>4398</v>
      </c>
      <c r="Q149" s="34">
        <f>IF(MasterFees[[#This Row],[GST Basis]]="Excl",MasterFees[[#This Row],[Fee as Printed]],IF(MasterFees[[#This Row],[GST Basis]]="Incl",MasterFees[[#This Row],[Fee as Printed]]/(1+GST_Rate),""))</f>
        <v>700</v>
      </c>
      <c r="R149" s="34">
        <f>IF(MasterFees[[#This Row],[GST Basis]]="Incl",MasterFees[[#This Row],[Fee as Printed]],IF(MasterFees[[#This Row],[GST Basis]]="Excl",MasterFees[[#This Row],[Fee as Printed]]*(1+GST_Rate),""))</f>
        <v>804.99999999999989</v>
      </c>
      <c r="S149" s="35" t="str">
        <f>IF(N(MasterFees[[#This Row],[Total Units]])=0,"",MasterFees[[#This Row],[Fee as Printed]]/MasterFees[[#This Row],[Total Units]])</f>
        <v/>
      </c>
      <c r="T149" s="36"/>
      <c r="U149" s="39" t="s">
        <v>4587</v>
      </c>
      <c r="V149" s="39" t="s">
        <v>4744</v>
      </c>
      <c r="W149" s="30" t="s">
        <v>4727</v>
      </c>
      <c r="X149" s="77" t="s">
        <v>4828</v>
      </c>
      <c r="Y149" s="127" t="str">
        <f>_xlfn.XLOOKUP(MasterFees[[#This Row],[Provider / Payer]],Contracts[Contract Name],Contracts[Contract ID],"No contract")</f>
        <v>CON-05</v>
      </c>
      <c r="Z149" s="127" t="str">
        <f>_xlfn.XLOOKUP(MasterFees[[#This Row],[Provider / Payer]],Contracts[Contract Name],Contracts[Pricing Basis],"To confirm")</f>
        <v>Fixed fee schedule</v>
      </c>
      <c r="AA149" s="127" t="str">
        <f>IF(MasterFees[[#This Row],[Pricing Basis]]="Fixed fee schedule","Yes","No")</f>
        <v>Yes</v>
      </c>
      <c r="AB149" s="127" t="str">
        <f>IF(OR(MasterFees[[#This Row],[Fee Basis]]="Add-on",MasterFees[[#This Row],[Fee Basis]]="Time band",MasterFees[[#This Row],[Fee Basis]]="Other"),MasterFees[[#This Row],[Fee Basis]],"Base")</f>
        <v>Base</v>
      </c>
      <c r="AC149" s="141">
        <f>IF(MasterFees[[#This Row],[Fixed Fee?]]="Yes",MasterFees[[#This Row],[Fee Excl. GST]],"")</f>
        <v>700</v>
      </c>
    </row>
    <row r="150" spans="1:29" x14ac:dyDescent="0.2">
      <c r="A150" s="67" t="s">
        <v>2157</v>
      </c>
      <c r="B150" s="31">
        <f>IF(MasterFees[[#This Row],[RVG Code]]="","",_xlfn.XLOOKUP(MasterFees[[#This Row],[RVG Code]],RVGCodes[Code],RVGCodes[Base Units],"Code not found"))</f>
        <v>4</v>
      </c>
      <c r="C15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5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50" s="125" t="s">
        <v>2572</v>
      </c>
      <c r="F150" s="48" t="s">
        <v>2567</v>
      </c>
      <c r="G150" s="30" t="s">
        <v>4552</v>
      </c>
      <c r="H150" s="37" t="s">
        <v>4625</v>
      </c>
      <c r="I150" s="37" t="s">
        <v>4551</v>
      </c>
      <c r="J150" s="37" t="s">
        <v>1024</v>
      </c>
      <c r="K150" s="32"/>
      <c r="L150" s="32"/>
      <c r="M150" s="32"/>
      <c r="N150" s="32"/>
      <c r="O150" s="33">
        <v>700</v>
      </c>
      <c r="P150" s="38" t="s">
        <v>4398</v>
      </c>
      <c r="Q150" s="34">
        <f>IF(MasterFees[[#This Row],[GST Basis]]="Excl",MasterFees[[#This Row],[Fee as Printed]],IF(MasterFees[[#This Row],[GST Basis]]="Incl",MasterFees[[#This Row],[Fee as Printed]]/(1+GST_Rate),""))</f>
        <v>700</v>
      </c>
      <c r="R150" s="34">
        <f>IF(MasterFees[[#This Row],[GST Basis]]="Incl",MasterFees[[#This Row],[Fee as Printed]],IF(MasterFees[[#This Row],[GST Basis]]="Excl",MasterFees[[#This Row],[Fee as Printed]]*(1+GST_Rate),""))</f>
        <v>804.99999999999989</v>
      </c>
      <c r="S150" s="35" t="str">
        <f>IF(N(MasterFees[[#This Row],[Total Units]])=0,"",MasterFees[[#This Row],[Fee as Printed]]/MasterFees[[#This Row],[Total Units]])</f>
        <v/>
      </c>
      <c r="T150" s="36"/>
      <c r="U150" s="39" t="s">
        <v>4587</v>
      </c>
      <c r="V150" s="39" t="s">
        <v>4745</v>
      </c>
      <c r="W150" s="30" t="s">
        <v>4729</v>
      </c>
      <c r="X150" s="77" t="s">
        <v>4828</v>
      </c>
      <c r="Y150" s="127" t="str">
        <f>_xlfn.XLOOKUP(MasterFees[[#This Row],[Provider / Payer]],Contracts[Contract Name],Contracts[Contract ID],"No contract")</f>
        <v>CON-06</v>
      </c>
      <c r="Z150" s="127" t="str">
        <f>_xlfn.XLOOKUP(MasterFees[[#This Row],[Provider / Payer]],Contracts[Contract Name],Contracts[Pricing Basis],"To confirm")</f>
        <v>Fixed fee schedule</v>
      </c>
      <c r="AA150" s="127" t="str">
        <f>IF(MasterFees[[#This Row],[Pricing Basis]]="Fixed fee schedule","Yes","No")</f>
        <v>Yes</v>
      </c>
      <c r="AB150" s="127" t="str">
        <f>IF(OR(MasterFees[[#This Row],[Fee Basis]]="Add-on",MasterFees[[#This Row],[Fee Basis]]="Time band",MasterFees[[#This Row],[Fee Basis]]="Other"),MasterFees[[#This Row],[Fee Basis]],"Base")</f>
        <v>Base</v>
      </c>
      <c r="AC150" s="141">
        <f>IF(MasterFees[[#This Row],[Fixed Fee?]]="Yes",MasterFees[[#This Row],[Fee Excl. GST]],"")</f>
        <v>700</v>
      </c>
    </row>
    <row r="151" spans="1:29" x14ac:dyDescent="0.2">
      <c r="A151" s="67" t="s">
        <v>2157</v>
      </c>
      <c r="B151" s="31">
        <f>IF(MasterFees[[#This Row],[RVG Code]]="","",_xlfn.XLOOKUP(MasterFees[[#This Row],[RVG Code]],RVGCodes[Code],RVGCodes[Base Units],"Code not found"))</f>
        <v>4</v>
      </c>
      <c r="C15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5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51" s="125" t="s">
        <v>2572</v>
      </c>
      <c r="F151" s="48" t="s">
        <v>2629</v>
      </c>
      <c r="G151" s="30" t="s">
        <v>2158</v>
      </c>
      <c r="H151" s="37" t="s">
        <v>2630</v>
      </c>
      <c r="I151" s="37" t="s">
        <v>2157</v>
      </c>
      <c r="J151" s="37" t="s">
        <v>1096</v>
      </c>
      <c r="K151" s="32">
        <v>4</v>
      </c>
      <c r="L151" s="32"/>
      <c r="M151" s="32"/>
      <c r="N151" s="32">
        <v>4</v>
      </c>
      <c r="O151" s="33"/>
      <c r="P151" s="38"/>
      <c r="Q151" s="34" t="str">
        <f>IF(MasterFees[[#This Row],[GST Basis]]="Excl",MasterFees[[#This Row],[Fee as Printed]],IF(MasterFees[[#This Row],[GST Basis]]="Incl",MasterFees[[#This Row],[Fee as Printed]]/(1+GST_Rate),""))</f>
        <v/>
      </c>
      <c r="R151" s="34" t="str">
        <f>IF(MasterFees[[#This Row],[GST Basis]]="Incl",MasterFees[[#This Row],[Fee as Printed]],IF(MasterFees[[#This Row],[GST Basis]]="Excl",MasterFees[[#This Row],[Fee as Printed]]*(1+GST_Rate),""))</f>
        <v/>
      </c>
      <c r="S151" s="35">
        <f>IF(N(MasterFees[[#This Row],[Total Units]])=0,"",MasterFees[[#This Row],[Fee as Printed]]/MasterFees[[#This Row],[Total Units]])</f>
        <v>0</v>
      </c>
      <c r="T151" s="36"/>
      <c r="U151" s="39" t="s">
        <v>1016</v>
      </c>
      <c r="V151" s="39" t="s">
        <v>2636</v>
      </c>
      <c r="W151" s="30" t="s">
        <v>2632</v>
      </c>
      <c r="X151" s="73" t="s">
        <v>3909</v>
      </c>
      <c r="Y151" s="127" t="str">
        <f>_xlfn.XLOOKUP(MasterFees[[#This Row],[Provider / Payer]],Contracts[Contract Name],Contracts[Contract ID],"No contract")</f>
        <v>CON-10</v>
      </c>
      <c r="Z151" s="127" t="str">
        <f>_xlfn.XLOOKUP(MasterFees[[#This Row],[Provider / Payer]],Contracts[Contract Name],Contracts[Pricing Basis],"To confirm")</f>
        <v>Reference – units only</v>
      </c>
      <c r="AA151" s="127" t="str">
        <f>IF(MasterFees[[#This Row],[Pricing Basis]]="Fixed fee schedule","Yes","No")</f>
        <v>No</v>
      </c>
      <c r="AB151" s="127" t="str">
        <f>IF(OR(MasterFees[[#This Row],[Fee Basis]]="Add-on",MasterFees[[#This Row],[Fee Basis]]="Time band",MasterFees[[#This Row],[Fee Basis]]="Other"),MasterFees[[#This Row],[Fee Basis]],"Base")</f>
        <v>Base</v>
      </c>
      <c r="AC151" s="141" t="str">
        <f>IF(MasterFees[[#This Row],[Fixed Fee?]]="Yes",MasterFees[[#This Row],[Fee Excl. GST]],"")</f>
        <v/>
      </c>
    </row>
    <row r="152" spans="1:29" x14ac:dyDescent="0.2">
      <c r="A152" s="67" t="s">
        <v>2162</v>
      </c>
      <c r="B152" s="31">
        <f>IF(MasterFees[[#This Row],[RVG Code]]="","",_xlfn.XLOOKUP(MasterFees[[#This Row],[RVG Code]],RVGCodes[Code],RVGCodes[Base Units],"Code not found"))</f>
        <v>6</v>
      </c>
      <c r="C15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5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52" s="125" t="s">
        <v>2592</v>
      </c>
      <c r="F152" s="48" t="s">
        <v>2629</v>
      </c>
      <c r="G152" s="30" t="s">
        <v>2163</v>
      </c>
      <c r="H152" s="37" t="s">
        <v>2630</v>
      </c>
      <c r="I152" s="37" t="s">
        <v>2162</v>
      </c>
      <c r="J152" s="37" t="s">
        <v>1096</v>
      </c>
      <c r="K152" s="32">
        <v>6</v>
      </c>
      <c r="L152" s="32"/>
      <c r="M152" s="32"/>
      <c r="N152" s="32">
        <v>6</v>
      </c>
      <c r="O152" s="33"/>
      <c r="P152" s="38"/>
      <c r="Q152" s="34" t="str">
        <f>IF(MasterFees[[#This Row],[GST Basis]]="Excl",MasterFees[[#This Row],[Fee as Printed]],IF(MasterFees[[#This Row],[GST Basis]]="Incl",MasterFees[[#This Row],[Fee as Printed]]/(1+GST_Rate),""))</f>
        <v/>
      </c>
      <c r="R152" s="34" t="str">
        <f>IF(MasterFees[[#This Row],[GST Basis]]="Incl",MasterFees[[#This Row],[Fee as Printed]],IF(MasterFees[[#This Row],[GST Basis]]="Excl",MasterFees[[#This Row],[Fee as Printed]]*(1+GST_Rate),""))</f>
        <v/>
      </c>
      <c r="S152" s="35">
        <f>IF(N(MasterFees[[#This Row],[Total Units]])=0,"",MasterFees[[#This Row],[Fee as Printed]]/MasterFees[[#This Row],[Total Units]])</f>
        <v>0</v>
      </c>
      <c r="T152" s="36"/>
      <c r="U152" s="39" t="s">
        <v>1016</v>
      </c>
      <c r="V152" s="39" t="s">
        <v>2636</v>
      </c>
      <c r="W152" s="30" t="s">
        <v>2632</v>
      </c>
      <c r="X152" s="73" t="s">
        <v>3883</v>
      </c>
      <c r="Y152" s="127" t="str">
        <f>_xlfn.XLOOKUP(MasterFees[[#This Row],[Provider / Payer]],Contracts[Contract Name],Contracts[Contract ID],"No contract")</f>
        <v>CON-10</v>
      </c>
      <c r="Z152" s="127" t="str">
        <f>_xlfn.XLOOKUP(MasterFees[[#This Row],[Provider / Payer]],Contracts[Contract Name],Contracts[Pricing Basis],"To confirm")</f>
        <v>Reference – units only</v>
      </c>
      <c r="AA152" s="127" t="str">
        <f>IF(MasterFees[[#This Row],[Pricing Basis]]="Fixed fee schedule","Yes","No")</f>
        <v>No</v>
      </c>
      <c r="AB152" s="127" t="str">
        <f>IF(OR(MasterFees[[#This Row],[Fee Basis]]="Add-on",MasterFees[[#This Row],[Fee Basis]]="Time band",MasterFees[[#This Row],[Fee Basis]]="Other"),MasterFees[[#This Row],[Fee Basis]],"Base")</f>
        <v>Base</v>
      </c>
      <c r="AC152" s="141" t="str">
        <f>IF(MasterFees[[#This Row],[Fixed Fee?]]="Yes",MasterFees[[#This Row],[Fee Excl. GST]],"")</f>
        <v/>
      </c>
    </row>
    <row r="153" spans="1:29" x14ac:dyDescent="0.2">
      <c r="A153" s="67" t="s">
        <v>2159</v>
      </c>
      <c r="B153" s="31">
        <f>IF(MasterFees[[#This Row],[RVG Code]]="","",_xlfn.XLOOKUP(MasterFees[[#This Row],[RVG Code]],RVGCodes[Code],RVGCodes[Base Units],"Code not found"))</f>
        <v>5</v>
      </c>
      <c r="C15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5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53" s="125" t="s">
        <v>2571</v>
      </c>
      <c r="F153" s="48" t="s">
        <v>2569</v>
      </c>
      <c r="G153" s="30" t="s">
        <v>651</v>
      </c>
      <c r="H153" s="37" t="s">
        <v>1095</v>
      </c>
      <c r="I153" s="37"/>
      <c r="J153" s="37" t="s">
        <v>1096</v>
      </c>
      <c r="K153" s="32">
        <v>5.3</v>
      </c>
      <c r="L153" s="32">
        <v>6.1</v>
      </c>
      <c r="M153" s="32">
        <v>0.4</v>
      </c>
      <c r="N153" s="32">
        <v>11.8</v>
      </c>
      <c r="O153" s="33">
        <v>647.9</v>
      </c>
      <c r="P153" s="38" t="s">
        <v>1014</v>
      </c>
      <c r="Q153" s="34" t="str">
        <f>IF(MasterFees[[#This Row],[GST Basis]]="Excl",MasterFees[[#This Row],[Fee as Printed]],IF(MasterFees[[#This Row],[GST Basis]]="Incl",MasterFees[[#This Row],[Fee as Printed]]/(1+GST_Rate),""))</f>
        <v/>
      </c>
      <c r="R153" s="34" t="str">
        <f>IF(MasterFees[[#This Row],[GST Basis]]="Incl",MasterFees[[#This Row],[Fee as Printed]],IF(MasterFees[[#This Row],[GST Basis]]="Excl",MasterFees[[#This Row],[Fee as Printed]]*(1+GST_Rate),""))</f>
        <v/>
      </c>
      <c r="S153" s="35">
        <f>IF(N(MasterFees[[#This Row],[Total Units]])=0,"",MasterFees[[#This Row],[Fee as Printed]]/MasterFees[[#This Row],[Total Units]])</f>
        <v>54.906779661016941</v>
      </c>
      <c r="T153" s="36"/>
      <c r="U153" s="39" t="s">
        <v>1012</v>
      </c>
      <c r="V153" s="39" t="s">
        <v>1748</v>
      </c>
      <c r="W153" s="30"/>
      <c r="X153" s="73" t="s">
        <v>3548</v>
      </c>
      <c r="Y153" s="127" t="str">
        <f>_xlfn.XLOOKUP(MasterFees[[#This Row],[Provider / Payer]],Contracts[Contract Name],Contracts[Contract ID],"No contract")</f>
        <v>CON-01</v>
      </c>
      <c r="Z153" s="127" t="str">
        <f>_xlfn.XLOOKUP(MasterFees[[#This Row],[Provider / Payer]],Contracts[Contract Name],Contracts[Pricing Basis],"To confirm")</f>
        <v>To confirm</v>
      </c>
      <c r="AA153" s="127" t="str">
        <f>IF(MasterFees[[#This Row],[Pricing Basis]]="Fixed fee schedule","Yes","No")</f>
        <v>No</v>
      </c>
      <c r="AB153" s="127" t="str">
        <f>IF(OR(MasterFees[[#This Row],[Fee Basis]]="Add-on",MasterFees[[#This Row],[Fee Basis]]="Time band",MasterFees[[#This Row],[Fee Basis]]="Other"),MasterFees[[#This Row],[Fee Basis]],"Base")</f>
        <v>Base</v>
      </c>
      <c r="AC153" s="141" t="str">
        <f>IF(MasterFees[[#This Row],[Fixed Fee?]]="Yes",MasterFees[[#This Row],[Fee Excl. GST]],"")</f>
        <v/>
      </c>
    </row>
    <row r="154" spans="1:29" x14ac:dyDescent="0.2">
      <c r="A154" s="67" t="s">
        <v>2162</v>
      </c>
      <c r="B154" s="31">
        <f>IF(MasterFees[[#This Row],[RVG Code]]="","",_xlfn.XLOOKUP(MasterFees[[#This Row],[RVG Code]],RVGCodes[Code],RVGCodes[Base Units],"Code not found"))</f>
        <v>6</v>
      </c>
      <c r="C15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5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54" s="125" t="s">
        <v>2592</v>
      </c>
      <c r="F154" s="48" t="s">
        <v>2567</v>
      </c>
      <c r="G154" s="30" t="s">
        <v>654</v>
      </c>
      <c r="H154" s="37" t="s">
        <v>1095</v>
      </c>
      <c r="I154" s="37"/>
      <c r="J154" s="37" t="s">
        <v>1096</v>
      </c>
      <c r="K154" s="32">
        <v>4</v>
      </c>
      <c r="L154" s="32">
        <v>3</v>
      </c>
      <c r="M154" s="32">
        <v>1</v>
      </c>
      <c r="N154" s="32">
        <v>8</v>
      </c>
      <c r="O154" s="33">
        <v>440</v>
      </c>
      <c r="P154" s="38" t="s">
        <v>1014</v>
      </c>
      <c r="Q154" s="34" t="str">
        <f>IF(MasterFees[[#This Row],[GST Basis]]="Excl",MasterFees[[#This Row],[Fee as Printed]],IF(MasterFees[[#This Row],[GST Basis]]="Incl",MasterFees[[#This Row],[Fee as Printed]]/(1+GST_Rate),""))</f>
        <v/>
      </c>
      <c r="R154" s="34" t="str">
        <f>IF(MasterFees[[#This Row],[GST Basis]]="Incl",MasterFees[[#This Row],[Fee as Printed]],IF(MasterFees[[#This Row],[GST Basis]]="Excl",MasterFees[[#This Row],[Fee as Printed]]*(1+GST_Rate),""))</f>
        <v/>
      </c>
      <c r="S154" s="35">
        <f>IF(N(MasterFees[[#This Row],[Total Units]])=0,"",MasterFees[[#This Row],[Fee as Printed]]/MasterFees[[#This Row],[Total Units]])</f>
        <v>55</v>
      </c>
      <c r="T154" s="36"/>
      <c r="U154" s="39" t="s">
        <v>1012</v>
      </c>
      <c r="V154" s="39" t="s">
        <v>1751</v>
      </c>
      <c r="W154" s="30"/>
      <c r="X154" s="73" t="s">
        <v>3551</v>
      </c>
      <c r="Y154" s="127" t="str">
        <f>_xlfn.XLOOKUP(MasterFees[[#This Row],[Provider / Payer]],Contracts[Contract Name],Contracts[Contract ID],"No contract")</f>
        <v>CON-01</v>
      </c>
      <c r="Z154" s="127" t="str">
        <f>_xlfn.XLOOKUP(MasterFees[[#This Row],[Provider / Payer]],Contracts[Contract Name],Contracts[Pricing Basis],"To confirm")</f>
        <v>To confirm</v>
      </c>
      <c r="AA154" s="127" t="str">
        <f>IF(MasterFees[[#This Row],[Pricing Basis]]="Fixed fee schedule","Yes","No")</f>
        <v>No</v>
      </c>
      <c r="AB154" s="127" t="str">
        <f>IF(OR(MasterFees[[#This Row],[Fee Basis]]="Add-on",MasterFees[[#This Row],[Fee Basis]]="Time band",MasterFees[[#This Row],[Fee Basis]]="Other"),MasterFees[[#This Row],[Fee Basis]],"Base")</f>
        <v>Base</v>
      </c>
      <c r="AC154" s="141" t="str">
        <f>IF(MasterFees[[#This Row],[Fixed Fee?]]="Yes",MasterFees[[#This Row],[Fee Excl. GST]],"")</f>
        <v/>
      </c>
    </row>
    <row r="155" spans="1:29" x14ac:dyDescent="0.2">
      <c r="A155" s="67" t="s">
        <v>2159</v>
      </c>
      <c r="B155" s="31">
        <f>IF(MasterFees[[#This Row],[RVG Code]]="","",_xlfn.XLOOKUP(MasterFees[[#This Row],[RVG Code]],RVGCodes[Code],RVGCodes[Base Units],"Code not found"))</f>
        <v>5</v>
      </c>
      <c r="C15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5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55" s="125" t="s">
        <v>2571</v>
      </c>
      <c r="F155" s="48" t="s">
        <v>2569</v>
      </c>
      <c r="G155" s="30" t="s">
        <v>666</v>
      </c>
      <c r="H155" s="37" t="s">
        <v>1095</v>
      </c>
      <c r="I155" s="37"/>
      <c r="J155" s="37" t="s">
        <v>1096</v>
      </c>
      <c r="K155" s="32">
        <v>0</v>
      </c>
      <c r="L155" s="32">
        <v>0</v>
      </c>
      <c r="M155" s="32">
        <v>0</v>
      </c>
      <c r="N155" s="32">
        <v>0</v>
      </c>
      <c r="O155" s="33">
        <v>0</v>
      </c>
      <c r="P155" s="38" t="s">
        <v>1014</v>
      </c>
      <c r="Q155" s="34" t="str">
        <f>IF(MasterFees[[#This Row],[GST Basis]]="Excl",MasterFees[[#This Row],[Fee as Printed]],IF(MasterFees[[#This Row],[GST Basis]]="Incl",MasterFees[[#This Row],[Fee as Printed]]/(1+GST_Rate),""))</f>
        <v/>
      </c>
      <c r="R155" s="34" t="str">
        <f>IF(MasterFees[[#This Row],[GST Basis]]="Incl",MasterFees[[#This Row],[Fee as Printed]],IF(MasterFees[[#This Row],[GST Basis]]="Excl",MasterFees[[#This Row],[Fee as Printed]]*(1+GST_Rate),""))</f>
        <v/>
      </c>
      <c r="S155" s="35" t="str">
        <f>IF(N(MasterFees[[#This Row],[Total Units]])=0,"",MasterFees[[#This Row],[Fee as Printed]]/MasterFees[[#This Row],[Total Units]])</f>
        <v/>
      </c>
      <c r="T155" s="36"/>
      <c r="U155" s="39" t="s">
        <v>1012</v>
      </c>
      <c r="V155" s="39" t="s">
        <v>1763</v>
      </c>
      <c r="W155" s="30"/>
      <c r="X155" s="73" t="s">
        <v>3564</v>
      </c>
      <c r="Y155" s="127" t="str">
        <f>_xlfn.XLOOKUP(MasterFees[[#This Row],[Provider / Payer]],Contracts[Contract Name],Contracts[Contract ID],"No contract")</f>
        <v>CON-01</v>
      </c>
      <c r="Z155" s="127" t="str">
        <f>_xlfn.XLOOKUP(MasterFees[[#This Row],[Provider / Payer]],Contracts[Contract Name],Contracts[Pricing Basis],"To confirm")</f>
        <v>To confirm</v>
      </c>
      <c r="AA155" s="127" t="str">
        <f>IF(MasterFees[[#This Row],[Pricing Basis]]="Fixed fee schedule","Yes","No")</f>
        <v>No</v>
      </c>
      <c r="AB155" s="127" t="str">
        <f>IF(OR(MasterFees[[#This Row],[Fee Basis]]="Add-on",MasterFees[[#This Row],[Fee Basis]]="Time band",MasterFees[[#This Row],[Fee Basis]]="Other"),MasterFees[[#This Row],[Fee Basis]],"Base")</f>
        <v>Base</v>
      </c>
      <c r="AC155" s="141" t="str">
        <f>IF(MasterFees[[#This Row],[Fixed Fee?]]="Yes",MasterFees[[#This Row],[Fee Excl. GST]],"")</f>
        <v/>
      </c>
    </row>
    <row r="156" spans="1:29" x14ac:dyDescent="0.2">
      <c r="A156" s="67" t="s">
        <v>2162</v>
      </c>
      <c r="B156" s="31">
        <f>IF(MasterFees[[#This Row],[RVG Code]]="","",_xlfn.XLOOKUP(MasterFees[[#This Row],[RVG Code]],RVGCodes[Code],RVGCodes[Base Units],"Code not found"))</f>
        <v>6</v>
      </c>
      <c r="C15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5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56" s="125" t="s">
        <v>2592</v>
      </c>
      <c r="F156" s="48" t="s">
        <v>2567</v>
      </c>
      <c r="G156" s="30" t="s">
        <v>667</v>
      </c>
      <c r="H156" s="37" t="s">
        <v>1095</v>
      </c>
      <c r="I156" s="37"/>
      <c r="J156" s="37" t="s">
        <v>1096</v>
      </c>
      <c r="K156" s="32">
        <v>3.8</v>
      </c>
      <c r="L156" s="32">
        <v>7.9</v>
      </c>
      <c r="M156" s="32">
        <v>0.1</v>
      </c>
      <c r="N156" s="32">
        <v>11.8</v>
      </c>
      <c r="O156" s="33">
        <v>649</v>
      </c>
      <c r="P156" s="38" t="s">
        <v>1014</v>
      </c>
      <c r="Q156" s="34" t="str">
        <f>IF(MasterFees[[#This Row],[GST Basis]]="Excl",MasterFees[[#This Row],[Fee as Printed]],IF(MasterFees[[#This Row],[GST Basis]]="Incl",MasterFees[[#This Row],[Fee as Printed]]/(1+GST_Rate),""))</f>
        <v/>
      </c>
      <c r="R156" s="34" t="str">
        <f>IF(MasterFees[[#This Row],[GST Basis]]="Incl",MasterFees[[#This Row],[Fee as Printed]],IF(MasterFees[[#This Row],[GST Basis]]="Excl",MasterFees[[#This Row],[Fee as Printed]]*(1+GST_Rate),""))</f>
        <v/>
      </c>
      <c r="S156" s="35">
        <f>IF(N(MasterFees[[#This Row],[Total Units]])=0,"",MasterFees[[#This Row],[Fee as Printed]]/MasterFees[[#This Row],[Total Units]])</f>
        <v>55</v>
      </c>
      <c r="T156" s="36"/>
      <c r="U156" s="39" t="s">
        <v>1012</v>
      </c>
      <c r="V156" s="39" t="s">
        <v>1764</v>
      </c>
      <c r="W156" s="30"/>
      <c r="X156" s="73" t="s">
        <v>3565</v>
      </c>
      <c r="Y156" s="127" t="str">
        <f>_xlfn.XLOOKUP(MasterFees[[#This Row],[Provider / Payer]],Contracts[Contract Name],Contracts[Contract ID],"No contract")</f>
        <v>CON-01</v>
      </c>
      <c r="Z156" s="127" t="str">
        <f>_xlfn.XLOOKUP(MasterFees[[#This Row],[Provider / Payer]],Contracts[Contract Name],Contracts[Pricing Basis],"To confirm")</f>
        <v>To confirm</v>
      </c>
      <c r="AA156" s="127" t="str">
        <f>IF(MasterFees[[#This Row],[Pricing Basis]]="Fixed fee schedule","Yes","No")</f>
        <v>No</v>
      </c>
      <c r="AB156" s="127" t="str">
        <f>IF(OR(MasterFees[[#This Row],[Fee Basis]]="Add-on",MasterFees[[#This Row],[Fee Basis]]="Time band",MasterFees[[#This Row],[Fee Basis]]="Other"),MasterFees[[#This Row],[Fee Basis]],"Base")</f>
        <v>Base</v>
      </c>
      <c r="AC156" s="141" t="str">
        <f>IF(MasterFees[[#This Row],[Fixed Fee?]]="Yes",MasterFees[[#This Row],[Fee Excl. GST]],"")</f>
        <v/>
      </c>
    </row>
    <row r="157" spans="1:29" x14ac:dyDescent="0.2">
      <c r="A157" s="67" t="s">
        <v>2159</v>
      </c>
      <c r="B157" s="31">
        <f>IF(MasterFees[[#This Row],[RVG Code]]="","",_xlfn.XLOOKUP(MasterFees[[#This Row],[RVG Code]],RVGCodes[Code],RVGCodes[Base Units],"Code not found"))</f>
        <v>5</v>
      </c>
      <c r="C15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5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57" s="125" t="s">
        <v>2571</v>
      </c>
      <c r="F157" s="48" t="s">
        <v>2569</v>
      </c>
      <c r="G157" s="30" t="s">
        <v>669</v>
      </c>
      <c r="H157" s="37" t="s">
        <v>1095</v>
      </c>
      <c r="I157" s="37"/>
      <c r="J157" s="37" t="s">
        <v>1096</v>
      </c>
      <c r="K157" s="32">
        <v>5.8</v>
      </c>
      <c r="L157" s="32">
        <v>8.6</v>
      </c>
      <c r="M157" s="32">
        <v>0</v>
      </c>
      <c r="N157" s="32">
        <v>14.4</v>
      </c>
      <c r="O157" s="33">
        <v>792</v>
      </c>
      <c r="P157" s="38" t="s">
        <v>1014</v>
      </c>
      <c r="Q157" s="34" t="str">
        <f>IF(MasterFees[[#This Row],[GST Basis]]="Excl",MasterFees[[#This Row],[Fee as Printed]],IF(MasterFees[[#This Row],[GST Basis]]="Incl",MasterFees[[#This Row],[Fee as Printed]]/(1+GST_Rate),""))</f>
        <v/>
      </c>
      <c r="R157" s="34" t="str">
        <f>IF(MasterFees[[#This Row],[GST Basis]]="Incl",MasterFees[[#This Row],[Fee as Printed]],IF(MasterFees[[#This Row],[GST Basis]]="Excl",MasterFees[[#This Row],[Fee as Printed]]*(1+GST_Rate),""))</f>
        <v/>
      </c>
      <c r="S157" s="35">
        <f>IF(N(MasterFees[[#This Row],[Total Units]])=0,"",MasterFees[[#This Row],[Fee as Printed]]/MasterFees[[#This Row],[Total Units]])</f>
        <v>55</v>
      </c>
      <c r="T157" s="36"/>
      <c r="U157" s="39" t="s">
        <v>1012</v>
      </c>
      <c r="V157" s="39" t="s">
        <v>1766</v>
      </c>
      <c r="W157" s="30"/>
      <c r="X157" s="73" t="s">
        <v>3567</v>
      </c>
      <c r="Y157" s="127" t="str">
        <f>_xlfn.XLOOKUP(MasterFees[[#This Row],[Provider / Payer]],Contracts[Contract Name],Contracts[Contract ID],"No contract")</f>
        <v>CON-01</v>
      </c>
      <c r="Z157" s="127" t="str">
        <f>_xlfn.XLOOKUP(MasterFees[[#This Row],[Provider / Payer]],Contracts[Contract Name],Contracts[Pricing Basis],"To confirm")</f>
        <v>To confirm</v>
      </c>
      <c r="AA157" s="127" t="str">
        <f>IF(MasterFees[[#This Row],[Pricing Basis]]="Fixed fee schedule","Yes","No")</f>
        <v>No</v>
      </c>
      <c r="AB157" s="127" t="str">
        <f>IF(OR(MasterFees[[#This Row],[Fee Basis]]="Add-on",MasterFees[[#This Row],[Fee Basis]]="Time band",MasterFees[[#This Row],[Fee Basis]]="Other"),MasterFees[[#This Row],[Fee Basis]],"Base")</f>
        <v>Base</v>
      </c>
      <c r="AC157" s="141" t="str">
        <f>IF(MasterFees[[#This Row],[Fixed Fee?]]="Yes",MasterFees[[#This Row],[Fee Excl. GST]],"")</f>
        <v/>
      </c>
    </row>
    <row r="158" spans="1:29" x14ac:dyDescent="0.2">
      <c r="A158" s="67" t="s">
        <v>2162</v>
      </c>
      <c r="B158" s="31">
        <f>IF(MasterFees[[#This Row],[RVG Code]]="","",_xlfn.XLOOKUP(MasterFees[[#This Row],[RVG Code]],RVGCodes[Code],RVGCodes[Base Units],"Code not found"))</f>
        <v>6</v>
      </c>
      <c r="C15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5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58" s="125" t="s">
        <v>2592</v>
      </c>
      <c r="F158" s="48" t="s">
        <v>2569</v>
      </c>
      <c r="G158" s="30" t="s">
        <v>670</v>
      </c>
      <c r="H158" s="37" t="s">
        <v>1095</v>
      </c>
      <c r="I158" s="37"/>
      <c r="J158" s="37" t="s">
        <v>1096</v>
      </c>
      <c r="K158" s="32">
        <v>6.1</v>
      </c>
      <c r="L158" s="32">
        <v>9.5</v>
      </c>
      <c r="M158" s="32">
        <v>0.3</v>
      </c>
      <c r="N158" s="32">
        <v>15.8</v>
      </c>
      <c r="O158" s="33">
        <v>867.9</v>
      </c>
      <c r="P158" s="38" t="s">
        <v>1014</v>
      </c>
      <c r="Q158" s="34" t="str">
        <f>IF(MasterFees[[#This Row],[GST Basis]]="Excl",MasterFees[[#This Row],[Fee as Printed]],IF(MasterFees[[#This Row],[GST Basis]]="Incl",MasterFees[[#This Row],[Fee as Printed]]/(1+GST_Rate),""))</f>
        <v/>
      </c>
      <c r="R158" s="34" t="str">
        <f>IF(MasterFees[[#This Row],[GST Basis]]="Incl",MasterFees[[#This Row],[Fee as Printed]],IF(MasterFees[[#This Row],[GST Basis]]="Excl",MasterFees[[#This Row],[Fee as Printed]]*(1+GST_Rate),""))</f>
        <v/>
      </c>
      <c r="S158" s="35">
        <f>IF(N(MasterFees[[#This Row],[Total Units]])=0,"",MasterFees[[#This Row],[Fee as Printed]]/MasterFees[[#This Row],[Total Units]])</f>
        <v>54.930379746835442</v>
      </c>
      <c r="T158" s="36"/>
      <c r="U158" s="39" t="s">
        <v>1012</v>
      </c>
      <c r="V158" s="39" t="s">
        <v>1767</v>
      </c>
      <c r="W158" s="30"/>
      <c r="X158" s="73" t="s">
        <v>3568</v>
      </c>
      <c r="Y158" s="127" t="str">
        <f>_xlfn.XLOOKUP(MasterFees[[#This Row],[Provider / Payer]],Contracts[Contract Name],Contracts[Contract ID],"No contract")</f>
        <v>CON-01</v>
      </c>
      <c r="Z158" s="127" t="str">
        <f>_xlfn.XLOOKUP(MasterFees[[#This Row],[Provider / Payer]],Contracts[Contract Name],Contracts[Pricing Basis],"To confirm")</f>
        <v>To confirm</v>
      </c>
      <c r="AA158" s="127" t="str">
        <f>IF(MasterFees[[#This Row],[Pricing Basis]]="Fixed fee schedule","Yes","No")</f>
        <v>No</v>
      </c>
      <c r="AB158" s="127" t="str">
        <f>IF(OR(MasterFees[[#This Row],[Fee Basis]]="Add-on",MasterFees[[#This Row],[Fee Basis]]="Time band",MasterFees[[#This Row],[Fee Basis]]="Other"),MasterFees[[#This Row],[Fee Basis]],"Base")</f>
        <v>Base</v>
      </c>
      <c r="AC158" s="141" t="str">
        <f>IF(MasterFees[[#This Row],[Fixed Fee?]]="Yes",MasterFees[[#This Row],[Fee Excl. GST]],"")</f>
        <v/>
      </c>
    </row>
    <row r="159" spans="1:29" x14ac:dyDescent="0.2">
      <c r="A159" s="67" t="s">
        <v>2162</v>
      </c>
      <c r="B159" s="31">
        <f>IF(MasterFees[[#This Row],[RVG Code]]="","",_xlfn.XLOOKUP(MasterFees[[#This Row],[RVG Code]],RVGCodes[Code],RVGCodes[Base Units],"Code not found"))</f>
        <v>6</v>
      </c>
      <c r="C15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5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59" s="125" t="s">
        <v>2592</v>
      </c>
      <c r="F159" s="48" t="s">
        <v>2569</v>
      </c>
      <c r="G159" s="30" t="s">
        <v>671</v>
      </c>
      <c r="H159" s="37" t="s">
        <v>1095</v>
      </c>
      <c r="I159" s="37"/>
      <c r="J159" s="37" t="s">
        <v>1096</v>
      </c>
      <c r="K159" s="32">
        <v>6</v>
      </c>
      <c r="L159" s="32">
        <v>8</v>
      </c>
      <c r="M159" s="32">
        <v>0</v>
      </c>
      <c r="N159" s="32">
        <v>14</v>
      </c>
      <c r="O159" s="33">
        <v>770</v>
      </c>
      <c r="P159" s="38" t="s">
        <v>1014</v>
      </c>
      <c r="Q159" s="34" t="str">
        <f>IF(MasterFees[[#This Row],[GST Basis]]="Excl",MasterFees[[#This Row],[Fee as Printed]],IF(MasterFees[[#This Row],[GST Basis]]="Incl",MasterFees[[#This Row],[Fee as Printed]]/(1+GST_Rate),""))</f>
        <v/>
      </c>
      <c r="R159" s="34" t="str">
        <f>IF(MasterFees[[#This Row],[GST Basis]]="Incl",MasterFees[[#This Row],[Fee as Printed]],IF(MasterFees[[#This Row],[GST Basis]]="Excl",MasterFees[[#This Row],[Fee as Printed]]*(1+GST_Rate),""))</f>
        <v/>
      </c>
      <c r="S159" s="35">
        <f>IF(N(MasterFees[[#This Row],[Total Units]])=0,"",MasterFees[[#This Row],[Fee as Printed]]/MasterFees[[#This Row],[Total Units]])</f>
        <v>55</v>
      </c>
      <c r="T159" s="36"/>
      <c r="U159" s="39" t="s">
        <v>1012</v>
      </c>
      <c r="V159" s="39" t="s">
        <v>1768</v>
      </c>
      <c r="W159" s="30"/>
      <c r="X159" s="73" t="s">
        <v>3569</v>
      </c>
      <c r="Y159" s="127" t="str">
        <f>_xlfn.XLOOKUP(MasterFees[[#This Row],[Provider / Payer]],Contracts[Contract Name],Contracts[Contract ID],"No contract")</f>
        <v>CON-01</v>
      </c>
      <c r="Z159" s="127" t="str">
        <f>_xlfn.XLOOKUP(MasterFees[[#This Row],[Provider / Payer]],Contracts[Contract Name],Contracts[Pricing Basis],"To confirm")</f>
        <v>To confirm</v>
      </c>
      <c r="AA159" s="127" t="str">
        <f>IF(MasterFees[[#This Row],[Pricing Basis]]="Fixed fee schedule","Yes","No")</f>
        <v>No</v>
      </c>
      <c r="AB159" s="127" t="str">
        <f>IF(OR(MasterFees[[#This Row],[Fee Basis]]="Add-on",MasterFees[[#This Row],[Fee Basis]]="Time band",MasterFees[[#This Row],[Fee Basis]]="Other"),MasterFees[[#This Row],[Fee Basis]],"Base")</f>
        <v>Base</v>
      </c>
      <c r="AC159" s="141" t="str">
        <f>IF(MasterFees[[#This Row],[Fixed Fee?]]="Yes",MasterFees[[#This Row],[Fee Excl. GST]],"")</f>
        <v/>
      </c>
    </row>
    <row r="160" spans="1:29" x14ac:dyDescent="0.2">
      <c r="A160" s="67" t="s">
        <v>2159</v>
      </c>
      <c r="B160" s="31">
        <f>IF(MasterFees[[#This Row],[RVG Code]]="","",_xlfn.XLOOKUP(MasterFees[[#This Row],[RVG Code]],RVGCodes[Code],RVGCodes[Base Units],"Code not found"))</f>
        <v>5</v>
      </c>
      <c r="C16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6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60" s="125" t="s">
        <v>2571</v>
      </c>
      <c r="F160" s="48" t="s">
        <v>2569</v>
      </c>
      <c r="G160" s="30" t="s">
        <v>674</v>
      </c>
      <c r="H160" s="37" t="s">
        <v>1095</v>
      </c>
      <c r="I160" s="37"/>
      <c r="J160" s="37" t="s">
        <v>1096</v>
      </c>
      <c r="K160" s="32">
        <v>0</v>
      </c>
      <c r="L160" s="32">
        <v>0</v>
      </c>
      <c r="M160" s="32">
        <v>0</v>
      </c>
      <c r="N160" s="32">
        <v>0</v>
      </c>
      <c r="O160" s="33">
        <v>0</v>
      </c>
      <c r="P160" s="38" t="s">
        <v>1014</v>
      </c>
      <c r="Q160" s="34" t="str">
        <f>IF(MasterFees[[#This Row],[GST Basis]]="Excl",MasterFees[[#This Row],[Fee as Printed]],IF(MasterFees[[#This Row],[GST Basis]]="Incl",MasterFees[[#This Row],[Fee as Printed]]/(1+GST_Rate),""))</f>
        <v/>
      </c>
      <c r="R160" s="34" t="str">
        <f>IF(MasterFees[[#This Row],[GST Basis]]="Incl",MasterFees[[#This Row],[Fee as Printed]],IF(MasterFees[[#This Row],[GST Basis]]="Excl",MasterFees[[#This Row],[Fee as Printed]]*(1+GST_Rate),""))</f>
        <v/>
      </c>
      <c r="S160" s="35" t="str">
        <f>IF(N(MasterFees[[#This Row],[Total Units]])=0,"",MasterFees[[#This Row],[Fee as Printed]]/MasterFees[[#This Row],[Total Units]])</f>
        <v/>
      </c>
      <c r="T160" s="36"/>
      <c r="U160" s="39" t="s">
        <v>1012</v>
      </c>
      <c r="V160" s="39" t="s">
        <v>1771</v>
      </c>
      <c r="W160" s="30"/>
      <c r="X160" s="73" t="s">
        <v>3572</v>
      </c>
      <c r="Y160" s="127" t="str">
        <f>_xlfn.XLOOKUP(MasterFees[[#This Row],[Provider / Payer]],Contracts[Contract Name],Contracts[Contract ID],"No contract")</f>
        <v>CON-01</v>
      </c>
      <c r="Z160" s="127" t="str">
        <f>_xlfn.XLOOKUP(MasterFees[[#This Row],[Provider / Payer]],Contracts[Contract Name],Contracts[Pricing Basis],"To confirm")</f>
        <v>To confirm</v>
      </c>
      <c r="AA160" s="127" t="str">
        <f>IF(MasterFees[[#This Row],[Pricing Basis]]="Fixed fee schedule","Yes","No")</f>
        <v>No</v>
      </c>
      <c r="AB160" s="127" t="str">
        <f>IF(OR(MasterFees[[#This Row],[Fee Basis]]="Add-on",MasterFees[[#This Row],[Fee Basis]]="Time band",MasterFees[[#This Row],[Fee Basis]]="Other"),MasterFees[[#This Row],[Fee Basis]],"Base")</f>
        <v>Base</v>
      </c>
      <c r="AC160" s="141" t="str">
        <f>IF(MasterFees[[#This Row],[Fixed Fee?]]="Yes",MasterFees[[#This Row],[Fee Excl. GST]],"")</f>
        <v/>
      </c>
    </row>
    <row r="161" spans="1:29" x14ac:dyDescent="0.2">
      <c r="A161" s="67" t="s">
        <v>2159</v>
      </c>
      <c r="B161" s="31">
        <f>IF(MasterFees[[#This Row],[RVG Code]]="","",_xlfn.XLOOKUP(MasterFees[[#This Row],[RVG Code]],RVGCodes[Code],RVGCodes[Base Units],"Code not found"))</f>
        <v>5</v>
      </c>
      <c r="C16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6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61" s="125" t="s">
        <v>2571</v>
      </c>
      <c r="F161" s="48" t="s">
        <v>2569</v>
      </c>
      <c r="G161" s="30" t="s">
        <v>675</v>
      </c>
      <c r="H161" s="37" t="s">
        <v>1095</v>
      </c>
      <c r="I161" s="37"/>
      <c r="J161" s="37" t="s">
        <v>1096</v>
      </c>
      <c r="K161" s="32">
        <v>0</v>
      </c>
      <c r="L161" s="32">
        <v>0</v>
      </c>
      <c r="M161" s="32">
        <v>0</v>
      </c>
      <c r="N161" s="32">
        <v>0</v>
      </c>
      <c r="O161" s="33">
        <v>0</v>
      </c>
      <c r="P161" s="38" t="s">
        <v>1014</v>
      </c>
      <c r="Q161" s="34" t="str">
        <f>IF(MasterFees[[#This Row],[GST Basis]]="Excl",MasterFees[[#This Row],[Fee as Printed]],IF(MasterFees[[#This Row],[GST Basis]]="Incl",MasterFees[[#This Row],[Fee as Printed]]/(1+GST_Rate),""))</f>
        <v/>
      </c>
      <c r="R161" s="34" t="str">
        <f>IF(MasterFees[[#This Row],[GST Basis]]="Incl",MasterFees[[#This Row],[Fee as Printed]],IF(MasterFees[[#This Row],[GST Basis]]="Excl",MasterFees[[#This Row],[Fee as Printed]]*(1+GST_Rate),""))</f>
        <v/>
      </c>
      <c r="S161" s="35" t="str">
        <f>IF(N(MasterFees[[#This Row],[Total Units]])=0,"",MasterFees[[#This Row],[Fee as Printed]]/MasterFees[[#This Row],[Total Units]])</f>
        <v/>
      </c>
      <c r="T161" s="36"/>
      <c r="U161" s="39" t="s">
        <v>1012</v>
      </c>
      <c r="V161" s="39" t="s">
        <v>1772</v>
      </c>
      <c r="W161" s="30"/>
      <c r="X161" s="73" t="s">
        <v>3573</v>
      </c>
      <c r="Y161" s="127" t="str">
        <f>_xlfn.XLOOKUP(MasterFees[[#This Row],[Provider / Payer]],Contracts[Contract Name],Contracts[Contract ID],"No contract")</f>
        <v>CON-01</v>
      </c>
      <c r="Z161" s="127" t="str">
        <f>_xlfn.XLOOKUP(MasterFees[[#This Row],[Provider / Payer]],Contracts[Contract Name],Contracts[Pricing Basis],"To confirm")</f>
        <v>To confirm</v>
      </c>
      <c r="AA161" s="127" t="str">
        <f>IF(MasterFees[[#This Row],[Pricing Basis]]="Fixed fee schedule","Yes","No")</f>
        <v>No</v>
      </c>
      <c r="AB161" s="127" t="str">
        <f>IF(OR(MasterFees[[#This Row],[Fee Basis]]="Add-on",MasterFees[[#This Row],[Fee Basis]]="Time band",MasterFees[[#This Row],[Fee Basis]]="Other"),MasterFees[[#This Row],[Fee Basis]],"Base")</f>
        <v>Base</v>
      </c>
      <c r="AC161" s="141" t="str">
        <f>IF(MasterFees[[#This Row],[Fixed Fee?]]="Yes",MasterFees[[#This Row],[Fee Excl. GST]],"")</f>
        <v/>
      </c>
    </row>
    <row r="162" spans="1:29" x14ac:dyDescent="0.2">
      <c r="A162" s="67" t="s">
        <v>2162</v>
      </c>
      <c r="B162" s="31">
        <f>IF(MasterFees[[#This Row],[RVG Code]]="","",_xlfn.XLOOKUP(MasterFees[[#This Row],[RVG Code]],RVGCodes[Code],RVGCodes[Base Units],"Code not found"))</f>
        <v>6</v>
      </c>
      <c r="C16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6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62" s="125" t="s">
        <v>2592</v>
      </c>
      <c r="F162" s="48" t="s">
        <v>2567</v>
      </c>
      <c r="G162" s="30" t="s">
        <v>683</v>
      </c>
      <c r="H162" s="37" t="s">
        <v>1095</v>
      </c>
      <c r="I162" s="37"/>
      <c r="J162" s="37" t="s">
        <v>1096</v>
      </c>
      <c r="K162" s="32">
        <v>6</v>
      </c>
      <c r="L162" s="32">
        <v>6</v>
      </c>
      <c r="M162" s="32">
        <v>0</v>
      </c>
      <c r="N162" s="32">
        <v>12</v>
      </c>
      <c r="O162" s="33">
        <v>660</v>
      </c>
      <c r="P162" s="38" t="s">
        <v>1014</v>
      </c>
      <c r="Q162" s="34" t="str">
        <f>IF(MasterFees[[#This Row],[GST Basis]]="Excl",MasterFees[[#This Row],[Fee as Printed]],IF(MasterFees[[#This Row],[GST Basis]]="Incl",MasterFees[[#This Row],[Fee as Printed]]/(1+GST_Rate),""))</f>
        <v/>
      </c>
      <c r="R162" s="34" t="str">
        <f>IF(MasterFees[[#This Row],[GST Basis]]="Incl",MasterFees[[#This Row],[Fee as Printed]],IF(MasterFees[[#This Row],[GST Basis]]="Excl",MasterFees[[#This Row],[Fee as Printed]]*(1+GST_Rate),""))</f>
        <v/>
      </c>
      <c r="S162" s="35">
        <f>IF(N(MasterFees[[#This Row],[Total Units]])=0,"",MasterFees[[#This Row],[Fee as Printed]]/MasterFees[[#This Row],[Total Units]])</f>
        <v>55</v>
      </c>
      <c r="T162" s="36"/>
      <c r="U162" s="39" t="s">
        <v>1012</v>
      </c>
      <c r="V162" s="39" t="s">
        <v>1780</v>
      </c>
      <c r="W162" s="30"/>
      <c r="X162" s="73" t="s">
        <v>3582</v>
      </c>
      <c r="Y162" s="127" t="str">
        <f>_xlfn.XLOOKUP(MasterFees[[#This Row],[Provider / Payer]],Contracts[Contract Name],Contracts[Contract ID],"No contract")</f>
        <v>CON-01</v>
      </c>
      <c r="Z162" s="127" t="str">
        <f>_xlfn.XLOOKUP(MasterFees[[#This Row],[Provider / Payer]],Contracts[Contract Name],Contracts[Pricing Basis],"To confirm")</f>
        <v>To confirm</v>
      </c>
      <c r="AA162" s="127" t="str">
        <f>IF(MasterFees[[#This Row],[Pricing Basis]]="Fixed fee schedule","Yes","No")</f>
        <v>No</v>
      </c>
      <c r="AB162" s="127" t="str">
        <f>IF(OR(MasterFees[[#This Row],[Fee Basis]]="Add-on",MasterFees[[#This Row],[Fee Basis]]="Time band",MasterFees[[#This Row],[Fee Basis]]="Other"),MasterFees[[#This Row],[Fee Basis]],"Base")</f>
        <v>Base</v>
      </c>
      <c r="AC162" s="141" t="str">
        <f>IF(MasterFees[[#This Row],[Fixed Fee?]]="Yes",MasterFees[[#This Row],[Fee Excl. GST]],"")</f>
        <v/>
      </c>
    </row>
    <row r="163" spans="1:29" x14ac:dyDescent="0.2">
      <c r="A163" s="67" t="s">
        <v>2159</v>
      </c>
      <c r="B163" s="31">
        <f>IF(MasterFees[[#This Row],[RVG Code]]="","",_xlfn.XLOOKUP(MasterFees[[#This Row],[RVG Code]],RVGCodes[Code],RVGCodes[Base Units],"Code not found"))</f>
        <v>5</v>
      </c>
      <c r="C16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6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63" s="125" t="s">
        <v>2571</v>
      </c>
      <c r="F163" s="48" t="s">
        <v>2567</v>
      </c>
      <c r="G163" s="30" t="s">
        <v>4050</v>
      </c>
      <c r="H163" s="37" t="s">
        <v>4069</v>
      </c>
      <c r="I163" s="37"/>
      <c r="J163" s="37" t="s">
        <v>1024</v>
      </c>
      <c r="K163" s="32"/>
      <c r="L163" s="32"/>
      <c r="M163" s="32"/>
      <c r="N163" s="32"/>
      <c r="O163" s="33">
        <v>1725</v>
      </c>
      <c r="P163" s="38" t="s">
        <v>4043</v>
      </c>
      <c r="Q163" s="34">
        <f>IF(MasterFees[[#This Row],[GST Basis]]="Excl",MasterFees[[#This Row],[Fee as Printed]],IF(MasterFees[[#This Row],[GST Basis]]="Incl",MasterFees[[#This Row],[Fee as Printed]]/(1+GST_Rate),""))</f>
        <v>1500.0000000000002</v>
      </c>
      <c r="R163" s="34">
        <f>IF(MasterFees[[#This Row],[GST Basis]]="Incl",MasterFees[[#This Row],[Fee as Printed]],IF(MasterFees[[#This Row],[GST Basis]]="Excl",MasterFees[[#This Row],[Fee as Printed]]*(1+GST_Rate),""))</f>
        <v>1725</v>
      </c>
      <c r="S163" s="35" t="str">
        <f>IF(N(MasterFees[[#This Row],[Total Units]])=0,"",MasterFees[[#This Row],[Fee as Printed]]/MasterFees[[#This Row],[Total Units]])</f>
        <v/>
      </c>
      <c r="T163" s="36">
        <v>46174</v>
      </c>
      <c r="U163" s="39" t="s">
        <v>4025</v>
      </c>
      <c r="V163" s="39" t="s">
        <v>4070</v>
      </c>
      <c r="W163" s="30" t="s">
        <v>4073</v>
      </c>
      <c r="X163" s="77" t="s">
        <v>4095</v>
      </c>
      <c r="Y163" s="127" t="str">
        <f>_xlfn.XLOOKUP(MasterFees[[#This Row],[Provider / Payer]],Contracts[Contract Name],Contracts[Contract ID],"No contract")</f>
        <v>CON-08</v>
      </c>
      <c r="Z163" s="127" t="str">
        <f>_xlfn.XLOOKUP(MasterFees[[#This Row],[Provider / Payer]],Contracts[Contract Name],Contracts[Pricing Basis],"To confirm")</f>
        <v>Fixed fee schedule</v>
      </c>
      <c r="AA163" s="127" t="str">
        <f>IF(MasterFees[[#This Row],[Pricing Basis]]="Fixed fee schedule","Yes","No")</f>
        <v>Yes</v>
      </c>
      <c r="AB163" s="127" t="str">
        <f>IF(OR(MasterFees[[#This Row],[Fee Basis]]="Add-on",MasterFees[[#This Row],[Fee Basis]]="Time band",MasterFees[[#This Row],[Fee Basis]]="Other"),MasterFees[[#This Row],[Fee Basis]],"Base")</f>
        <v>Base</v>
      </c>
      <c r="AC163" s="141">
        <f>IF(MasterFees[[#This Row],[Fixed Fee?]]="Yes",MasterFees[[#This Row],[Fee Excl. GST]],"")</f>
        <v>1500.0000000000002</v>
      </c>
    </row>
    <row r="164" spans="1:29" x14ac:dyDescent="0.2">
      <c r="A164" s="67" t="s">
        <v>2159</v>
      </c>
      <c r="B164" s="31">
        <f>IF(MasterFees[[#This Row],[RVG Code]]="","",_xlfn.XLOOKUP(MasterFees[[#This Row],[RVG Code]],RVGCodes[Code],RVGCodes[Base Units],"Code not found"))</f>
        <v>5</v>
      </c>
      <c r="C16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6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64" s="125" t="s">
        <v>2571</v>
      </c>
      <c r="F164" s="48" t="s">
        <v>2567</v>
      </c>
      <c r="G164" s="30" t="s">
        <v>685</v>
      </c>
      <c r="H164" s="37" t="s">
        <v>1095</v>
      </c>
      <c r="I164" s="37"/>
      <c r="J164" s="37" t="s">
        <v>1096</v>
      </c>
      <c r="K164" s="32">
        <v>5</v>
      </c>
      <c r="L164" s="32">
        <v>11</v>
      </c>
      <c r="M164" s="32">
        <v>0</v>
      </c>
      <c r="N164" s="32">
        <v>16</v>
      </c>
      <c r="O164" s="33">
        <v>880</v>
      </c>
      <c r="P164" s="38" t="s">
        <v>1014</v>
      </c>
      <c r="Q164" s="34" t="str">
        <f>IF(MasterFees[[#This Row],[GST Basis]]="Excl",MasterFees[[#This Row],[Fee as Printed]],IF(MasterFees[[#This Row],[GST Basis]]="Incl",MasterFees[[#This Row],[Fee as Printed]]/(1+GST_Rate),""))</f>
        <v/>
      </c>
      <c r="R164" s="34" t="str">
        <f>IF(MasterFees[[#This Row],[GST Basis]]="Incl",MasterFees[[#This Row],[Fee as Printed]],IF(MasterFees[[#This Row],[GST Basis]]="Excl",MasterFees[[#This Row],[Fee as Printed]]*(1+GST_Rate),""))</f>
        <v/>
      </c>
      <c r="S164" s="35">
        <f>IF(N(MasterFees[[#This Row],[Total Units]])=0,"",MasterFees[[#This Row],[Fee as Printed]]/MasterFees[[#This Row],[Total Units]])</f>
        <v>55</v>
      </c>
      <c r="T164" s="36"/>
      <c r="U164" s="39" t="s">
        <v>1012</v>
      </c>
      <c r="V164" s="39" t="s">
        <v>1782</v>
      </c>
      <c r="W164" s="30"/>
      <c r="X164" s="73" t="s">
        <v>3584</v>
      </c>
      <c r="Y164" s="127" t="str">
        <f>_xlfn.XLOOKUP(MasterFees[[#This Row],[Provider / Payer]],Contracts[Contract Name],Contracts[Contract ID],"No contract")</f>
        <v>CON-01</v>
      </c>
      <c r="Z164" s="127" t="str">
        <f>_xlfn.XLOOKUP(MasterFees[[#This Row],[Provider / Payer]],Contracts[Contract Name],Contracts[Pricing Basis],"To confirm")</f>
        <v>To confirm</v>
      </c>
      <c r="AA164" s="127" t="str">
        <f>IF(MasterFees[[#This Row],[Pricing Basis]]="Fixed fee schedule","Yes","No")</f>
        <v>No</v>
      </c>
      <c r="AB164" s="127" t="str">
        <f>IF(OR(MasterFees[[#This Row],[Fee Basis]]="Add-on",MasterFees[[#This Row],[Fee Basis]]="Time band",MasterFees[[#This Row],[Fee Basis]]="Other"),MasterFees[[#This Row],[Fee Basis]],"Base")</f>
        <v>Base</v>
      </c>
      <c r="AC164" s="141" t="str">
        <f>IF(MasterFees[[#This Row],[Fixed Fee?]]="Yes",MasterFees[[#This Row],[Fee Excl. GST]],"")</f>
        <v/>
      </c>
    </row>
    <row r="165" spans="1:29" x14ac:dyDescent="0.2">
      <c r="A165" s="67" t="s">
        <v>2162</v>
      </c>
      <c r="B165" s="31">
        <f>IF(MasterFees[[#This Row],[RVG Code]]="","",_xlfn.XLOOKUP(MasterFees[[#This Row],[RVG Code]],RVGCodes[Code],RVGCodes[Base Units],"Code not found"))</f>
        <v>6</v>
      </c>
      <c r="C16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6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65" s="125" t="s">
        <v>2592</v>
      </c>
      <c r="F165" s="48" t="s">
        <v>2569</v>
      </c>
      <c r="G165" s="30" t="s">
        <v>691</v>
      </c>
      <c r="H165" s="37" t="s">
        <v>1095</v>
      </c>
      <c r="I165" s="37"/>
      <c r="J165" s="37" t="s">
        <v>1096</v>
      </c>
      <c r="K165" s="32">
        <v>6</v>
      </c>
      <c r="L165" s="32">
        <v>9.9</v>
      </c>
      <c r="M165" s="32">
        <v>1.4</v>
      </c>
      <c r="N165" s="32">
        <v>17.3</v>
      </c>
      <c r="O165" s="33">
        <v>953.15</v>
      </c>
      <c r="P165" s="38" t="s">
        <v>1014</v>
      </c>
      <c r="Q165" s="34" t="str">
        <f>IF(MasterFees[[#This Row],[GST Basis]]="Excl",MasterFees[[#This Row],[Fee as Printed]],IF(MasterFees[[#This Row],[GST Basis]]="Incl",MasterFees[[#This Row],[Fee as Printed]]/(1+GST_Rate),""))</f>
        <v/>
      </c>
      <c r="R165" s="34" t="str">
        <f>IF(MasterFees[[#This Row],[GST Basis]]="Incl",MasterFees[[#This Row],[Fee as Printed]],IF(MasterFees[[#This Row],[GST Basis]]="Excl",MasterFees[[#This Row],[Fee as Printed]]*(1+GST_Rate),""))</f>
        <v/>
      </c>
      <c r="S165" s="35">
        <f>IF(N(MasterFees[[#This Row],[Total Units]])=0,"",MasterFees[[#This Row],[Fee as Printed]]/MasterFees[[#This Row],[Total Units]])</f>
        <v>55.095375722543352</v>
      </c>
      <c r="T165" s="36"/>
      <c r="U165" s="39" t="s">
        <v>1012</v>
      </c>
      <c r="V165" s="39" t="s">
        <v>1788</v>
      </c>
      <c r="W165" s="30"/>
      <c r="X165" s="73" t="s">
        <v>3590</v>
      </c>
      <c r="Y165" s="127" t="str">
        <f>_xlfn.XLOOKUP(MasterFees[[#This Row],[Provider / Payer]],Contracts[Contract Name],Contracts[Contract ID],"No contract")</f>
        <v>CON-01</v>
      </c>
      <c r="Z165" s="127" t="str">
        <f>_xlfn.XLOOKUP(MasterFees[[#This Row],[Provider / Payer]],Contracts[Contract Name],Contracts[Pricing Basis],"To confirm")</f>
        <v>To confirm</v>
      </c>
      <c r="AA165" s="127" t="str">
        <f>IF(MasterFees[[#This Row],[Pricing Basis]]="Fixed fee schedule","Yes","No")</f>
        <v>No</v>
      </c>
      <c r="AB165" s="127" t="str">
        <f>IF(OR(MasterFees[[#This Row],[Fee Basis]]="Add-on",MasterFees[[#This Row],[Fee Basis]]="Time band",MasterFees[[#This Row],[Fee Basis]]="Other"),MasterFees[[#This Row],[Fee Basis]],"Base")</f>
        <v>Base</v>
      </c>
      <c r="AC165" s="141" t="str">
        <f>IF(MasterFees[[#This Row],[Fixed Fee?]]="Yes",MasterFees[[#This Row],[Fee Excl. GST]],"")</f>
        <v/>
      </c>
    </row>
    <row r="166" spans="1:29" x14ac:dyDescent="0.2">
      <c r="A166" s="67" t="s">
        <v>2157</v>
      </c>
      <c r="B166" s="31">
        <f>IF(MasterFees[[#This Row],[RVG Code]]="","",_xlfn.XLOOKUP(MasterFees[[#This Row],[RVG Code]],RVGCodes[Code],RVGCodes[Base Units],"Code not found"))</f>
        <v>4</v>
      </c>
      <c r="C16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6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66" s="125" t="s">
        <v>2572</v>
      </c>
      <c r="F166" s="48" t="s">
        <v>2567</v>
      </c>
      <c r="G166" s="30" t="s">
        <v>4522</v>
      </c>
      <c r="H166" s="37" t="s">
        <v>4622</v>
      </c>
      <c r="I166" s="37" t="s">
        <v>4521</v>
      </c>
      <c r="J166" s="37" t="s">
        <v>1024</v>
      </c>
      <c r="K166" s="32"/>
      <c r="L166" s="32"/>
      <c r="M166" s="32"/>
      <c r="N166" s="32"/>
      <c r="O166" s="33">
        <v>750</v>
      </c>
      <c r="P166" s="38" t="s">
        <v>4398</v>
      </c>
      <c r="Q166" s="34">
        <f>IF(MasterFees[[#This Row],[GST Basis]]="Excl",MasterFees[[#This Row],[Fee as Printed]],IF(MasterFees[[#This Row],[GST Basis]]="Incl",MasterFees[[#This Row],[Fee as Printed]]/(1+GST_Rate),""))</f>
        <v>750</v>
      </c>
      <c r="R166" s="34">
        <f>IF(MasterFees[[#This Row],[GST Basis]]="Incl",MasterFees[[#This Row],[Fee as Printed]],IF(MasterFees[[#This Row],[GST Basis]]="Excl",MasterFees[[#This Row],[Fee as Printed]]*(1+GST_Rate),""))</f>
        <v>862.49999999999989</v>
      </c>
      <c r="S166" s="35" t="str">
        <f>IF(N(MasterFees[[#This Row],[Total Units]])=0,"",MasterFees[[#This Row],[Fee as Printed]]/MasterFees[[#This Row],[Total Units]])</f>
        <v/>
      </c>
      <c r="T166" s="36"/>
      <c r="U166" s="39" t="s">
        <v>4587</v>
      </c>
      <c r="V166" s="39" t="s">
        <v>4730</v>
      </c>
      <c r="W166" s="30" t="s">
        <v>4731</v>
      </c>
      <c r="X166" s="77" t="s">
        <v>4823</v>
      </c>
      <c r="Y166" s="127" t="str">
        <f>_xlfn.XLOOKUP(MasterFees[[#This Row],[Provider / Payer]],Contracts[Contract Name],Contracts[Contract ID],"No contract")</f>
        <v>CON-05</v>
      </c>
      <c r="Z166" s="127" t="str">
        <f>_xlfn.XLOOKUP(MasterFees[[#This Row],[Provider / Payer]],Contracts[Contract Name],Contracts[Pricing Basis],"To confirm")</f>
        <v>Fixed fee schedule</v>
      </c>
      <c r="AA166" s="127" t="str">
        <f>IF(MasterFees[[#This Row],[Pricing Basis]]="Fixed fee schedule","Yes","No")</f>
        <v>Yes</v>
      </c>
      <c r="AB166" s="127" t="str">
        <f>IF(OR(MasterFees[[#This Row],[Fee Basis]]="Add-on",MasterFees[[#This Row],[Fee Basis]]="Time band",MasterFees[[#This Row],[Fee Basis]]="Other"),MasterFees[[#This Row],[Fee Basis]],"Base")</f>
        <v>Base</v>
      </c>
      <c r="AC166" s="141">
        <f>IF(MasterFees[[#This Row],[Fixed Fee?]]="Yes",MasterFees[[#This Row],[Fee Excl. GST]],"")</f>
        <v>750</v>
      </c>
    </row>
    <row r="167" spans="1:29" x14ac:dyDescent="0.2">
      <c r="A167" s="67" t="s">
        <v>2157</v>
      </c>
      <c r="B167" s="31">
        <f>IF(MasterFees[[#This Row],[RVG Code]]="","",_xlfn.XLOOKUP(MasterFees[[#This Row],[RVG Code]],RVGCodes[Code],RVGCodes[Base Units],"Code not found"))</f>
        <v>4</v>
      </c>
      <c r="C16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6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67" s="125" t="s">
        <v>2572</v>
      </c>
      <c r="F167" s="48" t="s">
        <v>2567</v>
      </c>
      <c r="G167" s="30" t="s">
        <v>4522</v>
      </c>
      <c r="H167" s="37" t="s">
        <v>4625</v>
      </c>
      <c r="I167" s="37" t="s">
        <v>4521</v>
      </c>
      <c r="J167" s="37" t="s">
        <v>1024</v>
      </c>
      <c r="K167" s="32"/>
      <c r="L167" s="32"/>
      <c r="M167" s="32"/>
      <c r="N167" s="32"/>
      <c r="O167" s="33">
        <v>800</v>
      </c>
      <c r="P167" s="38" t="s">
        <v>4398</v>
      </c>
      <c r="Q167" s="34">
        <f>IF(MasterFees[[#This Row],[GST Basis]]="Excl",MasterFees[[#This Row],[Fee as Printed]],IF(MasterFees[[#This Row],[GST Basis]]="Incl",MasterFees[[#This Row],[Fee as Printed]]/(1+GST_Rate),""))</f>
        <v>800</v>
      </c>
      <c r="R167" s="34">
        <f>IF(MasterFees[[#This Row],[GST Basis]]="Incl",MasterFees[[#This Row],[Fee as Printed]],IF(MasterFees[[#This Row],[GST Basis]]="Excl",MasterFees[[#This Row],[Fee as Printed]]*(1+GST_Rate),""))</f>
        <v>919.99999999999989</v>
      </c>
      <c r="S167" s="35" t="str">
        <f>IF(N(MasterFees[[#This Row],[Total Units]])=0,"",MasterFees[[#This Row],[Fee as Printed]]/MasterFees[[#This Row],[Total Units]])</f>
        <v/>
      </c>
      <c r="T167" s="36"/>
      <c r="U167" s="39" t="s">
        <v>4587</v>
      </c>
      <c r="V167" s="39" t="s">
        <v>4732</v>
      </c>
      <c r="W167" s="30" t="s">
        <v>4733</v>
      </c>
      <c r="X167" s="77" t="s">
        <v>4823</v>
      </c>
      <c r="Y167" s="127" t="str">
        <f>_xlfn.XLOOKUP(MasterFees[[#This Row],[Provider / Payer]],Contracts[Contract Name],Contracts[Contract ID],"No contract")</f>
        <v>CON-06</v>
      </c>
      <c r="Z167" s="127" t="str">
        <f>_xlfn.XLOOKUP(MasterFees[[#This Row],[Provider / Payer]],Contracts[Contract Name],Contracts[Pricing Basis],"To confirm")</f>
        <v>Fixed fee schedule</v>
      </c>
      <c r="AA167" s="127" t="str">
        <f>IF(MasterFees[[#This Row],[Pricing Basis]]="Fixed fee schedule","Yes","No")</f>
        <v>Yes</v>
      </c>
      <c r="AB167" s="127" t="str">
        <f>IF(OR(MasterFees[[#This Row],[Fee Basis]]="Add-on",MasterFees[[#This Row],[Fee Basis]]="Time band",MasterFees[[#This Row],[Fee Basis]]="Other"),MasterFees[[#This Row],[Fee Basis]],"Base")</f>
        <v>Base</v>
      </c>
      <c r="AC167" s="141">
        <f>IF(MasterFees[[#This Row],[Fixed Fee?]]="Yes",MasterFees[[#This Row],[Fee Excl. GST]],"")</f>
        <v>800</v>
      </c>
    </row>
    <row r="168" spans="1:29" x14ac:dyDescent="0.2">
      <c r="A168" s="67" t="s">
        <v>2162</v>
      </c>
      <c r="B168" s="31">
        <f>IF(MasterFees[[#This Row],[RVG Code]]="","",_xlfn.XLOOKUP(MasterFees[[#This Row],[RVG Code]],RVGCodes[Code],RVGCodes[Base Units],"Code not found"))</f>
        <v>6</v>
      </c>
      <c r="C16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6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68" s="125" t="s">
        <v>2592</v>
      </c>
      <c r="F168" s="48" t="s">
        <v>2567</v>
      </c>
      <c r="G168" s="30" t="s">
        <v>693</v>
      </c>
      <c r="H168" s="37" t="s">
        <v>1095</v>
      </c>
      <c r="I168" s="37"/>
      <c r="J168" s="37" t="s">
        <v>1096</v>
      </c>
      <c r="K168" s="32">
        <v>4.5999999999999996</v>
      </c>
      <c r="L168" s="32">
        <v>4.5999999999999996</v>
      </c>
      <c r="M168" s="32">
        <v>0.7</v>
      </c>
      <c r="N168" s="32">
        <v>9.9</v>
      </c>
      <c r="O168" s="33">
        <v>541.75</v>
      </c>
      <c r="P168" s="38" t="s">
        <v>1014</v>
      </c>
      <c r="Q168" s="34" t="str">
        <f>IF(MasterFees[[#This Row],[GST Basis]]="Excl",MasterFees[[#This Row],[Fee as Printed]],IF(MasterFees[[#This Row],[GST Basis]]="Incl",MasterFees[[#This Row],[Fee as Printed]]/(1+GST_Rate),""))</f>
        <v/>
      </c>
      <c r="R168" s="34" t="str">
        <f>IF(MasterFees[[#This Row],[GST Basis]]="Incl",MasterFees[[#This Row],[Fee as Printed]],IF(MasterFees[[#This Row],[GST Basis]]="Excl",MasterFees[[#This Row],[Fee as Printed]]*(1+GST_Rate),""))</f>
        <v/>
      </c>
      <c r="S168" s="35">
        <f>IF(N(MasterFees[[#This Row],[Total Units]])=0,"",MasterFees[[#This Row],[Fee as Printed]]/MasterFees[[#This Row],[Total Units]])</f>
        <v>54.722222222222221</v>
      </c>
      <c r="T168" s="36"/>
      <c r="U168" s="39" t="s">
        <v>1012</v>
      </c>
      <c r="V168" s="39" t="s">
        <v>1790</v>
      </c>
      <c r="W168" s="30"/>
      <c r="X168" s="73" t="s">
        <v>3592</v>
      </c>
      <c r="Y168" s="127" t="str">
        <f>_xlfn.XLOOKUP(MasterFees[[#This Row],[Provider / Payer]],Contracts[Contract Name],Contracts[Contract ID],"No contract")</f>
        <v>CON-01</v>
      </c>
      <c r="Z168" s="127" t="str">
        <f>_xlfn.XLOOKUP(MasterFees[[#This Row],[Provider / Payer]],Contracts[Contract Name],Contracts[Pricing Basis],"To confirm")</f>
        <v>To confirm</v>
      </c>
      <c r="AA168" s="127" t="str">
        <f>IF(MasterFees[[#This Row],[Pricing Basis]]="Fixed fee schedule","Yes","No")</f>
        <v>No</v>
      </c>
      <c r="AB168" s="127" t="str">
        <f>IF(OR(MasterFees[[#This Row],[Fee Basis]]="Add-on",MasterFees[[#This Row],[Fee Basis]]="Time band",MasterFees[[#This Row],[Fee Basis]]="Other"),MasterFees[[#This Row],[Fee Basis]],"Base")</f>
        <v>Base</v>
      </c>
      <c r="AC168" s="141" t="str">
        <f>IF(MasterFees[[#This Row],[Fixed Fee?]]="Yes",MasterFees[[#This Row],[Fee Excl. GST]],"")</f>
        <v/>
      </c>
    </row>
    <row r="169" spans="1:29" x14ac:dyDescent="0.2">
      <c r="A169" s="67" t="s">
        <v>2157</v>
      </c>
      <c r="B169" s="31">
        <f>IF(MasterFees[[#This Row],[RVG Code]]="","",_xlfn.XLOOKUP(MasterFees[[#This Row],[RVG Code]],RVGCodes[Code],RVGCodes[Base Units],"Code not found"))</f>
        <v>4</v>
      </c>
      <c r="C16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6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69" s="125" t="s">
        <v>2572</v>
      </c>
      <c r="F169" s="48" t="s">
        <v>2567</v>
      </c>
      <c r="G169" s="30" t="s">
        <v>4261</v>
      </c>
      <c r="H169" s="37" t="s">
        <v>4157</v>
      </c>
      <c r="I169" s="79" t="s">
        <v>4260</v>
      </c>
      <c r="J169" s="37" t="s">
        <v>1024</v>
      </c>
      <c r="K169" s="32"/>
      <c r="L169" s="32"/>
      <c r="M169" s="32"/>
      <c r="N169" s="32"/>
      <c r="O169" s="33">
        <v>1250</v>
      </c>
      <c r="P169" s="38" t="s">
        <v>4043</v>
      </c>
      <c r="Q169" s="34">
        <f>IF(MasterFees[[#This Row],[GST Basis]]="Excl",MasterFees[[#This Row],[Fee as Printed]],IF(MasterFees[[#This Row],[GST Basis]]="Incl",MasterFees[[#This Row],[Fee as Printed]]/(1+GST_Rate),""))</f>
        <v>1086.9565217391305</v>
      </c>
      <c r="R169" s="34">
        <f>IF(MasterFees[[#This Row],[GST Basis]]="Incl",MasterFees[[#This Row],[Fee as Printed]],IF(MasterFees[[#This Row],[GST Basis]]="Excl",MasterFees[[#This Row],[Fee as Printed]]*(1+GST_Rate),""))</f>
        <v>1250</v>
      </c>
      <c r="S169" s="35" t="str">
        <f>IF(N(MasterFees[[#This Row],[Total Units]])=0,"",MasterFees[[#This Row],[Fee as Printed]]/MasterFees[[#This Row],[Total Units]])</f>
        <v/>
      </c>
      <c r="T169" s="36">
        <v>46113</v>
      </c>
      <c r="U169" s="39" t="s">
        <v>4247</v>
      </c>
      <c r="V169" s="39" t="s">
        <v>4070</v>
      </c>
      <c r="W169" s="30" t="s">
        <v>4278</v>
      </c>
      <c r="X169" s="77" t="s">
        <v>4279</v>
      </c>
      <c r="Y169" s="127" t="str">
        <f>_xlfn.XLOOKUP(MasterFees[[#This Row],[Provider / Payer]],Contracts[Contract Name],Contracts[Contract ID],"No contract")</f>
        <v>CON-02</v>
      </c>
      <c r="Z169" s="127" t="str">
        <f>_xlfn.XLOOKUP(MasterFees[[#This Row],[Provider / Payer]],Contracts[Contract Name],Contracts[Pricing Basis],"To confirm")</f>
        <v>Fixed fee schedule</v>
      </c>
      <c r="AA169" s="127" t="str">
        <f>IF(MasterFees[[#This Row],[Pricing Basis]]="Fixed fee schedule","Yes","No")</f>
        <v>Yes</v>
      </c>
      <c r="AB169" s="127" t="str">
        <f>IF(OR(MasterFees[[#This Row],[Fee Basis]]="Add-on",MasterFees[[#This Row],[Fee Basis]]="Time band",MasterFees[[#This Row],[Fee Basis]]="Other"),MasterFees[[#This Row],[Fee Basis]],"Base")</f>
        <v>Base</v>
      </c>
      <c r="AC169" s="141">
        <f>IF(MasterFees[[#This Row],[Fixed Fee?]]="Yes",MasterFees[[#This Row],[Fee Excl. GST]],"")</f>
        <v>1086.9565217391305</v>
      </c>
    </row>
    <row r="170" spans="1:29" x14ac:dyDescent="0.2">
      <c r="A170" s="67" t="s">
        <v>2157</v>
      </c>
      <c r="B170" s="31">
        <f>IF(MasterFees[[#This Row],[RVG Code]]="","",_xlfn.XLOOKUP(MasterFees[[#This Row],[RVG Code]],RVGCodes[Code],RVGCodes[Base Units],"Code not found"))</f>
        <v>4</v>
      </c>
      <c r="C17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7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70" s="125" t="s">
        <v>2572</v>
      </c>
      <c r="F170" s="48" t="s">
        <v>2567</v>
      </c>
      <c r="G170" s="30" t="s">
        <v>4259</v>
      </c>
      <c r="H170" s="37" t="s">
        <v>4157</v>
      </c>
      <c r="I170" s="79" t="s">
        <v>4258</v>
      </c>
      <c r="J170" s="37" t="s">
        <v>1024</v>
      </c>
      <c r="K170" s="32"/>
      <c r="L170" s="32"/>
      <c r="M170" s="32"/>
      <c r="N170" s="32"/>
      <c r="O170" s="33">
        <v>1030</v>
      </c>
      <c r="P170" s="38" t="s">
        <v>4043</v>
      </c>
      <c r="Q170" s="34">
        <f>IF(MasterFees[[#This Row],[GST Basis]]="Excl",MasterFees[[#This Row],[Fee as Printed]],IF(MasterFees[[#This Row],[GST Basis]]="Incl",MasterFees[[#This Row],[Fee as Printed]]/(1+GST_Rate),""))</f>
        <v>895.6521739130435</v>
      </c>
      <c r="R170" s="34">
        <f>IF(MasterFees[[#This Row],[GST Basis]]="Incl",MasterFees[[#This Row],[Fee as Printed]],IF(MasterFees[[#This Row],[GST Basis]]="Excl",MasterFees[[#This Row],[Fee as Printed]]*(1+GST_Rate),""))</f>
        <v>1030</v>
      </c>
      <c r="S170" s="35" t="str">
        <f>IF(N(MasterFees[[#This Row],[Total Units]])=0,"",MasterFees[[#This Row],[Fee as Printed]]/MasterFees[[#This Row],[Total Units]])</f>
        <v/>
      </c>
      <c r="T170" s="36">
        <v>46113</v>
      </c>
      <c r="U170" s="39" t="s">
        <v>4247</v>
      </c>
      <c r="V170" s="39" t="s">
        <v>4070</v>
      </c>
      <c r="W170" s="30" t="s">
        <v>4276</v>
      </c>
      <c r="X170" s="77" t="s">
        <v>4277</v>
      </c>
      <c r="Y170" s="127" t="str">
        <f>_xlfn.XLOOKUP(MasterFees[[#This Row],[Provider / Payer]],Contracts[Contract Name],Contracts[Contract ID],"No contract")</f>
        <v>CON-02</v>
      </c>
      <c r="Z170" s="127" t="str">
        <f>_xlfn.XLOOKUP(MasterFees[[#This Row],[Provider / Payer]],Contracts[Contract Name],Contracts[Pricing Basis],"To confirm")</f>
        <v>Fixed fee schedule</v>
      </c>
      <c r="AA170" s="127" t="str">
        <f>IF(MasterFees[[#This Row],[Pricing Basis]]="Fixed fee schedule","Yes","No")</f>
        <v>Yes</v>
      </c>
      <c r="AB170" s="127" t="str">
        <f>IF(OR(MasterFees[[#This Row],[Fee Basis]]="Add-on",MasterFees[[#This Row],[Fee Basis]]="Time band",MasterFees[[#This Row],[Fee Basis]]="Other"),MasterFees[[#This Row],[Fee Basis]],"Base")</f>
        <v>Base</v>
      </c>
      <c r="AC170" s="141">
        <f>IF(MasterFees[[#This Row],[Fixed Fee?]]="Yes",MasterFees[[#This Row],[Fee Excl. GST]],"")</f>
        <v>895.6521739130435</v>
      </c>
    </row>
    <row r="171" spans="1:29" x14ac:dyDescent="0.2">
      <c r="A171" s="67" t="s">
        <v>2157</v>
      </c>
      <c r="B171" s="31">
        <f>IF(MasterFees[[#This Row],[RVG Code]]="","",_xlfn.XLOOKUP(MasterFees[[#This Row],[RVG Code]],RVGCodes[Code],RVGCodes[Base Units],"Code not found"))</f>
        <v>4</v>
      </c>
      <c r="C17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7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71" s="125" t="s">
        <v>2572</v>
      </c>
      <c r="F171" s="48" t="s">
        <v>2567</v>
      </c>
      <c r="G171" s="30" t="s">
        <v>4556</v>
      </c>
      <c r="H171" s="37" t="s">
        <v>4622</v>
      </c>
      <c r="I171" s="37" t="s">
        <v>4555</v>
      </c>
      <c r="J171" s="37" t="s">
        <v>1024</v>
      </c>
      <c r="K171" s="32"/>
      <c r="L171" s="32"/>
      <c r="M171" s="32"/>
      <c r="N171" s="32"/>
      <c r="O171" s="33">
        <v>700</v>
      </c>
      <c r="P171" s="38" t="s">
        <v>4398</v>
      </c>
      <c r="Q171" s="34">
        <f>IF(MasterFees[[#This Row],[GST Basis]]="Excl",MasterFees[[#This Row],[Fee as Printed]],IF(MasterFees[[#This Row],[GST Basis]]="Incl",MasterFees[[#This Row],[Fee as Printed]]/(1+GST_Rate),""))</f>
        <v>700</v>
      </c>
      <c r="R171" s="34">
        <f>IF(MasterFees[[#This Row],[GST Basis]]="Incl",MasterFees[[#This Row],[Fee as Printed]],IF(MasterFees[[#This Row],[GST Basis]]="Excl",MasterFees[[#This Row],[Fee as Printed]]*(1+GST_Rate),""))</f>
        <v>804.99999999999989</v>
      </c>
      <c r="S171" s="35" t="str">
        <f>IF(N(MasterFees[[#This Row],[Total Units]])=0,"",MasterFees[[#This Row],[Fee as Printed]]/MasterFees[[#This Row],[Total Units]])</f>
        <v/>
      </c>
      <c r="T171" s="36"/>
      <c r="U171" s="39" t="s">
        <v>4587</v>
      </c>
      <c r="V171" s="39" t="s">
        <v>4748</v>
      </c>
      <c r="W171" s="30" t="s">
        <v>4727</v>
      </c>
      <c r="X171" s="77" t="s">
        <v>4830</v>
      </c>
      <c r="Y171" s="127" t="str">
        <f>_xlfn.XLOOKUP(MasterFees[[#This Row],[Provider / Payer]],Contracts[Contract Name],Contracts[Contract ID],"No contract")</f>
        <v>CON-05</v>
      </c>
      <c r="Z171" s="127" t="str">
        <f>_xlfn.XLOOKUP(MasterFees[[#This Row],[Provider / Payer]],Contracts[Contract Name],Contracts[Pricing Basis],"To confirm")</f>
        <v>Fixed fee schedule</v>
      </c>
      <c r="AA171" s="127" t="str">
        <f>IF(MasterFees[[#This Row],[Pricing Basis]]="Fixed fee schedule","Yes","No")</f>
        <v>Yes</v>
      </c>
      <c r="AB171" s="127" t="str">
        <f>IF(OR(MasterFees[[#This Row],[Fee Basis]]="Add-on",MasterFees[[#This Row],[Fee Basis]]="Time band",MasterFees[[#This Row],[Fee Basis]]="Other"),MasterFees[[#This Row],[Fee Basis]],"Base")</f>
        <v>Base</v>
      </c>
      <c r="AC171" s="141">
        <f>IF(MasterFees[[#This Row],[Fixed Fee?]]="Yes",MasterFees[[#This Row],[Fee Excl. GST]],"")</f>
        <v>700</v>
      </c>
    </row>
    <row r="172" spans="1:29" x14ac:dyDescent="0.2">
      <c r="A172" s="67" t="s">
        <v>2157</v>
      </c>
      <c r="B172" s="31">
        <f>IF(MasterFees[[#This Row],[RVG Code]]="","",_xlfn.XLOOKUP(MasterFees[[#This Row],[RVG Code]],RVGCodes[Code],RVGCodes[Base Units],"Code not found"))</f>
        <v>4</v>
      </c>
      <c r="C17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7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72" s="125" t="s">
        <v>2572</v>
      </c>
      <c r="F172" s="48" t="s">
        <v>2567</v>
      </c>
      <c r="G172" s="30" t="s">
        <v>4556</v>
      </c>
      <c r="H172" s="37" t="s">
        <v>4625</v>
      </c>
      <c r="I172" s="37" t="s">
        <v>4555</v>
      </c>
      <c r="J172" s="37" t="s">
        <v>1024</v>
      </c>
      <c r="K172" s="32"/>
      <c r="L172" s="32"/>
      <c r="M172" s="32"/>
      <c r="N172" s="32"/>
      <c r="O172" s="33">
        <v>700</v>
      </c>
      <c r="P172" s="38" t="s">
        <v>4398</v>
      </c>
      <c r="Q172" s="34">
        <f>IF(MasterFees[[#This Row],[GST Basis]]="Excl",MasterFees[[#This Row],[Fee as Printed]],IF(MasterFees[[#This Row],[GST Basis]]="Incl",MasterFees[[#This Row],[Fee as Printed]]/(1+GST_Rate),""))</f>
        <v>700</v>
      </c>
      <c r="R172" s="34">
        <f>IF(MasterFees[[#This Row],[GST Basis]]="Incl",MasterFees[[#This Row],[Fee as Printed]],IF(MasterFees[[#This Row],[GST Basis]]="Excl",MasterFees[[#This Row],[Fee as Printed]]*(1+GST_Rate),""))</f>
        <v>804.99999999999989</v>
      </c>
      <c r="S172" s="35" t="str">
        <f>IF(N(MasterFees[[#This Row],[Total Units]])=0,"",MasterFees[[#This Row],[Fee as Printed]]/MasterFees[[#This Row],[Total Units]])</f>
        <v/>
      </c>
      <c r="T172" s="36"/>
      <c r="U172" s="39" t="s">
        <v>4587</v>
      </c>
      <c r="V172" s="39" t="s">
        <v>4749</v>
      </c>
      <c r="W172" s="30" t="s">
        <v>4729</v>
      </c>
      <c r="X172" s="77" t="s">
        <v>4830</v>
      </c>
      <c r="Y172" s="127" t="str">
        <f>_xlfn.XLOOKUP(MasterFees[[#This Row],[Provider / Payer]],Contracts[Contract Name],Contracts[Contract ID],"No contract")</f>
        <v>CON-06</v>
      </c>
      <c r="Z172" s="127" t="str">
        <f>_xlfn.XLOOKUP(MasterFees[[#This Row],[Provider / Payer]],Contracts[Contract Name],Contracts[Pricing Basis],"To confirm")</f>
        <v>Fixed fee schedule</v>
      </c>
      <c r="AA172" s="127" t="str">
        <f>IF(MasterFees[[#This Row],[Pricing Basis]]="Fixed fee schedule","Yes","No")</f>
        <v>Yes</v>
      </c>
      <c r="AB172" s="127" t="str">
        <f>IF(OR(MasterFees[[#This Row],[Fee Basis]]="Add-on",MasterFees[[#This Row],[Fee Basis]]="Time band",MasterFees[[#This Row],[Fee Basis]]="Other"),MasterFees[[#This Row],[Fee Basis]],"Base")</f>
        <v>Base</v>
      </c>
      <c r="AC172" s="141">
        <f>IF(MasterFees[[#This Row],[Fixed Fee?]]="Yes",MasterFees[[#This Row],[Fee Excl. GST]],"")</f>
        <v>700</v>
      </c>
    </row>
    <row r="173" spans="1:29" x14ac:dyDescent="0.2">
      <c r="A173" s="67" t="s">
        <v>2159</v>
      </c>
      <c r="B173" s="31">
        <f>IF(MasterFees[[#This Row],[RVG Code]]="","",_xlfn.XLOOKUP(MasterFees[[#This Row],[RVG Code]],RVGCodes[Code],RVGCodes[Base Units],"Code not found"))</f>
        <v>5</v>
      </c>
      <c r="C17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7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73" s="125" t="s">
        <v>2571</v>
      </c>
      <c r="F173" s="48" t="s">
        <v>2567</v>
      </c>
      <c r="G173" s="30" t="s">
        <v>712</v>
      </c>
      <c r="H173" s="37" t="s">
        <v>1095</v>
      </c>
      <c r="I173" s="37"/>
      <c r="J173" s="37" t="s">
        <v>1096</v>
      </c>
      <c r="K173" s="32">
        <v>4.5999999999999996</v>
      </c>
      <c r="L173" s="32">
        <v>2.2000000000000002</v>
      </c>
      <c r="M173" s="32">
        <v>0.6</v>
      </c>
      <c r="N173" s="32">
        <v>7.3</v>
      </c>
      <c r="O173" s="33">
        <v>401.5</v>
      </c>
      <c r="P173" s="38" t="s">
        <v>1014</v>
      </c>
      <c r="Q173" s="34" t="str">
        <f>IF(MasterFees[[#This Row],[GST Basis]]="Excl",MasterFees[[#This Row],[Fee as Printed]],IF(MasterFees[[#This Row],[GST Basis]]="Incl",MasterFees[[#This Row],[Fee as Printed]]/(1+GST_Rate),""))</f>
        <v/>
      </c>
      <c r="R173" s="34" t="str">
        <f>IF(MasterFees[[#This Row],[GST Basis]]="Incl",MasterFees[[#This Row],[Fee as Printed]],IF(MasterFees[[#This Row],[GST Basis]]="Excl",MasterFees[[#This Row],[Fee as Printed]]*(1+GST_Rate),""))</f>
        <v/>
      </c>
      <c r="S173" s="35">
        <f>IF(N(MasterFees[[#This Row],[Total Units]])=0,"",MasterFees[[#This Row],[Fee as Printed]]/MasterFees[[#This Row],[Total Units]])</f>
        <v>55</v>
      </c>
      <c r="T173" s="36"/>
      <c r="U173" s="39" t="s">
        <v>1012</v>
      </c>
      <c r="V173" s="39" t="s">
        <v>1809</v>
      </c>
      <c r="W173" s="30"/>
      <c r="X173" s="73" t="s">
        <v>3612</v>
      </c>
      <c r="Y173" s="127" t="str">
        <f>_xlfn.XLOOKUP(MasterFees[[#This Row],[Provider / Payer]],Contracts[Contract Name],Contracts[Contract ID],"No contract")</f>
        <v>CON-01</v>
      </c>
      <c r="Z173" s="127" t="str">
        <f>_xlfn.XLOOKUP(MasterFees[[#This Row],[Provider / Payer]],Contracts[Contract Name],Contracts[Pricing Basis],"To confirm")</f>
        <v>To confirm</v>
      </c>
      <c r="AA173" s="127" t="str">
        <f>IF(MasterFees[[#This Row],[Pricing Basis]]="Fixed fee schedule","Yes","No")</f>
        <v>No</v>
      </c>
      <c r="AB173" s="127" t="str">
        <f>IF(OR(MasterFees[[#This Row],[Fee Basis]]="Add-on",MasterFees[[#This Row],[Fee Basis]]="Time band",MasterFees[[#This Row],[Fee Basis]]="Other"),MasterFees[[#This Row],[Fee Basis]],"Base")</f>
        <v>Base</v>
      </c>
      <c r="AC173" s="141" t="str">
        <f>IF(MasterFees[[#This Row],[Fixed Fee?]]="Yes",MasterFees[[#This Row],[Fee Excl. GST]],"")</f>
        <v/>
      </c>
    </row>
    <row r="174" spans="1:29" x14ac:dyDescent="0.2">
      <c r="A174" s="67" t="s">
        <v>2157</v>
      </c>
      <c r="B174" s="31">
        <f>IF(MasterFees[[#This Row],[RVG Code]]="","",_xlfn.XLOOKUP(MasterFees[[#This Row],[RVG Code]],RVGCodes[Code],RVGCodes[Base Units],"Code not found"))</f>
        <v>4</v>
      </c>
      <c r="C17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7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74" s="125" t="s">
        <v>2572</v>
      </c>
      <c r="F174" s="48" t="s">
        <v>2567</v>
      </c>
      <c r="G174" s="30" t="s">
        <v>723</v>
      </c>
      <c r="H174" s="37" t="s">
        <v>1095</v>
      </c>
      <c r="I174" s="37"/>
      <c r="J174" s="37" t="s">
        <v>1096</v>
      </c>
      <c r="K174" s="32">
        <v>5</v>
      </c>
      <c r="L174" s="32">
        <v>4</v>
      </c>
      <c r="M174" s="32">
        <v>0</v>
      </c>
      <c r="N174" s="32">
        <v>9</v>
      </c>
      <c r="O174" s="33">
        <v>495</v>
      </c>
      <c r="P174" s="38" t="s">
        <v>1014</v>
      </c>
      <c r="Q174" s="34" t="str">
        <f>IF(MasterFees[[#This Row],[GST Basis]]="Excl",MasterFees[[#This Row],[Fee as Printed]],IF(MasterFees[[#This Row],[GST Basis]]="Incl",MasterFees[[#This Row],[Fee as Printed]]/(1+GST_Rate),""))</f>
        <v/>
      </c>
      <c r="R174" s="34" t="str">
        <f>IF(MasterFees[[#This Row],[GST Basis]]="Incl",MasterFees[[#This Row],[Fee as Printed]],IF(MasterFees[[#This Row],[GST Basis]]="Excl",MasterFees[[#This Row],[Fee as Printed]]*(1+GST_Rate),""))</f>
        <v/>
      </c>
      <c r="S174" s="35">
        <f>IF(N(MasterFees[[#This Row],[Total Units]])=0,"",MasterFees[[#This Row],[Fee as Printed]]/MasterFees[[#This Row],[Total Units]])</f>
        <v>55</v>
      </c>
      <c r="T174" s="36"/>
      <c r="U174" s="39" t="s">
        <v>1012</v>
      </c>
      <c r="V174" s="39" t="s">
        <v>1820</v>
      </c>
      <c r="W174" s="30"/>
      <c r="X174" s="73" t="s">
        <v>3623</v>
      </c>
      <c r="Y174" s="127" t="str">
        <f>_xlfn.XLOOKUP(MasterFees[[#This Row],[Provider / Payer]],Contracts[Contract Name],Contracts[Contract ID],"No contract")</f>
        <v>CON-01</v>
      </c>
      <c r="Z174" s="127" t="str">
        <f>_xlfn.XLOOKUP(MasterFees[[#This Row],[Provider / Payer]],Contracts[Contract Name],Contracts[Pricing Basis],"To confirm")</f>
        <v>To confirm</v>
      </c>
      <c r="AA174" s="127" t="str">
        <f>IF(MasterFees[[#This Row],[Pricing Basis]]="Fixed fee schedule","Yes","No")</f>
        <v>No</v>
      </c>
      <c r="AB174" s="127" t="str">
        <f>IF(OR(MasterFees[[#This Row],[Fee Basis]]="Add-on",MasterFees[[#This Row],[Fee Basis]]="Time band",MasterFees[[#This Row],[Fee Basis]]="Other"),MasterFees[[#This Row],[Fee Basis]],"Base")</f>
        <v>Base</v>
      </c>
      <c r="AC174" s="141" t="str">
        <f>IF(MasterFees[[#This Row],[Fixed Fee?]]="Yes",MasterFees[[#This Row],[Fee Excl. GST]],"")</f>
        <v/>
      </c>
    </row>
    <row r="175" spans="1:29" x14ac:dyDescent="0.2">
      <c r="A175" s="67" t="s">
        <v>2159</v>
      </c>
      <c r="B175" s="31">
        <f>IF(MasterFees[[#This Row],[RVG Code]]="","",_xlfn.XLOOKUP(MasterFees[[#This Row],[RVG Code]],RVGCodes[Code],RVGCodes[Base Units],"Code not found"))</f>
        <v>5</v>
      </c>
      <c r="C17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7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75" s="125" t="s">
        <v>2571</v>
      </c>
      <c r="F175" s="48" t="s">
        <v>2567</v>
      </c>
      <c r="G175" s="30" t="s">
        <v>739</v>
      </c>
      <c r="H175" s="37" t="s">
        <v>1095</v>
      </c>
      <c r="I175" s="37"/>
      <c r="J175" s="37" t="s">
        <v>1096</v>
      </c>
      <c r="K175" s="32">
        <v>0</v>
      </c>
      <c r="L175" s="32">
        <v>0</v>
      </c>
      <c r="M175" s="32">
        <v>0</v>
      </c>
      <c r="N175" s="32">
        <v>0</v>
      </c>
      <c r="O175" s="33">
        <v>0</v>
      </c>
      <c r="P175" s="38" t="s">
        <v>1014</v>
      </c>
      <c r="Q175" s="34" t="str">
        <f>IF(MasterFees[[#This Row],[GST Basis]]="Excl",MasterFees[[#This Row],[Fee as Printed]],IF(MasterFees[[#This Row],[GST Basis]]="Incl",MasterFees[[#This Row],[Fee as Printed]]/(1+GST_Rate),""))</f>
        <v/>
      </c>
      <c r="R175" s="34" t="str">
        <f>IF(MasterFees[[#This Row],[GST Basis]]="Incl",MasterFees[[#This Row],[Fee as Printed]],IF(MasterFees[[#This Row],[GST Basis]]="Excl",MasterFees[[#This Row],[Fee as Printed]]*(1+GST_Rate),""))</f>
        <v/>
      </c>
      <c r="S175" s="35" t="str">
        <f>IF(N(MasterFees[[#This Row],[Total Units]])=0,"",MasterFees[[#This Row],[Fee as Printed]]/MasterFees[[#This Row],[Total Units]])</f>
        <v/>
      </c>
      <c r="T175" s="36"/>
      <c r="U175" s="39" t="s">
        <v>1012</v>
      </c>
      <c r="V175" s="39" t="s">
        <v>1836</v>
      </c>
      <c r="W175" s="30"/>
      <c r="X175" s="73" t="s">
        <v>3639</v>
      </c>
      <c r="Y175" s="127" t="str">
        <f>_xlfn.XLOOKUP(MasterFees[[#This Row],[Provider / Payer]],Contracts[Contract Name],Contracts[Contract ID],"No contract")</f>
        <v>CON-01</v>
      </c>
      <c r="Z175" s="127" t="str">
        <f>_xlfn.XLOOKUP(MasterFees[[#This Row],[Provider / Payer]],Contracts[Contract Name],Contracts[Pricing Basis],"To confirm")</f>
        <v>To confirm</v>
      </c>
      <c r="AA175" s="127" t="str">
        <f>IF(MasterFees[[#This Row],[Pricing Basis]]="Fixed fee schedule","Yes","No")</f>
        <v>No</v>
      </c>
      <c r="AB175" s="127" t="str">
        <f>IF(OR(MasterFees[[#This Row],[Fee Basis]]="Add-on",MasterFees[[#This Row],[Fee Basis]]="Time band",MasterFees[[#This Row],[Fee Basis]]="Other"),MasterFees[[#This Row],[Fee Basis]],"Base")</f>
        <v>Base</v>
      </c>
      <c r="AC175" s="141" t="str">
        <f>IF(MasterFees[[#This Row],[Fixed Fee?]]="Yes",MasterFees[[#This Row],[Fee Excl. GST]],"")</f>
        <v/>
      </c>
    </row>
    <row r="176" spans="1:29" x14ac:dyDescent="0.2">
      <c r="A176" s="67" t="s">
        <v>2162</v>
      </c>
      <c r="B176" s="31">
        <f>IF(MasterFees[[#This Row],[RVG Code]]="","",_xlfn.XLOOKUP(MasterFees[[#This Row],[RVG Code]],RVGCodes[Code],RVGCodes[Base Units],"Code not found"))</f>
        <v>6</v>
      </c>
      <c r="C17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7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76" s="125" t="s">
        <v>2592</v>
      </c>
      <c r="F176" s="48" t="s">
        <v>2569</v>
      </c>
      <c r="G176" s="30" t="s">
        <v>752</v>
      </c>
      <c r="H176" s="37" t="s">
        <v>1095</v>
      </c>
      <c r="I176" s="37"/>
      <c r="J176" s="37" t="s">
        <v>1096</v>
      </c>
      <c r="K176" s="32">
        <v>7.2</v>
      </c>
      <c r="L176" s="32">
        <v>7.2</v>
      </c>
      <c r="M176" s="32">
        <v>0.7</v>
      </c>
      <c r="N176" s="32">
        <v>15</v>
      </c>
      <c r="O176" s="33">
        <v>823.9</v>
      </c>
      <c r="P176" s="38" t="s">
        <v>1014</v>
      </c>
      <c r="Q176" s="34" t="str">
        <f>IF(MasterFees[[#This Row],[GST Basis]]="Excl",MasterFees[[#This Row],[Fee as Printed]],IF(MasterFees[[#This Row],[GST Basis]]="Incl",MasterFees[[#This Row],[Fee as Printed]]/(1+GST_Rate),""))</f>
        <v/>
      </c>
      <c r="R176" s="34" t="str">
        <f>IF(MasterFees[[#This Row],[GST Basis]]="Incl",MasterFees[[#This Row],[Fee as Printed]],IF(MasterFees[[#This Row],[GST Basis]]="Excl",MasterFees[[#This Row],[Fee as Printed]]*(1+GST_Rate),""))</f>
        <v/>
      </c>
      <c r="S176" s="35">
        <f>IF(N(MasterFees[[#This Row],[Total Units]])=0,"",MasterFees[[#This Row],[Fee as Printed]]/MasterFees[[#This Row],[Total Units]])</f>
        <v>54.926666666666662</v>
      </c>
      <c r="T176" s="36"/>
      <c r="U176" s="39" t="s">
        <v>1012</v>
      </c>
      <c r="V176" s="39" t="s">
        <v>1849</v>
      </c>
      <c r="W176" s="30"/>
      <c r="X176" s="73" t="s">
        <v>3654</v>
      </c>
      <c r="Y176" s="127" t="str">
        <f>_xlfn.XLOOKUP(MasterFees[[#This Row],[Provider / Payer]],Contracts[Contract Name],Contracts[Contract ID],"No contract")</f>
        <v>CON-01</v>
      </c>
      <c r="Z176" s="127" t="str">
        <f>_xlfn.XLOOKUP(MasterFees[[#This Row],[Provider / Payer]],Contracts[Contract Name],Contracts[Pricing Basis],"To confirm")</f>
        <v>To confirm</v>
      </c>
      <c r="AA176" s="127" t="str">
        <f>IF(MasterFees[[#This Row],[Pricing Basis]]="Fixed fee schedule","Yes","No")</f>
        <v>No</v>
      </c>
      <c r="AB176" s="127" t="str">
        <f>IF(OR(MasterFees[[#This Row],[Fee Basis]]="Add-on",MasterFees[[#This Row],[Fee Basis]]="Time band",MasterFees[[#This Row],[Fee Basis]]="Other"),MasterFees[[#This Row],[Fee Basis]],"Base")</f>
        <v>Base</v>
      </c>
      <c r="AC176" s="141" t="str">
        <f>IF(MasterFees[[#This Row],[Fixed Fee?]]="Yes",MasterFees[[#This Row],[Fee Excl. GST]],"")</f>
        <v/>
      </c>
    </row>
    <row r="177" spans="1:29" x14ac:dyDescent="0.2">
      <c r="A177" s="67" t="s">
        <v>2162</v>
      </c>
      <c r="B177" s="31">
        <f>IF(MasterFees[[#This Row],[RVG Code]]="","",_xlfn.XLOOKUP(MasterFees[[#This Row],[RVG Code]],RVGCodes[Code],RVGCodes[Base Units],"Code not found"))</f>
        <v>6</v>
      </c>
      <c r="C17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7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77" s="125" t="s">
        <v>2592</v>
      </c>
      <c r="F177" s="48" t="s">
        <v>2569</v>
      </c>
      <c r="G177" s="30" t="s">
        <v>753</v>
      </c>
      <c r="H177" s="37" t="s">
        <v>1095</v>
      </c>
      <c r="I177" s="37"/>
      <c r="J177" s="37" t="s">
        <v>1096</v>
      </c>
      <c r="K177" s="32">
        <v>0</v>
      </c>
      <c r="L177" s="32">
        <v>2</v>
      </c>
      <c r="M177" s="32">
        <v>0</v>
      </c>
      <c r="N177" s="32">
        <v>2</v>
      </c>
      <c r="O177" s="33">
        <v>110</v>
      </c>
      <c r="P177" s="38" t="s">
        <v>1014</v>
      </c>
      <c r="Q177" s="34" t="str">
        <f>IF(MasterFees[[#This Row],[GST Basis]]="Excl",MasterFees[[#This Row],[Fee as Printed]],IF(MasterFees[[#This Row],[GST Basis]]="Incl",MasterFees[[#This Row],[Fee as Printed]]/(1+GST_Rate),""))</f>
        <v/>
      </c>
      <c r="R177" s="34" t="str">
        <f>IF(MasterFees[[#This Row],[GST Basis]]="Incl",MasterFees[[#This Row],[Fee as Printed]],IF(MasterFees[[#This Row],[GST Basis]]="Excl",MasterFees[[#This Row],[Fee as Printed]]*(1+GST_Rate),""))</f>
        <v/>
      </c>
      <c r="S177" s="35">
        <f>IF(N(MasterFees[[#This Row],[Total Units]])=0,"",MasterFees[[#This Row],[Fee as Printed]]/MasterFees[[#This Row],[Total Units]])</f>
        <v>55</v>
      </c>
      <c r="T177" s="36"/>
      <c r="U177" s="39" t="s">
        <v>1012</v>
      </c>
      <c r="V177" s="39" t="s">
        <v>1850</v>
      </c>
      <c r="W177" s="30"/>
      <c r="X177" s="73" t="s">
        <v>3655</v>
      </c>
      <c r="Y177" s="127" t="str">
        <f>_xlfn.XLOOKUP(MasterFees[[#This Row],[Provider / Payer]],Contracts[Contract Name],Contracts[Contract ID],"No contract")</f>
        <v>CON-01</v>
      </c>
      <c r="Z177" s="127" t="str">
        <f>_xlfn.XLOOKUP(MasterFees[[#This Row],[Provider / Payer]],Contracts[Contract Name],Contracts[Pricing Basis],"To confirm")</f>
        <v>To confirm</v>
      </c>
      <c r="AA177" s="127" t="str">
        <f>IF(MasterFees[[#This Row],[Pricing Basis]]="Fixed fee schedule","Yes","No")</f>
        <v>No</v>
      </c>
      <c r="AB177" s="127" t="str">
        <f>IF(OR(MasterFees[[#This Row],[Fee Basis]]="Add-on",MasterFees[[#This Row],[Fee Basis]]="Time band",MasterFees[[#This Row],[Fee Basis]]="Other"),MasterFees[[#This Row],[Fee Basis]],"Base")</f>
        <v>Base</v>
      </c>
      <c r="AC177" s="141" t="str">
        <f>IF(MasterFees[[#This Row],[Fixed Fee?]]="Yes",MasterFees[[#This Row],[Fee Excl. GST]],"")</f>
        <v/>
      </c>
    </row>
    <row r="178" spans="1:29" x14ac:dyDescent="0.2">
      <c r="A178" s="67" t="s">
        <v>2162</v>
      </c>
      <c r="B178" s="31">
        <f>IF(MasterFees[[#This Row],[RVG Code]]="","",_xlfn.XLOOKUP(MasterFees[[#This Row],[RVG Code]],RVGCodes[Code],RVGCodes[Base Units],"Code not found"))</f>
        <v>6</v>
      </c>
      <c r="C17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7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78" s="125" t="s">
        <v>2592</v>
      </c>
      <c r="F178" s="48" t="s">
        <v>2567</v>
      </c>
      <c r="G178" s="30" t="s">
        <v>759</v>
      </c>
      <c r="H178" s="37" t="s">
        <v>1095</v>
      </c>
      <c r="I178" s="37"/>
      <c r="J178" s="37" t="s">
        <v>1096</v>
      </c>
      <c r="K178" s="32">
        <v>6</v>
      </c>
      <c r="L178" s="32">
        <v>6</v>
      </c>
      <c r="M178" s="32">
        <v>0</v>
      </c>
      <c r="N178" s="32">
        <v>12</v>
      </c>
      <c r="O178" s="33">
        <v>660</v>
      </c>
      <c r="P178" s="38" t="s">
        <v>1014</v>
      </c>
      <c r="Q178" s="34" t="str">
        <f>IF(MasterFees[[#This Row],[GST Basis]]="Excl",MasterFees[[#This Row],[Fee as Printed]],IF(MasterFees[[#This Row],[GST Basis]]="Incl",MasterFees[[#This Row],[Fee as Printed]]/(1+GST_Rate),""))</f>
        <v/>
      </c>
      <c r="R178" s="34" t="str">
        <f>IF(MasterFees[[#This Row],[GST Basis]]="Incl",MasterFees[[#This Row],[Fee as Printed]],IF(MasterFees[[#This Row],[GST Basis]]="Excl",MasterFees[[#This Row],[Fee as Printed]]*(1+GST_Rate),""))</f>
        <v/>
      </c>
      <c r="S178" s="35">
        <f>IF(N(MasterFees[[#This Row],[Total Units]])=0,"",MasterFees[[#This Row],[Fee as Printed]]/MasterFees[[#This Row],[Total Units]])</f>
        <v>55</v>
      </c>
      <c r="T178" s="36"/>
      <c r="U178" s="39" t="s">
        <v>1012</v>
      </c>
      <c r="V178" s="39" t="s">
        <v>1856</v>
      </c>
      <c r="W178" s="30"/>
      <c r="X178" s="73" t="s">
        <v>3661</v>
      </c>
      <c r="Y178" s="127" t="str">
        <f>_xlfn.XLOOKUP(MasterFees[[#This Row],[Provider / Payer]],Contracts[Contract Name],Contracts[Contract ID],"No contract")</f>
        <v>CON-01</v>
      </c>
      <c r="Z178" s="127" t="str">
        <f>_xlfn.XLOOKUP(MasterFees[[#This Row],[Provider / Payer]],Contracts[Contract Name],Contracts[Pricing Basis],"To confirm")</f>
        <v>To confirm</v>
      </c>
      <c r="AA178" s="127" t="str">
        <f>IF(MasterFees[[#This Row],[Pricing Basis]]="Fixed fee schedule","Yes","No")</f>
        <v>No</v>
      </c>
      <c r="AB178" s="127" t="str">
        <f>IF(OR(MasterFees[[#This Row],[Fee Basis]]="Add-on",MasterFees[[#This Row],[Fee Basis]]="Time band",MasterFees[[#This Row],[Fee Basis]]="Other"),MasterFees[[#This Row],[Fee Basis]],"Base")</f>
        <v>Base</v>
      </c>
      <c r="AC178" s="141" t="str">
        <f>IF(MasterFees[[#This Row],[Fixed Fee?]]="Yes",MasterFees[[#This Row],[Fee Excl. GST]],"")</f>
        <v/>
      </c>
    </row>
    <row r="179" spans="1:29" x14ac:dyDescent="0.2">
      <c r="A179" s="67" t="s">
        <v>2162</v>
      </c>
      <c r="B179" s="31">
        <f>IF(MasterFees[[#This Row],[RVG Code]]="","",_xlfn.XLOOKUP(MasterFees[[#This Row],[RVG Code]],RVGCodes[Code],RVGCodes[Base Units],"Code not found"))</f>
        <v>6</v>
      </c>
      <c r="C17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7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79" s="125" t="s">
        <v>2592</v>
      </c>
      <c r="F179" s="48" t="s">
        <v>2567</v>
      </c>
      <c r="G179" s="30" t="s">
        <v>760</v>
      </c>
      <c r="H179" s="37" t="s">
        <v>1095</v>
      </c>
      <c r="I179" s="37"/>
      <c r="J179" s="37" t="s">
        <v>1096</v>
      </c>
      <c r="K179" s="32">
        <v>3.7</v>
      </c>
      <c r="L179" s="32">
        <v>7.4</v>
      </c>
      <c r="M179" s="32">
        <v>0.2</v>
      </c>
      <c r="N179" s="32">
        <v>11.3</v>
      </c>
      <c r="O179" s="33">
        <v>619.85</v>
      </c>
      <c r="P179" s="38" t="s">
        <v>1014</v>
      </c>
      <c r="Q179" s="34" t="str">
        <f>IF(MasterFees[[#This Row],[GST Basis]]="Excl",MasterFees[[#This Row],[Fee as Printed]],IF(MasterFees[[#This Row],[GST Basis]]="Incl",MasterFees[[#This Row],[Fee as Printed]]/(1+GST_Rate),""))</f>
        <v/>
      </c>
      <c r="R179" s="34" t="str">
        <f>IF(MasterFees[[#This Row],[GST Basis]]="Incl",MasterFees[[#This Row],[Fee as Printed]],IF(MasterFees[[#This Row],[GST Basis]]="Excl",MasterFees[[#This Row],[Fee as Printed]]*(1+GST_Rate),""))</f>
        <v/>
      </c>
      <c r="S179" s="35">
        <f>IF(N(MasterFees[[#This Row],[Total Units]])=0,"",MasterFees[[#This Row],[Fee as Printed]]/MasterFees[[#This Row],[Total Units]])</f>
        <v>54.853982300884951</v>
      </c>
      <c r="T179" s="36"/>
      <c r="U179" s="39" t="s">
        <v>1012</v>
      </c>
      <c r="V179" s="39" t="s">
        <v>1857</v>
      </c>
      <c r="W179" s="30"/>
      <c r="X179" s="73" t="s">
        <v>3662</v>
      </c>
      <c r="Y179" s="127" t="str">
        <f>_xlfn.XLOOKUP(MasterFees[[#This Row],[Provider / Payer]],Contracts[Contract Name],Contracts[Contract ID],"No contract")</f>
        <v>CON-01</v>
      </c>
      <c r="Z179" s="127" t="str">
        <f>_xlfn.XLOOKUP(MasterFees[[#This Row],[Provider / Payer]],Contracts[Contract Name],Contracts[Pricing Basis],"To confirm")</f>
        <v>To confirm</v>
      </c>
      <c r="AA179" s="127" t="str">
        <f>IF(MasterFees[[#This Row],[Pricing Basis]]="Fixed fee schedule","Yes","No")</f>
        <v>No</v>
      </c>
      <c r="AB179" s="127" t="str">
        <f>IF(OR(MasterFees[[#This Row],[Fee Basis]]="Add-on",MasterFees[[#This Row],[Fee Basis]]="Time band",MasterFees[[#This Row],[Fee Basis]]="Other"),MasterFees[[#This Row],[Fee Basis]],"Base")</f>
        <v>Base</v>
      </c>
      <c r="AC179" s="141" t="str">
        <f>IF(MasterFees[[#This Row],[Fixed Fee?]]="Yes",MasterFees[[#This Row],[Fee Excl. GST]],"")</f>
        <v/>
      </c>
    </row>
    <row r="180" spans="1:29" x14ac:dyDescent="0.2">
      <c r="A180" s="67" t="s">
        <v>2162</v>
      </c>
      <c r="B180" s="31">
        <f>IF(MasterFees[[#This Row],[RVG Code]]="","",_xlfn.XLOOKUP(MasterFees[[#This Row],[RVG Code]],RVGCodes[Code],RVGCodes[Base Units],"Code not found"))</f>
        <v>6</v>
      </c>
      <c r="C18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8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80" s="125" t="s">
        <v>2592</v>
      </c>
      <c r="F180" s="48" t="s">
        <v>2567</v>
      </c>
      <c r="G180" s="30" t="s">
        <v>760</v>
      </c>
      <c r="H180" s="37" t="s">
        <v>1095</v>
      </c>
      <c r="I180" s="37"/>
      <c r="J180" s="37" t="s">
        <v>1096</v>
      </c>
      <c r="K180" s="32">
        <v>3.7</v>
      </c>
      <c r="L180" s="32">
        <v>7.4</v>
      </c>
      <c r="M180" s="32">
        <v>0.2</v>
      </c>
      <c r="N180" s="32">
        <v>11.3</v>
      </c>
      <c r="O180" s="33">
        <v>619.85</v>
      </c>
      <c r="P180" s="38" t="s">
        <v>1014</v>
      </c>
      <c r="Q180" s="34" t="str">
        <f>IF(MasterFees[[#This Row],[GST Basis]]="Excl",MasterFees[[#This Row],[Fee as Printed]],IF(MasterFees[[#This Row],[GST Basis]]="Incl",MasterFees[[#This Row],[Fee as Printed]]/(1+GST_Rate),""))</f>
        <v/>
      </c>
      <c r="R180" s="34" t="str">
        <f>IF(MasterFees[[#This Row],[GST Basis]]="Incl",MasterFees[[#This Row],[Fee as Printed]],IF(MasterFees[[#This Row],[GST Basis]]="Excl",MasterFees[[#This Row],[Fee as Printed]]*(1+GST_Rate),""))</f>
        <v/>
      </c>
      <c r="S180" s="35">
        <f>IF(N(MasterFees[[#This Row],[Total Units]])=0,"",MasterFees[[#This Row],[Fee as Printed]]/MasterFees[[#This Row],[Total Units]])</f>
        <v>54.853982300884951</v>
      </c>
      <c r="T180" s="36"/>
      <c r="U180" s="39" t="s">
        <v>1012</v>
      </c>
      <c r="V180" s="39" t="s">
        <v>1858</v>
      </c>
      <c r="W180" s="30"/>
      <c r="X180" s="73" t="s">
        <v>3663</v>
      </c>
      <c r="Y180" s="127" t="str">
        <f>_xlfn.XLOOKUP(MasterFees[[#This Row],[Provider / Payer]],Contracts[Contract Name],Contracts[Contract ID],"No contract")</f>
        <v>CON-01</v>
      </c>
      <c r="Z180" s="127" t="str">
        <f>_xlfn.XLOOKUP(MasterFees[[#This Row],[Provider / Payer]],Contracts[Contract Name],Contracts[Pricing Basis],"To confirm")</f>
        <v>To confirm</v>
      </c>
      <c r="AA180" s="127" t="str">
        <f>IF(MasterFees[[#This Row],[Pricing Basis]]="Fixed fee schedule","Yes","No")</f>
        <v>No</v>
      </c>
      <c r="AB180" s="127" t="str">
        <f>IF(OR(MasterFees[[#This Row],[Fee Basis]]="Add-on",MasterFees[[#This Row],[Fee Basis]]="Time band",MasterFees[[#This Row],[Fee Basis]]="Other"),MasterFees[[#This Row],[Fee Basis]],"Base")</f>
        <v>Base</v>
      </c>
      <c r="AC180" s="141" t="str">
        <f>IF(MasterFees[[#This Row],[Fixed Fee?]]="Yes",MasterFees[[#This Row],[Fee Excl. GST]],"")</f>
        <v/>
      </c>
    </row>
    <row r="181" spans="1:29" x14ac:dyDescent="0.2">
      <c r="A181" s="67" t="s">
        <v>2162</v>
      </c>
      <c r="B181" s="31">
        <f>IF(MasterFees[[#This Row],[RVG Code]]="","",_xlfn.XLOOKUP(MasterFees[[#This Row],[RVG Code]],RVGCodes[Code],RVGCodes[Base Units],"Code not found"))</f>
        <v>6</v>
      </c>
      <c r="C18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8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81" s="125" t="s">
        <v>2592</v>
      </c>
      <c r="F181" s="48" t="s">
        <v>2567</v>
      </c>
      <c r="G181" s="30" t="s">
        <v>761</v>
      </c>
      <c r="H181" s="37" t="s">
        <v>1095</v>
      </c>
      <c r="I181" s="37"/>
      <c r="J181" s="37" t="s">
        <v>1096</v>
      </c>
      <c r="K181" s="32">
        <v>0</v>
      </c>
      <c r="L181" s="32">
        <v>4</v>
      </c>
      <c r="M181" s="32">
        <v>0</v>
      </c>
      <c r="N181" s="32">
        <v>4</v>
      </c>
      <c r="O181" s="33">
        <v>220</v>
      </c>
      <c r="P181" s="38" t="s">
        <v>1014</v>
      </c>
      <c r="Q181" s="34" t="str">
        <f>IF(MasterFees[[#This Row],[GST Basis]]="Excl",MasterFees[[#This Row],[Fee as Printed]],IF(MasterFees[[#This Row],[GST Basis]]="Incl",MasterFees[[#This Row],[Fee as Printed]]/(1+GST_Rate),""))</f>
        <v/>
      </c>
      <c r="R181" s="34" t="str">
        <f>IF(MasterFees[[#This Row],[GST Basis]]="Incl",MasterFees[[#This Row],[Fee as Printed]],IF(MasterFees[[#This Row],[GST Basis]]="Excl",MasterFees[[#This Row],[Fee as Printed]]*(1+GST_Rate),""))</f>
        <v/>
      </c>
      <c r="S181" s="35">
        <f>IF(N(MasterFees[[#This Row],[Total Units]])=0,"",MasterFees[[#This Row],[Fee as Printed]]/MasterFees[[#This Row],[Total Units]])</f>
        <v>55</v>
      </c>
      <c r="T181" s="36"/>
      <c r="U181" s="39" t="s">
        <v>1012</v>
      </c>
      <c r="V181" s="39" t="s">
        <v>1859</v>
      </c>
      <c r="W181" s="30"/>
      <c r="X181" s="73" t="s">
        <v>3664</v>
      </c>
      <c r="Y181" s="127" t="str">
        <f>_xlfn.XLOOKUP(MasterFees[[#This Row],[Provider / Payer]],Contracts[Contract Name],Contracts[Contract ID],"No contract")</f>
        <v>CON-01</v>
      </c>
      <c r="Z181" s="127" t="str">
        <f>_xlfn.XLOOKUP(MasterFees[[#This Row],[Provider / Payer]],Contracts[Contract Name],Contracts[Pricing Basis],"To confirm")</f>
        <v>To confirm</v>
      </c>
      <c r="AA181" s="127" t="str">
        <f>IF(MasterFees[[#This Row],[Pricing Basis]]="Fixed fee schedule","Yes","No")</f>
        <v>No</v>
      </c>
      <c r="AB181" s="127" t="str">
        <f>IF(OR(MasterFees[[#This Row],[Fee Basis]]="Add-on",MasterFees[[#This Row],[Fee Basis]]="Time band",MasterFees[[#This Row],[Fee Basis]]="Other"),MasterFees[[#This Row],[Fee Basis]],"Base")</f>
        <v>Base</v>
      </c>
      <c r="AC181" s="141" t="str">
        <f>IF(MasterFees[[#This Row],[Fixed Fee?]]="Yes",MasterFees[[#This Row],[Fee Excl. GST]],"")</f>
        <v/>
      </c>
    </row>
    <row r="182" spans="1:29" x14ac:dyDescent="0.2">
      <c r="A182" s="67" t="s">
        <v>2162</v>
      </c>
      <c r="B182" s="31">
        <f>IF(MasterFees[[#This Row],[RVG Code]]="","",_xlfn.XLOOKUP(MasterFees[[#This Row],[RVG Code]],RVGCodes[Code],RVGCodes[Base Units],"Code not found"))</f>
        <v>6</v>
      </c>
      <c r="C18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8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82" s="125" t="s">
        <v>2592</v>
      </c>
      <c r="F182" s="48" t="s">
        <v>2567</v>
      </c>
      <c r="G182" s="30" t="s">
        <v>783</v>
      </c>
      <c r="H182" s="37" t="s">
        <v>1095</v>
      </c>
      <c r="I182" s="37"/>
      <c r="J182" s="37" t="s">
        <v>1096</v>
      </c>
      <c r="K182" s="32">
        <v>6</v>
      </c>
      <c r="L182" s="32">
        <v>13</v>
      </c>
      <c r="M182" s="32">
        <v>0</v>
      </c>
      <c r="N182" s="32">
        <v>19</v>
      </c>
      <c r="O182" s="33">
        <v>1045</v>
      </c>
      <c r="P182" s="38" t="s">
        <v>1014</v>
      </c>
      <c r="Q182" s="34" t="str">
        <f>IF(MasterFees[[#This Row],[GST Basis]]="Excl",MasterFees[[#This Row],[Fee as Printed]],IF(MasterFees[[#This Row],[GST Basis]]="Incl",MasterFees[[#This Row],[Fee as Printed]]/(1+GST_Rate),""))</f>
        <v/>
      </c>
      <c r="R182" s="34" t="str">
        <f>IF(MasterFees[[#This Row],[GST Basis]]="Incl",MasterFees[[#This Row],[Fee as Printed]],IF(MasterFees[[#This Row],[GST Basis]]="Excl",MasterFees[[#This Row],[Fee as Printed]]*(1+GST_Rate),""))</f>
        <v/>
      </c>
      <c r="S182" s="35">
        <f>IF(N(MasterFees[[#This Row],[Total Units]])=0,"",MasterFees[[#This Row],[Fee as Printed]]/MasterFees[[#This Row],[Total Units]])</f>
        <v>55</v>
      </c>
      <c r="T182" s="36"/>
      <c r="U182" s="39" t="s">
        <v>1012</v>
      </c>
      <c r="V182" s="39" t="s">
        <v>1886</v>
      </c>
      <c r="W182" s="30"/>
      <c r="X182" s="73" t="s">
        <v>3692</v>
      </c>
      <c r="Y182" s="127" t="str">
        <f>_xlfn.XLOOKUP(MasterFees[[#This Row],[Provider / Payer]],Contracts[Contract Name],Contracts[Contract ID],"No contract")</f>
        <v>CON-01</v>
      </c>
      <c r="Z182" s="127" t="str">
        <f>_xlfn.XLOOKUP(MasterFees[[#This Row],[Provider / Payer]],Contracts[Contract Name],Contracts[Pricing Basis],"To confirm")</f>
        <v>To confirm</v>
      </c>
      <c r="AA182" s="127" t="str">
        <f>IF(MasterFees[[#This Row],[Pricing Basis]]="Fixed fee schedule","Yes","No")</f>
        <v>No</v>
      </c>
      <c r="AB182" s="127" t="str">
        <f>IF(OR(MasterFees[[#This Row],[Fee Basis]]="Add-on",MasterFees[[#This Row],[Fee Basis]]="Time band",MasterFees[[#This Row],[Fee Basis]]="Other"),MasterFees[[#This Row],[Fee Basis]],"Base")</f>
        <v>Base</v>
      </c>
      <c r="AC182" s="141" t="str">
        <f>IF(MasterFees[[#This Row],[Fixed Fee?]]="Yes",MasterFees[[#This Row],[Fee Excl. GST]],"")</f>
        <v/>
      </c>
    </row>
    <row r="183" spans="1:29" x14ac:dyDescent="0.2">
      <c r="A183" s="67" t="s">
        <v>2162</v>
      </c>
      <c r="B183" s="31">
        <f>IF(MasterFees[[#This Row],[RVG Code]]="","",_xlfn.XLOOKUP(MasterFees[[#This Row],[RVG Code]],RVGCodes[Code],RVGCodes[Base Units],"Code not found"))</f>
        <v>6</v>
      </c>
      <c r="C18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8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83" s="125" t="s">
        <v>2592</v>
      </c>
      <c r="F183" s="48" t="s">
        <v>2567</v>
      </c>
      <c r="G183" s="30" t="s">
        <v>789</v>
      </c>
      <c r="H183" s="37" t="s">
        <v>1095</v>
      </c>
      <c r="I183" s="37"/>
      <c r="J183" s="37" t="s">
        <v>1096</v>
      </c>
      <c r="K183" s="32">
        <v>6</v>
      </c>
      <c r="L183" s="32">
        <v>6</v>
      </c>
      <c r="M183" s="32">
        <v>1</v>
      </c>
      <c r="N183" s="32">
        <v>13</v>
      </c>
      <c r="O183" s="33">
        <v>715</v>
      </c>
      <c r="P183" s="38" t="s">
        <v>1014</v>
      </c>
      <c r="Q183" s="34" t="str">
        <f>IF(MasterFees[[#This Row],[GST Basis]]="Excl",MasterFees[[#This Row],[Fee as Printed]],IF(MasterFees[[#This Row],[GST Basis]]="Incl",MasterFees[[#This Row],[Fee as Printed]]/(1+GST_Rate),""))</f>
        <v/>
      </c>
      <c r="R183" s="34" t="str">
        <f>IF(MasterFees[[#This Row],[GST Basis]]="Incl",MasterFees[[#This Row],[Fee as Printed]],IF(MasterFees[[#This Row],[GST Basis]]="Excl",MasterFees[[#This Row],[Fee as Printed]]*(1+GST_Rate),""))</f>
        <v/>
      </c>
      <c r="S183" s="35">
        <f>IF(N(MasterFees[[#This Row],[Total Units]])=0,"",MasterFees[[#This Row],[Fee as Printed]]/MasterFees[[#This Row],[Total Units]])</f>
        <v>55</v>
      </c>
      <c r="T183" s="36"/>
      <c r="U183" s="39" t="s">
        <v>1012</v>
      </c>
      <c r="V183" s="39" t="s">
        <v>1892</v>
      </c>
      <c r="W183" s="30"/>
      <c r="X183" s="73" t="s">
        <v>3698</v>
      </c>
      <c r="Y183" s="127" t="str">
        <f>_xlfn.XLOOKUP(MasterFees[[#This Row],[Provider / Payer]],Contracts[Contract Name],Contracts[Contract ID],"No contract")</f>
        <v>CON-01</v>
      </c>
      <c r="Z183" s="127" t="str">
        <f>_xlfn.XLOOKUP(MasterFees[[#This Row],[Provider / Payer]],Contracts[Contract Name],Contracts[Pricing Basis],"To confirm")</f>
        <v>To confirm</v>
      </c>
      <c r="AA183" s="127" t="str">
        <f>IF(MasterFees[[#This Row],[Pricing Basis]]="Fixed fee schedule","Yes","No")</f>
        <v>No</v>
      </c>
      <c r="AB183" s="127" t="str">
        <f>IF(OR(MasterFees[[#This Row],[Fee Basis]]="Add-on",MasterFees[[#This Row],[Fee Basis]]="Time band",MasterFees[[#This Row],[Fee Basis]]="Other"),MasterFees[[#This Row],[Fee Basis]],"Base")</f>
        <v>Base</v>
      </c>
      <c r="AC183" s="141" t="str">
        <f>IF(MasterFees[[#This Row],[Fixed Fee?]]="Yes",MasterFees[[#This Row],[Fee Excl. GST]],"")</f>
        <v/>
      </c>
    </row>
    <row r="184" spans="1:29" x14ac:dyDescent="0.2">
      <c r="A184" s="67" t="s">
        <v>2165</v>
      </c>
      <c r="B184" s="31">
        <f>IF(MasterFees[[#This Row],[RVG Code]]="","",_xlfn.XLOOKUP(MasterFees[[#This Row],[RVG Code]],RVGCodes[Code],RVGCodes[Base Units],"Code not found"))</f>
        <v>10</v>
      </c>
      <c r="C18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8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84" s="125" t="s">
        <v>2593</v>
      </c>
      <c r="F184" s="48" t="s">
        <v>2567</v>
      </c>
      <c r="G184" s="30" t="s">
        <v>814</v>
      </c>
      <c r="H184" s="37" t="s">
        <v>1095</v>
      </c>
      <c r="I184" s="37"/>
      <c r="J184" s="37" t="s">
        <v>1096</v>
      </c>
      <c r="K184" s="32">
        <v>11</v>
      </c>
      <c r="L184" s="32">
        <v>28.5</v>
      </c>
      <c r="M184" s="32">
        <v>0.3</v>
      </c>
      <c r="N184" s="32">
        <v>39.799999999999997</v>
      </c>
      <c r="O184" s="33">
        <v>2186.25</v>
      </c>
      <c r="P184" s="38" t="s">
        <v>1014</v>
      </c>
      <c r="Q184" s="34" t="str">
        <f>IF(MasterFees[[#This Row],[GST Basis]]="Excl",MasterFees[[#This Row],[Fee as Printed]],IF(MasterFees[[#This Row],[GST Basis]]="Incl",MasterFees[[#This Row],[Fee as Printed]]/(1+GST_Rate),""))</f>
        <v/>
      </c>
      <c r="R184" s="34" t="str">
        <f>IF(MasterFees[[#This Row],[GST Basis]]="Incl",MasterFees[[#This Row],[Fee as Printed]],IF(MasterFees[[#This Row],[GST Basis]]="Excl",MasterFees[[#This Row],[Fee as Printed]]*(1+GST_Rate),""))</f>
        <v/>
      </c>
      <c r="S184" s="35">
        <f>IF(N(MasterFees[[#This Row],[Total Units]])=0,"",MasterFees[[#This Row],[Fee as Printed]]/MasterFees[[#This Row],[Total Units]])</f>
        <v>54.930904522613069</v>
      </c>
      <c r="T184" s="36"/>
      <c r="U184" s="39" t="s">
        <v>1012</v>
      </c>
      <c r="V184" s="39" t="s">
        <v>1917</v>
      </c>
      <c r="W184" s="30"/>
      <c r="X184" s="73" t="s">
        <v>3724</v>
      </c>
      <c r="Y184" s="127" t="str">
        <f>_xlfn.XLOOKUP(MasterFees[[#This Row],[Provider / Payer]],Contracts[Contract Name],Contracts[Contract ID],"No contract")</f>
        <v>CON-01</v>
      </c>
      <c r="Z184" s="127" t="str">
        <f>_xlfn.XLOOKUP(MasterFees[[#This Row],[Provider / Payer]],Contracts[Contract Name],Contracts[Pricing Basis],"To confirm")</f>
        <v>To confirm</v>
      </c>
      <c r="AA184" s="127" t="str">
        <f>IF(MasterFees[[#This Row],[Pricing Basis]]="Fixed fee schedule","Yes","No")</f>
        <v>No</v>
      </c>
      <c r="AB184" s="127" t="str">
        <f>IF(OR(MasterFees[[#This Row],[Fee Basis]]="Add-on",MasterFees[[#This Row],[Fee Basis]]="Time band",MasterFees[[#This Row],[Fee Basis]]="Other"),MasterFees[[#This Row],[Fee Basis]],"Base")</f>
        <v>Base</v>
      </c>
      <c r="AC184" s="141" t="str">
        <f>IF(MasterFees[[#This Row],[Fixed Fee?]]="Yes",MasterFees[[#This Row],[Fee Excl. GST]],"")</f>
        <v/>
      </c>
    </row>
    <row r="185" spans="1:29" x14ac:dyDescent="0.2">
      <c r="A185" s="67" t="s">
        <v>2157</v>
      </c>
      <c r="B185" s="31">
        <f>IF(MasterFees[[#This Row],[RVG Code]]="","",_xlfn.XLOOKUP(MasterFees[[#This Row],[RVG Code]],RVGCodes[Code],RVGCodes[Base Units],"Code not found"))</f>
        <v>4</v>
      </c>
      <c r="C18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8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85" s="125" t="s">
        <v>2572</v>
      </c>
      <c r="F185" s="48" t="s">
        <v>2567</v>
      </c>
      <c r="G185" s="30" t="s">
        <v>830</v>
      </c>
      <c r="H185" s="37" t="s">
        <v>1095</v>
      </c>
      <c r="I185" s="37"/>
      <c r="J185" s="37" t="s">
        <v>1096</v>
      </c>
      <c r="K185" s="32">
        <v>2</v>
      </c>
      <c r="L185" s="32">
        <v>2</v>
      </c>
      <c r="M185" s="32">
        <v>0</v>
      </c>
      <c r="N185" s="32">
        <v>4</v>
      </c>
      <c r="O185" s="33">
        <v>220</v>
      </c>
      <c r="P185" s="38" t="s">
        <v>1014</v>
      </c>
      <c r="Q185" s="34" t="str">
        <f>IF(MasterFees[[#This Row],[GST Basis]]="Excl",MasterFees[[#This Row],[Fee as Printed]],IF(MasterFees[[#This Row],[GST Basis]]="Incl",MasterFees[[#This Row],[Fee as Printed]]/(1+GST_Rate),""))</f>
        <v/>
      </c>
      <c r="R185" s="34" t="str">
        <f>IF(MasterFees[[#This Row],[GST Basis]]="Incl",MasterFees[[#This Row],[Fee as Printed]],IF(MasterFees[[#This Row],[GST Basis]]="Excl",MasterFees[[#This Row],[Fee as Printed]]*(1+GST_Rate),""))</f>
        <v/>
      </c>
      <c r="S185" s="35">
        <f>IF(N(MasterFees[[#This Row],[Total Units]])=0,"",MasterFees[[#This Row],[Fee as Printed]]/MasterFees[[#This Row],[Total Units]])</f>
        <v>55</v>
      </c>
      <c r="T185" s="36"/>
      <c r="U185" s="39" t="s">
        <v>1012</v>
      </c>
      <c r="V185" s="39" t="s">
        <v>1933</v>
      </c>
      <c r="W185" s="30"/>
      <c r="X185" s="73" t="s">
        <v>3742</v>
      </c>
      <c r="Y185" s="127" t="str">
        <f>_xlfn.XLOOKUP(MasterFees[[#This Row],[Provider / Payer]],Contracts[Contract Name],Contracts[Contract ID],"No contract")</f>
        <v>CON-01</v>
      </c>
      <c r="Z185" s="127" t="str">
        <f>_xlfn.XLOOKUP(MasterFees[[#This Row],[Provider / Payer]],Contracts[Contract Name],Contracts[Pricing Basis],"To confirm")</f>
        <v>To confirm</v>
      </c>
      <c r="AA185" s="127" t="str">
        <f>IF(MasterFees[[#This Row],[Pricing Basis]]="Fixed fee schedule","Yes","No")</f>
        <v>No</v>
      </c>
      <c r="AB185" s="127" t="str">
        <f>IF(OR(MasterFees[[#This Row],[Fee Basis]]="Add-on",MasterFees[[#This Row],[Fee Basis]]="Time band",MasterFees[[#This Row],[Fee Basis]]="Other"),MasterFees[[#This Row],[Fee Basis]],"Base")</f>
        <v>Base</v>
      </c>
      <c r="AC185" s="141" t="str">
        <f>IF(MasterFees[[#This Row],[Fixed Fee?]]="Yes",MasterFees[[#This Row],[Fee Excl. GST]],"")</f>
        <v/>
      </c>
    </row>
    <row r="186" spans="1:29" x14ac:dyDescent="0.2">
      <c r="A186" s="67" t="s">
        <v>2157</v>
      </c>
      <c r="B186" s="31">
        <f>IF(MasterFees[[#This Row],[RVG Code]]="","",_xlfn.XLOOKUP(MasterFees[[#This Row],[RVG Code]],RVGCodes[Code],RVGCodes[Base Units],"Code not found"))</f>
        <v>4</v>
      </c>
      <c r="C18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8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86" s="125" t="s">
        <v>2572</v>
      </c>
      <c r="F186" s="48" t="s">
        <v>2567</v>
      </c>
      <c r="G186" s="30" t="s">
        <v>831</v>
      </c>
      <c r="H186" s="37" t="s">
        <v>1095</v>
      </c>
      <c r="I186" s="37"/>
      <c r="J186" s="37" t="s">
        <v>1096</v>
      </c>
      <c r="K186" s="32">
        <v>4</v>
      </c>
      <c r="L186" s="32">
        <v>2</v>
      </c>
      <c r="M186" s="32">
        <v>0</v>
      </c>
      <c r="N186" s="32">
        <v>6</v>
      </c>
      <c r="O186" s="33">
        <v>330</v>
      </c>
      <c r="P186" s="38" t="s">
        <v>1014</v>
      </c>
      <c r="Q186" s="34" t="str">
        <f>IF(MasterFees[[#This Row],[GST Basis]]="Excl",MasterFees[[#This Row],[Fee as Printed]],IF(MasterFees[[#This Row],[GST Basis]]="Incl",MasterFees[[#This Row],[Fee as Printed]]/(1+GST_Rate),""))</f>
        <v/>
      </c>
      <c r="R186" s="34" t="str">
        <f>IF(MasterFees[[#This Row],[GST Basis]]="Incl",MasterFees[[#This Row],[Fee as Printed]],IF(MasterFees[[#This Row],[GST Basis]]="Excl",MasterFees[[#This Row],[Fee as Printed]]*(1+GST_Rate),""))</f>
        <v/>
      </c>
      <c r="S186" s="35">
        <f>IF(N(MasterFees[[#This Row],[Total Units]])=0,"",MasterFees[[#This Row],[Fee as Printed]]/MasterFees[[#This Row],[Total Units]])</f>
        <v>55</v>
      </c>
      <c r="T186" s="36"/>
      <c r="U186" s="39" t="s">
        <v>1012</v>
      </c>
      <c r="V186" s="39" t="s">
        <v>1934</v>
      </c>
      <c r="W186" s="30"/>
      <c r="X186" s="73" t="s">
        <v>3743</v>
      </c>
      <c r="Y186" s="127" t="str">
        <f>_xlfn.XLOOKUP(MasterFees[[#This Row],[Provider / Payer]],Contracts[Contract Name],Contracts[Contract ID],"No contract")</f>
        <v>CON-01</v>
      </c>
      <c r="Z186" s="127" t="str">
        <f>_xlfn.XLOOKUP(MasterFees[[#This Row],[Provider / Payer]],Contracts[Contract Name],Contracts[Pricing Basis],"To confirm")</f>
        <v>To confirm</v>
      </c>
      <c r="AA186" s="127" t="str">
        <f>IF(MasterFees[[#This Row],[Pricing Basis]]="Fixed fee schedule","Yes","No")</f>
        <v>No</v>
      </c>
      <c r="AB186" s="127" t="str">
        <f>IF(OR(MasterFees[[#This Row],[Fee Basis]]="Add-on",MasterFees[[#This Row],[Fee Basis]]="Time band",MasterFees[[#This Row],[Fee Basis]]="Other"),MasterFees[[#This Row],[Fee Basis]],"Base")</f>
        <v>Base</v>
      </c>
      <c r="AC186" s="141" t="str">
        <f>IF(MasterFees[[#This Row],[Fixed Fee?]]="Yes",MasterFees[[#This Row],[Fee Excl. GST]],"")</f>
        <v/>
      </c>
    </row>
    <row r="187" spans="1:29" x14ac:dyDescent="0.2">
      <c r="A187" s="67" t="s">
        <v>2159</v>
      </c>
      <c r="B187" s="31">
        <f>IF(MasterFees[[#This Row],[RVG Code]]="","",_xlfn.XLOOKUP(MasterFees[[#This Row],[RVG Code]],RVGCodes[Code],RVGCodes[Base Units],"Code not found"))</f>
        <v>5</v>
      </c>
      <c r="C18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8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87" s="125" t="s">
        <v>2571</v>
      </c>
      <c r="F187" s="48" t="s">
        <v>2567</v>
      </c>
      <c r="G187" s="30" t="s">
        <v>852</v>
      </c>
      <c r="H187" s="37" t="s">
        <v>1095</v>
      </c>
      <c r="I187" s="37"/>
      <c r="J187" s="37" t="s">
        <v>1096</v>
      </c>
      <c r="K187" s="32">
        <v>6.3</v>
      </c>
      <c r="L187" s="32">
        <v>6.3</v>
      </c>
      <c r="M187" s="32">
        <v>0</v>
      </c>
      <c r="N187" s="32">
        <v>12.7</v>
      </c>
      <c r="O187" s="33">
        <v>696.3</v>
      </c>
      <c r="P187" s="38" t="s">
        <v>1014</v>
      </c>
      <c r="Q187" s="34" t="str">
        <f>IF(MasterFees[[#This Row],[GST Basis]]="Excl",MasterFees[[#This Row],[Fee as Printed]],IF(MasterFees[[#This Row],[GST Basis]]="Incl",MasterFees[[#This Row],[Fee as Printed]]/(1+GST_Rate),""))</f>
        <v/>
      </c>
      <c r="R187" s="34" t="str">
        <f>IF(MasterFees[[#This Row],[GST Basis]]="Incl",MasterFees[[#This Row],[Fee as Printed]],IF(MasterFees[[#This Row],[GST Basis]]="Excl",MasterFees[[#This Row],[Fee as Printed]]*(1+GST_Rate),""))</f>
        <v/>
      </c>
      <c r="S187" s="35">
        <f>IF(N(MasterFees[[#This Row],[Total Units]])=0,"",MasterFees[[#This Row],[Fee as Printed]]/MasterFees[[#This Row],[Total Units]])</f>
        <v>54.826771653543304</v>
      </c>
      <c r="T187" s="36"/>
      <c r="U187" s="39" t="s">
        <v>1012</v>
      </c>
      <c r="V187" s="39" t="s">
        <v>1955</v>
      </c>
      <c r="W187" s="30"/>
      <c r="X187" s="73" t="s">
        <v>3770</v>
      </c>
      <c r="Y187" s="127" t="str">
        <f>_xlfn.XLOOKUP(MasterFees[[#This Row],[Provider / Payer]],Contracts[Contract Name],Contracts[Contract ID],"No contract")</f>
        <v>CON-01</v>
      </c>
      <c r="Z187" s="127" t="str">
        <f>_xlfn.XLOOKUP(MasterFees[[#This Row],[Provider / Payer]],Contracts[Contract Name],Contracts[Pricing Basis],"To confirm")</f>
        <v>To confirm</v>
      </c>
      <c r="AA187" s="127" t="str">
        <f>IF(MasterFees[[#This Row],[Pricing Basis]]="Fixed fee schedule","Yes","No")</f>
        <v>No</v>
      </c>
      <c r="AB187" s="127" t="str">
        <f>IF(OR(MasterFees[[#This Row],[Fee Basis]]="Add-on",MasterFees[[#This Row],[Fee Basis]]="Time band",MasterFees[[#This Row],[Fee Basis]]="Other"),MasterFees[[#This Row],[Fee Basis]],"Base")</f>
        <v>Base</v>
      </c>
      <c r="AC187" s="141" t="str">
        <f>IF(MasterFees[[#This Row],[Fixed Fee?]]="Yes",MasterFees[[#This Row],[Fee Excl. GST]],"")</f>
        <v/>
      </c>
    </row>
    <row r="188" spans="1:29" x14ac:dyDescent="0.2">
      <c r="A188" s="67" t="s">
        <v>2159</v>
      </c>
      <c r="B188" s="31">
        <f>IF(MasterFees[[#This Row],[RVG Code]]="","",_xlfn.XLOOKUP(MasterFees[[#This Row],[RVG Code]],RVGCodes[Code],RVGCodes[Base Units],"Code not found"))</f>
        <v>5</v>
      </c>
      <c r="C18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8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88" s="125" t="s">
        <v>2571</v>
      </c>
      <c r="F188" s="48" t="s">
        <v>2569</v>
      </c>
      <c r="G188" s="30" t="s">
        <v>853</v>
      </c>
      <c r="H188" s="37" t="s">
        <v>1095</v>
      </c>
      <c r="I188" s="37"/>
      <c r="J188" s="37" t="s">
        <v>1096</v>
      </c>
      <c r="K188" s="32">
        <v>5.3</v>
      </c>
      <c r="L188" s="32">
        <v>4.4000000000000004</v>
      </c>
      <c r="M188" s="32">
        <v>0.3</v>
      </c>
      <c r="N188" s="32">
        <v>10.1</v>
      </c>
      <c r="O188" s="33">
        <v>556.04999999999995</v>
      </c>
      <c r="P188" s="38" t="s">
        <v>1014</v>
      </c>
      <c r="Q188" s="34" t="str">
        <f>IF(MasterFees[[#This Row],[GST Basis]]="Excl",MasterFees[[#This Row],[Fee as Printed]],IF(MasterFees[[#This Row],[GST Basis]]="Incl",MasterFees[[#This Row],[Fee as Printed]]/(1+GST_Rate),""))</f>
        <v/>
      </c>
      <c r="R188" s="34" t="str">
        <f>IF(MasterFees[[#This Row],[GST Basis]]="Incl",MasterFees[[#This Row],[Fee as Printed]],IF(MasterFees[[#This Row],[GST Basis]]="Excl",MasterFees[[#This Row],[Fee as Printed]]*(1+GST_Rate),""))</f>
        <v/>
      </c>
      <c r="S188" s="35">
        <f>IF(N(MasterFees[[#This Row],[Total Units]])=0,"",MasterFees[[#This Row],[Fee as Printed]]/MasterFees[[#This Row],[Total Units]])</f>
        <v>55.054455445544555</v>
      </c>
      <c r="T188" s="36"/>
      <c r="U188" s="39" t="s">
        <v>1012</v>
      </c>
      <c r="V188" s="39" t="s">
        <v>1956</v>
      </c>
      <c r="W188" s="30"/>
      <c r="X188" s="73" t="s">
        <v>3771</v>
      </c>
      <c r="Y188" s="127" t="str">
        <f>_xlfn.XLOOKUP(MasterFees[[#This Row],[Provider / Payer]],Contracts[Contract Name],Contracts[Contract ID],"No contract")</f>
        <v>CON-01</v>
      </c>
      <c r="Z188" s="127" t="str">
        <f>_xlfn.XLOOKUP(MasterFees[[#This Row],[Provider / Payer]],Contracts[Contract Name],Contracts[Pricing Basis],"To confirm")</f>
        <v>To confirm</v>
      </c>
      <c r="AA188" s="127" t="str">
        <f>IF(MasterFees[[#This Row],[Pricing Basis]]="Fixed fee schedule","Yes","No")</f>
        <v>No</v>
      </c>
      <c r="AB188" s="127" t="str">
        <f>IF(OR(MasterFees[[#This Row],[Fee Basis]]="Add-on",MasterFees[[#This Row],[Fee Basis]]="Time band",MasterFees[[#This Row],[Fee Basis]]="Other"),MasterFees[[#This Row],[Fee Basis]],"Base")</f>
        <v>Base</v>
      </c>
      <c r="AC188" s="141" t="str">
        <f>IF(MasterFees[[#This Row],[Fixed Fee?]]="Yes",MasterFees[[#This Row],[Fee Excl. GST]],"")</f>
        <v/>
      </c>
    </row>
    <row r="189" spans="1:29" x14ac:dyDescent="0.2">
      <c r="A189" s="67" t="s">
        <v>2159</v>
      </c>
      <c r="B189" s="31">
        <f>IF(MasterFees[[#This Row],[RVG Code]]="","",_xlfn.XLOOKUP(MasterFees[[#This Row],[RVG Code]],RVGCodes[Code],RVGCodes[Base Units],"Code not found"))</f>
        <v>5</v>
      </c>
      <c r="C18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8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89" s="125" t="s">
        <v>2571</v>
      </c>
      <c r="F189" s="48" t="s">
        <v>2569</v>
      </c>
      <c r="G189" s="30" t="s">
        <v>854</v>
      </c>
      <c r="H189" s="37" t="s">
        <v>1095</v>
      </c>
      <c r="I189" s="37"/>
      <c r="J189" s="37" t="s">
        <v>1096</v>
      </c>
      <c r="K189" s="32">
        <v>5.3</v>
      </c>
      <c r="L189" s="32">
        <v>4.7</v>
      </c>
      <c r="M189" s="32">
        <v>0.3</v>
      </c>
      <c r="N189" s="32">
        <v>10.3</v>
      </c>
      <c r="O189" s="33">
        <v>563.75</v>
      </c>
      <c r="P189" s="38" t="s">
        <v>1014</v>
      </c>
      <c r="Q189" s="34" t="str">
        <f>IF(MasterFees[[#This Row],[GST Basis]]="Excl",MasterFees[[#This Row],[Fee as Printed]],IF(MasterFees[[#This Row],[GST Basis]]="Incl",MasterFees[[#This Row],[Fee as Printed]]/(1+GST_Rate),""))</f>
        <v/>
      </c>
      <c r="R189" s="34" t="str">
        <f>IF(MasterFees[[#This Row],[GST Basis]]="Incl",MasterFees[[#This Row],[Fee as Printed]],IF(MasterFees[[#This Row],[GST Basis]]="Excl",MasterFees[[#This Row],[Fee as Printed]]*(1+GST_Rate),""))</f>
        <v/>
      </c>
      <c r="S189" s="35">
        <f>IF(N(MasterFees[[#This Row],[Total Units]])=0,"",MasterFees[[#This Row],[Fee as Printed]]/MasterFees[[#This Row],[Total Units]])</f>
        <v>54.73300970873786</v>
      </c>
      <c r="T189" s="36"/>
      <c r="U189" s="39" t="s">
        <v>1012</v>
      </c>
      <c r="V189" s="39" t="s">
        <v>1957</v>
      </c>
      <c r="W189" s="30"/>
      <c r="X189" s="73" t="s">
        <v>3772</v>
      </c>
      <c r="Y189" s="127" t="str">
        <f>_xlfn.XLOOKUP(MasterFees[[#This Row],[Provider / Payer]],Contracts[Contract Name],Contracts[Contract ID],"No contract")</f>
        <v>CON-01</v>
      </c>
      <c r="Z189" s="127" t="str">
        <f>_xlfn.XLOOKUP(MasterFees[[#This Row],[Provider / Payer]],Contracts[Contract Name],Contracts[Pricing Basis],"To confirm")</f>
        <v>To confirm</v>
      </c>
      <c r="AA189" s="127" t="str">
        <f>IF(MasterFees[[#This Row],[Pricing Basis]]="Fixed fee schedule","Yes","No")</f>
        <v>No</v>
      </c>
      <c r="AB189" s="127" t="str">
        <f>IF(OR(MasterFees[[#This Row],[Fee Basis]]="Add-on",MasterFees[[#This Row],[Fee Basis]]="Time band",MasterFees[[#This Row],[Fee Basis]]="Other"),MasterFees[[#This Row],[Fee Basis]],"Base")</f>
        <v>Base</v>
      </c>
      <c r="AC189" s="141" t="str">
        <f>IF(MasterFees[[#This Row],[Fixed Fee?]]="Yes",MasterFees[[#This Row],[Fee Excl. GST]],"")</f>
        <v/>
      </c>
    </row>
    <row r="190" spans="1:29" x14ac:dyDescent="0.2">
      <c r="A190" s="67" t="s">
        <v>2159</v>
      </c>
      <c r="B190" s="31">
        <f>IF(MasterFees[[#This Row],[RVG Code]]="","",_xlfn.XLOOKUP(MasterFees[[#This Row],[RVG Code]],RVGCodes[Code],RVGCodes[Base Units],"Code not found"))</f>
        <v>5</v>
      </c>
      <c r="C19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9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90" s="125" t="s">
        <v>2571</v>
      </c>
      <c r="F190" s="48" t="s">
        <v>2569</v>
      </c>
      <c r="G190" s="30" t="s">
        <v>855</v>
      </c>
      <c r="H190" s="37" t="s">
        <v>1095</v>
      </c>
      <c r="I190" s="37"/>
      <c r="J190" s="37" t="s">
        <v>1096</v>
      </c>
      <c r="K190" s="32">
        <v>5.7</v>
      </c>
      <c r="L190" s="32">
        <v>6.2</v>
      </c>
      <c r="M190" s="32">
        <v>0.1</v>
      </c>
      <c r="N190" s="32">
        <v>12</v>
      </c>
      <c r="O190" s="33">
        <v>658.9</v>
      </c>
      <c r="P190" s="38" t="s">
        <v>1014</v>
      </c>
      <c r="Q190" s="34" t="str">
        <f>IF(MasterFees[[#This Row],[GST Basis]]="Excl",MasterFees[[#This Row],[Fee as Printed]],IF(MasterFees[[#This Row],[GST Basis]]="Incl",MasterFees[[#This Row],[Fee as Printed]]/(1+GST_Rate),""))</f>
        <v/>
      </c>
      <c r="R190" s="34" t="str">
        <f>IF(MasterFees[[#This Row],[GST Basis]]="Incl",MasterFees[[#This Row],[Fee as Printed]],IF(MasterFees[[#This Row],[GST Basis]]="Excl",MasterFees[[#This Row],[Fee as Printed]]*(1+GST_Rate),""))</f>
        <v/>
      </c>
      <c r="S190" s="35">
        <f>IF(N(MasterFees[[#This Row],[Total Units]])=0,"",MasterFees[[#This Row],[Fee as Printed]]/MasterFees[[#This Row],[Total Units]])</f>
        <v>54.908333333333331</v>
      </c>
      <c r="T190" s="36"/>
      <c r="U190" s="39" t="s">
        <v>1012</v>
      </c>
      <c r="V190" s="39" t="s">
        <v>1958</v>
      </c>
      <c r="W190" s="30"/>
      <c r="X190" s="73" t="s">
        <v>3773</v>
      </c>
      <c r="Y190" s="127" t="str">
        <f>_xlfn.XLOOKUP(MasterFees[[#This Row],[Provider / Payer]],Contracts[Contract Name],Contracts[Contract ID],"No contract")</f>
        <v>CON-01</v>
      </c>
      <c r="Z190" s="127" t="str">
        <f>_xlfn.XLOOKUP(MasterFees[[#This Row],[Provider / Payer]],Contracts[Contract Name],Contracts[Pricing Basis],"To confirm")</f>
        <v>To confirm</v>
      </c>
      <c r="AA190" s="127" t="str">
        <f>IF(MasterFees[[#This Row],[Pricing Basis]]="Fixed fee schedule","Yes","No")</f>
        <v>No</v>
      </c>
      <c r="AB190" s="127" t="str">
        <f>IF(OR(MasterFees[[#This Row],[Fee Basis]]="Add-on",MasterFees[[#This Row],[Fee Basis]]="Time band",MasterFees[[#This Row],[Fee Basis]]="Other"),MasterFees[[#This Row],[Fee Basis]],"Base")</f>
        <v>Base</v>
      </c>
      <c r="AC190" s="141" t="str">
        <f>IF(MasterFees[[#This Row],[Fixed Fee?]]="Yes",MasterFees[[#This Row],[Fee Excl. GST]],"")</f>
        <v/>
      </c>
    </row>
    <row r="191" spans="1:29" x14ac:dyDescent="0.2">
      <c r="A191" s="67" t="s">
        <v>2159</v>
      </c>
      <c r="B191" s="31">
        <f>IF(MasterFees[[#This Row],[RVG Code]]="","",_xlfn.XLOOKUP(MasterFees[[#This Row],[RVG Code]],RVGCodes[Code],RVGCodes[Base Units],"Code not found"))</f>
        <v>5</v>
      </c>
      <c r="C19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9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91" s="125" t="s">
        <v>2571</v>
      </c>
      <c r="F191" s="48" t="s">
        <v>2569</v>
      </c>
      <c r="G191" s="30" t="s">
        <v>856</v>
      </c>
      <c r="H191" s="37" t="s">
        <v>1095</v>
      </c>
      <c r="I191" s="37"/>
      <c r="J191" s="37" t="s">
        <v>1096</v>
      </c>
      <c r="K191" s="32">
        <v>5.5</v>
      </c>
      <c r="L191" s="32">
        <v>4.3</v>
      </c>
      <c r="M191" s="32">
        <v>0.2</v>
      </c>
      <c r="N191" s="32">
        <v>10</v>
      </c>
      <c r="O191" s="33">
        <v>549.45000000000005</v>
      </c>
      <c r="P191" s="38" t="s">
        <v>1014</v>
      </c>
      <c r="Q191" s="34" t="str">
        <f>IF(MasterFees[[#This Row],[GST Basis]]="Excl",MasterFees[[#This Row],[Fee as Printed]],IF(MasterFees[[#This Row],[GST Basis]]="Incl",MasterFees[[#This Row],[Fee as Printed]]/(1+GST_Rate),""))</f>
        <v/>
      </c>
      <c r="R191" s="34" t="str">
        <f>IF(MasterFees[[#This Row],[GST Basis]]="Incl",MasterFees[[#This Row],[Fee as Printed]],IF(MasterFees[[#This Row],[GST Basis]]="Excl",MasterFees[[#This Row],[Fee as Printed]]*(1+GST_Rate),""))</f>
        <v/>
      </c>
      <c r="S191" s="35">
        <f>IF(N(MasterFees[[#This Row],[Total Units]])=0,"",MasterFees[[#This Row],[Fee as Printed]]/MasterFees[[#This Row],[Total Units]])</f>
        <v>54.945000000000007</v>
      </c>
      <c r="T191" s="36"/>
      <c r="U191" s="39" t="s">
        <v>1012</v>
      </c>
      <c r="V191" s="39" t="s">
        <v>1959</v>
      </c>
      <c r="W191" s="30"/>
      <c r="X191" s="73" t="s">
        <v>3774</v>
      </c>
      <c r="Y191" s="127" t="str">
        <f>_xlfn.XLOOKUP(MasterFees[[#This Row],[Provider / Payer]],Contracts[Contract Name],Contracts[Contract ID],"No contract")</f>
        <v>CON-01</v>
      </c>
      <c r="Z191" s="127" t="str">
        <f>_xlfn.XLOOKUP(MasterFees[[#This Row],[Provider / Payer]],Contracts[Contract Name],Contracts[Pricing Basis],"To confirm")</f>
        <v>To confirm</v>
      </c>
      <c r="AA191" s="127" t="str">
        <f>IF(MasterFees[[#This Row],[Pricing Basis]]="Fixed fee schedule","Yes","No")</f>
        <v>No</v>
      </c>
      <c r="AB191" s="127" t="str">
        <f>IF(OR(MasterFees[[#This Row],[Fee Basis]]="Add-on",MasterFees[[#This Row],[Fee Basis]]="Time band",MasterFees[[#This Row],[Fee Basis]]="Other"),MasterFees[[#This Row],[Fee Basis]],"Base")</f>
        <v>Base</v>
      </c>
      <c r="AC191" s="141" t="str">
        <f>IF(MasterFees[[#This Row],[Fixed Fee?]]="Yes",MasterFees[[#This Row],[Fee Excl. GST]],"")</f>
        <v/>
      </c>
    </row>
    <row r="192" spans="1:29" x14ac:dyDescent="0.2">
      <c r="A192" s="67" t="s">
        <v>2159</v>
      </c>
      <c r="B192" s="31">
        <f>IF(MasterFees[[#This Row],[RVG Code]]="","",_xlfn.XLOOKUP(MasterFees[[#This Row],[RVG Code]],RVGCodes[Code],RVGCodes[Base Units],"Code not found"))</f>
        <v>5</v>
      </c>
      <c r="C19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9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92" s="125" t="s">
        <v>2571</v>
      </c>
      <c r="F192" s="48" t="s">
        <v>2569</v>
      </c>
      <c r="G192" s="30" t="s">
        <v>857</v>
      </c>
      <c r="H192" s="37" t="s">
        <v>1095</v>
      </c>
      <c r="I192" s="37"/>
      <c r="J192" s="37" t="s">
        <v>1096</v>
      </c>
      <c r="K192" s="32">
        <v>5.4</v>
      </c>
      <c r="L192" s="32">
        <v>4.5999999999999996</v>
      </c>
      <c r="M192" s="32">
        <v>0.4</v>
      </c>
      <c r="N192" s="32">
        <v>10.4</v>
      </c>
      <c r="O192" s="33">
        <v>574.20000000000005</v>
      </c>
      <c r="P192" s="38" t="s">
        <v>1014</v>
      </c>
      <c r="Q192" s="34" t="str">
        <f>IF(MasterFees[[#This Row],[GST Basis]]="Excl",MasterFees[[#This Row],[Fee as Printed]],IF(MasterFees[[#This Row],[GST Basis]]="Incl",MasterFees[[#This Row],[Fee as Printed]]/(1+GST_Rate),""))</f>
        <v/>
      </c>
      <c r="R192" s="34" t="str">
        <f>IF(MasterFees[[#This Row],[GST Basis]]="Incl",MasterFees[[#This Row],[Fee as Printed]],IF(MasterFees[[#This Row],[GST Basis]]="Excl",MasterFees[[#This Row],[Fee as Printed]]*(1+GST_Rate),""))</f>
        <v/>
      </c>
      <c r="S192" s="35">
        <f>IF(N(MasterFees[[#This Row],[Total Units]])=0,"",MasterFees[[#This Row],[Fee as Printed]]/MasterFees[[#This Row],[Total Units]])</f>
        <v>55.211538461538467</v>
      </c>
      <c r="T192" s="36"/>
      <c r="U192" s="39" t="s">
        <v>1012</v>
      </c>
      <c r="V192" s="39" t="s">
        <v>1960</v>
      </c>
      <c r="W192" s="30"/>
      <c r="X192" s="73" t="s">
        <v>3775</v>
      </c>
      <c r="Y192" s="127" t="str">
        <f>_xlfn.XLOOKUP(MasterFees[[#This Row],[Provider / Payer]],Contracts[Contract Name],Contracts[Contract ID],"No contract")</f>
        <v>CON-01</v>
      </c>
      <c r="Z192" s="127" t="str">
        <f>_xlfn.XLOOKUP(MasterFees[[#This Row],[Provider / Payer]],Contracts[Contract Name],Contracts[Pricing Basis],"To confirm")</f>
        <v>To confirm</v>
      </c>
      <c r="AA192" s="127" t="str">
        <f>IF(MasterFees[[#This Row],[Pricing Basis]]="Fixed fee schedule","Yes","No")</f>
        <v>No</v>
      </c>
      <c r="AB192" s="127" t="str">
        <f>IF(OR(MasterFees[[#This Row],[Fee Basis]]="Add-on",MasterFees[[#This Row],[Fee Basis]]="Time band",MasterFees[[#This Row],[Fee Basis]]="Other"),MasterFees[[#This Row],[Fee Basis]],"Base")</f>
        <v>Base</v>
      </c>
      <c r="AC192" s="141" t="str">
        <f>IF(MasterFees[[#This Row],[Fixed Fee?]]="Yes",MasterFees[[#This Row],[Fee Excl. GST]],"")</f>
        <v/>
      </c>
    </row>
    <row r="193" spans="1:29" x14ac:dyDescent="0.2">
      <c r="A193" s="67" t="s">
        <v>2159</v>
      </c>
      <c r="B193" s="31">
        <f>IF(MasterFees[[#This Row],[RVG Code]]="","",_xlfn.XLOOKUP(MasterFees[[#This Row],[RVG Code]],RVGCodes[Code],RVGCodes[Base Units],"Code not found"))</f>
        <v>5</v>
      </c>
      <c r="C19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9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93" s="125" t="s">
        <v>2571</v>
      </c>
      <c r="F193" s="48" t="s">
        <v>2569</v>
      </c>
      <c r="G193" s="30" t="s">
        <v>858</v>
      </c>
      <c r="H193" s="37" t="s">
        <v>1095</v>
      </c>
      <c r="I193" s="37"/>
      <c r="J193" s="37" t="s">
        <v>1096</v>
      </c>
      <c r="K193" s="32">
        <v>5.6</v>
      </c>
      <c r="L193" s="32">
        <v>5.0999999999999996</v>
      </c>
      <c r="M193" s="32">
        <v>0</v>
      </c>
      <c r="N193" s="32">
        <v>10.7</v>
      </c>
      <c r="O193" s="33">
        <v>588.5</v>
      </c>
      <c r="P193" s="38" t="s">
        <v>1014</v>
      </c>
      <c r="Q193" s="34" t="str">
        <f>IF(MasterFees[[#This Row],[GST Basis]]="Excl",MasterFees[[#This Row],[Fee as Printed]],IF(MasterFees[[#This Row],[GST Basis]]="Incl",MasterFees[[#This Row],[Fee as Printed]]/(1+GST_Rate),""))</f>
        <v/>
      </c>
      <c r="R193" s="34" t="str">
        <f>IF(MasterFees[[#This Row],[GST Basis]]="Incl",MasterFees[[#This Row],[Fee as Printed]],IF(MasterFees[[#This Row],[GST Basis]]="Excl",MasterFees[[#This Row],[Fee as Printed]]*(1+GST_Rate),""))</f>
        <v/>
      </c>
      <c r="S193" s="35">
        <f>IF(N(MasterFees[[#This Row],[Total Units]])=0,"",MasterFees[[#This Row],[Fee as Printed]]/MasterFees[[#This Row],[Total Units]])</f>
        <v>55.000000000000007</v>
      </c>
      <c r="T193" s="36"/>
      <c r="U193" s="39" t="s">
        <v>1012</v>
      </c>
      <c r="V193" s="39" t="s">
        <v>1961</v>
      </c>
      <c r="W193" s="30"/>
      <c r="X193" s="73" t="s">
        <v>3776</v>
      </c>
      <c r="Y193" s="127" t="str">
        <f>_xlfn.XLOOKUP(MasterFees[[#This Row],[Provider / Payer]],Contracts[Contract Name],Contracts[Contract ID],"No contract")</f>
        <v>CON-01</v>
      </c>
      <c r="Z193" s="127" t="str">
        <f>_xlfn.XLOOKUP(MasterFees[[#This Row],[Provider / Payer]],Contracts[Contract Name],Contracts[Pricing Basis],"To confirm")</f>
        <v>To confirm</v>
      </c>
      <c r="AA193" s="127" t="str">
        <f>IF(MasterFees[[#This Row],[Pricing Basis]]="Fixed fee schedule","Yes","No")</f>
        <v>No</v>
      </c>
      <c r="AB193" s="127" t="str">
        <f>IF(OR(MasterFees[[#This Row],[Fee Basis]]="Add-on",MasterFees[[#This Row],[Fee Basis]]="Time band",MasterFees[[#This Row],[Fee Basis]]="Other"),MasterFees[[#This Row],[Fee Basis]],"Base")</f>
        <v>Base</v>
      </c>
      <c r="AC193" s="141" t="str">
        <f>IF(MasterFees[[#This Row],[Fixed Fee?]]="Yes",MasterFees[[#This Row],[Fee Excl. GST]],"")</f>
        <v/>
      </c>
    </row>
    <row r="194" spans="1:29" x14ac:dyDescent="0.2">
      <c r="A194" s="67" t="s">
        <v>2162</v>
      </c>
      <c r="B194" s="31">
        <f>IF(MasterFees[[#This Row],[RVG Code]]="","",_xlfn.XLOOKUP(MasterFees[[#This Row],[RVG Code]],RVGCodes[Code],RVGCodes[Base Units],"Code not found"))</f>
        <v>6</v>
      </c>
      <c r="C19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9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94" s="125" t="s">
        <v>2592</v>
      </c>
      <c r="F194" s="48" t="s">
        <v>2569</v>
      </c>
      <c r="G194" s="30" t="s">
        <v>859</v>
      </c>
      <c r="H194" s="37" t="s">
        <v>1095</v>
      </c>
      <c r="I194" s="37"/>
      <c r="J194" s="37" t="s">
        <v>1096</v>
      </c>
      <c r="K194" s="32">
        <v>5</v>
      </c>
      <c r="L194" s="32">
        <v>6</v>
      </c>
      <c r="M194" s="32">
        <v>1</v>
      </c>
      <c r="N194" s="32">
        <v>12</v>
      </c>
      <c r="O194" s="33">
        <v>660</v>
      </c>
      <c r="P194" s="38" t="s">
        <v>1014</v>
      </c>
      <c r="Q194" s="34" t="str">
        <f>IF(MasterFees[[#This Row],[GST Basis]]="Excl",MasterFees[[#This Row],[Fee as Printed]],IF(MasterFees[[#This Row],[GST Basis]]="Incl",MasterFees[[#This Row],[Fee as Printed]]/(1+GST_Rate),""))</f>
        <v/>
      </c>
      <c r="R194" s="34" t="str">
        <f>IF(MasterFees[[#This Row],[GST Basis]]="Incl",MasterFees[[#This Row],[Fee as Printed]],IF(MasterFees[[#This Row],[GST Basis]]="Excl",MasterFees[[#This Row],[Fee as Printed]]*(1+GST_Rate),""))</f>
        <v/>
      </c>
      <c r="S194" s="35">
        <f>IF(N(MasterFees[[#This Row],[Total Units]])=0,"",MasterFees[[#This Row],[Fee as Printed]]/MasterFees[[#This Row],[Total Units]])</f>
        <v>55</v>
      </c>
      <c r="T194" s="36"/>
      <c r="U194" s="39" t="s">
        <v>1012</v>
      </c>
      <c r="V194" s="39" t="s">
        <v>1962</v>
      </c>
      <c r="W194" s="30"/>
      <c r="X194" s="73" t="s">
        <v>3777</v>
      </c>
      <c r="Y194" s="127" t="str">
        <f>_xlfn.XLOOKUP(MasterFees[[#This Row],[Provider / Payer]],Contracts[Contract Name],Contracts[Contract ID],"No contract")</f>
        <v>CON-01</v>
      </c>
      <c r="Z194" s="127" t="str">
        <f>_xlfn.XLOOKUP(MasterFees[[#This Row],[Provider / Payer]],Contracts[Contract Name],Contracts[Pricing Basis],"To confirm")</f>
        <v>To confirm</v>
      </c>
      <c r="AA194" s="127" t="str">
        <f>IF(MasterFees[[#This Row],[Pricing Basis]]="Fixed fee schedule","Yes","No")</f>
        <v>No</v>
      </c>
      <c r="AB194" s="127" t="str">
        <f>IF(OR(MasterFees[[#This Row],[Fee Basis]]="Add-on",MasterFees[[#This Row],[Fee Basis]]="Time band",MasterFees[[#This Row],[Fee Basis]]="Other"),MasterFees[[#This Row],[Fee Basis]],"Base")</f>
        <v>Base</v>
      </c>
      <c r="AC194" s="141" t="str">
        <f>IF(MasterFees[[#This Row],[Fixed Fee?]]="Yes",MasterFees[[#This Row],[Fee Excl. GST]],"")</f>
        <v/>
      </c>
    </row>
    <row r="195" spans="1:29" x14ac:dyDescent="0.2">
      <c r="A195" s="67" t="s">
        <v>2159</v>
      </c>
      <c r="B195" s="31">
        <f>IF(MasterFees[[#This Row],[RVG Code]]="","",_xlfn.XLOOKUP(MasterFees[[#This Row],[RVG Code]],RVGCodes[Code],RVGCodes[Base Units],"Code not found"))</f>
        <v>5</v>
      </c>
      <c r="C19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9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95" s="125" t="s">
        <v>2571</v>
      </c>
      <c r="F195" s="48" t="s">
        <v>2569</v>
      </c>
      <c r="G195" s="30" t="s">
        <v>860</v>
      </c>
      <c r="H195" s="37" t="s">
        <v>1095</v>
      </c>
      <c r="I195" s="37"/>
      <c r="J195" s="37" t="s">
        <v>1096</v>
      </c>
      <c r="K195" s="32">
        <v>5.5</v>
      </c>
      <c r="L195" s="32">
        <v>8</v>
      </c>
      <c r="M195" s="32">
        <v>1</v>
      </c>
      <c r="N195" s="32">
        <v>14.5</v>
      </c>
      <c r="O195" s="33">
        <v>797.5</v>
      </c>
      <c r="P195" s="38" t="s">
        <v>1014</v>
      </c>
      <c r="Q195" s="34" t="str">
        <f>IF(MasterFees[[#This Row],[GST Basis]]="Excl",MasterFees[[#This Row],[Fee as Printed]],IF(MasterFees[[#This Row],[GST Basis]]="Incl",MasterFees[[#This Row],[Fee as Printed]]/(1+GST_Rate),""))</f>
        <v/>
      </c>
      <c r="R195" s="34" t="str">
        <f>IF(MasterFees[[#This Row],[GST Basis]]="Incl",MasterFees[[#This Row],[Fee as Printed]],IF(MasterFees[[#This Row],[GST Basis]]="Excl",MasterFees[[#This Row],[Fee as Printed]]*(1+GST_Rate),""))</f>
        <v/>
      </c>
      <c r="S195" s="35">
        <f>IF(N(MasterFees[[#This Row],[Total Units]])=0,"",MasterFees[[#This Row],[Fee as Printed]]/MasterFees[[#This Row],[Total Units]])</f>
        <v>55</v>
      </c>
      <c r="T195" s="36"/>
      <c r="U195" s="39" t="s">
        <v>1012</v>
      </c>
      <c r="V195" s="39" t="s">
        <v>1963</v>
      </c>
      <c r="W195" s="30"/>
      <c r="X195" s="73" t="s">
        <v>3778</v>
      </c>
      <c r="Y195" s="127" t="str">
        <f>_xlfn.XLOOKUP(MasterFees[[#This Row],[Provider / Payer]],Contracts[Contract Name],Contracts[Contract ID],"No contract")</f>
        <v>CON-01</v>
      </c>
      <c r="Z195" s="127" t="str">
        <f>_xlfn.XLOOKUP(MasterFees[[#This Row],[Provider / Payer]],Contracts[Contract Name],Contracts[Pricing Basis],"To confirm")</f>
        <v>To confirm</v>
      </c>
      <c r="AA195" s="127" t="str">
        <f>IF(MasterFees[[#This Row],[Pricing Basis]]="Fixed fee schedule","Yes","No")</f>
        <v>No</v>
      </c>
      <c r="AB195" s="127" t="str">
        <f>IF(OR(MasterFees[[#This Row],[Fee Basis]]="Add-on",MasterFees[[#This Row],[Fee Basis]]="Time band",MasterFees[[#This Row],[Fee Basis]]="Other"),MasterFees[[#This Row],[Fee Basis]],"Base")</f>
        <v>Base</v>
      </c>
      <c r="AC195" s="141" t="str">
        <f>IF(MasterFees[[#This Row],[Fixed Fee?]]="Yes",MasterFees[[#This Row],[Fee Excl. GST]],"")</f>
        <v/>
      </c>
    </row>
    <row r="196" spans="1:29" x14ac:dyDescent="0.2">
      <c r="A196" s="67" t="s">
        <v>2162</v>
      </c>
      <c r="B196" s="31">
        <f>IF(MasterFees[[#This Row],[RVG Code]]="","",_xlfn.XLOOKUP(MasterFees[[#This Row],[RVG Code]],RVGCodes[Code],RVGCodes[Base Units],"Code not found"))</f>
        <v>6</v>
      </c>
      <c r="C19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9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96" s="125" t="s">
        <v>2592</v>
      </c>
      <c r="F196" s="48" t="s">
        <v>2569</v>
      </c>
      <c r="G196" s="30" t="s">
        <v>861</v>
      </c>
      <c r="H196" s="37" t="s">
        <v>1095</v>
      </c>
      <c r="I196" s="37"/>
      <c r="J196" s="37" t="s">
        <v>1096</v>
      </c>
      <c r="K196" s="32">
        <v>5.8</v>
      </c>
      <c r="L196" s="32">
        <v>7.7</v>
      </c>
      <c r="M196" s="32">
        <v>0.2</v>
      </c>
      <c r="N196" s="32">
        <v>13.7</v>
      </c>
      <c r="O196" s="33">
        <v>754.6</v>
      </c>
      <c r="P196" s="38" t="s">
        <v>1014</v>
      </c>
      <c r="Q196" s="34" t="str">
        <f>IF(MasterFees[[#This Row],[GST Basis]]="Excl",MasterFees[[#This Row],[Fee as Printed]],IF(MasterFees[[#This Row],[GST Basis]]="Incl",MasterFees[[#This Row],[Fee as Printed]]/(1+GST_Rate),""))</f>
        <v/>
      </c>
      <c r="R196" s="34" t="str">
        <f>IF(MasterFees[[#This Row],[GST Basis]]="Incl",MasterFees[[#This Row],[Fee as Printed]],IF(MasterFees[[#This Row],[GST Basis]]="Excl",MasterFees[[#This Row],[Fee as Printed]]*(1+GST_Rate),""))</f>
        <v/>
      </c>
      <c r="S196" s="35">
        <f>IF(N(MasterFees[[#This Row],[Total Units]])=0,"",MasterFees[[#This Row],[Fee as Printed]]/MasterFees[[#This Row],[Total Units]])</f>
        <v>55.080291970802925</v>
      </c>
      <c r="T196" s="36"/>
      <c r="U196" s="39" t="s">
        <v>1012</v>
      </c>
      <c r="V196" s="39" t="s">
        <v>1964</v>
      </c>
      <c r="W196" s="30"/>
      <c r="X196" s="73" t="s">
        <v>3779</v>
      </c>
      <c r="Y196" s="127" t="str">
        <f>_xlfn.XLOOKUP(MasterFees[[#This Row],[Provider / Payer]],Contracts[Contract Name],Contracts[Contract ID],"No contract")</f>
        <v>CON-01</v>
      </c>
      <c r="Z196" s="127" t="str">
        <f>_xlfn.XLOOKUP(MasterFees[[#This Row],[Provider / Payer]],Contracts[Contract Name],Contracts[Pricing Basis],"To confirm")</f>
        <v>To confirm</v>
      </c>
      <c r="AA196" s="127" t="str">
        <f>IF(MasterFees[[#This Row],[Pricing Basis]]="Fixed fee schedule","Yes","No")</f>
        <v>No</v>
      </c>
      <c r="AB196" s="127" t="str">
        <f>IF(OR(MasterFees[[#This Row],[Fee Basis]]="Add-on",MasterFees[[#This Row],[Fee Basis]]="Time band",MasterFees[[#This Row],[Fee Basis]]="Other"),MasterFees[[#This Row],[Fee Basis]],"Base")</f>
        <v>Base</v>
      </c>
      <c r="AC196" s="141" t="str">
        <f>IF(MasterFees[[#This Row],[Fixed Fee?]]="Yes",MasterFees[[#This Row],[Fee Excl. GST]],"")</f>
        <v/>
      </c>
    </row>
    <row r="197" spans="1:29" x14ac:dyDescent="0.2">
      <c r="A197" s="67" t="s">
        <v>2159</v>
      </c>
      <c r="B197" s="31">
        <f>IF(MasterFees[[#This Row],[RVG Code]]="","",_xlfn.XLOOKUP(MasterFees[[#This Row],[RVG Code]],RVGCodes[Code],RVGCodes[Base Units],"Code not found"))</f>
        <v>5</v>
      </c>
      <c r="C19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9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97" s="125" t="s">
        <v>2571</v>
      </c>
      <c r="F197" s="48" t="s">
        <v>2629</v>
      </c>
      <c r="G197" s="30" t="s">
        <v>2160</v>
      </c>
      <c r="H197" s="37" t="s">
        <v>2630</v>
      </c>
      <c r="I197" s="37" t="s">
        <v>2159</v>
      </c>
      <c r="J197" s="37" t="s">
        <v>1096</v>
      </c>
      <c r="K197" s="32">
        <v>5</v>
      </c>
      <c r="L197" s="32"/>
      <c r="M197" s="32"/>
      <c r="N197" s="32">
        <v>5</v>
      </c>
      <c r="O197" s="33"/>
      <c r="P197" s="38"/>
      <c r="Q197" s="34" t="str">
        <f>IF(MasterFees[[#This Row],[GST Basis]]="Excl",MasterFees[[#This Row],[Fee as Printed]],IF(MasterFees[[#This Row],[GST Basis]]="Incl",MasterFees[[#This Row],[Fee as Printed]]/(1+GST_Rate),""))</f>
        <v/>
      </c>
      <c r="R197" s="34" t="str">
        <f>IF(MasterFees[[#This Row],[GST Basis]]="Incl",MasterFees[[#This Row],[Fee as Printed]],IF(MasterFees[[#This Row],[GST Basis]]="Excl",MasterFees[[#This Row],[Fee as Printed]]*(1+GST_Rate),""))</f>
        <v/>
      </c>
      <c r="S197" s="35">
        <f>IF(N(MasterFees[[#This Row],[Total Units]])=0,"",MasterFees[[#This Row],[Fee as Printed]]/MasterFees[[#This Row],[Total Units]])</f>
        <v>0</v>
      </c>
      <c r="T197" s="36"/>
      <c r="U197" s="39" t="s">
        <v>1016</v>
      </c>
      <c r="V197" s="39" t="s">
        <v>2636</v>
      </c>
      <c r="W197" s="30" t="s">
        <v>2632</v>
      </c>
      <c r="X197" s="73" t="s">
        <v>3900</v>
      </c>
      <c r="Y197" s="127" t="str">
        <f>_xlfn.XLOOKUP(MasterFees[[#This Row],[Provider / Payer]],Contracts[Contract Name],Contracts[Contract ID],"No contract")</f>
        <v>CON-10</v>
      </c>
      <c r="Z197" s="127" t="str">
        <f>_xlfn.XLOOKUP(MasterFees[[#This Row],[Provider / Payer]],Contracts[Contract Name],Contracts[Pricing Basis],"To confirm")</f>
        <v>Reference – units only</v>
      </c>
      <c r="AA197" s="127" t="str">
        <f>IF(MasterFees[[#This Row],[Pricing Basis]]="Fixed fee schedule","Yes","No")</f>
        <v>No</v>
      </c>
      <c r="AB197" s="127" t="str">
        <f>IF(OR(MasterFees[[#This Row],[Fee Basis]]="Add-on",MasterFees[[#This Row],[Fee Basis]]="Time band",MasterFees[[#This Row],[Fee Basis]]="Other"),MasterFees[[#This Row],[Fee Basis]],"Base")</f>
        <v>Base</v>
      </c>
      <c r="AC197" s="141" t="str">
        <f>IF(MasterFees[[#This Row],[Fixed Fee?]]="Yes",MasterFees[[#This Row],[Fee Excl. GST]],"")</f>
        <v/>
      </c>
    </row>
    <row r="198" spans="1:29" x14ac:dyDescent="0.2">
      <c r="A198" s="67" t="s">
        <v>2162</v>
      </c>
      <c r="B198" s="31">
        <f>IF(MasterFees[[#This Row],[RVG Code]]="","",_xlfn.XLOOKUP(MasterFees[[#This Row],[RVG Code]],RVGCodes[Code],RVGCodes[Base Units],"Code not found"))</f>
        <v>6</v>
      </c>
      <c r="C19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9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98" s="125" t="s">
        <v>2592</v>
      </c>
      <c r="F198" s="48" t="s">
        <v>2569</v>
      </c>
      <c r="G198" s="30" t="s">
        <v>879</v>
      </c>
      <c r="H198" s="37" t="s">
        <v>1095</v>
      </c>
      <c r="I198" s="37"/>
      <c r="J198" s="37" t="s">
        <v>1096</v>
      </c>
      <c r="K198" s="32">
        <v>6</v>
      </c>
      <c r="L198" s="32">
        <v>3</v>
      </c>
      <c r="M198" s="32">
        <v>2</v>
      </c>
      <c r="N198" s="32">
        <v>11</v>
      </c>
      <c r="O198" s="33">
        <v>605</v>
      </c>
      <c r="P198" s="38" t="s">
        <v>1014</v>
      </c>
      <c r="Q198" s="34" t="str">
        <f>IF(MasterFees[[#This Row],[GST Basis]]="Excl",MasterFees[[#This Row],[Fee as Printed]],IF(MasterFees[[#This Row],[GST Basis]]="Incl",MasterFees[[#This Row],[Fee as Printed]]/(1+GST_Rate),""))</f>
        <v/>
      </c>
      <c r="R198" s="34" t="str">
        <f>IF(MasterFees[[#This Row],[GST Basis]]="Incl",MasterFees[[#This Row],[Fee as Printed]],IF(MasterFees[[#This Row],[GST Basis]]="Excl",MasterFees[[#This Row],[Fee as Printed]]*(1+GST_Rate),""))</f>
        <v/>
      </c>
      <c r="S198" s="35">
        <f>IF(N(MasterFees[[#This Row],[Total Units]])=0,"",MasterFees[[#This Row],[Fee as Printed]]/MasterFees[[#This Row],[Total Units]])</f>
        <v>55</v>
      </c>
      <c r="T198" s="36"/>
      <c r="U198" s="39" t="s">
        <v>1012</v>
      </c>
      <c r="V198" s="39" t="s">
        <v>1982</v>
      </c>
      <c r="W198" s="30"/>
      <c r="X198" s="73" t="s">
        <v>3801</v>
      </c>
      <c r="Y198" s="127" t="str">
        <f>_xlfn.XLOOKUP(MasterFees[[#This Row],[Provider / Payer]],Contracts[Contract Name],Contracts[Contract ID],"No contract")</f>
        <v>CON-01</v>
      </c>
      <c r="Z198" s="127" t="str">
        <f>_xlfn.XLOOKUP(MasterFees[[#This Row],[Provider / Payer]],Contracts[Contract Name],Contracts[Pricing Basis],"To confirm")</f>
        <v>To confirm</v>
      </c>
      <c r="AA198" s="127" t="str">
        <f>IF(MasterFees[[#This Row],[Pricing Basis]]="Fixed fee schedule","Yes","No")</f>
        <v>No</v>
      </c>
      <c r="AB198" s="127" t="str">
        <f>IF(OR(MasterFees[[#This Row],[Fee Basis]]="Add-on",MasterFees[[#This Row],[Fee Basis]]="Time band",MasterFees[[#This Row],[Fee Basis]]="Other"),MasterFees[[#This Row],[Fee Basis]],"Base")</f>
        <v>Base</v>
      </c>
      <c r="AC198" s="141" t="str">
        <f>IF(MasterFees[[#This Row],[Fixed Fee?]]="Yes",MasterFees[[#This Row],[Fee Excl. GST]],"")</f>
        <v/>
      </c>
    </row>
    <row r="199" spans="1:29" x14ac:dyDescent="0.2">
      <c r="A199" s="67" t="s">
        <v>2159</v>
      </c>
      <c r="B199" s="31">
        <f>IF(MasterFees[[#This Row],[RVG Code]]="","",_xlfn.XLOOKUP(MasterFees[[#This Row],[RVG Code]],RVGCodes[Code],RVGCodes[Base Units],"Code not found"))</f>
        <v>5</v>
      </c>
      <c r="C19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19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99" s="125" t="s">
        <v>2571</v>
      </c>
      <c r="F199" s="48" t="s">
        <v>2569</v>
      </c>
      <c r="G199" s="30" t="s">
        <v>883</v>
      </c>
      <c r="H199" s="37" t="s">
        <v>1095</v>
      </c>
      <c r="I199" s="37"/>
      <c r="J199" s="37" t="s">
        <v>1096</v>
      </c>
      <c r="K199" s="32">
        <v>5</v>
      </c>
      <c r="L199" s="32">
        <v>5</v>
      </c>
      <c r="M199" s="32">
        <v>0</v>
      </c>
      <c r="N199" s="32">
        <v>10</v>
      </c>
      <c r="O199" s="33">
        <v>550</v>
      </c>
      <c r="P199" s="38" t="s">
        <v>1014</v>
      </c>
      <c r="Q199" s="34" t="str">
        <f>IF(MasterFees[[#This Row],[GST Basis]]="Excl",MasterFees[[#This Row],[Fee as Printed]],IF(MasterFees[[#This Row],[GST Basis]]="Incl",MasterFees[[#This Row],[Fee as Printed]]/(1+GST_Rate),""))</f>
        <v/>
      </c>
      <c r="R199" s="34" t="str">
        <f>IF(MasterFees[[#This Row],[GST Basis]]="Incl",MasterFees[[#This Row],[Fee as Printed]],IF(MasterFees[[#This Row],[GST Basis]]="Excl",MasterFees[[#This Row],[Fee as Printed]]*(1+GST_Rate),""))</f>
        <v/>
      </c>
      <c r="S199" s="35">
        <f>IF(N(MasterFees[[#This Row],[Total Units]])=0,"",MasterFees[[#This Row],[Fee as Printed]]/MasterFees[[#This Row],[Total Units]])</f>
        <v>55</v>
      </c>
      <c r="T199" s="36"/>
      <c r="U199" s="39" t="s">
        <v>1012</v>
      </c>
      <c r="V199" s="39" t="s">
        <v>1986</v>
      </c>
      <c r="W199" s="30"/>
      <c r="X199" s="73" t="s">
        <v>3806</v>
      </c>
      <c r="Y199" s="127" t="str">
        <f>_xlfn.XLOOKUP(MasterFees[[#This Row],[Provider / Payer]],Contracts[Contract Name],Contracts[Contract ID],"No contract")</f>
        <v>CON-01</v>
      </c>
      <c r="Z199" s="127" t="str">
        <f>_xlfn.XLOOKUP(MasterFees[[#This Row],[Provider / Payer]],Contracts[Contract Name],Contracts[Pricing Basis],"To confirm")</f>
        <v>To confirm</v>
      </c>
      <c r="AA199" s="127" t="str">
        <f>IF(MasterFees[[#This Row],[Pricing Basis]]="Fixed fee schedule","Yes","No")</f>
        <v>No</v>
      </c>
      <c r="AB199" s="127" t="str">
        <f>IF(OR(MasterFees[[#This Row],[Fee Basis]]="Add-on",MasterFees[[#This Row],[Fee Basis]]="Time band",MasterFees[[#This Row],[Fee Basis]]="Other"),MasterFees[[#This Row],[Fee Basis]],"Base")</f>
        <v>Base</v>
      </c>
      <c r="AC199" s="141" t="str">
        <f>IF(MasterFees[[#This Row],[Fixed Fee?]]="Yes",MasterFees[[#This Row],[Fee Excl. GST]],"")</f>
        <v/>
      </c>
    </row>
    <row r="200" spans="1:29" x14ac:dyDescent="0.2">
      <c r="A200" s="67" t="s">
        <v>2162</v>
      </c>
      <c r="B200" s="31">
        <f>IF(MasterFees[[#This Row],[RVG Code]]="","",_xlfn.XLOOKUP(MasterFees[[#This Row],[RVG Code]],RVGCodes[Code],RVGCodes[Base Units],"Code not found"))</f>
        <v>6</v>
      </c>
      <c r="C20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0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200" s="125" t="s">
        <v>2592</v>
      </c>
      <c r="F200" s="48" t="s">
        <v>2567</v>
      </c>
      <c r="G200" s="30" t="s">
        <v>896</v>
      </c>
      <c r="H200" s="37" t="s">
        <v>1095</v>
      </c>
      <c r="I200" s="37"/>
      <c r="J200" s="37" t="s">
        <v>1096</v>
      </c>
      <c r="K200" s="32">
        <v>6.2</v>
      </c>
      <c r="L200" s="32">
        <v>5.6</v>
      </c>
      <c r="M200" s="32">
        <v>0.7</v>
      </c>
      <c r="N200" s="32">
        <v>12.5</v>
      </c>
      <c r="O200" s="33">
        <v>686.4</v>
      </c>
      <c r="P200" s="38" t="s">
        <v>1014</v>
      </c>
      <c r="Q200" s="34" t="str">
        <f>IF(MasterFees[[#This Row],[GST Basis]]="Excl",MasterFees[[#This Row],[Fee as Printed]],IF(MasterFees[[#This Row],[GST Basis]]="Incl",MasterFees[[#This Row],[Fee as Printed]]/(1+GST_Rate),""))</f>
        <v/>
      </c>
      <c r="R200" s="34" t="str">
        <f>IF(MasterFees[[#This Row],[GST Basis]]="Incl",MasterFees[[#This Row],[Fee as Printed]],IF(MasterFees[[#This Row],[GST Basis]]="Excl",MasterFees[[#This Row],[Fee as Printed]]*(1+GST_Rate),""))</f>
        <v/>
      </c>
      <c r="S200" s="35">
        <f>IF(N(MasterFees[[#This Row],[Total Units]])=0,"",MasterFees[[#This Row],[Fee as Printed]]/MasterFees[[#This Row],[Total Units]])</f>
        <v>54.911999999999999</v>
      </c>
      <c r="T200" s="36"/>
      <c r="U200" s="39" t="s">
        <v>1012</v>
      </c>
      <c r="V200" s="39" t="s">
        <v>1999</v>
      </c>
      <c r="W200" s="30"/>
      <c r="X200" s="73" t="s">
        <v>3822</v>
      </c>
      <c r="Y200" s="127" t="str">
        <f>_xlfn.XLOOKUP(MasterFees[[#This Row],[Provider / Payer]],Contracts[Contract Name],Contracts[Contract ID],"No contract")</f>
        <v>CON-01</v>
      </c>
      <c r="Z200" s="127" t="str">
        <f>_xlfn.XLOOKUP(MasterFees[[#This Row],[Provider / Payer]],Contracts[Contract Name],Contracts[Pricing Basis],"To confirm")</f>
        <v>To confirm</v>
      </c>
      <c r="AA200" s="127" t="str">
        <f>IF(MasterFees[[#This Row],[Pricing Basis]]="Fixed fee schedule","Yes","No")</f>
        <v>No</v>
      </c>
      <c r="AB200" s="127" t="str">
        <f>IF(OR(MasterFees[[#This Row],[Fee Basis]]="Add-on",MasterFees[[#This Row],[Fee Basis]]="Time band",MasterFees[[#This Row],[Fee Basis]]="Other"),MasterFees[[#This Row],[Fee Basis]],"Base")</f>
        <v>Base</v>
      </c>
      <c r="AC200" s="141" t="str">
        <f>IF(MasterFees[[#This Row],[Fixed Fee?]]="Yes",MasterFees[[#This Row],[Fee Excl. GST]],"")</f>
        <v/>
      </c>
    </row>
    <row r="201" spans="1:29" x14ac:dyDescent="0.2">
      <c r="A201" s="67" t="s">
        <v>2157</v>
      </c>
      <c r="B201" s="31">
        <f>IF(MasterFees[[#This Row],[RVG Code]]="","",_xlfn.XLOOKUP(MasterFees[[#This Row],[RVG Code]],RVGCodes[Code],RVGCodes[Base Units],"Code not found"))</f>
        <v>4</v>
      </c>
      <c r="C20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0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201" s="125" t="s">
        <v>2572</v>
      </c>
      <c r="F201" s="48" t="s">
        <v>2567</v>
      </c>
      <c r="G201" s="30" t="s">
        <v>4562</v>
      </c>
      <c r="H201" s="37" t="s">
        <v>4622</v>
      </c>
      <c r="I201" s="37" t="s">
        <v>4561</v>
      </c>
      <c r="J201" s="37" t="s">
        <v>1024</v>
      </c>
      <c r="K201" s="32"/>
      <c r="L201" s="32"/>
      <c r="M201" s="32"/>
      <c r="N201" s="32"/>
      <c r="O201" s="33">
        <v>750</v>
      </c>
      <c r="P201" s="38" t="s">
        <v>4398</v>
      </c>
      <c r="Q201" s="34">
        <f>IF(MasterFees[[#This Row],[GST Basis]]="Excl",MasterFees[[#This Row],[Fee as Printed]],IF(MasterFees[[#This Row],[GST Basis]]="Incl",MasterFees[[#This Row],[Fee as Printed]]/(1+GST_Rate),""))</f>
        <v>750</v>
      </c>
      <c r="R201" s="34">
        <f>IF(MasterFees[[#This Row],[GST Basis]]="Incl",MasterFees[[#This Row],[Fee as Printed]],IF(MasterFees[[#This Row],[GST Basis]]="Excl",MasterFees[[#This Row],[Fee as Printed]]*(1+GST_Rate),""))</f>
        <v>862.49999999999989</v>
      </c>
      <c r="S201" s="35" t="str">
        <f>IF(N(MasterFees[[#This Row],[Total Units]])=0,"",MasterFees[[#This Row],[Fee as Printed]]/MasterFees[[#This Row],[Total Units]])</f>
        <v/>
      </c>
      <c r="T201" s="36"/>
      <c r="U201" s="39" t="s">
        <v>4587</v>
      </c>
      <c r="V201" s="39" t="s">
        <v>4802</v>
      </c>
      <c r="W201" s="30" t="s">
        <v>4791</v>
      </c>
      <c r="X201" s="77" t="s">
        <v>4811</v>
      </c>
      <c r="Y201" s="127" t="str">
        <f>_xlfn.XLOOKUP(MasterFees[[#This Row],[Provider / Payer]],Contracts[Contract Name],Contracts[Contract ID],"No contract")</f>
        <v>CON-05</v>
      </c>
      <c r="Z201" s="127" t="str">
        <f>_xlfn.XLOOKUP(MasterFees[[#This Row],[Provider / Payer]],Contracts[Contract Name],Contracts[Pricing Basis],"To confirm")</f>
        <v>Fixed fee schedule</v>
      </c>
      <c r="AA201" s="127" t="str">
        <f>IF(MasterFees[[#This Row],[Pricing Basis]]="Fixed fee schedule","Yes","No")</f>
        <v>Yes</v>
      </c>
      <c r="AB201" s="127" t="str">
        <f>IF(OR(MasterFees[[#This Row],[Fee Basis]]="Add-on",MasterFees[[#This Row],[Fee Basis]]="Time band",MasterFees[[#This Row],[Fee Basis]]="Other"),MasterFees[[#This Row],[Fee Basis]],"Base")</f>
        <v>Base</v>
      </c>
      <c r="AC201" s="141">
        <f>IF(MasterFees[[#This Row],[Fixed Fee?]]="Yes",MasterFees[[#This Row],[Fee Excl. GST]],"")</f>
        <v>750</v>
      </c>
    </row>
    <row r="202" spans="1:29" x14ac:dyDescent="0.2">
      <c r="A202" s="67" t="s">
        <v>2157</v>
      </c>
      <c r="B202" s="31">
        <f>IF(MasterFees[[#This Row],[RVG Code]]="","",_xlfn.XLOOKUP(MasterFees[[#This Row],[RVG Code]],RVGCodes[Code],RVGCodes[Base Units],"Code not found"))</f>
        <v>4</v>
      </c>
      <c r="C20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0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202" s="125" t="s">
        <v>2572</v>
      </c>
      <c r="F202" s="48" t="s">
        <v>2567</v>
      </c>
      <c r="G202" s="30" t="s">
        <v>4562</v>
      </c>
      <c r="H202" s="37" t="s">
        <v>4625</v>
      </c>
      <c r="I202" s="37" t="s">
        <v>4561</v>
      </c>
      <c r="J202" s="37" t="s">
        <v>1024</v>
      </c>
      <c r="K202" s="32"/>
      <c r="L202" s="32"/>
      <c r="M202" s="32"/>
      <c r="N202" s="32"/>
      <c r="O202" s="33">
        <v>800</v>
      </c>
      <c r="P202" s="38" t="s">
        <v>4398</v>
      </c>
      <c r="Q202" s="34">
        <f>IF(MasterFees[[#This Row],[GST Basis]]="Excl",MasterFees[[#This Row],[Fee as Printed]],IF(MasterFees[[#This Row],[GST Basis]]="Incl",MasterFees[[#This Row],[Fee as Printed]]/(1+GST_Rate),""))</f>
        <v>800</v>
      </c>
      <c r="R202" s="34">
        <f>IF(MasterFees[[#This Row],[GST Basis]]="Incl",MasterFees[[#This Row],[Fee as Printed]],IF(MasterFees[[#This Row],[GST Basis]]="Excl",MasterFees[[#This Row],[Fee as Printed]]*(1+GST_Rate),""))</f>
        <v>919.99999999999989</v>
      </c>
      <c r="S202" s="35" t="str">
        <f>IF(N(MasterFees[[#This Row],[Total Units]])=0,"",MasterFees[[#This Row],[Fee as Printed]]/MasterFees[[#This Row],[Total Units]])</f>
        <v/>
      </c>
      <c r="T202" s="36"/>
      <c r="U202" s="39" t="s">
        <v>4587</v>
      </c>
      <c r="V202" s="39" t="s">
        <v>4803</v>
      </c>
      <c r="W202" s="30" t="s">
        <v>4793</v>
      </c>
      <c r="X202" s="77" t="s">
        <v>4811</v>
      </c>
      <c r="Y202" s="127" t="str">
        <f>_xlfn.XLOOKUP(MasterFees[[#This Row],[Provider / Payer]],Contracts[Contract Name],Contracts[Contract ID],"No contract")</f>
        <v>CON-06</v>
      </c>
      <c r="Z202" s="127" t="str">
        <f>_xlfn.XLOOKUP(MasterFees[[#This Row],[Provider / Payer]],Contracts[Contract Name],Contracts[Pricing Basis],"To confirm")</f>
        <v>Fixed fee schedule</v>
      </c>
      <c r="AA202" s="127" t="str">
        <f>IF(MasterFees[[#This Row],[Pricing Basis]]="Fixed fee schedule","Yes","No")</f>
        <v>Yes</v>
      </c>
      <c r="AB202" s="127" t="str">
        <f>IF(OR(MasterFees[[#This Row],[Fee Basis]]="Add-on",MasterFees[[#This Row],[Fee Basis]]="Time band",MasterFees[[#This Row],[Fee Basis]]="Other"),MasterFees[[#This Row],[Fee Basis]],"Base")</f>
        <v>Base</v>
      </c>
      <c r="AC202" s="141">
        <f>IF(MasterFees[[#This Row],[Fixed Fee?]]="Yes",MasterFees[[#This Row],[Fee Excl. GST]],"")</f>
        <v>800</v>
      </c>
    </row>
    <row r="203" spans="1:29" x14ac:dyDescent="0.2">
      <c r="A203" s="67" t="s">
        <v>2157</v>
      </c>
      <c r="B203" s="31">
        <f>IF(MasterFees[[#This Row],[RVG Code]]="","",_xlfn.XLOOKUP(MasterFees[[#This Row],[RVG Code]],RVGCodes[Code],RVGCodes[Base Units],"Code not found"))</f>
        <v>4</v>
      </c>
      <c r="C20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0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203" s="125" t="s">
        <v>2572</v>
      </c>
      <c r="F203" s="48" t="s">
        <v>2567</v>
      </c>
      <c r="G203" s="30" t="s">
        <v>917</v>
      </c>
      <c r="H203" s="37" t="s">
        <v>1095</v>
      </c>
      <c r="I203" s="37"/>
      <c r="J203" s="37" t="s">
        <v>1096</v>
      </c>
      <c r="K203" s="32">
        <v>4.4000000000000004</v>
      </c>
      <c r="L203" s="32">
        <v>2.2999999999999998</v>
      </c>
      <c r="M203" s="32">
        <v>0.3</v>
      </c>
      <c r="N203" s="32">
        <v>6.9</v>
      </c>
      <c r="O203" s="33">
        <v>381.15</v>
      </c>
      <c r="P203" s="38" t="s">
        <v>1014</v>
      </c>
      <c r="Q203" s="34" t="str">
        <f>IF(MasterFees[[#This Row],[GST Basis]]="Excl",MasterFees[[#This Row],[Fee as Printed]],IF(MasterFees[[#This Row],[GST Basis]]="Incl",MasterFees[[#This Row],[Fee as Printed]]/(1+GST_Rate),""))</f>
        <v/>
      </c>
      <c r="R203" s="34" t="str">
        <f>IF(MasterFees[[#This Row],[GST Basis]]="Incl",MasterFees[[#This Row],[Fee as Printed]],IF(MasterFees[[#This Row],[GST Basis]]="Excl",MasterFees[[#This Row],[Fee as Printed]]*(1+GST_Rate),""))</f>
        <v/>
      </c>
      <c r="S203" s="35">
        <f>IF(N(MasterFees[[#This Row],[Total Units]])=0,"",MasterFees[[#This Row],[Fee as Printed]]/MasterFees[[#This Row],[Total Units]])</f>
        <v>55.239130434782602</v>
      </c>
      <c r="T203" s="36"/>
      <c r="U203" s="39" t="s">
        <v>1012</v>
      </c>
      <c r="V203" s="39" t="s">
        <v>2020</v>
      </c>
      <c r="W203" s="30"/>
      <c r="X203" s="73" t="s">
        <v>3849</v>
      </c>
      <c r="Y203" s="127" t="str">
        <f>_xlfn.XLOOKUP(MasterFees[[#This Row],[Provider / Payer]],Contracts[Contract Name],Contracts[Contract ID],"No contract")</f>
        <v>CON-01</v>
      </c>
      <c r="Z203" s="127" t="str">
        <f>_xlfn.XLOOKUP(MasterFees[[#This Row],[Provider / Payer]],Contracts[Contract Name],Contracts[Pricing Basis],"To confirm")</f>
        <v>To confirm</v>
      </c>
      <c r="AA203" s="127" t="str">
        <f>IF(MasterFees[[#This Row],[Pricing Basis]]="Fixed fee schedule","Yes","No")</f>
        <v>No</v>
      </c>
      <c r="AB203" s="127" t="str">
        <f>IF(OR(MasterFees[[#This Row],[Fee Basis]]="Add-on",MasterFees[[#This Row],[Fee Basis]]="Time band",MasterFees[[#This Row],[Fee Basis]]="Other"),MasterFees[[#This Row],[Fee Basis]],"Base")</f>
        <v>Base</v>
      </c>
      <c r="AC203" s="141" t="str">
        <f>IF(MasterFees[[#This Row],[Fixed Fee?]]="Yes",MasterFees[[#This Row],[Fee Excl. GST]],"")</f>
        <v/>
      </c>
    </row>
    <row r="204" spans="1:29" x14ac:dyDescent="0.2">
      <c r="A204" s="67" t="s">
        <v>2159</v>
      </c>
      <c r="B204" s="31">
        <f>IF(MasterFees[[#This Row],[RVG Code]]="","",_xlfn.XLOOKUP(MasterFees[[#This Row],[RVG Code]],RVGCodes[Code],RVGCodes[Base Units],"Code not found"))</f>
        <v>5</v>
      </c>
      <c r="C20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0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204" s="125" t="s">
        <v>2571</v>
      </c>
      <c r="F204" s="48" t="s">
        <v>2569</v>
      </c>
      <c r="G204" s="30" t="s">
        <v>918</v>
      </c>
      <c r="H204" s="37" t="s">
        <v>1095</v>
      </c>
      <c r="I204" s="37"/>
      <c r="J204" s="37" t="s">
        <v>1096</v>
      </c>
      <c r="K204" s="32">
        <v>4.9000000000000004</v>
      </c>
      <c r="L204" s="32">
        <v>3.1</v>
      </c>
      <c r="M204" s="32">
        <v>0.2</v>
      </c>
      <c r="N204" s="32">
        <v>8.1999999999999993</v>
      </c>
      <c r="O204" s="33">
        <v>450.45</v>
      </c>
      <c r="P204" s="38" t="s">
        <v>1014</v>
      </c>
      <c r="Q204" s="34" t="str">
        <f>IF(MasterFees[[#This Row],[GST Basis]]="Excl",MasterFees[[#This Row],[Fee as Printed]],IF(MasterFees[[#This Row],[GST Basis]]="Incl",MasterFees[[#This Row],[Fee as Printed]]/(1+GST_Rate),""))</f>
        <v/>
      </c>
      <c r="R204" s="34" t="str">
        <f>IF(MasterFees[[#This Row],[GST Basis]]="Incl",MasterFees[[#This Row],[Fee as Printed]],IF(MasterFees[[#This Row],[GST Basis]]="Excl",MasterFees[[#This Row],[Fee as Printed]]*(1+GST_Rate),""))</f>
        <v/>
      </c>
      <c r="S204" s="35">
        <f>IF(N(MasterFees[[#This Row],[Total Units]])=0,"",MasterFees[[#This Row],[Fee as Printed]]/MasterFees[[#This Row],[Total Units]])</f>
        <v>54.932926829268297</v>
      </c>
      <c r="T204" s="36"/>
      <c r="U204" s="39" t="s">
        <v>1012</v>
      </c>
      <c r="V204" s="39" t="s">
        <v>2021</v>
      </c>
      <c r="W204" s="30"/>
      <c r="X204" s="73" t="s">
        <v>3850</v>
      </c>
      <c r="Y204" s="127" t="str">
        <f>_xlfn.XLOOKUP(MasterFees[[#This Row],[Provider / Payer]],Contracts[Contract Name],Contracts[Contract ID],"No contract")</f>
        <v>CON-01</v>
      </c>
      <c r="Z204" s="127" t="str">
        <f>_xlfn.XLOOKUP(MasterFees[[#This Row],[Provider / Payer]],Contracts[Contract Name],Contracts[Pricing Basis],"To confirm")</f>
        <v>To confirm</v>
      </c>
      <c r="AA204" s="127" t="str">
        <f>IF(MasterFees[[#This Row],[Pricing Basis]]="Fixed fee schedule","Yes","No")</f>
        <v>No</v>
      </c>
      <c r="AB204" s="127" t="str">
        <f>IF(OR(MasterFees[[#This Row],[Fee Basis]]="Add-on",MasterFees[[#This Row],[Fee Basis]]="Time band",MasterFees[[#This Row],[Fee Basis]]="Other"),MasterFees[[#This Row],[Fee Basis]],"Base")</f>
        <v>Base</v>
      </c>
      <c r="AC204" s="141" t="str">
        <f>IF(MasterFees[[#This Row],[Fixed Fee?]]="Yes",MasterFees[[#This Row],[Fee Excl. GST]],"")</f>
        <v/>
      </c>
    </row>
    <row r="205" spans="1:29" x14ac:dyDescent="0.2">
      <c r="A205" s="67" t="s">
        <v>2159</v>
      </c>
      <c r="B205" s="31">
        <f>IF(MasterFees[[#This Row],[RVG Code]]="","",_xlfn.XLOOKUP(MasterFees[[#This Row],[RVG Code]],RVGCodes[Code],RVGCodes[Base Units],"Code not found"))</f>
        <v>5</v>
      </c>
      <c r="C20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0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205" s="125" t="s">
        <v>2571</v>
      </c>
      <c r="F205" s="48" t="s">
        <v>2569</v>
      </c>
      <c r="G205" s="30" t="s">
        <v>919</v>
      </c>
      <c r="H205" s="37" t="s">
        <v>1095</v>
      </c>
      <c r="I205" s="37"/>
      <c r="J205" s="37" t="s">
        <v>1096</v>
      </c>
      <c r="K205" s="32">
        <v>4.9000000000000004</v>
      </c>
      <c r="L205" s="32">
        <v>3.1</v>
      </c>
      <c r="M205" s="32">
        <v>0.2</v>
      </c>
      <c r="N205" s="32">
        <v>8.1999999999999993</v>
      </c>
      <c r="O205" s="33">
        <v>449.35</v>
      </c>
      <c r="P205" s="38" t="s">
        <v>1014</v>
      </c>
      <c r="Q205" s="34" t="str">
        <f>IF(MasterFees[[#This Row],[GST Basis]]="Excl",MasterFees[[#This Row],[Fee as Printed]],IF(MasterFees[[#This Row],[GST Basis]]="Incl",MasterFees[[#This Row],[Fee as Printed]]/(1+GST_Rate),""))</f>
        <v/>
      </c>
      <c r="R205" s="34" t="str">
        <f>IF(MasterFees[[#This Row],[GST Basis]]="Incl",MasterFees[[#This Row],[Fee as Printed]],IF(MasterFees[[#This Row],[GST Basis]]="Excl",MasterFees[[#This Row],[Fee as Printed]]*(1+GST_Rate),""))</f>
        <v/>
      </c>
      <c r="S205" s="35">
        <f>IF(N(MasterFees[[#This Row],[Total Units]])=0,"",MasterFees[[#This Row],[Fee as Printed]]/MasterFees[[#This Row],[Total Units]])</f>
        <v>54.798780487804883</v>
      </c>
      <c r="T205" s="36"/>
      <c r="U205" s="39" t="s">
        <v>1012</v>
      </c>
      <c r="V205" s="39" t="s">
        <v>2022</v>
      </c>
      <c r="W205" s="30"/>
      <c r="X205" s="73" t="s">
        <v>3851</v>
      </c>
      <c r="Y205" s="127" t="str">
        <f>_xlfn.XLOOKUP(MasterFees[[#This Row],[Provider / Payer]],Contracts[Contract Name],Contracts[Contract ID],"No contract")</f>
        <v>CON-01</v>
      </c>
      <c r="Z205" s="127" t="str">
        <f>_xlfn.XLOOKUP(MasterFees[[#This Row],[Provider / Payer]],Contracts[Contract Name],Contracts[Pricing Basis],"To confirm")</f>
        <v>To confirm</v>
      </c>
      <c r="AA205" s="127" t="str">
        <f>IF(MasterFees[[#This Row],[Pricing Basis]]="Fixed fee schedule","Yes","No")</f>
        <v>No</v>
      </c>
      <c r="AB205" s="127" t="str">
        <f>IF(OR(MasterFees[[#This Row],[Fee Basis]]="Add-on",MasterFees[[#This Row],[Fee Basis]]="Time band",MasterFees[[#This Row],[Fee Basis]]="Other"),MasterFees[[#This Row],[Fee Basis]],"Base")</f>
        <v>Base</v>
      </c>
      <c r="AC205" s="141" t="str">
        <f>IF(MasterFees[[#This Row],[Fixed Fee?]]="Yes",MasterFees[[#This Row],[Fee Excl. GST]],"")</f>
        <v/>
      </c>
    </row>
    <row r="206" spans="1:29" x14ac:dyDescent="0.2">
      <c r="A206" s="67" t="s">
        <v>2159</v>
      </c>
      <c r="B206" s="31">
        <f>IF(MasterFees[[#This Row],[RVG Code]]="","",_xlfn.XLOOKUP(MasterFees[[#This Row],[RVG Code]],RVGCodes[Code],RVGCodes[Base Units],"Code not found"))</f>
        <v>5</v>
      </c>
      <c r="C20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0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206" s="125" t="s">
        <v>2571</v>
      </c>
      <c r="F206" s="48" t="s">
        <v>2569</v>
      </c>
      <c r="G206" s="30" t="s">
        <v>920</v>
      </c>
      <c r="H206" s="37" t="s">
        <v>1095</v>
      </c>
      <c r="I206" s="37"/>
      <c r="J206" s="37" t="s">
        <v>1096</v>
      </c>
      <c r="K206" s="32">
        <v>5</v>
      </c>
      <c r="L206" s="32">
        <v>2</v>
      </c>
      <c r="M206" s="32">
        <v>0</v>
      </c>
      <c r="N206" s="32">
        <v>7</v>
      </c>
      <c r="O206" s="33">
        <v>385</v>
      </c>
      <c r="P206" s="38" t="s">
        <v>1014</v>
      </c>
      <c r="Q206" s="34" t="str">
        <f>IF(MasterFees[[#This Row],[GST Basis]]="Excl",MasterFees[[#This Row],[Fee as Printed]],IF(MasterFees[[#This Row],[GST Basis]]="Incl",MasterFees[[#This Row],[Fee as Printed]]/(1+GST_Rate),""))</f>
        <v/>
      </c>
      <c r="R206" s="34" t="str">
        <f>IF(MasterFees[[#This Row],[GST Basis]]="Incl",MasterFees[[#This Row],[Fee as Printed]],IF(MasterFees[[#This Row],[GST Basis]]="Excl",MasterFees[[#This Row],[Fee as Printed]]*(1+GST_Rate),""))</f>
        <v/>
      </c>
      <c r="S206" s="35">
        <f>IF(N(MasterFees[[#This Row],[Total Units]])=0,"",MasterFees[[#This Row],[Fee as Printed]]/MasterFees[[#This Row],[Total Units]])</f>
        <v>55</v>
      </c>
      <c r="T206" s="36"/>
      <c r="U206" s="39" t="s">
        <v>1012</v>
      </c>
      <c r="V206" s="39" t="s">
        <v>2023</v>
      </c>
      <c r="W206" s="30"/>
      <c r="X206" s="73" t="s">
        <v>3852</v>
      </c>
      <c r="Y206" s="127" t="str">
        <f>_xlfn.XLOOKUP(MasterFees[[#This Row],[Provider / Payer]],Contracts[Contract Name],Contracts[Contract ID],"No contract")</f>
        <v>CON-01</v>
      </c>
      <c r="Z206" s="127" t="str">
        <f>_xlfn.XLOOKUP(MasterFees[[#This Row],[Provider / Payer]],Contracts[Contract Name],Contracts[Pricing Basis],"To confirm")</f>
        <v>To confirm</v>
      </c>
      <c r="AA206" s="127" t="str">
        <f>IF(MasterFees[[#This Row],[Pricing Basis]]="Fixed fee schedule","Yes","No")</f>
        <v>No</v>
      </c>
      <c r="AB206" s="127" t="str">
        <f>IF(OR(MasterFees[[#This Row],[Fee Basis]]="Add-on",MasterFees[[#This Row],[Fee Basis]]="Time band",MasterFees[[#This Row],[Fee Basis]]="Other"),MasterFees[[#This Row],[Fee Basis]],"Base")</f>
        <v>Base</v>
      </c>
      <c r="AC206" s="141" t="str">
        <f>IF(MasterFees[[#This Row],[Fixed Fee?]]="Yes",MasterFees[[#This Row],[Fee Excl. GST]],"")</f>
        <v/>
      </c>
    </row>
    <row r="207" spans="1:29" x14ac:dyDescent="0.2">
      <c r="A207" s="67" t="s">
        <v>2159</v>
      </c>
      <c r="B207" s="31">
        <f>IF(MasterFees[[#This Row],[RVG Code]]="","",_xlfn.XLOOKUP(MasterFees[[#This Row],[RVG Code]],RVGCodes[Code],RVGCodes[Base Units],"Code not found"))</f>
        <v>5</v>
      </c>
      <c r="C20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0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207" s="125" t="s">
        <v>2571</v>
      </c>
      <c r="F207" s="48" t="s">
        <v>2569</v>
      </c>
      <c r="G207" s="30" t="s">
        <v>921</v>
      </c>
      <c r="H207" s="37" t="s">
        <v>1095</v>
      </c>
      <c r="I207" s="37"/>
      <c r="J207" s="37" t="s">
        <v>1096</v>
      </c>
      <c r="K207" s="32">
        <v>0</v>
      </c>
      <c r="L207" s="32">
        <v>0</v>
      </c>
      <c r="M207" s="32">
        <v>0</v>
      </c>
      <c r="N207" s="32">
        <v>0</v>
      </c>
      <c r="O207" s="33">
        <v>0</v>
      </c>
      <c r="P207" s="38" t="s">
        <v>1014</v>
      </c>
      <c r="Q207" s="34" t="str">
        <f>IF(MasterFees[[#This Row],[GST Basis]]="Excl",MasterFees[[#This Row],[Fee as Printed]],IF(MasterFees[[#This Row],[GST Basis]]="Incl",MasterFees[[#This Row],[Fee as Printed]]/(1+GST_Rate),""))</f>
        <v/>
      </c>
      <c r="R207" s="34" t="str">
        <f>IF(MasterFees[[#This Row],[GST Basis]]="Incl",MasterFees[[#This Row],[Fee as Printed]],IF(MasterFees[[#This Row],[GST Basis]]="Excl",MasterFees[[#This Row],[Fee as Printed]]*(1+GST_Rate),""))</f>
        <v/>
      </c>
      <c r="S207" s="35" t="str">
        <f>IF(N(MasterFees[[#This Row],[Total Units]])=0,"",MasterFees[[#This Row],[Fee as Printed]]/MasterFees[[#This Row],[Total Units]])</f>
        <v/>
      </c>
      <c r="T207" s="36"/>
      <c r="U207" s="39" t="s">
        <v>1012</v>
      </c>
      <c r="V207" s="39" t="s">
        <v>2024</v>
      </c>
      <c r="W207" s="30"/>
      <c r="X207" s="73" t="s">
        <v>3853</v>
      </c>
      <c r="Y207" s="127" t="str">
        <f>_xlfn.XLOOKUP(MasterFees[[#This Row],[Provider / Payer]],Contracts[Contract Name],Contracts[Contract ID],"No contract")</f>
        <v>CON-01</v>
      </c>
      <c r="Z207" s="127" t="str">
        <f>_xlfn.XLOOKUP(MasterFees[[#This Row],[Provider / Payer]],Contracts[Contract Name],Contracts[Pricing Basis],"To confirm")</f>
        <v>To confirm</v>
      </c>
      <c r="AA207" s="127" t="str">
        <f>IF(MasterFees[[#This Row],[Pricing Basis]]="Fixed fee schedule","Yes","No")</f>
        <v>No</v>
      </c>
      <c r="AB207" s="127" t="str">
        <f>IF(OR(MasterFees[[#This Row],[Fee Basis]]="Add-on",MasterFees[[#This Row],[Fee Basis]]="Time band",MasterFees[[#This Row],[Fee Basis]]="Other"),MasterFees[[#This Row],[Fee Basis]],"Base")</f>
        <v>Base</v>
      </c>
      <c r="AC207" s="141" t="str">
        <f>IF(MasterFees[[#This Row],[Fixed Fee?]]="Yes",MasterFees[[#This Row],[Fee Excl. GST]],"")</f>
        <v/>
      </c>
    </row>
    <row r="208" spans="1:29" x14ac:dyDescent="0.2">
      <c r="A208" s="67" t="s">
        <v>2159</v>
      </c>
      <c r="B208" s="31">
        <f>IF(MasterFees[[#This Row],[RVG Code]]="","",_xlfn.XLOOKUP(MasterFees[[#This Row],[RVG Code]],RVGCodes[Code],RVGCodes[Base Units],"Code not found"))</f>
        <v>5</v>
      </c>
      <c r="C20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0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208" s="125" t="s">
        <v>2571</v>
      </c>
      <c r="F208" s="48" t="s">
        <v>2567</v>
      </c>
      <c r="G208" s="30" t="s">
        <v>938</v>
      </c>
      <c r="H208" s="37" t="s">
        <v>1095</v>
      </c>
      <c r="I208" s="37"/>
      <c r="J208" s="37" t="s">
        <v>1096</v>
      </c>
      <c r="K208" s="32">
        <v>5.0999999999999996</v>
      </c>
      <c r="L208" s="32">
        <v>3.4</v>
      </c>
      <c r="M208" s="32">
        <v>0.3</v>
      </c>
      <c r="N208" s="32">
        <v>8.8000000000000007</v>
      </c>
      <c r="O208" s="33">
        <v>482.9</v>
      </c>
      <c r="P208" s="38" t="s">
        <v>1014</v>
      </c>
      <c r="Q208" s="34" t="str">
        <f>IF(MasterFees[[#This Row],[GST Basis]]="Excl",MasterFees[[#This Row],[Fee as Printed]],IF(MasterFees[[#This Row],[GST Basis]]="Incl",MasterFees[[#This Row],[Fee as Printed]]/(1+GST_Rate),""))</f>
        <v/>
      </c>
      <c r="R208" s="34" t="str">
        <f>IF(MasterFees[[#This Row],[GST Basis]]="Incl",MasterFees[[#This Row],[Fee as Printed]],IF(MasterFees[[#This Row],[GST Basis]]="Excl",MasterFees[[#This Row],[Fee as Printed]]*(1+GST_Rate),""))</f>
        <v/>
      </c>
      <c r="S208" s="35">
        <f>IF(N(MasterFees[[#This Row],[Total Units]])=0,"",MasterFees[[#This Row],[Fee as Printed]]/MasterFees[[#This Row],[Total Units]])</f>
        <v>54.874999999999993</v>
      </c>
      <c r="T208" s="36"/>
      <c r="U208" s="39" t="s">
        <v>1012</v>
      </c>
      <c r="V208" s="39" t="s">
        <v>2041</v>
      </c>
      <c r="W208" s="30"/>
      <c r="X208" s="73" t="s">
        <v>3874</v>
      </c>
      <c r="Y208" s="127" t="str">
        <f>_xlfn.XLOOKUP(MasterFees[[#This Row],[Provider / Payer]],Contracts[Contract Name],Contracts[Contract ID],"No contract")</f>
        <v>CON-01</v>
      </c>
      <c r="Z208" s="127" t="str">
        <f>_xlfn.XLOOKUP(MasterFees[[#This Row],[Provider / Payer]],Contracts[Contract Name],Contracts[Pricing Basis],"To confirm")</f>
        <v>To confirm</v>
      </c>
      <c r="AA208" s="127" t="str">
        <f>IF(MasterFees[[#This Row],[Pricing Basis]]="Fixed fee schedule","Yes","No")</f>
        <v>No</v>
      </c>
      <c r="AB208" s="127" t="str">
        <f>IF(OR(MasterFees[[#This Row],[Fee Basis]]="Add-on",MasterFees[[#This Row],[Fee Basis]]="Time band",MasterFees[[#This Row],[Fee Basis]]="Other"),MasterFees[[#This Row],[Fee Basis]],"Base")</f>
        <v>Base</v>
      </c>
      <c r="AC208" s="141" t="str">
        <f>IF(MasterFees[[#This Row],[Fixed Fee?]]="Yes",MasterFees[[#This Row],[Fee Excl. GST]],"")</f>
        <v/>
      </c>
    </row>
    <row r="209" spans="1:29" x14ac:dyDescent="0.2">
      <c r="A209" s="67" t="s">
        <v>2162</v>
      </c>
      <c r="B209" s="31">
        <f>IF(MasterFees[[#This Row],[RVG Code]]="","",_xlfn.XLOOKUP(MasterFees[[#This Row],[RVG Code]],RVGCodes[Code],RVGCodes[Base Units],"Code not found"))</f>
        <v>6</v>
      </c>
      <c r="C20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0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209" s="125" t="s">
        <v>2592</v>
      </c>
      <c r="F209" s="48" t="s">
        <v>2567</v>
      </c>
      <c r="G209" s="30" t="s">
        <v>945</v>
      </c>
      <c r="H209" s="37" t="s">
        <v>1095</v>
      </c>
      <c r="I209" s="37"/>
      <c r="J209" s="37" t="s">
        <v>1096</v>
      </c>
      <c r="K209" s="32">
        <v>5.6</v>
      </c>
      <c r="L209" s="32">
        <v>6.3</v>
      </c>
      <c r="M209" s="32">
        <v>0.5</v>
      </c>
      <c r="N209" s="32">
        <v>12.3</v>
      </c>
      <c r="O209" s="33">
        <v>678.7</v>
      </c>
      <c r="P209" s="38" t="s">
        <v>1014</v>
      </c>
      <c r="Q209" s="34" t="str">
        <f>IF(MasterFees[[#This Row],[GST Basis]]="Excl",MasterFees[[#This Row],[Fee as Printed]],IF(MasterFees[[#This Row],[GST Basis]]="Incl",MasterFees[[#This Row],[Fee as Printed]]/(1+GST_Rate),""))</f>
        <v/>
      </c>
      <c r="R209" s="34" t="str">
        <f>IF(MasterFees[[#This Row],[GST Basis]]="Incl",MasterFees[[#This Row],[Fee as Printed]],IF(MasterFees[[#This Row],[GST Basis]]="Excl",MasterFees[[#This Row],[Fee as Printed]]*(1+GST_Rate),""))</f>
        <v/>
      </c>
      <c r="S209" s="35">
        <f>IF(N(MasterFees[[#This Row],[Total Units]])=0,"",MasterFees[[#This Row],[Fee as Printed]]/MasterFees[[#This Row],[Total Units]])</f>
        <v>55.178861788617887</v>
      </c>
      <c r="T209" s="36"/>
      <c r="U209" s="39" t="s">
        <v>1012</v>
      </c>
      <c r="V209" s="39" t="s">
        <v>2048</v>
      </c>
      <c r="W209" s="30"/>
      <c r="X209" s="73" t="s">
        <v>3882</v>
      </c>
      <c r="Y209" s="127" t="str">
        <f>_xlfn.XLOOKUP(MasterFees[[#This Row],[Provider / Payer]],Contracts[Contract Name],Contracts[Contract ID],"No contract")</f>
        <v>CON-01</v>
      </c>
      <c r="Z209" s="127" t="str">
        <f>_xlfn.XLOOKUP(MasterFees[[#This Row],[Provider / Payer]],Contracts[Contract Name],Contracts[Pricing Basis],"To confirm")</f>
        <v>To confirm</v>
      </c>
      <c r="AA209" s="127" t="str">
        <f>IF(MasterFees[[#This Row],[Pricing Basis]]="Fixed fee schedule","Yes","No")</f>
        <v>No</v>
      </c>
      <c r="AB209" s="127" t="str">
        <f>IF(OR(MasterFees[[#This Row],[Fee Basis]]="Add-on",MasterFees[[#This Row],[Fee Basis]]="Time band",MasterFees[[#This Row],[Fee Basis]]="Other"),MasterFees[[#This Row],[Fee Basis]],"Base")</f>
        <v>Base</v>
      </c>
      <c r="AC209" s="141" t="str">
        <f>IF(MasterFees[[#This Row],[Fixed Fee?]]="Yes",MasterFees[[#This Row],[Fee Excl. GST]],"")</f>
        <v/>
      </c>
    </row>
    <row r="210" spans="1:29" x14ac:dyDescent="0.2">
      <c r="A210" s="67" t="s">
        <v>2157</v>
      </c>
      <c r="B210" s="31">
        <f>IF(MasterFees[[#This Row],[RVG Code]]="","",_xlfn.XLOOKUP(MasterFees[[#This Row],[RVG Code]],RVGCodes[Code],RVGCodes[Base Units],"Code not found"))</f>
        <v>4</v>
      </c>
      <c r="C21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1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210" s="125" t="s">
        <v>2572</v>
      </c>
      <c r="F210" s="48" t="s">
        <v>2567</v>
      </c>
      <c r="G210" s="30" t="s">
        <v>4149</v>
      </c>
      <c r="H210" s="37" t="s">
        <v>4157</v>
      </c>
      <c r="I210" s="79" t="s">
        <v>4148</v>
      </c>
      <c r="J210" s="37" t="s">
        <v>1024</v>
      </c>
      <c r="K210" s="32"/>
      <c r="L210" s="32"/>
      <c r="M210" s="32"/>
      <c r="N210" s="32"/>
      <c r="O210" s="33">
        <v>1035</v>
      </c>
      <c r="P210" s="38" t="s">
        <v>4043</v>
      </c>
      <c r="Q210" s="34">
        <f>IF(MasterFees[[#This Row],[GST Basis]]="Excl",MasterFees[[#This Row],[Fee as Printed]],IF(MasterFees[[#This Row],[GST Basis]]="Incl",MasterFees[[#This Row],[Fee as Printed]]/(1+GST_Rate),""))</f>
        <v>900.00000000000011</v>
      </c>
      <c r="R210" s="34">
        <f>IF(MasterFees[[#This Row],[GST Basis]]="Incl",MasterFees[[#This Row],[Fee as Printed]],IF(MasterFees[[#This Row],[GST Basis]]="Excl",MasterFees[[#This Row],[Fee as Printed]]*(1+GST_Rate),""))</f>
        <v>1035</v>
      </c>
      <c r="S210" s="35" t="str">
        <f>IF(N(MasterFees[[#This Row],[Total Units]])=0,"",MasterFees[[#This Row],[Fee as Printed]]/MasterFees[[#This Row],[Total Units]])</f>
        <v/>
      </c>
      <c r="T210" s="36">
        <v>46113</v>
      </c>
      <c r="U210" s="39" t="s">
        <v>4158</v>
      </c>
      <c r="V210" s="39" t="s">
        <v>4070</v>
      </c>
      <c r="W210" s="30" t="s">
        <v>4163</v>
      </c>
      <c r="X210" s="77" t="s">
        <v>4164</v>
      </c>
      <c r="Y210" s="127" t="str">
        <f>_xlfn.XLOOKUP(MasterFees[[#This Row],[Provider / Payer]],Contracts[Contract Name],Contracts[Contract ID],"No contract")</f>
        <v>CON-02</v>
      </c>
      <c r="Z210" s="127" t="str">
        <f>_xlfn.XLOOKUP(MasterFees[[#This Row],[Provider / Payer]],Contracts[Contract Name],Contracts[Pricing Basis],"To confirm")</f>
        <v>Fixed fee schedule</v>
      </c>
      <c r="AA210" s="127" t="str">
        <f>IF(MasterFees[[#This Row],[Pricing Basis]]="Fixed fee schedule","Yes","No")</f>
        <v>Yes</v>
      </c>
      <c r="AB210" s="127" t="str">
        <f>IF(OR(MasterFees[[#This Row],[Fee Basis]]="Add-on",MasterFees[[#This Row],[Fee Basis]]="Time band",MasterFees[[#This Row],[Fee Basis]]="Other"),MasterFees[[#This Row],[Fee Basis]],"Base")</f>
        <v>Base</v>
      </c>
      <c r="AC210" s="141">
        <f>IF(MasterFees[[#This Row],[Fixed Fee?]]="Yes",MasterFees[[#This Row],[Fee Excl. GST]],"")</f>
        <v>900.00000000000011</v>
      </c>
    </row>
    <row r="211" spans="1:29" x14ac:dyDescent="0.2">
      <c r="A211" s="67" t="s">
        <v>2157</v>
      </c>
      <c r="B211" s="31">
        <f>IF(MasterFees[[#This Row],[RVG Code]]="","",_xlfn.XLOOKUP(MasterFees[[#This Row],[RVG Code]],RVGCodes[Code],RVGCodes[Base Units],"Code not found"))</f>
        <v>4</v>
      </c>
      <c r="C21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1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211" s="125" t="s">
        <v>2572</v>
      </c>
      <c r="F211" s="48" t="s">
        <v>2567</v>
      </c>
      <c r="G211" s="30" t="s">
        <v>4144</v>
      </c>
      <c r="H211" s="37" t="s">
        <v>4157</v>
      </c>
      <c r="I211" s="79" t="s">
        <v>4143</v>
      </c>
      <c r="J211" s="37" t="s">
        <v>1024</v>
      </c>
      <c r="K211" s="32"/>
      <c r="L211" s="32"/>
      <c r="M211" s="32"/>
      <c r="N211" s="32"/>
      <c r="O211" s="33">
        <v>1035</v>
      </c>
      <c r="P211" s="38" t="s">
        <v>4043</v>
      </c>
      <c r="Q211" s="34">
        <f>IF(MasterFees[[#This Row],[GST Basis]]="Excl",MasterFees[[#This Row],[Fee as Printed]],IF(MasterFees[[#This Row],[GST Basis]]="Incl",MasterFees[[#This Row],[Fee as Printed]]/(1+GST_Rate),""))</f>
        <v>900.00000000000011</v>
      </c>
      <c r="R211" s="34">
        <f>IF(MasterFees[[#This Row],[GST Basis]]="Incl",MasterFees[[#This Row],[Fee as Printed]],IF(MasterFees[[#This Row],[GST Basis]]="Excl",MasterFees[[#This Row],[Fee as Printed]]*(1+GST_Rate),""))</f>
        <v>1035</v>
      </c>
      <c r="S211" s="35" t="str">
        <f>IF(N(MasterFees[[#This Row],[Total Units]])=0,"",MasterFees[[#This Row],[Fee as Printed]]/MasterFees[[#This Row],[Total Units]])</f>
        <v/>
      </c>
      <c r="T211" s="36">
        <v>46113</v>
      </c>
      <c r="U211" s="39" t="s">
        <v>4158</v>
      </c>
      <c r="V211" s="39" t="s">
        <v>4070</v>
      </c>
      <c r="W211" s="30" t="s">
        <v>4165</v>
      </c>
      <c r="X211" s="77" t="s">
        <v>4166</v>
      </c>
      <c r="Y211" s="127" t="str">
        <f>_xlfn.XLOOKUP(MasterFees[[#This Row],[Provider / Payer]],Contracts[Contract Name],Contracts[Contract ID],"No contract")</f>
        <v>CON-02</v>
      </c>
      <c r="Z211" s="127" t="str">
        <f>_xlfn.XLOOKUP(MasterFees[[#This Row],[Provider / Payer]],Contracts[Contract Name],Contracts[Pricing Basis],"To confirm")</f>
        <v>Fixed fee schedule</v>
      </c>
      <c r="AA211" s="127" t="str">
        <f>IF(MasterFees[[#This Row],[Pricing Basis]]="Fixed fee schedule","Yes","No")</f>
        <v>Yes</v>
      </c>
      <c r="AB211" s="127" t="str">
        <f>IF(OR(MasterFees[[#This Row],[Fee Basis]]="Add-on",MasterFees[[#This Row],[Fee Basis]]="Time band",MasterFees[[#This Row],[Fee Basis]]="Other"),MasterFees[[#This Row],[Fee Basis]],"Base")</f>
        <v>Base</v>
      </c>
      <c r="AC211" s="141">
        <f>IF(MasterFees[[#This Row],[Fixed Fee?]]="Yes",MasterFees[[#This Row],[Fee Excl. GST]],"")</f>
        <v>900.00000000000011</v>
      </c>
    </row>
    <row r="212" spans="1:29" x14ac:dyDescent="0.2">
      <c r="A212" s="67" t="s">
        <v>2157</v>
      </c>
      <c r="B212" s="31">
        <f>IF(MasterFees[[#This Row],[RVG Code]]="","",_xlfn.XLOOKUP(MasterFees[[#This Row],[RVG Code]],RVGCodes[Code],RVGCodes[Base Units],"Code not found"))</f>
        <v>4</v>
      </c>
      <c r="C21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1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212" s="125" t="s">
        <v>2572</v>
      </c>
      <c r="F212" s="48" t="s">
        <v>2567</v>
      </c>
      <c r="G212" s="30" t="s">
        <v>4139</v>
      </c>
      <c r="H212" s="37" t="s">
        <v>4157</v>
      </c>
      <c r="I212" s="79" t="s">
        <v>4138</v>
      </c>
      <c r="J212" s="37" t="s">
        <v>1024</v>
      </c>
      <c r="K212" s="32"/>
      <c r="L212" s="32"/>
      <c r="M212" s="32"/>
      <c r="N212" s="32"/>
      <c r="O212" s="33">
        <v>1035</v>
      </c>
      <c r="P212" s="38" t="s">
        <v>4043</v>
      </c>
      <c r="Q212" s="34">
        <f>IF(MasterFees[[#This Row],[GST Basis]]="Excl",MasterFees[[#This Row],[Fee as Printed]],IF(MasterFees[[#This Row],[GST Basis]]="Incl",MasterFees[[#This Row],[Fee as Printed]]/(1+GST_Rate),""))</f>
        <v>900.00000000000011</v>
      </c>
      <c r="R212" s="34">
        <f>IF(MasterFees[[#This Row],[GST Basis]]="Incl",MasterFees[[#This Row],[Fee as Printed]],IF(MasterFees[[#This Row],[GST Basis]]="Excl",MasterFees[[#This Row],[Fee as Printed]]*(1+GST_Rate),""))</f>
        <v>1035</v>
      </c>
      <c r="S212" s="35" t="str">
        <f>IF(N(MasterFees[[#This Row],[Total Units]])=0,"",MasterFees[[#This Row],[Fee as Printed]]/MasterFees[[#This Row],[Total Units]])</f>
        <v/>
      </c>
      <c r="T212" s="36">
        <v>46113</v>
      </c>
      <c r="U212" s="39" t="s">
        <v>4158</v>
      </c>
      <c r="V212" s="39" t="s">
        <v>4070</v>
      </c>
      <c r="W212" s="30" t="s">
        <v>4167</v>
      </c>
      <c r="X212" s="77" t="s">
        <v>4168</v>
      </c>
      <c r="Y212" s="127" t="str">
        <f>_xlfn.XLOOKUP(MasterFees[[#This Row],[Provider / Payer]],Contracts[Contract Name],Contracts[Contract ID],"No contract")</f>
        <v>CON-02</v>
      </c>
      <c r="Z212" s="127" t="str">
        <f>_xlfn.XLOOKUP(MasterFees[[#This Row],[Provider / Payer]],Contracts[Contract Name],Contracts[Pricing Basis],"To confirm")</f>
        <v>Fixed fee schedule</v>
      </c>
      <c r="AA212" s="127" t="str">
        <f>IF(MasterFees[[#This Row],[Pricing Basis]]="Fixed fee schedule","Yes","No")</f>
        <v>Yes</v>
      </c>
      <c r="AB212" s="127" t="str">
        <f>IF(OR(MasterFees[[#This Row],[Fee Basis]]="Add-on",MasterFees[[#This Row],[Fee Basis]]="Time band",MasterFees[[#This Row],[Fee Basis]]="Other"),MasterFees[[#This Row],[Fee Basis]],"Base")</f>
        <v>Base</v>
      </c>
      <c r="AC212" s="141">
        <f>IF(MasterFees[[#This Row],[Fixed Fee?]]="Yes",MasterFees[[#This Row],[Fee Excl. GST]],"")</f>
        <v>900.00000000000011</v>
      </c>
    </row>
    <row r="213" spans="1:29" x14ac:dyDescent="0.2">
      <c r="A213" s="67" t="s">
        <v>2159</v>
      </c>
      <c r="B213" s="31">
        <f>IF(MasterFees[[#This Row],[RVG Code]]="","",_xlfn.XLOOKUP(MasterFees[[#This Row],[RVG Code]],RVGCodes[Code],RVGCodes[Base Units],"Code not found"))</f>
        <v>5</v>
      </c>
      <c r="C21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1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213" s="125" t="s">
        <v>2571</v>
      </c>
      <c r="F213" s="48" t="s">
        <v>2567</v>
      </c>
      <c r="G213" s="30" t="s">
        <v>950</v>
      </c>
      <c r="H213" s="37" t="s">
        <v>1095</v>
      </c>
      <c r="I213" s="37"/>
      <c r="J213" s="37" t="s">
        <v>1096</v>
      </c>
      <c r="K213" s="32">
        <v>4</v>
      </c>
      <c r="L213" s="32">
        <v>4.3</v>
      </c>
      <c r="M213" s="32">
        <v>0.5</v>
      </c>
      <c r="N213" s="32">
        <v>8.8000000000000007</v>
      </c>
      <c r="O213" s="33">
        <v>481.25</v>
      </c>
      <c r="P213" s="38" t="s">
        <v>1014</v>
      </c>
      <c r="Q213" s="34" t="str">
        <f>IF(MasterFees[[#This Row],[GST Basis]]="Excl",MasterFees[[#This Row],[Fee as Printed]],IF(MasterFees[[#This Row],[GST Basis]]="Incl",MasterFees[[#This Row],[Fee as Printed]]/(1+GST_Rate),""))</f>
        <v/>
      </c>
      <c r="R213" s="34" t="str">
        <f>IF(MasterFees[[#This Row],[GST Basis]]="Incl",MasterFees[[#This Row],[Fee as Printed]],IF(MasterFees[[#This Row],[GST Basis]]="Excl",MasterFees[[#This Row],[Fee as Printed]]*(1+GST_Rate),""))</f>
        <v/>
      </c>
      <c r="S213" s="35">
        <f>IF(N(MasterFees[[#This Row],[Total Units]])=0,"",MasterFees[[#This Row],[Fee as Printed]]/MasterFees[[#This Row],[Total Units]])</f>
        <v>54.687499999999993</v>
      </c>
      <c r="T213" s="36"/>
      <c r="U213" s="39" t="s">
        <v>1012</v>
      </c>
      <c r="V213" s="39" t="s">
        <v>2053</v>
      </c>
      <c r="W213" s="30"/>
      <c r="X213" s="73" t="s">
        <v>3889</v>
      </c>
      <c r="Y213" s="127" t="str">
        <f>_xlfn.XLOOKUP(MasterFees[[#This Row],[Provider / Payer]],Contracts[Contract Name],Contracts[Contract ID],"No contract")</f>
        <v>CON-01</v>
      </c>
      <c r="Z213" s="127" t="str">
        <f>_xlfn.XLOOKUP(MasterFees[[#This Row],[Provider / Payer]],Contracts[Contract Name],Contracts[Pricing Basis],"To confirm")</f>
        <v>To confirm</v>
      </c>
      <c r="AA213" s="127" t="str">
        <f>IF(MasterFees[[#This Row],[Pricing Basis]]="Fixed fee schedule","Yes","No")</f>
        <v>No</v>
      </c>
      <c r="AB213" s="127" t="str">
        <f>IF(OR(MasterFees[[#This Row],[Fee Basis]]="Add-on",MasterFees[[#This Row],[Fee Basis]]="Time band",MasterFees[[#This Row],[Fee Basis]]="Other"),MasterFees[[#This Row],[Fee Basis]],"Base")</f>
        <v>Base</v>
      </c>
      <c r="AC213" s="141" t="str">
        <f>IF(MasterFees[[#This Row],[Fixed Fee?]]="Yes",MasterFees[[#This Row],[Fee Excl. GST]],"")</f>
        <v/>
      </c>
    </row>
    <row r="214" spans="1:29" x14ac:dyDescent="0.2">
      <c r="A214" s="67" t="s">
        <v>2159</v>
      </c>
      <c r="B214" s="31">
        <f>IF(MasterFees[[#This Row],[RVG Code]]="","",_xlfn.XLOOKUP(MasterFees[[#This Row],[RVG Code]],RVGCodes[Code],RVGCodes[Base Units],"Code not found"))</f>
        <v>5</v>
      </c>
      <c r="C21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1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214" s="125" t="s">
        <v>2571</v>
      </c>
      <c r="F214" s="48" t="s">
        <v>2567</v>
      </c>
      <c r="G214" s="30" t="s">
        <v>951</v>
      </c>
      <c r="H214" s="37" t="s">
        <v>1095</v>
      </c>
      <c r="I214" s="37"/>
      <c r="J214" s="37" t="s">
        <v>1096</v>
      </c>
      <c r="K214" s="32">
        <v>0</v>
      </c>
      <c r="L214" s="32">
        <v>0</v>
      </c>
      <c r="M214" s="32">
        <v>0</v>
      </c>
      <c r="N214" s="32">
        <v>0</v>
      </c>
      <c r="O214" s="33">
        <v>0</v>
      </c>
      <c r="P214" s="38" t="s">
        <v>1014</v>
      </c>
      <c r="Q214" s="34" t="str">
        <f>IF(MasterFees[[#This Row],[GST Basis]]="Excl",MasterFees[[#This Row],[Fee as Printed]],IF(MasterFees[[#This Row],[GST Basis]]="Incl",MasterFees[[#This Row],[Fee as Printed]]/(1+GST_Rate),""))</f>
        <v/>
      </c>
      <c r="R214" s="34" t="str">
        <f>IF(MasterFees[[#This Row],[GST Basis]]="Incl",MasterFees[[#This Row],[Fee as Printed]],IF(MasterFees[[#This Row],[GST Basis]]="Excl",MasterFees[[#This Row],[Fee as Printed]]*(1+GST_Rate),""))</f>
        <v/>
      </c>
      <c r="S214" s="35" t="str">
        <f>IF(N(MasterFees[[#This Row],[Total Units]])=0,"",MasterFees[[#This Row],[Fee as Printed]]/MasterFees[[#This Row],[Total Units]])</f>
        <v/>
      </c>
      <c r="T214" s="36"/>
      <c r="U214" s="39" t="s">
        <v>1012</v>
      </c>
      <c r="V214" s="39" t="s">
        <v>2054</v>
      </c>
      <c r="W214" s="30"/>
      <c r="X214" s="73" t="s">
        <v>3890</v>
      </c>
      <c r="Y214" s="127" t="str">
        <f>_xlfn.XLOOKUP(MasterFees[[#This Row],[Provider / Payer]],Contracts[Contract Name],Contracts[Contract ID],"No contract")</f>
        <v>CON-01</v>
      </c>
      <c r="Z214" s="127" t="str">
        <f>_xlfn.XLOOKUP(MasterFees[[#This Row],[Provider / Payer]],Contracts[Contract Name],Contracts[Pricing Basis],"To confirm")</f>
        <v>To confirm</v>
      </c>
      <c r="AA214" s="127" t="str">
        <f>IF(MasterFees[[#This Row],[Pricing Basis]]="Fixed fee schedule","Yes","No")</f>
        <v>No</v>
      </c>
      <c r="AB214" s="127" t="str">
        <f>IF(OR(MasterFees[[#This Row],[Fee Basis]]="Add-on",MasterFees[[#This Row],[Fee Basis]]="Time band",MasterFees[[#This Row],[Fee Basis]]="Other"),MasterFees[[#This Row],[Fee Basis]],"Base")</f>
        <v>Base</v>
      </c>
      <c r="AC214" s="141" t="str">
        <f>IF(MasterFees[[#This Row],[Fixed Fee?]]="Yes",MasterFees[[#This Row],[Fee Excl. GST]],"")</f>
        <v/>
      </c>
    </row>
    <row r="215" spans="1:29" x14ac:dyDescent="0.2">
      <c r="A215" s="67" t="s">
        <v>2159</v>
      </c>
      <c r="B215" s="31">
        <f>IF(MasterFees[[#This Row],[RVG Code]]="","",_xlfn.XLOOKUP(MasterFees[[#This Row],[RVG Code]],RVGCodes[Code],RVGCodes[Base Units],"Code not found"))</f>
        <v>5</v>
      </c>
      <c r="C21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1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215" s="125" t="s">
        <v>2571</v>
      </c>
      <c r="F215" s="48" t="s">
        <v>2567</v>
      </c>
      <c r="G215" s="30" t="s">
        <v>957</v>
      </c>
      <c r="H215" s="37" t="s">
        <v>1095</v>
      </c>
      <c r="I215" s="37"/>
      <c r="J215" s="37" t="s">
        <v>1096</v>
      </c>
      <c r="K215" s="32">
        <v>0</v>
      </c>
      <c r="L215" s="32">
        <v>1</v>
      </c>
      <c r="M215" s="32">
        <v>0</v>
      </c>
      <c r="N215" s="32">
        <v>1</v>
      </c>
      <c r="O215" s="33">
        <v>55</v>
      </c>
      <c r="P215" s="38" t="s">
        <v>1014</v>
      </c>
      <c r="Q215" s="34" t="str">
        <f>IF(MasterFees[[#This Row],[GST Basis]]="Excl",MasterFees[[#This Row],[Fee as Printed]],IF(MasterFees[[#This Row],[GST Basis]]="Incl",MasterFees[[#This Row],[Fee as Printed]]/(1+GST_Rate),""))</f>
        <v/>
      </c>
      <c r="R215" s="34" t="str">
        <f>IF(MasterFees[[#This Row],[GST Basis]]="Incl",MasterFees[[#This Row],[Fee as Printed]],IF(MasterFees[[#This Row],[GST Basis]]="Excl",MasterFees[[#This Row],[Fee as Printed]]*(1+GST_Rate),""))</f>
        <v/>
      </c>
      <c r="S215" s="35">
        <f>IF(N(MasterFees[[#This Row],[Total Units]])=0,"",MasterFees[[#This Row],[Fee as Printed]]/MasterFees[[#This Row],[Total Units]])</f>
        <v>55</v>
      </c>
      <c r="T215" s="36"/>
      <c r="U215" s="39" t="s">
        <v>1012</v>
      </c>
      <c r="V215" s="39" t="s">
        <v>2060</v>
      </c>
      <c r="W215" s="30"/>
      <c r="X215" s="73" t="s">
        <v>3897</v>
      </c>
      <c r="Y215" s="127" t="str">
        <f>_xlfn.XLOOKUP(MasterFees[[#This Row],[Provider / Payer]],Contracts[Contract Name],Contracts[Contract ID],"No contract")</f>
        <v>CON-01</v>
      </c>
      <c r="Z215" s="127" t="str">
        <f>_xlfn.XLOOKUP(MasterFees[[#This Row],[Provider / Payer]],Contracts[Contract Name],Contracts[Pricing Basis],"To confirm")</f>
        <v>To confirm</v>
      </c>
      <c r="AA215" s="127" t="str">
        <f>IF(MasterFees[[#This Row],[Pricing Basis]]="Fixed fee schedule","Yes","No")</f>
        <v>No</v>
      </c>
      <c r="AB215" s="127" t="str">
        <f>IF(OR(MasterFees[[#This Row],[Fee Basis]]="Add-on",MasterFees[[#This Row],[Fee Basis]]="Time band",MasterFees[[#This Row],[Fee Basis]]="Other"),MasterFees[[#This Row],[Fee Basis]],"Base")</f>
        <v>Base</v>
      </c>
      <c r="AC215" s="141" t="str">
        <f>IF(MasterFees[[#This Row],[Fixed Fee?]]="Yes",MasterFees[[#This Row],[Fee Excl. GST]],"")</f>
        <v/>
      </c>
    </row>
    <row r="216" spans="1:29" x14ac:dyDescent="0.2">
      <c r="A216" s="67" t="s">
        <v>2159</v>
      </c>
      <c r="B216" s="31">
        <f>IF(MasterFees[[#This Row],[RVG Code]]="","",_xlfn.XLOOKUP(MasterFees[[#This Row],[RVG Code]],RVGCodes[Code],RVGCodes[Base Units],"Code not found"))</f>
        <v>5</v>
      </c>
      <c r="C21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1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216" s="125" t="s">
        <v>2571</v>
      </c>
      <c r="F216" s="48" t="s">
        <v>2567</v>
      </c>
      <c r="G216" s="30" t="s">
        <v>958</v>
      </c>
      <c r="H216" s="37" t="s">
        <v>1095</v>
      </c>
      <c r="I216" s="37"/>
      <c r="J216" s="37" t="s">
        <v>1096</v>
      </c>
      <c r="K216" s="32">
        <v>5.2</v>
      </c>
      <c r="L216" s="32">
        <v>5.6</v>
      </c>
      <c r="M216" s="32">
        <v>0.3</v>
      </c>
      <c r="N216" s="32">
        <v>11.1</v>
      </c>
      <c r="O216" s="33">
        <v>609.4</v>
      </c>
      <c r="P216" s="38" t="s">
        <v>1014</v>
      </c>
      <c r="Q216" s="34" t="str">
        <f>IF(MasterFees[[#This Row],[GST Basis]]="Excl",MasterFees[[#This Row],[Fee as Printed]],IF(MasterFees[[#This Row],[GST Basis]]="Incl",MasterFees[[#This Row],[Fee as Printed]]/(1+GST_Rate),""))</f>
        <v/>
      </c>
      <c r="R216" s="34" t="str">
        <f>IF(MasterFees[[#This Row],[GST Basis]]="Incl",MasterFees[[#This Row],[Fee as Printed]],IF(MasterFees[[#This Row],[GST Basis]]="Excl",MasterFees[[#This Row],[Fee as Printed]]*(1+GST_Rate),""))</f>
        <v/>
      </c>
      <c r="S216" s="35">
        <f>IF(N(MasterFees[[#This Row],[Total Units]])=0,"",MasterFees[[#This Row],[Fee as Printed]]/MasterFees[[#This Row],[Total Units]])</f>
        <v>54.900900900900901</v>
      </c>
      <c r="T216" s="36"/>
      <c r="U216" s="39" t="s">
        <v>1012</v>
      </c>
      <c r="V216" s="39" t="s">
        <v>2061</v>
      </c>
      <c r="W216" s="30"/>
      <c r="X216" s="73" t="s">
        <v>3898</v>
      </c>
      <c r="Y216" s="127" t="str">
        <f>_xlfn.XLOOKUP(MasterFees[[#This Row],[Provider / Payer]],Contracts[Contract Name],Contracts[Contract ID],"No contract")</f>
        <v>CON-01</v>
      </c>
      <c r="Z216" s="127" t="str">
        <f>_xlfn.XLOOKUP(MasterFees[[#This Row],[Provider / Payer]],Contracts[Contract Name],Contracts[Pricing Basis],"To confirm")</f>
        <v>To confirm</v>
      </c>
      <c r="AA216" s="127" t="str">
        <f>IF(MasterFees[[#This Row],[Pricing Basis]]="Fixed fee schedule","Yes","No")</f>
        <v>No</v>
      </c>
      <c r="AB216" s="127" t="str">
        <f>IF(OR(MasterFees[[#This Row],[Fee Basis]]="Add-on",MasterFees[[#This Row],[Fee Basis]]="Time band",MasterFees[[#This Row],[Fee Basis]]="Other"),MasterFees[[#This Row],[Fee Basis]],"Base")</f>
        <v>Base</v>
      </c>
      <c r="AC216" s="141" t="str">
        <f>IF(MasterFees[[#This Row],[Fixed Fee?]]="Yes",MasterFees[[#This Row],[Fee Excl. GST]],"")</f>
        <v/>
      </c>
    </row>
    <row r="217" spans="1:29" x14ac:dyDescent="0.2">
      <c r="A217" s="67" t="s">
        <v>2159</v>
      </c>
      <c r="B217" s="31">
        <f>IF(MasterFees[[#This Row],[RVG Code]]="","",_xlfn.XLOOKUP(MasterFees[[#This Row],[RVG Code]],RVGCodes[Code],RVGCodes[Base Units],"Code not found"))</f>
        <v>5</v>
      </c>
      <c r="C21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1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217" s="125" t="s">
        <v>2571</v>
      </c>
      <c r="F217" s="48" t="s">
        <v>2567</v>
      </c>
      <c r="G217" s="30" t="s">
        <v>959</v>
      </c>
      <c r="H217" s="37" t="s">
        <v>1095</v>
      </c>
      <c r="I217" s="37"/>
      <c r="J217" s="37" t="s">
        <v>1096</v>
      </c>
      <c r="K217" s="32">
        <v>4.3</v>
      </c>
      <c r="L217" s="32">
        <v>2.7</v>
      </c>
      <c r="M217" s="32">
        <v>0</v>
      </c>
      <c r="N217" s="32">
        <v>7</v>
      </c>
      <c r="O217" s="33">
        <v>385</v>
      </c>
      <c r="P217" s="38" t="s">
        <v>1014</v>
      </c>
      <c r="Q217" s="34" t="str">
        <f>IF(MasterFees[[#This Row],[GST Basis]]="Excl",MasterFees[[#This Row],[Fee as Printed]],IF(MasterFees[[#This Row],[GST Basis]]="Incl",MasterFees[[#This Row],[Fee as Printed]]/(1+GST_Rate),""))</f>
        <v/>
      </c>
      <c r="R217" s="34" t="str">
        <f>IF(MasterFees[[#This Row],[GST Basis]]="Incl",MasterFees[[#This Row],[Fee as Printed]],IF(MasterFees[[#This Row],[GST Basis]]="Excl",MasterFees[[#This Row],[Fee as Printed]]*(1+GST_Rate),""))</f>
        <v/>
      </c>
      <c r="S217" s="35">
        <f>IF(N(MasterFees[[#This Row],[Total Units]])=0,"",MasterFees[[#This Row],[Fee as Printed]]/MasterFees[[#This Row],[Total Units]])</f>
        <v>55</v>
      </c>
      <c r="T217" s="36"/>
      <c r="U217" s="39" t="s">
        <v>1012</v>
      </c>
      <c r="V217" s="39" t="s">
        <v>2062</v>
      </c>
      <c r="W217" s="30"/>
      <c r="X217" s="73" t="s">
        <v>3899</v>
      </c>
      <c r="Y217" s="127" t="str">
        <f>_xlfn.XLOOKUP(MasterFees[[#This Row],[Provider / Payer]],Contracts[Contract Name],Contracts[Contract ID],"No contract")</f>
        <v>CON-01</v>
      </c>
      <c r="Z217" s="127" t="str">
        <f>_xlfn.XLOOKUP(MasterFees[[#This Row],[Provider / Payer]],Contracts[Contract Name],Contracts[Pricing Basis],"To confirm")</f>
        <v>To confirm</v>
      </c>
      <c r="AA217" s="127" t="str">
        <f>IF(MasterFees[[#This Row],[Pricing Basis]]="Fixed fee schedule","Yes","No")</f>
        <v>No</v>
      </c>
      <c r="AB217" s="127" t="str">
        <f>IF(OR(MasterFees[[#This Row],[Fee Basis]]="Add-on",MasterFees[[#This Row],[Fee Basis]]="Time band",MasterFees[[#This Row],[Fee Basis]]="Other"),MasterFees[[#This Row],[Fee Basis]],"Base")</f>
        <v>Base</v>
      </c>
      <c r="AC217" s="141" t="str">
        <f>IF(MasterFees[[#This Row],[Fixed Fee?]]="Yes",MasterFees[[#This Row],[Fee Excl. GST]],"")</f>
        <v/>
      </c>
    </row>
    <row r="218" spans="1:29" x14ac:dyDescent="0.2">
      <c r="A218" s="67" t="s">
        <v>2157</v>
      </c>
      <c r="B218" s="31">
        <f>IF(MasterFees[[#This Row],[RVG Code]]="","",_xlfn.XLOOKUP(MasterFees[[#This Row],[RVG Code]],RVGCodes[Code],RVGCodes[Base Units],"Code not found"))</f>
        <v>4</v>
      </c>
      <c r="C21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1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218" s="125" t="s">
        <v>2572</v>
      </c>
      <c r="F218" s="48" t="s">
        <v>2569</v>
      </c>
      <c r="G218" s="30" t="s">
        <v>964</v>
      </c>
      <c r="H218" s="37" t="s">
        <v>1095</v>
      </c>
      <c r="I218" s="37"/>
      <c r="J218" s="37" t="s">
        <v>1096</v>
      </c>
      <c r="K218" s="32">
        <v>4</v>
      </c>
      <c r="L218" s="32">
        <v>1.4</v>
      </c>
      <c r="M218" s="32">
        <v>0.1</v>
      </c>
      <c r="N218" s="32">
        <v>5.5</v>
      </c>
      <c r="O218" s="33">
        <v>301.95</v>
      </c>
      <c r="P218" s="38" t="s">
        <v>1014</v>
      </c>
      <c r="Q218" s="34" t="str">
        <f>IF(MasterFees[[#This Row],[GST Basis]]="Excl",MasterFees[[#This Row],[Fee as Printed]],IF(MasterFees[[#This Row],[GST Basis]]="Incl",MasterFees[[#This Row],[Fee as Printed]]/(1+GST_Rate),""))</f>
        <v/>
      </c>
      <c r="R218" s="34" t="str">
        <f>IF(MasterFees[[#This Row],[GST Basis]]="Incl",MasterFees[[#This Row],[Fee as Printed]],IF(MasterFees[[#This Row],[GST Basis]]="Excl",MasterFees[[#This Row],[Fee as Printed]]*(1+GST_Rate),""))</f>
        <v/>
      </c>
      <c r="S218" s="35">
        <f>IF(N(MasterFees[[#This Row],[Total Units]])=0,"",MasterFees[[#This Row],[Fee as Printed]]/MasterFees[[#This Row],[Total Units]])</f>
        <v>54.9</v>
      </c>
      <c r="T218" s="36"/>
      <c r="U218" s="39" t="s">
        <v>1012</v>
      </c>
      <c r="V218" s="39" t="s">
        <v>2067</v>
      </c>
      <c r="W218" s="30"/>
      <c r="X218" s="73" t="s">
        <v>3908</v>
      </c>
      <c r="Y218" s="127" t="str">
        <f>_xlfn.XLOOKUP(MasterFees[[#This Row],[Provider / Payer]],Contracts[Contract Name],Contracts[Contract ID],"No contract")</f>
        <v>CON-01</v>
      </c>
      <c r="Z218" s="127" t="str">
        <f>_xlfn.XLOOKUP(MasterFees[[#This Row],[Provider / Payer]],Contracts[Contract Name],Contracts[Pricing Basis],"To confirm")</f>
        <v>To confirm</v>
      </c>
      <c r="AA218" s="127" t="str">
        <f>IF(MasterFees[[#This Row],[Pricing Basis]]="Fixed fee schedule","Yes","No")</f>
        <v>No</v>
      </c>
      <c r="AB218" s="127" t="str">
        <f>IF(OR(MasterFees[[#This Row],[Fee Basis]]="Add-on",MasterFees[[#This Row],[Fee Basis]]="Time band",MasterFees[[#This Row],[Fee Basis]]="Other"),MasterFees[[#This Row],[Fee Basis]],"Base")</f>
        <v>Base</v>
      </c>
      <c r="AC218" s="141" t="str">
        <f>IF(MasterFees[[#This Row],[Fixed Fee?]]="Yes",MasterFees[[#This Row],[Fee Excl. GST]],"")</f>
        <v/>
      </c>
    </row>
    <row r="219" spans="1:29" x14ac:dyDescent="0.2">
      <c r="A219" s="67" t="s">
        <v>2157</v>
      </c>
      <c r="B219" s="31">
        <f>IF(MasterFees[[#This Row],[RVG Code]]="","",_xlfn.XLOOKUP(MasterFees[[#This Row],[RVG Code]],RVGCodes[Code],RVGCodes[Base Units],"Code not found"))</f>
        <v>4</v>
      </c>
      <c r="C21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1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219" s="125" t="s">
        <v>2572</v>
      </c>
      <c r="F219" s="48" t="s">
        <v>2567</v>
      </c>
      <c r="G219" s="30" t="s">
        <v>4528</v>
      </c>
      <c r="H219" s="37" t="s">
        <v>4622</v>
      </c>
      <c r="I219" s="37" t="s">
        <v>4527</v>
      </c>
      <c r="J219" s="37" t="s">
        <v>1024</v>
      </c>
      <c r="K219" s="32"/>
      <c r="L219" s="32"/>
      <c r="M219" s="32"/>
      <c r="N219" s="32"/>
      <c r="O219" s="33">
        <v>600</v>
      </c>
      <c r="P219" s="38" t="s">
        <v>4398</v>
      </c>
      <c r="Q219" s="34">
        <f>IF(MasterFees[[#This Row],[GST Basis]]="Excl",MasterFees[[#This Row],[Fee as Printed]],IF(MasterFees[[#This Row],[GST Basis]]="Incl",MasterFees[[#This Row],[Fee as Printed]]/(1+GST_Rate),""))</f>
        <v>600</v>
      </c>
      <c r="R219" s="34">
        <f>IF(MasterFees[[#This Row],[GST Basis]]="Incl",MasterFees[[#This Row],[Fee as Printed]],IF(MasterFees[[#This Row],[GST Basis]]="Excl",MasterFees[[#This Row],[Fee as Printed]]*(1+GST_Rate),""))</f>
        <v>690</v>
      </c>
      <c r="S219" s="35" t="str">
        <f>IF(N(MasterFees[[#This Row],[Total Units]])=0,"",MasterFees[[#This Row],[Fee as Printed]]/MasterFees[[#This Row],[Total Units]])</f>
        <v/>
      </c>
      <c r="T219" s="36"/>
      <c r="U219" s="39" t="s">
        <v>4587</v>
      </c>
      <c r="V219" s="39" t="s">
        <v>4736</v>
      </c>
      <c r="W219" s="30" t="s">
        <v>4727</v>
      </c>
      <c r="X219" s="77" t="s">
        <v>4825</v>
      </c>
      <c r="Y219" s="127" t="str">
        <f>_xlfn.XLOOKUP(MasterFees[[#This Row],[Provider / Payer]],Contracts[Contract Name],Contracts[Contract ID],"No contract")</f>
        <v>CON-05</v>
      </c>
      <c r="Z219" s="127" t="str">
        <f>_xlfn.XLOOKUP(MasterFees[[#This Row],[Provider / Payer]],Contracts[Contract Name],Contracts[Pricing Basis],"To confirm")</f>
        <v>Fixed fee schedule</v>
      </c>
      <c r="AA219" s="127" t="str">
        <f>IF(MasterFees[[#This Row],[Pricing Basis]]="Fixed fee schedule","Yes","No")</f>
        <v>Yes</v>
      </c>
      <c r="AB219" s="127" t="str">
        <f>IF(OR(MasterFees[[#This Row],[Fee Basis]]="Add-on",MasterFees[[#This Row],[Fee Basis]]="Time band",MasterFees[[#This Row],[Fee Basis]]="Other"),MasterFees[[#This Row],[Fee Basis]],"Base")</f>
        <v>Base</v>
      </c>
      <c r="AC219" s="141">
        <f>IF(MasterFees[[#This Row],[Fixed Fee?]]="Yes",MasterFees[[#This Row],[Fee Excl. GST]],"")</f>
        <v>600</v>
      </c>
    </row>
    <row r="220" spans="1:29" x14ac:dyDescent="0.2">
      <c r="A220" s="67" t="s">
        <v>2157</v>
      </c>
      <c r="B220" s="31">
        <f>IF(MasterFees[[#This Row],[RVG Code]]="","",_xlfn.XLOOKUP(MasterFees[[#This Row],[RVG Code]],RVGCodes[Code],RVGCodes[Base Units],"Code not found"))</f>
        <v>4</v>
      </c>
      <c r="C22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2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220" s="125" t="s">
        <v>2572</v>
      </c>
      <c r="F220" s="48" t="s">
        <v>2567</v>
      </c>
      <c r="G220" s="30" t="s">
        <v>4528</v>
      </c>
      <c r="H220" s="37" t="s">
        <v>4625</v>
      </c>
      <c r="I220" s="37" t="s">
        <v>4527</v>
      </c>
      <c r="J220" s="37" t="s">
        <v>1024</v>
      </c>
      <c r="K220" s="32"/>
      <c r="L220" s="32"/>
      <c r="M220" s="32"/>
      <c r="N220" s="32"/>
      <c r="O220" s="33">
        <v>600</v>
      </c>
      <c r="P220" s="38" t="s">
        <v>4398</v>
      </c>
      <c r="Q220" s="34">
        <f>IF(MasterFees[[#This Row],[GST Basis]]="Excl",MasterFees[[#This Row],[Fee as Printed]],IF(MasterFees[[#This Row],[GST Basis]]="Incl",MasterFees[[#This Row],[Fee as Printed]]/(1+GST_Rate),""))</f>
        <v>600</v>
      </c>
      <c r="R220" s="34">
        <f>IF(MasterFees[[#This Row],[GST Basis]]="Incl",MasterFees[[#This Row],[Fee as Printed]],IF(MasterFees[[#This Row],[GST Basis]]="Excl",MasterFees[[#This Row],[Fee as Printed]]*(1+GST_Rate),""))</f>
        <v>690</v>
      </c>
      <c r="S220" s="35" t="str">
        <f>IF(N(MasterFees[[#This Row],[Total Units]])=0,"",MasterFees[[#This Row],[Fee as Printed]]/MasterFees[[#This Row],[Total Units]])</f>
        <v/>
      </c>
      <c r="T220" s="36"/>
      <c r="U220" s="39" t="s">
        <v>4587</v>
      </c>
      <c r="V220" s="39" t="s">
        <v>4737</v>
      </c>
      <c r="W220" s="30" t="s">
        <v>4729</v>
      </c>
      <c r="X220" s="77" t="s">
        <v>4825</v>
      </c>
      <c r="Y220" s="127" t="str">
        <f>_xlfn.XLOOKUP(MasterFees[[#This Row],[Provider / Payer]],Contracts[Contract Name],Contracts[Contract ID],"No contract")</f>
        <v>CON-06</v>
      </c>
      <c r="Z220" s="127" t="str">
        <f>_xlfn.XLOOKUP(MasterFees[[#This Row],[Provider / Payer]],Contracts[Contract Name],Contracts[Pricing Basis],"To confirm")</f>
        <v>Fixed fee schedule</v>
      </c>
      <c r="AA220" s="127" t="str">
        <f>IF(MasterFees[[#This Row],[Pricing Basis]]="Fixed fee schedule","Yes","No")</f>
        <v>Yes</v>
      </c>
      <c r="AB220" s="127" t="str">
        <f>IF(OR(MasterFees[[#This Row],[Fee Basis]]="Add-on",MasterFees[[#This Row],[Fee Basis]]="Time band",MasterFees[[#This Row],[Fee Basis]]="Other"),MasterFees[[#This Row],[Fee Basis]],"Base")</f>
        <v>Base</v>
      </c>
      <c r="AC220" s="141">
        <f>IF(MasterFees[[#This Row],[Fixed Fee?]]="Yes",MasterFees[[#This Row],[Fee Excl. GST]],"")</f>
        <v>600</v>
      </c>
    </row>
    <row r="221" spans="1:29" x14ac:dyDescent="0.2">
      <c r="A221" s="67" t="s">
        <v>2170</v>
      </c>
      <c r="B221" s="31">
        <f>IF(MasterFees[[#This Row],[RVG Code]]="","",_xlfn.XLOOKUP(MasterFees[[#This Row],[RVG Code]],RVGCodes[Code],RVGCodes[Base Units],"Code not found"))</f>
        <v>5</v>
      </c>
      <c r="C22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2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21" s="125" t="s">
        <v>2601</v>
      </c>
      <c r="F221" s="48" t="s">
        <v>2569</v>
      </c>
      <c r="G221" s="30" t="s">
        <v>210</v>
      </c>
      <c r="H221" s="37" t="s">
        <v>1095</v>
      </c>
      <c r="I221" s="37"/>
      <c r="J221" s="37" t="s">
        <v>1096</v>
      </c>
      <c r="K221" s="32">
        <v>0</v>
      </c>
      <c r="L221" s="32">
        <v>3</v>
      </c>
      <c r="M221" s="32">
        <v>0</v>
      </c>
      <c r="N221" s="32">
        <v>3</v>
      </c>
      <c r="O221" s="33">
        <v>165</v>
      </c>
      <c r="P221" s="38" t="s">
        <v>1014</v>
      </c>
      <c r="Q221" s="34" t="str">
        <f>IF(MasterFees[[#This Row],[GST Basis]]="Excl",MasterFees[[#This Row],[Fee as Printed]],IF(MasterFees[[#This Row],[GST Basis]]="Incl",MasterFees[[#This Row],[Fee as Printed]]/(1+GST_Rate),""))</f>
        <v/>
      </c>
      <c r="R221" s="34" t="str">
        <f>IF(MasterFees[[#This Row],[GST Basis]]="Incl",MasterFees[[#This Row],[Fee as Printed]],IF(MasterFees[[#This Row],[GST Basis]]="Excl",MasterFees[[#This Row],[Fee as Printed]]*(1+GST_Rate),""))</f>
        <v/>
      </c>
      <c r="S221" s="35">
        <f>IF(N(MasterFees[[#This Row],[Total Units]])=0,"",MasterFees[[#This Row],[Fee as Printed]]/MasterFees[[#This Row],[Total Units]])</f>
        <v>55</v>
      </c>
      <c r="T221" s="36"/>
      <c r="U221" s="39" t="s">
        <v>1012</v>
      </c>
      <c r="V221" s="39" t="s">
        <v>1304</v>
      </c>
      <c r="W221" s="30"/>
      <c r="X221" s="73" t="s">
        <v>3089</v>
      </c>
      <c r="Y221" s="127" t="str">
        <f>_xlfn.XLOOKUP(MasterFees[[#This Row],[Provider / Payer]],Contracts[Contract Name],Contracts[Contract ID],"No contract")</f>
        <v>CON-01</v>
      </c>
      <c r="Z221" s="127" t="str">
        <f>_xlfn.XLOOKUP(MasterFees[[#This Row],[Provider / Payer]],Contracts[Contract Name],Contracts[Pricing Basis],"To confirm")</f>
        <v>To confirm</v>
      </c>
      <c r="AA221" s="127" t="str">
        <f>IF(MasterFees[[#This Row],[Pricing Basis]]="Fixed fee schedule","Yes","No")</f>
        <v>No</v>
      </c>
      <c r="AB221" s="127" t="str">
        <f>IF(OR(MasterFees[[#This Row],[Fee Basis]]="Add-on",MasterFees[[#This Row],[Fee Basis]]="Time band",MasterFees[[#This Row],[Fee Basis]]="Other"),MasterFees[[#This Row],[Fee Basis]],"Base")</f>
        <v>Base</v>
      </c>
      <c r="AC221" s="141" t="str">
        <f>IF(MasterFees[[#This Row],[Fixed Fee?]]="Yes",MasterFees[[#This Row],[Fee Excl. GST]],"")</f>
        <v/>
      </c>
    </row>
    <row r="222" spans="1:29" x14ac:dyDescent="0.2">
      <c r="A222" s="67" t="s">
        <v>2170</v>
      </c>
      <c r="B222" s="31">
        <f>IF(MasterFees[[#This Row],[RVG Code]]="","",_xlfn.XLOOKUP(MasterFees[[#This Row],[RVG Code]],RVGCodes[Code],RVGCodes[Base Units],"Code not found"))</f>
        <v>5</v>
      </c>
      <c r="C22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2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22" s="125" t="s">
        <v>2601</v>
      </c>
      <c r="F222" s="48" t="s">
        <v>2569</v>
      </c>
      <c r="G222" s="30" t="s">
        <v>238</v>
      </c>
      <c r="H222" s="37" t="s">
        <v>1095</v>
      </c>
      <c r="I222" s="37"/>
      <c r="J222" s="37" t="s">
        <v>1096</v>
      </c>
      <c r="K222" s="32">
        <v>5.0999999999999996</v>
      </c>
      <c r="L222" s="32">
        <v>4.5999999999999996</v>
      </c>
      <c r="M222" s="32">
        <v>0.9</v>
      </c>
      <c r="N222" s="32">
        <v>10.6</v>
      </c>
      <c r="O222" s="33">
        <v>583.54999999999995</v>
      </c>
      <c r="P222" s="38" t="s">
        <v>1014</v>
      </c>
      <c r="Q222" s="34" t="str">
        <f>IF(MasterFees[[#This Row],[GST Basis]]="Excl",MasterFees[[#This Row],[Fee as Printed]],IF(MasterFees[[#This Row],[GST Basis]]="Incl",MasterFees[[#This Row],[Fee as Printed]]/(1+GST_Rate),""))</f>
        <v/>
      </c>
      <c r="R222" s="34" t="str">
        <f>IF(MasterFees[[#This Row],[GST Basis]]="Incl",MasterFees[[#This Row],[Fee as Printed]],IF(MasterFees[[#This Row],[GST Basis]]="Excl",MasterFees[[#This Row],[Fee as Printed]]*(1+GST_Rate),""))</f>
        <v/>
      </c>
      <c r="S222" s="35">
        <f>IF(N(MasterFees[[#This Row],[Total Units]])=0,"",MasterFees[[#This Row],[Fee as Printed]]/MasterFees[[#This Row],[Total Units]])</f>
        <v>55.051886792452827</v>
      </c>
      <c r="T222" s="36"/>
      <c r="U222" s="39" t="s">
        <v>1012</v>
      </c>
      <c r="V222" s="39" t="s">
        <v>1332</v>
      </c>
      <c r="W222" s="30"/>
      <c r="X222" s="73" t="s">
        <v>3122</v>
      </c>
      <c r="Y222" s="127" t="str">
        <f>_xlfn.XLOOKUP(MasterFees[[#This Row],[Provider / Payer]],Contracts[Contract Name],Contracts[Contract ID],"No contract")</f>
        <v>CON-01</v>
      </c>
      <c r="Z222" s="127" t="str">
        <f>_xlfn.XLOOKUP(MasterFees[[#This Row],[Provider / Payer]],Contracts[Contract Name],Contracts[Pricing Basis],"To confirm")</f>
        <v>To confirm</v>
      </c>
      <c r="AA222" s="127" t="str">
        <f>IF(MasterFees[[#This Row],[Pricing Basis]]="Fixed fee schedule","Yes","No")</f>
        <v>No</v>
      </c>
      <c r="AB222" s="127" t="str">
        <f>IF(OR(MasterFees[[#This Row],[Fee Basis]]="Add-on",MasterFees[[#This Row],[Fee Basis]]="Time band",MasterFees[[#This Row],[Fee Basis]]="Other"),MasterFees[[#This Row],[Fee Basis]],"Base")</f>
        <v>Base</v>
      </c>
      <c r="AC222" s="141" t="str">
        <f>IF(MasterFees[[#This Row],[Fixed Fee?]]="Yes",MasterFees[[#This Row],[Fee Excl. GST]],"")</f>
        <v/>
      </c>
    </row>
    <row r="223" spans="1:29" x14ac:dyDescent="0.2">
      <c r="A223" s="67" t="s">
        <v>2170</v>
      </c>
      <c r="B223" s="31">
        <f>IF(MasterFees[[#This Row],[RVG Code]]="","",_xlfn.XLOOKUP(MasterFees[[#This Row],[RVG Code]],RVGCodes[Code],RVGCodes[Base Units],"Code not found"))</f>
        <v>5</v>
      </c>
      <c r="C22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2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23" s="125" t="s">
        <v>2601</v>
      </c>
      <c r="F223" s="48" t="s">
        <v>2569</v>
      </c>
      <c r="G223" s="30" t="s">
        <v>239</v>
      </c>
      <c r="H223" s="37" t="s">
        <v>1095</v>
      </c>
      <c r="I223" s="37"/>
      <c r="J223" s="37" t="s">
        <v>1096</v>
      </c>
      <c r="K223" s="32">
        <v>5</v>
      </c>
      <c r="L223" s="32">
        <v>4.3</v>
      </c>
      <c r="M223" s="32">
        <v>0.4</v>
      </c>
      <c r="N223" s="32">
        <v>9.6999999999999993</v>
      </c>
      <c r="O223" s="33">
        <v>532.4</v>
      </c>
      <c r="P223" s="38" t="s">
        <v>1014</v>
      </c>
      <c r="Q223" s="34" t="str">
        <f>IF(MasterFees[[#This Row],[GST Basis]]="Excl",MasterFees[[#This Row],[Fee as Printed]],IF(MasterFees[[#This Row],[GST Basis]]="Incl",MasterFees[[#This Row],[Fee as Printed]]/(1+GST_Rate),""))</f>
        <v/>
      </c>
      <c r="R223" s="34" t="str">
        <f>IF(MasterFees[[#This Row],[GST Basis]]="Incl",MasterFees[[#This Row],[Fee as Printed]],IF(MasterFees[[#This Row],[GST Basis]]="Excl",MasterFees[[#This Row],[Fee as Printed]]*(1+GST_Rate),""))</f>
        <v/>
      </c>
      <c r="S223" s="35">
        <f>IF(N(MasterFees[[#This Row],[Total Units]])=0,"",MasterFees[[#This Row],[Fee as Printed]]/MasterFees[[#This Row],[Total Units]])</f>
        <v>54.886597938144334</v>
      </c>
      <c r="T223" s="36"/>
      <c r="U223" s="39" t="s">
        <v>1012</v>
      </c>
      <c r="V223" s="39" t="s">
        <v>1333</v>
      </c>
      <c r="W223" s="30"/>
      <c r="X223" s="73" t="s">
        <v>3123</v>
      </c>
      <c r="Y223" s="127" t="str">
        <f>_xlfn.XLOOKUP(MasterFees[[#This Row],[Provider / Payer]],Contracts[Contract Name],Contracts[Contract ID],"No contract")</f>
        <v>CON-01</v>
      </c>
      <c r="Z223" s="127" t="str">
        <f>_xlfn.XLOOKUP(MasterFees[[#This Row],[Provider / Payer]],Contracts[Contract Name],Contracts[Pricing Basis],"To confirm")</f>
        <v>To confirm</v>
      </c>
      <c r="AA223" s="127" t="str">
        <f>IF(MasterFees[[#This Row],[Pricing Basis]]="Fixed fee schedule","Yes","No")</f>
        <v>No</v>
      </c>
      <c r="AB223" s="127" t="str">
        <f>IF(OR(MasterFees[[#This Row],[Fee Basis]]="Add-on",MasterFees[[#This Row],[Fee Basis]]="Time band",MasterFees[[#This Row],[Fee Basis]]="Other"),MasterFees[[#This Row],[Fee Basis]],"Base")</f>
        <v>Base</v>
      </c>
      <c r="AC223" s="141" t="str">
        <f>IF(MasterFees[[#This Row],[Fixed Fee?]]="Yes",MasterFees[[#This Row],[Fee Excl. GST]],"")</f>
        <v/>
      </c>
    </row>
    <row r="224" spans="1:29" x14ac:dyDescent="0.2">
      <c r="A224" s="67" t="s">
        <v>2170</v>
      </c>
      <c r="B224" s="31">
        <f>IF(MasterFees[[#This Row],[RVG Code]]="","",_xlfn.XLOOKUP(MasterFees[[#This Row],[RVG Code]],RVGCodes[Code],RVGCodes[Base Units],"Code not found"))</f>
        <v>5</v>
      </c>
      <c r="C22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2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24" s="125" t="s">
        <v>2601</v>
      </c>
      <c r="F224" s="48" t="s">
        <v>2629</v>
      </c>
      <c r="G224" s="30" t="s">
        <v>2171</v>
      </c>
      <c r="H224" s="37" t="s">
        <v>2630</v>
      </c>
      <c r="I224" s="37" t="s">
        <v>2170</v>
      </c>
      <c r="J224" s="37" t="s">
        <v>1096</v>
      </c>
      <c r="K224" s="32">
        <v>5</v>
      </c>
      <c r="L224" s="32"/>
      <c r="M224" s="32"/>
      <c r="N224" s="32">
        <v>5</v>
      </c>
      <c r="O224" s="33"/>
      <c r="P224" s="38"/>
      <c r="Q224" s="34" t="str">
        <f>IF(MasterFees[[#This Row],[GST Basis]]="Excl",MasterFees[[#This Row],[Fee as Printed]],IF(MasterFees[[#This Row],[GST Basis]]="Incl",MasterFees[[#This Row],[Fee as Printed]]/(1+GST_Rate),""))</f>
        <v/>
      </c>
      <c r="R224" s="34" t="str">
        <f>IF(MasterFees[[#This Row],[GST Basis]]="Incl",MasterFees[[#This Row],[Fee as Printed]],IF(MasterFees[[#This Row],[GST Basis]]="Excl",MasterFees[[#This Row],[Fee as Printed]]*(1+GST_Rate),""))</f>
        <v/>
      </c>
      <c r="S224" s="35">
        <f>IF(N(MasterFees[[#This Row],[Total Units]])=0,"",MasterFees[[#This Row],[Fee as Printed]]/MasterFees[[#This Row],[Total Units]])</f>
        <v>0</v>
      </c>
      <c r="T224" s="36"/>
      <c r="U224" s="39" t="s">
        <v>1016</v>
      </c>
      <c r="V224" s="39" t="s">
        <v>2650</v>
      </c>
      <c r="W224" s="30" t="s">
        <v>2632</v>
      </c>
      <c r="X224" s="73" t="s">
        <v>3831</v>
      </c>
      <c r="Y224" s="127" t="str">
        <f>_xlfn.XLOOKUP(MasterFees[[#This Row],[Provider / Payer]],Contracts[Contract Name],Contracts[Contract ID],"No contract")</f>
        <v>CON-10</v>
      </c>
      <c r="Z224" s="127" t="str">
        <f>_xlfn.XLOOKUP(MasterFees[[#This Row],[Provider / Payer]],Contracts[Contract Name],Contracts[Pricing Basis],"To confirm")</f>
        <v>Reference – units only</v>
      </c>
      <c r="AA224" s="127" t="str">
        <f>IF(MasterFees[[#This Row],[Pricing Basis]]="Fixed fee schedule","Yes","No")</f>
        <v>No</v>
      </c>
      <c r="AB224" s="127" t="str">
        <f>IF(OR(MasterFees[[#This Row],[Fee Basis]]="Add-on",MasterFees[[#This Row],[Fee Basis]]="Time band",MasterFees[[#This Row],[Fee Basis]]="Other"),MasterFees[[#This Row],[Fee Basis]],"Base")</f>
        <v>Base</v>
      </c>
      <c r="AC224" s="141" t="str">
        <f>IF(MasterFees[[#This Row],[Fixed Fee?]]="Yes",MasterFees[[#This Row],[Fee Excl. GST]],"")</f>
        <v/>
      </c>
    </row>
    <row r="225" spans="1:29" x14ac:dyDescent="0.2">
      <c r="A225" s="67" t="s">
        <v>2170</v>
      </c>
      <c r="B225" s="31">
        <f>IF(MasterFees[[#This Row],[RVG Code]]="","",_xlfn.XLOOKUP(MasterFees[[#This Row],[RVG Code]],RVGCodes[Code],RVGCodes[Base Units],"Code not found"))</f>
        <v>5</v>
      </c>
      <c r="C22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2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25" s="125" t="s">
        <v>2601</v>
      </c>
      <c r="F225" s="48" t="s">
        <v>2569</v>
      </c>
      <c r="G225" s="30" t="s">
        <v>240</v>
      </c>
      <c r="H225" s="37" t="s">
        <v>1095</v>
      </c>
      <c r="I225" s="37"/>
      <c r="J225" s="37" t="s">
        <v>1096</v>
      </c>
      <c r="K225" s="32">
        <v>3.3</v>
      </c>
      <c r="L225" s="32">
        <v>4.5</v>
      </c>
      <c r="M225" s="32">
        <v>0.3</v>
      </c>
      <c r="N225" s="32">
        <v>8.1999999999999993</v>
      </c>
      <c r="O225" s="33">
        <v>448.8</v>
      </c>
      <c r="P225" s="38" t="s">
        <v>1014</v>
      </c>
      <c r="Q225" s="34" t="str">
        <f>IF(MasterFees[[#This Row],[GST Basis]]="Excl",MasterFees[[#This Row],[Fee as Printed]],IF(MasterFees[[#This Row],[GST Basis]]="Incl",MasterFees[[#This Row],[Fee as Printed]]/(1+GST_Rate),""))</f>
        <v/>
      </c>
      <c r="R225" s="34" t="str">
        <f>IF(MasterFees[[#This Row],[GST Basis]]="Incl",MasterFees[[#This Row],[Fee as Printed]],IF(MasterFees[[#This Row],[GST Basis]]="Excl",MasterFees[[#This Row],[Fee as Printed]]*(1+GST_Rate),""))</f>
        <v/>
      </c>
      <c r="S225" s="35">
        <f>IF(N(MasterFees[[#This Row],[Total Units]])=0,"",MasterFees[[#This Row],[Fee as Printed]]/MasterFees[[#This Row],[Total Units]])</f>
        <v>54.73170731707318</v>
      </c>
      <c r="T225" s="36"/>
      <c r="U225" s="39" t="s">
        <v>1012</v>
      </c>
      <c r="V225" s="39" t="s">
        <v>1334</v>
      </c>
      <c r="W225" s="30"/>
      <c r="X225" s="73" t="s">
        <v>3124</v>
      </c>
      <c r="Y225" s="127" t="str">
        <f>_xlfn.XLOOKUP(MasterFees[[#This Row],[Provider / Payer]],Contracts[Contract Name],Contracts[Contract ID],"No contract")</f>
        <v>CON-01</v>
      </c>
      <c r="Z225" s="127" t="str">
        <f>_xlfn.XLOOKUP(MasterFees[[#This Row],[Provider / Payer]],Contracts[Contract Name],Contracts[Pricing Basis],"To confirm")</f>
        <v>To confirm</v>
      </c>
      <c r="AA225" s="127" t="str">
        <f>IF(MasterFees[[#This Row],[Pricing Basis]]="Fixed fee schedule","Yes","No")</f>
        <v>No</v>
      </c>
      <c r="AB225" s="127" t="str">
        <f>IF(OR(MasterFees[[#This Row],[Fee Basis]]="Add-on",MasterFees[[#This Row],[Fee Basis]]="Time band",MasterFees[[#This Row],[Fee Basis]]="Other"),MasterFees[[#This Row],[Fee Basis]],"Base")</f>
        <v>Base</v>
      </c>
      <c r="AC225" s="141" t="str">
        <f>IF(MasterFees[[#This Row],[Fixed Fee?]]="Yes",MasterFees[[#This Row],[Fee Excl. GST]],"")</f>
        <v/>
      </c>
    </row>
    <row r="226" spans="1:29" x14ac:dyDescent="0.2">
      <c r="A226" s="67" t="s">
        <v>2170</v>
      </c>
      <c r="B226" s="31">
        <f>IF(MasterFees[[#This Row],[RVG Code]]="","",_xlfn.XLOOKUP(MasterFees[[#This Row],[RVG Code]],RVGCodes[Code],RVGCodes[Base Units],"Code not found"))</f>
        <v>5</v>
      </c>
      <c r="C22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2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26" s="125" t="s">
        <v>2601</v>
      </c>
      <c r="F226" s="48" t="s">
        <v>2569</v>
      </c>
      <c r="G226" s="30" t="s">
        <v>241</v>
      </c>
      <c r="H226" s="37" t="s">
        <v>1095</v>
      </c>
      <c r="I226" s="37"/>
      <c r="J226" s="37" t="s">
        <v>1096</v>
      </c>
      <c r="K226" s="32">
        <v>5</v>
      </c>
      <c r="L226" s="32">
        <v>4</v>
      </c>
      <c r="M226" s="32">
        <v>0</v>
      </c>
      <c r="N226" s="32">
        <v>9</v>
      </c>
      <c r="O226" s="33">
        <v>495</v>
      </c>
      <c r="P226" s="38" t="s">
        <v>1014</v>
      </c>
      <c r="Q226" s="34" t="str">
        <f>IF(MasterFees[[#This Row],[GST Basis]]="Excl",MasterFees[[#This Row],[Fee as Printed]],IF(MasterFees[[#This Row],[GST Basis]]="Incl",MasterFees[[#This Row],[Fee as Printed]]/(1+GST_Rate),""))</f>
        <v/>
      </c>
      <c r="R226" s="34" t="str">
        <f>IF(MasterFees[[#This Row],[GST Basis]]="Incl",MasterFees[[#This Row],[Fee as Printed]],IF(MasterFees[[#This Row],[GST Basis]]="Excl",MasterFees[[#This Row],[Fee as Printed]]*(1+GST_Rate),""))</f>
        <v/>
      </c>
      <c r="S226" s="35">
        <f>IF(N(MasterFees[[#This Row],[Total Units]])=0,"",MasterFees[[#This Row],[Fee as Printed]]/MasterFees[[#This Row],[Total Units]])</f>
        <v>55</v>
      </c>
      <c r="T226" s="36"/>
      <c r="U226" s="39" t="s">
        <v>1012</v>
      </c>
      <c r="V226" s="39" t="s">
        <v>1335</v>
      </c>
      <c r="W226" s="30"/>
      <c r="X226" s="73" t="s">
        <v>3125</v>
      </c>
      <c r="Y226" s="127" t="str">
        <f>_xlfn.XLOOKUP(MasterFees[[#This Row],[Provider / Payer]],Contracts[Contract Name],Contracts[Contract ID],"No contract")</f>
        <v>CON-01</v>
      </c>
      <c r="Z226" s="127" t="str">
        <f>_xlfn.XLOOKUP(MasterFees[[#This Row],[Provider / Payer]],Contracts[Contract Name],Contracts[Pricing Basis],"To confirm")</f>
        <v>To confirm</v>
      </c>
      <c r="AA226" s="127" t="str">
        <f>IF(MasterFees[[#This Row],[Pricing Basis]]="Fixed fee schedule","Yes","No")</f>
        <v>No</v>
      </c>
      <c r="AB226" s="127" t="str">
        <f>IF(OR(MasterFees[[#This Row],[Fee Basis]]="Add-on",MasterFees[[#This Row],[Fee Basis]]="Time band",MasterFees[[#This Row],[Fee Basis]]="Other"),MasterFees[[#This Row],[Fee Basis]],"Base")</f>
        <v>Base</v>
      </c>
      <c r="AC226" s="141" t="str">
        <f>IF(MasterFees[[#This Row],[Fixed Fee?]]="Yes",MasterFees[[#This Row],[Fee Excl. GST]],"")</f>
        <v/>
      </c>
    </row>
    <row r="227" spans="1:29" x14ac:dyDescent="0.2">
      <c r="A227" s="67" t="s">
        <v>2170</v>
      </c>
      <c r="B227" s="31">
        <f>IF(MasterFees[[#This Row],[RVG Code]]="","",_xlfn.XLOOKUP(MasterFees[[#This Row],[RVG Code]],RVGCodes[Code],RVGCodes[Base Units],"Code not found"))</f>
        <v>5</v>
      </c>
      <c r="C22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2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27" s="125" t="s">
        <v>2601</v>
      </c>
      <c r="F227" s="48" t="s">
        <v>2569</v>
      </c>
      <c r="G227" s="30" t="s">
        <v>242</v>
      </c>
      <c r="H227" s="37" t="s">
        <v>1095</v>
      </c>
      <c r="I227" s="37"/>
      <c r="J227" s="37" t="s">
        <v>1096</v>
      </c>
      <c r="K227" s="32">
        <v>0.7</v>
      </c>
      <c r="L227" s="32">
        <v>0.6</v>
      </c>
      <c r="M227" s="32">
        <v>0</v>
      </c>
      <c r="N227" s="32">
        <v>1.3</v>
      </c>
      <c r="O227" s="33">
        <v>72.599999999999994</v>
      </c>
      <c r="P227" s="38" t="s">
        <v>1014</v>
      </c>
      <c r="Q227" s="34" t="str">
        <f>IF(MasterFees[[#This Row],[GST Basis]]="Excl",MasterFees[[#This Row],[Fee as Printed]],IF(MasterFees[[#This Row],[GST Basis]]="Incl",MasterFees[[#This Row],[Fee as Printed]]/(1+GST_Rate),""))</f>
        <v/>
      </c>
      <c r="R227" s="34" t="str">
        <f>IF(MasterFees[[#This Row],[GST Basis]]="Incl",MasterFees[[#This Row],[Fee as Printed]],IF(MasterFees[[#This Row],[GST Basis]]="Excl",MasterFees[[#This Row],[Fee as Printed]]*(1+GST_Rate),""))</f>
        <v/>
      </c>
      <c r="S227" s="35">
        <f>IF(N(MasterFees[[#This Row],[Total Units]])=0,"",MasterFees[[#This Row],[Fee as Printed]]/MasterFees[[#This Row],[Total Units]])</f>
        <v>55.84615384615384</v>
      </c>
      <c r="T227" s="36"/>
      <c r="U227" s="39" t="s">
        <v>1012</v>
      </c>
      <c r="V227" s="39" t="s">
        <v>1336</v>
      </c>
      <c r="W227" s="30"/>
      <c r="X227" s="73" t="s">
        <v>3126</v>
      </c>
      <c r="Y227" s="127" t="str">
        <f>_xlfn.XLOOKUP(MasterFees[[#This Row],[Provider / Payer]],Contracts[Contract Name],Contracts[Contract ID],"No contract")</f>
        <v>CON-01</v>
      </c>
      <c r="Z227" s="127" t="str">
        <f>_xlfn.XLOOKUP(MasterFees[[#This Row],[Provider / Payer]],Contracts[Contract Name],Contracts[Pricing Basis],"To confirm")</f>
        <v>To confirm</v>
      </c>
      <c r="AA227" s="127" t="str">
        <f>IF(MasterFees[[#This Row],[Pricing Basis]]="Fixed fee schedule","Yes","No")</f>
        <v>No</v>
      </c>
      <c r="AB227" s="127" t="str">
        <f>IF(OR(MasterFees[[#This Row],[Fee Basis]]="Add-on",MasterFees[[#This Row],[Fee Basis]]="Time band",MasterFees[[#This Row],[Fee Basis]]="Other"),MasterFees[[#This Row],[Fee Basis]],"Base")</f>
        <v>Base</v>
      </c>
      <c r="AC227" s="141" t="str">
        <f>IF(MasterFees[[#This Row],[Fixed Fee?]]="Yes",MasterFees[[#This Row],[Fee Excl. GST]],"")</f>
        <v/>
      </c>
    </row>
    <row r="228" spans="1:29" x14ac:dyDescent="0.2">
      <c r="A228" s="67" t="s">
        <v>2170</v>
      </c>
      <c r="B228" s="31">
        <f>IF(MasterFees[[#This Row],[RVG Code]]="","",_xlfn.XLOOKUP(MasterFees[[#This Row],[RVG Code]],RVGCodes[Code],RVGCodes[Base Units],"Code not found"))</f>
        <v>5</v>
      </c>
      <c r="C22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2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28" s="125" t="s">
        <v>2601</v>
      </c>
      <c r="F228" s="48" t="s">
        <v>2569</v>
      </c>
      <c r="G228" s="30" t="s">
        <v>328</v>
      </c>
      <c r="H228" s="37" t="s">
        <v>1095</v>
      </c>
      <c r="I228" s="37"/>
      <c r="J228" s="37" t="s">
        <v>1096</v>
      </c>
      <c r="K228" s="32">
        <v>0</v>
      </c>
      <c r="L228" s="32">
        <v>1</v>
      </c>
      <c r="M228" s="32">
        <v>0</v>
      </c>
      <c r="N228" s="32">
        <v>1</v>
      </c>
      <c r="O228" s="33">
        <v>55</v>
      </c>
      <c r="P228" s="38" t="s">
        <v>1014</v>
      </c>
      <c r="Q228" s="34" t="str">
        <f>IF(MasterFees[[#This Row],[GST Basis]]="Excl",MasterFees[[#This Row],[Fee as Printed]],IF(MasterFees[[#This Row],[GST Basis]]="Incl",MasterFees[[#This Row],[Fee as Printed]]/(1+GST_Rate),""))</f>
        <v/>
      </c>
      <c r="R228" s="34" t="str">
        <f>IF(MasterFees[[#This Row],[GST Basis]]="Incl",MasterFees[[#This Row],[Fee as Printed]],IF(MasterFees[[#This Row],[GST Basis]]="Excl",MasterFees[[#This Row],[Fee as Printed]]*(1+GST_Rate),""))</f>
        <v/>
      </c>
      <c r="S228" s="35">
        <f>IF(N(MasterFees[[#This Row],[Total Units]])=0,"",MasterFees[[#This Row],[Fee as Printed]]/MasterFees[[#This Row],[Total Units]])</f>
        <v>55</v>
      </c>
      <c r="T228" s="36"/>
      <c r="U228" s="39" t="s">
        <v>1012</v>
      </c>
      <c r="V228" s="39" t="s">
        <v>1422</v>
      </c>
      <c r="W228" s="30"/>
      <c r="X228" s="73" t="s">
        <v>3214</v>
      </c>
      <c r="Y228" s="127" t="str">
        <f>_xlfn.XLOOKUP(MasterFees[[#This Row],[Provider / Payer]],Contracts[Contract Name],Contracts[Contract ID],"No contract")</f>
        <v>CON-01</v>
      </c>
      <c r="Z228" s="127" t="str">
        <f>_xlfn.XLOOKUP(MasterFees[[#This Row],[Provider / Payer]],Contracts[Contract Name],Contracts[Pricing Basis],"To confirm")</f>
        <v>To confirm</v>
      </c>
      <c r="AA228" s="127" t="str">
        <f>IF(MasterFees[[#This Row],[Pricing Basis]]="Fixed fee schedule","Yes","No")</f>
        <v>No</v>
      </c>
      <c r="AB228" s="127" t="str">
        <f>IF(OR(MasterFees[[#This Row],[Fee Basis]]="Add-on",MasterFees[[#This Row],[Fee Basis]]="Time band",MasterFees[[#This Row],[Fee Basis]]="Other"),MasterFees[[#This Row],[Fee Basis]],"Base")</f>
        <v>Base</v>
      </c>
      <c r="AC228" s="141" t="str">
        <f>IF(MasterFees[[#This Row],[Fixed Fee?]]="Yes",MasterFees[[#This Row],[Fee Excl. GST]],"")</f>
        <v/>
      </c>
    </row>
    <row r="229" spans="1:29" x14ac:dyDescent="0.2">
      <c r="A229" s="67" t="s">
        <v>2170</v>
      </c>
      <c r="B229" s="31">
        <f>IF(MasterFees[[#This Row],[RVG Code]]="","",_xlfn.XLOOKUP(MasterFees[[#This Row],[RVG Code]],RVGCodes[Code],RVGCodes[Base Units],"Code not found"))</f>
        <v>5</v>
      </c>
      <c r="C22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2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29" s="125" t="s">
        <v>2601</v>
      </c>
      <c r="F229" s="48" t="s">
        <v>2569</v>
      </c>
      <c r="G229" s="30" t="s">
        <v>335</v>
      </c>
      <c r="H229" s="37" t="s">
        <v>1095</v>
      </c>
      <c r="I229" s="37"/>
      <c r="J229" s="37" t="s">
        <v>1096</v>
      </c>
      <c r="K229" s="32">
        <v>4.4000000000000004</v>
      </c>
      <c r="L229" s="32">
        <v>2.7</v>
      </c>
      <c r="M229" s="32">
        <v>0.1</v>
      </c>
      <c r="N229" s="32">
        <v>7.2</v>
      </c>
      <c r="O229" s="33">
        <v>396.55</v>
      </c>
      <c r="P229" s="38" t="s">
        <v>1014</v>
      </c>
      <c r="Q229" s="34" t="str">
        <f>IF(MasterFees[[#This Row],[GST Basis]]="Excl",MasterFees[[#This Row],[Fee as Printed]],IF(MasterFees[[#This Row],[GST Basis]]="Incl",MasterFees[[#This Row],[Fee as Printed]]/(1+GST_Rate),""))</f>
        <v/>
      </c>
      <c r="R229" s="34" t="str">
        <f>IF(MasterFees[[#This Row],[GST Basis]]="Incl",MasterFees[[#This Row],[Fee as Printed]],IF(MasterFees[[#This Row],[GST Basis]]="Excl",MasterFees[[#This Row],[Fee as Printed]]*(1+GST_Rate),""))</f>
        <v/>
      </c>
      <c r="S229" s="35">
        <f>IF(N(MasterFees[[#This Row],[Total Units]])=0,"",MasterFees[[#This Row],[Fee as Printed]]/MasterFees[[#This Row],[Total Units]])</f>
        <v>55.076388888888886</v>
      </c>
      <c r="T229" s="36"/>
      <c r="U229" s="39" t="s">
        <v>1012</v>
      </c>
      <c r="V229" s="39" t="s">
        <v>1430</v>
      </c>
      <c r="W229" s="30"/>
      <c r="X229" s="73" t="s">
        <v>3222</v>
      </c>
      <c r="Y229" s="127" t="str">
        <f>_xlfn.XLOOKUP(MasterFees[[#This Row],[Provider / Payer]],Contracts[Contract Name],Contracts[Contract ID],"No contract")</f>
        <v>CON-01</v>
      </c>
      <c r="Z229" s="127" t="str">
        <f>_xlfn.XLOOKUP(MasterFees[[#This Row],[Provider / Payer]],Contracts[Contract Name],Contracts[Pricing Basis],"To confirm")</f>
        <v>To confirm</v>
      </c>
      <c r="AA229" s="127" t="str">
        <f>IF(MasterFees[[#This Row],[Pricing Basis]]="Fixed fee schedule","Yes","No")</f>
        <v>No</v>
      </c>
      <c r="AB229" s="127" t="str">
        <f>IF(OR(MasterFees[[#This Row],[Fee Basis]]="Add-on",MasterFees[[#This Row],[Fee Basis]]="Time band",MasterFees[[#This Row],[Fee Basis]]="Other"),MasterFees[[#This Row],[Fee Basis]],"Base")</f>
        <v>Base</v>
      </c>
      <c r="AC229" s="141" t="str">
        <f>IF(MasterFees[[#This Row],[Fixed Fee?]]="Yes",MasterFees[[#This Row],[Fee Excl. GST]],"")</f>
        <v/>
      </c>
    </row>
    <row r="230" spans="1:29" x14ac:dyDescent="0.2">
      <c r="A230" s="67" t="s">
        <v>2170</v>
      </c>
      <c r="B230" s="31">
        <f>IF(MasterFees[[#This Row],[RVG Code]]="","",_xlfn.XLOOKUP(MasterFees[[#This Row],[RVG Code]],RVGCodes[Code],RVGCodes[Base Units],"Code not found"))</f>
        <v>5</v>
      </c>
      <c r="C23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3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30" s="125" t="s">
        <v>2601</v>
      </c>
      <c r="F230" s="48" t="s">
        <v>2569</v>
      </c>
      <c r="G230" s="30" t="s">
        <v>336</v>
      </c>
      <c r="H230" s="37" t="s">
        <v>1095</v>
      </c>
      <c r="I230" s="37"/>
      <c r="J230" s="37" t="s">
        <v>1096</v>
      </c>
      <c r="K230" s="32">
        <v>8.5</v>
      </c>
      <c r="L230" s="32">
        <v>3</v>
      </c>
      <c r="M230" s="32">
        <v>0</v>
      </c>
      <c r="N230" s="32">
        <v>11.5</v>
      </c>
      <c r="O230" s="33">
        <v>632.5</v>
      </c>
      <c r="P230" s="38" t="s">
        <v>1014</v>
      </c>
      <c r="Q230" s="34" t="str">
        <f>IF(MasterFees[[#This Row],[GST Basis]]="Excl",MasterFees[[#This Row],[Fee as Printed]],IF(MasterFees[[#This Row],[GST Basis]]="Incl",MasterFees[[#This Row],[Fee as Printed]]/(1+GST_Rate),""))</f>
        <v/>
      </c>
      <c r="R230" s="34" t="str">
        <f>IF(MasterFees[[#This Row],[GST Basis]]="Incl",MasterFees[[#This Row],[Fee as Printed]],IF(MasterFees[[#This Row],[GST Basis]]="Excl",MasterFees[[#This Row],[Fee as Printed]]*(1+GST_Rate),""))</f>
        <v/>
      </c>
      <c r="S230" s="35">
        <f>IF(N(MasterFees[[#This Row],[Total Units]])=0,"",MasterFees[[#This Row],[Fee as Printed]]/MasterFees[[#This Row],[Total Units]])</f>
        <v>55</v>
      </c>
      <c r="T230" s="36"/>
      <c r="U230" s="39" t="s">
        <v>1012</v>
      </c>
      <c r="V230" s="39" t="s">
        <v>1431</v>
      </c>
      <c r="W230" s="30"/>
      <c r="X230" s="73" t="s">
        <v>3223</v>
      </c>
      <c r="Y230" s="127" t="str">
        <f>_xlfn.XLOOKUP(MasterFees[[#This Row],[Provider / Payer]],Contracts[Contract Name],Contracts[Contract ID],"No contract")</f>
        <v>CON-01</v>
      </c>
      <c r="Z230" s="127" t="str">
        <f>_xlfn.XLOOKUP(MasterFees[[#This Row],[Provider / Payer]],Contracts[Contract Name],Contracts[Pricing Basis],"To confirm")</f>
        <v>To confirm</v>
      </c>
      <c r="AA230" s="127" t="str">
        <f>IF(MasterFees[[#This Row],[Pricing Basis]]="Fixed fee schedule","Yes","No")</f>
        <v>No</v>
      </c>
      <c r="AB230" s="127" t="str">
        <f>IF(OR(MasterFees[[#This Row],[Fee Basis]]="Add-on",MasterFees[[#This Row],[Fee Basis]]="Time band",MasterFees[[#This Row],[Fee Basis]]="Other"),MasterFees[[#This Row],[Fee Basis]],"Base")</f>
        <v>Base</v>
      </c>
      <c r="AC230" s="141" t="str">
        <f>IF(MasterFees[[#This Row],[Fixed Fee?]]="Yes",MasterFees[[#This Row],[Fee Excl. GST]],"")</f>
        <v/>
      </c>
    </row>
    <row r="231" spans="1:29" x14ac:dyDescent="0.2">
      <c r="A231" s="67" t="s">
        <v>2170</v>
      </c>
      <c r="B231" s="31">
        <f>IF(MasterFees[[#This Row],[RVG Code]]="","",_xlfn.XLOOKUP(MasterFees[[#This Row],[RVG Code]],RVGCodes[Code],RVGCodes[Base Units],"Code not found"))</f>
        <v>5</v>
      </c>
      <c r="C23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3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31" s="125" t="s">
        <v>2601</v>
      </c>
      <c r="F231" s="48" t="s">
        <v>2569</v>
      </c>
      <c r="G231" s="30" t="s">
        <v>337</v>
      </c>
      <c r="H231" s="37" t="s">
        <v>1095</v>
      </c>
      <c r="I231" s="37"/>
      <c r="J231" s="37" t="s">
        <v>1096</v>
      </c>
      <c r="K231" s="32">
        <v>0</v>
      </c>
      <c r="L231" s="32">
        <v>0</v>
      </c>
      <c r="M231" s="32">
        <v>0</v>
      </c>
      <c r="N231" s="32">
        <v>0</v>
      </c>
      <c r="O231" s="33">
        <v>0</v>
      </c>
      <c r="P231" s="38" t="s">
        <v>1014</v>
      </c>
      <c r="Q231" s="34" t="str">
        <f>IF(MasterFees[[#This Row],[GST Basis]]="Excl",MasterFees[[#This Row],[Fee as Printed]],IF(MasterFees[[#This Row],[GST Basis]]="Incl",MasterFees[[#This Row],[Fee as Printed]]/(1+GST_Rate),""))</f>
        <v/>
      </c>
      <c r="R231" s="34" t="str">
        <f>IF(MasterFees[[#This Row],[GST Basis]]="Incl",MasterFees[[#This Row],[Fee as Printed]],IF(MasterFees[[#This Row],[GST Basis]]="Excl",MasterFees[[#This Row],[Fee as Printed]]*(1+GST_Rate),""))</f>
        <v/>
      </c>
      <c r="S231" s="35" t="str">
        <f>IF(N(MasterFees[[#This Row],[Total Units]])=0,"",MasterFees[[#This Row],[Fee as Printed]]/MasterFees[[#This Row],[Total Units]])</f>
        <v/>
      </c>
      <c r="T231" s="36"/>
      <c r="U231" s="39" t="s">
        <v>1012</v>
      </c>
      <c r="V231" s="39" t="s">
        <v>1432</v>
      </c>
      <c r="W231" s="30"/>
      <c r="X231" s="73" t="s">
        <v>3224</v>
      </c>
      <c r="Y231" s="127" t="str">
        <f>_xlfn.XLOOKUP(MasterFees[[#This Row],[Provider / Payer]],Contracts[Contract Name],Contracts[Contract ID],"No contract")</f>
        <v>CON-01</v>
      </c>
      <c r="Z231" s="127" t="str">
        <f>_xlfn.XLOOKUP(MasterFees[[#This Row],[Provider / Payer]],Contracts[Contract Name],Contracts[Pricing Basis],"To confirm")</f>
        <v>To confirm</v>
      </c>
      <c r="AA231" s="127" t="str">
        <f>IF(MasterFees[[#This Row],[Pricing Basis]]="Fixed fee schedule","Yes","No")</f>
        <v>No</v>
      </c>
      <c r="AB231" s="127" t="str">
        <f>IF(OR(MasterFees[[#This Row],[Fee Basis]]="Add-on",MasterFees[[#This Row],[Fee Basis]]="Time band",MasterFees[[#This Row],[Fee Basis]]="Other"),MasterFees[[#This Row],[Fee Basis]],"Base")</f>
        <v>Base</v>
      </c>
      <c r="AC231" s="141" t="str">
        <f>IF(MasterFees[[#This Row],[Fixed Fee?]]="Yes",MasterFees[[#This Row],[Fee Excl. GST]],"")</f>
        <v/>
      </c>
    </row>
    <row r="232" spans="1:29" x14ac:dyDescent="0.2">
      <c r="A232" s="67" t="s">
        <v>2170</v>
      </c>
      <c r="B232" s="31">
        <f>IF(MasterFees[[#This Row],[RVG Code]]="","",_xlfn.XLOOKUP(MasterFees[[#This Row],[RVG Code]],RVGCodes[Code],RVGCodes[Base Units],"Code not found"))</f>
        <v>5</v>
      </c>
      <c r="C23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3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32" s="125" t="s">
        <v>2601</v>
      </c>
      <c r="F232" s="48" t="s">
        <v>2569</v>
      </c>
      <c r="G232" s="30" t="s">
        <v>338</v>
      </c>
      <c r="H232" s="37" t="s">
        <v>1095</v>
      </c>
      <c r="I232" s="37"/>
      <c r="J232" s="37" t="s">
        <v>1096</v>
      </c>
      <c r="K232" s="32">
        <v>5</v>
      </c>
      <c r="L232" s="32">
        <v>3</v>
      </c>
      <c r="M232" s="32">
        <v>0</v>
      </c>
      <c r="N232" s="32">
        <v>8</v>
      </c>
      <c r="O232" s="33">
        <v>440</v>
      </c>
      <c r="P232" s="38" t="s">
        <v>1014</v>
      </c>
      <c r="Q232" s="34" t="str">
        <f>IF(MasterFees[[#This Row],[GST Basis]]="Excl",MasterFees[[#This Row],[Fee as Printed]],IF(MasterFees[[#This Row],[GST Basis]]="Incl",MasterFees[[#This Row],[Fee as Printed]]/(1+GST_Rate),""))</f>
        <v/>
      </c>
      <c r="R232" s="34" t="str">
        <f>IF(MasterFees[[#This Row],[GST Basis]]="Incl",MasterFees[[#This Row],[Fee as Printed]],IF(MasterFees[[#This Row],[GST Basis]]="Excl",MasterFees[[#This Row],[Fee as Printed]]*(1+GST_Rate),""))</f>
        <v/>
      </c>
      <c r="S232" s="35">
        <f>IF(N(MasterFees[[#This Row],[Total Units]])=0,"",MasterFees[[#This Row],[Fee as Printed]]/MasterFees[[#This Row],[Total Units]])</f>
        <v>55</v>
      </c>
      <c r="T232" s="36"/>
      <c r="U232" s="39" t="s">
        <v>1012</v>
      </c>
      <c r="V232" s="39" t="s">
        <v>1433</v>
      </c>
      <c r="W232" s="30"/>
      <c r="X232" s="73" t="s">
        <v>3225</v>
      </c>
      <c r="Y232" s="127" t="str">
        <f>_xlfn.XLOOKUP(MasterFees[[#This Row],[Provider / Payer]],Contracts[Contract Name],Contracts[Contract ID],"No contract")</f>
        <v>CON-01</v>
      </c>
      <c r="Z232" s="127" t="str">
        <f>_xlfn.XLOOKUP(MasterFees[[#This Row],[Provider / Payer]],Contracts[Contract Name],Contracts[Pricing Basis],"To confirm")</f>
        <v>To confirm</v>
      </c>
      <c r="AA232" s="127" t="str">
        <f>IF(MasterFees[[#This Row],[Pricing Basis]]="Fixed fee schedule","Yes","No")</f>
        <v>No</v>
      </c>
      <c r="AB232" s="127" t="str">
        <f>IF(OR(MasterFees[[#This Row],[Fee Basis]]="Add-on",MasterFees[[#This Row],[Fee Basis]]="Time band",MasterFees[[#This Row],[Fee Basis]]="Other"),MasterFees[[#This Row],[Fee Basis]],"Base")</f>
        <v>Base</v>
      </c>
      <c r="AC232" s="141" t="str">
        <f>IF(MasterFees[[#This Row],[Fixed Fee?]]="Yes",MasterFees[[#This Row],[Fee Excl. GST]],"")</f>
        <v/>
      </c>
    </row>
    <row r="233" spans="1:29" x14ac:dyDescent="0.2">
      <c r="A233" s="67" t="s">
        <v>2170</v>
      </c>
      <c r="B233" s="31">
        <f>IF(MasterFees[[#This Row],[RVG Code]]="","",_xlfn.XLOOKUP(MasterFees[[#This Row],[RVG Code]],RVGCodes[Code],RVGCodes[Base Units],"Code not found"))</f>
        <v>5</v>
      </c>
      <c r="C23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3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33" s="125" t="s">
        <v>2601</v>
      </c>
      <c r="F233" s="48" t="s">
        <v>2569</v>
      </c>
      <c r="G233" s="30" t="s">
        <v>339</v>
      </c>
      <c r="H233" s="37" t="s">
        <v>1095</v>
      </c>
      <c r="I233" s="37"/>
      <c r="J233" s="37" t="s">
        <v>1096</v>
      </c>
      <c r="K233" s="32">
        <v>0</v>
      </c>
      <c r="L233" s="32">
        <v>0</v>
      </c>
      <c r="M233" s="32">
        <v>0</v>
      </c>
      <c r="N233" s="32">
        <v>0</v>
      </c>
      <c r="O233" s="33">
        <v>0</v>
      </c>
      <c r="P233" s="38" t="s">
        <v>1014</v>
      </c>
      <c r="Q233" s="34" t="str">
        <f>IF(MasterFees[[#This Row],[GST Basis]]="Excl",MasterFees[[#This Row],[Fee as Printed]],IF(MasterFees[[#This Row],[GST Basis]]="Incl",MasterFees[[#This Row],[Fee as Printed]]/(1+GST_Rate),""))</f>
        <v/>
      </c>
      <c r="R233" s="34" t="str">
        <f>IF(MasterFees[[#This Row],[GST Basis]]="Incl",MasterFees[[#This Row],[Fee as Printed]],IF(MasterFees[[#This Row],[GST Basis]]="Excl",MasterFees[[#This Row],[Fee as Printed]]*(1+GST_Rate),""))</f>
        <v/>
      </c>
      <c r="S233" s="35" t="str">
        <f>IF(N(MasterFees[[#This Row],[Total Units]])=0,"",MasterFees[[#This Row],[Fee as Printed]]/MasterFees[[#This Row],[Total Units]])</f>
        <v/>
      </c>
      <c r="T233" s="36"/>
      <c r="U233" s="39" t="s">
        <v>1012</v>
      </c>
      <c r="V233" s="39" t="s">
        <v>1434</v>
      </c>
      <c r="W233" s="30"/>
      <c r="X233" s="73" t="s">
        <v>3226</v>
      </c>
      <c r="Y233" s="127" t="str">
        <f>_xlfn.XLOOKUP(MasterFees[[#This Row],[Provider / Payer]],Contracts[Contract Name],Contracts[Contract ID],"No contract")</f>
        <v>CON-01</v>
      </c>
      <c r="Z233" s="127" t="str">
        <f>_xlfn.XLOOKUP(MasterFees[[#This Row],[Provider / Payer]],Contracts[Contract Name],Contracts[Pricing Basis],"To confirm")</f>
        <v>To confirm</v>
      </c>
      <c r="AA233" s="127" t="str">
        <f>IF(MasterFees[[#This Row],[Pricing Basis]]="Fixed fee schedule","Yes","No")</f>
        <v>No</v>
      </c>
      <c r="AB233" s="127" t="str">
        <f>IF(OR(MasterFees[[#This Row],[Fee Basis]]="Add-on",MasterFees[[#This Row],[Fee Basis]]="Time band",MasterFees[[#This Row],[Fee Basis]]="Other"),MasterFees[[#This Row],[Fee Basis]],"Base")</f>
        <v>Base</v>
      </c>
      <c r="AC233" s="141" t="str">
        <f>IF(MasterFees[[#This Row],[Fixed Fee?]]="Yes",MasterFees[[#This Row],[Fee Excl. GST]],"")</f>
        <v/>
      </c>
    </row>
    <row r="234" spans="1:29" x14ac:dyDescent="0.2">
      <c r="A234" s="67" t="s">
        <v>2170</v>
      </c>
      <c r="B234" s="31">
        <f>IF(MasterFees[[#This Row],[RVG Code]]="","",_xlfn.XLOOKUP(MasterFees[[#This Row],[RVG Code]],RVGCodes[Code],RVGCodes[Base Units],"Code not found"))</f>
        <v>5</v>
      </c>
      <c r="C23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3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34" s="125" t="s">
        <v>2601</v>
      </c>
      <c r="F234" s="48" t="s">
        <v>2569</v>
      </c>
      <c r="G234" s="30" t="s">
        <v>340</v>
      </c>
      <c r="H234" s="37" t="s">
        <v>1095</v>
      </c>
      <c r="I234" s="37"/>
      <c r="J234" s="37" t="s">
        <v>1096</v>
      </c>
      <c r="K234" s="32">
        <v>2.7</v>
      </c>
      <c r="L234" s="32">
        <v>1.5</v>
      </c>
      <c r="M234" s="32">
        <v>0</v>
      </c>
      <c r="N234" s="32">
        <v>4.2</v>
      </c>
      <c r="O234" s="33">
        <v>232.1</v>
      </c>
      <c r="P234" s="38" t="s">
        <v>1014</v>
      </c>
      <c r="Q234" s="34" t="str">
        <f>IF(MasterFees[[#This Row],[GST Basis]]="Excl",MasterFees[[#This Row],[Fee as Printed]],IF(MasterFees[[#This Row],[GST Basis]]="Incl",MasterFees[[#This Row],[Fee as Printed]]/(1+GST_Rate),""))</f>
        <v/>
      </c>
      <c r="R234" s="34" t="str">
        <f>IF(MasterFees[[#This Row],[GST Basis]]="Incl",MasterFees[[#This Row],[Fee as Printed]],IF(MasterFees[[#This Row],[GST Basis]]="Excl",MasterFees[[#This Row],[Fee as Printed]]*(1+GST_Rate),""))</f>
        <v/>
      </c>
      <c r="S234" s="35">
        <f>IF(N(MasterFees[[#This Row],[Total Units]])=0,"",MasterFees[[#This Row],[Fee as Printed]]/MasterFees[[#This Row],[Total Units]])</f>
        <v>55.261904761904759</v>
      </c>
      <c r="T234" s="36"/>
      <c r="U234" s="39" t="s">
        <v>1012</v>
      </c>
      <c r="V234" s="39" t="s">
        <v>1435</v>
      </c>
      <c r="W234" s="30"/>
      <c r="X234" s="73" t="s">
        <v>3227</v>
      </c>
      <c r="Y234" s="127" t="str">
        <f>_xlfn.XLOOKUP(MasterFees[[#This Row],[Provider / Payer]],Contracts[Contract Name],Contracts[Contract ID],"No contract")</f>
        <v>CON-01</v>
      </c>
      <c r="Z234" s="127" t="str">
        <f>_xlfn.XLOOKUP(MasterFees[[#This Row],[Provider / Payer]],Contracts[Contract Name],Contracts[Pricing Basis],"To confirm")</f>
        <v>To confirm</v>
      </c>
      <c r="AA234" s="127" t="str">
        <f>IF(MasterFees[[#This Row],[Pricing Basis]]="Fixed fee schedule","Yes","No")</f>
        <v>No</v>
      </c>
      <c r="AB234" s="127" t="str">
        <f>IF(OR(MasterFees[[#This Row],[Fee Basis]]="Add-on",MasterFees[[#This Row],[Fee Basis]]="Time band",MasterFees[[#This Row],[Fee Basis]]="Other"),MasterFees[[#This Row],[Fee Basis]],"Base")</f>
        <v>Base</v>
      </c>
      <c r="AC234" s="141" t="str">
        <f>IF(MasterFees[[#This Row],[Fixed Fee?]]="Yes",MasterFees[[#This Row],[Fee Excl. GST]],"")</f>
        <v/>
      </c>
    </row>
    <row r="235" spans="1:29" x14ac:dyDescent="0.2">
      <c r="A235" s="67" t="s">
        <v>2170</v>
      </c>
      <c r="B235" s="31">
        <f>IF(MasterFees[[#This Row],[RVG Code]]="","",_xlfn.XLOOKUP(MasterFees[[#This Row],[RVG Code]],RVGCodes[Code],RVGCodes[Base Units],"Code not found"))</f>
        <v>5</v>
      </c>
      <c r="C23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3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35" s="125" t="s">
        <v>2601</v>
      </c>
      <c r="F235" s="48" t="s">
        <v>2569</v>
      </c>
      <c r="G235" s="30" t="s">
        <v>341</v>
      </c>
      <c r="H235" s="37" t="s">
        <v>1095</v>
      </c>
      <c r="I235" s="37"/>
      <c r="J235" s="37" t="s">
        <v>1096</v>
      </c>
      <c r="K235" s="32">
        <v>4.3</v>
      </c>
      <c r="L235" s="32">
        <v>2.9</v>
      </c>
      <c r="M235" s="32">
        <v>0.1</v>
      </c>
      <c r="N235" s="32">
        <v>7.3</v>
      </c>
      <c r="O235" s="33">
        <v>402.05</v>
      </c>
      <c r="P235" s="38" t="s">
        <v>1014</v>
      </c>
      <c r="Q235" s="34" t="str">
        <f>IF(MasterFees[[#This Row],[GST Basis]]="Excl",MasterFees[[#This Row],[Fee as Printed]],IF(MasterFees[[#This Row],[GST Basis]]="Incl",MasterFees[[#This Row],[Fee as Printed]]/(1+GST_Rate),""))</f>
        <v/>
      </c>
      <c r="R235" s="34" t="str">
        <f>IF(MasterFees[[#This Row],[GST Basis]]="Incl",MasterFees[[#This Row],[Fee as Printed]],IF(MasterFees[[#This Row],[GST Basis]]="Excl",MasterFees[[#This Row],[Fee as Printed]]*(1+GST_Rate),""))</f>
        <v/>
      </c>
      <c r="S235" s="35">
        <f>IF(N(MasterFees[[#This Row],[Total Units]])=0,"",MasterFees[[#This Row],[Fee as Printed]]/MasterFees[[#This Row],[Total Units]])</f>
        <v>55.07534246575343</v>
      </c>
      <c r="T235" s="36"/>
      <c r="U235" s="39" t="s">
        <v>1012</v>
      </c>
      <c r="V235" s="39" t="s">
        <v>1436</v>
      </c>
      <c r="W235" s="30"/>
      <c r="X235" s="73" t="s">
        <v>3228</v>
      </c>
      <c r="Y235" s="127" t="str">
        <f>_xlfn.XLOOKUP(MasterFees[[#This Row],[Provider / Payer]],Contracts[Contract Name],Contracts[Contract ID],"No contract")</f>
        <v>CON-01</v>
      </c>
      <c r="Z235" s="127" t="str">
        <f>_xlfn.XLOOKUP(MasterFees[[#This Row],[Provider / Payer]],Contracts[Contract Name],Contracts[Pricing Basis],"To confirm")</f>
        <v>To confirm</v>
      </c>
      <c r="AA235" s="127" t="str">
        <f>IF(MasterFees[[#This Row],[Pricing Basis]]="Fixed fee schedule","Yes","No")</f>
        <v>No</v>
      </c>
      <c r="AB235" s="127" t="str">
        <f>IF(OR(MasterFees[[#This Row],[Fee Basis]]="Add-on",MasterFees[[#This Row],[Fee Basis]]="Time band",MasterFees[[#This Row],[Fee Basis]]="Other"),MasterFees[[#This Row],[Fee Basis]],"Base")</f>
        <v>Base</v>
      </c>
      <c r="AC235" s="141" t="str">
        <f>IF(MasterFees[[#This Row],[Fixed Fee?]]="Yes",MasterFees[[#This Row],[Fee Excl. GST]],"")</f>
        <v/>
      </c>
    </row>
    <row r="236" spans="1:29" x14ac:dyDescent="0.2">
      <c r="A236" s="67" t="s">
        <v>2170</v>
      </c>
      <c r="B236" s="31">
        <f>IF(MasterFees[[#This Row],[RVG Code]]="","",_xlfn.XLOOKUP(MasterFees[[#This Row],[RVG Code]],RVGCodes[Code],RVGCodes[Base Units],"Code not found"))</f>
        <v>5</v>
      </c>
      <c r="C23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3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36" s="125" t="s">
        <v>2601</v>
      </c>
      <c r="F236" s="48" t="s">
        <v>2569</v>
      </c>
      <c r="G236" s="30" t="s">
        <v>342</v>
      </c>
      <c r="H236" s="37" t="s">
        <v>1095</v>
      </c>
      <c r="I236" s="37"/>
      <c r="J236" s="37" t="s">
        <v>1096</v>
      </c>
      <c r="K236" s="32">
        <v>5</v>
      </c>
      <c r="L236" s="32">
        <v>3</v>
      </c>
      <c r="M236" s="32">
        <v>0.5</v>
      </c>
      <c r="N236" s="32">
        <v>8.5</v>
      </c>
      <c r="O236" s="33">
        <v>467.5</v>
      </c>
      <c r="P236" s="38" t="s">
        <v>1014</v>
      </c>
      <c r="Q236" s="34" t="str">
        <f>IF(MasterFees[[#This Row],[GST Basis]]="Excl",MasterFees[[#This Row],[Fee as Printed]],IF(MasterFees[[#This Row],[GST Basis]]="Incl",MasterFees[[#This Row],[Fee as Printed]]/(1+GST_Rate),""))</f>
        <v/>
      </c>
      <c r="R236" s="34" t="str">
        <f>IF(MasterFees[[#This Row],[GST Basis]]="Incl",MasterFees[[#This Row],[Fee as Printed]],IF(MasterFees[[#This Row],[GST Basis]]="Excl",MasterFees[[#This Row],[Fee as Printed]]*(1+GST_Rate),""))</f>
        <v/>
      </c>
      <c r="S236" s="35">
        <f>IF(N(MasterFees[[#This Row],[Total Units]])=0,"",MasterFees[[#This Row],[Fee as Printed]]/MasterFees[[#This Row],[Total Units]])</f>
        <v>55</v>
      </c>
      <c r="T236" s="36"/>
      <c r="U236" s="39" t="s">
        <v>1012</v>
      </c>
      <c r="V236" s="39" t="s">
        <v>1437</v>
      </c>
      <c r="W236" s="30"/>
      <c r="X236" s="73" t="s">
        <v>3229</v>
      </c>
      <c r="Y236" s="127" t="str">
        <f>_xlfn.XLOOKUP(MasterFees[[#This Row],[Provider / Payer]],Contracts[Contract Name],Contracts[Contract ID],"No contract")</f>
        <v>CON-01</v>
      </c>
      <c r="Z236" s="127" t="str">
        <f>_xlfn.XLOOKUP(MasterFees[[#This Row],[Provider / Payer]],Contracts[Contract Name],Contracts[Pricing Basis],"To confirm")</f>
        <v>To confirm</v>
      </c>
      <c r="AA236" s="127" t="str">
        <f>IF(MasterFees[[#This Row],[Pricing Basis]]="Fixed fee schedule","Yes","No")</f>
        <v>No</v>
      </c>
      <c r="AB236" s="127" t="str">
        <f>IF(OR(MasterFees[[#This Row],[Fee Basis]]="Add-on",MasterFees[[#This Row],[Fee Basis]]="Time band",MasterFees[[#This Row],[Fee Basis]]="Other"),MasterFees[[#This Row],[Fee Basis]],"Base")</f>
        <v>Base</v>
      </c>
      <c r="AC236" s="141" t="str">
        <f>IF(MasterFees[[#This Row],[Fixed Fee?]]="Yes",MasterFees[[#This Row],[Fee Excl. GST]],"")</f>
        <v/>
      </c>
    </row>
    <row r="237" spans="1:29" x14ac:dyDescent="0.2">
      <c r="A237" s="67" t="s">
        <v>2170</v>
      </c>
      <c r="B237" s="31">
        <f>IF(MasterFees[[#This Row],[RVG Code]]="","",_xlfn.XLOOKUP(MasterFees[[#This Row],[RVG Code]],RVGCodes[Code],RVGCodes[Base Units],"Code not found"))</f>
        <v>5</v>
      </c>
      <c r="C23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3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37" s="125" t="s">
        <v>2601</v>
      </c>
      <c r="F237" s="48" t="s">
        <v>2569</v>
      </c>
      <c r="G237" s="30" t="s">
        <v>343</v>
      </c>
      <c r="H237" s="37" t="s">
        <v>1095</v>
      </c>
      <c r="I237" s="37"/>
      <c r="J237" s="37" t="s">
        <v>1096</v>
      </c>
      <c r="K237" s="32">
        <v>5</v>
      </c>
      <c r="L237" s="32">
        <v>3.1</v>
      </c>
      <c r="M237" s="32">
        <v>0.2</v>
      </c>
      <c r="N237" s="32">
        <v>8.1999999999999993</v>
      </c>
      <c r="O237" s="33">
        <v>453.2</v>
      </c>
      <c r="P237" s="38" t="s">
        <v>1014</v>
      </c>
      <c r="Q237" s="34" t="str">
        <f>IF(MasterFees[[#This Row],[GST Basis]]="Excl",MasterFees[[#This Row],[Fee as Printed]],IF(MasterFees[[#This Row],[GST Basis]]="Incl",MasterFees[[#This Row],[Fee as Printed]]/(1+GST_Rate),""))</f>
        <v/>
      </c>
      <c r="R237" s="34" t="str">
        <f>IF(MasterFees[[#This Row],[GST Basis]]="Incl",MasterFees[[#This Row],[Fee as Printed]],IF(MasterFees[[#This Row],[GST Basis]]="Excl",MasterFees[[#This Row],[Fee as Printed]]*(1+GST_Rate),""))</f>
        <v/>
      </c>
      <c r="S237" s="35">
        <f>IF(N(MasterFees[[#This Row],[Total Units]])=0,"",MasterFees[[#This Row],[Fee as Printed]]/MasterFees[[#This Row],[Total Units]])</f>
        <v>55.268292682926834</v>
      </c>
      <c r="T237" s="36"/>
      <c r="U237" s="39" t="s">
        <v>1012</v>
      </c>
      <c r="V237" s="39" t="s">
        <v>1438</v>
      </c>
      <c r="W237" s="30"/>
      <c r="X237" s="73" t="s">
        <v>3230</v>
      </c>
      <c r="Y237" s="127" t="str">
        <f>_xlfn.XLOOKUP(MasterFees[[#This Row],[Provider / Payer]],Contracts[Contract Name],Contracts[Contract ID],"No contract")</f>
        <v>CON-01</v>
      </c>
      <c r="Z237" s="127" t="str">
        <f>_xlfn.XLOOKUP(MasterFees[[#This Row],[Provider / Payer]],Contracts[Contract Name],Contracts[Pricing Basis],"To confirm")</f>
        <v>To confirm</v>
      </c>
      <c r="AA237" s="127" t="str">
        <f>IF(MasterFees[[#This Row],[Pricing Basis]]="Fixed fee schedule","Yes","No")</f>
        <v>No</v>
      </c>
      <c r="AB237" s="127" t="str">
        <f>IF(OR(MasterFees[[#This Row],[Fee Basis]]="Add-on",MasterFees[[#This Row],[Fee Basis]]="Time band",MasterFees[[#This Row],[Fee Basis]]="Other"),MasterFees[[#This Row],[Fee Basis]],"Base")</f>
        <v>Base</v>
      </c>
      <c r="AC237" s="141" t="str">
        <f>IF(MasterFees[[#This Row],[Fixed Fee?]]="Yes",MasterFees[[#This Row],[Fee Excl. GST]],"")</f>
        <v/>
      </c>
    </row>
    <row r="238" spans="1:29" x14ac:dyDescent="0.2">
      <c r="A238" s="67" t="s">
        <v>2170</v>
      </c>
      <c r="B238" s="31">
        <f>IF(MasterFees[[#This Row],[RVG Code]]="","",_xlfn.XLOOKUP(MasterFees[[#This Row],[RVG Code]],RVGCodes[Code],RVGCodes[Base Units],"Code not found"))</f>
        <v>5</v>
      </c>
      <c r="C23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3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38" s="125" t="s">
        <v>2601</v>
      </c>
      <c r="F238" s="48" t="s">
        <v>2569</v>
      </c>
      <c r="G238" s="30" t="s">
        <v>344</v>
      </c>
      <c r="H238" s="37" t="s">
        <v>1095</v>
      </c>
      <c r="I238" s="37"/>
      <c r="J238" s="37" t="s">
        <v>1096</v>
      </c>
      <c r="K238" s="32">
        <v>5</v>
      </c>
      <c r="L238" s="32">
        <v>2</v>
      </c>
      <c r="M238" s="32">
        <v>0.5</v>
      </c>
      <c r="N238" s="32">
        <v>7.5</v>
      </c>
      <c r="O238" s="33">
        <v>412.5</v>
      </c>
      <c r="P238" s="38" t="s">
        <v>1014</v>
      </c>
      <c r="Q238" s="34" t="str">
        <f>IF(MasterFees[[#This Row],[GST Basis]]="Excl",MasterFees[[#This Row],[Fee as Printed]],IF(MasterFees[[#This Row],[GST Basis]]="Incl",MasterFees[[#This Row],[Fee as Printed]]/(1+GST_Rate),""))</f>
        <v/>
      </c>
      <c r="R238" s="34" t="str">
        <f>IF(MasterFees[[#This Row],[GST Basis]]="Incl",MasterFees[[#This Row],[Fee as Printed]],IF(MasterFees[[#This Row],[GST Basis]]="Excl",MasterFees[[#This Row],[Fee as Printed]]*(1+GST_Rate),""))</f>
        <v/>
      </c>
      <c r="S238" s="35">
        <f>IF(N(MasterFees[[#This Row],[Total Units]])=0,"",MasterFees[[#This Row],[Fee as Printed]]/MasterFees[[#This Row],[Total Units]])</f>
        <v>55</v>
      </c>
      <c r="T238" s="36"/>
      <c r="U238" s="39" t="s">
        <v>1012</v>
      </c>
      <c r="V238" s="39" t="s">
        <v>1439</v>
      </c>
      <c r="W238" s="30"/>
      <c r="X238" s="73" t="s">
        <v>3231</v>
      </c>
      <c r="Y238" s="127" t="str">
        <f>_xlfn.XLOOKUP(MasterFees[[#This Row],[Provider / Payer]],Contracts[Contract Name],Contracts[Contract ID],"No contract")</f>
        <v>CON-01</v>
      </c>
      <c r="Z238" s="127" t="str">
        <f>_xlfn.XLOOKUP(MasterFees[[#This Row],[Provider / Payer]],Contracts[Contract Name],Contracts[Pricing Basis],"To confirm")</f>
        <v>To confirm</v>
      </c>
      <c r="AA238" s="127" t="str">
        <f>IF(MasterFees[[#This Row],[Pricing Basis]]="Fixed fee schedule","Yes","No")</f>
        <v>No</v>
      </c>
      <c r="AB238" s="127" t="str">
        <f>IF(OR(MasterFees[[#This Row],[Fee Basis]]="Add-on",MasterFees[[#This Row],[Fee Basis]]="Time band",MasterFees[[#This Row],[Fee Basis]]="Other"),MasterFees[[#This Row],[Fee Basis]],"Base")</f>
        <v>Base</v>
      </c>
      <c r="AC238" s="141" t="str">
        <f>IF(MasterFees[[#This Row],[Fixed Fee?]]="Yes",MasterFees[[#This Row],[Fee Excl. GST]],"")</f>
        <v/>
      </c>
    </row>
    <row r="239" spans="1:29" x14ac:dyDescent="0.2">
      <c r="A239" s="67" t="s">
        <v>2170</v>
      </c>
      <c r="B239" s="31">
        <f>IF(MasterFees[[#This Row],[RVG Code]]="","",_xlfn.XLOOKUP(MasterFees[[#This Row],[RVG Code]],RVGCodes[Code],RVGCodes[Base Units],"Code not found"))</f>
        <v>5</v>
      </c>
      <c r="C23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3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39" s="125" t="s">
        <v>2601</v>
      </c>
      <c r="F239" s="48" t="s">
        <v>2569</v>
      </c>
      <c r="G239" s="30" t="s">
        <v>345</v>
      </c>
      <c r="H239" s="37" t="s">
        <v>1095</v>
      </c>
      <c r="I239" s="37"/>
      <c r="J239" s="37" t="s">
        <v>1096</v>
      </c>
      <c r="K239" s="32">
        <v>3.5</v>
      </c>
      <c r="L239" s="32">
        <v>2.6</v>
      </c>
      <c r="M239" s="32">
        <v>0.3</v>
      </c>
      <c r="N239" s="32">
        <v>6.4</v>
      </c>
      <c r="O239" s="33">
        <v>352</v>
      </c>
      <c r="P239" s="38" t="s">
        <v>1014</v>
      </c>
      <c r="Q239" s="34" t="str">
        <f>IF(MasterFees[[#This Row],[GST Basis]]="Excl",MasterFees[[#This Row],[Fee as Printed]],IF(MasterFees[[#This Row],[GST Basis]]="Incl",MasterFees[[#This Row],[Fee as Printed]]/(1+GST_Rate),""))</f>
        <v/>
      </c>
      <c r="R239" s="34" t="str">
        <f>IF(MasterFees[[#This Row],[GST Basis]]="Incl",MasterFees[[#This Row],[Fee as Printed]],IF(MasterFees[[#This Row],[GST Basis]]="Excl",MasterFees[[#This Row],[Fee as Printed]]*(1+GST_Rate),""))</f>
        <v/>
      </c>
      <c r="S239" s="35">
        <f>IF(N(MasterFees[[#This Row],[Total Units]])=0,"",MasterFees[[#This Row],[Fee as Printed]]/MasterFees[[#This Row],[Total Units]])</f>
        <v>55</v>
      </c>
      <c r="T239" s="36"/>
      <c r="U239" s="39" t="s">
        <v>1012</v>
      </c>
      <c r="V239" s="39" t="s">
        <v>1440</v>
      </c>
      <c r="W239" s="30"/>
      <c r="X239" s="73" t="s">
        <v>3232</v>
      </c>
      <c r="Y239" s="127" t="str">
        <f>_xlfn.XLOOKUP(MasterFees[[#This Row],[Provider / Payer]],Contracts[Contract Name],Contracts[Contract ID],"No contract")</f>
        <v>CON-01</v>
      </c>
      <c r="Z239" s="127" t="str">
        <f>_xlfn.XLOOKUP(MasterFees[[#This Row],[Provider / Payer]],Contracts[Contract Name],Contracts[Pricing Basis],"To confirm")</f>
        <v>To confirm</v>
      </c>
      <c r="AA239" s="127" t="str">
        <f>IF(MasterFees[[#This Row],[Pricing Basis]]="Fixed fee schedule","Yes","No")</f>
        <v>No</v>
      </c>
      <c r="AB239" s="127" t="str">
        <f>IF(OR(MasterFees[[#This Row],[Fee Basis]]="Add-on",MasterFees[[#This Row],[Fee Basis]]="Time band",MasterFees[[#This Row],[Fee Basis]]="Other"),MasterFees[[#This Row],[Fee Basis]],"Base")</f>
        <v>Base</v>
      </c>
      <c r="AC239" s="141" t="str">
        <f>IF(MasterFees[[#This Row],[Fixed Fee?]]="Yes",MasterFees[[#This Row],[Fee Excl. GST]],"")</f>
        <v/>
      </c>
    </row>
    <row r="240" spans="1:29" x14ac:dyDescent="0.2">
      <c r="A240" s="67" t="s">
        <v>2170</v>
      </c>
      <c r="B240" s="31">
        <f>IF(MasterFees[[#This Row],[RVG Code]]="","",_xlfn.XLOOKUP(MasterFees[[#This Row],[RVG Code]],RVGCodes[Code],RVGCodes[Base Units],"Code not found"))</f>
        <v>5</v>
      </c>
      <c r="C24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4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40" s="125" t="s">
        <v>2601</v>
      </c>
      <c r="F240" s="48" t="s">
        <v>2569</v>
      </c>
      <c r="G240" s="30" t="s">
        <v>346</v>
      </c>
      <c r="H240" s="37" t="s">
        <v>1095</v>
      </c>
      <c r="I240" s="37"/>
      <c r="J240" s="37" t="s">
        <v>1096</v>
      </c>
      <c r="K240" s="32">
        <v>0</v>
      </c>
      <c r="L240" s="32">
        <v>1</v>
      </c>
      <c r="M240" s="32">
        <v>0</v>
      </c>
      <c r="N240" s="32">
        <v>1</v>
      </c>
      <c r="O240" s="33">
        <v>55</v>
      </c>
      <c r="P240" s="38" t="s">
        <v>1014</v>
      </c>
      <c r="Q240" s="34" t="str">
        <f>IF(MasterFees[[#This Row],[GST Basis]]="Excl",MasterFees[[#This Row],[Fee as Printed]],IF(MasterFees[[#This Row],[GST Basis]]="Incl",MasterFees[[#This Row],[Fee as Printed]]/(1+GST_Rate),""))</f>
        <v/>
      </c>
      <c r="R240" s="34" t="str">
        <f>IF(MasterFees[[#This Row],[GST Basis]]="Incl",MasterFees[[#This Row],[Fee as Printed]],IF(MasterFees[[#This Row],[GST Basis]]="Excl",MasterFees[[#This Row],[Fee as Printed]]*(1+GST_Rate),""))</f>
        <v/>
      </c>
      <c r="S240" s="35">
        <f>IF(N(MasterFees[[#This Row],[Total Units]])=0,"",MasterFees[[#This Row],[Fee as Printed]]/MasterFees[[#This Row],[Total Units]])</f>
        <v>55</v>
      </c>
      <c r="T240" s="36"/>
      <c r="U240" s="39" t="s">
        <v>1012</v>
      </c>
      <c r="V240" s="39" t="s">
        <v>1441</v>
      </c>
      <c r="W240" s="30"/>
      <c r="X240" s="73" t="s">
        <v>3233</v>
      </c>
      <c r="Y240" s="127" t="str">
        <f>_xlfn.XLOOKUP(MasterFees[[#This Row],[Provider / Payer]],Contracts[Contract Name],Contracts[Contract ID],"No contract")</f>
        <v>CON-01</v>
      </c>
      <c r="Z240" s="127" t="str">
        <f>_xlfn.XLOOKUP(MasterFees[[#This Row],[Provider / Payer]],Contracts[Contract Name],Contracts[Pricing Basis],"To confirm")</f>
        <v>To confirm</v>
      </c>
      <c r="AA240" s="127" t="str">
        <f>IF(MasterFees[[#This Row],[Pricing Basis]]="Fixed fee schedule","Yes","No")</f>
        <v>No</v>
      </c>
      <c r="AB240" s="127" t="str">
        <f>IF(OR(MasterFees[[#This Row],[Fee Basis]]="Add-on",MasterFees[[#This Row],[Fee Basis]]="Time band",MasterFees[[#This Row],[Fee Basis]]="Other"),MasterFees[[#This Row],[Fee Basis]],"Base")</f>
        <v>Base</v>
      </c>
      <c r="AC240" s="141" t="str">
        <f>IF(MasterFees[[#This Row],[Fixed Fee?]]="Yes",MasterFees[[#This Row],[Fee Excl. GST]],"")</f>
        <v/>
      </c>
    </row>
    <row r="241" spans="1:29" x14ac:dyDescent="0.2">
      <c r="A241" s="67" t="s">
        <v>2170</v>
      </c>
      <c r="B241" s="31">
        <f>IF(MasterFees[[#This Row],[RVG Code]]="","",_xlfn.XLOOKUP(MasterFees[[#This Row],[RVG Code]],RVGCodes[Code],RVGCodes[Base Units],"Code not found"))</f>
        <v>5</v>
      </c>
      <c r="C24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4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41" s="125" t="s">
        <v>2601</v>
      </c>
      <c r="F241" s="48" t="s">
        <v>2569</v>
      </c>
      <c r="G241" s="30" t="s">
        <v>347</v>
      </c>
      <c r="H241" s="37" t="s">
        <v>1095</v>
      </c>
      <c r="I241" s="37"/>
      <c r="J241" s="37" t="s">
        <v>1096</v>
      </c>
      <c r="K241" s="32">
        <v>5</v>
      </c>
      <c r="L241" s="32">
        <v>2.8</v>
      </c>
      <c r="M241" s="32">
        <v>0.3</v>
      </c>
      <c r="N241" s="32">
        <v>8.1999999999999993</v>
      </c>
      <c r="O241" s="33">
        <v>448.8</v>
      </c>
      <c r="P241" s="38" t="s">
        <v>1014</v>
      </c>
      <c r="Q241" s="34" t="str">
        <f>IF(MasterFees[[#This Row],[GST Basis]]="Excl",MasterFees[[#This Row],[Fee as Printed]],IF(MasterFees[[#This Row],[GST Basis]]="Incl",MasterFees[[#This Row],[Fee as Printed]]/(1+GST_Rate),""))</f>
        <v/>
      </c>
      <c r="R241" s="34" t="str">
        <f>IF(MasterFees[[#This Row],[GST Basis]]="Incl",MasterFees[[#This Row],[Fee as Printed]],IF(MasterFees[[#This Row],[GST Basis]]="Excl",MasterFees[[#This Row],[Fee as Printed]]*(1+GST_Rate),""))</f>
        <v/>
      </c>
      <c r="S241" s="35">
        <f>IF(N(MasterFees[[#This Row],[Total Units]])=0,"",MasterFees[[#This Row],[Fee as Printed]]/MasterFees[[#This Row],[Total Units]])</f>
        <v>54.73170731707318</v>
      </c>
      <c r="T241" s="36"/>
      <c r="U241" s="39" t="s">
        <v>1012</v>
      </c>
      <c r="V241" s="39" t="s">
        <v>1442</v>
      </c>
      <c r="W241" s="30"/>
      <c r="X241" s="73" t="s">
        <v>3234</v>
      </c>
      <c r="Y241" s="127" t="str">
        <f>_xlfn.XLOOKUP(MasterFees[[#This Row],[Provider / Payer]],Contracts[Contract Name],Contracts[Contract ID],"No contract")</f>
        <v>CON-01</v>
      </c>
      <c r="Z241" s="127" t="str">
        <f>_xlfn.XLOOKUP(MasterFees[[#This Row],[Provider / Payer]],Contracts[Contract Name],Contracts[Pricing Basis],"To confirm")</f>
        <v>To confirm</v>
      </c>
      <c r="AA241" s="127" t="str">
        <f>IF(MasterFees[[#This Row],[Pricing Basis]]="Fixed fee schedule","Yes","No")</f>
        <v>No</v>
      </c>
      <c r="AB241" s="127" t="str">
        <f>IF(OR(MasterFees[[#This Row],[Fee Basis]]="Add-on",MasterFees[[#This Row],[Fee Basis]]="Time band",MasterFees[[#This Row],[Fee Basis]]="Other"),MasterFees[[#This Row],[Fee Basis]],"Base")</f>
        <v>Base</v>
      </c>
      <c r="AC241" s="141" t="str">
        <f>IF(MasterFees[[#This Row],[Fixed Fee?]]="Yes",MasterFees[[#This Row],[Fee Excl. GST]],"")</f>
        <v/>
      </c>
    </row>
    <row r="242" spans="1:29" x14ac:dyDescent="0.2">
      <c r="A242" s="67" t="s">
        <v>2170</v>
      </c>
      <c r="B242" s="31">
        <f>IF(MasterFees[[#This Row],[RVG Code]]="","",_xlfn.XLOOKUP(MasterFees[[#This Row],[RVG Code]],RVGCodes[Code],RVGCodes[Base Units],"Code not found"))</f>
        <v>5</v>
      </c>
      <c r="C24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4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42" s="125" t="s">
        <v>2601</v>
      </c>
      <c r="F242" s="48" t="s">
        <v>2569</v>
      </c>
      <c r="G242" s="30" t="s">
        <v>348</v>
      </c>
      <c r="H242" s="37" t="s">
        <v>1095</v>
      </c>
      <c r="I242" s="37"/>
      <c r="J242" s="37" t="s">
        <v>1096</v>
      </c>
      <c r="K242" s="32">
        <v>5</v>
      </c>
      <c r="L242" s="32">
        <v>5</v>
      </c>
      <c r="M242" s="32">
        <v>1</v>
      </c>
      <c r="N242" s="32">
        <v>11</v>
      </c>
      <c r="O242" s="33">
        <v>605</v>
      </c>
      <c r="P242" s="38" t="s">
        <v>1014</v>
      </c>
      <c r="Q242" s="34" t="str">
        <f>IF(MasterFees[[#This Row],[GST Basis]]="Excl",MasterFees[[#This Row],[Fee as Printed]],IF(MasterFees[[#This Row],[GST Basis]]="Incl",MasterFees[[#This Row],[Fee as Printed]]/(1+GST_Rate),""))</f>
        <v/>
      </c>
      <c r="R242" s="34" t="str">
        <f>IF(MasterFees[[#This Row],[GST Basis]]="Incl",MasterFees[[#This Row],[Fee as Printed]],IF(MasterFees[[#This Row],[GST Basis]]="Excl",MasterFees[[#This Row],[Fee as Printed]]*(1+GST_Rate),""))</f>
        <v/>
      </c>
      <c r="S242" s="35">
        <f>IF(N(MasterFees[[#This Row],[Total Units]])=0,"",MasterFees[[#This Row],[Fee as Printed]]/MasterFees[[#This Row],[Total Units]])</f>
        <v>55</v>
      </c>
      <c r="T242" s="36"/>
      <c r="U242" s="39" t="s">
        <v>1012</v>
      </c>
      <c r="V242" s="39" t="s">
        <v>1443</v>
      </c>
      <c r="W242" s="30"/>
      <c r="X242" s="73" t="s">
        <v>3235</v>
      </c>
      <c r="Y242" s="127" t="str">
        <f>_xlfn.XLOOKUP(MasterFees[[#This Row],[Provider / Payer]],Contracts[Contract Name],Contracts[Contract ID],"No contract")</f>
        <v>CON-01</v>
      </c>
      <c r="Z242" s="127" t="str">
        <f>_xlfn.XLOOKUP(MasterFees[[#This Row],[Provider / Payer]],Contracts[Contract Name],Contracts[Pricing Basis],"To confirm")</f>
        <v>To confirm</v>
      </c>
      <c r="AA242" s="127" t="str">
        <f>IF(MasterFees[[#This Row],[Pricing Basis]]="Fixed fee schedule","Yes","No")</f>
        <v>No</v>
      </c>
      <c r="AB242" s="127" t="str">
        <f>IF(OR(MasterFees[[#This Row],[Fee Basis]]="Add-on",MasterFees[[#This Row],[Fee Basis]]="Time band",MasterFees[[#This Row],[Fee Basis]]="Other"),MasterFees[[#This Row],[Fee Basis]],"Base")</f>
        <v>Base</v>
      </c>
      <c r="AC242" s="141" t="str">
        <f>IF(MasterFees[[#This Row],[Fixed Fee?]]="Yes",MasterFees[[#This Row],[Fee Excl. GST]],"")</f>
        <v/>
      </c>
    </row>
    <row r="243" spans="1:29" x14ac:dyDescent="0.2">
      <c r="A243" s="67" t="s">
        <v>2170</v>
      </c>
      <c r="B243" s="31">
        <f>IF(MasterFees[[#This Row],[RVG Code]]="","",_xlfn.XLOOKUP(MasterFees[[#This Row],[RVG Code]],RVGCodes[Code],RVGCodes[Base Units],"Code not found"))</f>
        <v>5</v>
      </c>
      <c r="C24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4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43" s="125" t="s">
        <v>2601</v>
      </c>
      <c r="F243" s="48" t="s">
        <v>2569</v>
      </c>
      <c r="G243" s="30" t="s">
        <v>349</v>
      </c>
      <c r="H243" s="37" t="s">
        <v>1095</v>
      </c>
      <c r="I243" s="37"/>
      <c r="J243" s="37" t="s">
        <v>1096</v>
      </c>
      <c r="K243" s="32">
        <v>3.6</v>
      </c>
      <c r="L243" s="32">
        <v>1.9</v>
      </c>
      <c r="M243" s="32">
        <v>0</v>
      </c>
      <c r="N243" s="32">
        <v>5.4</v>
      </c>
      <c r="O243" s="33">
        <v>298.10000000000002</v>
      </c>
      <c r="P243" s="38" t="s">
        <v>1014</v>
      </c>
      <c r="Q243" s="34" t="str">
        <f>IF(MasterFees[[#This Row],[GST Basis]]="Excl",MasterFees[[#This Row],[Fee as Printed]],IF(MasterFees[[#This Row],[GST Basis]]="Incl",MasterFees[[#This Row],[Fee as Printed]]/(1+GST_Rate),""))</f>
        <v/>
      </c>
      <c r="R243" s="34" t="str">
        <f>IF(MasterFees[[#This Row],[GST Basis]]="Incl",MasterFees[[#This Row],[Fee as Printed]],IF(MasterFees[[#This Row],[GST Basis]]="Excl",MasterFees[[#This Row],[Fee as Printed]]*(1+GST_Rate),""))</f>
        <v/>
      </c>
      <c r="S243" s="35">
        <f>IF(N(MasterFees[[#This Row],[Total Units]])=0,"",MasterFees[[#This Row],[Fee as Printed]]/MasterFees[[#This Row],[Total Units]])</f>
        <v>55.203703703703702</v>
      </c>
      <c r="T243" s="36"/>
      <c r="U243" s="39" t="s">
        <v>1012</v>
      </c>
      <c r="V243" s="39" t="s">
        <v>1444</v>
      </c>
      <c r="W243" s="30"/>
      <c r="X243" s="73" t="s">
        <v>3236</v>
      </c>
      <c r="Y243" s="127" t="str">
        <f>_xlfn.XLOOKUP(MasterFees[[#This Row],[Provider / Payer]],Contracts[Contract Name],Contracts[Contract ID],"No contract")</f>
        <v>CON-01</v>
      </c>
      <c r="Z243" s="127" t="str">
        <f>_xlfn.XLOOKUP(MasterFees[[#This Row],[Provider / Payer]],Contracts[Contract Name],Contracts[Pricing Basis],"To confirm")</f>
        <v>To confirm</v>
      </c>
      <c r="AA243" s="127" t="str">
        <f>IF(MasterFees[[#This Row],[Pricing Basis]]="Fixed fee schedule","Yes","No")</f>
        <v>No</v>
      </c>
      <c r="AB243" s="127" t="str">
        <f>IF(OR(MasterFees[[#This Row],[Fee Basis]]="Add-on",MasterFees[[#This Row],[Fee Basis]]="Time band",MasterFees[[#This Row],[Fee Basis]]="Other"),MasterFees[[#This Row],[Fee Basis]],"Base")</f>
        <v>Base</v>
      </c>
      <c r="AC243" s="141" t="str">
        <f>IF(MasterFees[[#This Row],[Fixed Fee?]]="Yes",MasterFees[[#This Row],[Fee Excl. GST]],"")</f>
        <v/>
      </c>
    </row>
    <row r="244" spans="1:29" x14ac:dyDescent="0.2">
      <c r="A244" s="67" t="s">
        <v>2170</v>
      </c>
      <c r="B244" s="31">
        <f>IF(MasterFees[[#This Row],[RVG Code]]="","",_xlfn.XLOOKUP(MasterFees[[#This Row],[RVG Code]],RVGCodes[Code],RVGCodes[Base Units],"Code not found"))</f>
        <v>5</v>
      </c>
      <c r="C24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4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44" s="125" t="s">
        <v>2601</v>
      </c>
      <c r="F244" s="48" t="s">
        <v>2569</v>
      </c>
      <c r="G244" s="30" t="s">
        <v>350</v>
      </c>
      <c r="H244" s="37" t="s">
        <v>1095</v>
      </c>
      <c r="I244" s="37"/>
      <c r="J244" s="37" t="s">
        <v>1096</v>
      </c>
      <c r="K244" s="32">
        <v>5</v>
      </c>
      <c r="L244" s="32">
        <v>3.1</v>
      </c>
      <c r="M244" s="32">
        <v>0.4</v>
      </c>
      <c r="N244" s="32">
        <v>8.5</v>
      </c>
      <c r="O244" s="33">
        <v>466.95</v>
      </c>
      <c r="P244" s="38" t="s">
        <v>1014</v>
      </c>
      <c r="Q244" s="34" t="str">
        <f>IF(MasterFees[[#This Row],[GST Basis]]="Excl",MasterFees[[#This Row],[Fee as Printed]],IF(MasterFees[[#This Row],[GST Basis]]="Incl",MasterFees[[#This Row],[Fee as Printed]]/(1+GST_Rate),""))</f>
        <v/>
      </c>
      <c r="R244" s="34" t="str">
        <f>IF(MasterFees[[#This Row],[GST Basis]]="Incl",MasterFees[[#This Row],[Fee as Printed]],IF(MasterFees[[#This Row],[GST Basis]]="Excl",MasterFees[[#This Row],[Fee as Printed]]*(1+GST_Rate),""))</f>
        <v/>
      </c>
      <c r="S244" s="35">
        <f>IF(N(MasterFees[[#This Row],[Total Units]])=0,"",MasterFees[[#This Row],[Fee as Printed]]/MasterFees[[#This Row],[Total Units]])</f>
        <v>54.935294117647061</v>
      </c>
      <c r="T244" s="36"/>
      <c r="U244" s="39" t="s">
        <v>1012</v>
      </c>
      <c r="V244" s="39" t="s">
        <v>1445</v>
      </c>
      <c r="W244" s="30"/>
      <c r="X244" s="73" t="s">
        <v>3237</v>
      </c>
      <c r="Y244" s="127" t="str">
        <f>_xlfn.XLOOKUP(MasterFees[[#This Row],[Provider / Payer]],Contracts[Contract Name],Contracts[Contract ID],"No contract")</f>
        <v>CON-01</v>
      </c>
      <c r="Z244" s="127" t="str">
        <f>_xlfn.XLOOKUP(MasterFees[[#This Row],[Provider / Payer]],Contracts[Contract Name],Contracts[Pricing Basis],"To confirm")</f>
        <v>To confirm</v>
      </c>
      <c r="AA244" s="127" t="str">
        <f>IF(MasterFees[[#This Row],[Pricing Basis]]="Fixed fee schedule","Yes","No")</f>
        <v>No</v>
      </c>
      <c r="AB244" s="127" t="str">
        <f>IF(OR(MasterFees[[#This Row],[Fee Basis]]="Add-on",MasterFees[[#This Row],[Fee Basis]]="Time band",MasterFees[[#This Row],[Fee Basis]]="Other"),MasterFees[[#This Row],[Fee Basis]],"Base")</f>
        <v>Base</v>
      </c>
      <c r="AC244" s="141" t="str">
        <f>IF(MasterFees[[#This Row],[Fixed Fee?]]="Yes",MasterFees[[#This Row],[Fee Excl. GST]],"")</f>
        <v/>
      </c>
    </row>
    <row r="245" spans="1:29" x14ac:dyDescent="0.2">
      <c r="A245" s="67" t="s">
        <v>2170</v>
      </c>
      <c r="B245" s="31">
        <f>IF(MasterFees[[#This Row],[RVG Code]]="","",_xlfn.XLOOKUP(MasterFees[[#This Row],[RVG Code]],RVGCodes[Code],RVGCodes[Base Units],"Code not found"))</f>
        <v>5</v>
      </c>
      <c r="C24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4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45" s="125" t="s">
        <v>2601</v>
      </c>
      <c r="F245" s="48" t="s">
        <v>2569</v>
      </c>
      <c r="G245" s="30" t="s">
        <v>352</v>
      </c>
      <c r="H245" s="37" t="s">
        <v>1095</v>
      </c>
      <c r="I245" s="37"/>
      <c r="J245" s="37" t="s">
        <v>1096</v>
      </c>
      <c r="K245" s="32">
        <v>0</v>
      </c>
      <c r="L245" s="32">
        <v>1</v>
      </c>
      <c r="M245" s="32">
        <v>0</v>
      </c>
      <c r="N245" s="32">
        <v>1</v>
      </c>
      <c r="O245" s="33">
        <v>55</v>
      </c>
      <c r="P245" s="38" t="s">
        <v>1014</v>
      </c>
      <c r="Q245" s="34" t="str">
        <f>IF(MasterFees[[#This Row],[GST Basis]]="Excl",MasterFees[[#This Row],[Fee as Printed]],IF(MasterFees[[#This Row],[GST Basis]]="Incl",MasterFees[[#This Row],[Fee as Printed]]/(1+GST_Rate),""))</f>
        <v/>
      </c>
      <c r="R245" s="34" t="str">
        <f>IF(MasterFees[[#This Row],[GST Basis]]="Incl",MasterFees[[#This Row],[Fee as Printed]],IF(MasterFees[[#This Row],[GST Basis]]="Excl",MasterFees[[#This Row],[Fee as Printed]]*(1+GST_Rate),""))</f>
        <v/>
      </c>
      <c r="S245" s="35">
        <f>IF(N(MasterFees[[#This Row],[Total Units]])=0,"",MasterFees[[#This Row],[Fee as Printed]]/MasterFees[[#This Row],[Total Units]])</f>
        <v>55</v>
      </c>
      <c r="T245" s="36"/>
      <c r="U245" s="39" t="s">
        <v>1012</v>
      </c>
      <c r="V245" s="39" t="s">
        <v>1447</v>
      </c>
      <c r="W245" s="30"/>
      <c r="X245" s="73" t="s">
        <v>3239</v>
      </c>
      <c r="Y245" s="127" t="str">
        <f>_xlfn.XLOOKUP(MasterFees[[#This Row],[Provider / Payer]],Contracts[Contract Name],Contracts[Contract ID],"No contract")</f>
        <v>CON-01</v>
      </c>
      <c r="Z245" s="127" t="str">
        <f>_xlfn.XLOOKUP(MasterFees[[#This Row],[Provider / Payer]],Contracts[Contract Name],Contracts[Pricing Basis],"To confirm")</f>
        <v>To confirm</v>
      </c>
      <c r="AA245" s="127" t="str">
        <f>IF(MasterFees[[#This Row],[Pricing Basis]]="Fixed fee schedule","Yes","No")</f>
        <v>No</v>
      </c>
      <c r="AB245" s="127" t="str">
        <f>IF(OR(MasterFees[[#This Row],[Fee Basis]]="Add-on",MasterFees[[#This Row],[Fee Basis]]="Time band",MasterFees[[#This Row],[Fee Basis]]="Other"),MasterFees[[#This Row],[Fee Basis]],"Base")</f>
        <v>Base</v>
      </c>
      <c r="AC245" s="141" t="str">
        <f>IF(MasterFees[[#This Row],[Fixed Fee?]]="Yes",MasterFees[[#This Row],[Fee Excl. GST]],"")</f>
        <v/>
      </c>
    </row>
    <row r="246" spans="1:29" x14ac:dyDescent="0.2">
      <c r="A246" s="67" t="s">
        <v>2170</v>
      </c>
      <c r="B246" s="31">
        <f>IF(MasterFees[[#This Row],[RVG Code]]="","",_xlfn.XLOOKUP(MasterFees[[#This Row],[RVG Code]],RVGCodes[Code],RVGCodes[Base Units],"Code not found"))</f>
        <v>5</v>
      </c>
      <c r="C24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4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46" s="125" t="s">
        <v>2601</v>
      </c>
      <c r="F246" s="48" t="s">
        <v>2569</v>
      </c>
      <c r="G246" s="30" t="s">
        <v>351</v>
      </c>
      <c r="H246" s="37" t="s">
        <v>1095</v>
      </c>
      <c r="I246" s="37"/>
      <c r="J246" s="37" t="s">
        <v>1096</v>
      </c>
      <c r="K246" s="32">
        <v>5</v>
      </c>
      <c r="L246" s="32">
        <v>3</v>
      </c>
      <c r="M246" s="32">
        <v>0</v>
      </c>
      <c r="N246" s="32">
        <v>8</v>
      </c>
      <c r="O246" s="33">
        <v>440</v>
      </c>
      <c r="P246" s="38" t="s">
        <v>1014</v>
      </c>
      <c r="Q246" s="34" t="str">
        <f>IF(MasterFees[[#This Row],[GST Basis]]="Excl",MasterFees[[#This Row],[Fee as Printed]],IF(MasterFees[[#This Row],[GST Basis]]="Incl",MasterFees[[#This Row],[Fee as Printed]]/(1+GST_Rate),""))</f>
        <v/>
      </c>
      <c r="R246" s="34" t="str">
        <f>IF(MasterFees[[#This Row],[GST Basis]]="Incl",MasterFees[[#This Row],[Fee as Printed]],IF(MasterFees[[#This Row],[GST Basis]]="Excl",MasterFees[[#This Row],[Fee as Printed]]*(1+GST_Rate),""))</f>
        <v/>
      </c>
      <c r="S246" s="35">
        <f>IF(N(MasterFees[[#This Row],[Total Units]])=0,"",MasterFees[[#This Row],[Fee as Printed]]/MasterFees[[#This Row],[Total Units]])</f>
        <v>55</v>
      </c>
      <c r="T246" s="36"/>
      <c r="U246" s="39" t="s">
        <v>1012</v>
      </c>
      <c r="V246" s="39" t="s">
        <v>1446</v>
      </c>
      <c r="W246" s="30"/>
      <c r="X246" s="73" t="s">
        <v>3238</v>
      </c>
      <c r="Y246" s="127" t="str">
        <f>_xlfn.XLOOKUP(MasterFees[[#This Row],[Provider / Payer]],Contracts[Contract Name],Contracts[Contract ID],"No contract")</f>
        <v>CON-01</v>
      </c>
      <c r="Z246" s="127" t="str">
        <f>_xlfn.XLOOKUP(MasterFees[[#This Row],[Provider / Payer]],Contracts[Contract Name],Contracts[Pricing Basis],"To confirm")</f>
        <v>To confirm</v>
      </c>
      <c r="AA246" s="127" t="str">
        <f>IF(MasterFees[[#This Row],[Pricing Basis]]="Fixed fee schedule","Yes","No")</f>
        <v>No</v>
      </c>
      <c r="AB246" s="127" t="str">
        <f>IF(OR(MasterFees[[#This Row],[Fee Basis]]="Add-on",MasterFees[[#This Row],[Fee Basis]]="Time band",MasterFees[[#This Row],[Fee Basis]]="Other"),MasterFees[[#This Row],[Fee Basis]],"Base")</f>
        <v>Base</v>
      </c>
      <c r="AC246" s="141" t="str">
        <f>IF(MasterFees[[#This Row],[Fixed Fee?]]="Yes",MasterFees[[#This Row],[Fee Excl. GST]],"")</f>
        <v/>
      </c>
    </row>
    <row r="247" spans="1:29" x14ac:dyDescent="0.2">
      <c r="A247" s="67" t="s">
        <v>2170</v>
      </c>
      <c r="B247" s="31">
        <f>IF(MasterFees[[#This Row],[RVG Code]]="","",_xlfn.XLOOKUP(MasterFees[[#This Row],[RVG Code]],RVGCodes[Code],RVGCodes[Base Units],"Code not found"))</f>
        <v>5</v>
      </c>
      <c r="C24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4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47" s="125" t="s">
        <v>2601</v>
      </c>
      <c r="F247" s="48" t="s">
        <v>2569</v>
      </c>
      <c r="G247" s="30" t="s">
        <v>353</v>
      </c>
      <c r="H247" s="37" t="s">
        <v>1095</v>
      </c>
      <c r="I247" s="37"/>
      <c r="J247" s="37" t="s">
        <v>1096</v>
      </c>
      <c r="K247" s="32">
        <v>5</v>
      </c>
      <c r="L247" s="32">
        <v>4.2</v>
      </c>
      <c r="M247" s="32">
        <v>0.1</v>
      </c>
      <c r="N247" s="32">
        <v>9.1999999999999993</v>
      </c>
      <c r="O247" s="33">
        <v>507.1</v>
      </c>
      <c r="P247" s="38" t="s">
        <v>1014</v>
      </c>
      <c r="Q247" s="34" t="str">
        <f>IF(MasterFees[[#This Row],[GST Basis]]="Excl",MasterFees[[#This Row],[Fee as Printed]],IF(MasterFees[[#This Row],[GST Basis]]="Incl",MasterFees[[#This Row],[Fee as Printed]]/(1+GST_Rate),""))</f>
        <v/>
      </c>
      <c r="R247" s="34" t="str">
        <f>IF(MasterFees[[#This Row],[GST Basis]]="Incl",MasterFees[[#This Row],[Fee as Printed]],IF(MasterFees[[#This Row],[GST Basis]]="Excl",MasterFees[[#This Row],[Fee as Printed]]*(1+GST_Rate),""))</f>
        <v/>
      </c>
      <c r="S247" s="35">
        <f>IF(N(MasterFees[[#This Row],[Total Units]])=0,"",MasterFees[[#This Row],[Fee as Printed]]/MasterFees[[#This Row],[Total Units]])</f>
        <v>55.119565217391312</v>
      </c>
      <c r="T247" s="36"/>
      <c r="U247" s="39" t="s">
        <v>1012</v>
      </c>
      <c r="V247" s="39" t="s">
        <v>1448</v>
      </c>
      <c r="W247" s="30"/>
      <c r="X247" s="73" t="s">
        <v>3240</v>
      </c>
      <c r="Y247" s="127" t="str">
        <f>_xlfn.XLOOKUP(MasterFees[[#This Row],[Provider / Payer]],Contracts[Contract Name],Contracts[Contract ID],"No contract")</f>
        <v>CON-01</v>
      </c>
      <c r="Z247" s="127" t="str">
        <f>_xlfn.XLOOKUP(MasterFees[[#This Row],[Provider / Payer]],Contracts[Contract Name],Contracts[Pricing Basis],"To confirm")</f>
        <v>To confirm</v>
      </c>
      <c r="AA247" s="127" t="str">
        <f>IF(MasterFees[[#This Row],[Pricing Basis]]="Fixed fee schedule","Yes","No")</f>
        <v>No</v>
      </c>
      <c r="AB247" s="127" t="str">
        <f>IF(OR(MasterFees[[#This Row],[Fee Basis]]="Add-on",MasterFees[[#This Row],[Fee Basis]]="Time band",MasterFees[[#This Row],[Fee Basis]]="Other"),MasterFees[[#This Row],[Fee Basis]],"Base")</f>
        <v>Base</v>
      </c>
      <c r="AC247" s="141" t="str">
        <f>IF(MasterFees[[#This Row],[Fixed Fee?]]="Yes",MasterFees[[#This Row],[Fee Excl. GST]],"")</f>
        <v/>
      </c>
    </row>
    <row r="248" spans="1:29" x14ac:dyDescent="0.2">
      <c r="A248" s="67" t="s">
        <v>2170</v>
      </c>
      <c r="B248" s="31">
        <f>IF(MasterFees[[#This Row],[RVG Code]]="","",_xlfn.XLOOKUP(MasterFees[[#This Row],[RVG Code]],RVGCodes[Code],RVGCodes[Base Units],"Code not found"))</f>
        <v>5</v>
      </c>
      <c r="C24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4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48" s="125" t="s">
        <v>2601</v>
      </c>
      <c r="F248" s="48" t="s">
        <v>2569</v>
      </c>
      <c r="G248" s="30" t="s">
        <v>377</v>
      </c>
      <c r="H248" s="37" t="s">
        <v>1095</v>
      </c>
      <c r="I248" s="37"/>
      <c r="J248" s="37" t="s">
        <v>1096</v>
      </c>
      <c r="K248" s="32">
        <v>4.9000000000000004</v>
      </c>
      <c r="L248" s="32">
        <v>4</v>
      </c>
      <c r="M248" s="32">
        <v>0.1</v>
      </c>
      <c r="N248" s="32">
        <v>9</v>
      </c>
      <c r="O248" s="33">
        <v>493.9</v>
      </c>
      <c r="P248" s="38" t="s">
        <v>1014</v>
      </c>
      <c r="Q248" s="34" t="str">
        <f>IF(MasterFees[[#This Row],[GST Basis]]="Excl",MasterFees[[#This Row],[Fee as Printed]],IF(MasterFees[[#This Row],[GST Basis]]="Incl",MasterFees[[#This Row],[Fee as Printed]]/(1+GST_Rate),""))</f>
        <v/>
      </c>
      <c r="R248" s="34" t="str">
        <f>IF(MasterFees[[#This Row],[GST Basis]]="Incl",MasterFees[[#This Row],[Fee as Printed]],IF(MasterFees[[#This Row],[GST Basis]]="Excl",MasterFees[[#This Row],[Fee as Printed]]*(1+GST_Rate),""))</f>
        <v/>
      </c>
      <c r="S248" s="35">
        <f>IF(N(MasterFees[[#This Row],[Total Units]])=0,"",MasterFees[[#This Row],[Fee as Printed]]/MasterFees[[#This Row],[Total Units]])</f>
        <v>54.877777777777773</v>
      </c>
      <c r="T248" s="36"/>
      <c r="U248" s="39" t="s">
        <v>1012</v>
      </c>
      <c r="V248" s="39" t="s">
        <v>1472</v>
      </c>
      <c r="W248" s="30"/>
      <c r="X248" s="73" t="s">
        <v>3264</v>
      </c>
      <c r="Y248" s="127" t="str">
        <f>_xlfn.XLOOKUP(MasterFees[[#This Row],[Provider / Payer]],Contracts[Contract Name],Contracts[Contract ID],"No contract")</f>
        <v>CON-01</v>
      </c>
      <c r="Z248" s="127" t="str">
        <f>_xlfn.XLOOKUP(MasterFees[[#This Row],[Provider / Payer]],Contracts[Contract Name],Contracts[Pricing Basis],"To confirm")</f>
        <v>To confirm</v>
      </c>
      <c r="AA248" s="127" t="str">
        <f>IF(MasterFees[[#This Row],[Pricing Basis]]="Fixed fee schedule","Yes","No")</f>
        <v>No</v>
      </c>
      <c r="AB248" s="127" t="str">
        <f>IF(OR(MasterFees[[#This Row],[Fee Basis]]="Add-on",MasterFees[[#This Row],[Fee Basis]]="Time band",MasterFees[[#This Row],[Fee Basis]]="Other"),MasterFees[[#This Row],[Fee Basis]],"Base")</f>
        <v>Base</v>
      </c>
      <c r="AC248" s="141" t="str">
        <f>IF(MasterFees[[#This Row],[Fixed Fee?]]="Yes",MasterFees[[#This Row],[Fee Excl. GST]],"")</f>
        <v/>
      </c>
    </row>
    <row r="249" spans="1:29" x14ac:dyDescent="0.2">
      <c r="A249" s="67" t="s">
        <v>2170</v>
      </c>
      <c r="B249" s="31">
        <f>IF(MasterFees[[#This Row],[RVG Code]]="","",_xlfn.XLOOKUP(MasterFees[[#This Row],[RVG Code]],RVGCodes[Code],RVGCodes[Base Units],"Code not found"))</f>
        <v>5</v>
      </c>
      <c r="C24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4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49" s="125" t="s">
        <v>2601</v>
      </c>
      <c r="F249" s="48" t="s">
        <v>2569</v>
      </c>
      <c r="G249" s="30" t="s">
        <v>548</v>
      </c>
      <c r="H249" s="37" t="s">
        <v>1095</v>
      </c>
      <c r="I249" s="37"/>
      <c r="J249" s="37" t="s">
        <v>1096</v>
      </c>
      <c r="K249" s="32">
        <v>0</v>
      </c>
      <c r="L249" s="32">
        <v>8</v>
      </c>
      <c r="M249" s="32">
        <v>0</v>
      </c>
      <c r="N249" s="32">
        <v>8</v>
      </c>
      <c r="O249" s="33">
        <v>440</v>
      </c>
      <c r="P249" s="38" t="s">
        <v>1014</v>
      </c>
      <c r="Q249" s="34" t="str">
        <f>IF(MasterFees[[#This Row],[GST Basis]]="Excl",MasterFees[[#This Row],[Fee as Printed]],IF(MasterFees[[#This Row],[GST Basis]]="Incl",MasterFees[[#This Row],[Fee as Printed]]/(1+GST_Rate),""))</f>
        <v/>
      </c>
      <c r="R249" s="34" t="str">
        <f>IF(MasterFees[[#This Row],[GST Basis]]="Incl",MasterFees[[#This Row],[Fee as Printed]],IF(MasterFees[[#This Row],[GST Basis]]="Excl",MasterFees[[#This Row],[Fee as Printed]]*(1+GST_Rate),""))</f>
        <v/>
      </c>
      <c r="S249" s="35">
        <f>IF(N(MasterFees[[#This Row],[Total Units]])=0,"",MasterFees[[#This Row],[Fee as Printed]]/MasterFees[[#This Row],[Total Units]])</f>
        <v>55</v>
      </c>
      <c r="T249" s="36"/>
      <c r="U249" s="39" t="s">
        <v>1012</v>
      </c>
      <c r="V249" s="39" t="s">
        <v>1644</v>
      </c>
      <c r="W249" s="30"/>
      <c r="X249" s="73" t="s">
        <v>3441</v>
      </c>
      <c r="Y249" s="127" t="str">
        <f>_xlfn.XLOOKUP(MasterFees[[#This Row],[Provider / Payer]],Contracts[Contract Name],Contracts[Contract ID],"No contract")</f>
        <v>CON-01</v>
      </c>
      <c r="Z249" s="127" t="str">
        <f>_xlfn.XLOOKUP(MasterFees[[#This Row],[Provider / Payer]],Contracts[Contract Name],Contracts[Pricing Basis],"To confirm")</f>
        <v>To confirm</v>
      </c>
      <c r="AA249" s="127" t="str">
        <f>IF(MasterFees[[#This Row],[Pricing Basis]]="Fixed fee schedule","Yes","No")</f>
        <v>No</v>
      </c>
      <c r="AB249" s="127" t="str">
        <f>IF(OR(MasterFees[[#This Row],[Fee Basis]]="Add-on",MasterFees[[#This Row],[Fee Basis]]="Time band",MasterFees[[#This Row],[Fee Basis]]="Other"),MasterFees[[#This Row],[Fee Basis]],"Base")</f>
        <v>Base</v>
      </c>
      <c r="AC249" s="141" t="str">
        <f>IF(MasterFees[[#This Row],[Fixed Fee?]]="Yes",MasterFees[[#This Row],[Fee Excl. GST]],"")</f>
        <v/>
      </c>
    </row>
    <row r="250" spans="1:29" x14ac:dyDescent="0.2">
      <c r="A250" s="67" t="s">
        <v>2170</v>
      </c>
      <c r="B250" s="31">
        <f>IF(MasterFees[[#This Row],[RVG Code]]="","",_xlfn.XLOOKUP(MasterFees[[#This Row],[RVG Code]],RVGCodes[Code],RVGCodes[Base Units],"Code not found"))</f>
        <v>5</v>
      </c>
      <c r="C25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5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50" s="125" t="s">
        <v>2601</v>
      </c>
      <c r="F250" s="48" t="s">
        <v>2569</v>
      </c>
      <c r="G250" s="30" t="s">
        <v>686</v>
      </c>
      <c r="H250" s="37" t="s">
        <v>1095</v>
      </c>
      <c r="I250" s="37"/>
      <c r="J250" s="37" t="s">
        <v>1096</v>
      </c>
      <c r="K250" s="32">
        <v>0</v>
      </c>
      <c r="L250" s="32">
        <v>1</v>
      </c>
      <c r="M250" s="32">
        <v>0</v>
      </c>
      <c r="N250" s="32">
        <v>1</v>
      </c>
      <c r="O250" s="33">
        <v>55</v>
      </c>
      <c r="P250" s="38" t="s">
        <v>1014</v>
      </c>
      <c r="Q250" s="34" t="str">
        <f>IF(MasterFees[[#This Row],[GST Basis]]="Excl",MasterFees[[#This Row],[Fee as Printed]],IF(MasterFees[[#This Row],[GST Basis]]="Incl",MasterFees[[#This Row],[Fee as Printed]]/(1+GST_Rate),""))</f>
        <v/>
      </c>
      <c r="R250" s="34" t="str">
        <f>IF(MasterFees[[#This Row],[GST Basis]]="Incl",MasterFees[[#This Row],[Fee as Printed]],IF(MasterFees[[#This Row],[GST Basis]]="Excl",MasterFees[[#This Row],[Fee as Printed]]*(1+GST_Rate),""))</f>
        <v/>
      </c>
      <c r="S250" s="35">
        <f>IF(N(MasterFees[[#This Row],[Total Units]])=0,"",MasterFees[[#This Row],[Fee as Printed]]/MasterFees[[#This Row],[Total Units]])</f>
        <v>55</v>
      </c>
      <c r="T250" s="36"/>
      <c r="U250" s="39" t="s">
        <v>1012</v>
      </c>
      <c r="V250" s="39" t="s">
        <v>1783</v>
      </c>
      <c r="W250" s="30"/>
      <c r="X250" s="73" t="s">
        <v>3585</v>
      </c>
      <c r="Y250" s="127" t="str">
        <f>_xlfn.XLOOKUP(MasterFees[[#This Row],[Provider / Payer]],Contracts[Contract Name],Contracts[Contract ID],"No contract")</f>
        <v>CON-01</v>
      </c>
      <c r="Z250" s="127" t="str">
        <f>_xlfn.XLOOKUP(MasterFees[[#This Row],[Provider / Payer]],Contracts[Contract Name],Contracts[Pricing Basis],"To confirm")</f>
        <v>To confirm</v>
      </c>
      <c r="AA250" s="127" t="str">
        <f>IF(MasterFees[[#This Row],[Pricing Basis]]="Fixed fee schedule","Yes","No")</f>
        <v>No</v>
      </c>
      <c r="AB250" s="127" t="str">
        <f>IF(OR(MasterFees[[#This Row],[Fee Basis]]="Add-on",MasterFees[[#This Row],[Fee Basis]]="Time band",MasterFees[[#This Row],[Fee Basis]]="Other"),MasterFees[[#This Row],[Fee Basis]],"Base")</f>
        <v>Base</v>
      </c>
      <c r="AC250" s="141" t="str">
        <f>IF(MasterFees[[#This Row],[Fixed Fee?]]="Yes",MasterFees[[#This Row],[Fee Excl. GST]],"")</f>
        <v/>
      </c>
    </row>
    <row r="251" spans="1:29" x14ac:dyDescent="0.2">
      <c r="A251" s="67" t="s">
        <v>2170</v>
      </c>
      <c r="B251" s="31">
        <f>IF(MasterFees[[#This Row],[RVG Code]]="","",_xlfn.XLOOKUP(MasterFees[[#This Row],[RVG Code]],RVGCodes[Code],RVGCodes[Base Units],"Code not found"))</f>
        <v>5</v>
      </c>
      <c r="C25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5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51" s="125" t="s">
        <v>2601</v>
      </c>
      <c r="F251" s="48" t="s">
        <v>2569</v>
      </c>
      <c r="G251" s="30" t="s">
        <v>716</v>
      </c>
      <c r="H251" s="37" t="s">
        <v>1095</v>
      </c>
      <c r="I251" s="37"/>
      <c r="J251" s="37" t="s">
        <v>1096</v>
      </c>
      <c r="K251" s="32">
        <v>5</v>
      </c>
      <c r="L251" s="32">
        <v>4.5</v>
      </c>
      <c r="M251" s="32">
        <v>0.3</v>
      </c>
      <c r="N251" s="32">
        <v>9.8000000000000007</v>
      </c>
      <c r="O251" s="33">
        <v>538.45000000000005</v>
      </c>
      <c r="P251" s="38" t="s">
        <v>1014</v>
      </c>
      <c r="Q251" s="34" t="str">
        <f>IF(MasterFees[[#This Row],[GST Basis]]="Excl",MasterFees[[#This Row],[Fee as Printed]],IF(MasterFees[[#This Row],[GST Basis]]="Incl",MasterFees[[#This Row],[Fee as Printed]]/(1+GST_Rate),""))</f>
        <v/>
      </c>
      <c r="R251" s="34" t="str">
        <f>IF(MasterFees[[#This Row],[GST Basis]]="Incl",MasterFees[[#This Row],[Fee as Printed]],IF(MasterFees[[#This Row],[GST Basis]]="Excl",MasterFees[[#This Row],[Fee as Printed]]*(1+GST_Rate),""))</f>
        <v/>
      </c>
      <c r="S251" s="35">
        <f>IF(N(MasterFees[[#This Row],[Total Units]])=0,"",MasterFees[[#This Row],[Fee as Printed]]/MasterFees[[#This Row],[Total Units]])</f>
        <v>54.943877551020407</v>
      </c>
      <c r="T251" s="36"/>
      <c r="U251" s="39" t="s">
        <v>1012</v>
      </c>
      <c r="V251" s="39" t="s">
        <v>1813</v>
      </c>
      <c r="W251" s="30"/>
      <c r="X251" s="73" t="s">
        <v>3616</v>
      </c>
      <c r="Y251" s="127" t="str">
        <f>_xlfn.XLOOKUP(MasterFees[[#This Row],[Provider / Payer]],Contracts[Contract Name],Contracts[Contract ID],"No contract")</f>
        <v>CON-01</v>
      </c>
      <c r="Z251" s="127" t="str">
        <f>_xlfn.XLOOKUP(MasterFees[[#This Row],[Provider / Payer]],Contracts[Contract Name],Contracts[Pricing Basis],"To confirm")</f>
        <v>To confirm</v>
      </c>
      <c r="AA251" s="127" t="str">
        <f>IF(MasterFees[[#This Row],[Pricing Basis]]="Fixed fee schedule","Yes","No")</f>
        <v>No</v>
      </c>
      <c r="AB251" s="127" t="str">
        <f>IF(OR(MasterFees[[#This Row],[Fee Basis]]="Add-on",MasterFees[[#This Row],[Fee Basis]]="Time band",MasterFees[[#This Row],[Fee Basis]]="Other"),MasterFees[[#This Row],[Fee Basis]],"Base")</f>
        <v>Base</v>
      </c>
      <c r="AC251" s="141" t="str">
        <f>IF(MasterFees[[#This Row],[Fixed Fee?]]="Yes",MasterFees[[#This Row],[Fee Excl. GST]],"")</f>
        <v/>
      </c>
    </row>
    <row r="252" spans="1:29" x14ac:dyDescent="0.2">
      <c r="A252" s="67" t="s">
        <v>2170</v>
      </c>
      <c r="B252" s="31">
        <f>IF(MasterFees[[#This Row],[RVG Code]]="","",_xlfn.XLOOKUP(MasterFees[[#This Row],[RVG Code]],RVGCodes[Code],RVGCodes[Base Units],"Code not found"))</f>
        <v>5</v>
      </c>
      <c r="C25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5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52" s="125" t="s">
        <v>2601</v>
      </c>
      <c r="F252" s="48" t="s">
        <v>2569</v>
      </c>
      <c r="G252" s="30" t="s">
        <v>717</v>
      </c>
      <c r="H252" s="37" t="s">
        <v>1095</v>
      </c>
      <c r="I252" s="37"/>
      <c r="J252" s="37" t="s">
        <v>1096</v>
      </c>
      <c r="K252" s="32">
        <v>3.3</v>
      </c>
      <c r="L252" s="32">
        <v>4.3</v>
      </c>
      <c r="M252" s="32">
        <v>0.3</v>
      </c>
      <c r="N252" s="32">
        <v>8</v>
      </c>
      <c r="O252" s="33">
        <v>439.45</v>
      </c>
      <c r="P252" s="38" t="s">
        <v>1014</v>
      </c>
      <c r="Q252" s="34" t="str">
        <f>IF(MasterFees[[#This Row],[GST Basis]]="Excl",MasterFees[[#This Row],[Fee as Printed]],IF(MasterFees[[#This Row],[GST Basis]]="Incl",MasterFees[[#This Row],[Fee as Printed]]/(1+GST_Rate),""))</f>
        <v/>
      </c>
      <c r="R252" s="34" t="str">
        <f>IF(MasterFees[[#This Row],[GST Basis]]="Incl",MasterFees[[#This Row],[Fee as Printed]],IF(MasterFees[[#This Row],[GST Basis]]="Excl",MasterFees[[#This Row],[Fee as Printed]]*(1+GST_Rate),""))</f>
        <v/>
      </c>
      <c r="S252" s="35">
        <f>IF(N(MasterFees[[#This Row],[Total Units]])=0,"",MasterFees[[#This Row],[Fee as Printed]]/MasterFees[[#This Row],[Total Units]])</f>
        <v>54.931249999999999</v>
      </c>
      <c r="T252" s="36"/>
      <c r="U252" s="39" t="s">
        <v>1012</v>
      </c>
      <c r="V252" s="39" t="s">
        <v>1814</v>
      </c>
      <c r="W252" s="30"/>
      <c r="X252" s="73" t="s">
        <v>3617</v>
      </c>
      <c r="Y252" s="127" t="str">
        <f>_xlfn.XLOOKUP(MasterFees[[#This Row],[Provider / Payer]],Contracts[Contract Name],Contracts[Contract ID],"No contract")</f>
        <v>CON-01</v>
      </c>
      <c r="Z252" s="127" t="str">
        <f>_xlfn.XLOOKUP(MasterFees[[#This Row],[Provider / Payer]],Contracts[Contract Name],Contracts[Pricing Basis],"To confirm")</f>
        <v>To confirm</v>
      </c>
      <c r="AA252" s="127" t="str">
        <f>IF(MasterFees[[#This Row],[Pricing Basis]]="Fixed fee schedule","Yes","No")</f>
        <v>No</v>
      </c>
      <c r="AB252" s="127" t="str">
        <f>IF(OR(MasterFees[[#This Row],[Fee Basis]]="Add-on",MasterFees[[#This Row],[Fee Basis]]="Time band",MasterFees[[#This Row],[Fee Basis]]="Other"),MasterFees[[#This Row],[Fee Basis]],"Base")</f>
        <v>Base</v>
      </c>
      <c r="AC252" s="141" t="str">
        <f>IF(MasterFees[[#This Row],[Fixed Fee?]]="Yes",MasterFees[[#This Row],[Fee Excl. GST]],"")</f>
        <v/>
      </c>
    </row>
    <row r="253" spans="1:29" x14ac:dyDescent="0.2">
      <c r="A253" s="67" t="s">
        <v>2170</v>
      </c>
      <c r="B253" s="31">
        <f>IF(MasterFees[[#This Row],[RVG Code]]="","",_xlfn.XLOOKUP(MasterFees[[#This Row],[RVG Code]],RVGCodes[Code],RVGCodes[Base Units],"Code not found"))</f>
        <v>5</v>
      </c>
      <c r="C25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5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53" s="125" t="s">
        <v>2601</v>
      </c>
      <c r="F253" s="48" t="s">
        <v>2569</v>
      </c>
      <c r="G253" s="30" t="s">
        <v>718</v>
      </c>
      <c r="H253" s="37" t="s">
        <v>1095</v>
      </c>
      <c r="I253" s="37"/>
      <c r="J253" s="37" t="s">
        <v>1096</v>
      </c>
      <c r="K253" s="32">
        <v>5</v>
      </c>
      <c r="L253" s="32">
        <v>4.3</v>
      </c>
      <c r="M253" s="32">
        <v>0.3</v>
      </c>
      <c r="N253" s="32">
        <v>9.6</v>
      </c>
      <c r="O253" s="33">
        <v>525.25</v>
      </c>
      <c r="P253" s="38" t="s">
        <v>1014</v>
      </c>
      <c r="Q253" s="34" t="str">
        <f>IF(MasterFees[[#This Row],[GST Basis]]="Excl",MasterFees[[#This Row],[Fee as Printed]],IF(MasterFees[[#This Row],[GST Basis]]="Incl",MasterFees[[#This Row],[Fee as Printed]]/(1+GST_Rate),""))</f>
        <v/>
      </c>
      <c r="R253" s="34" t="str">
        <f>IF(MasterFees[[#This Row],[GST Basis]]="Incl",MasterFees[[#This Row],[Fee as Printed]],IF(MasterFees[[#This Row],[GST Basis]]="Excl",MasterFees[[#This Row],[Fee as Printed]]*(1+GST_Rate),""))</f>
        <v/>
      </c>
      <c r="S253" s="35">
        <f>IF(N(MasterFees[[#This Row],[Total Units]])=0,"",MasterFees[[#This Row],[Fee as Printed]]/MasterFees[[#This Row],[Total Units]])</f>
        <v>54.713541666666671</v>
      </c>
      <c r="T253" s="36"/>
      <c r="U253" s="39" t="s">
        <v>1012</v>
      </c>
      <c r="V253" s="39" t="s">
        <v>1815</v>
      </c>
      <c r="W253" s="30"/>
      <c r="X253" s="73" t="s">
        <v>3618</v>
      </c>
      <c r="Y253" s="127" t="str">
        <f>_xlfn.XLOOKUP(MasterFees[[#This Row],[Provider / Payer]],Contracts[Contract Name],Contracts[Contract ID],"No contract")</f>
        <v>CON-01</v>
      </c>
      <c r="Z253" s="127" t="str">
        <f>_xlfn.XLOOKUP(MasterFees[[#This Row],[Provider / Payer]],Contracts[Contract Name],Contracts[Pricing Basis],"To confirm")</f>
        <v>To confirm</v>
      </c>
      <c r="AA253" s="127" t="str">
        <f>IF(MasterFees[[#This Row],[Pricing Basis]]="Fixed fee schedule","Yes","No")</f>
        <v>No</v>
      </c>
      <c r="AB253" s="127" t="str">
        <f>IF(OR(MasterFees[[#This Row],[Fee Basis]]="Add-on",MasterFees[[#This Row],[Fee Basis]]="Time band",MasterFees[[#This Row],[Fee Basis]]="Other"),MasterFees[[#This Row],[Fee Basis]],"Base")</f>
        <v>Base</v>
      </c>
      <c r="AC253" s="141" t="str">
        <f>IF(MasterFees[[#This Row],[Fixed Fee?]]="Yes",MasterFees[[#This Row],[Fee Excl. GST]],"")</f>
        <v/>
      </c>
    </row>
    <row r="254" spans="1:29" x14ac:dyDescent="0.2">
      <c r="A254" s="67" t="s">
        <v>2170</v>
      </c>
      <c r="B254" s="31">
        <f>IF(MasterFees[[#This Row],[RVG Code]]="","",_xlfn.XLOOKUP(MasterFees[[#This Row],[RVG Code]],RVGCodes[Code],RVGCodes[Base Units],"Code not found"))</f>
        <v>5</v>
      </c>
      <c r="C25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5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54" s="125" t="s">
        <v>2601</v>
      </c>
      <c r="F254" s="48" t="s">
        <v>2569</v>
      </c>
      <c r="G254" s="30" t="s">
        <v>719</v>
      </c>
      <c r="H254" s="37" t="s">
        <v>1095</v>
      </c>
      <c r="I254" s="37"/>
      <c r="J254" s="37" t="s">
        <v>1096</v>
      </c>
      <c r="K254" s="32">
        <v>5</v>
      </c>
      <c r="L254" s="32">
        <v>3</v>
      </c>
      <c r="M254" s="32">
        <v>0</v>
      </c>
      <c r="N254" s="32">
        <v>8</v>
      </c>
      <c r="O254" s="33">
        <v>440</v>
      </c>
      <c r="P254" s="38" t="s">
        <v>1014</v>
      </c>
      <c r="Q254" s="34" t="str">
        <f>IF(MasterFees[[#This Row],[GST Basis]]="Excl",MasterFees[[#This Row],[Fee as Printed]],IF(MasterFees[[#This Row],[GST Basis]]="Incl",MasterFees[[#This Row],[Fee as Printed]]/(1+GST_Rate),""))</f>
        <v/>
      </c>
      <c r="R254" s="34" t="str">
        <f>IF(MasterFees[[#This Row],[GST Basis]]="Incl",MasterFees[[#This Row],[Fee as Printed]],IF(MasterFees[[#This Row],[GST Basis]]="Excl",MasterFees[[#This Row],[Fee as Printed]]*(1+GST_Rate),""))</f>
        <v/>
      </c>
      <c r="S254" s="35">
        <f>IF(N(MasterFees[[#This Row],[Total Units]])=0,"",MasterFees[[#This Row],[Fee as Printed]]/MasterFees[[#This Row],[Total Units]])</f>
        <v>55</v>
      </c>
      <c r="T254" s="36"/>
      <c r="U254" s="39" t="s">
        <v>1012</v>
      </c>
      <c r="V254" s="39" t="s">
        <v>1816</v>
      </c>
      <c r="W254" s="30"/>
      <c r="X254" s="73" t="s">
        <v>3619</v>
      </c>
      <c r="Y254" s="127" t="str">
        <f>_xlfn.XLOOKUP(MasterFees[[#This Row],[Provider / Payer]],Contracts[Contract Name],Contracts[Contract ID],"No contract")</f>
        <v>CON-01</v>
      </c>
      <c r="Z254" s="127" t="str">
        <f>_xlfn.XLOOKUP(MasterFees[[#This Row],[Provider / Payer]],Contracts[Contract Name],Contracts[Pricing Basis],"To confirm")</f>
        <v>To confirm</v>
      </c>
      <c r="AA254" s="127" t="str">
        <f>IF(MasterFees[[#This Row],[Pricing Basis]]="Fixed fee schedule","Yes","No")</f>
        <v>No</v>
      </c>
      <c r="AB254" s="127" t="str">
        <f>IF(OR(MasterFees[[#This Row],[Fee Basis]]="Add-on",MasterFees[[#This Row],[Fee Basis]]="Time band",MasterFees[[#This Row],[Fee Basis]]="Other"),MasterFees[[#This Row],[Fee Basis]],"Base")</f>
        <v>Base</v>
      </c>
      <c r="AC254" s="141" t="str">
        <f>IF(MasterFees[[#This Row],[Fixed Fee?]]="Yes",MasterFees[[#This Row],[Fee Excl. GST]],"")</f>
        <v/>
      </c>
    </row>
    <row r="255" spans="1:29" x14ac:dyDescent="0.2">
      <c r="A255" s="67" t="s">
        <v>2170</v>
      </c>
      <c r="B255" s="31">
        <f>IF(MasterFees[[#This Row],[RVG Code]]="","",_xlfn.XLOOKUP(MasterFees[[#This Row],[RVG Code]],RVGCodes[Code],RVGCodes[Base Units],"Code not found"))</f>
        <v>5</v>
      </c>
      <c r="C25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5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55" s="125" t="s">
        <v>2601</v>
      </c>
      <c r="F255" s="48" t="s">
        <v>2569</v>
      </c>
      <c r="G255" s="30" t="s">
        <v>720</v>
      </c>
      <c r="H255" s="37" t="s">
        <v>1095</v>
      </c>
      <c r="I255" s="37"/>
      <c r="J255" s="37" t="s">
        <v>1096</v>
      </c>
      <c r="K255" s="32">
        <v>5</v>
      </c>
      <c r="L255" s="32">
        <v>5</v>
      </c>
      <c r="M255" s="32">
        <v>0</v>
      </c>
      <c r="N255" s="32">
        <v>10</v>
      </c>
      <c r="O255" s="33">
        <v>550</v>
      </c>
      <c r="P255" s="38" t="s">
        <v>1014</v>
      </c>
      <c r="Q255" s="34" t="str">
        <f>IF(MasterFees[[#This Row],[GST Basis]]="Excl",MasterFees[[#This Row],[Fee as Printed]],IF(MasterFees[[#This Row],[GST Basis]]="Incl",MasterFees[[#This Row],[Fee as Printed]]/(1+GST_Rate),""))</f>
        <v/>
      </c>
      <c r="R255" s="34" t="str">
        <f>IF(MasterFees[[#This Row],[GST Basis]]="Incl",MasterFees[[#This Row],[Fee as Printed]],IF(MasterFees[[#This Row],[GST Basis]]="Excl",MasterFees[[#This Row],[Fee as Printed]]*(1+GST_Rate),""))</f>
        <v/>
      </c>
      <c r="S255" s="35">
        <f>IF(N(MasterFees[[#This Row],[Total Units]])=0,"",MasterFees[[#This Row],[Fee as Printed]]/MasterFees[[#This Row],[Total Units]])</f>
        <v>55</v>
      </c>
      <c r="T255" s="36"/>
      <c r="U255" s="39" t="s">
        <v>1012</v>
      </c>
      <c r="V255" s="39" t="s">
        <v>1817</v>
      </c>
      <c r="W255" s="30"/>
      <c r="X255" s="73" t="s">
        <v>3620</v>
      </c>
      <c r="Y255" s="127" t="str">
        <f>_xlfn.XLOOKUP(MasterFees[[#This Row],[Provider / Payer]],Contracts[Contract Name],Contracts[Contract ID],"No contract")</f>
        <v>CON-01</v>
      </c>
      <c r="Z255" s="127" t="str">
        <f>_xlfn.XLOOKUP(MasterFees[[#This Row],[Provider / Payer]],Contracts[Contract Name],Contracts[Pricing Basis],"To confirm")</f>
        <v>To confirm</v>
      </c>
      <c r="AA255" s="127" t="str">
        <f>IF(MasterFees[[#This Row],[Pricing Basis]]="Fixed fee schedule","Yes","No")</f>
        <v>No</v>
      </c>
      <c r="AB255" s="127" t="str">
        <f>IF(OR(MasterFees[[#This Row],[Fee Basis]]="Add-on",MasterFees[[#This Row],[Fee Basis]]="Time band",MasterFees[[#This Row],[Fee Basis]]="Other"),MasterFees[[#This Row],[Fee Basis]],"Base")</f>
        <v>Base</v>
      </c>
      <c r="AC255" s="141" t="str">
        <f>IF(MasterFees[[#This Row],[Fixed Fee?]]="Yes",MasterFees[[#This Row],[Fee Excl. GST]],"")</f>
        <v/>
      </c>
    </row>
    <row r="256" spans="1:29" x14ac:dyDescent="0.2">
      <c r="A256" s="67" t="s">
        <v>2170</v>
      </c>
      <c r="B256" s="31">
        <f>IF(MasterFees[[#This Row],[RVG Code]]="","",_xlfn.XLOOKUP(MasterFees[[#This Row],[RVG Code]],RVGCodes[Code],RVGCodes[Base Units],"Code not found"))</f>
        <v>5</v>
      </c>
      <c r="C25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5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56" s="125" t="s">
        <v>2601</v>
      </c>
      <c r="F256" s="48" t="s">
        <v>2569</v>
      </c>
      <c r="G256" s="30" t="s">
        <v>724</v>
      </c>
      <c r="H256" s="37" t="s">
        <v>1095</v>
      </c>
      <c r="I256" s="37"/>
      <c r="J256" s="37" t="s">
        <v>1096</v>
      </c>
      <c r="K256" s="32">
        <v>0</v>
      </c>
      <c r="L256" s="32">
        <v>1</v>
      </c>
      <c r="M256" s="32">
        <v>0</v>
      </c>
      <c r="N256" s="32">
        <v>1</v>
      </c>
      <c r="O256" s="33">
        <v>55</v>
      </c>
      <c r="P256" s="38" t="s">
        <v>1014</v>
      </c>
      <c r="Q256" s="34" t="str">
        <f>IF(MasterFees[[#This Row],[GST Basis]]="Excl",MasterFees[[#This Row],[Fee as Printed]],IF(MasterFees[[#This Row],[GST Basis]]="Incl",MasterFees[[#This Row],[Fee as Printed]]/(1+GST_Rate),""))</f>
        <v/>
      </c>
      <c r="R256" s="34" t="str">
        <f>IF(MasterFees[[#This Row],[GST Basis]]="Incl",MasterFees[[#This Row],[Fee as Printed]],IF(MasterFees[[#This Row],[GST Basis]]="Excl",MasterFees[[#This Row],[Fee as Printed]]*(1+GST_Rate),""))</f>
        <v/>
      </c>
      <c r="S256" s="35">
        <f>IF(N(MasterFees[[#This Row],[Total Units]])=0,"",MasterFees[[#This Row],[Fee as Printed]]/MasterFees[[#This Row],[Total Units]])</f>
        <v>55</v>
      </c>
      <c r="T256" s="36"/>
      <c r="U256" s="39" t="s">
        <v>1012</v>
      </c>
      <c r="V256" s="39" t="s">
        <v>1821</v>
      </c>
      <c r="W256" s="30"/>
      <c r="X256" s="73" t="s">
        <v>3624</v>
      </c>
      <c r="Y256" s="127" t="str">
        <f>_xlfn.XLOOKUP(MasterFees[[#This Row],[Provider / Payer]],Contracts[Contract Name],Contracts[Contract ID],"No contract")</f>
        <v>CON-01</v>
      </c>
      <c r="Z256" s="127" t="str">
        <f>_xlfn.XLOOKUP(MasterFees[[#This Row],[Provider / Payer]],Contracts[Contract Name],Contracts[Pricing Basis],"To confirm")</f>
        <v>To confirm</v>
      </c>
      <c r="AA256" s="127" t="str">
        <f>IF(MasterFees[[#This Row],[Pricing Basis]]="Fixed fee schedule","Yes","No")</f>
        <v>No</v>
      </c>
      <c r="AB256" s="127" t="str">
        <f>IF(OR(MasterFees[[#This Row],[Fee Basis]]="Add-on",MasterFees[[#This Row],[Fee Basis]]="Time band",MasterFees[[#This Row],[Fee Basis]]="Other"),MasterFees[[#This Row],[Fee Basis]],"Base")</f>
        <v>Base</v>
      </c>
      <c r="AC256" s="141" t="str">
        <f>IF(MasterFees[[#This Row],[Fixed Fee?]]="Yes",MasterFees[[#This Row],[Fee Excl. GST]],"")</f>
        <v/>
      </c>
    </row>
    <row r="257" spans="1:29" x14ac:dyDescent="0.2">
      <c r="A257" s="67" t="s">
        <v>2170</v>
      </c>
      <c r="B257" s="31">
        <f>IF(MasterFees[[#This Row],[RVG Code]]="","",_xlfn.XLOOKUP(MasterFees[[#This Row],[RVG Code]],RVGCodes[Code],RVGCodes[Base Units],"Code not found"))</f>
        <v>5</v>
      </c>
      <c r="C25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5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57" s="125" t="s">
        <v>2601</v>
      </c>
      <c r="F257" s="48" t="s">
        <v>2569</v>
      </c>
      <c r="G257" s="30" t="s">
        <v>725</v>
      </c>
      <c r="H257" s="37" t="s">
        <v>1095</v>
      </c>
      <c r="I257" s="37"/>
      <c r="J257" s="37" t="s">
        <v>1096</v>
      </c>
      <c r="K257" s="32">
        <v>5</v>
      </c>
      <c r="L257" s="32">
        <v>4.5</v>
      </c>
      <c r="M257" s="32">
        <v>0.3</v>
      </c>
      <c r="N257" s="32">
        <v>9.8000000000000007</v>
      </c>
      <c r="O257" s="33">
        <v>540.65</v>
      </c>
      <c r="P257" s="38" t="s">
        <v>1014</v>
      </c>
      <c r="Q257" s="34" t="str">
        <f>IF(MasterFees[[#This Row],[GST Basis]]="Excl",MasterFees[[#This Row],[Fee as Printed]],IF(MasterFees[[#This Row],[GST Basis]]="Incl",MasterFees[[#This Row],[Fee as Printed]]/(1+GST_Rate),""))</f>
        <v/>
      </c>
      <c r="R257" s="34" t="str">
        <f>IF(MasterFees[[#This Row],[GST Basis]]="Incl",MasterFees[[#This Row],[Fee as Printed]],IF(MasterFees[[#This Row],[GST Basis]]="Excl",MasterFees[[#This Row],[Fee as Printed]]*(1+GST_Rate),""))</f>
        <v/>
      </c>
      <c r="S257" s="35">
        <f>IF(N(MasterFees[[#This Row],[Total Units]])=0,"",MasterFees[[#This Row],[Fee as Printed]]/MasterFees[[#This Row],[Total Units]])</f>
        <v>55.168367346938766</v>
      </c>
      <c r="T257" s="36"/>
      <c r="U257" s="39" t="s">
        <v>1012</v>
      </c>
      <c r="V257" s="39" t="s">
        <v>1822</v>
      </c>
      <c r="W257" s="30"/>
      <c r="X257" s="73" t="s">
        <v>3625</v>
      </c>
      <c r="Y257" s="127" t="str">
        <f>_xlfn.XLOOKUP(MasterFees[[#This Row],[Provider / Payer]],Contracts[Contract Name],Contracts[Contract ID],"No contract")</f>
        <v>CON-01</v>
      </c>
      <c r="Z257" s="127" t="str">
        <f>_xlfn.XLOOKUP(MasterFees[[#This Row],[Provider / Payer]],Contracts[Contract Name],Contracts[Pricing Basis],"To confirm")</f>
        <v>To confirm</v>
      </c>
      <c r="AA257" s="127" t="str">
        <f>IF(MasterFees[[#This Row],[Pricing Basis]]="Fixed fee schedule","Yes","No")</f>
        <v>No</v>
      </c>
      <c r="AB257" s="127" t="str">
        <f>IF(OR(MasterFees[[#This Row],[Fee Basis]]="Add-on",MasterFees[[#This Row],[Fee Basis]]="Time band",MasterFees[[#This Row],[Fee Basis]]="Other"),MasterFees[[#This Row],[Fee Basis]],"Base")</f>
        <v>Base</v>
      </c>
      <c r="AC257" s="141" t="str">
        <f>IF(MasterFees[[#This Row],[Fixed Fee?]]="Yes",MasterFees[[#This Row],[Fee Excl. GST]],"")</f>
        <v/>
      </c>
    </row>
    <row r="258" spans="1:29" x14ac:dyDescent="0.2">
      <c r="A258" s="67" t="s">
        <v>2170</v>
      </c>
      <c r="B258" s="31">
        <f>IF(MasterFees[[#This Row],[RVG Code]]="","",_xlfn.XLOOKUP(MasterFees[[#This Row],[RVG Code]],RVGCodes[Code],RVGCodes[Base Units],"Code not found"))</f>
        <v>5</v>
      </c>
      <c r="C25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5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58" s="125" t="s">
        <v>2601</v>
      </c>
      <c r="F258" s="48" t="s">
        <v>2569</v>
      </c>
      <c r="G258" s="30" t="s">
        <v>727</v>
      </c>
      <c r="H258" s="37" t="s">
        <v>1095</v>
      </c>
      <c r="I258" s="37"/>
      <c r="J258" s="37" t="s">
        <v>1096</v>
      </c>
      <c r="K258" s="32">
        <v>5</v>
      </c>
      <c r="L258" s="32">
        <v>4.3</v>
      </c>
      <c r="M258" s="32">
        <v>0</v>
      </c>
      <c r="N258" s="32">
        <v>9.3000000000000007</v>
      </c>
      <c r="O258" s="33">
        <v>513.15</v>
      </c>
      <c r="P258" s="38" t="s">
        <v>1014</v>
      </c>
      <c r="Q258" s="34" t="str">
        <f>IF(MasterFees[[#This Row],[GST Basis]]="Excl",MasterFees[[#This Row],[Fee as Printed]],IF(MasterFees[[#This Row],[GST Basis]]="Incl",MasterFees[[#This Row],[Fee as Printed]]/(1+GST_Rate),""))</f>
        <v/>
      </c>
      <c r="R258" s="34" t="str">
        <f>IF(MasterFees[[#This Row],[GST Basis]]="Incl",MasterFees[[#This Row],[Fee as Printed]],IF(MasterFees[[#This Row],[GST Basis]]="Excl",MasterFees[[#This Row],[Fee as Printed]]*(1+GST_Rate),""))</f>
        <v/>
      </c>
      <c r="S258" s="35">
        <f>IF(N(MasterFees[[#This Row],[Total Units]])=0,"",MasterFees[[#This Row],[Fee as Printed]]/MasterFees[[#This Row],[Total Units]])</f>
        <v>55.177419354838705</v>
      </c>
      <c r="T258" s="36"/>
      <c r="U258" s="39" t="s">
        <v>1012</v>
      </c>
      <c r="V258" s="39" t="s">
        <v>1824</v>
      </c>
      <c r="W258" s="30"/>
      <c r="X258" s="73" t="s">
        <v>3627</v>
      </c>
      <c r="Y258" s="127" t="str">
        <f>_xlfn.XLOOKUP(MasterFees[[#This Row],[Provider / Payer]],Contracts[Contract Name],Contracts[Contract ID],"No contract")</f>
        <v>CON-01</v>
      </c>
      <c r="Z258" s="127" t="str">
        <f>_xlfn.XLOOKUP(MasterFees[[#This Row],[Provider / Payer]],Contracts[Contract Name],Contracts[Pricing Basis],"To confirm")</f>
        <v>To confirm</v>
      </c>
      <c r="AA258" s="127" t="str">
        <f>IF(MasterFees[[#This Row],[Pricing Basis]]="Fixed fee schedule","Yes","No")</f>
        <v>No</v>
      </c>
      <c r="AB258" s="127" t="str">
        <f>IF(OR(MasterFees[[#This Row],[Fee Basis]]="Add-on",MasterFees[[#This Row],[Fee Basis]]="Time band",MasterFees[[#This Row],[Fee Basis]]="Other"),MasterFees[[#This Row],[Fee Basis]],"Base")</f>
        <v>Base</v>
      </c>
      <c r="AC258" s="141" t="str">
        <f>IF(MasterFees[[#This Row],[Fixed Fee?]]="Yes",MasterFees[[#This Row],[Fee Excl. GST]],"")</f>
        <v/>
      </c>
    </row>
    <row r="259" spans="1:29" x14ac:dyDescent="0.2">
      <c r="A259" s="67" t="s">
        <v>2170</v>
      </c>
      <c r="B259" s="31">
        <f>IF(MasterFees[[#This Row],[RVG Code]]="","",_xlfn.XLOOKUP(MasterFees[[#This Row],[RVG Code]],RVGCodes[Code],RVGCodes[Base Units],"Code not found"))</f>
        <v>5</v>
      </c>
      <c r="C25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5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59" s="125" t="s">
        <v>2601</v>
      </c>
      <c r="F259" s="48" t="s">
        <v>2569</v>
      </c>
      <c r="G259" s="30" t="s">
        <v>729</v>
      </c>
      <c r="H259" s="37" t="s">
        <v>1095</v>
      </c>
      <c r="I259" s="37"/>
      <c r="J259" s="37" t="s">
        <v>1096</v>
      </c>
      <c r="K259" s="32">
        <v>5</v>
      </c>
      <c r="L259" s="32">
        <v>4</v>
      </c>
      <c r="M259" s="32">
        <v>0</v>
      </c>
      <c r="N259" s="32">
        <v>9</v>
      </c>
      <c r="O259" s="33">
        <v>495</v>
      </c>
      <c r="P259" s="38" t="s">
        <v>1014</v>
      </c>
      <c r="Q259" s="34" t="str">
        <f>IF(MasterFees[[#This Row],[GST Basis]]="Excl",MasterFees[[#This Row],[Fee as Printed]],IF(MasterFees[[#This Row],[GST Basis]]="Incl",MasterFees[[#This Row],[Fee as Printed]]/(1+GST_Rate),""))</f>
        <v/>
      </c>
      <c r="R259" s="34" t="str">
        <f>IF(MasterFees[[#This Row],[GST Basis]]="Incl",MasterFees[[#This Row],[Fee as Printed]],IF(MasterFees[[#This Row],[GST Basis]]="Excl",MasterFees[[#This Row],[Fee as Printed]]*(1+GST_Rate),""))</f>
        <v/>
      </c>
      <c r="S259" s="35">
        <f>IF(N(MasterFees[[#This Row],[Total Units]])=0,"",MasterFees[[#This Row],[Fee as Printed]]/MasterFees[[#This Row],[Total Units]])</f>
        <v>55</v>
      </c>
      <c r="T259" s="36"/>
      <c r="U259" s="39" t="s">
        <v>1012</v>
      </c>
      <c r="V259" s="39" t="s">
        <v>1826</v>
      </c>
      <c r="W259" s="30"/>
      <c r="X259" s="73" t="s">
        <v>3629</v>
      </c>
      <c r="Y259" s="127" t="str">
        <f>_xlfn.XLOOKUP(MasterFees[[#This Row],[Provider / Payer]],Contracts[Contract Name],Contracts[Contract ID],"No contract")</f>
        <v>CON-01</v>
      </c>
      <c r="Z259" s="127" t="str">
        <f>_xlfn.XLOOKUP(MasterFees[[#This Row],[Provider / Payer]],Contracts[Contract Name],Contracts[Pricing Basis],"To confirm")</f>
        <v>To confirm</v>
      </c>
      <c r="AA259" s="127" t="str">
        <f>IF(MasterFees[[#This Row],[Pricing Basis]]="Fixed fee schedule","Yes","No")</f>
        <v>No</v>
      </c>
      <c r="AB259" s="127" t="str">
        <f>IF(OR(MasterFees[[#This Row],[Fee Basis]]="Add-on",MasterFees[[#This Row],[Fee Basis]]="Time band",MasterFees[[#This Row],[Fee Basis]]="Other"),MasterFees[[#This Row],[Fee Basis]],"Base")</f>
        <v>Base</v>
      </c>
      <c r="AC259" s="141" t="str">
        <f>IF(MasterFees[[#This Row],[Fixed Fee?]]="Yes",MasterFees[[#This Row],[Fee Excl. GST]],"")</f>
        <v/>
      </c>
    </row>
    <row r="260" spans="1:29" x14ac:dyDescent="0.2">
      <c r="A260" s="67" t="s">
        <v>2170</v>
      </c>
      <c r="B260" s="31">
        <f>IF(MasterFees[[#This Row],[RVG Code]]="","",_xlfn.XLOOKUP(MasterFees[[#This Row],[RVG Code]],RVGCodes[Code],RVGCodes[Base Units],"Code not found"))</f>
        <v>5</v>
      </c>
      <c r="C26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6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60" s="125" t="s">
        <v>2601</v>
      </c>
      <c r="F260" s="48" t="s">
        <v>2569</v>
      </c>
      <c r="G260" s="30" t="s">
        <v>731</v>
      </c>
      <c r="H260" s="37" t="s">
        <v>1095</v>
      </c>
      <c r="I260" s="37"/>
      <c r="J260" s="37" t="s">
        <v>1096</v>
      </c>
      <c r="K260" s="32">
        <v>4</v>
      </c>
      <c r="L260" s="32">
        <v>3.6</v>
      </c>
      <c r="M260" s="32">
        <v>0</v>
      </c>
      <c r="N260" s="32">
        <v>7.6</v>
      </c>
      <c r="O260" s="33">
        <v>418.55</v>
      </c>
      <c r="P260" s="38" t="s">
        <v>1014</v>
      </c>
      <c r="Q260" s="34" t="str">
        <f>IF(MasterFees[[#This Row],[GST Basis]]="Excl",MasterFees[[#This Row],[Fee as Printed]],IF(MasterFees[[#This Row],[GST Basis]]="Incl",MasterFees[[#This Row],[Fee as Printed]]/(1+GST_Rate),""))</f>
        <v/>
      </c>
      <c r="R260" s="34" t="str">
        <f>IF(MasterFees[[#This Row],[GST Basis]]="Incl",MasterFees[[#This Row],[Fee as Printed]],IF(MasterFees[[#This Row],[GST Basis]]="Excl",MasterFees[[#This Row],[Fee as Printed]]*(1+GST_Rate),""))</f>
        <v/>
      </c>
      <c r="S260" s="35">
        <f>IF(N(MasterFees[[#This Row],[Total Units]])=0,"",MasterFees[[#This Row],[Fee as Printed]]/MasterFees[[#This Row],[Total Units]])</f>
        <v>55.072368421052637</v>
      </c>
      <c r="T260" s="36"/>
      <c r="U260" s="39" t="s">
        <v>1012</v>
      </c>
      <c r="V260" s="39" t="s">
        <v>1828</v>
      </c>
      <c r="W260" s="30"/>
      <c r="X260" s="73" t="s">
        <v>3631</v>
      </c>
      <c r="Y260" s="127" t="str">
        <f>_xlfn.XLOOKUP(MasterFees[[#This Row],[Provider / Payer]],Contracts[Contract Name],Contracts[Contract ID],"No contract")</f>
        <v>CON-01</v>
      </c>
      <c r="Z260" s="127" t="str">
        <f>_xlfn.XLOOKUP(MasterFees[[#This Row],[Provider / Payer]],Contracts[Contract Name],Contracts[Pricing Basis],"To confirm")</f>
        <v>To confirm</v>
      </c>
      <c r="AA260" s="127" t="str">
        <f>IF(MasterFees[[#This Row],[Pricing Basis]]="Fixed fee schedule","Yes","No")</f>
        <v>No</v>
      </c>
      <c r="AB260" s="127" t="str">
        <f>IF(OR(MasterFees[[#This Row],[Fee Basis]]="Add-on",MasterFees[[#This Row],[Fee Basis]]="Time band",MasterFees[[#This Row],[Fee Basis]]="Other"),MasterFees[[#This Row],[Fee Basis]],"Base")</f>
        <v>Base</v>
      </c>
      <c r="AC260" s="141" t="str">
        <f>IF(MasterFees[[#This Row],[Fixed Fee?]]="Yes",MasterFees[[#This Row],[Fee Excl. GST]],"")</f>
        <v/>
      </c>
    </row>
    <row r="261" spans="1:29" x14ac:dyDescent="0.2">
      <c r="A261" s="67" t="s">
        <v>2170</v>
      </c>
      <c r="B261" s="31">
        <f>IF(MasterFees[[#This Row],[RVG Code]]="","",_xlfn.XLOOKUP(MasterFees[[#This Row],[RVG Code]],RVGCodes[Code],RVGCodes[Base Units],"Code not found"))</f>
        <v>5</v>
      </c>
      <c r="C26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6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61" s="125" t="s">
        <v>2601</v>
      </c>
      <c r="F261" s="48" t="s">
        <v>2569</v>
      </c>
      <c r="G261" s="30" t="s">
        <v>732</v>
      </c>
      <c r="H261" s="37" t="s">
        <v>1095</v>
      </c>
      <c r="I261" s="37"/>
      <c r="J261" s="37" t="s">
        <v>1096</v>
      </c>
      <c r="K261" s="32">
        <v>5</v>
      </c>
      <c r="L261" s="32">
        <v>3.5</v>
      </c>
      <c r="M261" s="32">
        <v>0</v>
      </c>
      <c r="N261" s="32">
        <v>8.5</v>
      </c>
      <c r="O261" s="33">
        <v>467.5</v>
      </c>
      <c r="P261" s="38" t="s">
        <v>1014</v>
      </c>
      <c r="Q261" s="34" t="str">
        <f>IF(MasterFees[[#This Row],[GST Basis]]="Excl",MasterFees[[#This Row],[Fee as Printed]],IF(MasterFees[[#This Row],[GST Basis]]="Incl",MasterFees[[#This Row],[Fee as Printed]]/(1+GST_Rate),""))</f>
        <v/>
      </c>
      <c r="R261" s="34" t="str">
        <f>IF(MasterFees[[#This Row],[GST Basis]]="Incl",MasterFees[[#This Row],[Fee as Printed]],IF(MasterFees[[#This Row],[GST Basis]]="Excl",MasterFees[[#This Row],[Fee as Printed]]*(1+GST_Rate),""))</f>
        <v/>
      </c>
      <c r="S261" s="35">
        <f>IF(N(MasterFees[[#This Row],[Total Units]])=0,"",MasterFees[[#This Row],[Fee as Printed]]/MasterFees[[#This Row],[Total Units]])</f>
        <v>55</v>
      </c>
      <c r="T261" s="36"/>
      <c r="U261" s="39" t="s">
        <v>1012</v>
      </c>
      <c r="V261" s="39" t="s">
        <v>1829</v>
      </c>
      <c r="W261" s="30"/>
      <c r="X261" s="73" t="s">
        <v>3632</v>
      </c>
      <c r="Y261" s="127" t="str">
        <f>_xlfn.XLOOKUP(MasterFees[[#This Row],[Provider / Payer]],Contracts[Contract Name],Contracts[Contract ID],"No contract")</f>
        <v>CON-01</v>
      </c>
      <c r="Z261" s="127" t="str">
        <f>_xlfn.XLOOKUP(MasterFees[[#This Row],[Provider / Payer]],Contracts[Contract Name],Contracts[Pricing Basis],"To confirm")</f>
        <v>To confirm</v>
      </c>
      <c r="AA261" s="127" t="str">
        <f>IF(MasterFees[[#This Row],[Pricing Basis]]="Fixed fee schedule","Yes","No")</f>
        <v>No</v>
      </c>
      <c r="AB261" s="127" t="str">
        <f>IF(OR(MasterFees[[#This Row],[Fee Basis]]="Add-on",MasterFees[[#This Row],[Fee Basis]]="Time band",MasterFees[[#This Row],[Fee Basis]]="Other"),MasterFees[[#This Row],[Fee Basis]],"Base")</f>
        <v>Base</v>
      </c>
      <c r="AC261" s="141" t="str">
        <f>IF(MasterFees[[#This Row],[Fixed Fee?]]="Yes",MasterFees[[#This Row],[Fee Excl. GST]],"")</f>
        <v/>
      </c>
    </row>
    <row r="262" spans="1:29" x14ac:dyDescent="0.2">
      <c r="A262" s="67" t="s">
        <v>2170</v>
      </c>
      <c r="B262" s="31">
        <f>IF(MasterFees[[#This Row],[RVG Code]]="","",_xlfn.XLOOKUP(MasterFees[[#This Row],[RVG Code]],RVGCodes[Code],RVGCodes[Base Units],"Code not found"))</f>
        <v>5</v>
      </c>
      <c r="C26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6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62" s="125" t="s">
        <v>2601</v>
      </c>
      <c r="F262" s="48" t="s">
        <v>2569</v>
      </c>
      <c r="G262" s="30" t="s">
        <v>733</v>
      </c>
      <c r="H262" s="37" t="s">
        <v>1095</v>
      </c>
      <c r="I262" s="37"/>
      <c r="J262" s="37" t="s">
        <v>1096</v>
      </c>
      <c r="K262" s="32">
        <v>5</v>
      </c>
      <c r="L262" s="32">
        <v>3.8</v>
      </c>
      <c r="M262" s="32">
        <v>0.2</v>
      </c>
      <c r="N262" s="32">
        <v>9</v>
      </c>
      <c r="O262" s="33">
        <v>495</v>
      </c>
      <c r="P262" s="38" t="s">
        <v>1014</v>
      </c>
      <c r="Q262" s="34" t="str">
        <f>IF(MasterFees[[#This Row],[GST Basis]]="Excl",MasterFees[[#This Row],[Fee as Printed]],IF(MasterFees[[#This Row],[GST Basis]]="Incl",MasterFees[[#This Row],[Fee as Printed]]/(1+GST_Rate),""))</f>
        <v/>
      </c>
      <c r="R262" s="34" t="str">
        <f>IF(MasterFees[[#This Row],[GST Basis]]="Incl",MasterFees[[#This Row],[Fee as Printed]],IF(MasterFees[[#This Row],[GST Basis]]="Excl",MasterFees[[#This Row],[Fee as Printed]]*(1+GST_Rate),""))</f>
        <v/>
      </c>
      <c r="S262" s="35">
        <f>IF(N(MasterFees[[#This Row],[Total Units]])=0,"",MasterFees[[#This Row],[Fee as Printed]]/MasterFees[[#This Row],[Total Units]])</f>
        <v>55</v>
      </c>
      <c r="T262" s="36"/>
      <c r="U262" s="39" t="s">
        <v>1012</v>
      </c>
      <c r="V262" s="39" t="s">
        <v>1830</v>
      </c>
      <c r="W262" s="30"/>
      <c r="X262" s="73" t="s">
        <v>3633</v>
      </c>
      <c r="Y262" s="127" t="str">
        <f>_xlfn.XLOOKUP(MasterFees[[#This Row],[Provider / Payer]],Contracts[Contract Name],Contracts[Contract ID],"No contract")</f>
        <v>CON-01</v>
      </c>
      <c r="Z262" s="127" t="str">
        <f>_xlfn.XLOOKUP(MasterFees[[#This Row],[Provider / Payer]],Contracts[Contract Name],Contracts[Pricing Basis],"To confirm")</f>
        <v>To confirm</v>
      </c>
      <c r="AA262" s="127" t="str">
        <f>IF(MasterFees[[#This Row],[Pricing Basis]]="Fixed fee schedule","Yes","No")</f>
        <v>No</v>
      </c>
      <c r="AB262" s="127" t="str">
        <f>IF(OR(MasterFees[[#This Row],[Fee Basis]]="Add-on",MasterFees[[#This Row],[Fee Basis]]="Time band",MasterFees[[#This Row],[Fee Basis]]="Other"),MasterFees[[#This Row],[Fee Basis]],"Base")</f>
        <v>Base</v>
      </c>
      <c r="AC262" s="141" t="str">
        <f>IF(MasterFees[[#This Row],[Fixed Fee?]]="Yes",MasterFees[[#This Row],[Fee Excl. GST]],"")</f>
        <v/>
      </c>
    </row>
    <row r="263" spans="1:29" x14ac:dyDescent="0.2">
      <c r="A263" s="67" t="s">
        <v>2170</v>
      </c>
      <c r="B263" s="31">
        <f>IF(MasterFees[[#This Row],[RVG Code]]="","",_xlfn.XLOOKUP(MasterFees[[#This Row],[RVG Code]],RVGCodes[Code],RVGCodes[Base Units],"Code not found"))</f>
        <v>5</v>
      </c>
      <c r="C26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6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63" s="125" t="s">
        <v>2601</v>
      </c>
      <c r="F263" s="48" t="s">
        <v>2569</v>
      </c>
      <c r="G263" s="30" t="s">
        <v>735</v>
      </c>
      <c r="H263" s="37" t="s">
        <v>1095</v>
      </c>
      <c r="I263" s="37"/>
      <c r="J263" s="37" t="s">
        <v>1096</v>
      </c>
      <c r="K263" s="32">
        <v>0</v>
      </c>
      <c r="L263" s="32">
        <v>4</v>
      </c>
      <c r="M263" s="32">
        <v>0</v>
      </c>
      <c r="N263" s="32">
        <v>4</v>
      </c>
      <c r="O263" s="33">
        <v>220</v>
      </c>
      <c r="P263" s="38" t="s">
        <v>1014</v>
      </c>
      <c r="Q263" s="34" t="str">
        <f>IF(MasterFees[[#This Row],[GST Basis]]="Excl",MasterFees[[#This Row],[Fee as Printed]],IF(MasterFees[[#This Row],[GST Basis]]="Incl",MasterFees[[#This Row],[Fee as Printed]]/(1+GST_Rate),""))</f>
        <v/>
      </c>
      <c r="R263" s="34" t="str">
        <f>IF(MasterFees[[#This Row],[GST Basis]]="Incl",MasterFees[[#This Row],[Fee as Printed]],IF(MasterFees[[#This Row],[GST Basis]]="Excl",MasterFees[[#This Row],[Fee as Printed]]*(1+GST_Rate),""))</f>
        <v/>
      </c>
      <c r="S263" s="35">
        <f>IF(N(MasterFees[[#This Row],[Total Units]])=0,"",MasterFees[[#This Row],[Fee as Printed]]/MasterFees[[#This Row],[Total Units]])</f>
        <v>55</v>
      </c>
      <c r="T263" s="36"/>
      <c r="U263" s="39" t="s">
        <v>1012</v>
      </c>
      <c r="V263" s="39" t="s">
        <v>1832</v>
      </c>
      <c r="W263" s="30"/>
      <c r="X263" s="73" t="s">
        <v>3635</v>
      </c>
      <c r="Y263" s="127" t="str">
        <f>_xlfn.XLOOKUP(MasterFees[[#This Row],[Provider / Payer]],Contracts[Contract Name],Contracts[Contract ID],"No contract")</f>
        <v>CON-01</v>
      </c>
      <c r="Z263" s="127" t="str">
        <f>_xlfn.XLOOKUP(MasterFees[[#This Row],[Provider / Payer]],Contracts[Contract Name],Contracts[Pricing Basis],"To confirm")</f>
        <v>To confirm</v>
      </c>
      <c r="AA263" s="127" t="str">
        <f>IF(MasterFees[[#This Row],[Pricing Basis]]="Fixed fee schedule","Yes","No")</f>
        <v>No</v>
      </c>
      <c r="AB263" s="127" t="str">
        <f>IF(OR(MasterFees[[#This Row],[Fee Basis]]="Add-on",MasterFees[[#This Row],[Fee Basis]]="Time band",MasterFees[[#This Row],[Fee Basis]]="Other"),MasterFees[[#This Row],[Fee Basis]],"Base")</f>
        <v>Base</v>
      </c>
      <c r="AC263" s="141" t="str">
        <f>IF(MasterFees[[#This Row],[Fixed Fee?]]="Yes",MasterFees[[#This Row],[Fee Excl. GST]],"")</f>
        <v/>
      </c>
    </row>
    <row r="264" spans="1:29" x14ac:dyDescent="0.2">
      <c r="A264" s="67" t="s">
        <v>2170</v>
      </c>
      <c r="B264" s="31">
        <f>IF(MasterFees[[#This Row],[RVG Code]]="","",_xlfn.XLOOKUP(MasterFees[[#This Row],[RVG Code]],RVGCodes[Code],RVGCodes[Base Units],"Code not found"))</f>
        <v>5</v>
      </c>
      <c r="C26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6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64" s="125" t="s">
        <v>2601</v>
      </c>
      <c r="F264" s="48" t="s">
        <v>2569</v>
      </c>
      <c r="G264" s="30" t="s">
        <v>736</v>
      </c>
      <c r="H264" s="37" t="s">
        <v>1095</v>
      </c>
      <c r="I264" s="37"/>
      <c r="J264" s="37" t="s">
        <v>1096</v>
      </c>
      <c r="K264" s="32">
        <v>0</v>
      </c>
      <c r="L264" s="32">
        <v>1</v>
      </c>
      <c r="M264" s="32">
        <v>0</v>
      </c>
      <c r="N264" s="32">
        <v>1</v>
      </c>
      <c r="O264" s="33">
        <v>55</v>
      </c>
      <c r="P264" s="38" t="s">
        <v>1014</v>
      </c>
      <c r="Q264" s="34" t="str">
        <f>IF(MasterFees[[#This Row],[GST Basis]]="Excl",MasterFees[[#This Row],[Fee as Printed]],IF(MasterFees[[#This Row],[GST Basis]]="Incl",MasterFees[[#This Row],[Fee as Printed]]/(1+GST_Rate),""))</f>
        <v/>
      </c>
      <c r="R264" s="34" t="str">
        <f>IF(MasterFees[[#This Row],[GST Basis]]="Incl",MasterFees[[#This Row],[Fee as Printed]],IF(MasterFees[[#This Row],[GST Basis]]="Excl",MasterFees[[#This Row],[Fee as Printed]]*(1+GST_Rate),""))</f>
        <v/>
      </c>
      <c r="S264" s="35">
        <f>IF(N(MasterFees[[#This Row],[Total Units]])=0,"",MasterFees[[#This Row],[Fee as Printed]]/MasterFees[[#This Row],[Total Units]])</f>
        <v>55</v>
      </c>
      <c r="T264" s="36"/>
      <c r="U264" s="39" t="s">
        <v>1012</v>
      </c>
      <c r="V264" s="39" t="s">
        <v>1833</v>
      </c>
      <c r="W264" s="30"/>
      <c r="X264" s="73" t="s">
        <v>3636</v>
      </c>
      <c r="Y264" s="127" t="str">
        <f>_xlfn.XLOOKUP(MasterFees[[#This Row],[Provider / Payer]],Contracts[Contract Name],Contracts[Contract ID],"No contract")</f>
        <v>CON-01</v>
      </c>
      <c r="Z264" s="127" t="str">
        <f>_xlfn.XLOOKUP(MasterFees[[#This Row],[Provider / Payer]],Contracts[Contract Name],Contracts[Pricing Basis],"To confirm")</f>
        <v>To confirm</v>
      </c>
      <c r="AA264" s="127" t="str">
        <f>IF(MasterFees[[#This Row],[Pricing Basis]]="Fixed fee schedule","Yes","No")</f>
        <v>No</v>
      </c>
      <c r="AB264" s="127" t="str">
        <f>IF(OR(MasterFees[[#This Row],[Fee Basis]]="Add-on",MasterFees[[#This Row],[Fee Basis]]="Time band",MasterFees[[#This Row],[Fee Basis]]="Other"),MasterFees[[#This Row],[Fee Basis]],"Base")</f>
        <v>Base</v>
      </c>
      <c r="AC264" s="141" t="str">
        <f>IF(MasterFees[[#This Row],[Fixed Fee?]]="Yes",MasterFees[[#This Row],[Fee Excl. GST]],"")</f>
        <v/>
      </c>
    </row>
    <row r="265" spans="1:29" x14ac:dyDescent="0.2">
      <c r="A265" s="67" t="s">
        <v>2170</v>
      </c>
      <c r="B265" s="31">
        <f>IF(MasterFees[[#This Row],[RVG Code]]="","",_xlfn.XLOOKUP(MasterFees[[#This Row],[RVG Code]],RVGCodes[Code],RVGCodes[Base Units],"Code not found"))</f>
        <v>5</v>
      </c>
      <c r="C26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6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65" s="125" t="s">
        <v>2601</v>
      </c>
      <c r="F265" s="48" t="s">
        <v>2569</v>
      </c>
      <c r="G265" s="30" t="s">
        <v>884</v>
      </c>
      <c r="H265" s="37" t="s">
        <v>1095</v>
      </c>
      <c r="I265" s="37"/>
      <c r="J265" s="37" t="s">
        <v>1096</v>
      </c>
      <c r="K265" s="32">
        <v>0</v>
      </c>
      <c r="L265" s="32">
        <v>4</v>
      </c>
      <c r="M265" s="32">
        <v>0</v>
      </c>
      <c r="N265" s="32">
        <v>4</v>
      </c>
      <c r="O265" s="33">
        <v>220</v>
      </c>
      <c r="P265" s="38" t="s">
        <v>1014</v>
      </c>
      <c r="Q265" s="34" t="str">
        <f>IF(MasterFees[[#This Row],[GST Basis]]="Excl",MasterFees[[#This Row],[Fee as Printed]],IF(MasterFees[[#This Row],[GST Basis]]="Incl",MasterFees[[#This Row],[Fee as Printed]]/(1+GST_Rate),""))</f>
        <v/>
      </c>
      <c r="R265" s="34" t="str">
        <f>IF(MasterFees[[#This Row],[GST Basis]]="Incl",MasterFees[[#This Row],[Fee as Printed]],IF(MasterFees[[#This Row],[GST Basis]]="Excl",MasterFees[[#This Row],[Fee as Printed]]*(1+GST_Rate),""))</f>
        <v/>
      </c>
      <c r="S265" s="35">
        <f>IF(N(MasterFees[[#This Row],[Total Units]])=0,"",MasterFees[[#This Row],[Fee as Printed]]/MasterFees[[#This Row],[Total Units]])</f>
        <v>55</v>
      </c>
      <c r="T265" s="36"/>
      <c r="U265" s="39" t="s">
        <v>1012</v>
      </c>
      <c r="V265" s="39" t="s">
        <v>1987</v>
      </c>
      <c r="W265" s="30"/>
      <c r="X265" s="73" t="s">
        <v>3807</v>
      </c>
      <c r="Y265" s="127" t="str">
        <f>_xlfn.XLOOKUP(MasterFees[[#This Row],[Provider / Payer]],Contracts[Contract Name],Contracts[Contract ID],"No contract")</f>
        <v>CON-01</v>
      </c>
      <c r="Z265" s="127" t="str">
        <f>_xlfn.XLOOKUP(MasterFees[[#This Row],[Provider / Payer]],Contracts[Contract Name],Contracts[Pricing Basis],"To confirm")</f>
        <v>To confirm</v>
      </c>
      <c r="AA265" s="127" t="str">
        <f>IF(MasterFees[[#This Row],[Pricing Basis]]="Fixed fee schedule","Yes","No")</f>
        <v>No</v>
      </c>
      <c r="AB265" s="127" t="str">
        <f>IF(OR(MasterFees[[#This Row],[Fee Basis]]="Add-on",MasterFees[[#This Row],[Fee Basis]]="Time band",MasterFees[[#This Row],[Fee Basis]]="Other"),MasterFees[[#This Row],[Fee Basis]],"Base")</f>
        <v>Base</v>
      </c>
      <c r="AC265" s="141" t="str">
        <f>IF(MasterFees[[#This Row],[Fixed Fee?]]="Yes",MasterFees[[#This Row],[Fee Excl. GST]],"")</f>
        <v/>
      </c>
    </row>
    <row r="266" spans="1:29" x14ac:dyDescent="0.2">
      <c r="A266" s="67" t="s">
        <v>2170</v>
      </c>
      <c r="B266" s="31">
        <f>IF(MasterFees[[#This Row],[RVG Code]]="","",_xlfn.XLOOKUP(MasterFees[[#This Row],[RVG Code]],RVGCodes[Code],RVGCodes[Base Units],"Code not found"))</f>
        <v>5</v>
      </c>
      <c r="C26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6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66" s="125" t="s">
        <v>2601</v>
      </c>
      <c r="F266" s="48" t="s">
        <v>2569</v>
      </c>
      <c r="G266" s="30" t="s">
        <v>885</v>
      </c>
      <c r="H266" s="37" t="s">
        <v>1095</v>
      </c>
      <c r="I266" s="37"/>
      <c r="J266" s="37" t="s">
        <v>1096</v>
      </c>
      <c r="K266" s="32">
        <v>0</v>
      </c>
      <c r="L266" s="32">
        <v>0</v>
      </c>
      <c r="M266" s="32">
        <v>0</v>
      </c>
      <c r="N266" s="32">
        <v>0</v>
      </c>
      <c r="O266" s="33">
        <v>0</v>
      </c>
      <c r="P266" s="38" t="s">
        <v>1014</v>
      </c>
      <c r="Q266" s="34" t="str">
        <f>IF(MasterFees[[#This Row],[GST Basis]]="Excl",MasterFees[[#This Row],[Fee as Printed]],IF(MasterFees[[#This Row],[GST Basis]]="Incl",MasterFees[[#This Row],[Fee as Printed]]/(1+GST_Rate),""))</f>
        <v/>
      </c>
      <c r="R266" s="34" t="str">
        <f>IF(MasterFees[[#This Row],[GST Basis]]="Incl",MasterFees[[#This Row],[Fee as Printed]],IF(MasterFees[[#This Row],[GST Basis]]="Excl",MasterFees[[#This Row],[Fee as Printed]]*(1+GST_Rate),""))</f>
        <v/>
      </c>
      <c r="S266" s="35" t="str">
        <f>IF(N(MasterFees[[#This Row],[Total Units]])=0,"",MasterFees[[#This Row],[Fee as Printed]]/MasterFees[[#This Row],[Total Units]])</f>
        <v/>
      </c>
      <c r="T266" s="36"/>
      <c r="U266" s="39" t="s">
        <v>1012</v>
      </c>
      <c r="V266" s="39" t="s">
        <v>1988</v>
      </c>
      <c r="W266" s="30"/>
      <c r="X266" s="73" t="s">
        <v>3808</v>
      </c>
      <c r="Y266" s="127" t="str">
        <f>_xlfn.XLOOKUP(MasterFees[[#This Row],[Provider / Payer]],Contracts[Contract Name],Contracts[Contract ID],"No contract")</f>
        <v>CON-01</v>
      </c>
      <c r="Z266" s="127" t="str">
        <f>_xlfn.XLOOKUP(MasterFees[[#This Row],[Provider / Payer]],Contracts[Contract Name],Contracts[Pricing Basis],"To confirm")</f>
        <v>To confirm</v>
      </c>
      <c r="AA266" s="127" t="str">
        <f>IF(MasterFees[[#This Row],[Pricing Basis]]="Fixed fee schedule","Yes","No")</f>
        <v>No</v>
      </c>
      <c r="AB266" s="127" t="str">
        <f>IF(OR(MasterFees[[#This Row],[Fee Basis]]="Add-on",MasterFees[[#This Row],[Fee Basis]]="Time band",MasterFees[[#This Row],[Fee Basis]]="Other"),MasterFees[[#This Row],[Fee Basis]],"Base")</f>
        <v>Base</v>
      </c>
      <c r="AC266" s="141" t="str">
        <f>IF(MasterFees[[#This Row],[Fixed Fee?]]="Yes",MasterFees[[#This Row],[Fee Excl. GST]],"")</f>
        <v/>
      </c>
    </row>
    <row r="267" spans="1:29" x14ac:dyDescent="0.2">
      <c r="A267" s="67" t="s">
        <v>2170</v>
      </c>
      <c r="B267" s="31">
        <f>IF(MasterFees[[#This Row],[RVG Code]]="","",_xlfn.XLOOKUP(MasterFees[[#This Row],[RVG Code]],RVGCodes[Code],RVGCodes[Base Units],"Code not found"))</f>
        <v>5</v>
      </c>
      <c r="C26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6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67" s="125" t="s">
        <v>2601</v>
      </c>
      <c r="F267" s="48" t="s">
        <v>2569</v>
      </c>
      <c r="G267" s="30" t="s">
        <v>890</v>
      </c>
      <c r="H267" s="37" t="s">
        <v>1095</v>
      </c>
      <c r="I267" s="37"/>
      <c r="J267" s="37" t="s">
        <v>1096</v>
      </c>
      <c r="K267" s="32">
        <v>5</v>
      </c>
      <c r="L267" s="32">
        <v>2</v>
      </c>
      <c r="M267" s="32">
        <v>0</v>
      </c>
      <c r="N267" s="32">
        <v>7</v>
      </c>
      <c r="O267" s="33">
        <v>385</v>
      </c>
      <c r="P267" s="38" t="s">
        <v>1014</v>
      </c>
      <c r="Q267" s="34" t="str">
        <f>IF(MasterFees[[#This Row],[GST Basis]]="Excl",MasterFees[[#This Row],[Fee as Printed]],IF(MasterFees[[#This Row],[GST Basis]]="Incl",MasterFees[[#This Row],[Fee as Printed]]/(1+GST_Rate),""))</f>
        <v/>
      </c>
      <c r="R267" s="34" t="str">
        <f>IF(MasterFees[[#This Row],[GST Basis]]="Incl",MasterFees[[#This Row],[Fee as Printed]],IF(MasterFees[[#This Row],[GST Basis]]="Excl",MasterFees[[#This Row],[Fee as Printed]]*(1+GST_Rate),""))</f>
        <v/>
      </c>
      <c r="S267" s="35">
        <f>IF(N(MasterFees[[#This Row],[Total Units]])=0,"",MasterFees[[#This Row],[Fee as Printed]]/MasterFees[[#This Row],[Total Units]])</f>
        <v>55</v>
      </c>
      <c r="T267" s="36"/>
      <c r="U267" s="39" t="s">
        <v>1012</v>
      </c>
      <c r="V267" s="39" t="s">
        <v>1993</v>
      </c>
      <c r="W267" s="30"/>
      <c r="X267" s="73" t="s">
        <v>3816</v>
      </c>
      <c r="Y267" s="127" t="str">
        <f>_xlfn.XLOOKUP(MasterFees[[#This Row],[Provider / Payer]],Contracts[Contract Name],Contracts[Contract ID],"No contract")</f>
        <v>CON-01</v>
      </c>
      <c r="Z267" s="127" t="str">
        <f>_xlfn.XLOOKUP(MasterFees[[#This Row],[Provider / Payer]],Contracts[Contract Name],Contracts[Pricing Basis],"To confirm")</f>
        <v>To confirm</v>
      </c>
      <c r="AA267" s="127" t="str">
        <f>IF(MasterFees[[#This Row],[Pricing Basis]]="Fixed fee schedule","Yes","No")</f>
        <v>No</v>
      </c>
      <c r="AB267" s="127" t="str">
        <f>IF(OR(MasterFees[[#This Row],[Fee Basis]]="Add-on",MasterFees[[#This Row],[Fee Basis]]="Time band",MasterFees[[#This Row],[Fee Basis]]="Other"),MasterFees[[#This Row],[Fee Basis]],"Base")</f>
        <v>Base</v>
      </c>
      <c r="AC267" s="141" t="str">
        <f>IF(MasterFees[[#This Row],[Fixed Fee?]]="Yes",MasterFees[[#This Row],[Fee Excl. GST]],"")</f>
        <v/>
      </c>
    </row>
    <row r="268" spans="1:29" x14ac:dyDescent="0.2">
      <c r="A268" s="67" t="s">
        <v>2170</v>
      </c>
      <c r="B268" s="31">
        <f>IF(MasterFees[[#This Row],[RVG Code]]="","",_xlfn.XLOOKUP(MasterFees[[#This Row],[RVG Code]],RVGCodes[Code],RVGCodes[Base Units],"Code not found"))</f>
        <v>5</v>
      </c>
      <c r="C26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6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68" s="125" t="s">
        <v>2601</v>
      </c>
      <c r="F268" s="48" t="s">
        <v>2569</v>
      </c>
      <c r="G268" s="30" t="s">
        <v>902</v>
      </c>
      <c r="H268" s="37" t="s">
        <v>1095</v>
      </c>
      <c r="I268" s="37"/>
      <c r="J268" s="37" t="s">
        <v>1096</v>
      </c>
      <c r="K268" s="32">
        <v>5</v>
      </c>
      <c r="L268" s="32">
        <v>4.3</v>
      </c>
      <c r="M268" s="32">
        <v>0</v>
      </c>
      <c r="N268" s="32">
        <v>9.3000000000000007</v>
      </c>
      <c r="O268" s="33">
        <v>513.15</v>
      </c>
      <c r="P268" s="38" t="s">
        <v>1014</v>
      </c>
      <c r="Q268" s="34" t="str">
        <f>IF(MasterFees[[#This Row],[GST Basis]]="Excl",MasterFees[[#This Row],[Fee as Printed]],IF(MasterFees[[#This Row],[GST Basis]]="Incl",MasterFees[[#This Row],[Fee as Printed]]/(1+GST_Rate),""))</f>
        <v/>
      </c>
      <c r="R268" s="34" t="str">
        <f>IF(MasterFees[[#This Row],[GST Basis]]="Incl",MasterFees[[#This Row],[Fee as Printed]],IF(MasterFees[[#This Row],[GST Basis]]="Excl",MasterFees[[#This Row],[Fee as Printed]]*(1+GST_Rate),""))</f>
        <v/>
      </c>
      <c r="S268" s="35">
        <f>IF(N(MasterFees[[#This Row],[Total Units]])=0,"",MasterFees[[#This Row],[Fee as Printed]]/MasterFees[[#This Row],[Total Units]])</f>
        <v>55.177419354838705</v>
      </c>
      <c r="T268" s="36"/>
      <c r="U268" s="39" t="s">
        <v>1012</v>
      </c>
      <c r="V268" s="39" t="s">
        <v>2005</v>
      </c>
      <c r="W268" s="30"/>
      <c r="X268" s="73" t="s">
        <v>3829</v>
      </c>
      <c r="Y268" s="127" t="str">
        <f>_xlfn.XLOOKUP(MasterFees[[#This Row],[Provider / Payer]],Contracts[Contract Name],Contracts[Contract ID],"No contract")</f>
        <v>CON-01</v>
      </c>
      <c r="Z268" s="127" t="str">
        <f>_xlfn.XLOOKUP(MasterFees[[#This Row],[Provider / Payer]],Contracts[Contract Name],Contracts[Pricing Basis],"To confirm")</f>
        <v>To confirm</v>
      </c>
      <c r="AA268" s="127" t="str">
        <f>IF(MasterFees[[#This Row],[Pricing Basis]]="Fixed fee schedule","Yes","No")</f>
        <v>No</v>
      </c>
      <c r="AB268" s="127" t="str">
        <f>IF(OR(MasterFees[[#This Row],[Fee Basis]]="Add-on",MasterFees[[#This Row],[Fee Basis]]="Time band",MasterFees[[#This Row],[Fee Basis]]="Other"),MasterFees[[#This Row],[Fee Basis]],"Base")</f>
        <v>Base</v>
      </c>
      <c r="AC268" s="141" t="str">
        <f>IF(MasterFees[[#This Row],[Fixed Fee?]]="Yes",MasterFees[[#This Row],[Fee Excl. GST]],"")</f>
        <v/>
      </c>
    </row>
    <row r="269" spans="1:29" x14ac:dyDescent="0.2">
      <c r="A269" s="67" t="s">
        <v>2170</v>
      </c>
      <c r="B269" s="31">
        <f>IF(MasterFees[[#This Row],[RVG Code]]="","",_xlfn.XLOOKUP(MasterFees[[#This Row],[RVG Code]],RVGCodes[Code],RVGCodes[Base Units],"Code not found"))</f>
        <v>5</v>
      </c>
      <c r="C26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6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Dental</v>
      </c>
      <c r="E269" s="125" t="s">
        <v>2601</v>
      </c>
      <c r="F269" s="48" t="s">
        <v>2569</v>
      </c>
      <c r="G269" s="30" t="s">
        <v>903</v>
      </c>
      <c r="H269" s="37" t="s">
        <v>1095</v>
      </c>
      <c r="I269" s="37"/>
      <c r="J269" s="37" t="s">
        <v>1096</v>
      </c>
      <c r="K269" s="32">
        <v>5</v>
      </c>
      <c r="L269" s="32">
        <v>4</v>
      </c>
      <c r="M269" s="32">
        <v>0</v>
      </c>
      <c r="N269" s="32">
        <v>9</v>
      </c>
      <c r="O269" s="33">
        <v>495</v>
      </c>
      <c r="P269" s="38" t="s">
        <v>1014</v>
      </c>
      <c r="Q269" s="34" t="str">
        <f>IF(MasterFees[[#This Row],[GST Basis]]="Excl",MasterFees[[#This Row],[Fee as Printed]],IF(MasterFees[[#This Row],[GST Basis]]="Incl",MasterFees[[#This Row],[Fee as Printed]]/(1+GST_Rate),""))</f>
        <v/>
      </c>
      <c r="R269" s="34" t="str">
        <f>IF(MasterFees[[#This Row],[GST Basis]]="Incl",MasterFees[[#This Row],[Fee as Printed]],IF(MasterFees[[#This Row],[GST Basis]]="Excl",MasterFees[[#This Row],[Fee as Printed]]*(1+GST_Rate),""))</f>
        <v/>
      </c>
      <c r="S269" s="35">
        <f>IF(N(MasterFees[[#This Row],[Total Units]])=0,"",MasterFees[[#This Row],[Fee as Printed]]/MasterFees[[#This Row],[Total Units]])</f>
        <v>55</v>
      </c>
      <c r="T269" s="36"/>
      <c r="U269" s="39" t="s">
        <v>1012</v>
      </c>
      <c r="V269" s="39" t="s">
        <v>2006</v>
      </c>
      <c r="W269" s="30"/>
      <c r="X269" s="73" t="s">
        <v>3830</v>
      </c>
      <c r="Y269" s="127" t="str">
        <f>_xlfn.XLOOKUP(MasterFees[[#This Row],[Provider / Payer]],Contracts[Contract Name],Contracts[Contract ID],"No contract")</f>
        <v>CON-01</v>
      </c>
      <c r="Z269" s="127" t="str">
        <f>_xlfn.XLOOKUP(MasterFees[[#This Row],[Provider / Payer]],Contracts[Contract Name],Contracts[Pricing Basis],"To confirm")</f>
        <v>To confirm</v>
      </c>
      <c r="AA269" s="127" t="str">
        <f>IF(MasterFees[[#This Row],[Pricing Basis]]="Fixed fee schedule","Yes","No")</f>
        <v>No</v>
      </c>
      <c r="AB269" s="127" t="str">
        <f>IF(OR(MasterFees[[#This Row],[Fee Basis]]="Add-on",MasterFees[[#This Row],[Fee Basis]]="Time band",MasterFees[[#This Row],[Fee Basis]]="Other"),MasterFees[[#This Row],[Fee Basis]],"Base")</f>
        <v>Base</v>
      </c>
      <c r="AC269" s="141" t="str">
        <f>IF(MasterFees[[#This Row],[Fixed Fee?]]="Yes",MasterFees[[#This Row],[Fee Excl. GST]],"")</f>
        <v/>
      </c>
    </row>
    <row r="270" spans="1:29" x14ac:dyDescent="0.2">
      <c r="A270" s="67" t="s">
        <v>2189</v>
      </c>
      <c r="B270" s="31">
        <f>IF(MasterFees[[#This Row],[RVG Code]]="","",_xlfn.XLOOKUP(MasterFees[[#This Row],[RVG Code]],RVGCodes[Code],RVGCodes[Base Units],"Code not found"))</f>
        <v>12</v>
      </c>
      <c r="C27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7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Neurosurgery</v>
      </c>
      <c r="E270" s="125" t="s">
        <v>2685</v>
      </c>
      <c r="F270" s="48" t="s">
        <v>2565</v>
      </c>
      <c r="G270" s="30" t="s">
        <v>2190</v>
      </c>
      <c r="H270" s="37" t="s">
        <v>2630</v>
      </c>
      <c r="I270" s="37" t="s">
        <v>2189</v>
      </c>
      <c r="J270" s="37" t="s">
        <v>1096</v>
      </c>
      <c r="K270" s="32">
        <v>12</v>
      </c>
      <c r="L270" s="32"/>
      <c r="M270" s="32"/>
      <c r="N270" s="32">
        <v>12</v>
      </c>
      <c r="O270" s="33"/>
      <c r="P270" s="38"/>
      <c r="Q270" s="34" t="str">
        <f>IF(MasterFees[[#This Row],[GST Basis]]="Excl",MasterFees[[#This Row],[Fee as Printed]],IF(MasterFees[[#This Row],[GST Basis]]="Incl",MasterFees[[#This Row],[Fee as Printed]]/(1+GST_Rate),""))</f>
        <v/>
      </c>
      <c r="R270" s="34" t="str">
        <f>IF(MasterFees[[#This Row],[GST Basis]]="Incl",MasterFees[[#This Row],[Fee as Printed]],IF(MasterFees[[#This Row],[GST Basis]]="Excl",MasterFees[[#This Row],[Fee as Printed]]*(1+GST_Rate),""))</f>
        <v/>
      </c>
      <c r="S270" s="35">
        <f>IF(N(MasterFees[[#This Row],[Total Units]])=0,"",MasterFees[[#This Row],[Fee as Printed]]/MasterFees[[#This Row],[Total Units]])</f>
        <v>0</v>
      </c>
      <c r="T270" s="36"/>
      <c r="U270" s="39" t="s">
        <v>1016</v>
      </c>
      <c r="V270" s="39" t="s">
        <v>2647</v>
      </c>
      <c r="W270" s="30" t="s">
        <v>2649</v>
      </c>
      <c r="X270" s="73" t="s">
        <v>3925</v>
      </c>
      <c r="Y270" s="127" t="str">
        <f>_xlfn.XLOOKUP(MasterFees[[#This Row],[Provider / Payer]],Contracts[Contract Name],Contracts[Contract ID],"No contract")</f>
        <v>CON-10</v>
      </c>
      <c r="Z270" s="127" t="str">
        <f>_xlfn.XLOOKUP(MasterFees[[#This Row],[Provider / Payer]],Contracts[Contract Name],Contracts[Pricing Basis],"To confirm")</f>
        <v>Reference – units only</v>
      </c>
      <c r="AA270" s="127" t="str">
        <f>IF(MasterFees[[#This Row],[Pricing Basis]]="Fixed fee schedule","Yes","No")</f>
        <v>No</v>
      </c>
      <c r="AB270" s="127" t="str">
        <f>IF(OR(MasterFees[[#This Row],[Fee Basis]]="Add-on",MasterFees[[#This Row],[Fee Basis]]="Time band",MasterFees[[#This Row],[Fee Basis]]="Other"),MasterFees[[#This Row],[Fee Basis]],"Base")</f>
        <v>Base</v>
      </c>
      <c r="AC270" s="141" t="str">
        <f>IF(MasterFees[[#This Row],[Fixed Fee?]]="Yes",MasterFees[[#This Row],[Fee Excl. GST]],"")</f>
        <v/>
      </c>
    </row>
    <row r="271" spans="1:29" x14ac:dyDescent="0.2">
      <c r="A271" s="67" t="s">
        <v>2185</v>
      </c>
      <c r="B271" s="31">
        <f>IF(MasterFees[[#This Row],[RVG Code]]="","",_xlfn.XLOOKUP(MasterFees[[#This Row],[RVG Code]],RVGCodes[Code],RVGCodes[Base Units],"Code not found"))</f>
        <v>10</v>
      </c>
      <c r="C27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7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Neurosurgery</v>
      </c>
      <c r="E271" s="125" t="s">
        <v>2627</v>
      </c>
      <c r="F271" s="48" t="s">
        <v>2629</v>
      </c>
      <c r="G271" s="30" t="s">
        <v>2186</v>
      </c>
      <c r="H271" s="37" t="s">
        <v>2630</v>
      </c>
      <c r="I271" s="37" t="s">
        <v>2185</v>
      </c>
      <c r="J271" s="37" t="s">
        <v>1096</v>
      </c>
      <c r="K271" s="32">
        <v>10</v>
      </c>
      <c r="L271" s="32"/>
      <c r="M271" s="32"/>
      <c r="N271" s="32">
        <v>10</v>
      </c>
      <c r="O271" s="33"/>
      <c r="P271" s="38"/>
      <c r="Q271" s="34" t="str">
        <f>IF(MasterFees[[#This Row],[GST Basis]]="Excl",MasterFees[[#This Row],[Fee as Printed]],IF(MasterFees[[#This Row],[GST Basis]]="Incl",MasterFees[[#This Row],[Fee as Printed]]/(1+GST_Rate),""))</f>
        <v/>
      </c>
      <c r="R271" s="34" t="str">
        <f>IF(MasterFees[[#This Row],[GST Basis]]="Incl",MasterFees[[#This Row],[Fee as Printed]],IF(MasterFees[[#This Row],[GST Basis]]="Excl",MasterFees[[#This Row],[Fee as Printed]]*(1+GST_Rate),""))</f>
        <v/>
      </c>
      <c r="S271" s="35">
        <f>IF(N(MasterFees[[#This Row],[Total Units]])=0,"",MasterFees[[#This Row],[Fee as Printed]]/MasterFees[[#This Row],[Total Units]])</f>
        <v>0</v>
      </c>
      <c r="T271" s="36"/>
      <c r="U271" s="39" t="s">
        <v>1016</v>
      </c>
      <c r="V271" s="39" t="s">
        <v>2647</v>
      </c>
      <c r="W271" s="30" t="s">
        <v>2648</v>
      </c>
      <c r="X271" s="73" t="s">
        <v>3848</v>
      </c>
      <c r="Y271" s="127" t="str">
        <f>_xlfn.XLOOKUP(MasterFees[[#This Row],[Provider / Payer]],Contracts[Contract Name],Contracts[Contract ID],"No contract")</f>
        <v>CON-10</v>
      </c>
      <c r="Z271" s="127" t="str">
        <f>_xlfn.XLOOKUP(MasterFees[[#This Row],[Provider / Payer]],Contracts[Contract Name],Contracts[Pricing Basis],"To confirm")</f>
        <v>Reference – units only</v>
      </c>
      <c r="AA271" s="127" t="str">
        <f>IF(MasterFees[[#This Row],[Pricing Basis]]="Fixed fee schedule","Yes","No")</f>
        <v>No</v>
      </c>
      <c r="AB271" s="127" t="str">
        <f>IF(OR(MasterFees[[#This Row],[Fee Basis]]="Add-on",MasterFees[[#This Row],[Fee Basis]]="Time band",MasterFees[[#This Row],[Fee Basis]]="Other"),MasterFees[[#This Row],[Fee Basis]],"Base")</f>
        <v>Base</v>
      </c>
      <c r="AC271" s="141" t="str">
        <f>IF(MasterFees[[#This Row],[Fixed Fee?]]="Yes",MasterFees[[#This Row],[Fee Excl. GST]],"")</f>
        <v/>
      </c>
    </row>
    <row r="272" spans="1:29" x14ac:dyDescent="0.2">
      <c r="A272" s="67" t="s">
        <v>2195</v>
      </c>
      <c r="B272" s="31">
        <f>IF(MasterFees[[#This Row],[RVG Code]]="","",_xlfn.XLOOKUP(MasterFees[[#This Row],[RVG Code]],RVGCodes[Code],RVGCodes[Base Units],"Code not found"))</f>
        <v>12</v>
      </c>
      <c r="C27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7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Neurosurgery</v>
      </c>
      <c r="E272" s="125" t="s">
        <v>2604</v>
      </c>
      <c r="F272" s="48" t="s">
        <v>2567</v>
      </c>
      <c r="G272" s="30" t="s">
        <v>220</v>
      </c>
      <c r="H272" s="37" t="s">
        <v>1095</v>
      </c>
      <c r="I272" s="37"/>
      <c r="J272" s="37" t="s">
        <v>1096</v>
      </c>
      <c r="K272" s="32">
        <v>12.2</v>
      </c>
      <c r="L272" s="32">
        <v>22.3</v>
      </c>
      <c r="M272" s="32">
        <v>2</v>
      </c>
      <c r="N272" s="32">
        <v>36.5</v>
      </c>
      <c r="O272" s="33">
        <v>2004.75</v>
      </c>
      <c r="P272" s="38" t="s">
        <v>1014</v>
      </c>
      <c r="Q272" s="34" t="str">
        <f>IF(MasterFees[[#This Row],[GST Basis]]="Excl",MasterFees[[#This Row],[Fee as Printed]],IF(MasterFees[[#This Row],[GST Basis]]="Incl",MasterFees[[#This Row],[Fee as Printed]]/(1+GST_Rate),""))</f>
        <v/>
      </c>
      <c r="R272" s="34" t="str">
        <f>IF(MasterFees[[#This Row],[GST Basis]]="Incl",MasterFees[[#This Row],[Fee as Printed]],IF(MasterFees[[#This Row],[GST Basis]]="Excl",MasterFees[[#This Row],[Fee as Printed]]*(1+GST_Rate),""))</f>
        <v/>
      </c>
      <c r="S272" s="35">
        <f>IF(N(MasterFees[[#This Row],[Total Units]])=0,"",MasterFees[[#This Row],[Fee as Printed]]/MasterFees[[#This Row],[Total Units]])</f>
        <v>54.924657534246577</v>
      </c>
      <c r="T272" s="36"/>
      <c r="U272" s="39" t="s">
        <v>1012</v>
      </c>
      <c r="V272" s="39" t="s">
        <v>1314</v>
      </c>
      <c r="W272" s="30"/>
      <c r="X272" s="73" t="s">
        <v>3100</v>
      </c>
      <c r="Y272" s="127" t="str">
        <f>_xlfn.XLOOKUP(MasterFees[[#This Row],[Provider / Payer]],Contracts[Contract Name],Contracts[Contract ID],"No contract")</f>
        <v>CON-01</v>
      </c>
      <c r="Z272" s="127" t="str">
        <f>_xlfn.XLOOKUP(MasterFees[[#This Row],[Provider / Payer]],Contracts[Contract Name],Contracts[Pricing Basis],"To confirm")</f>
        <v>To confirm</v>
      </c>
      <c r="AA272" s="127" t="str">
        <f>IF(MasterFees[[#This Row],[Pricing Basis]]="Fixed fee schedule","Yes","No")</f>
        <v>No</v>
      </c>
      <c r="AB272" s="127" t="str">
        <f>IF(OR(MasterFees[[#This Row],[Fee Basis]]="Add-on",MasterFees[[#This Row],[Fee Basis]]="Time band",MasterFees[[#This Row],[Fee Basis]]="Other"),MasterFees[[#This Row],[Fee Basis]],"Base")</f>
        <v>Base</v>
      </c>
      <c r="AC272" s="141" t="str">
        <f>IF(MasterFees[[#This Row],[Fixed Fee?]]="Yes",MasterFees[[#This Row],[Fee Excl. GST]],"")</f>
        <v/>
      </c>
    </row>
    <row r="273" spans="1:29" x14ac:dyDescent="0.2">
      <c r="A273" s="67" t="s">
        <v>2197</v>
      </c>
      <c r="B273" s="31">
        <f>IF(MasterFees[[#This Row],[RVG Code]]="","",_xlfn.XLOOKUP(MasterFees[[#This Row],[RVG Code]],RVGCodes[Code],RVGCodes[Base Units],"Code not found"))</f>
        <v>14</v>
      </c>
      <c r="C27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7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Neurosurgery</v>
      </c>
      <c r="E273" s="125" t="s">
        <v>2626</v>
      </c>
      <c r="F273" s="48" t="s">
        <v>2629</v>
      </c>
      <c r="G273" s="30" t="s">
        <v>2198</v>
      </c>
      <c r="H273" s="37" t="s">
        <v>2630</v>
      </c>
      <c r="I273" s="37" t="s">
        <v>2197</v>
      </c>
      <c r="J273" s="37" t="s">
        <v>1096</v>
      </c>
      <c r="K273" s="32">
        <v>14</v>
      </c>
      <c r="L273" s="32"/>
      <c r="M273" s="32"/>
      <c r="N273" s="32">
        <v>14</v>
      </c>
      <c r="O273" s="33"/>
      <c r="P273" s="38"/>
      <c r="Q273" s="34" t="str">
        <f>IF(MasterFees[[#This Row],[GST Basis]]="Excl",MasterFees[[#This Row],[Fee as Printed]],IF(MasterFees[[#This Row],[GST Basis]]="Incl",MasterFees[[#This Row],[Fee as Printed]]/(1+GST_Rate),""))</f>
        <v/>
      </c>
      <c r="R273" s="34" t="str">
        <f>IF(MasterFees[[#This Row],[GST Basis]]="Incl",MasterFees[[#This Row],[Fee as Printed]],IF(MasterFees[[#This Row],[GST Basis]]="Excl",MasterFees[[#This Row],[Fee as Printed]]*(1+GST_Rate),""))</f>
        <v/>
      </c>
      <c r="S273" s="35">
        <f>IF(N(MasterFees[[#This Row],[Total Units]])=0,"",MasterFees[[#This Row],[Fee as Printed]]/MasterFees[[#This Row],[Total Units]])</f>
        <v>0</v>
      </c>
      <c r="T273" s="36"/>
      <c r="U273" s="39" t="s">
        <v>1016</v>
      </c>
      <c r="V273" s="39" t="s">
        <v>2647</v>
      </c>
      <c r="W273" s="30" t="s">
        <v>2649</v>
      </c>
      <c r="X273" s="73" t="s">
        <v>3836</v>
      </c>
      <c r="Y273" s="127" t="str">
        <f>_xlfn.XLOOKUP(MasterFees[[#This Row],[Provider / Payer]],Contracts[Contract Name],Contracts[Contract ID],"No contract")</f>
        <v>CON-10</v>
      </c>
      <c r="Z273" s="127" t="str">
        <f>_xlfn.XLOOKUP(MasterFees[[#This Row],[Provider / Payer]],Contracts[Contract Name],Contracts[Pricing Basis],"To confirm")</f>
        <v>Reference – units only</v>
      </c>
      <c r="AA273" s="127" t="str">
        <f>IF(MasterFees[[#This Row],[Pricing Basis]]="Fixed fee schedule","Yes","No")</f>
        <v>No</v>
      </c>
      <c r="AB273" s="127" t="str">
        <f>IF(OR(MasterFees[[#This Row],[Fee Basis]]="Add-on",MasterFees[[#This Row],[Fee Basis]]="Time band",MasterFees[[#This Row],[Fee Basis]]="Other"),MasterFees[[#This Row],[Fee Basis]],"Base")</f>
        <v>Base</v>
      </c>
      <c r="AC273" s="141" t="str">
        <f>IF(MasterFees[[#This Row],[Fixed Fee?]]="Yes",MasterFees[[#This Row],[Fee Excl. GST]],"")</f>
        <v/>
      </c>
    </row>
    <row r="274" spans="1:29" x14ac:dyDescent="0.2">
      <c r="A274" s="67" t="s">
        <v>2195</v>
      </c>
      <c r="B274" s="31">
        <f>IF(MasterFees[[#This Row],[RVG Code]]="","",_xlfn.XLOOKUP(MasterFees[[#This Row],[RVG Code]],RVGCodes[Code],RVGCodes[Base Units],"Code not found"))</f>
        <v>12</v>
      </c>
      <c r="C27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7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Neurosurgery</v>
      </c>
      <c r="E274" s="125" t="s">
        <v>2604</v>
      </c>
      <c r="F274" s="48" t="s">
        <v>2629</v>
      </c>
      <c r="G274" s="30" t="s">
        <v>2196</v>
      </c>
      <c r="H274" s="37" t="s">
        <v>2630</v>
      </c>
      <c r="I274" s="37" t="s">
        <v>2195</v>
      </c>
      <c r="J274" s="37" t="s">
        <v>1096</v>
      </c>
      <c r="K274" s="32">
        <v>12</v>
      </c>
      <c r="L274" s="32"/>
      <c r="M274" s="32"/>
      <c r="N274" s="32">
        <v>12</v>
      </c>
      <c r="O274" s="33"/>
      <c r="P274" s="38"/>
      <c r="Q274" s="34" t="str">
        <f>IF(MasterFees[[#This Row],[GST Basis]]="Excl",MasterFees[[#This Row],[Fee as Printed]],IF(MasterFees[[#This Row],[GST Basis]]="Incl",MasterFees[[#This Row],[Fee as Printed]]/(1+GST_Rate),""))</f>
        <v/>
      </c>
      <c r="R274" s="34" t="str">
        <f>IF(MasterFees[[#This Row],[GST Basis]]="Incl",MasterFees[[#This Row],[Fee as Printed]],IF(MasterFees[[#This Row],[GST Basis]]="Excl",MasterFees[[#This Row],[Fee as Printed]]*(1+GST_Rate),""))</f>
        <v/>
      </c>
      <c r="S274" s="35">
        <f>IF(N(MasterFees[[#This Row],[Total Units]])=0,"",MasterFees[[#This Row],[Fee as Printed]]/MasterFees[[#This Row],[Total Units]])</f>
        <v>0</v>
      </c>
      <c r="T274" s="36"/>
      <c r="U274" s="39" t="s">
        <v>1016</v>
      </c>
      <c r="V274" s="39" t="s">
        <v>2647</v>
      </c>
      <c r="W274" s="30" t="s">
        <v>2649</v>
      </c>
      <c r="X274" s="73" t="s">
        <v>3101</v>
      </c>
      <c r="Y274" s="127" t="str">
        <f>_xlfn.XLOOKUP(MasterFees[[#This Row],[Provider / Payer]],Contracts[Contract Name],Contracts[Contract ID],"No contract")</f>
        <v>CON-10</v>
      </c>
      <c r="Z274" s="127" t="str">
        <f>_xlfn.XLOOKUP(MasterFees[[#This Row],[Provider / Payer]],Contracts[Contract Name],Contracts[Pricing Basis],"To confirm")</f>
        <v>Reference – units only</v>
      </c>
      <c r="AA274" s="127" t="str">
        <f>IF(MasterFees[[#This Row],[Pricing Basis]]="Fixed fee schedule","Yes","No")</f>
        <v>No</v>
      </c>
      <c r="AB274" s="127" t="str">
        <f>IF(OR(MasterFees[[#This Row],[Fee Basis]]="Add-on",MasterFees[[#This Row],[Fee Basis]]="Time band",MasterFees[[#This Row],[Fee Basis]]="Other"),MasterFees[[#This Row],[Fee Basis]],"Base")</f>
        <v>Base</v>
      </c>
      <c r="AC274" s="141" t="str">
        <f>IF(MasterFees[[#This Row],[Fixed Fee?]]="Yes",MasterFees[[#This Row],[Fee Excl. GST]],"")</f>
        <v/>
      </c>
    </row>
    <row r="275" spans="1:29" x14ac:dyDescent="0.2">
      <c r="A275" s="67" t="s">
        <v>2197</v>
      </c>
      <c r="B275" s="31">
        <f>IF(MasterFees[[#This Row],[RVG Code]]="","",_xlfn.XLOOKUP(MasterFees[[#This Row],[RVG Code]],RVGCodes[Code],RVGCodes[Base Units],"Code not found"))</f>
        <v>14</v>
      </c>
      <c r="C27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7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Neurosurgery</v>
      </c>
      <c r="E275" s="125" t="s">
        <v>2626</v>
      </c>
      <c r="F275" s="48" t="s">
        <v>2567</v>
      </c>
      <c r="G275" s="30" t="s">
        <v>907</v>
      </c>
      <c r="H275" s="37" t="s">
        <v>1095</v>
      </c>
      <c r="I275" s="37"/>
      <c r="J275" s="37" t="s">
        <v>1096</v>
      </c>
      <c r="K275" s="32">
        <v>8</v>
      </c>
      <c r="L275" s="32">
        <v>28</v>
      </c>
      <c r="M275" s="32">
        <v>0</v>
      </c>
      <c r="N275" s="32">
        <v>36</v>
      </c>
      <c r="O275" s="33">
        <v>1980</v>
      </c>
      <c r="P275" s="38" t="s">
        <v>1014</v>
      </c>
      <c r="Q275" s="34" t="str">
        <f>IF(MasterFees[[#This Row],[GST Basis]]="Excl",MasterFees[[#This Row],[Fee as Printed]],IF(MasterFees[[#This Row],[GST Basis]]="Incl",MasterFees[[#This Row],[Fee as Printed]]/(1+GST_Rate),""))</f>
        <v/>
      </c>
      <c r="R275" s="34" t="str">
        <f>IF(MasterFees[[#This Row],[GST Basis]]="Incl",MasterFees[[#This Row],[Fee as Printed]],IF(MasterFees[[#This Row],[GST Basis]]="Excl",MasterFees[[#This Row],[Fee as Printed]]*(1+GST_Rate),""))</f>
        <v/>
      </c>
      <c r="S275" s="35">
        <f>IF(N(MasterFees[[#This Row],[Total Units]])=0,"",MasterFees[[#This Row],[Fee as Printed]]/MasterFees[[#This Row],[Total Units]])</f>
        <v>55</v>
      </c>
      <c r="T275" s="36"/>
      <c r="U275" s="39" t="s">
        <v>1012</v>
      </c>
      <c r="V275" s="39" t="s">
        <v>2010</v>
      </c>
      <c r="W275" s="30"/>
      <c r="X275" s="73" t="s">
        <v>3835</v>
      </c>
      <c r="Y275" s="127" t="str">
        <f>_xlfn.XLOOKUP(MasterFees[[#This Row],[Provider / Payer]],Contracts[Contract Name],Contracts[Contract ID],"No contract")</f>
        <v>CON-01</v>
      </c>
      <c r="Z275" s="127" t="str">
        <f>_xlfn.XLOOKUP(MasterFees[[#This Row],[Provider / Payer]],Contracts[Contract Name],Contracts[Pricing Basis],"To confirm")</f>
        <v>To confirm</v>
      </c>
      <c r="AA275" s="127" t="str">
        <f>IF(MasterFees[[#This Row],[Pricing Basis]]="Fixed fee schedule","Yes","No")</f>
        <v>No</v>
      </c>
      <c r="AB275" s="127" t="str">
        <f>IF(OR(MasterFees[[#This Row],[Fee Basis]]="Add-on",MasterFees[[#This Row],[Fee Basis]]="Time band",MasterFees[[#This Row],[Fee Basis]]="Other"),MasterFees[[#This Row],[Fee Basis]],"Base")</f>
        <v>Base</v>
      </c>
      <c r="AC275" s="141" t="str">
        <f>IF(MasterFees[[#This Row],[Fixed Fee?]]="Yes",MasterFees[[#This Row],[Fee Excl. GST]],"")</f>
        <v/>
      </c>
    </row>
    <row r="276" spans="1:29" x14ac:dyDescent="0.2">
      <c r="A276" s="67" t="s">
        <v>2185</v>
      </c>
      <c r="B276" s="31">
        <f>IF(MasterFees[[#This Row],[RVG Code]]="","",_xlfn.XLOOKUP(MasterFees[[#This Row],[RVG Code]],RVGCodes[Code],RVGCodes[Base Units],"Code not found"))</f>
        <v>10</v>
      </c>
      <c r="C27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7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Neurosurgery</v>
      </c>
      <c r="E276" s="125" t="s">
        <v>2627</v>
      </c>
      <c r="F276" s="48" t="s">
        <v>2567</v>
      </c>
      <c r="G276" s="30" t="s">
        <v>916</v>
      </c>
      <c r="H276" s="37" t="s">
        <v>1095</v>
      </c>
      <c r="I276" s="37"/>
      <c r="J276" s="37" t="s">
        <v>1096</v>
      </c>
      <c r="K276" s="32">
        <v>0</v>
      </c>
      <c r="L276" s="32">
        <v>0</v>
      </c>
      <c r="M276" s="32">
        <v>0</v>
      </c>
      <c r="N276" s="32">
        <v>0</v>
      </c>
      <c r="O276" s="33">
        <v>0</v>
      </c>
      <c r="P276" s="38" t="s">
        <v>1014</v>
      </c>
      <c r="Q276" s="34" t="str">
        <f>IF(MasterFees[[#This Row],[GST Basis]]="Excl",MasterFees[[#This Row],[Fee as Printed]],IF(MasterFees[[#This Row],[GST Basis]]="Incl",MasterFees[[#This Row],[Fee as Printed]]/(1+GST_Rate),""))</f>
        <v/>
      </c>
      <c r="R276" s="34" t="str">
        <f>IF(MasterFees[[#This Row],[GST Basis]]="Incl",MasterFees[[#This Row],[Fee as Printed]],IF(MasterFees[[#This Row],[GST Basis]]="Excl",MasterFees[[#This Row],[Fee as Printed]]*(1+GST_Rate),""))</f>
        <v/>
      </c>
      <c r="S276" s="35" t="str">
        <f>IF(N(MasterFees[[#This Row],[Total Units]])=0,"",MasterFees[[#This Row],[Fee as Printed]]/MasterFees[[#This Row],[Total Units]])</f>
        <v/>
      </c>
      <c r="T276" s="36"/>
      <c r="U276" s="39" t="s">
        <v>1012</v>
      </c>
      <c r="V276" s="39" t="s">
        <v>2019</v>
      </c>
      <c r="W276" s="30"/>
      <c r="X276" s="73" t="s">
        <v>3847</v>
      </c>
      <c r="Y276" s="127" t="str">
        <f>_xlfn.XLOOKUP(MasterFees[[#This Row],[Provider / Payer]],Contracts[Contract Name],Contracts[Contract ID],"No contract")</f>
        <v>CON-01</v>
      </c>
      <c r="Z276" s="127" t="str">
        <f>_xlfn.XLOOKUP(MasterFees[[#This Row],[Provider / Payer]],Contracts[Contract Name],Contracts[Pricing Basis],"To confirm")</f>
        <v>To confirm</v>
      </c>
      <c r="AA276" s="127" t="str">
        <f>IF(MasterFees[[#This Row],[Pricing Basis]]="Fixed fee schedule","Yes","No")</f>
        <v>No</v>
      </c>
      <c r="AB276" s="127" t="str">
        <f>IF(OR(MasterFees[[#This Row],[Fee Basis]]="Add-on",MasterFees[[#This Row],[Fee Basis]]="Time band",MasterFees[[#This Row],[Fee Basis]]="Other"),MasterFees[[#This Row],[Fee Basis]],"Base")</f>
        <v>Base</v>
      </c>
      <c r="AC276" s="141" t="str">
        <f>IF(MasterFees[[#This Row],[Fixed Fee?]]="Yes",MasterFees[[#This Row],[Fee Excl. GST]],"")</f>
        <v/>
      </c>
    </row>
    <row r="277" spans="1:29" x14ac:dyDescent="0.2">
      <c r="A277" s="67" t="s">
        <v>2205</v>
      </c>
      <c r="B277" s="31">
        <f>IF(MasterFees[[#This Row],[RVG Code]]="","",_xlfn.XLOOKUP(MasterFees[[#This Row],[RVG Code]],RVGCodes[Code],RVGCodes[Base Units],"Code not found"))</f>
        <v>22</v>
      </c>
      <c r="C27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7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Neurosurgery</v>
      </c>
      <c r="E277" s="125" t="s">
        <v>2687</v>
      </c>
      <c r="F277" s="48" t="s">
        <v>2565</v>
      </c>
      <c r="G277" s="30" t="s">
        <v>2206</v>
      </c>
      <c r="H277" s="37" t="s">
        <v>2630</v>
      </c>
      <c r="I277" s="37" t="s">
        <v>2205</v>
      </c>
      <c r="J277" s="37" t="s">
        <v>1096</v>
      </c>
      <c r="K277" s="32">
        <v>22</v>
      </c>
      <c r="L277" s="32"/>
      <c r="M277" s="32"/>
      <c r="N277" s="32">
        <v>22</v>
      </c>
      <c r="O277" s="33"/>
      <c r="P277" s="38"/>
      <c r="Q277" s="34" t="str">
        <f>IF(MasterFees[[#This Row],[GST Basis]]="Excl",MasterFees[[#This Row],[Fee as Printed]],IF(MasterFees[[#This Row],[GST Basis]]="Incl",MasterFees[[#This Row],[Fee as Printed]]/(1+GST_Rate),""))</f>
        <v/>
      </c>
      <c r="R277" s="34" t="str">
        <f>IF(MasterFees[[#This Row],[GST Basis]]="Incl",MasterFees[[#This Row],[Fee as Printed]],IF(MasterFees[[#This Row],[GST Basis]]="Excl",MasterFees[[#This Row],[Fee as Printed]]*(1+GST_Rate),""))</f>
        <v/>
      </c>
      <c r="S277" s="35">
        <f>IF(N(MasterFees[[#This Row],[Total Units]])=0,"",MasterFees[[#This Row],[Fee as Printed]]/MasterFees[[#This Row],[Total Units]])</f>
        <v>0</v>
      </c>
      <c r="T277" s="36"/>
      <c r="U277" s="39" t="s">
        <v>1016</v>
      </c>
      <c r="V277" s="39" t="s">
        <v>2647</v>
      </c>
      <c r="W277" s="30" t="s">
        <v>2649</v>
      </c>
      <c r="X277" s="73" t="s">
        <v>3927</v>
      </c>
      <c r="Y277" s="127" t="str">
        <f>_xlfn.XLOOKUP(MasterFees[[#This Row],[Provider / Payer]],Contracts[Contract Name],Contracts[Contract ID],"No contract")</f>
        <v>CON-10</v>
      </c>
      <c r="Z277" s="127" t="str">
        <f>_xlfn.XLOOKUP(MasterFees[[#This Row],[Provider / Payer]],Contracts[Contract Name],Contracts[Pricing Basis],"To confirm")</f>
        <v>Reference – units only</v>
      </c>
      <c r="AA277" s="127" t="str">
        <f>IF(MasterFees[[#This Row],[Pricing Basis]]="Fixed fee schedule","Yes","No")</f>
        <v>No</v>
      </c>
      <c r="AB277" s="127" t="str">
        <f>IF(OR(MasterFees[[#This Row],[Fee Basis]]="Add-on",MasterFees[[#This Row],[Fee Basis]]="Time band",MasterFees[[#This Row],[Fee Basis]]="Other"),MasterFees[[#This Row],[Fee Basis]],"Base")</f>
        <v>Base</v>
      </c>
      <c r="AC277" s="141" t="str">
        <f>IF(MasterFees[[#This Row],[Fixed Fee?]]="Yes",MasterFees[[#This Row],[Fee Excl. GST]],"")</f>
        <v/>
      </c>
    </row>
    <row r="278" spans="1:29" x14ac:dyDescent="0.2">
      <c r="A278" s="67" t="s">
        <v>2202</v>
      </c>
      <c r="B278" s="31">
        <f>IF(MasterFees[[#This Row],[RVG Code]]="","",_xlfn.XLOOKUP(MasterFees[[#This Row],[RVG Code]],RVGCodes[Code],RVGCodes[Base Units],"Code not found"))</f>
        <v>20</v>
      </c>
      <c r="C27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7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Neurosurgery</v>
      </c>
      <c r="E278" s="125" t="s">
        <v>2686</v>
      </c>
      <c r="F278" s="48" t="s">
        <v>2565</v>
      </c>
      <c r="G278" s="30" t="s">
        <v>2203</v>
      </c>
      <c r="H278" s="37" t="s">
        <v>2630</v>
      </c>
      <c r="I278" s="37" t="s">
        <v>2202</v>
      </c>
      <c r="J278" s="37" t="s">
        <v>1096</v>
      </c>
      <c r="K278" s="32">
        <v>20</v>
      </c>
      <c r="L278" s="32"/>
      <c r="M278" s="32"/>
      <c r="N278" s="32">
        <v>20</v>
      </c>
      <c r="O278" s="33"/>
      <c r="P278" s="38"/>
      <c r="Q278" s="34" t="str">
        <f>IF(MasterFees[[#This Row],[GST Basis]]="Excl",MasterFees[[#This Row],[Fee as Printed]],IF(MasterFees[[#This Row],[GST Basis]]="Incl",MasterFees[[#This Row],[Fee as Printed]]/(1+GST_Rate),""))</f>
        <v/>
      </c>
      <c r="R278" s="34" t="str">
        <f>IF(MasterFees[[#This Row],[GST Basis]]="Incl",MasterFees[[#This Row],[Fee as Printed]],IF(MasterFees[[#This Row],[GST Basis]]="Excl",MasterFees[[#This Row],[Fee as Printed]]*(1+GST_Rate),""))</f>
        <v/>
      </c>
      <c r="S278" s="35">
        <f>IF(N(MasterFees[[#This Row],[Total Units]])=0,"",MasterFees[[#This Row],[Fee as Printed]]/MasterFees[[#This Row],[Total Units]])</f>
        <v>0</v>
      </c>
      <c r="T278" s="36"/>
      <c r="U278" s="39" t="s">
        <v>1016</v>
      </c>
      <c r="V278" s="39" t="s">
        <v>2647</v>
      </c>
      <c r="W278" s="30" t="s">
        <v>2649</v>
      </c>
      <c r="X278" s="73" t="s">
        <v>3926</v>
      </c>
      <c r="Y278" s="127" t="str">
        <f>_xlfn.XLOOKUP(MasterFees[[#This Row],[Provider / Payer]],Contracts[Contract Name],Contracts[Contract ID],"No contract")</f>
        <v>CON-10</v>
      </c>
      <c r="Z278" s="127" t="str">
        <f>_xlfn.XLOOKUP(MasterFees[[#This Row],[Provider / Payer]],Contracts[Contract Name],Contracts[Pricing Basis],"To confirm")</f>
        <v>Reference – units only</v>
      </c>
      <c r="AA278" s="127" t="str">
        <f>IF(MasterFees[[#This Row],[Pricing Basis]]="Fixed fee schedule","Yes","No")</f>
        <v>No</v>
      </c>
      <c r="AB278" s="127" t="str">
        <f>IF(OR(MasterFees[[#This Row],[Fee Basis]]="Add-on",MasterFees[[#This Row],[Fee Basis]]="Time band",MasterFees[[#This Row],[Fee Basis]]="Other"),MasterFees[[#This Row],[Fee Basis]],"Base")</f>
        <v>Base</v>
      </c>
      <c r="AC278" s="141" t="str">
        <f>IF(MasterFees[[#This Row],[Fixed Fee?]]="Yes",MasterFees[[#This Row],[Fee Excl. GST]],"")</f>
        <v/>
      </c>
    </row>
    <row r="279" spans="1:29" x14ac:dyDescent="0.2">
      <c r="A279" s="67" t="s">
        <v>2173</v>
      </c>
      <c r="B279" s="31">
        <f>IF(MasterFees[[#This Row],[RVG Code]]="","",_xlfn.XLOOKUP(MasterFees[[#This Row],[RVG Code]],RVGCodes[Code],RVGCodes[Base Units],"Code not found"))</f>
        <v>4</v>
      </c>
      <c r="C27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7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279" s="125" t="s">
        <v>2570</v>
      </c>
      <c r="F279" s="48" t="s">
        <v>2567</v>
      </c>
      <c r="G279" s="30" t="s">
        <v>11</v>
      </c>
      <c r="H279" s="37" t="s">
        <v>1095</v>
      </c>
      <c r="I279" s="37"/>
      <c r="J279" s="37" t="s">
        <v>1096</v>
      </c>
      <c r="K279" s="32">
        <v>4</v>
      </c>
      <c r="L279" s="32">
        <v>5</v>
      </c>
      <c r="M279" s="32">
        <v>3</v>
      </c>
      <c r="N279" s="32">
        <v>12</v>
      </c>
      <c r="O279" s="33">
        <v>660</v>
      </c>
      <c r="P279" s="38" t="s">
        <v>1014</v>
      </c>
      <c r="Q279" s="34" t="str">
        <f>IF(MasterFees[[#This Row],[GST Basis]]="Excl",MasterFees[[#This Row],[Fee as Printed]],IF(MasterFees[[#This Row],[GST Basis]]="Incl",MasterFees[[#This Row],[Fee as Printed]]/(1+GST_Rate),""))</f>
        <v/>
      </c>
      <c r="R279" s="34" t="str">
        <f>IF(MasterFees[[#This Row],[GST Basis]]="Incl",MasterFees[[#This Row],[Fee as Printed]],IF(MasterFees[[#This Row],[GST Basis]]="Excl",MasterFees[[#This Row],[Fee as Printed]]*(1+GST_Rate),""))</f>
        <v/>
      </c>
      <c r="S279" s="35">
        <f>IF(N(MasterFees[[#This Row],[Total Units]])=0,"",MasterFees[[#This Row],[Fee as Printed]]/MasterFees[[#This Row],[Total Units]])</f>
        <v>55</v>
      </c>
      <c r="T279" s="36"/>
      <c r="U279" s="39" t="s">
        <v>1012</v>
      </c>
      <c r="V279" s="39" t="s">
        <v>1100</v>
      </c>
      <c r="W279" s="30"/>
      <c r="X279" s="73" t="s">
        <v>2882</v>
      </c>
      <c r="Y279" s="127" t="str">
        <f>_xlfn.XLOOKUP(MasterFees[[#This Row],[Provider / Payer]],Contracts[Contract Name],Contracts[Contract ID],"No contract")</f>
        <v>CON-01</v>
      </c>
      <c r="Z279" s="127" t="str">
        <f>_xlfn.XLOOKUP(MasterFees[[#This Row],[Provider / Payer]],Contracts[Contract Name],Contracts[Pricing Basis],"To confirm")</f>
        <v>To confirm</v>
      </c>
      <c r="AA279" s="127" t="str">
        <f>IF(MasterFees[[#This Row],[Pricing Basis]]="Fixed fee schedule","Yes","No")</f>
        <v>No</v>
      </c>
      <c r="AB279" s="127" t="str">
        <f>IF(OR(MasterFees[[#This Row],[Fee Basis]]="Add-on",MasterFees[[#This Row],[Fee Basis]]="Time band",MasterFees[[#This Row],[Fee Basis]]="Other"),MasterFees[[#This Row],[Fee Basis]],"Base")</f>
        <v>Base</v>
      </c>
      <c r="AC279" s="141" t="str">
        <f>IF(MasterFees[[#This Row],[Fixed Fee?]]="Yes",MasterFees[[#This Row],[Fee Excl. GST]],"")</f>
        <v/>
      </c>
    </row>
    <row r="280" spans="1:29" x14ac:dyDescent="0.2">
      <c r="A280" s="67" t="s">
        <v>2173</v>
      </c>
      <c r="B280" s="31">
        <f>IF(MasterFees[[#This Row],[RVG Code]]="","",_xlfn.XLOOKUP(MasterFees[[#This Row],[RVG Code]],RVGCodes[Code],RVGCodes[Base Units],"Code not found"))</f>
        <v>4</v>
      </c>
      <c r="C28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8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280" s="125" t="s">
        <v>2570</v>
      </c>
      <c r="F280" s="48" t="s">
        <v>2567</v>
      </c>
      <c r="G280" s="30" t="s">
        <v>13</v>
      </c>
      <c r="H280" s="37" t="s">
        <v>1095</v>
      </c>
      <c r="I280" s="37"/>
      <c r="J280" s="37" t="s">
        <v>1096</v>
      </c>
      <c r="K280" s="32">
        <v>4</v>
      </c>
      <c r="L280" s="32">
        <v>5</v>
      </c>
      <c r="M280" s="32">
        <v>3</v>
      </c>
      <c r="N280" s="32">
        <v>12</v>
      </c>
      <c r="O280" s="33">
        <v>660</v>
      </c>
      <c r="P280" s="38" t="s">
        <v>1014</v>
      </c>
      <c r="Q280" s="34" t="str">
        <f>IF(MasterFees[[#This Row],[GST Basis]]="Excl",MasterFees[[#This Row],[Fee as Printed]],IF(MasterFees[[#This Row],[GST Basis]]="Incl",MasterFees[[#This Row],[Fee as Printed]]/(1+GST_Rate),""))</f>
        <v/>
      </c>
      <c r="R280" s="34" t="str">
        <f>IF(MasterFees[[#This Row],[GST Basis]]="Incl",MasterFees[[#This Row],[Fee as Printed]],IF(MasterFees[[#This Row],[GST Basis]]="Excl",MasterFees[[#This Row],[Fee as Printed]]*(1+GST_Rate),""))</f>
        <v/>
      </c>
      <c r="S280" s="35">
        <f>IF(N(MasterFees[[#This Row],[Total Units]])=0,"",MasterFees[[#This Row],[Fee as Printed]]/MasterFees[[#This Row],[Total Units]])</f>
        <v>55</v>
      </c>
      <c r="T280" s="36"/>
      <c r="U280" s="39" t="s">
        <v>1012</v>
      </c>
      <c r="V280" s="39" t="s">
        <v>1102</v>
      </c>
      <c r="W280" s="30"/>
      <c r="X280" s="73" t="s">
        <v>2884</v>
      </c>
      <c r="Y280" s="127" t="str">
        <f>_xlfn.XLOOKUP(MasterFees[[#This Row],[Provider / Payer]],Contracts[Contract Name],Contracts[Contract ID],"No contract")</f>
        <v>CON-01</v>
      </c>
      <c r="Z280" s="127" t="str">
        <f>_xlfn.XLOOKUP(MasterFees[[#This Row],[Provider / Payer]],Contracts[Contract Name],Contracts[Pricing Basis],"To confirm")</f>
        <v>To confirm</v>
      </c>
      <c r="AA280" s="127" t="str">
        <f>IF(MasterFees[[#This Row],[Pricing Basis]]="Fixed fee schedule","Yes","No")</f>
        <v>No</v>
      </c>
      <c r="AB280" s="127" t="str">
        <f>IF(OR(MasterFees[[#This Row],[Fee Basis]]="Add-on",MasterFees[[#This Row],[Fee Basis]]="Time band",MasterFees[[#This Row],[Fee Basis]]="Other"),MasterFees[[#This Row],[Fee Basis]],"Base")</f>
        <v>Base</v>
      </c>
      <c r="AC280" s="141" t="str">
        <f>IF(MasterFees[[#This Row],[Fixed Fee?]]="Yes",MasterFees[[#This Row],[Fee Excl. GST]],"")</f>
        <v/>
      </c>
    </row>
    <row r="281" spans="1:29" x14ac:dyDescent="0.2">
      <c r="A281" s="67" t="s">
        <v>2173</v>
      </c>
      <c r="B281" s="31">
        <f>IF(MasterFees[[#This Row],[RVG Code]]="","",_xlfn.XLOOKUP(MasterFees[[#This Row],[RVG Code]],RVGCodes[Code],RVGCodes[Base Units],"Code not found"))</f>
        <v>4</v>
      </c>
      <c r="C28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8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281" s="125" t="s">
        <v>2570</v>
      </c>
      <c r="F281" s="48" t="s">
        <v>2567</v>
      </c>
      <c r="G281" s="30" t="s">
        <v>4506</v>
      </c>
      <c r="H281" s="37" t="s">
        <v>4622</v>
      </c>
      <c r="I281" s="37" t="s">
        <v>4505</v>
      </c>
      <c r="J281" s="37" t="s">
        <v>1024</v>
      </c>
      <c r="K281" s="32"/>
      <c r="L281" s="32"/>
      <c r="M281" s="32"/>
      <c r="N281" s="32"/>
      <c r="O281" s="33">
        <v>800</v>
      </c>
      <c r="P281" s="38" t="s">
        <v>4398</v>
      </c>
      <c r="Q281" s="34">
        <f>IF(MasterFees[[#This Row],[GST Basis]]="Excl",MasterFees[[#This Row],[Fee as Printed]],IF(MasterFees[[#This Row],[GST Basis]]="Incl",MasterFees[[#This Row],[Fee as Printed]]/(1+GST_Rate),""))</f>
        <v>800</v>
      </c>
      <c r="R281" s="34">
        <f>IF(MasterFees[[#This Row],[GST Basis]]="Incl",MasterFees[[#This Row],[Fee as Printed]],IF(MasterFees[[#This Row],[GST Basis]]="Excl",MasterFees[[#This Row],[Fee as Printed]]*(1+GST_Rate),""))</f>
        <v>919.99999999999989</v>
      </c>
      <c r="S281" s="35" t="str">
        <f>IF(N(MasterFees[[#This Row],[Total Units]])=0,"",MasterFees[[#This Row],[Fee as Printed]]/MasterFees[[#This Row],[Total Units]])</f>
        <v/>
      </c>
      <c r="T281" s="36"/>
      <c r="U281" s="39" t="s">
        <v>4587</v>
      </c>
      <c r="V281" s="39" t="s">
        <v>4666</v>
      </c>
      <c r="W281" s="30" t="s">
        <v>4667</v>
      </c>
      <c r="X281" s="77" t="s">
        <v>4843</v>
      </c>
      <c r="Y281" s="127" t="str">
        <f>_xlfn.XLOOKUP(MasterFees[[#This Row],[Provider / Payer]],Contracts[Contract Name],Contracts[Contract ID],"No contract")</f>
        <v>CON-05</v>
      </c>
      <c r="Z281" s="127" t="str">
        <f>_xlfn.XLOOKUP(MasterFees[[#This Row],[Provider / Payer]],Contracts[Contract Name],Contracts[Pricing Basis],"To confirm")</f>
        <v>Fixed fee schedule</v>
      </c>
      <c r="AA281" s="127" t="str">
        <f>IF(MasterFees[[#This Row],[Pricing Basis]]="Fixed fee schedule","Yes","No")</f>
        <v>Yes</v>
      </c>
      <c r="AB281" s="127" t="str">
        <f>IF(OR(MasterFees[[#This Row],[Fee Basis]]="Add-on",MasterFees[[#This Row],[Fee Basis]]="Time band",MasterFees[[#This Row],[Fee Basis]]="Other"),MasterFees[[#This Row],[Fee Basis]],"Base")</f>
        <v>Base</v>
      </c>
      <c r="AC281" s="141">
        <f>IF(MasterFees[[#This Row],[Fixed Fee?]]="Yes",MasterFees[[#This Row],[Fee Excl. GST]],"")</f>
        <v>800</v>
      </c>
    </row>
    <row r="282" spans="1:29" x14ac:dyDescent="0.2">
      <c r="A282" s="67" t="s">
        <v>2173</v>
      </c>
      <c r="B282" s="31">
        <f>IF(MasterFees[[#This Row],[RVG Code]]="","",_xlfn.XLOOKUP(MasterFees[[#This Row],[RVG Code]],RVGCodes[Code],RVGCodes[Base Units],"Code not found"))</f>
        <v>4</v>
      </c>
      <c r="C28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8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282" s="125" t="s">
        <v>2570</v>
      </c>
      <c r="F282" s="48" t="s">
        <v>2567</v>
      </c>
      <c r="G282" s="30" t="s">
        <v>4506</v>
      </c>
      <c r="H282" s="37" t="s">
        <v>4625</v>
      </c>
      <c r="I282" s="37" t="s">
        <v>4505</v>
      </c>
      <c r="J282" s="37" t="s">
        <v>1024</v>
      </c>
      <c r="K282" s="32"/>
      <c r="L282" s="32"/>
      <c r="M282" s="32"/>
      <c r="N282" s="32"/>
      <c r="O282" s="33">
        <v>800</v>
      </c>
      <c r="P282" s="38" t="s">
        <v>4398</v>
      </c>
      <c r="Q282" s="34">
        <f>IF(MasterFees[[#This Row],[GST Basis]]="Excl",MasterFees[[#This Row],[Fee as Printed]],IF(MasterFees[[#This Row],[GST Basis]]="Incl",MasterFees[[#This Row],[Fee as Printed]]/(1+GST_Rate),""))</f>
        <v>800</v>
      </c>
      <c r="R282" s="34">
        <f>IF(MasterFees[[#This Row],[GST Basis]]="Incl",MasterFees[[#This Row],[Fee as Printed]],IF(MasterFees[[#This Row],[GST Basis]]="Excl",MasterFees[[#This Row],[Fee as Printed]]*(1+GST_Rate),""))</f>
        <v>919.99999999999989</v>
      </c>
      <c r="S282" s="35" t="str">
        <f>IF(N(MasterFees[[#This Row],[Total Units]])=0,"",MasterFees[[#This Row],[Fee as Printed]]/MasterFees[[#This Row],[Total Units]])</f>
        <v/>
      </c>
      <c r="T282" s="36"/>
      <c r="U282" s="39" t="s">
        <v>4587</v>
      </c>
      <c r="V282" s="39" t="s">
        <v>4668</v>
      </c>
      <c r="W282" s="30" t="s">
        <v>4669</v>
      </c>
      <c r="X282" s="77" t="s">
        <v>4843</v>
      </c>
      <c r="Y282" s="127" t="str">
        <f>_xlfn.XLOOKUP(MasterFees[[#This Row],[Provider / Payer]],Contracts[Contract Name],Contracts[Contract ID],"No contract")</f>
        <v>CON-06</v>
      </c>
      <c r="Z282" s="127" t="str">
        <f>_xlfn.XLOOKUP(MasterFees[[#This Row],[Provider / Payer]],Contracts[Contract Name],Contracts[Pricing Basis],"To confirm")</f>
        <v>Fixed fee schedule</v>
      </c>
      <c r="AA282" s="127" t="str">
        <f>IF(MasterFees[[#This Row],[Pricing Basis]]="Fixed fee schedule","Yes","No")</f>
        <v>Yes</v>
      </c>
      <c r="AB282" s="127" t="str">
        <f>IF(OR(MasterFees[[#This Row],[Fee Basis]]="Add-on",MasterFees[[#This Row],[Fee Basis]]="Time band",MasterFees[[#This Row],[Fee Basis]]="Other"),MasterFees[[#This Row],[Fee Basis]],"Base")</f>
        <v>Base</v>
      </c>
      <c r="AC282" s="141">
        <f>IF(MasterFees[[#This Row],[Fixed Fee?]]="Yes",MasterFees[[#This Row],[Fee Excl. GST]],"")</f>
        <v>800</v>
      </c>
    </row>
    <row r="283" spans="1:29" x14ac:dyDescent="0.2">
      <c r="A283" s="67" t="s">
        <v>2173</v>
      </c>
      <c r="B283" s="31">
        <f>IF(MasterFees[[#This Row],[RVG Code]]="","",_xlfn.XLOOKUP(MasterFees[[#This Row],[RVG Code]],RVGCodes[Code],RVGCodes[Base Units],"Code not found"))</f>
        <v>4</v>
      </c>
      <c r="C28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8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283" s="125" t="s">
        <v>2570</v>
      </c>
      <c r="F283" s="48" t="s">
        <v>2567</v>
      </c>
      <c r="G283" s="30" t="s">
        <v>4379</v>
      </c>
      <c r="H283" s="37" t="s">
        <v>4397</v>
      </c>
      <c r="I283" s="37"/>
      <c r="J283" s="37" t="s">
        <v>2744</v>
      </c>
      <c r="K283" s="32"/>
      <c r="L283" s="32"/>
      <c r="M283" s="32"/>
      <c r="N283" s="32"/>
      <c r="O283" s="33">
        <v>834.78</v>
      </c>
      <c r="P283" s="38" t="s">
        <v>4398</v>
      </c>
      <c r="Q283" s="34">
        <f>IF(MasterFees[[#This Row],[GST Basis]]="Excl",MasterFees[[#This Row],[Fee as Printed]],IF(MasterFees[[#This Row],[GST Basis]]="Incl",MasterFees[[#This Row],[Fee as Printed]]/(1+GST_Rate),""))</f>
        <v>834.78</v>
      </c>
      <c r="R283" s="34">
        <f>IF(MasterFees[[#This Row],[GST Basis]]="Incl",MasterFees[[#This Row],[Fee as Printed]],IF(MasterFees[[#This Row],[GST Basis]]="Excl",MasterFees[[#This Row],[Fee as Printed]]*(1+GST_Rate),""))</f>
        <v>959.99699999999984</v>
      </c>
      <c r="S283" s="35" t="str">
        <f>IF(N(MasterFees[[#This Row],[Total Units]])=0,"",MasterFees[[#This Row],[Fee as Printed]]/MasterFees[[#This Row],[Total Units]])</f>
        <v/>
      </c>
      <c r="T283" s="36">
        <v>46113</v>
      </c>
      <c r="U283" s="39" t="s">
        <v>1021</v>
      </c>
      <c r="V283" s="39" t="s">
        <v>4399</v>
      </c>
      <c r="W283" s="30" t="s">
        <v>4402</v>
      </c>
      <c r="X283" s="77" t="s">
        <v>4403</v>
      </c>
      <c r="Y283" s="127" t="str">
        <f>_xlfn.XLOOKUP(MasterFees[[#This Row],[Provider / Payer]],Contracts[Contract Name],Contracts[Contract ID],"No contract")</f>
        <v>CON-03</v>
      </c>
      <c r="Z283" s="127" t="str">
        <f>_xlfn.XLOOKUP(MasterFees[[#This Row],[Provider / Payer]],Contracts[Contract Name],Contracts[Pricing Basis],"To confirm")</f>
        <v>Fixed fee schedule</v>
      </c>
      <c r="AA283" s="127" t="str">
        <f>IF(MasterFees[[#This Row],[Pricing Basis]]="Fixed fee schedule","Yes","No")</f>
        <v>Yes</v>
      </c>
      <c r="AB283" s="127" t="str">
        <f>IF(OR(MasterFees[[#This Row],[Fee Basis]]="Add-on",MasterFees[[#This Row],[Fee Basis]]="Time band",MasterFees[[#This Row],[Fee Basis]]="Other"),MasterFees[[#This Row],[Fee Basis]],"Base")</f>
        <v>Time band</v>
      </c>
      <c r="AC283" s="141">
        <f>IF(MasterFees[[#This Row],[Fixed Fee?]]="Yes",MasterFees[[#This Row],[Fee Excl. GST]],"")</f>
        <v>834.78</v>
      </c>
    </row>
    <row r="284" spans="1:29" x14ac:dyDescent="0.2">
      <c r="A284" s="67" t="s">
        <v>2173</v>
      </c>
      <c r="B284" s="31">
        <f>IF(MasterFees[[#This Row],[RVG Code]]="","",_xlfn.XLOOKUP(MasterFees[[#This Row],[RVG Code]],RVGCodes[Code],RVGCodes[Base Units],"Code not found"))</f>
        <v>4</v>
      </c>
      <c r="C28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8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284" s="125" t="s">
        <v>2570</v>
      </c>
      <c r="F284" s="48" t="s">
        <v>2567</v>
      </c>
      <c r="G284" s="30" t="s">
        <v>4380</v>
      </c>
      <c r="H284" s="37" t="s">
        <v>4397</v>
      </c>
      <c r="I284" s="37"/>
      <c r="J284" s="37" t="s">
        <v>2744</v>
      </c>
      <c r="K284" s="32"/>
      <c r="L284" s="32"/>
      <c r="M284" s="32"/>
      <c r="N284" s="32"/>
      <c r="O284" s="33">
        <v>865.22</v>
      </c>
      <c r="P284" s="38" t="s">
        <v>4398</v>
      </c>
      <c r="Q284" s="34">
        <f>IF(MasterFees[[#This Row],[GST Basis]]="Excl",MasterFees[[#This Row],[Fee as Printed]],IF(MasterFees[[#This Row],[GST Basis]]="Incl",MasterFees[[#This Row],[Fee as Printed]]/(1+GST_Rate),""))</f>
        <v>865.22</v>
      </c>
      <c r="R284" s="34">
        <f>IF(MasterFees[[#This Row],[GST Basis]]="Incl",MasterFees[[#This Row],[Fee as Printed]],IF(MasterFees[[#This Row],[GST Basis]]="Excl",MasterFees[[#This Row],[Fee as Printed]]*(1+GST_Rate),""))</f>
        <v>995.00299999999993</v>
      </c>
      <c r="S284" s="35" t="str">
        <f>IF(N(MasterFees[[#This Row],[Total Units]])=0,"",MasterFees[[#This Row],[Fee as Printed]]/MasterFees[[#This Row],[Total Units]])</f>
        <v/>
      </c>
      <c r="T284" s="36">
        <v>46113</v>
      </c>
      <c r="U284" s="39" t="s">
        <v>1021</v>
      </c>
      <c r="V284" s="39" t="s">
        <v>4399</v>
      </c>
      <c r="W284" s="30" t="s">
        <v>4404</v>
      </c>
      <c r="X284" s="77" t="s">
        <v>4405</v>
      </c>
      <c r="Y284" s="127" t="str">
        <f>_xlfn.XLOOKUP(MasterFees[[#This Row],[Provider / Payer]],Contracts[Contract Name],Contracts[Contract ID],"No contract")</f>
        <v>CON-03</v>
      </c>
      <c r="Z284" s="127" t="str">
        <f>_xlfn.XLOOKUP(MasterFees[[#This Row],[Provider / Payer]],Contracts[Contract Name],Contracts[Pricing Basis],"To confirm")</f>
        <v>Fixed fee schedule</v>
      </c>
      <c r="AA284" s="127" t="str">
        <f>IF(MasterFees[[#This Row],[Pricing Basis]]="Fixed fee schedule","Yes","No")</f>
        <v>Yes</v>
      </c>
      <c r="AB284" s="127" t="str">
        <f>IF(OR(MasterFees[[#This Row],[Fee Basis]]="Add-on",MasterFees[[#This Row],[Fee Basis]]="Time band",MasterFees[[#This Row],[Fee Basis]]="Other"),MasterFees[[#This Row],[Fee Basis]],"Base")</f>
        <v>Time band</v>
      </c>
      <c r="AC284" s="141">
        <f>IF(MasterFees[[#This Row],[Fixed Fee?]]="Yes",MasterFees[[#This Row],[Fee Excl. GST]],"")</f>
        <v>865.22</v>
      </c>
    </row>
    <row r="285" spans="1:29" x14ac:dyDescent="0.2">
      <c r="A285" s="67" t="s">
        <v>2173</v>
      </c>
      <c r="B285" s="31">
        <f>IF(MasterFees[[#This Row],[RVG Code]]="","",_xlfn.XLOOKUP(MasterFees[[#This Row],[RVG Code]],RVGCodes[Code],RVGCodes[Base Units],"Code not found"))</f>
        <v>4</v>
      </c>
      <c r="C28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8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285" s="125" t="s">
        <v>2570</v>
      </c>
      <c r="F285" s="48" t="s">
        <v>2567</v>
      </c>
      <c r="G285" s="30" t="s">
        <v>4372</v>
      </c>
      <c r="H285" s="37" t="s">
        <v>4397</v>
      </c>
      <c r="I285" s="37"/>
      <c r="J285" s="37" t="s">
        <v>1024</v>
      </c>
      <c r="K285" s="32"/>
      <c r="L285" s="32"/>
      <c r="M285" s="32"/>
      <c r="N285" s="32"/>
      <c r="O285" s="33">
        <v>357.39</v>
      </c>
      <c r="P285" s="38" t="s">
        <v>4398</v>
      </c>
      <c r="Q285" s="34">
        <f>IF(MasterFees[[#This Row],[GST Basis]]="Excl",MasterFees[[#This Row],[Fee as Printed]],IF(MasterFees[[#This Row],[GST Basis]]="Incl",MasterFees[[#This Row],[Fee as Printed]]/(1+GST_Rate),""))</f>
        <v>357.39</v>
      </c>
      <c r="R285" s="34">
        <f>IF(MasterFees[[#This Row],[GST Basis]]="Incl",MasterFees[[#This Row],[Fee as Printed]],IF(MasterFees[[#This Row],[GST Basis]]="Excl",MasterFees[[#This Row],[Fee as Printed]]*(1+GST_Rate),""))</f>
        <v>410.99849999999998</v>
      </c>
      <c r="S285" s="35" t="str">
        <f>IF(N(MasterFees[[#This Row],[Total Units]])=0,"",MasterFees[[#This Row],[Fee as Printed]]/MasterFees[[#This Row],[Total Units]])</f>
        <v/>
      </c>
      <c r="T285" s="36">
        <v>46113</v>
      </c>
      <c r="U285" s="39" t="s">
        <v>1021</v>
      </c>
      <c r="V285" s="39" t="s">
        <v>4410</v>
      </c>
      <c r="W285" s="30" t="s">
        <v>4411</v>
      </c>
      <c r="X285" s="77" t="s">
        <v>4412</v>
      </c>
      <c r="Y285" s="127" t="str">
        <f>_xlfn.XLOOKUP(MasterFees[[#This Row],[Provider / Payer]],Contracts[Contract Name],Contracts[Contract ID],"No contract")</f>
        <v>CON-03</v>
      </c>
      <c r="Z285" s="127" t="str">
        <f>_xlfn.XLOOKUP(MasterFees[[#This Row],[Provider / Payer]],Contracts[Contract Name],Contracts[Pricing Basis],"To confirm")</f>
        <v>Fixed fee schedule</v>
      </c>
      <c r="AA285" s="127" t="str">
        <f>IF(MasterFees[[#This Row],[Pricing Basis]]="Fixed fee schedule","Yes","No")</f>
        <v>Yes</v>
      </c>
      <c r="AB285" s="127" t="str">
        <f>IF(OR(MasterFees[[#This Row],[Fee Basis]]="Add-on",MasterFees[[#This Row],[Fee Basis]]="Time band",MasterFees[[#This Row],[Fee Basis]]="Other"),MasterFees[[#This Row],[Fee Basis]],"Base")</f>
        <v>Base</v>
      </c>
      <c r="AC285" s="141">
        <f>IF(MasterFees[[#This Row],[Fixed Fee?]]="Yes",MasterFees[[#This Row],[Fee Excl. GST]],"")</f>
        <v>357.39</v>
      </c>
    </row>
    <row r="286" spans="1:29" x14ac:dyDescent="0.2">
      <c r="A286" s="67" t="s">
        <v>2173</v>
      </c>
      <c r="B286" s="31">
        <f>IF(MasterFees[[#This Row],[RVG Code]]="","",_xlfn.XLOOKUP(MasterFees[[#This Row],[RVG Code]],RVGCodes[Code],RVGCodes[Base Units],"Code not found"))</f>
        <v>4</v>
      </c>
      <c r="C28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8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286" s="125" t="s">
        <v>2570</v>
      </c>
      <c r="F286" s="48" t="s">
        <v>2567</v>
      </c>
      <c r="G286" s="30" t="s">
        <v>4386</v>
      </c>
      <c r="H286" s="37" t="s">
        <v>4413</v>
      </c>
      <c r="I286" s="37"/>
      <c r="J286" s="37" t="s">
        <v>1024</v>
      </c>
      <c r="K286" s="32"/>
      <c r="L286" s="32"/>
      <c r="M286" s="32"/>
      <c r="N286" s="32"/>
      <c r="O286" s="33">
        <v>338</v>
      </c>
      <c r="P286" s="38" t="s">
        <v>4398</v>
      </c>
      <c r="Q286" s="34">
        <f>IF(MasterFees[[#This Row],[GST Basis]]="Excl",MasterFees[[#This Row],[Fee as Printed]],IF(MasterFees[[#This Row],[GST Basis]]="Incl",MasterFees[[#This Row],[Fee as Printed]]/(1+GST_Rate),""))</f>
        <v>338</v>
      </c>
      <c r="R286" s="34">
        <f>IF(MasterFees[[#This Row],[GST Basis]]="Incl",MasterFees[[#This Row],[Fee as Printed]],IF(MasterFees[[#This Row],[GST Basis]]="Excl",MasterFees[[#This Row],[Fee as Printed]]*(1+GST_Rate),""))</f>
        <v>388.7</v>
      </c>
      <c r="S286" s="35" t="str">
        <f>IF(N(MasterFees[[#This Row],[Total Units]])=0,"",MasterFees[[#This Row],[Fee as Printed]]/MasterFees[[#This Row],[Total Units]])</f>
        <v/>
      </c>
      <c r="T286" s="36">
        <v>45931</v>
      </c>
      <c r="U286" s="39" t="s">
        <v>1021</v>
      </c>
      <c r="V286" s="39" t="s">
        <v>4414</v>
      </c>
      <c r="W286" s="30" t="s">
        <v>4415</v>
      </c>
      <c r="X286" s="77" t="s">
        <v>4416</v>
      </c>
      <c r="Y286" s="127" t="str">
        <f>_xlfn.XLOOKUP(MasterFees[[#This Row],[Provider / Payer]],Contracts[Contract Name],Contracts[Contract ID],"No contract")</f>
        <v>CON-04</v>
      </c>
      <c r="Z286" s="127" t="str">
        <f>_xlfn.XLOOKUP(MasterFees[[#This Row],[Provider / Payer]],Contracts[Contract Name],Contracts[Pricing Basis],"To confirm")</f>
        <v>Fixed fee schedule</v>
      </c>
      <c r="AA286" s="127" t="str">
        <f>IF(MasterFees[[#This Row],[Pricing Basis]]="Fixed fee schedule","Yes","No")</f>
        <v>Yes</v>
      </c>
      <c r="AB286" s="127" t="str">
        <f>IF(OR(MasterFees[[#This Row],[Fee Basis]]="Add-on",MasterFees[[#This Row],[Fee Basis]]="Time band",MasterFees[[#This Row],[Fee Basis]]="Other"),MasterFees[[#This Row],[Fee Basis]],"Base")</f>
        <v>Base</v>
      </c>
      <c r="AC286" s="141">
        <f>IF(MasterFees[[#This Row],[Fixed Fee?]]="Yes",MasterFees[[#This Row],[Fee Excl. GST]],"")</f>
        <v>338</v>
      </c>
    </row>
    <row r="287" spans="1:29" x14ac:dyDescent="0.2">
      <c r="A287" s="67" t="s">
        <v>2173</v>
      </c>
      <c r="B287" s="31">
        <f>IF(MasterFees[[#This Row],[RVG Code]]="","",_xlfn.XLOOKUP(MasterFees[[#This Row],[RVG Code]],RVGCodes[Code],RVGCodes[Base Units],"Code not found"))</f>
        <v>4</v>
      </c>
      <c r="C28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8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287" s="125" t="s">
        <v>2570</v>
      </c>
      <c r="F287" s="48" t="s">
        <v>2567</v>
      </c>
      <c r="G287" s="30" t="s">
        <v>41</v>
      </c>
      <c r="H287" s="37" t="s">
        <v>1095</v>
      </c>
      <c r="I287" s="37"/>
      <c r="J287" s="37" t="s">
        <v>1096</v>
      </c>
      <c r="K287" s="32">
        <v>0</v>
      </c>
      <c r="L287" s="32">
        <v>0</v>
      </c>
      <c r="M287" s="32">
        <v>0</v>
      </c>
      <c r="N287" s="32">
        <v>0</v>
      </c>
      <c r="O287" s="33">
        <v>0</v>
      </c>
      <c r="P287" s="38" t="s">
        <v>1014</v>
      </c>
      <c r="Q287" s="34" t="str">
        <f>IF(MasterFees[[#This Row],[GST Basis]]="Excl",MasterFees[[#This Row],[Fee as Printed]],IF(MasterFees[[#This Row],[GST Basis]]="Incl",MasterFees[[#This Row],[Fee as Printed]]/(1+GST_Rate),""))</f>
        <v/>
      </c>
      <c r="R287" s="34" t="str">
        <f>IF(MasterFees[[#This Row],[GST Basis]]="Incl",MasterFees[[#This Row],[Fee as Printed]],IF(MasterFees[[#This Row],[GST Basis]]="Excl",MasterFees[[#This Row],[Fee as Printed]]*(1+GST_Rate),""))</f>
        <v/>
      </c>
      <c r="S287" s="35" t="str">
        <f>IF(N(MasterFees[[#This Row],[Total Units]])=0,"",MasterFees[[#This Row],[Fee as Printed]]/MasterFees[[#This Row],[Total Units]])</f>
        <v/>
      </c>
      <c r="T287" s="36"/>
      <c r="U287" s="39" t="s">
        <v>1012</v>
      </c>
      <c r="V287" s="39" t="s">
        <v>1130</v>
      </c>
      <c r="W287" s="30"/>
      <c r="X287" s="73" t="s">
        <v>2912</v>
      </c>
      <c r="Y287" s="127" t="str">
        <f>_xlfn.XLOOKUP(MasterFees[[#This Row],[Provider / Payer]],Contracts[Contract Name],Contracts[Contract ID],"No contract")</f>
        <v>CON-01</v>
      </c>
      <c r="Z287" s="127" t="str">
        <f>_xlfn.XLOOKUP(MasterFees[[#This Row],[Provider / Payer]],Contracts[Contract Name],Contracts[Pricing Basis],"To confirm")</f>
        <v>To confirm</v>
      </c>
      <c r="AA287" s="127" t="str">
        <f>IF(MasterFees[[#This Row],[Pricing Basis]]="Fixed fee schedule","Yes","No")</f>
        <v>No</v>
      </c>
      <c r="AB287" s="127" t="str">
        <f>IF(OR(MasterFees[[#This Row],[Fee Basis]]="Add-on",MasterFees[[#This Row],[Fee Basis]]="Time band",MasterFees[[#This Row],[Fee Basis]]="Other"),MasterFees[[#This Row],[Fee Basis]],"Base")</f>
        <v>Base</v>
      </c>
      <c r="AC287" s="141" t="str">
        <f>IF(MasterFees[[#This Row],[Fixed Fee?]]="Yes",MasterFees[[#This Row],[Fee Excl. GST]],"")</f>
        <v/>
      </c>
    </row>
    <row r="288" spans="1:29" x14ac:dyDescent="0.2">
      <c r="A288" s="67" t="s">
        <v>2173</v>
      </c>
      <c r="B288" s="31">
        <f>IF(MasterFees[[#This Row],[RVG Code]]="","",_xlfn.XLOOKUP(MasterFees[[#This Row],[RVG Code]],RVGCodes[Code],RVGCodes[Base Units],"Code not found"))</f>
        <v>4</v>
      </c>
      <c r="C28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8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288" s="125" t="s">
        <v>2570</v>
      </c>
      <c r="F288" s="48" t="s">
        <v>2567</v>
      </c>
      <c r="G288" s="30" t="s">
        <v>42</v>
      </c>
      <c r="H288" s="37" t="s">
        <v>1095</v>
      </c>
      <c r="I288" s="37"/>
      <c r="J288" s="37" t="s">
        <v>1096</v>
      </c>
      <c r="K288" s="32">
        <v>0</v>
      </c>
      <c r="L288" s="32">
        <v>0</v>
      </c>
      <c r="M288" s="32">
        <v>0</v>
      </c>
      <c r="N288" s="32">
        <v>0</v>
      </c>
      <c r="O288" s="33">
        <v>0</v>
      </c>
      <c r="P288" s="38" t="s">
        <v>1014</v>
      </c>
      <c r="Q288" s="34" t="str">
        <f>IF(MasterFees[[#This Row],[GST Basis]]="Excl",MasterFees[[#This Row],[Fee as Printed]],IF(MasterFees[[#This Row],[GST Basis]]="Incl",MasterFees[[#This Row],[Fee as Printed]]/(1+GST_Rate),""))</f>
        <v/>
      </c>
      <c r="R288" s="34" t="str">
        <f>IF(MasterFees[[#This Row],[GST Basis]]="Incl",MasterFees[[#This Row],[Fee as Printed]],IF(MasterFees[[#This Row],[GST Basis]]="Excl",MasterFees[[#This Row],[Fee as Printed]]*(1+GST_Rate),""))</f>
        <v/>
      </c>
      <c r="S288" s="35" t="str">
        <f>IF(N(MasterFees[[#This Row],[Total Units]])=0,"",MasterFees[[#This Row],[Fee as Printed]]/MasterFees[[#This Row],[Total Units]])</f>
        <v/>
      </c>
      <c r="T288" s="36"/>
      <c r="U288" s="39" t="s">
        <v>1012</v>
      </c>
      <c r="V288" s="39" t="s">
        <v>1131</v>
      </c>
      <c r="W288" s="30"/>
      <c r="X288" s="73" t="s">
        <v>2913</v>
      </c>
      <c r="Y288" s="127" t="str">
        <f>_xlfn.XLOOKUP(MasterFees[[#This Row],[Provider / Payer]],Contracts[Contract Name],Contracts[Contract ID],"No contract")</f>
        <v>CON-01</v>
      </c>
      <c r="Z288" s="127" t="str">
        <f>_xlfn.XLOOKUP(MasterFees[[#This Row],[Provider / Payer]],Contracts[Contract Name],Contracts[Pricing Basis],"To confirm")</f>
        <v>To confirm</v>
      </c>
      <c r="AA288" s="127" t="str">
        <f>IF(MasterFees[[#This Row],[Pricing Basis]]="Fixed fee schedule","Yes","No")</f>
        <v>No</v>
      </c>
      <c r="AB288" s="127" t="str">
        <f>IF(OR(MasterFees[[#This Row],[Fee Basis]]="Add-on",MasterFees[[#This Row],[Fee Basis]]="Time band",MasterFees[[#This Row],[Fee Basis]]="Other"),MasterFees[[#This Row],[Fee Basis]],"Base")</f>
        <v>Base</v>
      </c>
      <c r="AC288" s="141" t="str">
        <f>IF(MasterFees[[#This Row],[Fixed Fee?]]="Yes",MasterFees[[#This Row],[Fee Excl. GST]],"")</f>
        <v/>
      </c>
    </row>
    <row r="289" spans="1:29" x14ac:dyDescent="0.2">
      <c r="A289" s="67" t="s">
        <v>2173</v>
      </c>
      <c r="B289" s="31">
        <f>IF(MasterFees[[#This Row],[RVG Code]]="","",_xlfn.XLOOKUP(MasterFees[[#This Row],[RVG Code]],RVGCodes[Code],RVGCodes[Base Units],"Code not found"))</f>
        <v>4</v>
      </c>
      <c r="C28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8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289" s="125" t="s">
        <v>2570</v>
      </c>
      <c r="F289" s="48" t="s">
        <v>2567</v>
      </c>
      <c r="G289" s="30" t="s">
        <v>4373</v>
      </c>
      <c r="H289" s="37" t="s">
        <v>4397</v>
      </c>
      <c r="I289" s="37"/>
      <c r="J289" s="37" t="s">
        <v>2678</v>
      </c>
      <c r="K289" s="32"/>
      <c r="L289" s="32"/>
      <c r="M289" s="32"/>
      <c r="N289" s="32"/>
      <c r="O289" s="33">
        <v>100</v>
      </c>
      <c r="P289" s="38" t="s">
        <v>4398</v>
      </c>
      <c r="Q289" s="34">
        <f>IF(MasterFees[[#This Row],[GST Basis]]="Excl",MasterFees[[#This Row],[Fee as Printed]],IF(MasterFees[[#This Row],[GST Basis]]="Incl",MasterFees[[#This Row],[Fee as Printed]]/(1+GST_Rate),""))</f>
        <v>100</v>
      </c>
      <c r="R289" s="34">
        <f>IF(MasterFees[[#This Row],[GST Basis]]="Incl",MasterFees[[#This Row],[Fee as Printed]],IF(MasterFees[[#This Row],[GST Basis]]="Excl",MasterFees[[#This Row],[Fee as Printed]]*(1+GST_Rate),""))</f>
        <v>114.99999999999999</v>
      </c>
      <c r="S289" s="35" t="str">
        <f>IF(N(MasterFees[[#This Row],[Total Units]])=0,"",MasterFees[[#This Row],[Fee as Printed]]/MasterFees[[#This Row],[Total Units]])</f>
        <v/>
      </c>
      <c r="T289" s="36">
        <v>46113</v>
      </c>
      <c r="U289" s="39" t="s">
        <v>1021</v>
      </c>
      <c r="V289" s="39" t="s">
        <v>4410</v>
      </c>
      <c r="W289" s="30" t="s">
        <v>4421</v>
      </c>
      <c r="X289" s="77" t="s">
        <v>4422</v>
      </c>
      <c r="Y289" s="127" t="str">
        <f>_xlfn.XLOOKUP(MasterFees[[#This Row],[Provider / Payer]],Contracts[Contract Name],Contracts[Contract ID],"No contract")</f>
        <v>CON-03</v>
      </c>
      <c r="Z289" s="127" t="str">
        <f>_xlfn.XLOOKUP(MasterFees[[#This Row],[Provider / Payer]],Contracts[Contract Name],Contracts[Pricing Basis],"To confirm")</f>
        <v>Fixed fee schedule</v>
      </c>
      <c r="AA289" s="127" t="str">
        <f>IF(MasterFees[[#This Row],[Pricing Basis]]="Fixed fee schedule","Yes","No")</f>
        <v>Yes</v>
      </c>
      <c r="AB289" s="127" t="str">
        <f>IF(OR(MasterFees[[#This Row],[Fee Basis]]="Add-on",MasterFees[[#This Row],[Fee Basis]]="Time band",MasterFees[[#This Row],[Fee Basis]]="Other"),MasterFees[[#This Row],[Fee Basis]],"Base")</f>
        <v>Add-on</v>
      </c>
      <c r="AC289" s="141">
        <f>IF(MasterFees[[#This Row],[Fixed Fee?]]="Yes",MasterFees[[#This Row],[Fee Excl. GST]],"")</f>
        <v>100</v>
      </c>
    </row>
    <row r="290" spans="1:29" x14ac:dyDescent="0.2">
      <c r="A290" s="67" t="s">
        <v>2173</v>
      </c>
      <c r="B290" s="31">
        <f>IF(MasterFees[[#This Row],[RVG Code]]="","",_xlfn.XLOOKUP(MasterFees[[#This Row],[RVG Code]],RVGCodes[Code],RVGCodes[Base Units],"Code not found"))</f>
        <v>4</v>
      </c>
      <c r="C29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9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290" s="125" t="s">
        <v>2570</v>
      </c>
      <c r="F290" s="48" t="s">
        <v>2567</v>
      </c>
      <c r="G290" s="30" t="s">
        <v>85</v>
      </c>
      <c r="H290" s="37" t="s">
        <v>1095</v>
      </c>
      <c r="I290" s="37"/>
      <c r="J290" s="37" t="s">
        <v>1096</v>
      </c>
      <c r="K290" s="32">
        <v>1.4</v>
      </c>
      <c r="L290" s="32">
        <v>1.4</v>
      </c>
      <c r="M290" s="32">
        <v>0.4</v>
      </c>
      <c r="N290" s="32">
        <v>3.1</v>
      </c>
      <c r="O290" s="33">
        <v>171.6</v>
      </c>
      <c r="P290" s="38" t="s">
        <v>1014</v>
      </c>
      <c r="Q290" s="34" t="str">
        <f>IF(MasterFees[[#This Row],[GST Basis]]="Excl",MasterFees[[#This Row],[Fee as Printed]],IF(MasterFees[[#This Row],[GST Basis]]="Incl",MasterFees[[#This Row],[Fee as Printed]]/(1+GST_Rate),""))</f>
        <v/>
      </c>
      <c r="R290" s="34" t="str">
        <f>IF(MasterFees[[#This Row],[GST Basis]]="Incl",MasterFees[[#This Row],[Fee as Printed]],IF(MasterFees[[#This Row],[GST Basis]]="Excl",MasterFees[[#This Row],[Fee as Printed]]*(1+GST_Rate),""))</f>
        <v/>
      </c>
      <c r="S290" s="35">
        <f>IF(N(MasterFees[[#This Row],[Total Units]])=0,"",MasterFees[[#This Row],[Fee as Printed]]/MasterFees[[#This Row],[Total Units]])</f>
        <v>55.354838709677416</v>
      </c>
      <c r="T290" s="36"/>
      <c r="U290" s="39" t="s">
        <v>1012</v>
      </c>
      <c r="V290" s="39" t="s">
        <v>1174</v>
      </c>
      <c r="W290" s="30"/>
      <c r="X290" s="73" t="s">
        <v>2957</v>
      </c>
      <c r="Y290" s="127" t="str">
        <f>_xlfn.XLOOKUP(MasterFees[[#This Row],[Provider / Payer]],Contracts[Contract Name],Contracts[Contract ID],"No contract")</f>
        <v>CON-01</v>
      </c>
      <c r="Z290" s="127" t="str">
        <f>_xlfn.XLOOKUP(MasterFees[[#This Row],[Provider / Payer]],Contracts[Contract Name],Contracts[Pricing Basis],"To confirm")</f>
        <v>To confirm</v>
      </c>
      <c r="AA290" s="127" t="str">
        <f>IF(MasterFees[[#This Row],[Pricing Basis]]="Fixed fee schedule","Yes","No")</f>
        <v>No</v>
      </c>
      <c r="AB290" s="127" t="str">
        <f>IF(OR(MasterFees[[#This Row],[Fee Basis]]="Add-on",MasterFees[[#This Row],[Fee Basis]]="Time band",MasterFees[[#This Row],[Fee Basis]]="Other"),MasterFees[[#This Row],[Fee Basis]],"Base")</f>
        <v>Base</v>
      </c>
      <c r="AC290" s="141" t="str">
        <f>IF(MasterFees[[#This Row],[Fixed Fee?]]="Yes",MasterFees[[#This Row],[Fee Excl. GST]],"")</f>
        <v/>
      </c>
    </row>
    <row r="291" spans="1:29" x14ac:dyDescent="0.2">
      <c r="A291" s="67" t="s">
        <v>2173</v>
      </c>
      <c r="B291" s="31">
        <f>IF(MasterFees[[#This Row],[RVG Code]]="","",_xlfn.XLOOKUP(MasterFees[[#This Row],[RVG Code]],RVGCodes[Code],RVGCodes[Base Units],"Code not found"))</f>
        <v>4</v>
      </c>
      <c r="C29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9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291" s="125" t="s">
        <v>2570</v>
      </c>
      <c r="F291" s="48" t="s">
        <v>2567</v>
      </c>
      <c r="G291" s="30" t="s">
        <v>86</v>
      </c>
      <c r="H291" s="37" t="s">
        <v>1095</v>
      </c>
      <c r="I291" s="37"/>
      <c r="J291" s="37" t="s">
        <v>1096</v>
      </c>
      <c r="K291" s="32">
        <v>2.1</v>
      </c>
      <c r="L291" s="32">
        <v>1.8</v>
      </c>
      <c r="M291" s="32">
        <v>0.4</v>
      </c>
      <c r="N291" s="32">
        <v>4.4000000000000004</v>
      </c>
      <c r="O291" s="33">
        <v>239.8</v>
      </c>
      <c r="P291" s="38" t="s">
        <v>1014</v>
      </c>
      <c r="Q291" s="34" t="str">
        <f>IF(MasterFees[[#This Row],[GST Basis]]="Excl",MasterFees[[#This Row],[Fee as Printed]],IF(MasterFees[[#This Row],[GST Basis]]="Incl",MasterFees[[#This Row],[Fee as Printed]]/(1+GST_Rate),""))</f>
        <v/>
      </c>
      <c r="R291" s="34" t="str">
        <f>IF(MasterFees[[#This Row],[GST Basis]]="Incl",MasterFees[[#This Row],[Fee as Printed]],IF(MasterFees[[#This Row],[GST Basis]]="Excl",MasterFees[[#This Row],[Fee as Printed]]*(1+GST_Rate),""))</f>
        <v/>
      </c>
      <c r="S291" s="35">
        <f>IF(N(MasterFees[[#This Row],[Total Units]])=0,"",MasterFees[[#This Row],[Fee as Printed]]/MasterFees[[#This Row],[Total Units]])</f>
        <v>54.5</v>
      </c>
      <c r="T291" s="36"/>
      <c r="U291" s="39" t="s">
        <v>1012</v>
      </c>
      <c r="V291" s="39" t="s">
        <v>1175</v>
      </c>
      <c r="W291" s="30"/>
      <c r="X291" s="73" t="s">
        <v>2958</v>
      </c>
      <c r="Y291" s="127" t="str">
        <f>_xlfn.XLOOKUP(MasterFees[[#This Row],[Provider / Payer]],Contracts[Contract Name],Contracts[Contract ID],"No contract")</f>
        <v>CON-01</v>
      </c>
      <c r="Z291" s="127" t="str">
        <f>_xlfn.XLOOKUP(MasterFees[[#This Row],[Provider / Payer]],Contracts[Contract Name],Contracts[Pricing Basis],"To confirm")</f>
        <v>To confirm</v>
      </c>
      <c r="AA291" s="127" t="str">
        <f>IF(MasterFees[[#This Row],[Pricing Basis]]="Fixed fee schedule","Yes","No")</f>
        <v>No</v>
      </c>
      <c r="AB291" s="127" t="str">
        <f>IF(OR(MasterFees[[#This Row],[Fee Basis]]="Add-on",MasterFees[[#This Row],[Fee Basis]]="Time band",MasterFees[[#This Row],[Fee Basis]]="Other"),MasterFees[[#This Row],[Fee Basis]],"Base")</f>
        <v>Base</v>
      </c>
      <c r="AC291" s="141" t="str">
        <f>IF(MasterFees[[#This Row],[Fixed Fee?]]="Yes",MasterFees[[#This Row],[Fee Excl. GST]],"")</f>
        <v/>
      </c>
    </row>
    <row r="292" spans="1:29" x14ac:dyDescent="0.2">
      <c r="A292" s="67" t="s">
        <v>2173</v>
      </c>
      <c r="B292" s="31">
        <f>IF(MasterFees[[#This Row],[RVG Code]]="","",_xlfn.XLOOKUP(MasterFees[[#This Row],[RVG Code]],RVGCodes[Code],RVGCodes[Base Units],"Code not found"))</f>
        <v>4</v>
      </c>
      <c r="C29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9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292" s="125" t="s">
        <v>2570</v>
      </c>
      <c r="F292" s="48" t="s">
        <v>2567</v>
      </c>
      <c r="G292" s="30" t="s">
        <v>111</v>
      </c>
      <c r="H292" s="37" t="s">
        <v>1095</v>
      </c>
      <c r="I292" s="37"/>
      <c r="J292" s="37" t="s">
        <v>1096</v>
      </c>
      <c r="K292" s="32">
        <v>2.5</v>
      </c>
      <c r="L292" s="32">
        <v>2.4</v>
      </c>
      <c r="M292" s="32">
        <v>0.1</v>
      </c>
      <c r="N292" s="32">
        <v>5</v>
      </c>
      <c r="O292" s="33">
        <v>274.45</v>
      </c>
      <c r="P292" s="38" t="s">
        <v>1014</v>
      </c>
      <c r="Q292" s="34" t="str">
        <f>IF(MasterFees[[#This Row],[GST Basis]]="Excl",MasterFees[[#This Row],[Fee as Printed]],IF(MasterFees[[#This Row],[GST Basis]]="Incl",MasterFees[[#This Row],[Fee as Printed]]/(1+GST_Rate),""))</f>
        <v/>
      </c>
      <c r="R292" s="34" t="str">
        <f>IF(MasterFees[[#This Row],[GST Basis]]="Incl",MasterFees[[#This Row],[Fee as Printed]],IF(MasterFees[[#This Row],[GST Basis]]="Excl",MasterFees[[#This Row],[Fee as Printed]]*(1+GST_Rate),""))</f>
        <v/>
      </c>
      <c r="S292" s="35">
        <f>IF(N(MasterFees[[#This Row],[Total Units]])=0,"",MasterFees[[#This Row],[Fee as Printed]]/MasterFees[[#This Row],[Total Units]])</f>
        <v>54.89</v>
      </c>
      <c r="T292" s="36"/>
      <c r="U292" s="39" t="s">
        <v>1012</v>
      </c>
      <c r="V292" s="39" t="s">
        <v>1202</v>
      </c>
      <c r="W292" s="30"/>
      <c r="X292" s="73" t="s">
        <v>2985</v>
      </c>
      <c r="Y292" s="127" t="str">
        <f>_xlfn.XLOOKUP(MasterFees[[#This Row],[Provider / Payer]],Contracts[Contract Name],Contracts[Contract ID],"No contract")</f>
        <v>CON-01</v>
      </c>
      <c r="Z292" s="127" t="str">
        <f>_xlfn.XLOOKUP(MasterFees[[#This Row],[Provider / Payer]],Contracts[Contract Name],Contracts[Pricing Basis],"To confirm")</f>
        <v>To confirm</v>
      </c>
      <c r="AA292" s="127" t="str">
        <f>IF(MasterFees[[#This Row],[Pricing Basis]]="Fixed fee schedule","Yes","No")</f>
        <v>No</v>
      </c>
      <c r="AB292" s="127" t="str">
        <f>IF(OR(MasterFees[[#This Row],[Fee Basis]]="Add-on",MasterFees[[#This Row],[Fee Basis]]="Time band",MasterFees[[#This Row],[Fee Basis]]="Other"),MasterFees[[#This Row],[Fee Basis]],"Base")</f>
        <v>Base</v>
      </c>
      <c r="AC292" s="141" t="str">
        <f>IF(MasterFees[[#This Row],[Fixed Fee?]]="Yes",MasterFees[[#This Row],[Fee Excl. GST]],"")</f>
        <v/>
      </c>
    </row>
    <row r="293" spans="1:29" x14ac:dyDescent="0.2">
      <c r="A293" s="67" t="s">
        <v>2173</v>
      </c>
      <c r="B293" s="31">
        <f>IF(MasterFees[[#This Row],[RVG Code]]="","",_xlfn.XLOOKUP(MasterFees[[#This Row],[RVG Code]],RVGCodes[Code],RVGCodes[Base Units],"Code not found"))</f>
        <v>4</v>
      </c>
      <c r="C29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9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293" s="125" t="s">
        <v>2570</v>
      </c>
      <c r="F293" s="48" t="s">
        <v>2567</v>
      </c>
      <c r="G293" s="30" t="s">
        <v>4470</v>
      </c>
      <c r="H293" s="37" t="s">
        <v>4622</v>
      </c>
      <c r="I293" s="37" t="s">
        <v>4606</v>
      </c>
      <c r="J293" s="37" t="s">
        <v>1024</v>
      </c>
      <c r="K293" s="32"/>
      <c r="L293" s="32"/>
      <c r="M293" s="32"/>
      <c r="N293" s="32"/>
      <c r="O293" s="33">
        <v>420</v>
      </c>
      <c r="P293" s="38" t="s">
        <v>4398</v>
      </c>
      <c r="Q293" s="34">
        <f>IF(MasterFees[[#This Row],[GST Basis]]="Excl",MasterFees[[#This Row],[Fee as Printed]],IF(MasterFees[[#This Row],[GST Basis]]="Incl",MasterFees[[#This Row],[Fee as Printed]]/(1+GST_Rate),""))</f>
        <v>420</v>
      </c>
      <c r="R293" s="34">
        <f>IF(MasterFees[[#This Row],[GST Basis]]="Incl",MasterFees[[#This Row],[Fee as Printed]],IF(MasterFees[[#This Row],[GST Basis]]="Excl",MasterFees[[#This Row],[Fee as Printed]]*(1+GST_Rate),""))</f>
        <v>482.99999999999994</v>
      </c>
      <c r="S293" s="35" t="str">
        <f>IF(N(MasterFees[[#This Row],[Total Units]])=0,"",MasterFees[[#This Row],[Fee as Printed]]/MasterFees[[#This Row],[Total Units]])</f>
        <v/>
      </c>
      <c r="T293" s="36"/>
      <c r="U293" s="39" t="s">
        <v>4587</v>
      </c>
      <c r="V293" s="39" t="s">
        <v>4764</v>
      </c>
      <c r="W293" s="30" t="s">
        <v>4765</v>
      </c>
      <c r="X293" s="77" t="s">
        <v>4817</v>
      </c>
      <c r="Y293" s="127" t="str">
        <f>_xlfn.XLOOKUP(MasterFees[[#This Row],[Provider / Payer]],Contracts[Contract Name],Contracts[Contract ID],"No contract")</f>
        <v>CON-05</v>
      </c>
      <c r="Z293" s="127" t="str">
        <f>_xlfn.XLOOKUP(MasterFees[[#This Row],[Provider / Payer]],Contracts[Contract Name],Contracts[Pricing Basis],"To confirm")</f>
        <v>Fixed fee schedule</v>
      </c>
      <c r="AA293" s="127" t="str">
        <f>IF(MasterFees[[#This Row],[Pricing Basis]]="Fixed fee schedule","Yes","No")</f>
        <v>Yes</v>
      </c>
      <c r="AB293" s="127" t="str">
        <f>IF(OR(MasterFees[[#This Row],[Fee Basis]]="Add-on",MasterFees[[#This Row],[Fee Basis]]="Time band",MasterFees[[#This Row],[Fee Basis]]="Other"),MasterFees[[#This Row],[Fee Basis]],"Base")</f>
        <v>Base</v>
      </c>
      <c r="AC293" s="141">
        <f>IF(MasterFees[[#This Row],[Fixed Fee?]]="Yes",MasterFees[[#This Row],[Fee Excl. GST]],"")</f>
        <v>420</v>
      </c>
    </row>
    <row r="294" spans="1:29" x14ac:dyDescent="0.2">
      <c r="A294" s="67" t="s">
        <v>2173</v>
      </c>
      <c r="B294" s="31">
        <f>IF(MasterFees[[#This Row],[RVG Code]]="","",_xlfn.XLOOKUP(MasterFees[[#This Row],[RVG Code]],RVGCodes[Code],RVGCodes[Base Units],"Code not found"))</f>
        <v>4</v>
      </c>
      <c r="C29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9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294" s="125" t="s">
        <v>2570</v>
      </c>
      <c r="F294" s="48" t="s">
        <v>2567</v>
      </c>
      <c r="G294" s="30" t="s">
        <v>4470</v>
      </c>
      <c r="H294" s="37" t="s">
        <v>4625</v>
      </c>
      <c r="I294" s="37" t="s">
        <v>4606</v>
      </c>
      <c r="J294" s="37" t="s">
        <v>1024</v>
      </c>
      <c r="K294" s="32"/>
      <c r="L294" s="32"/>
      <c r="M294" s="32"/>
      <c r="N294" s="32"/>
      <c r="O294" s="33">
        <v>420</v>
      </c>
      <c r="P294" s="38" t="s">
        <v>4398</v>
      </c>
      <c r="Q294" s="34">
        <f>IF(MasterFees[[#This Row],[GST Basis]]="Excl",MasterFees[[#This Row],[Fee as Printed]],IF(MasterFees[[#This Row],[GST Basis]]="Incl",MasterFees[[#This Row],[Fee as Printed]]/(1+GST_Rate),""))</f>
        <v>420</v>
      </c>
      <c r="R294" s="34">
        <f>IF(MasterFees[[#This Row],[GST Basis]]="Incl",MasterFees[[#This Row],[Fee as Printed]],IF(MasterFees[[#This Row],[GST Basis]]="Excl",MasterFees[[#This Row],[Fee as Printed]]*(1+GST_Rate),""))</f>
        <v>482.99999999999994</v>
      </c>
      <c r="S294" s="35" t="str">
        <f>IF(N(MasterFees[[#This Row],[Total Units]])=0,"",MasterFees[[#This Row],[Fee as Printed]]/MasterFees[[#This Row],[Total Units]])</f>
        <v/>
      </c>
      <c r="T294" s="36"/>
      <c r="U294" s="39" t="s">
        <v>4587</v>
      </c>
      <c r="V294" s="39" t="s">
        <v>4766</v>
      </c>
      <c r="W294" s="30" t="s">
        <v>4767</v>
      </c>
      <c r="X294" s="77" t="s">
        <v>4817</v>
      </c>
      <c r="Y294" s="127" t="str">
        <f>_xlfn.XLOOKUP(MasterFees[[#This Row],[Provider / Payer]],Contracts[Contract Name],Contracts[Contract ID],"No contract")</f>
        <v>CON-06</v>
      </c>
      <c r="Z294" s="127" t="str">
        <f>_xlfn.XLOOKUP(MasterFees[[#This Row],[Provider / Payer]],Contracts[Contract Name],Contracts[Pricing Basis],"To confirm")</f>
        <v>Fixed fee schedule</v>
      </c>
      <c r="AA294" s="127" t="str">
        <f>IF(MasterFees[[#This Row],[Pricing Basis]]="Fixed fee schedule","Yes","No")</f>
        <v>Yes</v>
      </c>
      <c r="AB294" s="127" t="str">
        <f>IF(OR(MasterFees[[#This Row],[Fee Basis]]="Add-on",MasterFees[[#This Row],[Fee Basis]]="Time band",MasterFees[[#This Row],[Fee Basis]]="Other"),MasterFees[[#This Row],[Fee Basis]],"Base")</f>
        <v>Base</v>
      </c>
      <c r="AC294" s="141">
        <f>IF(MasterFees[[#This Row],[Fixed Fee?]]="Yes",MasterFees[[#This Row],[Fee Excl. GST]],"")</f>
        <v>420</v>
      </c>
    </row>
    <row r="295" spans="1:29" x14ac:dyDescent="0.2">
      <c r="A295" s="67" t="s">
        <v>2173</v>
      </c>
      <c r="B295" s="31">
        <f>IF(MasterFees[[#This Row],[RVG Code]]="","",_xlfn.XLOOKUP(MasterFees[[#This Row],[RVG Code]],RVGCodes[Code],RVGCodes[Base Units],"Code not found"))</f>
        <v>4</v>
      </c>
      <c r="C29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9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295" s="125" t="s">
        <v>2570</v>
      </c>
      <c r="F295" s="48" t="s">
        <v>2567</v>
      </c>
      <c r="G295" s="30" t="s">
        <v>154</v>
      </c>
      <c r="H295" s="37" t="s">
        <v>1095</v>
      </c>
      <c r="I295" s="37"/>
      <c r="J295" s="37" t="s">
        <v>1096</v>
      </c>
      <c r="K295" s="32">
        <v>0.9</v>
      </c>
      <c r="L295" s="32">
        <v>0.6</v>
      </c>
      <c r="M295" s="32">
        <v>0.3</v>
      </c>
      <c r="N295" s="32">
        <v>1.7</v>
      </c>
      <c r="O295" s="33">
        <v>95.15</v>
      </c>
      <c r="P295" s="38" t="s">
        <v>1014</v>
      </c>
      <c r="Q295" s="34" t="str">
        <f>IF(MasterFees[[#This Row],[GST Basis]]="Excl",MasterFees[[#This Row],[Fee as Printed]],IF(MasterFees[[#This Row],[GST Basis]]="Incl",MasterFees[[#This Row],[Fee as Printed]]/(1+GST_Rate),""))</f>
        <v/>
      </c>
      <c r="R295" s="34" t="str">
        <f>IF(MasterFees[[#This Row],[GST Basis]]="Incl",MasterFees[[#This Row],[Fee as Printed]],IF(MasterFees[[#This Row],[GST Basis]]="Excl",MasterFees[[#This Row],[Fee as Printed]]*(1+GST_Rate),""))</f>
        <v/>
      </c>
      <c r="S295" s="35">
        <f>IF(N(MasterFees[[#This Row],[Total Units]])=0,"",MasterFees[[#This Row],[Fee as Printed]]/MasterFees[[#This Row],[Total Units]])</f>
        <v>55.970588235294123</v>
      </c>
      <c r="T295" s="36"/>
      <c r="U295" s="39" t="s">
        <v>1012</v>
      </c>
      <c r="V295" s="39" t="s">
        <v>1247</v>
      </c>
      <c r="W295" s="30"/>
      <c r="X295" s="73" t="s">
        <v>3031</v>
      </c>
      <c r="Y295" s="127" t="str">
        <f>_xlfn.XLOOKUP(MasterFees[[#This Row],[Provider / Payer]],Contracts[Contract Name],Contracts[Contract ID],"No contract")</f>
        <v>CON-01</v>
      </c>
      <c r="Z295" s="127" t="str">
        <f>_xlfn.XLOOKUP(MasterFees[[#This Row],[Provider / Payer]],Contracts[Contract Name],Contracts[Pricing Basis],"To confirm")</f>
        <v>To confirm</v>
      </c>
      <c r="AA295" s="127" t="str">
        <f>IF(MasterFees[[#This Row],[Pricing Basis]]="Fixed fee schedule","Yes","No")</f>
        <v>No</v>
      </c>
      <c r="AB295" s="127" t="str">
        <f>IF(OR(MasterFees[[#This Row],[Fee Basis]]="Add-on",MasterFees[[#This Row],[Fee Basis]]="Time band",MasterFees[[#This Row],[Fee Basis]]="Other"),MasterFees[[#This Row],[Fee Basis]],"Base")</f>
        <v>Base</v>
      </c>
      <c r="AC295" s="141" t="str">
        <f>IF(MasterFees[[#This Row],[Fixed Fee?]]="Yes",MasterFees[[#This Row],[Fee Excl. GST]],"")</f>
        <v/>
      </c>
    </row>
    <row r="296" spans="1:29" x14ac:dyDescent="0.2">
      <c r="A296" s="67" t="s">
        <v>2173</v>
      </c>
      <c r="B296" s="31">
        <f>IF(MasterFees[[#This Row],[RVG Code]]="","",_xlfn.XLOOKUP(MasterFees[[#This Row],[RVG Code]],RVGCodes[Code],RVGCodes[Base Units],"Code not found"))</f>
        <v>4</v>
      </c>
      <c r="C29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9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296" s="125" t="s">
        <v>2570</v>
      </c>
      <c r="F296" s="48" t="s">
        <v>2567</v>
      </c>
      <c r="G296" s="30" t="s">
        <v>157</v>
      </c>
      <c r="H296" s="37" t="s">
        <v>1095</v>
      </c>
      <c r="I296" s="37"/>
      <c r="J296" s="37" t="s">
        <v>1096</v>
      </c>
      <c r="K296" s="32">
        <v>1.8</v>
      </c>
      <c r="L296" s="32">
        <v>0.6</v>
      </c>
      <c r="M296" s="32">
        <v>0.4</v>
      </c>
      <c r="N296" s="32">
        <v>2.8</v>
      </c>
      <c r="O296" s="33">
        <v>153.44999999999999</v>
      </c>
      <c r="P296" s="38" t="s">
        <v>1014</v>
      </c>
      <c r="Q296" s="34" t="str">
        <f>IF(MasterFees[[#This Row],[GST Basis]]="Excl",MasterFees[[#This Row],[Fee as Printed]],IF(MasterFees[[#This Row],[GST Basis]]="Incl",MasterFees[[#This Row],[Fee as Printed]]/(1+GST_Rate),""))</f>
        <v/>
      </c>
      <c r="R296" s="34" t="str">
        <f>IF(MasterFees[[#This Row],[GST Basis]]="Incl",MasterFees[[#This Row],[Fee as Printed]],IF(MasterFees[[#This Row],[GST Basis]]="Excl",MasterFees[[#This Row],[Fee as Printed]]*(1+GST_Rate),""))</f>
        <v/>
      </c>
      <c r="S296" s="35">
        <f>IF(N(MasterFees[[#This Row],[Total Units]])=0,"",MasterFees[[#This Row],[Fee as Printed]]/MasterFees[[#This Row],[Total Units]])</f>
        <v>54.803571428571431</v>
      </c>
      <c r="T296" s="36"/>
      <c r="U296" s="39" t="s">
        <v>1012</v>
      </c>
      <c r="V296" s="39" t="s">
        <v>1250</v>
      </c>
      <c r="W296" s="30"/>
      <c r="X296" s="73" t="s">
        <v>3034</v>
      </c>
      <c r="Y296" s="127" t="str">
        <f>_xlfn.XLOOKUP(MasterFees[[#This Row],[Provider / Payer]],Contracts[Contract Name],Contracts[Contract ID],"No contract")</f>
        <v>CON-01</v>
      </c>
      <c r="Z296" s="127" t="str">
        <f>_xlfn.XLOOKUP(MasterFees[[#This Row],[Provider / Payer]],Contracts[Contract Name],Contracts[Pricing Basis],"To confirm")</f>
        <v>To confirm</v>
      </c>
      <c r="AA296" s="127" t="str">
        <f>IF(MasterFees[[#This Row],[Pricing Basis]]="Fixed fee schedule","Yes","No")</f>
        <v>No</v>
      </c>
      <c r="AB296" s="127" t="str">
        <f>IF(OR(MasterFees[[#This Row],[Fee Basis]]="Add-on",MasterFees[[#This Row],[Fee Basis]]="Time band",MasterFees[[#This Row],[Fee Basis]]="Other"),MasterFees[[#This Row],[Fee Basis]],"Base")</f>
        <v>Base</v>
      </c>
      <c r="AC296" s="141" t="str">
        <f>IF(MasterFees[[#This Row],[Fixed Fee?]]="Yes",MasterFees[[#This Row],[Fee Excl. GST]],"")</f>
        <v/>
      </c>
    </row>
    <row r="297" spans="1:29" x14ac:dyDescent="0.2">
      <c r="A297" s="67" t="s">
        <v>2173</v>
      </c>
      <c r="B297" s="31">
        <f>IF(MasterFees[[#This Row],[RVG Code]]="","",_xlfn.XLOOKUP(MasterFees[[#This Row],[RVG Code]],RVGCodes[Code],RVGCodes[Base Units],"Code not found"))</f>
        <v>4</v>
      </c>
      <c r="C29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9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297" s="125" t="s">
        <v>2570</v>
      </c>
      <c r="F297" s="48" t="s">
        <v>2567</v>
      </c>
      <c r="G297" s="30" t="s">
        <v>158</v>
      </c>
      <c r="H297" s="37" t="s">
        <v>1095</v>
      </c>
      <c r="I297" s="37"/>
      <c r="J297" s="37" t="s">
        <v>1096</v>
      </c>
      <c r="K297" s="32">
        <v>0.3</v>
      </c>
      <c r="L297" s="32">
        <v>0.2</v>
      </c>
      <c r="M297" s="32">
        <v>0.1</v>
      </c>
      <c r="N297" s="32">
        <v>0.5</v>
      </c>
      <c r="O297" s="33">
        <v>28.6</v>
      </c>
      <c r="P297" s="38" t="s">
        <v>1014</v>
      </c>
      <c r="Q297" s="34" t="str">
        <f>IF(MasterFees[[#This Row],[GST Basis]]="Excl",MasterFees[[#This Row],[Fee as Printed]],IF(MasterFees[[#This Row],[GST Basis]]="Incl",MasterFees[[#This Row],[Fee as Printed]]/(1+GST_Rate),""))</f>
        <v/>
      </c>
      <c r="R297" s="34" t="str">
        <f>IF(MasterFees[[#This Row],[GST Basis]]="Incl",MasterFees[[#This Row],[Fee as Printed]],IF(MasterFees[[#This Row],[GST Basis]]="Excl",MasterFees[[#This Row],[Fee as Printed]]*(1+GST_Rate),""))</f>
        <v/>
      </c>
      <c r="S297" s="35">
        <f>IF(N(MasterFees[[#This Row],[Total Units]])=0,"",MasterFees[[#This Row],[Fee as Printed]]/MasterFees[[#This Row],[Total Units]])</f>
        <v>57.2</v>
      </c>
      <c r="T297" s="36"/>
      <c r="U297" s="39" t="s">
        <v>1012</v>
      </c>
      <c r="V297" s="39" t="s">
        <v>1251</v>
      </c>
      <c r="W297" s="30"/>
      <c r="X297" s="73" t="s">
        <v>3035</v>
      </c>
      <c r="Y297" s="127" t="str">
        <f>_xlfn.XLOOKUP(MasterFees[[#This Row],[Provider / Payer]],Contracts[Contract Name],Contracts[Contract ID],"No contract")</f>
        <v>CON-01</v>
      </c>
      <c r="Z297" s="127" t="str">
        <f>_xlfn.XLOOKUP(MasterFees[[#This Row],[Provider / Payer]],Contracts[Contract Name],Contracts[Pricing Basis],"To confirm")</f>
        <v>To confirm</v>
      </c>
      <c r="AA297" s="127" t="str">
        <f>IF(MasterFees[[#This Row],[Pricing Basis]]="Fixed fee schedule","Yes","No")</f>
        <v>No</v>
      </c>
      <c r="AB297" s="127" t="str">
        <f>IF(OR(MasterFees[[#This Row],[Fee Basis]]="Add-on",MasterFees[[#This Row],[Fee Basis]]="Time band",MasterFees[[#This Row],[Fee Basis]]="Other"),MasterFees[[#This Row],[Fee Basis]],"Base")</f>
        <v>Base</v>
      </c>
      <c r="AC297" s="141" t="str">
        <f>IF(MasterFees[[#This Row],[Fixed Fee?]]="Yes",MasterFees[[#This Row],[Fee Excl. GST]],"")</f>
        <v/>
      </c>
    </row>
    <row r="298" spans="1:29" x14ac:dyDescent="0.2">
      <c r="A298" s="67" t="s">
        <v>2173</v>
      </c>
      <c r="B298" s="31">
        <f>IF(MasterFees[[#This Row],[RVG Code]]="","",_xlfn.XLOOKUP(MasterFees[[#This Row],[RVG Code]],RVGCodes[Code],RVGCodes[Base Units],"Code not found"))</f>
        <v>4</v>
      </c>
      <c r="C29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9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298" s="125" t="s">
        <v>2570</v>
      </c>
      <c r="F298" s="48" t="s">
        <v>2567</v>
      </c>
      <c r="G298" s="30" t="s">
        <v>159</v>
      </c>
      <c r="H298" s="37" t="s">
        <v>1095</v>
      </c>
      <c r="I298" s="37"/>
      <c r="J298" s="37" t="s">
        <v>1096</v>
      </c>
      <c r="K298" s="32">
        <v>0</v>
      </c>
      <c r="L298" s="32">
        <v>0</v>
      </c>
      <c r="M298" s="32">
        <v>0</v>
      </c>
      <c r="N298" s="32">
        <v>0</v>
      </c>
      <c r="O298" s="33">
        <v>0</v>
      </c>
      <c r="P298" s="38" t="s">
        <v>1014</v>
      </c>
      <c r="Q298" s="34" t="str">
        <f>IF(MasterFees[[#This Row],[GST Basis]]="Excl",MasterFees[[#This Row],[Fee as Printed]],IF(MasterFees[[#This Row],[GST Basis]]="Incl",MasterFees[[#This Row],[Fee as Printed]]/(1+GST_Rate),""))</f>
        <v/>
      </c>
      <c r="R298" s="34" t="str">
        <f>IF(MasterFees[[#This Row],[GST Basis]]="Incl",MasterFees[[#This Row],[Fee as Printed]],IF(MasterFees[[#This Row],[GST Basis]]="Excl",MasterFees[[#This Row],[Fee as Printed]]*(1+GST_Rate),""))</f>
        <v/>
      </c>
      <c r="S298" s="35" t="str">
        <f>IF(N(MasterFees[[#This Row],[Total Units]])=0,"",MasterFees[[#This Row],[Fee as Printed]]/MasterFees[[#This Row],[Total Units]])</f>
        <v/>
      </c>
      <c r="T298" s="36"/>
      <c r="U298" s="39" t="s">
        <v>1012</v>
      </c>
      <c r="V298" s="39" t="s">
        <v>1252</v>
      </c>
      <c r="W298" s="30"/>
      <c r="X298" s="73" t="s">
        <v>3036</v>
      </c>
      <c r="Y298" s="127" t="str">
        <f>_xlfn.XLOOKUP(MasterFees[[#This Row],[Provider / Payer]],Contracts[Contract Name],Contracts[Contract ID],"No contract")</f>
        <v>CON-01</v>
      </c>
      <c r="Z298" s="127" t="str">
        <f>_xlfn.XLOOKUP(MasterFees[[#This Row],[Provider / Payer]],Contracts[Contract Name],Contracts[Pricing Basis],"To confirm")</f>
        <v>To confirm</v>
      </c>
      <c r="AA298" s="127" t="str">
        <f>IF(MasterFees[[#This Row],[Pricing Basis]]="Fixed fee schedule","Yes","No")</f>
        <v>No</v>
      </c>
      <c r="AB298" s="127" t="str">
        <f>IF(OR(MasterFees[[#This Row],[Fee Basis]]="Add-on",MasterFees[[#This Row],[Fee Basis]]="Time band",MasterFees[[#This Row],[Fee Basis]]="Other"),MasterFees[[#This Row],[Fee Basis]],"Base")</f>
        <v>Base</v>
      </c>
      <c r="AC298" s="141" t="str">
        <f>IF(MasterFees[[#This Row],[Fixed Fee?]]="Yes",MasterFees[[#This Row],[Fee Excl. GST]],"")</f>
        <v/>
      </c>
    </row>
    <row r="299" spans="1:29" x14ac:dyDescent="0.2">
      <c r="A299" s="67" t="s">
        <v>2173</v>
      </c>
      <c r="B299" s="31">
        <f>IF(MasterFees[[#This Row],[RVG Code]]="","",_xlfn.XLOOKUP(MasterFees[[#This Row],[RVG Code]],RVGCodes[Code],RVGCodes[Base Units],"Code not found"))</f>
        <v>4</v>
      </c>
      <c r="C29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29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299" s="125" t="s">
        <v>2570</v>
      </c>
      <c r="F299" s="48" t="s">
        <v>2567</v>
      </c>
      <c r="G299" s="30" t="s">
        <v>4393</v>
      </c>
      <c r="H299" s="37" t="s">
        <v>4417</v>
      </c>
      <c r="I299" s="37" t="s">
        <v>4392</v>
      </c>
      <c r="J299" s="37" t="s">
        <v>1024</v>
      </c>
      <c r="K299" s="32"/>
      <c r="L299" s="32"/>
      <c r="M299" s="32"/>
      <c r="N299" s="32"/>
      <c r="O299" s="33">
        <v>450</v>
      </c>
      <c r="P299" s="38" t="s">
        <v>4398</v>
      </c>
      <c r="Q299" s="34">
        <f>IF(MasterFees[[#This Row],[GST Basis]]="Excl",MasterFees[[#This Row],[Fee as Printed]],IF(MasterFees[[#This Row],[GST Basis]]="Incl",MasterFees[[#This Row],[Fee as Printed]]/(1+GST_Rate),""))</f>
        <v>450</v>
      </c>
      <c r="R299" s="34">
        <f>IF(MasterFees[[#This Row],[GST Basis]]="Incl",MasterFees[[#This Row],[Fee as Printed]],IF(MasterFees[[#This Row],[GST Basis]]="Excl",MasterFees[[#This Row],[Fee as Printed]]*(1+GST_Rate),""))</f>
        <v>517.5</v>
      </c>
      <c r="S299" s="35" t="str">
        <f>IF(N(MasterFees[[#This Row],[Total Units]])=0,"",MasterFees[[#This Row],[Fee as Printed]]/MasterFees[[#This Row],[Total Units]])</f>
        <v/>
      </c>
      <c r="T299" s="36">
        <v>45717</v>
      </c>
      <c r="U299" s="39" t="s">
        <v>1021</v>
      </c>
      <c r="V299" s="39" t="s">
        <v>4418</v>
      </c>
      <c r="W299" s="30" t="s">
        <v>4419</v>
      </c>
      <c r="X299" s="77" t="s">
        <v>4420</v>
      </c>
      <c r="Y299" s="127" t="str">
        <f>_xlfn.XLOOKUP(MasterFees[[#This Row],[Provider / Payer]],Contracts[Contract Name],Contracts[Contract ID],"No contract")</f>
        <v>CON-07</v>
      </c>
      <c r="Z299" s="127" t="str">
        <f>_xlfn.XLOOKUP(MasterFees[[#This Row],[Provider / Payer]],Contracts[Contract Name],Contracts[Pricing Basis],"To confirm")</f>
        <v>Fixed fee schedule</v>
      </c>
      <c r="AA299" s="127" t="str">
        <f>IF(MasterFees[[#This Row],[Pricing Basis]]="Fixed fee schedule","Yes","No")</f>
        <v>Yes</v>
      </c>
      <c r="AB299" s="127" t="str">
        <f>IF(OR(MasterFees[[#This Row],[Fee Basis]]="Add-on",MasterFees[[#This Row],[Fee Basis]]="Time band",MasterFees[[#This Row],[Fee Basis]]="Other"),MasterFees[[#This Row],[Fee Basis]],"Base")</f>
        <v>Base</v>
      </c>
      <c r="AC299" s="141">
        <f>IF(MasterFees[[#This Row],[Fixed Fee?]]="Yes",MasterFees[[#This Row],[Fee Excl. GST]],"")</f>
        <v>450</v>
      </c>
    </row>
    <row r="300" spans="1:29" x14ac:dyDescent="0.2">
      <c r="A300" s="67" t="s">
        <v>2173</v>
      </c>
      <c r="B300" s="31">
        <f>IF(MasterFees[[#This Row],[RVG Code]]="","",_xlfn.XLOOKUP(MasterFees[[#This Row],[RVG Code]],RVGCodes[Code],RVGCodes[Base Units],"Code not found"))</f>
        <v>4</v>
      </c>
      <c r="C30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0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00" s="125" t="s">
        <v>2570</v>
      </c>
      <c r="F300" s="48" t="s">
        <v>2567</v>
      </c>
      <c r="G300" s="30" t="s">
        <v>155</v>
      </c>
      <c r="H300" s="37" t="s">
        <v>1095</v>
      </c>
      <c r="I300" s="37"/>
      <c r="J300" s="37" t="s">
        <v>1096</v>
      </c>
      <c r="K300" s="32">
        <v>1.2</v>
      </c>
      <c r="L300" s="32">
        <v>0.6</v>
      </c>
      <c r="M300" s="32">
        <v>0.4</v>
      </c>
      <c r="N300" s="32">
        <v>2.1</v>
      </c>
      <c r="O300" s="33">
        <v>116.6</v>
      </c>
      <c r="P300" s="38" t="s">
        <v>1014</v>
      </c>
      <c r="Q300" s="34" t="str">
        <f>IF(MasterFees[[#This Row],[GST Basis]]="Excl",MasterFees[[#This Row],[Fee as Printed]],IF(MasterFees[[#This Row],[GST Basis]]="Incl",MasterFees[[#This Row],[Fee as Printed]]/(1+GST_Rate),""))</f>
        <v/>
      </c>
      <c r="R300" s="34" t="str">
        <f>IF(MasterFees[[#This Row],[GST Basis]]="Incl",MasterFees[[#This Row],[Fee as Printed]],IF(MasterFees[[#This Row],[GST Basis]]="Excl",MasterFees[[#This Row],[Fee as Printed]]*(1+GST_Rate),""))</f>
        <v/>
      </c>
      <c r="S300" s="35">
        <f>IF(N(MasterFees[[#This Row],[Total Units]])=0,"",MasterFees[[#This Row],[Fee as Printed]]/MasterFees[[#This Row],[Total Units]])</f>
        <v>55.523809523809518</v>
      </c>
      <c r="T300" s="36"/>
      <c r="U300" s="39" t="s">
        <v>1012</v>
      </c>
      <c r="V300" s="39" t="s">
        <v>1248</v>
      </c>
      <c r="W300" s="30"/>
      <c r="X300" s="73" t="s">
        <v>3032</v>
      </c>
      <c r="Y300" s="127" t="str">
        <f>_xlfn.XLOOKUP(MasterFees[[#This Row],[Provider / Payer]],Contracts[Contract Name],Contracts[Contract ID],"No contract")</f>
        <v>CON-01</v>
      </c>
      <c r="Z300" s="127" t="str">
        <f>_xlfn.XLOOKUP(MasterFees[[#This Row],[Provider / Payer]],Contracts[Contract Name],Contracts[Pricing Basis],"To confirm")</f>
        <v>To confirm</v>
      </c>
      <c r="AA300" s="127" t="str">
        <f>IF(MasterFees[[#This Row],[Pricing Basis]]="Fixed fee schedule","Yes","No")</f>
        <v>No</v>
      </c>
      <c r="AB300" s="127" t="str">
        <f>IF(OR(MasterFees[[#This Row],[Fee Basis]]="Add-on",MasterFees[[#This Row],[Fee Basis]]="Time band",MasterFees[[#This Row],[Fee Basis]]="Other"),MasterFees[[#This Row],[Fee Basis]],"Base")</f>
        <v>Base</v>
      </c>
      <c r="AC300" s="141" t="str">
        <f>IF(MasterFees[[#This Row],[Fixed Fee?]]="Yes",MasterFees[[#This Row],[Fee Excl. GST]],"")</f>
        <v/>
      </c>
    </row>
    <row r="301" spans="1:29" x14ac:dyDescent="0.2">
      <c r="A301" s="67" t="s">
        <v>2173</v>
      </c>
      <c r="B301" s="31">
        <f>IF(MasterFees[[#This Row],[RVG Code]]="","",_xlfn.XLOOKUP(MasterFees[[#This Row],[RVG Code]],RVGCodes[Code],RVGCodes[Base Units],"Code not found"))</f>
        <v>4</v>
      </c>
      <c r="C30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0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01" s="125" t="s">
        <v>2570</v>
      </c>
      <c r="F301" s="48" t="s">
        <v>2567</v>
      </c>
      <c r="G301" s="30" t="s">
        <v>155</v>
      </c>
      <c r="H301" s="37" t="s">
        <v>1095</v>
      </c>
      <c r="I301" s="37"/>
      <c r="J301" s="37" t="s">
        <v>1096</v>
      </c>
      <c r="K301" s="32">
        <v>0.8</v>
      </c>
      <c r="L301" s="32">
        <v>0.5</v>
      </c>
      <c r="M301" s="32">
        <v>0.3</v>
      </c>
      <c r="N301" s="32">
        <v>1.6</v>
      </c>
      <c r="O301" s="33">
        <v>87.45</v>
      </c>
      <c r="P301" s="38" t="s">
        <v>1014</v>
      </c>
      <c r="Q301" s="34" t="str">
        <f>IF(MasterFees[[#This Row],[GST Basis]]="Excl",MasterFees[[#This Row],[Fee as Printed]],IF(MasterFees[[#This Row],[GST Basis]]="Incl",MasterFees[[#This Row],[Fee as Printed]]/(1+GST_Rate),""))</f>
        <v/>
      </c>
      <c r="R301" s="34" t="str">
        <f>IF(MasterFees[[#This Row],[GST Basis]]="Incl",MasterFees[[#This Row],[Fee as Printed]],IF(MasterFees[[#This Row],[GST Basis]]="Excl",MasterFees[[#This Row],[Fee as Printed]]*(1+GST_Rate),""))</f>
        <v/>
      </c>
      <c r="S301" s="35">
        <f>IF(N(MasterFees[[#This Row],[Total Units]])=0,"",MasterFees[[#This Row],[Fee as Printed]]/MasterFees[[#This Row],[Total Units]])</f>
        <v>54.65625</v>
      </c>
      <c r="T301" s="36"/>
      <c r="U301" s="39" t="s">
        <v>1012</v>
      </c>
      <c r="V301" s="39" t="s">
        <v>1253</v>
      </c>
      <c r="W301" s="30"/>
      <c r="X301" s="73" t="s">
        <v>3037</v>
      </c>
      <c r="Y301" s="127" t="str">
        <f>_xlfn.XLOOKUP(MasterFees[[#This Row],[Provider / Payer]],Contracts[Contract Name],Contracts[Contract ID],"No contract")</f>
        <v>CON-01</v>
      </c>
      <c r="Z301" s="127" t="str">
        <f>_xlfn.XLOOKUP(MasterFees[[#This Row],[Provider / Payer]],Contracts[Contract Name],Contracts[Pricing Basis],"To confirm")</f>
        <v>To confirm</v>
      </c>
      <c r="AA301" s="127" t="str">
        <f>IF(MasterFees[[#This Row],[Pricing Basis]]="Fixed fee schedule","Yes","No")</f>
        <v>No</v>
      </c>
      <c r="AB301" s="127" t="str">
        <f>IF(OR(MasterFees[[#This Row],[Fee Basis]]="Add-on",MasterFees[[#This Row],[Fee Basis]]="Time band",MasterFees[[#This Row],[Fee Basis]]="Other"),MasterFees[[#This Row],[Fee Basis]],"Base")</f>
        <v>Base</v>
      </c>
      <c r="AC301" s="141" t="str">
        <f>IF(MasterFees[[#This Row],[Fixed Fee?]]="Yes",MasterFees[[#This Row],[Fee Excl. GST]],"")</f>
        <v/>
      </c>
    </row>
    <row r="302" spans="1:29" x14ac:dyDescent="0.2">
      <c r="A302" s="67" t="s">
        <v>2173</v>
      </c>
      <c r="B302" s="31">
        <f>IF(MasterFees[[#This Row],[RVG Code]]="","",_xlfn.XLOOKUP(MasterFees[[#This Row],[RVG Code]],RVGCodes[Code],RVGCodes[Base Units],"Code not found"))</f>
        <v>4</v>
      </c>
      <c r="C30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0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02" s="125" t="s">
        <v>2570</v>
      </c>
      <c r="F302" s="48" t="s">
        <v>2567</v>
      </c>
      <c r="G302" s="30" t="s">
        <v>156</v>
      </c>
      <c r="H302" s="37" t="s">
        <v>1095</v>
      </c>
      <c r="I302" s="37"/>
      <c r="J302" s="37" t="s">
        <v>1096</v>
      </c>
      <c r="K302" s="32">
        <v>0</v>
      </c>
      <c r="L302" s="32">
        <v>0</v>
      </c>
      <c r="M302" s="32">
        <v>0</v>
      </c>
      <c r="N302" s="32">
        <v>0</v>
      </c>
      <c r="O302" s="33">
        <v>0</v>
      </c>
      <c r="P302" s="38" t="s">
        <v>1014</v>
      </c>
      <c r="Q302" s="34" t="str">
        <f>IF(MasterFees[[#This Row],[GST Basis]]="Excl",MasterFees[[#This Row],[Fee as Printed]],IF(MasterFees[[#This Row],[GST Basis]]="Incl",MasterFees[[#This Row],[Fee as Printed]]/(1+GST_Rate),""))</f>
        <v/>
      </c>
      <c r="R302" s="34" t="str">
        <f>IF(MasterFees[[#This Row],[GST Basis]]="Incl",MasterFees[[#This Row],[Fee as Printed]],IF(MasterFees[[#This Row],[GST Basis]]="Excl",MasterFees[[#This Row],[Fee as Printed]]*(1+GST_Rate),""))</f>
        <v/>
      </c>
      <c r="S302" s="35" t="str">
        <f>IF(N(MasterFees[[#This Row],[Total Units]])=0,"",MasterFees[[#This Row],[Fee as Printed]]/MasterFees[[#This Row],[Total Units]])</f>
        <v/>
      </c>
      <c r="T302" s="36"/>
      <c r="U302" s="39" t="s">
        <v>1012</v>
      </c>
      <c r="V302" s="39" t="s">
        <v>1249</v>
      </c>
      <c r="W302" s="30"/>
      <c r="X302" s="73" t="s">
        <v>3033</v>
      </c>
      <c r="Y302" s="127" t="str">
        <f>_xlfn.XLOOKUP(MasterFees[[#This Row],[Provider / Payer]],Contracts[Contract Name],Contracts[Contract ID],"No contract")</f>
        <v>CON-01</v>
      </c>
      <c r="Z302" s="127" t="str">
        <f>_xlfn.XLOOKUP(MasterFees[[#This Row],[Provider / Payer]],Contracts[Contract Name],Contracts[Pricing Basis],"To confirm")</f>
        <v>To confirm</v>
      </c>
      <c r="AA302" s="127" t="str">
        <f>IF(MasterFees[[#This Row],[Pricing Basis]]="Fixed fee schedule","Yes","No")</f>
        <v>No</v>
      </c>
      <c r="AB302" s="127" t="str">
        <f>IF(OR(MasterFees[[#This Row],[Fee Basis]]="Add-on",MasterFees[[#This Row],[Fee Basis]]="Time band",MasterFees[[#This Row],[Fee Basis]]="Other"),MasterFees[[#This Row],[Fee Basis]],"Base")</f>
        <v>Base</v>
      </c>
      <c r="AC302" s="141" t="str">
        <f>IF(MasterFees[[#This Row],[Fixed Fee?]]="Yes",MasterFees[[#This Row],[Fee Excl. GST]],"")</f>
        <v/>
      </c>
    </row>
    <row r="303" spans="1:29" x14ac:dyDescent="0.2">
      <c r="A303" s="67" t="s">
        <v>2173</v>
      </c>
      <c r="B303" s="31">
        <f>IF(MasterFees[[#This Row],[RVG Code]]="","",_xlfn.XLOOKUP(MasterFees[[#This Row],[RVG Code]],RVGCodes[Code],RVGCodes[Base Units],"Code not found"))</f>
        <v>4</v>
      </c>
      <c r="C30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0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03" s="125" t="s">
        <v>2570</v>
      </c>
      <c r="F303" s="48" t="s">
        <v>2567</v>
      </c>
      <c r="G303" s="30" t="s">
        <v>160</v>
      </c>
      <c r="H303" s="37" t="s">
        <v>1095</v>
      </c>
      <c r="I303" s="37"/>
      <c r="J303" s="37" t="s">
        <v>1096</v>
      </c>
      <c r="K303" s="32">
        <v>0.8</v>
      </c>
      <c r="L303" s="32">
        <v>0.4</v>
      </c>
      <c r="M303" s="32">
        <v>0.2</v>
      </c>
      <c r="N303" s="32">
        <v>1.4</v>
      </c>
      <c r="O303" s="33">
        <v>76.45</v>
      </c>
      <c r="P303" s="38" t="s">
        <v>1014</v>
      </c>
      <c r="Q303" s="34" t="str">
        <f>IF(MasterFees[[#This Row],[GST Basis]]="Excl",MasterFees[[#This Row],[Fee as Printed]],IF(MasterFees[[#This Row],[GST Basis]]="Incl",MasterFees[[#This Row],[Fee as Printed]]/(1+GST_Rate),""))</f>
        <v/>
      </c>
      <c r="R303" s="34" t="str">
        <f>IF(MasterFees[[#This Row],[GST Basis]]="Incl",MasterFees[[#This Row],[Fee as Printed]],IF(MasterFees[[#This Row],[GST Basis]]="Excl",MasterFees[[#This Row],[Fee as Printed]]*(1+GST_Rate),""))</f>
        <v/>
      </c>
      <c r="S303" s="35">
        <f>IF(N(MasterFees[[#This Row],[Total Units]])=0,"",MasterFees[[#This Row],[Fee as Printed]]/MasterFees[[#This Row],[Total Units]])</f>
        <v>54.607142857142861</v>
      </c>
      <c r="T303" s="36"/>
      <c r="U303" s="39" t="s">
        <v>1012</v>
      </c>
      <c r="V303" s="39" t="s">
        <v>1254</v>
      </c>
      <c r="W303" s="30"/>
      <c r="X303" s="73" t="s">
        <v>3038</v>
      </c>
      <c r="Y303" s="127" t="str">
        <f>_xlfn.XLOOKUP(MasterFees[[#This Row],[Provider / Payer]],Contracts[Contract Name],Contracts[Contract ID],"No contract")</f>
        <v>CON-01</v>
      </c>
      <c r="Z303" s="127" t="str">
        <f>_xlfn.XLOOKUP(MasterFees[[#This Row],[Provider / Payer]],Contracts[Contract Name],Contracts[Pricing Basis],"To confirm")</f>
        <v>To confirm</v>
      </c>
      <c r="AA303" s="127" t="str">
        <f>IF(MasterFees[[#This Row],[Pricing Basis]]="Fixed fee schedule","Yes","No")</f>
        <v>No</v>
      </c>
      <c r="AB303" s="127" t="str">
        <f>IF(OR(MasterFees[[#This Row],[Fee Basis]]="Add-on",MasterFees[[#This Row],[Fee Basis]]="Time band",MasterFees[[#This Row],[Fee Basis]]="Other"),MasterFees[[#This Row],[Fee Basis]],"Base")</f>
        <v>Base</v>
      </c>
      <c r="AC303" s="141" t="str">
        <f>IF(MasterFees[[#This Row],[Fixed Fee?]]="Yes",MasterFees[[#This Row],[Fee Excl. GST]],"")</f>
        <v/>
      </c>
    </row>
    <row r="304" spans="1:29" x14ac:dyDescent="0.2">
      <c r="A304" s="67" t="s">
        <v>2173</v>
      </c>
      <c r="B304" s="31">
        <f>IF(MasterFees[[#This Row],[RVG Code]]="","",_xlfn.XLOOKUP(MasterFees[[#This Row],[RVG Code]],RVGCodes[Code],RVGCodes[Base Units],"Code not found"))</f>
        <v>4</v>
      </c>
      <c r="C30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0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04" s="125" t="s">
        <v>2570</v>
      </c>
      <c r="F304" s="48" t="s">
        <v>2567</v>
      </c>
      <c r="G304" s="30" t="s">
        <v>4375</v>
      </c>
      <c r="H304" s="37" t="s">
        <v>4397</v>
      </c>
      <c r="I304" s="37"/>
      <c r="J304" s="37" t="s">
        <v>2678</v>
      </c>
      <c r="K304" s="32"/>
      <c r="L304" s="32"/>
      <c r="M304" s="32"/>
      <c r="N304" s="32"/>
      <c r="O304" s="33">
        <v>334.78</v>
      </c>
      <c r="P304" s="38" t="s">
        <v>4398</v>
      </c>
      <c r="Q304" s="34">
        <f>IF(MasterFees[[#This Row],[GST Basis]]="Excl",MasterFees[[#This Row],[Fee as Printed]],IF(MasterFees[[#This Row],[GST Basis]]="Incl",MasterFees[[#This Row],[Fee as Printed]]/(1+GST_Rate),""))</f>
        <v>334.78</v>
      </c>
      <c r="R304" s="34">
        <f>IF(MasterFees[[#This Row],[GST Basis]]="Incl",MasterFees[[#This Row],[Fee as Printed]],IF(MasterFees[[#This Row],[GST Basis]]="Excl",MasterFees[[#This Row],[Fee as Printed]]*(1+GST_Rate),""))</f>
        <v>384.99699999999996</v>
      </c>
      <c r="S304" s="35" t="str">
        <f>IF(N(MasterFees[[#This Row],[Total Units]])=0,"",MasterFees[[#This Row],[Fee as Printed]]/MasterFees[[#This Row],[Total Units]])</f>
        <v/>
      </c>
      <c r="T304" s="36">
        <v>46113</v>
      </c>
      <c r="U304" s="39" t="s">
        <v>1021</v>
      </c>
      <c r="V304" s="39" t="s">
        <v>4410</v>
      </c>
      <c r="W304" s="30" t="s">
        <v>4423</v>
      </c>
      <c r="X304" s="77" t="s">
        <v>4424</v>
      </c>
      <c r="Y304" s="127" t="str">
        <f>_xlfn.XLOOKUP(MasterFees[[#This Row],[Provider / Payer]],Contracts[Contract Name],Contracts[Contract ID],"No contract")</f>
        <v>CON-03</v>
      </c>
      <c r="Z304" s="127" t="str">
        <f>_xlfn.XLOOKUP(MasterFees[[#This Row],[Provider / Payer]],Contracts[Contract Name],Contracts[Pricing Basis],"To confirm")</f>
        <v>Fixed fee schedule</v>
      </c>
      <c r="AA304" s="127" t="str">
        <f>IF(MasterFees[[#This Row],[Pricing Basis]]="Fixed fee schedule","Yes","No")</f>
        <v>Yes</v>
      </c>
      <c r="AB304" s="127" t="str">
        <f>IF(OR(MasterFees[[#This Row],[Fee Basis]]="Add-on",MasterFees[[#This Row],[Fee Basis]]="Time band",MasterFees[[#This Row],[Fee Basis]]="Other"),MasterFees[[#This Row],[Fee Basis]],"Base")</f>
        <v>Add-on</v>
      </c>
      <c r="AC304" s="141">
        <f>IF(MasterFees[[#This Row],[Fixed Fee?]]="Yes",MasterFees[[#This Row],[Fee Excl. GST]],"")</f>
        <v>334.78</v>
      </c>
    </row>
    <row r="305" spans="1:29" x14ac:dyDescent="0.2">
      <c r="A305" s="67" t="s">
        <v>2173</v>
      </c>
      <c r="B305" s="31">
        <f>IF(MasterFees[[#This Row],[RVG Code]]="","",_xlfn.XLOOKUP(MasterFees[[#This Row],[RVG Code]],RVGCodes[Code],RVGCodes[Base Units],"Code not found"))</f>
        <v>4</v>
      </c>
      <c r="C30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0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05" s="125" t="s">
        <v>2570</v>
      </c>
      <c r="F305" s="48" t="s">
        <v>2567</v>
      </c>
      <c r="G305" s="30" t="s">
        <v>163</v>
      </c>
      <c r="H305" s="37" t="s">
        <v>1095</v>
      </c>
      <c r="I305" s="37"/>
      <c r="J305" s="37" t="s">
        <v>1096</v>
      </c>
      <c r="K305" s="32">
        <v>1.2</v>
      </c>
      <c r="L305" s="32">
        <v>0.7</v>
      </c>
      <c r="M305" s="32">
        <v>0.5</v>
      </c>
      <c r="N305" s="32">
        <v>2.4</v>
      </c>
      <c r="O305" s="33">
        <v>130.9</v>
      </c>
      <c r="P305" s="38" t="s">
        <v>1014</v>
      </c>
      <c r="Q305" s="34" t="str">
        <f>IF(MasterFees[[#This Row],[GST Basis]]="Excl",MasterFees[[#This Row],[Fee as Printed]],IF(MasterFees[[#This Row],[GST Basis]]="Incl",MasterFees[[#This Row],[Fee as Printed]]/(1+GST_Rate),""))</f>
        <v/>
      </c>
      <c r="R305" s="34" t="str">
        <f>IF(MasterFees[[#This Row],[GST Basis]]="Incl",MasterFees[[#This Row],[Fee as Printed]],IF(MasterFees[[#This Row],[GST Basis]]="Excl",MasterFees[[#This Row],[Fee as Printed]]*(1+GST_Rate),""))</f>
        <v/>
      </c>
      <c r="S305" s="35">
        <f>IF(N(MasterFees[[#This Row],[Total Units]])=0,"",MasterFees[[#This Row],[Fee as Printed]]/MasterFees[[#This Row],[Total Units]])</f>
        <v>54.541666666666671</v>
      </c>
      <c r="T305" s="36"/>
      <c r="U305" s="39" t="s">
        <v>1012</v>
      </c>
      <c r="V305" s="39" t="s">
        <v>1257</v>
      </c>
      <c r="W305" s="30"/>
      <c r="X305" s="73" t="s">
        <v>3041</v>
      </c>
      <c r="Y305" s="127" t="str">
        <f>_xlfn.XLOOKUP(MasterFees[[#This Row],[Provider / Payer]],Contracts[Contract Name],Contracts[Contract ID],"No contract")</f>
        <v>CON-01</v>
      </c>
      <c r="Z305" s="127" t="str">
        <f>_xlfn.XLOOKUP(MasterFees[[#This Row],[Provider / Payer]],Contracts[Contract Name],Contracts[Pricing Basis],"To confirm")</f>
        <v>To confirm</v>
      </c>
      <c r="AA305" s="127" t="str">
        <f>IF(MasterFees[[#This Row],[Pricing Basis]]="Fixed fee schedule","Yes","No")</f>
        <v>No</v>
      </c>
      <c r="AB305" s="127" t="str">
        <f>IF(OR(MasterFees[[#This Row],[Fee Basis]]="Add-on",MasterFees[[#This Row],[Fee Basis]]="Time band",MasterFees[[#This Row],[Fee Basis]]="Other"),MasterFees[[#This Row],[Fee Basis]],"Base")</f>
        <v>Base</v>
      </c>
      <c r="AC305" s="141" t="str">
        <f>IF(MasterFees[[#This Row],[Fixed Fee?]]="Yes",MasterFees[[#This Row],[Fee Excl. GST]],"")</f>
        <v/>
      </c>
    </row>
    <row r="306" spans="1:29" x14ac:dyDescent="0.2">
      <c r="A306" s="67" t="s">
        <v>2173</v>
      </c>
      <c r="B306" s="31">
        <f>IF(MasterFees[[#This Row],[RVG Code]]="","",_xlfn.XLOOKUP(MasterFees[[#This Row],[RVG Code]],RVGCodes[Code],RVGCodes[Base Units],"Code not found"))</f>
        <v>4</v>
      </c>
      <c r="C30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0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06" s="125" t="s">
        <v>2570</v>
      </c>
      <c r="F306" s="48" t="s">
        <v>2567</v>
      </c>
      <c r="G306" s="30" t="s">
        <v>4504</v>
      </c>
      <c r="H306" s="37" t="s">
        <v>4622</v>
      </c>
      <c r="I306" s="37" t="s">
        <v>4503</v>
      </c>
      <c r="J306" s="37" t="s">
        <v>1024</v>
      </c>
      <c r="K306" s="32"/>
      <c r="L306" s="32"/>
      <c r="M306" s="32"/>
      <c r="N306" s="32"/>
      <c r="O306" s="33">
        <v>800</v>
      </c>
      <c r="P306" s="38" t="s">
        <v>4398</v>
      </c>
      <c r="Q306" s="34">
        <f>IF(MasterFees[[#This Row],[GST Basis]]="Excl",MasterFees[[#This Row],[Fee as Printed]],IF(MasterFees[[#This Row],[GST Basis]]="Incl",MasterFees[[#This Row],[Fee as Printed]]/(1+GST_Rate),""))</f>
        <v>800</v>
      </c>
      <c r="R306" s="34">
        <f>IF(MasterFees[[#This Row],[GST Basis]]="Incl",MasterFees[[#This Row],[Fee as Printed]],IF(MasterFees[[#This Row],[GST Basis]]="Excl",MasterFees[[#This Row],[Fee as Printed]]*(1+GST_Rate),""))</f>
        <v>919.99999999999989</v>
      </c>
      <c r="S306" s="35" t="str">
        <f>IF(N(MasterFees[[#This Row],[Total Units]])=0,"",MasterFees[[#This Row],[Fee as Printed]]/MasterFees[[#This Row],[Total Units]])</f>
        <v/>
      </c>
      <c r="T306" s="36"/>
      <c r="U306" s="39" t="s">
        <v>4587</v>
      </c>
      <c r="V306" s="39" t="s">
        <v>4712</v>
      </c>
      <c r="W306" s="30" t="s">
        <v>4709</v>
      </c>
      <c r="X306" s="77" t="s">
        <v>4835</v>
      </c>
      <c r="Y306" s="127" t="str">
        <f>_xlfn.XLOOKUP(MasterFees[[#This Row],[Provider / Payer]],Contracts[Contract Name],Contracts[Contract ID],"No contract")</f>
        <v>CON-05</v>
      </c>
      <c r="Z306" s="127" t="str">
        <f>_xlfn.XLOOKUP(MasterFees[[#This Row],[Provider / Payer]],Contracts[Contract Name],Contracts[Pricing Basis],"To confirm")</f>
        <v>Fixed fee schedule</v>
      </c>
      <c r="AA306" s="127" t="str">
        <f>IF(MasterFees[[#This Row],[Pricing Basis]]="Fixed fee schedule","Yes","No")</f>
        <v>Yes</v>
      </c>
      <c r="AB306" s="127" t="str">
        <f>IF(OR(MasterFees[[#This Row],[Fee Basis]]="Add-on",MasterFees[[#This Row],[Fee Basis]]="Time band",MasterFees[[#This Row],[Fee Basis]]="Other"),MasterFees[[#This Row],[Fee Basis]],"Base")</f>
        <v>Base</v>
      </c>
      <c r="AC306" s="141">
        <f>IF(MasterFees[[#This Row],[Fixed Fee?]]="Yes",MasterFees[[#This Row],[Fee Excl. GST]],"")</f>
        <v>800</v>
      </c>
    </row>
    <row r="307" spans="1:29" x14ac:dyDescent="0.2">
      <c r="A307" s="67" t="s">
        <v>2173</v>
      </c>
      <c r="B307" s="31">
        <f>IF(MasterFees[[#This Row],[RVG Code]]="","",_xlfn.XLOOKUP(MasterFees[[#This Row],[RVG Code]],RVGCodes[Code],RVGCodes[Base Units],"Code not found"))</f>
        <v>4</v>
      </c>
      <c r="C30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0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07" s="125" t="s">
        <v>2570</v>
      </c>
      <c r="F307" s="48" t="s">
        <v>2567</v>
      </c>
      <c r="G307" s="30" t="s">
        <v>4504</v>
      </c>
      <c r="H307" s="37" t="s">
        <v>4625</v>
      </c>
      <c r="I307" s="37" t="s">
        <v>4503</v>
      </c>
      <c r="J307" s="37" t="s">
        <v>1024</v>
      </c>
      <c r="K307" s="32"/>
      <c r="L307" s="32"/>
      <c r="M307" s="32"/>
      <c r="N307" s="32"/>
      <c r="O307" s="33">
        <v>800</v>
      </c>
      <c r="P307" s="38" t="s">
        <v>4398</v>
      </c>
      <c r="Q307" s="34">
        <f>IF(MasterFees[[#This Row],[GST Basis]]="Excl",MasterFees[[#This Row],[Fee as Printed]],IF(MasterFees[[#This Row],[GST Basis]]="Incl",MasterFees[[#This Row],[Fee as Printed]]/(1+GST_Rate),""))</f>
        <v>800</v>
      </c>
      <c r="R307" s="34">
        <f>IF(MasterFees[[#This Row],[GST Basis]]="Incl",MasterFees[[#This Row],[Fee as Printed]],IF(MasterFees[[#This Row],[GST Basis]]="Excl",MasterFees[[#This Row],[Fee as Printed]]*(1+GST_Rate),""))</f>
        <v>919.99999999999989</v>
      </c>
      <c r="S307" s="35" t="str">
        <f>IF(N(MasterFees[[#This Row],[Total Units]])=0,"",MasterFees[[#This Row],[Fee as Printed]]/MasterFees[[#This Row],[Total Units]])</f>
        <v/>
      </c>
      <c r="T307" s="36"/>
      <c r="U307" s="39" t="s">
        <v>4587</v>
      </c>
      <c r="V307" s="39" t="s">
        <v>4713</v>
      </c>
      <c r="W307" s="30" t="s">
        <v>4711</v>
      </c>
      <c r="X307" s="77" t="s">
        <v>4835</v>
      </c>
      <c r="Y307" s="127" t="str">
        <f>_xlfn.XLOOKUP(MasterFees[[#This Row],[Provider / Payer]],Contracts[Contract Name],Contracts[Contract ID],"No contract")</f>
        <v>CON-06</v>
      </c>
      <c r="Z307" s="127" t="str">
        <f>_xlfn.XLOOKUP(MasterFees[[#This Row],[Provider / Payer]],Contracts[Contract Name],Contracts[Pricing Basis],"To confirm")</f>
        <v>Fixed fee schedule</v>
      </c>
      <c r="AA307" s="127" t="str">
        <f>IF(MasterFees[[#This Row],[Pricing Basis]]="Fixed fee schedule","Yes","No")</f>
        <v>Yes</v>
      </c>
      <c r="AB307" s="127" t="str">
        <f>IF(OR(MasterFees[[#This Row],[Fee Basis]]="Add-on",MasterFees[[#This Row],[Fee Basis]]="Time band",MasterFees[[#This Row],[Fee Basis]]="Other"),MasterFees[[#This Row],[Fee Basis]],"Base")</f>
        <v>Base</v>
      </c>
      <c r="AC307" s="141">
        <f>IF(MasterFees[[#This Row],[Fixed Fee?]]="Yes",MasterFees[[#This Row],[Fee Excl. GST]],"")</f>
        <v>800</v>
      </c>
    </row>
    <row r="308" spans="1:29" x14ac:dyDescent="0.2">
      <c r="A308" s="67" t="s">
        <v>2173</v>
      </c>
      <c r="B308" s="31">
        <f>IF(MasterFees[[#This Row],[RVG Code]]="","",_xlfn.XLOOKUP(MasterFees[[#This Row],[RVG Code]],RVGCodes[Code],RVGCodes[Base Units],"Code not found"))</f>
        <v>4</v>
      </c>
      <c r="C30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0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08" s="125" t="s">
        <v>2570</v>
      </c>
      <c r="F308" s="48" t="s">
        <v>2567</v>
      </c>
      <c r="G308" s="30" t="s">
        <v>214</v>
      </c>
      <c r="H308" s="37" t="s">
        <v>1095</v>
      </c>
      <c r="I308" s="37"/>
      <c r="J308" s="37" t="s">
        <v>1096</v>
      </c>
      <c r="K308" s="32">
        <v>3.8</v>
      </c>
      <c r="L308" s="32">
        <v>5.2</v>
      </c>
      <c r="M308" s="32">
        <v>1.2</v>
      </c>
      <c r="N308" s="32">
        <v>10.199999999999999</v>
      </c>
      <c r="O308" s="33">
        <v>558.25</v>
      </c>
      <c r="P308" s="38" t="s">
        <v>1014</v>
      </c>
      <c r="Q308" s="34" t="str">
        <f>IF(MasterFees[[#This Row],[GST Basis]]="Excl",MasterFees[[#This Row],[Fee as Printed]],IF(MasterFees[[#This Row],[GST Basis]]="Incl",MasterFees[[#This Row],[Fee as Printed]]/(1+GST_Rate),""))</f>
        <v/>
      </c>
      <c r="R308" s="34" t="str">
        <f>IF(MasterFees[[#This Row],[GST Basis]]="Incl",MasterFees[[#This Row],[Fee as Printed]],IF(MasterFees[[#This Row],[GST Basis]]="Excl",MasterFees[[#This Row],[Fee as Printed]]*(1+GST_Rate),""))</f>
        <v/>
      </c>
      <c r="S308" s="35">
        <f>IF(N(MasterFees[[#This Row],[Total Units]])=0,"",MasterFees[[#This Row],[Fee as Printed]]/MasterFees[[#This Row],[Total Units]])</f>
        <v>54.730392156862749</v>
      </c>
      <c r="T308" s="36"/>
      <c r="U308" s="39" t="s">
        <v>1012</v>
      </c>
      <c r="V308" s="39" t="s">
        <v>1308</v>
      </c>
      <c r="W308" s="30"/>
      <c r="X308" s="73" t="s">
        <v>3094</v>
      </c>
      <c r="Y308" s="127" t="str">
        <f>_xlfn.XLOOKUP(MasterFees[[#This Row],[Provider / Payer]],Contracts[Contract Name],Contracts[Contract ID],"No contract")</f>
        <v>CON-01</v>
      </c>
      <c r="Z308" s="127" t="str">
        <f>_xlfn.XLOOKUP(MasterFees[[#This Row],[Provider / Payer]],Contracts[Contract Name],Contracts[Pricing Basis],"To confirm")</f>
        <v>To confirm</v>
      </c>
      <c r="AA308" s="127" t="str">
        <f>IF(MasterFees[[#This Row],[Pricing Basis]]="Fixed fee schedule","Yes","No")</f>
        <v>No</v>
      </c>
      <c r="AB308" s="127" t="str">
        <f>IF(OR(MasterFees[[#This Row],[Fee Basis]]="Add-on",MasterFees[[#This Row],[Fee Basis]]="Time band",MasterFees[[#This Row],[Fee Basis]]="Other"),MasterFees[[#This Row],[Fee Basis]],"Base")</f>
        <v>Base</v>
      </c>
      <c r="AC308" s="141" t="str">
        <f>IF(MasterFees[[#This Row],[Fixed Fee?]]="Yes",MasterFees[[#This Row],[Fee Excl. GST]],"")</f>
        <v/>
      </c>
    </row>
    <row r="309" spans="1:29" x14ac:dyDescent="0.2">
      <c r="A309" s="67" t="s">
        <v>2173</v>
      </c>
      <c r="B309" s="31">
        <f>IF(MasterFees[[#This Row],[RVG Code]]="","",_xlfn.XLOOKUP(MasterFees[[#This Row],[RVG Code]],RVGCodes[Code],RVGCodes[Base Units],"Code not found"))</f>
        <v>4</v>
      </c>
      <c r="C30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0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09" s="125" t="s">
        <v>2570</v>
      </c>
      <c r="F309" s="48" t="s">
        <v>2567</v>
      </c>
      <c r="G309" s="30" t="s">
        <v>4472</v>
      </c>
      <c r="H309" s="37" t="s">
        <v>4622</v>
      </c>
      <c r="I309" s="37" t="s">
        <v>4471</v>
      </c>
      <c r="J309" s="37" t="s">
        <v>1024</v>
      </c>
      <c r="K309" s="32"/>
      <c r="L309" s="32"/>
      <c r="M309" s="32"/>
      <c r="N309" s="32"/>
      <c r="O309" s="33">
        <v>900</v>
      </c>
      <c r="P309" s="38" t="s">
        <v>4398</v>
      </c>
      <c r="Q309" s="34">
        <f>IF(MasterFees[[#This Row],[GST Basis]]="Excl",MasterFees[[#This Row],[Fee as Printed]],IF(MasterFees[[#This Row],[GST Basis]]="Incl",MasterFees[[#This Row],[Fee as Printed]]/(1+GST_Rate),""))</f>
        <v>900</v>
      </c>
      <c r="R309" s="34">
        <f>IF(MasterFees[[#This Row],[GST Basis]]="Incl",MasterFees[[#This Row],[Fee as Printed]],IF(MasterFees[[#This Row],[GST Basis]]="Excl",MasterFees[[#This Row],[Fee as Printed]]*(1+GST_Rate),""))</f>
        <v>1035</v>
      </c>
      <c r="S309" s="35" t="str">
        <f>IF(N(MasterFees[[#This Row],[Total Units]])=0,"",MasterFees[[#This Row],[Fee as Printed]]/MasterFees[[#This Row],[Total Units]])</f>
        <v/>
      </c>
      <c r="T309" s="36"/>
      <c r="U309" s="39" t="s">
        <v>4587</v>
      </c>
      <c r="V309" s="39" t="s">
        <v>4754</v>
      </c>
      <c r="W309" s="30" t="s">
        <v>4755</v>
      </c>
      <c r="X309" s="77" t="s">
        <v>4818</v>
      </c>
      <c r="Y309" s="127" t="str">
        <f>_xlfn.XLOOKUP(MasterFees[[#This Row],[Provider / Payer]],Contracts[Contract Name],Contracts[Contract ID],"No contract")</f>
        <v>CON-05</v>
      </c>
      <c r="Z309" s="127" t="str">
        <f>_xlfn.XLOOKUP(MasterFees[[#This Row],[Provider / Payer]],Contracts[Contract Name],Contracts[Pricing Basis],"To confirm")</f>
        <v>Fixed fee schedule</v>
      </c>
      <c r="AA309" s="127" t="str">
        <f>IF(MasterFees[[#This Row],[Pricing Basis]]="Fixed fee schedule","Yes","No")</f>
        <v>Yes</v>
      </c>
      <c r="AB309" s="127" t="str">
        <f>IF(OR(MasterFees[[#This Row],[Fee Basis]]="Add-on",MasterFees[[#This Row],[Fee Basis]]="Time band",MasterFees[[#This Row],[Fee Basis]]="Other"),MasterFees[[#This Row],[Fee Basis]],"Base")</f>
        <v>Base</v>
      </c>
      <c r="AC309" s="141">
        <f>IF(MasterFees[[#This Row],[Fixed Fee?]]="Yes",MasterFees[[#This Row],[Fee Excl. GST]],"")</f>
        <v>900</v>
      </c>
    </row>
    <row r="310" spans="1:29" x14ac:dyDescent="0.2">
      <c r="A310" s="67" t="s">
        <v>2173</v>
      </c>
      <c r="B310" s="31">
        <f>IF(MasterFees[[#This Row],[RVG Code]]="","",_xlfn.XLOOKUP(MasterFees[[#This Row],[RVG Code]],RVGCodes[Code],RVGCodes[Base Units],"Code not found"))</f>
        <v>4</v>
      </c>
      <c r="C31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1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10" s="125" t="s">
        <v>2570</v>
      </c>
      <c r="F310" s="48" t="s">
        <v>2567</v>
      </c>
      <c r="G310" s="30" t="s">
        <v>4472</v>
      </c>
      <c r="H310" s="37" t="s">
        <v>4625</v>
      </c>
      <c r="I310" s="37" t="s">
        <v>4471</v>
      </c>
      <c r="J310" s="37" t="s">
        <v>1024</v>
      </c>
      <c r="K310" s="32"/>
      <c r="L310" s="32"/>
      <c r="M310" s="32"/>
      <c r="N310" s="32"/>
      <c r="O310" s="33">
        <v>900</v>
      </c>
      <c r="P310" s="38" t="s">
        <v>4398</v>
      </c>
      <c r="Q310" s="34">
        <f>IF(MasterFees[[#This Row],[GST Basis]]="Excl",MasterFees[[#This Row],[Fee as Printed]],IF(MasterFees[[#This Row],[GST Basis]]="Incl",MasterFees[[#This Row],[Fee as Printed]]/(1+GST_Rate),""))</f>
        <v>900</v>
      </c>
      <c r="R310" s="34">
        <f>IF(MasterFees[[#This Row],[GST Basis]]="Incl",MasterFees[[#This Row],[Fee as Printed]],IF(MasterFees[[#This Row],[GST Basis]]="Excl",MasterFees[[#This Row],[Fee as Printed]]*(1+GST_Rate),""))</f>
        <v>1035</v>
      </c>
      <c r="S310" s="35" t="str">
        <f>IF(N(MasterFees[[#This Row],[Total Units]])=0,"",MasterFees[[#This Row],[Fee as Printed]]/MasterFees[[#This Row],[Total Units]])</f>
        <v/>
      </c>
      <c r="T310" s="36"/>
      <c r="U310" s="39" t="s">
        <v>4587</v>
      </c>
      <c r="V310" s="39" t="s">
        <v>4756</v>
      </c>
      <c r="W310" s="30" t="s">
        <v>4757</v>
      </c>
      <c r="X310" s="77" t="s">
        <v>4818</v>
      </c>
      <c r="Y310" s="127" t="str">
        <f>_xlfn.XLOOKUP(MasterFees[[#This Row],[Provider / Payer]],Contracts[Contract Name],Contracts[Contract ID],"No contract")</f>
        <v>CON-06</v>
      </c>
      <c r="Z310" s="127" t="str">
        <f>_xlfn.XLOOKUP(MasterFees[[#This Row],[Provider / Payer]],Contracts[Contract Name],Contracts[Pricing Basis],"To confirm")</f>
        <v>Fixed fee schedule</v>
      </c>
      <c r="AA310" s="127" t="str">
        <f>IF(MasterFees[[#This Row],[Pricing Basis]]="Fixed fee schedule","Yes","No")</f>
        <v>Yes</v>
      </c>
      <c r="AB310" s="127" t="str">
        <f>IF(OR(MasterFees[[#This Row],[Fee Basis]]="Add-on",MasterFees[[#This Row],[Fee Basis]]="Time band",MasterFees[[#This Row],[Fee Basis]]="Other"),MasterFees[[#This Row],[Fee Basis]],"Base")</f>
        <v>Base</v>
      </c>
      <c r="AC310" s="141">
        <f>IF(MasterFees[[#This Row],[Fixed Fee?]]="Yes",MasterFees[[#This Row],[Fee Excl. GST]],"")</f>
        <v>900</v>
      </c>
    </row>
    <row r="311" spans="1:29" x14ac:dyDescent="0.2">
      <c r="A311" s="67" t="s">
        <v>2173</v>
      </c>
      <c r="B311" s="31">
        <f>IF(MasterFees[[#This Row],[RVG Code]]="","",_xlfn.XLOOKUP(MasterFees[[#This Row],[RVG Code]],RVGCodes[Code],RVGCodes[Base Units],"Code not found"))</f>
        <v>4</v>
      </c>
      <c r="C31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1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11" s="125" t="s">
        <v>2570</v>
      </c>
      <c r="F311" s="48" t="s">
        <v>2567</v>
      </c>
      <c r="G311" s="30" t="s">
        <v>4474</v>
      </c>
      <c r="H311" s="37" t="s">
        <v>4622</v>
      </c>
      <c r="I311" s="37" t="s">
        <v>4473</v>
      </c>
      <c r="J311" s="37" t="s">
        <v>1024</v>
      </c>
      <c r="K311" s="32"/>
      <c r="L311" s="32"/>
      <c r="M311" s="32"/>
      <c r="N311" s="32"/>
      <c r="O311" s="33">
        <v>900</v>
      </c>
      <c r="P311" s="38" t="s">
        <v>4398</v>
      </c>
      <c r="Q311" s="34">
        <f>IF(MasterFees[[#This Row],[GST Basis]]="Excl",MasterFees[[#This Row],[Fee as Printed]],IF(MasterFees[[#This Row],[GST Basis]]="Incl",MasterFees[[#This Row],[Fee as Printed]]/(1+GST_Rate),""))</f>
        <v>900</v>
      </c>
      <c r="R311" s="34">
        <f>IF(MasterFees[[#This Row],[GST Basis]]="Incl",MasterFees[[#This Row],[Fee as Printed]],IF(MasterFees[[#This Row],[GST Basis]]="Excl",MasterFees[[#This Row],[Fee as Printed]]*(1+GST_Rate),""))</f>
        <v>1035</v>
      </c>
      <c r="S311" s="35" t="str">
        <f>IF(N(MasterFees[[#This Row],[Total Units]])=0,"",MasterFees[[#This Row],[Fee as Printed]]/MasterFees[[#This Row],[Total Units]])</f>
        <v/>
      </c>
      <c r="T311" s="36"/>
      <c r="U311" s="39" t="s">
        <v>4587</v>
      </c>
      <c r="V311" s="39" t="s">
        <v>4758</v>
      </c>
      <c r="W311" s="30" t="s">
        <v>4755</v>
      </c>
      <c r="X311" s="77" t="s">
        <v>4819</v>
      </c>
      <c r="Y311" s="127" t="str">
        <f>_xlfn.XLOOKUP(MasterFees[[#This Row],[Provider / Payer]],Contracts[Contract Name],Contracts[Contract ID],"No contract")</f>
        <v>CON-05</v>
      </c>
      <c r="Z311" s="127" t="str">
        <f>_xlfn.XLOOKUP(MasterFees[[#This Row],[Provider / Payer]],Contracts[Contract Name],Contracts[Pricing Basis],"To confirm")</f>
        <v>Fixed fee schedule</v>
      </c>
      <c r="AA311" s="127" t="str">
        <f>IF(MasterFees[[#This Row],[Pricing Basis]]="Fixed fee schedule","Yes","No")</f>
        <v>Yes</v>
      </c>
      <c r="AB311" s="127" t="str">
        <f>IF(OR(MasterFees[[#This Row],[Fee Basis]]="Add-on",MasterFees[[#This Row],[Fee Basis]]="Time band",MasterFees[[#This Row],[Fee Basis]]="Other"),MasterFees[[#This Row],[Fee Basis]],"Base")</f>
        <v>Base</v>
      </c>
      <c r="AC311" s="141">
        <f>IF(MasterFees[[#This Row],[Fixed Fee?]]="Yes",MasterFees[[#This Row],[Fee Excl. GST]],"")</f>
        <v>900</v>
      </c>
    </row>
    <row r="312" spans="1:29" x14ac:dyDescent="0.2">
      <c r="A312" s="67" t="s">
        <v>2173</v>
      </c>
      <c r="B312" s="31">
        <f>IF(MasterFees[[#This Row],[RVG Code]]="","",_xlfn.XLOOKUP(MasterFees[[#This Row],[RVG Code]],RVGCodes[Code],RVGCodes[Base Units],"Code not found"))</f>
        <v>4</v>
      </c>
      <c r="C31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1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12" s="125" t="s">
        <v>2570</v>
      </c>
      <c r="F312" s="48" t="s">
        <v>2567</v>
      </c>
      <c r="G312" s="30" t="s">
        <v>4474</v>
      </c>
      <c r="H312" s="37" t="s">
        <v>4625</v>
      </c>
      <c r="I312" s="37" t="s">
        <v>4473</v>
      </c>
      <c r="J312" s="37" t="s">
        <v>1024</v>
      </c>
      <c r="K312" s="32"/>
      <c r="L312" s="32"/>
      <c r="M312" s="32"/>
      <c r="N312" s="32"/>
      <c r="O312" s="33">
        <v>900</v>
      </c>
      <c r="P312" s="38" t="s">
        <v>4398</v>
      </c>
      <c r="Q312" s="34">
        <f>IF(MasterFees[[#This Row],[GST Basis]]="Excl",MasterFees[[#This Row],[Fee as Printed]],IF(MasterFees[[#This Row],[GST Basis]]="Incl",MasterFees[[#This Row],[Fee as Printed]]/(1+GST_Rate),""))</f>
        <v>900</v>
      </c>
      <c r="R312" s="34">
        <f>IF(MasterFees[[#This Row],[GST Basis]]="Incl",MasterFees[[#This Row],[Fee as Printed]],IF(MasterFees[[#This Row],[GST Basis]]="Excl",MasterFees[[#This Row],[Fee as Printed]]*(1+GST_Rate),""))</f>
        <v>1035</v>
      </c>
      <c r="S312" s="35" t="str">
        <f>IF(N(MasterFees[[#This Row],[Total Units]])=0,"",MasterFees[[#This Row],[Fee as Printed]]/MasterFees[[#This Row],[Total Units]])</f>
        <v/>
      </c>
      <c r="T312" s="36"/>
      <c r="U312" s="39" t="s">
        <v>4587</v>
      </c>
      <c r="V312" s="39" t="s">
        <v>4759</v>
      </c>
      <c r="W312" s="30" t="s">
        <v>4757</v>
      </c>
      <c r="X312" s="77" t="s">
        <v>4819</v>
      </c>
      <c r="Y312" s="127" t="str">
        <f>_xlfn.XLOOKUP(MasterFees[[#This Row],[Provider / Payer]],Contracts[Contract Name],Contracts[Contract ID],"No contract")</f>
        <v>CON-06</v>
      </c>
      <c r="Z312" s="127" t="str">
        <f>_xlfn.XLOOKUP(MasterFees[[#This Row],[Provider / Payer]],Contracts[Contract Name],Contracts[Pricing Basis],"To confirm")</f>
        <v>Fixed fee schedule</v>
      </c>
      <c r="AA312" s="127" t="str">
        <f>IF(MasterFees[[#This Row],[Pricing Basis]]="Fixed fee schedule","Yes","No")</f>
        <v>Yes</v>
      </c>
      <c r="AB312" s="127" t="str">
        <f>IF(OR(MasterFees[[#This Row],[Fee Basis]]="Add-on",MasterFees[[#This Row],[Fee Basis]]="Time band",MasterFees[[#This Row],[Fee Basis]]="Other"),MasterFees[[#This Row],[Fee Basis]],"Base")</f>
        <v>Base</v>
      </c>
      <c r="AC312" s="141">
        <f>IF(MasterFees[[#This Row],[Fixed Fee?]]="Yes",MasterFees[[#This Row],[Fee Excl. GST]],"")</f>
        <v>900</v>
      </c>
    </row>
    <row r="313" spans="1:29" x14ac:dyDescent="0.2">
      <c r="A313" s="67" t="s">
        <v>2173</v>
      </c>
      <c r="B313" s="31">
        <f>IF(MasterFees[[#This Row],[RVG Code]]="","",_xlfn.XLOOKUP(MasterFees[[#This Row],[RVG Code]],RVGCodes[Code],RVGCodes[Base Units],"Code not found"))</f>
        <v>4</v>
      </c>
      <c r="C31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1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13" s="125" t="s">
        <v>2570</v>
      </c>
      <c r="F313" s="48" t="s">
        <v>2567</v>
      </c>
      <c r="G313" s="30" t="s">
        <v>4478</v>
      </c>
      <c r="H313" s="37" t="s">
        <v>4622</v>
      </c>
      <c r="I313" s="37" t="s">
        <v>4477</v>
      </c>
      <c r="J313" s="37" t="s">
        <v>1024</v>
      </c>
      <c r="K313" s="32"/>
      <c r="L313" s="32"/>
      <c r="M313" s="32"/>
      <c r="N313" s="32"/>
      <c r="O313" s="33">
        <v>600</v>
      </c>
      <c r="P313" s="38" t="s">
        <v>4398</v>
      </c>
      <c r="Q313" s="34">
        <f>IF(MasterFees[[#This Row],[GST Basis]]="Excl",MasterFees[[#This Row],[Fee as Printed]],IF(MasterFees[[#This Row],[GST Basis]]="Incl",MasterFees[[#This Row],[Fee as Printed]]/(1+GST_Rate),""))</f>
        <v>600</v>
      </c>
      <c r="R313" s="34">
        <f>IF(MasterFees[[#This Row],[GST Basis]]="Incl",MasterFees[[#This Row],[Fee as Printed]],IF(MasterFees[[#This Row],[GST Basis]]="Excl",MasterFees[[#This Row],[Fee as Printed]]*(1+GST_Rate),""))</f>
        <v>690</v>
      </c>
      <c r="S313" s="35" t="str">
        <f>IF(N(MasterFees[[#This Row],[Total Units]])=0,"",MasterFees[[#This Row],[Fee as Printed]]/MasterFees[[#This Row],[Total Units]])</f>
        <v/>
      </c>
      <c r="T313" s="36"/>
      <c r="U313" s="39" t="s">
        <v>4587</v>
      </c>
      <c r="V313" s="39" t="s">
        <v>4628</v>
      </c>
      <c r="W313" s="30" t="s">
        <v>4624</v>
      </c>
      <c r="X313" s="77" t="s">
        <v>4854</v>
      </c>
      <c r="Y313" s="127" t="str">
        <f>_xlfn.XLOOKUP(MasterFees[[#This Row],[Provider / Payer]],Contracts[Contract Name],Contracts[Contract ID],"No contract")</f>
        <v>CON-05</v>
      </c>
      <c r="Z313" s="127" t="str">
        <f>_xlfn.XLOOKUP(MasterFees[[#This Row],[Provider / Payer]],Contracts[Contract Name],Contracts[Pricing Basis],"To confirm")</f>
        <v>Fixed fee schedule</v>
      </c>
      <c r="AA313" s="127" t="str">
        <f>IF(MasterFees[[#This Row],[Pricing Basis]]="Fixed fee schedule","Yes","No")</f>
        <v>Yes</v>
      </c>
      <c r="AB313" s="127" t="str">
        <f>IF(OR(MasterFees[[#This Row],[Fee Basis]]="Add-on",MasterFees[[#This Row],[Fee Basis]]="Time band",MasterFees[[#This Row],[Fee Basis]]="Other"),MasterFees[[#This Row],[Fee Basis]],"Base")</f>
        <v>Base</v>
      </c>
      <c r="AC313" s="141">
        <f>IF(MasterFees[[#This Row],[Fixed Fee?]]="Yes",MasterFees[[#This Row],[Fee Excl. GST]],"")</f>
        <v>600</v>
      </c>
    </row>
    <row r="314" spans="1:29" x14ac:dyDescent="0.2">
      <c r="A314" s="67" t="s">
        <v>2173</v>
      </c>
      <c r="B314" s="31">
        <f>IF(MasterFees[[#This Row],[RVG Code]]="","",_xlfn.XLOOKUP(MasterFees[[#This Row],[RVG Code]],RVGCodes[Code],RVGCodes[Base Units],"Code not found"))</f>
        <v>4</v>
      </c>
      <c r="C31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1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14" s="125" t="s">
        <v>2570</v>
      </c>
      <c r="F314" s="48" t="s">
        <v>2567</v>
      </c>
      <c r="G314" s="30" t="s">
        <v>4478</v>
      </c>
      <c r="H314" s="37" t="s">
        <v>4625</v>
      </c>
      <c r="I314" s="37" t="s">
        <v>4477</v>
      </c>
      <c r="J314" s="37" t="s">
        <v>1024</v>
      </c>
      <c r="K314" s="32"/>
      <c r="L314" s="32"/>
      <c r="M314" s="32"/>
      <c r="N314" s="32"/>
      <c r="O314" s="33">
        <v>600</v>
      </c>
      <c r="P314" s="38" t="s">
        <v>4398</v>
      </c>
      <c r="Q314" s="34">
        <f>IF(MasterFees[[#This Row],[GST Basis]]="Excl",MasterFees[[#This Row],[Fee as Printed]],IF(MasterFees[[#This Row],[GST Basis]]="Incl",MasterFees[[#This Row],[Fee as Printed]]/(1+GST_Rate),""))</f>
        <v>600</v>
      </c>
      <c r="R314" s="34">
        <f>IF(MasterFees[[#This Row],[GST Basis]]="Incl",MasterFees[[#This Row],[Fee as Printed]],IF(MasterFees[[#This Row],[GST Basis]]="Excl",MasterFees[[#This Row],[Fee as Printed]]*(1+GST_Rate),""))</f>
        <v>690</v>
      </c>
      <c r="S314" s="35" t="str">
        <f>IF(N(MasterFees[[#This Row],[Total Units]])=0,"",MasterFees[[#This Row],[Fee as Printed]]/MasterFees[[#This Row],[Total Units]])</f>
        <v/>
      </c>
      <c r="T314" s="36"/>
      <c r="U314" s="39" t="s">
        <v>4587</v>
      </c>
      <c r="V314" s="39" t="s">
        <v>4629</v>
      </c>
      <c r="W314" s="30" t="s">
        <v>4627</v>
      </c>
      <c r="X314" s="77" t="s">
        <v>4854</v>
      </c>
      <c r="Y314" s="127" t="str">
        <f>_xlfn.XLOOKUP(MasterFees[[#This Row],[Provider / Payer]],Contracts[Contract Name],Contracts[Contract ID],"No contract")</f>
        <v>CON-06</v>
      </c>
      <c r="Z314" s="127" t="str">
        <f>_xlfn.XLOOKUP(MasterFees[[#This Row],[Provider / Payer]],Contracts[Contract Name],Contracts[Pricing Basis],"To confirm")</f>
        <v>Fixed fee schedule</v>
      </c>
      <c r="AA314" s="127" t="str">
        <f>IF(MasterFees[[#This Row],[Pricing Basis]]="Fixed fee schedule","Yes","No")</f>
        <v>Yes</v>
      </c>
      <c r="AB314" s="127" t="str">
        <f>IF(OR(MasterFees[[#This Row],[Fee Basis]]="Add-on",MasterFees[[#This Row],[Fee Basis]]="Time band",MasterFees[[#This Row],[Fee Basis]]="Other"),MasterFees[[#This Row],[Fee Basis]],"Base")</f>
        <v>Base</v>
      </c>
      <c r="AC314" s="141">
        <f>IF(MasterFees[[#This Row],[Fixed Fee?]]="Yes",MasterFees[[#This Row],[Fee Excl. GST]],"")</f>
        <v>600</v>
      </c>
    </row>
    <row r="315" spans="1:29" x14ac:dyDescent="0.2">
      <c r="A315" s="67" t="s">
        <v>2173</v>
      </c>
      <c r="B315" s="31">
        <f>IF(MasterFees[[#This Row],[RVG Code]]="","",_xlfn.XLOOKUP(MasterFees[[#This Row],[RVG Code]],RVGCodes[Code],RVGCodes[Base Units],"Code not found"))</f>
        <v>4</v>
      </c>
      <c r="C31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1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15" s="125" t="s">
        <v>2570</v>
      </c>
      <c r="F315" s="48" t="s">
        <v>2567</v>
      </c>
      <c r="G315" s="30" t="s">
        <v>4492</v>
      </c>
      <c r="H315" s="37" t="s">
        <v>4622</v>
      </c>
      <c r="I315" s="37" t="s">
        <v>4491</v>
      </c>
      <c r="J315" s="37" t="s">
        <v>1024</v>
      </c>
      <c r="K315" s="32"/>
      <c r="L315" s="32"/>
      <c r="M315" s="32"/>
      <c r="N315" s="32"/>
      <c r="O315" s="33">
        <v>700</v>
      </c>
      <c r="P315" s="38" t="s">
        <v>4398</v>
      </c>
      <c r="Q315" s="34">
        <f>IF(MasterFees[[#This Row],[GST Basis]]="Excl",MasterFees[[#This Row],[Fee as Printed]],IF(MasterFees[[#This Row],[GST Basis]]="Incl",MasterFees[[#This Row],[Fee as Printed]]/(1+GST_Rate),""))</f>
        <v>700</v>
      </c>
      <c r="R315" s="34">
        <f>IF(MasterFees[[#This Row],[GST Basis]]="Incl",MasterFees[[#This Row],[Fee as Printed]],IF(MasterFees[[#This Row],[GST Basis]]="Excl",MasterFees[[#This Row],[Fee as Printed]]*(1+GST_Rate),""))</f>
        <v>804.99999999999989</v>
      </c>
      <c r="S315" s="35" t="str">
        <f>IF(N(MasterFees[[#This Row],[Total Units]])=0,"",MasterFees[[#This Row],[Fee as Printed]]/MasterFees[[#This Row],[Total Units]])</f>
        <v/>
      </c>
      <c r="T315" s="36"/>
      <c r="U315" s="39" t="s">
        <v>4587</v>
      </c>
      <c r="V315" s="39" t="s">
        <v>4632</v>
      </c>
      <c r="W315" s="30" t="s">
        <v>4624</v>
      </c>
      <c r="X315" s="77" t="s">
        <v>4856</v>
      </c>
      <c r="Y315" s="127" t="str">
        <f>_xlfn.XLOOKUP(MasterFees[[#This Row],[Provider / Payer]],Contracts[Contract Name],Contracts[Contract ID],"No contract")</f>
        <v>CON-05</v>
      </c>
      <c r="Z315" s="127" t="str">
        <f>_xlfn.XLOOKUP(MasterFees[[#This Row],[Provider / Payer]],Contracts[Contract Name],Contracts[Pricing Basis],"To confirm")</f>
        <v>Fixed fee schedule</v>
      </c>
      <c r="AA315" s="127" t="str">
        <f>IF(MasterFees[[#This Row],[Pricing Basis]]="Fixed fee schedule","Yes","No")</f>
        <v>Yes</v>
      </c>
      <c r="AB315" s="127" t="str">
        <f>IF(OR(MasterFees[[#This Row],[Fee Basis]]="Add-on",MasterFees[[#This Row],[Fee Basis]]="Time band",MasterFees[[#This Row],[Fee Basis]]="Other"),MasterFees[[#This Row],[Fee Basis]],"Base")</f>
        <v>Base</v>
      </c>
      <c r="AC315" s="141">
        <f>IF(MasterFees[[#This Row],[Fixed Fee?]]="Yes",MasterFees[[#This Row],[Fee Excl. GST]],"")</f>
        <v>700</v>
      </c>
    </row>
    <row r="316" spans="1:29" x14ac:dyDescent="0.2">
      <c r="A316" s="67" t="s">
        <v>2173</v>
      </c>
      <c r="B316" s="31">
        <f>IF(MasterFees[[#This Row],[RVG Code]]="","",_xlfn.XLOOKUP(MasterFees[[#This Row],[RVG Code]],RVGCodes[Code],RVGCodes[Base Units],"Code not found"))</f>
        <v>4</v>
      </c>
      <c r="C31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1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16" s="125" t="s">
        <v>2570</v>
      </c>
      <c r="F316" s="48" t="s">
        <v>2567</v>
      </c>
      <c r="G316" s="30" t="s">
        <v>4492</v>
      </c>
      <c r="H316" s="37" t="s">
        <v>4625</v>
      </c>
      <c r="I316" s="37" t="s">
        <v>4491</v>
      </c>
      <c r="J316" s="37" t="s">
        <v>1024</v>
      </c>
      <c r="K316" s="32"/>
      <c r="L316" s="32"/>
      <c r="M316" s="32"/>
      <c r="N316" s="32"/>
      <c r="O316" s="33">
        <v>700</v>
      </c>
      <c r="P316" s="38" t="s">
        <v>4398</v>
      </c>
      <c r="Q316" s="34">
        <f>IF(MasterFees[[#This Row],[GST Basis]]="Excl",MasterFees[[#This Row],[Fee as Printed]],IF(MasterFees[[#This Row],[GST Basis]]="Incl",MasterFees[[#This Row],[Fee as Printed]]/(1+GST_Rate),""))</f>
        <v>700</v>
      </c>
      <c r="R316" s="34">
        <f>IF(MasterFees[[#This Row],[GST Basis]]="Incl",MasterFees[[#This Row],[Fee as Printed]],IF(MasterFees[[#This Row],[GST Basis]]="Excl",MasterFees[[#This Row],[Fee as Printed]]*(1+GST_Rate),""))</f>
        <v>804.99999999999989</v>
      </c>
      <c r="S316" s="35" t="str">
        <f>IF(N(MasterFees[[#This Row],[Total Units]])=0,"",MasterFees[[#This Row],[Fee as Printed]]/MasterFees[[#This Row],[Total Units]])</f>
        <v/>
      </c>
      <c r="T316" s="36"/>
      <c r="U316" s="39" t="s">
        <v>4587</v>
      </c>
      <c r="V316" s="39" t="s">
        <v>4633</v>
      </c>
      <c r="W316" s="30" t="s">
        <v>4627</v>
      </c>
      <c r="X316" s="77" t="s">
        <v>4856</v>
      </c>
      <c r="Y316" s="127" t="str">
        <f>_xlfn.XLOOKUP(MasterFees[[#This Row],[Provider / Payer]],Contracts[Contract Name],Contracts[Contract ID],"No contract")</f>
        <v>CON-06</v>
      </c>
      <c r="Z316" s="127" t="str">
        <f>_xlfn.XLOOKUP(MasterFees[[#This Row],[Provider / Payer]],Contracts[Contract Name],Contracts[Pricing Basis],"To confirm")</f>
        <v>Fixed fee schedule</v>
      </c>
      <c r="AA316" s="127" t="str">
        <f>IF(MasterFees[[#This Row],[Pricing Basis]]="Fixed fee schedule","Yes","No")</f>
        <v>Yes</v>
      </c>
      <c r="AB316" s="127" t="str">
        <f>IF(OR(MasterFees[[#This Row],[Fee Basis]]="Add-on",MasterFees[[#This Row],[Fee Basis]]="Time band",MasterFees[[#This Row],[Fee Basis]]="Other"),MasterFees[[#This Row],[Fee Basis]],"Base")</f>
        <v>Base</v>
      </c>
      <c r="AC316" s="141">
        <f>IF(MasterFees[[#This Row],[Fixed Fee?]]="Yes",MasterFees[[#This Row],[Fee Excl. GST]],"")</f>
        <v>700</v>
      </c>
    </row>
    <row r="317" spans="1:29" x14ac:dyDescent="0.2">
      <c r="A317" s="67" t="s">
        <v>2173</v>
      </c>
      <c r="B317" s="31">
        <f>IF(MasterFees[[#This Row],[RVG Code]]="","",_xlfn.XLOOKUP(MasterFees[[#This Row],[RVG Code]],RVGCodes[Code],RVGCodes[Base Units],"Code not found"))</f>
        <v>4</v>
      </c>
      <c r="C31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1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17" s="125" t="s">
        <v>2570</v>
      </c>
      <c r="F317" s="48" t="s">
        <v>2567</v>
      </c>
      <c r="G317" s="30" t="s">
        <v>4494</v>
      </c>
      <c r="H317" s="37" t="s">
        <v>4622</v>
      </c>
      <c r="I317" s="37" t="s">
        <v>4493</v>
      </c>
      <c r="J317" s="37" t="s">
        <v>1024</v>
      </c>
      <c r="K317" s="32"/>
      <c r="L317" s="32"/>
      <c r="M317" s="32"/>
      <c r="N317" s="32"/>
      <c r="O317" s="33">
        <v>800</v>
      </c>
      <c r="P317" s="38" t="s">
        <v>4398</v>
      </c>
      <c r="Q317" s="34">
        <f>IF(MasterFees[[#This Row],[GST Basis]]="Excl",MasterFees[[#This Row],[Fee as Printed]],IF(MasterFees[[#This Row],[GST Basis]]="Incl",MasterFees[[#This Row],[Fee as Printed]]/(1+GST_Rate),""))</f>
        <v>800</v>
      </c>
      <c r="R317" s="34">
        <f>IF(MasterFees[[#This Row],[GST Basis]]="Incl",MasterFees[[#This Row],[Fee as Printed]],IF(MasterFees[[#This Row],[GST Basis]]="Excl",MasterFees[[#This Row],[Fee as Printed]]*(1+GST_Rate),""))</f>
        <v>919.99999999999989</v>
      </c>
      <c r="S317" s="35" t="str">
        <f>IF(N(MasterFees[[#This Row],[Total Units]])=0,"",MasterFees[[#This Row],[Fee as Printed]]/MasterFees[[#This Row],[Total Units]])</f>
        <v/>
      </c>
      <c r="T317" s="36"/>
      <c r="U317" s="39" t="s">
        <v>4587</v>
      </c>
      <c r="V317" s="39" t="s">
        <v>4634</v>
      </c>
      <c r="W317" s="30" t="s">
        <v>4624</v>
      </c>
      <c r="X317" s="77" t="s">
        <v>4857</v>
      </c>
      <c r="Y317" s="127" t="str">
        <f>_xlfn.XLOOKUP(MasterFees[[#This Row],[Provider / Payer]],Contracts[Contract Name],Contracts[Contract ID],"No contract")</f>
        <v>CON-05</v>
      </c>
      <c r="Z317" s="127" t="str">
        <f>_xlfn.XLOOKUP(MasterFees[[#This Row],[Provider / Payer]],Contracts[Contract Name],Contracts[Pricing Basis],"To confirm")</f>
        <v>Fixed fee schedule</v>
      </c>
      <c r="AA317" s="127" t="str">
        <f>IF(MasterFees[[#This Row],[Pricing Basis]]="Fixed fee schedule","Yes","No")</f>
        <v>Yes</v>
      </c>
      <c r="AB317" s="127" t="str">
        <f>IF(OR(MasterFees[[#This Row],[Fee Basis]]="Add-on",MasterFees[[#This Row],[Fee Basis]]="Time band",MasterFees[[#This Row],[Fee Basis]]="Other"),MasterFees[[#This Row],[Fee Basis]],"Base")</f>
        <v>Base</v>
      </c>
      <c r="AC317" s="141">
        <f>IF(MasterFees[[#This Row],[Fixed Fee?]]="Yes",MasterFees[[#This Row],[Fee Excl. GST]],"")</f>
        <v>800</v>
      </c>
    </row>
    <row r="318" spans="1:29" x14ac:dyDescent="0.2">
      <c r="A318" s="67" t="s">
        <v>2173</v>
      </c>
      <c r="B318" s="31">
        <f>IF(MasterFees[[#This Row],[RVG Code]]="","",_xlfn.XLOOKUP(MasterFees[[#This Row],[RVG Code]],RVGCodes[Code],RVGCodes[Base Units],"Code not found"))</f>
        <v>4</v>
      </c>
      <c r="C31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1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18" s="125" t="s">
        <v>2570</v>
      </c>
      <c r="F318" s="48" t="s">
        <v>2567</v>
      </c>
      <c r="G318" s="30" t="s">
        <v>4494</v>
      </c>
      <c r="H318" s="37" t="s">
        <v>4625</v>
      </c>
      <c r="I318" s="37" t="s">
        <v>4493</v>
      </c>
      <c r="J318" s="37" t="s">
        <v>1024</v>
      </c>
      <c r="K318" s="32"/>
      <c r="L318" s="32"/>
      <c r="M318" s="32"/>
      <c r="N318" s="32"/>
      <c r="O318" s="33">
        <v>800</v>
      </c>
      <c r="P318" s="38" t="s">
        <v>4398</v>
      </c>
      <c r="Q318" s="34">
        <f>IF(MasterFees[[#This Row],[GST Basis]]="Excl",MasterFees[[#This Row],[Fee as Printed]],IF(MasterFees[[#This Row],[GST Basis]]="Incl",MasterFees[[#This Row],[Fee as Printed]]/(1+GST_Rate),""))</f>
        <v>800</v>
      </c>
      <c r="R318" s="34">
        <f>IF(MasterFees[[#This Row],[GST Basis]]="Incl",MasterFees[[#This Row],[Fee as Printed]],IF(MasterFees[[#This Row],[GST Basis]]="Excl",MasterFees[[#This Row],[Fee as Printed]]*(1+GST_Rate),""))</f>
        <v>919.99999999999989</v>
      </c>
      <c r="S318" s="35" t="str">
        <f>IF(N(MasterFees[[#This Row],[Total Units]])=0,"",MasterFees[[#This Row],[Fee as Printed]]/MasterFees[[#This Row],[Total Units]])</f>
        <v/>
      </c>
      <c r="T318" s="36"/>
      <c r="U318" s="39" t="s">
        <v>4587</v>
      </c>
      <c r="V318" s="39" t="s">
        <v>4635</v>
      </c>
      <c r="W318" s="30" t="s">
        <v>4627</v>
      </c>
      <c r="X318" s="77" t="s">
        <v>4857</v>
      </c>
      <c r="Y318" s="127" t="str">
        <f>_xlfn.XLOOKUP(MasterFees[[#This Row],[Provider / Payer]],Contracts[Contract Name],Contracts[Contract ID],"No contract")</f>
        <v>CON-06</v>
      </c>
      <c r="Z318" s="127" t="str">
        <f>_xlfn.XLOOKUP(MasterFees[[#This Row],[Provider / Payer]],Contracts[Contract Name],Contracts[Pricing Basis],"To confirm")</f>
        <v>Fixed fee schedule</v>
      </c>
      <c r="AA318" s="127" t="str">
        <f>IF(MasterFees[[#This Row],[Pricing Basis]]="Fixed fee schedule","Yes","No")</f>
        <v>Yes</v>
      </c>
      <c r="AB318" s="127" t="str">
        <f>IF(OR(MasterFees[[#This Row],[Fee Basis]]="Add-on",MasterFees[[#This Row],[Fee Basis]]="Time band",MasterFees[[#This Row],[Fee Basis]]="Other"),MasterFees[[#This Row],[Fee Basis]],"Base")</f>
        <v>Base</v>
      </c>
      <c r="AC318" s="141">
        <f>IF(MasterFees[[#This Row],[Fixed Fee?]]="Yes",MasterFees[[#This Row],[Fee Excl. GST]],"")</f>
        <v>800</v>
      </c>
    </row>
    <row r="319" spans="1:29" x14ac:dyDescent="0.2">
      <c r="A319" s="67" t="s">
        <v>2173</v>
      </c>
      <c r="B319" s="31">
        <f>IF(MasterFees[[#This Row],[RVG Code]]="","",_xlfn.XLOOKUP(MasterFees[[#This Row],[RVG Code]],RVGCodes[Code],RVGCodes[Base Units],"Code not found"))</f>
        <v>4</v>
      </c>
      <c r="C31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1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19" s="125" t="s">
        <v>2570</v>
      </c>
      <c r="F319" s="48" t="s">
        <v>2567</v>
      </c>
      <c r="G319" s="30" t="s">
        <v>247</v>
      </c>
      <c r="H319" s="37" t="s">
        <v>1095</v>
      </c>
      <c r="I319" s="37"/>
      <c r="J319" s="37" t="s">
        <v>1096</v>
      </c>
      <c r="K319" s="32">
        <v>0.8</v>
      </c>
      <c r="L319" s="32">
        <v>0.4</v>
      </c>
      <c r="M319" s="32">
        <v>0.3</v>
      </c>
      <c r="N319" s="32">
        <v>1.5</v>
      </c>
      <c r="O319" s="33">
        <v>81.95</v>
      </c>
      <c r="P319" s="38" t="s">
        <v>1014</v>
      </c>
      <c r="Q319" s="34" t="str">
        <f>IF(MasterFees[[#This Row],[GST Basis]]="Excl",MasterFees[[#This Row],[Fee as Printed]],IF(MasterFees[[#This Row],[GST Basis]]="Incl",MasterFees[[#This Row],[Fee as Printed]]/(1+GST_Rate),""))</f>
        <v/>
      </c>
      <c r="R319" s="34" t="str">
        <f>IF(MasterFees[[#This Row],[GST Basis]]="Incl",MasterFees[[#This Row],[Fee as Printed]],IF(MasterFees[[#This Row],[GST Basis]]="Excl",MasterFees[[#This Row],[Fee as Printed]]*(1+GST_Rate),""))</f>
        <v/>
      </c>
      <c r="S319" s="35">
        <f>IF(N(MasterFees[[#This Row],[Total Units]])=0,"",MasterFees[[#This Row],[Fee as Printed]]/MasterFees[[#This Row],[Total Units]])</f>
        <v>54.633333333333333</v>
      </c>
      <c r="T319" s="36"/>
      <c r="U319" s="39" t="s">
        <v>1012</v>
      </c>
      <c r="V319" s="39" t="s">
        <v>1341</v>
      </c>
      <c r="W319" s="30"/>
      <c r="X319" s="73" t="s">
        <v>3131</v>
      </c>
      <c r="Y319" s="127" t="str">
        <f>_xlfn.XLOOKUP(MasterFees[[#This Row],[Provider / Payer]],Contracts[Contract Name],Contracts[Contract ID],"No contract")</f>
        <v>CON-01</v>
      </c>
      <c r="Z319" s="127" t="str">
        <f>_xlfn.XLOOKUP(MasterFees[[#This Row],[Provider / Payer]],Contracts[Contract Name],Contracts[Pricing Basis],"To confirm")</f>
        <v>To confirm</v>
      </c>
      <c r="AA319" s="127" t="str">
        <f>IF(MasterFees[[#This Row],[Pricing Basis]]="Fixed fee schedule","Yes","No")</f>
        <v>No</v>
      </c>
      <c r="AB319" s="127" t="str">
        <f>IF(OR(MasterFees[[#This Row],[Fee Basis]]="Add-on",MasterFees[[#This Row],[Fee Basis]]="Time band",MasterFees[[#This Row],[Fee Basis]]="Other"),MasterFees[[#This Row],[Fee Basis]],"Base")</f>
        <v>Base</v>
      </c>
      <c r="AC319" s="141" t="str">
        <f>IF(MasterFees[[#This Row],[Fixed Fee?]]="Yes",MasterFees[[#This Row],[Fee Excl. GST]],"")</f>
        <v/>
      </c>
    </row>
    <row r="320" spans="1:29" x14ac:dyDescent="0.2">
      <c r="A320" s="67" t="s">
        <v>2173</v>
      </c>
      <c r="B320" s="31">
        <f>IF(MasterFees[[#This Row],[RVG Code]]="","",_xlfn.XLOOKUP(MasterFees[[#This Row],[RVG Code]],RVGCodes[Code],RVGCodes[Base Units],"Code not found"))</f>
        <v>4</v>
      </c>
      <c r="C32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2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20" s="125" t="s">
        <v>2570</v>
      </c>
      <c r="F320" s="48" t="s">
        <v>2567</v>
      </c>
      <c r="G320" s="30" t="s">
        <v>4608</v>
      </c>
      <c r="H320" s="37" t="s">
        <v>4622</v>
      </c>
      <c r="I320" s="37" t="s">
        <v>4483</v>
      </c>
      <c r="J320" s="37" t="s">
        <v>1024</v>
      </c>
      <c r="K320" s="32"/>
      <c r="L320" s="32"/>
      <c r="M320" s="32"/>
      <c r="N320" s="32"/>
      <c r="O320" s="33">
        <v>950</v>
      </c>
      <c r="P320" s="38" t="s">
        <v>4398</v>
      </c>
      <c r="Q320" s="34">
        <f>IF(MasterFees[[#This Row],[GST Basis]]="Excl",MasterFees[[#This Row],[Fee as Printed]],IF(MasterFees[[#This Row],[GST Basis]]="Incl",MasterFees[[#This Row],[Fee as Printed]]/(1+GST_Rate),""))</f>
        <v>950</v>
      </c>
      <c r="R320" s="34">
        <f>IF(MasterFees[[#This Row],[GST Basis]]="Incl",MasterFees[[#This Row],[Fee as Printed]],IF(MasterFees[[#This Row],[GST Basis]]="Excl",MasterFees[[#This Row],[Fee as Printed]]*(1+GST_Rate),""))</f>
        <v>1092.5</v>
      </c>
      <c r="S320" s="35" t="str">
        <f>IF(N(MasterFees[[#This Row],[Total Units]])=0,"",MasterFees[[#This Row],[Fee as Printed]]/MasterFees[[#This Row],[Total Units]])</f>
        <v/>
      </c>
      <c r="T320" s="36"/>
      <c r="U320" s="39" t="s">
        <v>4587</v>
      </c>
      <c r="V320" s="39" t="s">
        <v>4760</v>
      </c>
      <c r="W320" s="30" t="s">
        <v>4761</v>
      </c>
      <c r="X320" s="77" t="s">
        <v>4820</v>
      </c>
      <c r="Y320" s="127" t="str">
        <f>_xlfn.XLOOKUP(MasterFees[[#This Row],[Provider / Payer]],Contracts[Contract Name],Contracts[Contract ID],"No contract")</f>
        <v>CON-05</v>
      </c>
      <c r="Z320" s="127" t="str">
        <f>_xlfn.XLOOKUP(MasterFees[[#This Row],[Provider / Payer]],Contracts[Contract Name],Contracts[Pricing Basis],"To confirm")</f>
        <v>Fixed fee schedule</v>
      </c>
      <c r="AA320" s="127" t="str">
        <f>IF(MasterFees[[#This Row],[Pricing Basis]]="Fixed fee schedule","Yes","No")</f>
        <v>Yes</v>
      </c>
      <c r="AB320" s="127" t="str">
        <f>IF(OR(MasterFees[[#This Row],[Fee Basis]]="Add-on",MasterFees[[#This Row],[Fee Basis]]="Time band",MasterFees[[#This Row],[Fee Basis]]="Other"),MasterFees[[#This Row],[Fee Basis]],"Base")</f>
        <v>Base</v>
      </c>
      <c r="AC320" s="141">
        <f>IF(MasterFees[[#This Row],[Fixed Fee?]]="Yes",MasterFees[[#This Row],[Fee Excl. GST]],"")</f>
        <v>950</v>
      </c>
    </row>
    <row r="321" spans="1:29" x14ac:dyDescent="0.2">
      <c r="A321" s="67" t="s">
        <v>2173</v>
      </c>
      <c r="B321" s="31">
        <f>IF(MasterFees[[#This Row],[RVG Code]]="","",_xlfn.XLOOKUP(MasterFees[[#This Row],[RVG Code]],RVGCodes[Code],RVGCodes[Base Units],"Code not found"))</f>
        <v>4</v>
      </c>
      <c r="C32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2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21" s="125" t="s">
        <v>2570</v>
      </c>
      <c r="F321" s="48" t="s">
        <v>2567</v>
      </c>
      <c r="G321" s="30" t="s">
        <v>4608</v>
      </c>
      <c r="H321" s="37" t="s">
        <v>4625</v>
      </c>
      <c r="I321" s="37" t="s">
        <v>4483</v>
      </c>
      <c r="J321" s="37" t="s">
        <v>1024</v>
      </c>
      <c r="K321" s="32"/>
      <c r="L321" s="32"/>
      <c r="M321" s="32"/>
      <c r="N321" s="32"/>
      <c r="O321" s="33">
        <v>1000</v>
      </c>
      <c r="P321" s="38" t="s">
        <v>4398</v>
      </c>
      <c r="Q321" s="34">
        <f>IF(MasterFees[[#This Row],[GST Basis]]="Excl",MasterFees[[#This Row],[Fee as Printed]],IF(MasterFees[[#This Row],[GST Basis]]="Incl",MasterFees[[#This Row],[Fee as Printed]]/(1+GST_Rate),""))</f>
        <v>1000</v>
      </c>
      <c r="R321" s="34">
        <f>IF(MasterFees[[#This Row],[GST Basis]]="Incl",MasterFees[[#This Row],[Fee as Printed]],IF(MasterFees[[#This Row],[GST Basis]]="Excl",MasterFees[[#This Row],[Fee as Printed]]*(1+GST_Rate),""))</f>
        <v>1150</v>
      </c>
      <c r="S321" s="35" t="str">
        <f>IF(N(MasterFees[[#This Row],[Total Units]])=0,"",MasterFees[[#This Row],[Fee as Printed]]/MasterFees[[#This Row],[Total Units]])</f>
        <v/>
      </c>
      <c r="T321" s="36"/>
      <c r="U321" s="39" t="s">
        <v>4587</v>
      </c>
      <c r="V321" s="39" t="s">
        <v>4762</v>
      </c>
      <c r="W321" s="30" t="s">
        <v>4763</v>
      </c>
      <c r="X321" s="77" t="s">
        <v>4820</v>
      </c>
      <c r="Y321" s="127" t="str">
        <f>_xlfn.XLOOKUP(MasterFees[[#This Row],[Provider / Payer]],Contracts[Contract Name],Contracts[Contract ID],"No contract")</f>
        <v>CON-06</v>
      </c>
      <c r="Z321" s="127" t="str">
        <f>_xlfn.XLOOKUP(MasterFees[[#This Row],[Provider / Payer]],Contracts[Contract Name],Contracts[Pricing Basis],"To confirm")</f>
        <v>Fixed fee schedule</v>
      </c>
      <c r="AA321" s="127" t="str">
        <f>IF(MasterFees[[#This Row],[Pricing Basis]]="Fixed fee schedule","Yes","No")</f>
        <v>Yes</v>
      </c>
      <c r="AB321" s="127" t="str">
        <f>IF(OR(MasterFees[[#This Row],[Fee Basis]]="Add-on",MasterFees[[#This Row],[Fee Basis]]="Time band",MasterFees[[#This Row],[Fee Basis]]="Other"),MasterFees[[#This Row],[Fee Basis]],"Base")</f>
        <v>Base</v>
      </c>
      <c r="AC321" s="141">
        <f>IF(MasterFees[[#This Row],[Fixed Fee?]]="Yes",MasterFees[[#This Row],[Fee Excl. GST]],"")</f>
        <v>1000</v>
      </c>
    </row>
    <row r="322" spans="1:29" x14ac:dyDescent="0.2">
      <c r="A322" s="67" t="s">
        <v>2173</v>
      </c>
      <c r="B322" s="31">
        <f>IF(MasterFees[[#This Row],[RVG Code]]="","",_xlfn.XLOOKUP(MasterFees[[#This Row],[RVG Code]],RVGCodes[Code],RVGCodes[Base Units],"Code not found"))</f>
        <v>4</v>
      </c>
      <c r="C32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2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22" s="125" t="s">
        <v>2570</v>
      </c>
      <c r="F322" s="48" t="s">
        <v>2567</v>
      </c>
      <c r="G322" s="30" t="s">
        <v>4480</v>
      </c>
      <c r="H322" s="37" t="s">
        <v>4622</v>
      </c>
      <c r="I322" s="37" t="s">
        <v>4479</v>
      </c>
      <c r="J322" s="37" t="s">
        <v>1024</v>
      </c>
      <c r="K322" s="32"/>
      <c r="L322" s="32"/>
      <c r="M322" s="32"/>
      <c r="N322" s="32"/>
      <c r="O322" s="33">
        <v>700</v>
      </c>
      <c r="P322" s="38" t="s">
        <v>4398</v>
      </c>
      <c r="Q322" s="34">
        <f>IF(MasterFees[[#This Row],[GST Basis]]="Excl",MasterFees[[#This Row],[Fee as Printed]],IF(MasterFees[[#This Row],[GST Basis]]="Incl",MasterFees[[#This Row],[Fee as Printed]]/(1+GST_Rate),""))</f>
        <v>700</v>
      </c>
      <c r="R322" s="34">
        <f>IF(MasterFees[[#This Row],[GST Basis]]="Incl",MasterFees[[#This Row],[Fee as Printed]],IF(MasterFees[[#This Row],[GST Basis]]="Excl",MasterFees[[#This Row],[Fee as Printed]]*(1+GST_Rate),""))</f>
        <v>804.99999999999989</v>
      </c>
      <c r="S322" s="35" t="str">
        <f>IF(N(MasterFees[[#This Row],[Total Units]])=0,"",MasterFees[[#This Row],[Fee as Printed]]/MasterFees[[#This Row],[Total Units]])</f>
        <v/>
      </c>
      <c r="T322" s="36"/>
      <c r="U322" s="39" t="s">
        <v>4587</v>
      </c>
      <c r="V322" s="39" t="s">
        <v>4722</v>
      </c>
      <c r="W322" s="30" t="s">
        <v>4723</v>
      </c>
      <c r="X322" s="77" t="s">
        <v>4831</v>
      </c>
      <c r="Y322" s="127" t="str">
        <f>_xlfn.XLOOKUP(MasterFees[[#This Row],[Provider / Payer]],Contracts[Contract Name],Contracts[Contract ID],"No contract")</f>
        <v>CON-05</v>
      </c>
      <c r="Z322" s="127" t="str">
        <f>_xlfn.XLOOKUP(MasterFees[[#This Row],[Provider / Payer]],Contracts[Contract Name],Contracts[Pricing Basis],"To confirm")</f>
        <v>Fixed fee schedule</v>
      </c>
      <c r="AA322" s="127" t="str">
        <f>IF(MasterFees[[#This Row],[Pricing Basis]]="Fixed fee schedule","Yes","No")</f>
        <v>Yes</v>
      </c>
      <c r="AB322" s="127" t="str">
        <f>IF(OR(MasterFees[[#This Row],[Fee Basis]]="Add-on",MasterFees[[#This Row],[Fee Basis]]="Time band",MasterFees[[#This Row],[Fee Basis]]="Other"),MasterFees[[#This Row],[Fee Basis]],"Base")</f>
        <v>Base</v>
      </c>
      <c r="AC322" s="141">
        <f>IF(MasterFees[[#This Row],[Fixed Fee?]]="Yes",MasterFees[[#This Row],[Fee Excl. GST]],"")</f>
        <v>700</v>
      </c>
    </row>
    <row r="323" spans="1:29" x14ac:dyDescent="0.2">
      <c r="A323" s="67" t="s">
        <v>2173</v>
      </c>
      <c r="B323" s="31">
        <f>IF(MasterFees[[#This Row],[RVG Code]]="","",_xlfn.XLOOKUP(MasterFees[[#This Row],[RVG Code]],RVGCodes[Code],RVGCodes[Base Units],"Code not found"))</f>
        <v>4</v>
      </c>
      <c r="C32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2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23" s="125" t="s">
        <v>2570</v>
      </c>
      <c r="F323" s="48" t="s">
        <v>2567</v>
      </c>
      <c r="G323" s="30" t="s">
        <v>4480</v>
      </c>
      <c r="H323" s="37" t="s">
        <v>4625</v>
      </c>
      <c r="I323" s="37" t="s">
        <v>4479</v>
      </c>
      <c r="J323" s="37" t="s">
        <v>1024</v>
      </c>
      <c r="K323" s="32"/>
      <c r="L323" s="32"/>
      <c r="M323" s="32"/>
      <c r="N323" s="32"/>
      <c r="O323" s="33">
        <v>700</v>
      </c>
      <c r="P323" s="38" t="s">
        <v>4398</v>
      </c>
      <c r="Q323" s="34">
        <f>IF(MasterFees[[#This Row],[GST Basis]]="Excl",MasterFees[[#This Row],[Fee as Printed]],IF(MasterFees[[#This Row],[GST Basis]]="Incl",MasterFees[[#This Row],[Fee as Printed]]/(1+GST_Rate),""))</f>
        <v>700</v>
      </c>
      <c r="R323" s="34">
        <f>IF(MasterFees[[#This Row],[GST Basis]]="Incl",MasterFees[[#This Row],[Fee as Printed]],IF(MasterFees[[#This Row],[GST Basis]]="Excl",MasterFees[[#This Row],[Fee as Printed]]*(1+GST_Rate),""))</f>
        <v>804.99999999999989</v>
      </c>
      <c r="S323" s="35" t="str">
        <f>IF(N(MasterFees[[#This Row],[Total Units]])=0,"",MasterFees[[#This Row],[Fee as Printed]]/MasterFees[[#This Row],[Total Units]])</f>
        <v/>
      </c>
      <c r="T323" s="36"/>
      <c r="U323" s="39" t="s">
        <v>4587</v>
      </c>
      <c r="V323" s="39" t="s">
        <v>4724</v>
      </c>
      <c r="W323" s="30" t="s">
        <v>4725</v>
      </c>
      <c r="X323" s="77" t="s">
        <v>4831</v>
      </c>
      <c r="Y323" s="127" t="str">
        <f>_xlfn.XLOOKUP(MasterFees[[#This Row],[Provider / Payer]],Contracts[Contract Name],Contracts[Contract ID],"No contract")</f>
        <v>CON-06</v>
      </c>
      <c r="Z323" s="127" t="str">
        <f>_xlfn.XLOOKUP(MasterFees[[#This Row],[Provider / Payer]],Contracts[Contract Name],Contracts[Pricing Basis],"To confirm")</f>
        <v>Fixed fee schedule</v>
      </c>
      <c r="AA323" s="127" t="str">
        <f>IF(MasterFees[[#This Row],[Pricing Basis]]="Fixed fee schedule","Yes","No")</f>
        <v>Yes</v>
      </c>
      <c r="AB323" s="127" t="str">
        <f>IF(OR(MasterFees[[#This Row],[Fee Basis]]="Add-on",MasterFees[[#This Row],[Fee Basis]]="Time band",MasterFees[[#This Row],[Fee Basis]]="Other"),MasterFees[[#This Row],[Fee Basis]],"Base")</f>
        <v>Base</v>
      </c>
      <c r="AC323" s="141">
        <f>IF(MasterFees[[#This Row],[Fixed Fee?]]="Yes",MasterFees[[#This Row],[Fee Excl. GST]],"")</f>
        <v>700</v>
      </c>
    </row>
    <row r="324" spans="1:29" x14ac:dyDescent="0.2">
      <c r="A324" s="67" t="s">
        <v>2173</v>
      </c>
      <c r="B324" s="31">
        <f>IF(MasterFees[[#This Row],[RVG Code]]="","",_xlfn.XLOOKUP(MasterFees[[#This Row],[RVG Code]],RVGCodes[Code],RVGCodes[Base Units],"Code not found"))</f>
        <v>4</v>
      </c>
      <c r="C32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2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24" s="125" t="s">
        <v>2570</v>
      </c>
      <c r="F324" s="48" t="s">
        <v>2567</v>
      </c>
      <c r="G324" s="30" t="s">
        <v>4532</v>
      </c>
      <c r="H324" s="37" t="s">
        <v>4622</v>
      </c>
      <c r="I324" s="37" t="s">
        <v>4531</v>
      </c>
      <c r="J324" s="37" t="s">
        <v>1024</v>
      </c>
      <c r="K324" s="32"/>
      <c r="L324" s="32"/>
      <c r="M324" s="32"/>
      <c r="N324" s="32"/>
      <c r="O324" s="33">
        <v>950</v>
      </c>
      <c r="P324" s="38" t="s">
        <v>4398</v>
      </c>
      <c r="Q324" s="34">
        <f>IF(MasterFees[[#This Row],[GST Basis]]="Excl",MasterFees[[#This Row],[Fee as Printed]],IF(MasterFees[[#This Row],[GST Basis]]="Incl",MasterFees[[#This Row],[Fee as Printed]]/(1+GST_Rate),""))</f>
        <v>950</v>
      </c>
      <c r="R324" s="34">
        <f>IF(MasterFees[[#This Row],[GST Basis]]="Incl",MasterFees[[#This Row],[Fee as Printed]],IF(MasterFees[[#This Row],[GST Basis]]="Excl",MasterFees[[#This Row],[Fee as Printed]]*(1+GST_Rate),""))</f>
        <v>1092.5</v>
      </c>
      <c r="S324" s="35" t="str">
        <f>IF(N(MasterFees[[#This Row],[Total Units]])=0,"",MasterFees[[#This Row],[Fee as Printed]]/MasterFees[[#This Row],[Total Units]])</f>
        <v/>
      </c>
      <c r="T324" s="36"/>
      <c r="U324" s="39" t="s">
        <v>4587</v>
      </c>
      <c r="V324" s="39" t="s">
        <v>4638</v>
      </c>
      <c r="W324" s="30" t="s">
        <v>4639</v>
      </c>
      <c r="X324" s="77" t="s">
        <v>4859</v>
      </c>
      <c r="Y324" s="127" t="str">
        <f>_xlfn.XLOOKUP(MasterFees[[#This Row],[Provider / Payer]],Contracts[Contract Name],Contracts[Contract ID],"No contract")</f>
        <v>CON-05</v>
      </c>
      <c r="Z324" s="127" t="str">
        <f>_xlfn.XLOOKUP(MasterFees[[#This Row],[Provider / Payer]],Contracts[Contract Name],Contracts[Pricing Basis],"To confirm")</f>
        <v>Fixed fee schedule</v>
      </c>
      <c r="AA324" s="127" t="str">
        <f>IF(MasterFees[[#This Row],[Pricing Basis]]="Fixed fee schedule","Yes","No")</f>
        <v>Yes</v>
      </c>
      <c r="AB324" s="127" t="str">
        <f>IF(OR(MasterFees[[#This Row],[Fee Basis]]="Add-on",MasterFees[[#This Row],[Fee Basis]]="Time band",MasterFees[[#This Row],[Fee Basis]]="Other"),MasterFees[[#This Row],[Fee Basis]],"Base")</f>
        <v>Base</v>
      </c>
      <c r="AC324" s="141">
        <f>IF(MasterFees[[#This Row],[Fixed Fee?]]="Yes",MasterFees[[#This Row],[Fee Excl. GST]],"")</f>
        <v>950</v>
      </c>
    </row>
    <row r="325" spans="1:29" x14ac:dyDescent="0.2">
      <c r="A325" s="67" t="s">
        <v>2173</v>
      </c>
      <c r="B325" s="31">
        <f>IF(MasterFees[[#This Row],[RVG Code]]="","",_xlfn.XLOOKUP(MasterFees[[#This Row],[RVG Code]],RVGCodes[Code],RVGCodes[Base Units],"Code not found"))</f>
        <v>4</v>
      </c>
      <c r="C32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2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25" s="125" t="s">
        <v>2570</v>
      </c>
      <c r="F325" s="48" t="s">
        <v>2567</v>
      </c>
      <c r="G325" s="30" t="s">
        <v>4532</v>
      </c>
      <c r="H325" s="37" t="s">
        <v>4625</v>
      </c>
      <c r="I325" s="37" t="s">
        <v>4531</v>
      </c>
      <c r="J325" s="37" t="s">
        <v>1024</v>
      </c>
      <c r="K325" s="32"/>
      <c r="L325" s="32"/>
      <c r="M325" s="32"/>
      <c r="N325" s="32"/>
      <c r="O325" s="33">
        <v>1000</v>
      </c>
      <c r="P325" s="38" t="s">
        <v>4398</v>
      </c>
      <c r="Q325" s="34">
        <f>IF(MasterFees[[#This Row],[GST Basis]]="Excl",MasterFees[[#This Row],[Fee as Printed]],IF(MasterFees[[#This Row],[GST Basis]]="Incl",MasterFees[[#This Row],[Fee as Printed]]/(1+GST_Rate),""))</f>
        <v>1000</v>
      </c>
      <c r="R325" s="34">
        <f>IF(MasterFees[[#This Row],[GST Basis]]="Incl",MasterFees[[#This Row],[Fee as Printed]],IF(MasterFees[[#This Row],[GST Basis]]="Excl",MasterFees[[#This Row],[Fee as Printed]]*(1+GST_Rate),""))</f>
        <v>1150</v>
      </c>
      <c r="S325" s="35" t="str">
        <f>IF(N(MasterFees[[#This Row],[Total Units]])=0,"",MasterFees[[#This Row],[Fee as Printed]]/MasterFees[[#This Row],[Total Units]])</f>
        <v/>
      </c>
      <c r="T325" s="36"/>
      <c r="U325" s="39" t="s">
        <v>4587</v>
      </c>
      <c r="V325" s="39" t="s">
        <v>4640</v>
      </c>
      <c r="W325" s="30" t="s">
        <v>4641</v>
      </c>
      <c r="X325" s="77" t="s">
        <v>4859</v>
      </c>
      <c r="Y325" s="127" t="str">
        <f>_xlfn.XLOOKUP(MasterFees[[#This Row],[Provider / Payer]],Contracts[Contract Name],Contracts[Contract ID],"No contract")</f>
        <v>CON-06</v>
      </c>
      <c r="Z325" s="127" t="str">
        <f>_xlfn.XLOOKUP(MasterFees[[#This Row],[Provider / Payer]],Contracts[Contract Name],Contracts[Pricing Basis],"To confirm")</f>
        <v>Fixed fee schedule</v>
      </c>
      <c r="AA325" s="127" t="str">
        <f>IF(MasterFees[[#This Row],[Pricing Basis]]="Fixed fee schedule","Yes","No")</f>
        <v>Yes</v>
      </c>
      <c r="AB325" s="127" t="str">
        <f>IF(OR(MasterFees[[#This Row],[Fee Basis]]="Add-on",MasterFees[[#This Row],[Fee Basis]]="Time band",MasterFees[[#This Row],[Fee Basis]]="Other"),MasterFees[[#This Row],[Fee Basis]],"Base")</f>
        <v>Base</v>
      </c>
      <c r="AC325" s="141">
        <f>IF(MasterFees[[#This Row],[Fixed Fee?]]="Yes",MasterFees[[#This Row],[Fee Excl. GST]],"")</f>
        <v>1000</v>
      </c>
    </row>
    <row r="326" spans="1:29" x14ac:dyDescent="0.2">
      <c r="A326" s="67" t="s">
        <v>2173</v>
      </c>
      <c r="B326" s="31">
        <f>IF(MasterFees[[#This Row],[RVG Code]]="","",_xlfn.XLOOKUP(MasterFees[[#This Row],[RVG Code]],RVGCodes[Code],RVGCodes[Base Units],"Code not found"))</f>
        <v>4</v>
      </c>
      <c r="C32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2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26" s="125" t="s">
        <v>2570</v>
      </c>
      <c r="F326" s="48" t="s">
        <v>2567</v>
      </c>
      <c r="G326" s="30" t="s">
        <v>4582</v>
      </c>
      <c r="H326" s="37" t="s">
        <v>4622</v>
      </c>
      <c r="I326" s="37" t="s">
        <v>4581</v>
      </c>
      <c r="J326" s="37" t="s">
        <v>1024</v>
      </c>
      <c r="K326" s="32"/>
      <c r="L326" s="32"/>
      <c r="M326" s="32"/>
      <c r="N326" s="32"/>
      <c r="O326" s="33">
        <v>800</v>
      </c>
      <c r="P326" s="38" t="s">
        <v>4398</v>
      </c>
      <c r="Q326" s="34">
        <f>IF(MasterFees[[#This Row],[GST Basis]]="Excl",MasterFees[[#This Row],[Fee as Printed]],IF(MasterFees[[#This Row],[GST Basis]]="Incl",MasterFees[[#This Row],[Fee as Printed]]/(1+GST_Rate),""))</f>
        <v>800</v>
      </c>
      <c r="R326" s="34">
        <f>IF(MasterFees[[#This Row],[GST Basis]]="Incl",MasterFees[[#This Row],[Fee as Printed]],IF(MasterFees[[#This Row],[GST Basis]]="Excl",MasterFees[[#This Row],[Fee as Printed]]*(1+GST_Rate),""))</f>
        <v>919.99999999999989</v>
      </c>
      <c r="S326" s="35" t="str">
        <f>IF(N(MasterFees[[#This Row],[Total Units]])=0,"",MasterFees[[#This Row],[Fee as Printed]]/MasterFees[[#This Row],[Total Units]])</f>
        <v/>
      </c>
      <c r="T326" s="36"/>
      <c r="U326" s="39" t="s">
        <v>4587</v>
      </c>
      <c r="V326" s="39" t="s">
        <v>4656</v>
      </c>
      <c r="W326" s="30" t="s">
        <v>4651</v>
      </c>
      <c r="X326" s="77" t="s">
        <v>4850</v>
      </c>
      <c r="Y326" s="127" t="str">
        <f>_xlfn.XLOOKUP(MasterFees[[#This Row],[Provider / Payer]],Contracts[Contract Name],Contracts[Contract ID],"No contract")</f>
        <v>CON-05</v>
      </c>
      <c r="Z326" s="127" t="str">
        <f>_xlfn.XLOOKUP(MasterFees[[#This Row],[Provider / Payer]],Contracts[Contract Name],Contracts[Pricing Basis],"To confirm")</f>
        <v>Fixed fee schedule</v>
      </c>
      <c r="AA326" s="127" t="str">
        <f>IF(MasterFees[[#This Row],[Pricing Basis]]="Fixed fee schedule","Yes","No")</f>
        <v>Yes</v>
      </c>
      <c r="AB326" s="127" t="str">
        <f>IF(OR(MasterFees[[#This Row],[Fee Basis]]="Add-on",MasterFees[[#This Row],[Fee Basis]]="Time band",MasterFees[[#This Row],[Fee Basis]]="Other"),MasterFees[[#This Row],[Fee Basis]],"Base")</f>
        <v>Base</v>
      </c>
      <c r="AC326" s="141">
        <f>IF(MasterFees[[#This Row],[Fixed Fee?]]="Yes",MasterFees[[#This Row],[Fee Excl. GST]],"")</f>
        <v>800</v>
      </c>
    </row>
    <row r="327" spans="1:29" x14ac:dyDescent="0.2">
      <c r="A327" s="67" t="s">
        <v>2173</v>
      </c>
      <c r="B327" s="31">
        <f>IF(MasterFees[[#This Row],[RVG Code]]="","",_xlfn.XLOOKUP(MasterFees[[#This Row],[RVG Code]],RVGCodes[Code],RVGCodes[Base Units],"Code not found"))</f>
        <v>4</v>
      </c>
      <c r="C32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2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27" s="125" t="s">
        <v>2570</v>
      </c>
      <c r="F327" s="48" t="s">
        <v>2567</v>
      </c>
      <c r="G327" s="30" t="s">
        <v>4582</v>
      </c>
      <c r="H327" s="37" t="s">
        <v>4625</v>
      </c>
      <c r="I327" s="37" t="s">
        <v>4581</v>
      </c>
      <c r="J327" s="37" t="s">
        <v>1024</v>
      </c>
      <c r="K327" s="32"/>
      <c r="L327" s="32"/>
      <c r="M327" s="32"/>
      <c r="N327" s="32"/>
      <c r="O327" s="33">
        <v>800</v>
      </c>
      <c r="P327" s="38" t="s">
        <v>4398</v>
      </c>
      <c r="Q327" s="34">
        <f>IF(MasterFees[[#This Row],[GST Basis]]="Excl",MasterFees[[#This Row],[Fee as Printed]],IF(MasterFees[[#This Row],[GST Basis]]="Incl",MasterFees[[#This Row],[Fee as Printed]]/(1+GST_Rate),""))</f>
        <v>800</v>
      </c>
      <c r="R327" s="34">
        <f>IF(MasterFees[[#This Row],[GST Basis]]="Incl",MasterFees[[#This Row],[Fee as Printed]],IF(MasterFees[[#This Row],[GST Basis]]="Excl",MasterFees[[#This Row],[Fee as Printed]]*(1+GST_Rate),""))</f>
        <v>919.99999999999989</v>
      </c>
      <c r="S327" s="35" t="str">
        <f>IF(N(MasterFees[[#This Row],[Total Units]])=0,"",MasterFees[[#This Row],[Fee as Printed]]/MasterFees[[#This Row],[Total Units]])</f>
        <v/>
      </c>
      <c r="T327" s="36"/>
      <c r="U327" s="39" t="s">
        <v>4587</v>
      </c>
      <c r="V327" s="39" t="s">
        <v>4657</v>
      </c>
      <c r="W327" s="30" t="s">
        <v>4653</v>
      </c>
      <c r="X327" s="77" t="s">
        <v>4850</v>
      </c>
      <c r="Y327" s="127" t="str">
        <f>_xlfn.XLOOKUP(MasterFees[[#This Row],[Provider / Payer]],Contracts[Contract Name],Contracts[Contract ID],"No contract")</f>
        <v>CON-06</v>
      </c>
      <c r="Z327" s="127" t="str">
        <f>_xlfn.XLOOKUP(MasterFees[[#This Row],[Provider / Payer]],Contracts[Contract Name],Contracts[Pricing Basis],"To confirm")</f>
        <v>Fixed fee schedule</v>
      </c>
      <c r="AA327" s="127" t="str">
        <f>IF(MasterFees[[#This Row],[Pricing Basis]]="Fixed fee schedule","Yes","No")</f>
        <v>Yes</v>
      </c>
      <c r="AB327" s="127" t="str">
        <f>IF(OR(MasterFees[[#This Row],[Fee Basis]]="Add-on",MasterFees[[#This Row],[Fee Basis]]="Time band",MasterFees[[#This Row],[Fee Basis]]="Other"),MasterFees[[#This Row],[Fee Basis]],"Base")</f>
        <v>Base</v>
      </c>
      <c r="AC327" s="141">
        <f>IF(MasterFees[[#This Row],[Fixed Fee?]]="Yes",MasterFees[[#This Row],[Fee Excl. GST]],"")</f>
        <v>800</v>
      </c>
    </row>
    <row r="328" spans="1:29" x14ac:dyDescent="0.2">
      <c r="A328" s="67" t="s">
        <v>2173</v>
      </c>
      <c r="B328" s="31">
        <f>IF(MasterFees[[#This Row],[RVG Code]]="","",_xlfn.XLOOKUP(MasterFees[[#This Row],[RVG Code]],RVGCodes[Code],RVGCodes[Base Units],"Code not found"))</f>
        <v>4</v>
      </c>
      <c r="C32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2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28" s="125" t="s">
        <v>2570</v>
      </c>
      <c r="F328" s="48" t="s">
        <v>2567</v>
      </c>
      <c r="G328" s="30" t="s">
        <v>4534</v>
      </c>
      <c r="H328" s="37" t="s">
        <v>4622</v>
      </c>
      <c r="I328" s="37" t="s">
        <v>4533</v>
      </c>
      <c r="J328" s="37" t="s">
        <v>1024</v>
      </c>
      <c r="K328" s="32"/>
      <c r="L328" s="32"/>
      <c r="M328" s="32"/>
      <c r="N328" s="32"/>
      <c r="O328" s="33">
        <v>1000</v>
      </c>
      <c r="P328" s="38" t="s">
        <v>4398</v>
      </c>
      <c r="Q328" s="34">
        <f>IF(MasterFees[[#This Row],[GST Basis]]="Excl",MasterFees[[#This Row],[Fee as Printed]],IF(MasterFees[[#This Row],[GST Basis]]="Incl",MasterFees[[#This Row],[Fee as Printed]]/(1+GST_Rate),""))</f>
        <v>1000</v>
      </c>
      <c r="R328" s="34">
        <f>IF(MasterFees[[#This Row],[GST Basis]]="Incl",MasterFees[[#This Row],[Fee as Printed]],IF(MasterFees[[#This Row],[GST Basis]]="Excl",MasterFees[[#This Row],[Fee as Printed]]*(1+GST_Rate),""))</f>
        <v>1150</v>
      </c>
      <c r="S328" s="35" t="str">
        <f>IF(N(MasterFees[[#This Row],[Total Units]])=0,"",MasterFees[[#This Row],[Fee as Printed]]/MasterFees[[#This Row],[Total Units]])</f>
        <v/>
      </c>
      <c r="T328" s="36"/>
      <c r="U328" s="39" t="s">
        <v>4587</v>
      </c>
      <c r="V328" s="39" t="s">
        <v>4642</v>
      </c>
      <c r="W328" s="30" t="s">
        <v>4624</v>
      </c>
      <c r="X328" s="77" t="s">
        <v>4860</v>
      </c>
      <c r="Y328" s="127" t="str">
        <f>_xlfn.XLOOKUP(MasterFees[[#This Row],[Provider / Payer]],Contracts[Contract Name],Contracts[Contract ID],"No contract")</f>
        <v>CON-05</v>
      </c>
      <c r="Z328" s="127" t="str">
        <f>_xlfn.XLOOKUP(MasterFees[[#This Row],[Provider / Payer]],Contracts[Contract Name],Contracts[Pricing Basis],"To confirm")</f>
        <v>Fixed fee schedule</v>
      </c>
      <c r="AA328" s="127" t="str">
        <f>IF(MasterFees[[#This Row],[Pricing Basis]]="Fixed fee schedule","Yes","No")</f>
        <v>Yes</v>
      </c>
      <c r="AB328" s="127" t="str">
        <f>IF(OR(MasterFees[[#This Row],[Fee Basis]]="Add-on",MasterFees[[#This Row],[Fee Basis]]="Time band",MasterFees[[#This Row],[Fee Basis]]="Other"),MasterFees[[#This Row],[Fee Basis]],"Base")</f>
        <v>Base</v>
      </c>
      <c r="AC328" s="141">
        <f>IF(MasterFees[[#This Row],[Fixed Fee?]]="Yes",MasterFees[[#This Row],[Fee Excl. GST]],"")</f>
        <v>1000</v>
      </c>
    </row>
    <row r="329" spans="1:29" x14ac:dyDescent="0.2">
      <c r="A329" s="67" t="s">
        <v>2173</v>
      </c>
      <c r="B329" s="31">
        <f>IF(MasterFees[[#This Row],[RVG Code]]="","",_xlfn.XLOOKUP(MasterFees[[#This Row],[RVG Code]],RVGCodes[Code],RVGCodes[Base Units],"Code not found"))</f>
        <v>4</v>
      </c>
      <c r="C32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2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29" s="125" t="s">
        <v>2570</v>
      </c>
      <c r="F329" s="48" t="s">
        <v>2567</v>
      </c>
      <c r="G329" s="30" t="s">
        <v>4534</v>
      </c>
      <c r="H329" s="37" t="s">
        <v>4625</v>
      </c>
      <c r="I329" s="37" t="s">
        <v>4533</v>
      </c>
      <c r="J329" s="37" t="s">
        <v>1024</v>
      </c>
      <c r="K329" s="32"/>
      <c r="L329" s="32"/>
      <c r="M329" s="32"/>
      <c r="N329" s="32"/>
      <c r="O329" s="33">
        <v>1000</v>
      </c>
      <c r="P329" s="38" t="s">
        <v>4398</v>
      </c>
      <c r="Q329" s="34">
        <f>IF(MasterFees[[#This Row],[GST Basis]]="Excl",MasterFees[[#This Row],[Fee as Printed]],IF(MasterFees[[#This Row],[GST Basis]]="Incl",MasterFees[[#This Row],[Fee as Printed]]/(1+GST_Rate),""))</f>
        <v>1000</v>
      </c>
      <c r="R329" s="34">
        <f>IF(MasterFees[[#This Row],[GST Basis]]="Incl",MasterFees[[#This Row],[Fee as Printed]],IF(MasterFees[[#This Row],[GST Basis]]="Excl",MasterFees[[#This Row],[Fee as Printed]]*(1+GST_Rate),""))</f>
        <v>1150</v>
      </c>
      <c r="S329" s="35" t="str">
        <f>IF(N(MasterFees[[#This Row],[Total Units]])=0,"",MasterFees[[#This Row],[Fee as Printed]]/MasterFees[[#This Row],[Total Units]])</f>
        <v/>
      </c>
      <c r="T329" s="36"/>
      <c r="U329" s="39" t="s">
        <v>4587</v>
      </c>
      <c r="V329" s="39" t="s">
        <v>4643</v>
      </c>
      <c r="W329" s="30" t="s">
        <v>4627</v>
      </c>
      <c r="X329" s="77" t="s">
        <v>4860</v>
      </c>
      <c r="Y329" s="127" t="str">
        <f>_xlfn.XLOOKUP(MasterFees[[#This Row],[Provider / Payer]],Contracts[Contract Name],Contracts[Contract ID],"No contract")</f>
        <v>CON-06</v>
      </c>
      <c r="Z329" s="127" t="str">
        <f>_xlfn.XLOOKUP(MasterFees[[#This Row],[Provider / Payer]],Contracts[Contract Name],Contracts[Pricing Basis],"To confirm")</f>
        <v>Fixed fee schedule</v>
      </c>
      <c r="AA329" s="127" t="str">
        <f>IF(MasterFees[[#This Row],[Pricing Basis]]="Fixed fee schedule","Yes","No")</f>
        <v>Yes</v>
      </c>
      <c r="AB329" s="127" t="str">
        <f>IF(OR(MasterFees[[#This Row],[Fee Basis]]="Add-on",MasterFees[[#This Row],[Fee Basis]]="Time band",MasterFees[[#This Row],[Fee Basis]]="Other"),MasterFees[[#This Row],[Fee Basis]],"Base")</f>
        <v>Base</v>
      </c>
      <c r="AC329" s="141">
        <f>IF(MasterFees[[#This Row],[Fixed Fee?]]="Yes",MasterFees[[#This Row],[Fee Excl. GST]],"")</f>
        <v>1000</v>
      </c>
    </row>
    <row r="330" spans="1:29" x14ac:dyDescent="0.2">
      <c r="A330" s="67" t="s">
        <v>2173</v>
      </c>
      <c r="B330" s="31">
        <f>IF(MasterFees[[#This Row],[RVG Code]]="","",_xlfn.XLOOKUP(MasterFees[[#This Row],[RVG Code]],RVGCodes[Code],RVGCodes[Base Units],"Code not found"))</f>
        <v>4</v>
      </c>
      <c r="C33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3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30" s="125" t="s">
        <v>2570</v>
      </c>
      <c r="F330" s="48" t="s">
        <v>2567</v>
      </c>
      <c r="G330" s="30" t="s">
        <v>4482</v>
      </c>
      <c r="H330" s="37" t="s">
        <v>4622</v>
      </c>
      <c r="I330" s="37" t="s">
        <v>4481</v>
      </c>
      <c r="J330" s="37" t="s">
        <v>1024</v>
      </c>
      <c r="K330" s="32"/>
      <c r="L330" s="32"/>
      <c r="M330" s="32"/>
      <c r="N330" s="32"/>
      <c r="O330" s="33">
        <v>700</v>
      </c>
      <c r="P330" s="38" t="s">
        <v>4398</v>
      </c>
      <c r="Q330" s="34">
        <f>IF(MasterFees[[#This Row],[GST Basis]]="Excl",MasterFees[[#This Row],[Fee as Printed]],IF(MasterFees[[#This Row],[GST Basis]]="Incl",MasterFees[[#This Row],[Fee as Printed]]/(1+GST_Rate),""))</f>
        <v>700</v>
      </c>
      <c r="R330" s="34">
        <f>IF(MasterFees[[#This Row],[GST Basis]]="Incl",MasterFees[[#This Row],[Fee as Printed]],IF(MasterFees[[#This Row],[GST Basis]]="Excl",MasterFees[[#This Row],[Fee as Printed]]*(1+GST_Rate),""))</f>
        <v>804.99999999999989</v>
      </c>
      <c r="S330" s="35" t="str">
        <f>IF(N(MasterFees[[#This Row],[Total Units]])=0,"",MasterFees[[#This Row],[Fee as Printed]]/MasterFees[[#This Row],[Total Units]])</f>
        <v/>
      </c>
      <c r="T330" s="36"/>
      <c r="U330" s="39" t="s">
        <v>4587</v>
      </c>
      <c r="V330" s="39" t="s">
        <v>4708</v>
      </c>
      <c r="W330" s="30" t="s">
        <v>4709</v>
      </c>
      <c r="X330" s="77" t="s">
        <v>4834</v>
      </c>
      <c r="Y330" s="127" t="str">
        <f>_xlfn.XLOOKUP(MasterFees[[#This Row],[Provider / Payer]],Contracts[Contract Name],Contracts[Contract ID],"No contract")</f>
        <v>CON-05</v>
      </c>
      <c r="Z330" s="127" t="str">
        <f>_xlfn.XLOOKUP(MasterFees[[#This Row],[Provider / Payer]],Contracts[Contract Name],Contracts[Pricing Basis],"To confirm")</f>
        <v>Fixed fee schedule</v>
      </c>
      <c r="AA330" s="127" t="str">
        <f>IF(MasterFees[[#This Row],[Pricing Basis]]="Fixed fee schedule","Yes","No")</f>
        <v>Yes</v>
      </c>
      <c r="AB330" s="127" t="str">
        <f>IF(OR(MasterFees[[#This Row],[Fee Basis]]="Add-on",MasterFees[[#This Row],[Fee Basis]]="Time band",MasterFees[[#This Row],[Fee Basis]]="Other"),MasterFees[[#This Row],[Fee Basis]],"Base")</f>
        <v>Base</v>
      </c>
      <c r="AC330" s="141">
        <f>IF(MasterFees[[#This Row],[Fixed Fee?]]="Yes",MasterFees[[#This Row],[Fee Excl. GST]],"")</f>
        <v>700</v>
      </c>
    </row>
    <row r="331" spans="1:29" x14ac:dyDescent="0.2">
      <c r="A331" s="67" t="s">
        <v>2173</v>
      </c>
      <c r="B331" s="31">
        <f>IF(MasterFees[[#This Row],[RVG Code]]="","",_xlfn.XLOOKUP(MasterFees[[#This Row],[RVG Code]],RVGCodes[Code],RVGCodes[Base Units],"Code not found"))</f>
        <v>4</v>
      </c>
      <c r="C33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3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31" s="125" t="s">
        <v>2570</v>
      </c>
      <c r="F331" s="48" t="s">
        <v>2567</v>
      </c>
      <c r="G331" s="30" t="s">
        <v>4482</v>
      </c>
      <c r="H331" s="37" t="s">
        <v>4625</v>
      </c>
      <c r="I331" s="37" t="s">
        <v>4481</v>
      </c>
      <c r="J331" s="37" t="s">
        <v>1024</v>
      </c>
      <c r="K331" s="32"/>
      <c r="L331" s="32"/>
      <c r="M331" s="32"/>
      <c r="N331" s="32"/>
      <c r="O331" s="33">
        <v>700</v>
      </c>
      <c r="P331" s="38" t="s">
        <v>4398</v>
      </c>
      <c r="Q331" s="34">
        <f>IF(MasterFees[[#This Row],[GST Basis]]="Excl",MasterFees[[#This Row],[Fee as Printed]],IF(MasterFees[[#This Row],[GST Basis]]="Incl",MasterFees[[#This Row],[Fee as Printed]]/(1+GST_Rate),""))</f>
        <v>700</v>
      </c>
      <c r="R331" s="34">
        <f>IF(MasterFees[[#This Row],[GST Basis]]="Incl",MasterFees[[#This Row],[Fee as Printed]],IF(MasterFees[[#This Row],[GST Basis]]="Excl",MasterFees[[#This Row],[Fee as Printed]]*(1+GST_Rate),""))</f>
        <v>804.99999999999989</v>
      </c>
      <c r="S331" s="35" t="str">
        <f>IF(N(MasterFees[[#This Row],[Total Units]])=0,"",MasterFees[[#This Row],[Fee as Printed]]/MasterFees[[#This Row],[Total Units]])</f>
        <v/>
      </c>
      <c r="T331" s="36"/>
      <c r="U331" s="39" t="s">
        <v>4587</v>
      </c>
      <c r="V331" s="39" t="s">
        <v>4710</v>
      </c>
      <c r="W331" s="30" t="s">
        <v>4711</v>
      </c>
      <c r="X331" s="77" t="s">
        <v>4834</v>
      </c>
      <c r="Y331" s="127" t="str">
        <f>_xlfn.XLOOKUP(MasterFees[[#This Row],[Provider / Payer]],Contracts[Contract Name],Contracts[Contract ID],"No contract")</f>
        <v>CON-06</v>
      </c>
      <c r="Z331" s="127" t="str">
        <f>_xlfn.XLOOKUP(MasterFees[[#This Row],[Provider / Payer]],Contracts[Contract Name],Contracts[Pricing Basis],"To confirm")</f>
        <v>Fixed fee schedule</v>
      </c>
      <c r="AA331" s="127" t="str">
        <f>IF(MasterFees[[#This Row],[Pricing Basis]]="Fixed fee schedule","Yes","No")</f>
        <v>Yes</v>
      </c>
      <c r="AB331" s="127" t="str">
        <f>IF(OR(MasterFees[[#This Row],[Fee Basis]]="Add-on",MasterFees[[#This Row],[Fee Basis]]="Time band",MasterFees[[#This Row],[Fee Basis]]="Other"),MasterFees[[#This Row],[Fee Basis]],"Base")</f>
        <v>Base</v>
      </c>
      <c r="AC331" s="141">
        <f>IF(MasterFees[[#This Row],[Fixed Fee?]]="Yes",MasterFees[[#This Row],[Fee Excl. GST]],"")</f>
        <v>700</v>
      </c>
    </row>
    <row r="332" spans="1:29" x14ac:dyDescent="0.2">
      <c r="A332" s="67" t="s">
        <v>2173</v>
      </c>
      <c r="B332" s="31">
        <f>IF(MasterFees[[#This Row],[RVG Code]]="","",_xlfn.XLOOKUP(MasterFees[[#This Row],[RVG Code]],RVGCodes[Code],RVGCodes[Base Units],"Code not found"))</f>
        <v>4</v>
      </c>
      <c r="C33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3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32" s="125" t="s">
        <v>2570</v>
      </c>
      <c r="F332" s="48" t="s">
        <v>2567</v>
      </c>
      <c r="G332" s="30" t="s">
        <v>4490</v>
      </c>
      <c r="H332" s="37" t="s">
        <v>4622</v>
      </c>
      <c r="I332" s="37" t="s">
        <v>4489</v>
      </c>
      <c r="J332" s="37" t="s">
        <v>1024</v>
      </c>
      <c r="K332" s="32"/>
      <c r="L332" s="32"/>
      <c r="M332" s="32"/>
      <c r="N332" s="32"/>
      <c r="O332" s="33">
        <v>800</v>
      </c>
      <c r="P332" s="38" t="s">
        <v>4398</v>
      </c>
      <c r="Q332" s="34">
        <f>IF(MasterFees[[#This Row],[GST Basis]]="Excl",MasterFees[[#This Row],[Fee as Printed]],IF(MasterFees[[#This Row],[GST Basis]]="Incl",MasterFees[[#This Row],[Fee as Printed]]/(1+GST_Rate),""))</f>
        <v>800</v>
      </c>
      <c r="R332" s="34">
        <f>IF(MasterFees[[#This Row],[GST Basis]]="Incl",MasterFees[[#This Row],[Fee as Printed]],IF(MasterFees[[#This Row],[GST Basis]]="Excl",MasterFees[[#This Row],[Fee as Printed]]*(1+GST_Rate),""))</f>
        <v>919.99999999999989</v>
      </c>
      <c r="S332" s="35" t="str">
        <f>IF(N(MasterFees[[#This Row],[Total Units]])=0,"",MasterFees[[#This Row],[Fee as Printed]]/MasterFees[[#This Row],[Total Units]])</f>
        <v/>
      </c>
      <c r="T332" s="36"/>
      <c r="U332" s="39" t="s">
        <v>4587</v>
      </c>
      <c r="V332" s="39" t="s">
        <v>4714</v>
      </c>
      <c r="W332" s="30" t="s">
        <v>4715</v>
      </c>
      <c r="X332" s="77" t="s">
        <v>4833</v>
      </c>
      <c r="Y332" s="127" t="str">
        <f>_xlfn.XLOOKUP(MasterFees[[#This Row],[Provider / Payer]],Contracts[Contract Name],Contracts[Contract ID],"No contract")</f>
        <v>CON-05</v>
      </c>
      <c r="Z332" s="127" t="str">
        <f>_xlfn.XLOOKUP(MasterFees[[#This Row],[Provider / Payer]],Contracts[Contract Name],Contracts[Pricing Basis],"To confirm")</f>
        <v>Fixed fee schedule</v>
      </c>
      <c r="AA332" s="127" t="str">
        <f>IF(MasterFees[[#This Row],[Pricing Basis]]="Fixed fee schedule","Yes","No")</f>
        <v>Yes</v>
      </c>
      <c r="AB332" s="127" t="str">
        <f>IF(OR(MasterFees[[#This Row],[Fee Basis]]="Add-on",MasterFees[[#This Row],[Fee Basis]]="Time band",MasterFees[[#This Row],[Fee Basis]]="Other"),MasterFees[[#This Row],[Fee Basis]],"Base")</f>
        <v>Base</v>
      </c>
      <c r="AC332" s="141">
        <f>IF(MasterFees[[#This Row],[Fixed Fee?]]="Yes",MasterFees[[#This Row],[Fee Excl. GST]],"")</f>
        <v>800</v>
      </c>
    </row>
    <row r="333" spans="1:29" x14ac:dyDescent="0.2">
      <c r="A333" s="67" t="s">
        <v>2173</v>
      </c>
      <c r="B333" s="31">
        <f>IF(MasterFees[[#This Row],[RVG Code]]="","",_xlfn.XLOOKUP(MasterFees[[#This Row],[RVG Code]],RVGCodes[Code],RVGCodes[Base Units],"Code not found"))</f>
        <v>4</v>
      </c>
      <c r="C33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3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33" s="125" t="s">
        <v>2570</v>
      </c>
      <c r="F333" s="48" t="s">
        <v>2567</v>
      </c>
      <c r="G333" s="30" t="s">
        <v>4490</v>
      </c>
      <c r="H333" s="37" t="s">
        <v>4625</v>
      </c>
      <c r="I333" s="37" t="s">
        <v>4489</v>
      </c>
      <c r="J333" s="37" t="s">
        <v>1024</v>
      </c>
      <c r="K333" s="32"/>
      <c r="L333" s="32"/>
      <c r="M333" s="32"/>
      <c r="N333" s="32"/>
      <c r="O333" s="33">
        <v>800</v>
      </c>
      <c r="P333" s="38" t="s">
        <v>4398</v>
      </c>
      <c r="Q333" s="34">
        <f>IF(MasterFees[[#This Row],[GST Basis]]="Excl",MasterFees[[#This Row],[Fee as Printed]],IF(MasterFees[[#This Row],[GST Basis]]="Incl",MasterFees[[#This Row],[Fee as Printed]]/(1+GST_Rate),""))</f>
        <v>800</v>
      </c>
      <c r="R333" s="34">
        <f>IF(MasterFees[[#This Row],[GST Basis]]="Incl",MasterFees[[#This Row],[Fee as Printed]],IF(MasterFees[[#This Row],[GST Basis]]="Excl",MasterFees[[#This Row],[Fee as Printed]]*(1+GST_Rate),""))</f>
        <v>919.99999999999989</v>
      </c>
      <c r="S333" s="35" t="str">
        <f>IF(N(MasterFees[[#This Row],[Total Units]])=0,"",MasterFees[[#This Row],[Fee as Printed]]/MasterFees[[#This Row],[Total Units]])</f>
        <v/>
      </c>
      <c r="T333" s="36"/>
      <c r="U333" s="39" t="s">
        <v>4587</v>
      </c>
      <c r="V333" s="39" t="s">
        <v>4716</v>
      </c>
      <c r="W333" s="30" t="s">
        <v>4717</v>
      </c>
      <c r="X333" s="77" t="s">
        <v>4833</v>
      </c>
      <c r="Y333" s="127" t="str">
        <f>_xlfn.XLOOKUP(MasterFees[[#This Row],[Provider / Payer]],Contracts[Contract Name],Contracts[Contract ID],"No contract")</f>
        <v>CON-06</v>
      </c>
      <c r="Z333" s="127" t="str">
        <f>_xlfn.XLOOKUP(MasterFees[[#This Row],[Provider / Payer]],Contracts[Contract Name],Contracts[Pricing Basis],"To confirm")</f>
        <v>Fixed fee schedule</v>
      </c>
      <c r="AA333" s="127" t="str">
        <f>IF(MasterFees[[#This Row],[Pricing Basis]]="Fixed fee schedule","Yes","No")</f>
        <v>Yes</v>
      </c>
      <c r="AB333" s="127" t="str">
        <f>IF(OR(MasterFees[[#This Row],[Fee Basis]]="Add-on",MasterFees[[#This Row],[Fee Basis]]="Time band",MasterFees[[#This Row],[Fee Basis]]="Other"),MasterFees[[#This Row],[Fee Basis]],"Base")</f>
        <v>Base</v>
      </c>
      <c r="AC333" s="141">
        <f>IF(MasterFees[[#This Row],[Fixed Fee?]]="Yes",MasterFees[[#This Row],[Fee Excl. GST]],"")</f>
        <v>800</v>
      </c>
    </row>
    <row r="334" spans="1:29" x14ac:dyDescent="0.2">
      <c r="A334" s="67" t="s">
        <v>2173</v>
      </c>
      <c r="B334" s="31">
        <f>IF(MasterFees[[#This Row],[RVG Code]]="","",_xlfn.XLOOKUP(MasterFees[[#This Row],[RVG Code]],RVGCodes[Code],RVGCodes[Base Units],"Code not found"))</f>
        <v>4</v>
      </c>
      <c r="C33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3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34" s="125" t="s">
        <v>2570</v>
      </c>
      <c r="F334" s="48" t="s">
        <v>2567</v>
      </c>
      <c r="G334" s="30" t="s">
        <v>4542</v>
      </c>
      <c r="H334" s="37" t="s">
        <v>4622</v>
      </c>
      <c r="I334" s="37" t="s">
        <v>4541</v>
      </c>
      <c r="J334" s="37" t="s">
        <v>1024</v>
      </c>
      <c r="K334" s="32"/>
      <c r="L334" s="32"/>
      <c r="M334" s="32"/>
      <c r="N334" s="32"/>
      <c r="O334" s="33">
        <v>480</v>
      </c>
      <c r="P334" s="38" t="s">
        <v>4398</v>
      </c>
      <c r="Q334" s="34">
        <f>IF(MasterFees[[#This Row],[GST Basis]]="Excl",MasterFees[[#This Row],[Fee as Printed]],IF(MasterFees[[#This Row],[GST Basis]]="Incl",MasterFees[[#This Row],[Fee as Printed]]/(1+GST_Rate),""))</f>
        <v>480</v>
      </c>
      <c r="R334" s="34">
        <f>IF(MasterFees[[#This Row],[GST Basis]]="Incl",MasterFees[[#This Row],[Fee as Printed]],IF(MasterFees[[#This Row],[GST Basis]]="Excl",MasterFees[[#This Row],[Fee as Printed]]*(1+GST_Rate),""))</f>
        <v>552</v>
      </c>
      <c r="S334" s="35" t="str">
        <f>IF(N(MasterFees[[#This Row],[Total Units]])=0,"",MasterFees[[#This Row],[Fee as Printed]]/MasterFees[[#This Row],[Total Units]])</f>
        <v/>
      </c>
      <c r="T334" s="36"/>
      <c r="U334" s="39" t="s">
        <v>4587</v>
      </c>
      <c r="V334" s="39" t="s">
        <v>4646</v>
      </c>
      <c r="W334" s="30" t="s">
        <v>4647</v>
      </c>
      <c r="X334" s="77" t="s">
        <v>4862</v>
      </c>
      <c r="Y334" s="127" t="str">
        <f>_xlfn.XLOOKUP(MasterFees[[#This Row],[Provider / Payer]],Contracts[Contract Name],Contracts[Contract ID],"No contract")</f>
        <v>CON-05</v>
      </c>
      <c r="Z334" s="127" t="str">
        <f>_xlfn.XLOOKUP(MasterFees[[#This Row],[Provider / Payer]],Contracts[Contract Name],Contracts[Pricing Basis],"To confirm")</f>
        <v>Fixed fee schedule</v>
      </c>
      <c r="AA334" s="127" t="str">
        <f>IF(MasterFees[[#This Row],[Pricing Basis]]="Fixed fee schedule","Yes","No")</f>
        <v>Yes</v>
      </c>
      <c r="AB334" s="127" t="str">
        <f>IF(OR(MasterFees[[#This Row],[Fee Basis]]="Add-on",MasterFees[[#This Row],[Fee Basis]]="Time band",MasterFees[[#This Row],[Fee Basis]]="Other"),MasterFees[[#This Row],[Fee Basis]],"Base")</f>
        <v>Base</v>
      </c>
      <c r="AC334" s="141">
        <f>IF(MasterFees[[#This Row],[Fixed Fee?]]="Yes",MasterFees[[#This Row],[Fee Excl. GST]],"")</f>
        <v>480</v>
      </c>
    </row>
    <row r="335" spans="1:29" x14ac:dyDescent="0.2">
      <c r="A335" s="67" t="s">
        <v>2173</v>
      </c>
      <c r="B335" s="31">
        <f>IF(MasterFees[[#This Row],[RVG Code]]="","",_xlfn.XLOOKUP(MasterFees[[#This Row],[RVG Code]],RVGCodes[Code],RVGCodes[Base Units],"Code not found"))</f>
        <v>4</v>
      </c>
      <c r="C33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3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35" s="125" t="s">
        <v>2570</v>
      </c>
      <c r="F335" s="48" t="s">
        <v>2567</v>
      </c>
      <c r="G335" s="30" t="s">
        <v>4542</v>
      </c>
      <c r="H335" s="37" t="s">
        <v>4625</v>
      </c>
      <c r="I335" s="37" t="s">
        <v>4541</v>
      </c>
      <c r="J335" s="37" t="s">
        <v>1024</v>
      </c>
      <c r="K335" s="32"/>
      <c r="L335" s="32"/>
      <c r="M335" s="32"/>
      <c r="N335" s="32"/>
      <c r="O335" s="33">
        <v>500</v>
      </c>
      <c r="P335" s="38" t="s">
        <v>4398</v>
      </c>
      <c r="Q335" s="34">
        <f>IF(MasterFees[[#This Row],[GST Basis]]="Excl",MasterFees[[#This Row],[Fee as Printed]],IF(MasterFees[[#This Row],[GST Basis]]="Incl",MasterFees[[#This Row],[Fee as Printed]]/(1+GST_Rate),""))</f>
        <v>500</v>
      </c>
      <c r="R335" s="34">
        <f>IF(MasterFees[[#This Row],[GST Basis]]="Incl",MasterFees[[#This Row],[Fee as Printed]],IF(MasterFees[[#This Row],[GST Basis]]="Excl",MasterFees[[#This Row],[Fee as Printed]]*(1+GST_Rate),""))</f>
        <v>575</v>
      </c>
      <c r="S335" s="35" t="str">
        <f>IF(N(MasterFees[[#This Row],[Total Units]])=0,"",MasterFees[[#This Row],[Fee as Printed]]/MasterFees[[#This Row],[Total Units]])</f>
        <v/>
      </c>
      <c r="T335" s="36"/>
      <c r="U335" s="39" t="s">
        <v>4587</v>
      </c>
      <c r="V335" s="39" t="s">
        <v>4648</v>
      </c>
      <c r="W335" s="30" t="s">
        <v>4649</v>
      </c>
      <c r="X335" s="77" t="s">
        <v>4862</v>
      </c>
      <c r="Y335" s="127" t="str">
        <f>_xlfn.XLOOKUP(MasterFees[[#This Row],[Provider / Payer]],Contracts[Contract Name],Contracts[Contract ID],"No contract")</f>
        <v>CON-06</v>
      </c>
      <c r="Z335" s="127" t="str">
        <f>_xlfn.XLOOKUP(MasterFees[[#This Row],[Provider / Payer]],Contracts[Contract Name],Contracts[Pricing Basis],"To confirm")</f>
        <v>Fixed fee schedule</v>
      </c>
      <c r="AA335" s="127" t="str">
        <f>IF(MasterFees[[#This Row],[Pricing Basis]]="Fixed fee schedule","Yes","No")</f>
        <v>Yes</v>
      </c>
      <c r="AB335" s="127" t="str">
        <f>IF(OR(MasterFees[[#This Row],[Fee Basis]]="Add-on",MasterFees[[#This Row],[Fee Basis]]="Time band",MasterFees[[#This Row],[Fee Basis]]="Other"),MasterFees[[#This Row],[Fee Basis]],"Base")</f>
        <v>Base</v>
      </c>
      <c r="AC335" s="141">
        <f>IF(MasterFees[[#This Row],[Fixed Fee?]]="Yes",MasterFees[[#This Row],[Fee Excl. GST]],"")</f>
        <v>500</v>
      </c>
    </row>
    <row r="336" spans="1:29" x14ac:dyDescent="0.2">
      <c r="A336" s="67" t="s">
        <v>2173</v>
      </c>
      <c r="B336" s="31">
        <f>IF(MasterFees[[#This Row],[RVG Code]]="","",_xlfn.XLOOKUP(MasterFees[[#This Row],[RVG Code]],RVGCodes[Code],RVGCodes[Base Units],"Code not found"))</f>
        <v>4</v>
      </c>
      <c r="C33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3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36" s="125" t="s">
        <v>2570</v>
      </c>
      <c r="F336" s="48" t="s">
        <v>2567</v>
      </c>
      <c r="G336" s="30" t="s">
        <v>4496</v>
      </c>
      <c r="H336" s="37" t="s">
        <v>4622</v>
      </c>
      <c r="I336" s="37" t="s">
        <v>4495</v>
      </c>
      <c r="J336" s="37" t="s">
        <v>1024</v>
      </c>
      <c r="K336" s="32"/>
      <c r="L336" s="32"/>
      <c r="M336" s="32"/>
      <c r="N336" s="32"/>
      <c r="O336" s="33">
        <v>700</v>
      </c>
      <c r="P336" s="38" t="s">
        <v>4398</v>
      </c>
      <c r="Q336" s="34">
        <f>IF(MasterFees[[#This Row],[GST Basis]]="Excl",MasterFees[[#This Row],[Fee as Printed]],IF(MasterFees[[#This Row],[GST Basis]]="Incl",MasterFees[[#This Row],[Fee as Printed]]/(1+GST_Rate),""))</f>
        <v>700</v>
      </c>
      <c r="R336" s="34">
        <f>IF(MasterFees[[#This Row],[GST Basis]]="Incl",MasterFees[[#This Row],[Fee as Printed]],IF(MasterFees[[#This Row],[GST Basis]]="Excl",MasterFees[[#This Row],[Fee as Printed]]*(1+GST_Rate),""))</f>
        <v>804.99999999999989</v>
      </c>
      <c r="S336" s="35" t="str">
        <f>IF(N(MasterFees[[#This Row],[Total Units]])=0,"",MasterFees[[#This Row],[Fee as Printed]]/MasterFees[[#This Row],[Total Units]])</f>
        <v/>
      </c>
      <c r="T336" s="36"/>
      <c r="U336" s="39" t="s">
        <v>4587</v>
      </c>
      <c r="V336" s="39" t="s">
        <v>4636</v>
      </c>
      <c r="W336" s="30" t="s">
        <v>4624</v>
      </c>
      <c r="X336" s="77" t="s">
        <v>4858</v>
      </c>
      <c r="Y336" s="127" t="str">
        <f>_xlfn.XLOOKUP(MasterFees[[#This Row],[Provider / Payer]],Contracts[Contract Name],Contracts[Contract ID],"No contract")</f>
        <v>CON-05</v>
      </c>
      <c r="Z336" s="127" t="str">
        <f>_xlfn.XLOOKUP(MasterFees[[#This Row],[Provider / Payer]],Contracts[Contract Name],Contracts[Pricing Basis],"To confirm")</f>
        <v>Fixed fee schedule</v>
      </c>
      <c r="AA336" s="127" t="str">
        <f>IF(MasterFees[[#This Row],[Pricing Basis]]="Fixed fee schedule","Yes","No")</f>
        <v>Yes</v>
      </c>
      <c r="AB336" s="127" t="str">
        <f>IF(OR(MasterFees[[#This Row],[Fee Basis]]="Add-on",MasterFees[[#This Row],[Fee Basis]]="Time band",MasterFees[[#This Row],[Fee Basis]]="Other"),MasterFees[[#This Row],[Fee Basis]],"Base")</f>
        <v>Base</v>
      </c>
      <c r="AC336" s="141">
        <f>IF(MasterFees[[#This Row],[Fixed Fee?]]="Yes",MasterFees[[#This Row],[Fee Excl. GST]],"")</f>
        <v>700</v>
      </c>
    </row>
    <row r="337" spans="1:29" x14ac:dyDescent="0.2">
      <c r="A337" s="67" t="s">
        <v>2173</v>
      </c>
      <c r="B337" s="31">
        <f>IF(MasterFees[[#This Row],[RVG Code]]="","",_xlfn.XLOOKUP(MasterFees[[#This Row],[RVG Code]],RVGCodes[Code],RVGCodes[Base Units],"Code not found"))</f>
        <v>4</v>
      </c>
      <c r="C33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3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37" s="125" t="s">
        <v>2570</v>
      </c>
      <c r="F337" s="48" t="s">
        <v>2567</v>
      </c>
      <c r="G337" s="30" t="s">
        <v>4496</v>
      </c>
      <c r="H337" s="37" t="s">
        <v>4625</v>
      </c>
      <c r="I337" s="37" t="s">
        <v>4495</v>
      </c>
      <c r="J337" s="37" t="s">
        <v>1024</v>
      </c>
      <c r="K337" s="32"/>
      <c r="L337" s="32"/>
      <c r="M337" s="32"/>
      <c r="N337" s="32"/>
      <c r="O337" s="33">
        <v>700</v>
      </c>
      <c r="P337" s="38" t="s">
        <v>4398</v>
      </c>
      <c r="Q337" s="34">
        <f>IF(MasterFees[[#This Row],[GST Basis]]="Excl",MasterFees[[#This Row],[Fee as Printed]],IF(MasterFees[[#This Row],[GST Basis]]="Incl",MasterFees[[#This Row],[Fee as Printed]]/(1+GST_Rate),""))</f>
        <v>700</v>
      </c>
      <c r="R337" s="34">
        <f>IF(MasterFees[[#This Row],[GST Basis]]="Incl",MasterFees[[#This Row],[Fee as Printed]],IF(MasterFees[[#This Row],[GST Basis]]="Excl",MasterFees[[#This Row],[Fee as Printed]]*(1+GST_Rate),""))</f>
        <v>804.99999999999989</v>
      </c>
      <c r="S337" s="35" t="str">
        <f>IF(N(MasterFees[[#This Row],[Total Units]])=0,"",MasterFees[[#This Row],[Fee as Printed]]/MasterFees[[#This Row],[Total Units]])</f>
        <v/>
      </c>
      <c r="T337" s="36"/>
      <c r="U337" s="39" t="s">
        <v>4587</v>
      </c>
      <c r="V337" s="39" t="s">
        <v>4637</v>
      </c>
      <c r="W337" s="30" t="s">
        <v>4627</v>
      </c>
      <c r="X337" s="77" t="s">
        <v>4858</v>
      </c>
      <c r="Y337" s="127" t="str">
        <f>_xlfn.XLOOKUP(MasterFees[[#This Row],[Provider / Payer]],Contracts[Contract Name],Contracts[Contract ID],"No contract")</f>
        <v>CON-06</v>
      </c>
      <c r="Z337" s="127" t="str">
        <f>_xlfn.XLOOKUP(MasterFees[[#This Row],[Provider / Payer]],Contracts[Contract Name],Contracts[Pricing Basis],"To confirm")</f>
        <v>Fixed fee schedule</v>
      </c>
      <c r="AA337" s="127" t="str">
        <f>IF(MasterFees[[#This Row],[Pricing Basis]]="Fixed fee schedule","Yes","No")</f>
        <v>Yes</v>
      </c>
      <c r="AB337" s="127" t="str">
        <f>IF(OR(MasterFees[[#This Row],[Fee Basis]]="Add-on",MasterFees[[#This Row],[Fee Basis]]="Time band",MasterFees[[#This Row],[Fee Basis]]="Other"),MasterFees[[#This Row],[Fee Basis]],"Base")</f>
        <v>Base</v>
      </c>
      <c r="AC337" s="141">
        <f>IF(MasterFees[[#This Row],[Fixed Fee?]]="Yes",MasterFees[[#This Row],[Fee Excl. GST]],"")</f>
        <v>700</v>
      </c>
    </row>
    <row r="338" spans="1:29" x14ac:dyDescent="0.2">
      <c r="A338" s="67" t="s">
        <v>2173</v>
      </c>
      <c r="B338" s="31">
        <f>IF(MasterFees[[#This Row],[RVG Code]]="","",_xlfn.XLOOKUP(MasterFees[[#This Row],[RVG Code]],RVGCodes[Code],RVGCodes[Base Units],"Code not found"))</f>
        <v>4</v>
      </c>
      <c r="C33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3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38" s="125" t="s">
        <v>2570</v>
      </c>
      <c r="F338" s="48" t="s">
        <v>2567</v>
      </c>
      <c r="G338" s="30" t="s">
        <v>456</v>
      </c>
      <c r="H338" s="37" t="s">
        <v>1095</v>
      </c>
      <c r="I338" s="37"/>
      <c r="J338" s="37" t="s">
        <v>1096</v>
      </c>
      <c r="K338" s="32">
        <v>0</v>
      </c>
      <c r="L338" s="32">
        <v>0</v>
      </c>
      <c r="M338" s="32">
        <v>0</v>
      </c>
      <c r="N338" s="32">
        <v>0</v>
      </c>
      <c r="O338" s="33">
        <v>0</v>
      </c>
      <c r="P338" s="38" t="s">
        <v>1014</v>
      </c>
      <c r="Q338" s="34" t="str">
        <f>IF(MasterFees[[#This Row],[GST Basis]]="Excl",MasterFees[[#This Row],[Fee as Printed]],IF(MasterFees[[#This Row],[GST Basis]]="Incl",MasterFees[[#This Row],[Fee as Printed]]/(1+GST_Rate),""))</f>
        <v/>
      </c>
      <c r="R338" s="34" t="str">
        <f>IF(MasterFees[[#This Row],[GST Basis]]="Incl",MasterFees[[#This Row],[Fee as Printed]],IF(MasterFees[[#This Row],[GST Basis]]="Excl",MasterFees[[#This Row],[Fee as Printed]]*(1+GST_Rate),""))</f>
        <v/>
      </c>
      <c r="S338" s="35" t="str">
        <f>IF(N(MasterFees[[#This Row],[Total Units]])=0,"",MasterFees[[#This Row],[Fee as Printed]]/MasterFees[[#This Row],[Total Units]])</f>
        <v/>
      </c>
      <c r="T338" s="36"/>
      <c r="U338" s="39" t="s">
        <v>1012</v>
      </c>
      <c r="V338" s="39" t="s">
        <v>1551</v>
      </c>
      <c r="W338" s="30"/>
      <c r="X338" s="73" t="s">
        <v>3344</v>
      </c>
      <c r="Y338" s="127" t="str">
        <f>_xlfn.XLOOKUP(MasterFees[[#This Row],[Provider / Payer]],Contracts[Contract Name],Contracts[Contract ID],"No contract")</f>
        <v>CON-01</v>
      </c>
      <c r="Z338" s="127" t="str">
        <f>_xlfn.XLOOKUP(MasterFees[[#This Row],[Provider / Payer]],Contracts[Contract Name],Contracts[Pricing Basis],"To confirm")</f>
        <v>To confirm</v>
      </c>
      <c r="AA338" s="127" t="str">
        <f>IF(MasterFees[[#This Row],[Pricing Basis]]="Fixed fee schedule","Yes","No")</f>
        <v>No</v>
      </c>
      <c r="AB338" s="127" t="str">
        <f>IF(OR(MasterFees[[#This Row],[Fee Basis]]="Add-on",MasterFees[[#This Row],[Fee Basis]]="Time band",MasterFees[[#This Row],[Fee Basis]]="Other"),MasterFees[[#This Row],[Fee Basis]],"Base")</f>
        <v>Base</v>
      </c>
      <c r="AC338" s="141" t="str">
        <f>IF(MasterFees[[#This Row],[Fixed Fee?]]="Yes",MasterFees[[#This Row],[Fee Excl. GST]],"")</f>
        <v/>
      </c>
    </row>
    <row r="339" spans="1:29" x14ac:dyDescent="0.2">
      <c r="A339" s="67" t="s">
        <v>2173</v>
      </c>
      <c r="B339" s="31">
        <f>IF(MasterFees[[#This Row],[RVG Code]]="","",_xlfn.XLOOKUP(MasterFees[[#This Row],[RVG Code]],RVGCodes[Code],RVGCodes[Base Units],"Code not found"))</f>
        <v>4</v>
      </c>
      <c r="C33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3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39" s="125" t="s">
        <v>2570</v>
      </c>
      <c r="F339" s="48" t="s">
        <v>2567</v>
      </c>
      <c r="G339" s="30" t="s">
        <v>535</v>
      </c>
      <c r="H339" s="37" t="s">
        <v>1095</v>
      </c>
      <c r="I339" s="37"/>
      <c r="J339" s="37" t="s">
        <v>1096</v>
      </c>
      <c r="K339" s="32">
        <v>1.4</v>
      </c>
      <c r="L339" s="32">
        <v>0.7</v>
      </c>
      <c r="M339" s="32">
        <v>0.3</v>
      </c>
      <c r="N339" s="32">
        <v>2.2999999999999998</v>
      </c>
      <c r="O339" s="33">
        <v>126.5</v>
      </c>
      <c r="P339" s="38" t="s">
        <v>1014</v>
      </c>
      <c r="Q339" s="34" t="str">
        <f>IF(MasterFees[[#This Row],[GST Basis]]="Excl",MasterFees[[#This Row],[Fee as Printed]],IF(MasterFees[[#This Row],[GST Basis]]="Incl",MasterFees[[#This Row],[Fee as Printed]]/(1+GST_Rate),""))</f>
        <v/>
      </c>
      <c r="R339" s="34" t="str">
        <f>IF(MasterFees[[#This Row],[GST Basis]]="Incl",MasterFees[[#This Row],[Fee as Printed]],IF(MasterFees[[#This Row],[GST Basis]]="Excl",MasterFees[[#This Row],[Fee as Printed]]*(1+GST_Rate),""))</f>
        <v/>
      </c>
      <c r="S339" s="35">
        <f>IF(N(MasterFees[[#This Row],[Total Units]])=0,"",MasterFees[[#This Row],[Fee as Printed]]/MasterFees[[#This Row],[Total Units]])</f>
        <v>55.000000000000007</v>
      </c>
      <c r="T339" s="36"/>
      <c r="U339" s="39" t="s">
        <v>1012</v>
      </c>
      <c r="V339" s="39" t="s">
        <v>1630</v>
      </c>
      <c r="W339" s="30"/>
      <c r="X339" s="73" t="s">
        <v>3427</v>
      </c>
      <c r="Y339" s="127" t="str">
        <f>_xlfn.XLOOKUP(MasterFees[[#This Row],[Provider / Payer]],Contracts[Contract Name],Contracts[Contract ID],"No contract")</f>
        <v>CON-01</v>
      </c>
      <c r="Z339" s="127" t="str">
        <f>_xlfn.XLOOKUP(MasterFees[[#This Row],[Provider / Payer]],Contracts[Contract Name],Contracts[Pricing Basis],"To confirm")</f>
        <v>To confirm</v>
      </c>
      <c r="AA339" s="127" t="str">
        <f>IF(MasterFees[[#This Row],[Pricing Basis]]="Fixed fee schedule","Yes","No")</f>
        <v>No</v>
      </c>
      <c r="AB339" s="127" t="str">
        <f>IF(OR(MasterFees[[#This Row],[Fee Basis]]="Add-on",MasterFees[[#This Row],[Fee Basis]]="Time band",MasterFees[[#This Row],[Fee Basis]]="Other"),MasterFees[[#This Row],[Fee Basis]],"Base")</f>
        <v>Base</v>
      </c>
      <c r="AC339" s="141" t="str">
        <f>IF(MasterFees[[#This Row],[Fixed Fee?]]="Yes",MasterFees[[#This Row],[Fee Excl. GST]],"")</f>
        <v/>
      </c>
    </row>
    <row r="340" spans="1:29" x14ac:dyDescent="0.2">
      <c r="A340" s="67" t="s">
        <v>2173</v>
      </c>
      <c r="B340" s="31">
        <f>IF(MasterFees[[#This Row],[RVG Code]]="","",_xlfn.XLOOKUP(MasterFees[[#This Row],[RVG Code]],RVGCodes[Code],RVGCodes[Base Units],"Code not found"))</f>
        <v>4</v>
      </c>
      <c r="C34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4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40" s="125" t="s">
        <v>2570</v>
      </c>
      <c r="F340" s="48" t="s">
        <v>2567</v>
      </c>
      <c r="G340" s="30" t="s">
        <v>537</v>
      </c>
      <c r="H340" s="37" t="s">
        <v>1095</v>
      </c>
      <c r="I340" s="37"/>
      <c r="J340" s="37" t="s">
        <v>1096</v>
      </c>
      <c r="K340" s="32">
        <v>1.2</v>
      </c>
      <c r="L340" s="32">
        <v>0.6</v>
      </c>
      <c r="M340" s="32">
        <v>0.3</v>
      </c>
      <c r="N340" s="32">
        <v>2.1</v>
      </c>
      <c r="O340" s="33">
        <v>112.75</v>
      </c>
      <c r="P340" s="38" t="s">
        <v>1014</v>
      </c>
      <c r="Q340" s="34" t="str">
        <f>IF(MasterFees[[#This Row],[GST Basis]]="Excl",MasterFees[[#This Row],[Fee as Printed]],IF(MasterFees[[#This Row],[GST Basis]]="Incl",MasterFees[[#This Row],[Fee as Printed]]/(1+GST_Rate),""))</f>
        <v/>
      </c>
      <c r="R340" s="34" t="str">
        <f>IF(MasterFees[[#This Row],[GST Basis]]="Incl",MasterFees[[#This Row],[Fee as Printed]],IF(MasterFees[[#This Row],[GST Basis]]="Excl",MasterFees[[#This Row],[Fee as Printed]]*(1+GST_Rate),""))</f>
        <v/>
      </c>
      <c r="S340" s="35">
        <f>IF(N(MasterFees[[#This Row],[Total Units]])=0,"",MasterFees[[#This Row],[Fee as Printed]]/MasterFees[[#This Row],[Total Units]])</f>
        <v>53.69047619047619</v>
      </c>
      <c r="T340" s="36"/>
      <c r="U340" s="39" t="s">
        <v>1012</v>
      </c>
      <c r="V340" s="39" t="s">
        <v>1632</v>
      </c>
      <c r="W340" s="30"/>
      <c r="X340" s="73" t="s">
        <v>3429</v>
      </c>
      <c r="Y340" s="127" t="str">
        <f>_xlfn.XLOOKUP(MasterFees[[#This Row],[Provider / Payer]],Contracts[Contract Name],Contracts[Contract ID],"No contract")</f>
        <v>CON-01</v>
      </c>
      <c r="Z340" s="127" t="str">
        <f>_xlfn.XLOOKUP(MasterFees[[#This Row],[Provider / Payer]],Contracts[Contract Name],Contracts[Pricing Basis],"To confirm")</f>
        <v>To confirm</v>
      </c>
      <c r="AA340" s="127" t="str">
        <f>IF(MasterFees[[#This Row],[Pricing Basis]]="Fixed fee schedule","Yes","No")</f>
        <v>No</v>
      </c>
      <c r="AB340" s="127" t="str">
        <f>IF(OR(MasterFees[[#This Row],[Fee Basis]]="Add-on",MasterFees[[#This Row],[Fee Basis]]="Time band",MasterFees[[#This Row],[Fee Basis]]="Other"),MasterFees[[#This Row],[Fee Basis]],"Base")</f>
        <v>Base</v>
      </c>
      <c r="AC340" s="141" t="str">
        <f>IF(MasterFees[[#This Row],[Fixed Fee?]]="Yes",MasterFees[[#This Row],[Fee Excl. GST]],"")</f>
        <v/>
      </c>
    </row>
    <row r="341" spans="1:29" x14ac:dyDescent="0.2">
      <c r="A341" s="67" t="s">
        <v>2173</v>
      </c>
      <c r="B341" s="31">
        <f>IF(MasterFees[[#This Row],[RVG Code]]="","",_xlfn.XLOOKUP(MasterFees[[#This Row],[RVG Code]],RVGCodes[Code],RVGCodes[Base Units],"Code not found"))</f>
        <v>4</v>
      </c>
      <c r="C34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4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41" s="125" t="s">
        <v>2570</v>
      </c>
      <c r="F341" s="48" t="s">
        <v>2567</v>
      </c>
      <c r="G341" s="30" t="s">
        <v>538</v>
      </c>
      <c r="H341" s="37" t="s">
        <v>1095</v>
      </c>
      <c r="I341" s="37"/>
      <c r="J341" s="37" t="s">
        <v>1096</v>
      </c>
      <c r="K341" s="32">
        <v>0.6</v>
      </c>
      <c r="L341" s="32">
        <v>0.3</v>
      </c>
      <c r="M341" s="32">
        <v>0.3</v>
      </c>
      <c r="N341" s="32">
        <v>1.1000000000000001</v>
      </c>
      <c r="O341" s="33">
        <v>62.15</v>
      </c>
      <c r="P341" s="38" t="s">
        <v>1014</v>
      </c>
      <c r="Q341" s="34" t="str">
        <f>IF(MasterFees[[#This Row],[GST Basis]]="Excl",MasterFees[[#This Row],[Fee as Printed]],IF(MasterFees[[#This Row],[GST Basis]]="Incl",MasterFees[[#This Row],[Fee as Printed]]/(1+GST_Rate),""))</f>
        <v/>
      </c>
      <c r="R341" s="34" t="str">
        <f>IF(MasterFees[[#This Row],[GST Basis]]="Incl",MasterFees[[#This Row],[Fee as Printed]],IF(MasterFees[[#This Row],[GST Basis]]="Excl",MasterFees[[#This Row],[Fee as Printed]]*(1+GST_Rate),""))</f>
        <v/>
      </c>
      <c r="S341" s="35">
        <f>IF(N(MasterFees[[#This Row],[Total Units]])=0,"",MasterFees[[#This Row],[Fee as Printed]]/MasterFees[[#This Row],[Total Units]])</f>
        <v>56.499999999999993</v>
      </c>
      <c r="T341" s="36"/>
      <c r="U341" s="39" t="s">
        <v>1012</v>
      </c>
      <c r="V341" s="39" t="s">
        <v>1633</v>
      </c>
      <c r="W341" s="30"/>
      <c r="X341" s="73" t="s">
        <v>3430</v>
      </c>
      <c r="Y341" s="127" t="str">
        <f>_xlfn.XLOOKUP(MasterFees[[#This Row],[Provider / Payer]],Contracts[Contract Name],Contracts[Contract ID],"No contract")</f>
        <v>CON-01</v>
      </c>
      <c r="Z341" s="127" t="str">
        <f>_xlfn.XLOOKUP(MasterFees[[#This Row],[Provider / Payer]],Contracts[Contract Name],Contracts[Pricing Basis],"To confirm")</f>
        <v>To confirm</v>
      </c>
      <c r="AA341" s="127" t="str">
        <f>IF(MasterFees[[#This Row],[Pricing Basis]]="Fixed fee schedule","Yes","No")</f>
        <v>No</v>
      </c>
      <c r="AB341" s="127" t="str">
        <f>IF(OR(MasterFees[[#This Row],[Fee Basis]]="Add-on",MasterFees[[#This Row],[Fee Basis]]="Time band",MasterFees[[#This Row],[Fee Basis]]="Other"),MasterFees[[#This Row],[Fee Basis]],"Base")</f>
        <v>Base</v>
      </c>
      <c r="AC341" s="141" t="str">
        <f>IF(MasterFees[[#This Row],[Fixed Fee?]]="Yes",MasterFees[[#This Row],[Fee Excl. GST]],"")</f>
        <v/>
      </c>
    </row>
    <row r="342" spans="1:29" x14ac:dyDescent="0.2">
      <c r="A342" s="67" t="s">
        <v>2173</v>
      </c>
      <c r="B342" s="31">
        <f>IF(MasterFees[[#This Row],[RVG Code]]="","",_xlfn.XLOOKUP(MasterFees[[#This Row],[RVG Code]],RVGCodes[Code],RVGCodes[Base Units],"Code not found"))</f>
        <v>4</v>
      </c>
      <c r="C34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4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42" s="125" t="s">
        <v>2570</v>
      </c>
      <c r="F342" s="48" t="s">
        <v>2567</v>
      </c>
      <c r="G342" s="30" t="s">
        <v>539</v>
      </c>
      <c r="H342" s="37" t="s">
        <v>1095</v>
      </c>
      <c r="I342" s="37"/>
      <c r="J342" s="37" t="s">
        <v>1096</v>
      </c>
      <c r="K342" s="32">
        <v>1.8</v>
      </c>
      <c r="L342" s="32">
        <v>0.9</v>
      </c>
      <c r="M342" s="32">
        <v>0.7</v>
      </c>
      <c r="N342" s="32">
        <v>3.5</v>
      </c>
      <c r="O342" s="33">
        <v>190.85</v>
      </c>
      <c r="P342" s="38" t="s">
        <v>1014</v>
      </c>
      <c r="Q342" s="34" t="str">
        <f>IF(MasterFees[[#This Row],[GST Basis]]="Excl",MasterFees[[#This Row],[Fee as Printed]],IF(MasterFees[[#This Row],[GST Basis]]="Incl",MasterFees[[#This Row],[Fee as Printed]]/(1+GST_Rate),""))</f>
        <v/>
      </c>
      <c r="R342" s="34" t="str">
        <f>IF(MasterFees[[#This Row],[GST Basis]]="Incl",MasterFees[[#This Row],[Fee as Printed]],IF(MasterFees[[#This Row],[GST Basis]]="Excl",MasterFees[[#This Row],[Fee as Printed]]*(1+GST_Rate),""))</f>
        <v/>
      </c>
      <c r="S342" s="35">
        <f>IF(N(MasterFees[[#This Row],[Total Units]])=0,"",MasterFees[[#This Row],[Fee as Printed]]/MasterFees[[#This Row],[Total Units]])</f>
        <v>54.528571428571425</v>
      </c>
      <c r="T342" s="36"/>
      <c r="U342" s="39" t="s">
        <v>1012</v>
      </c>
      <c r="V342" s="39" t="s">
        <v>1634</v>
      </c>
      <c r="W342" s="30"/>
      <c r="X342" s="73" t="s">
        <v>3431</v>
      </c>
      <c r="Y342" s="127" t="str">
        <f>_xlfn.XLOOKUP(MasterFees[[#This Row],[Provider / Payer]],Contracts[Contract Name],Contracts[Contract ID],"No contract")</f>
        <v>CON-01</v>
      </c>
      <c r="Z342" s="127" t="str">
        <f>_xlfn.XLOOKUP(MasterFees[[#This Row],[Provider / Payer]],Contracts[Contract Name],Contracts[Pricing Basis],"To confirm")</f>
        <v>To confirm</v>
      </c>
      <c r="AA342" s="127" t="str">
        <f>IF(MasterFees[[#This Row],[Pricing Basis]]="Fixed fee schedule","Yes","No")</f>
        <v>No</v>
      </c>
      <c r="AB342" s="127" t="str">
        <f>IF(OR(MasterFees[[#This Row],[Fee Basis]]="Add-on",MasterFees[[#This Row],[Fee Basis]]="Time band",MasterFees[[#This Row],[Fee Basis]]="Other"),MasterFees[[#This Row],[Fee Basis]],"Base")</f>
        <v>Base</v>
      </c>
      <c r="AC342" s="141" t="str">
        <f>IF(MasterFees[[#This Row],[Fixed Fee?]]="Yes",MasterFees[[#This Row],[Fee Excl. GST]],"")</f>
        <v/>
      </c>
    </row>
    <row r="343" spans="1:29" x14ac:dyDescent="0.2">
      <c r="A343" s="67" t="s">
        <v>2173</v>
      </c>
      <c r="B343" s="31">
        <f>IF(MasterFees[[#This Row],[RVG Code]]="","",_xlfn.XLOOKUP(MasterFees[[#This Row],[RVG Code]],RVGCodes[Code],RVGCodes[Base Units],"Code not found"))</f>
        <v>4</v>
      </c>
      <c r="C34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4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43" s="125" t="s">
        <v>2570</v>
      </c>
      <c r="F343" s="48" t="s">
        <v>2567</v>
      </c>
      <c r="G343" s="30" t="s">
        <v>540</v>
      </c>
      <c r="H343" s="37" t="s">
        <v>1095</v>
      </c>
      <c r="I343" s="37"/>
      <c r="J343" s="37" t="s">
        <v>1096</v>
      </c>
      <c r="K343" s="32">
        <v>4</v>
      </c>
      <c r="L343" s="32">
        <v>5</v>
      </c>
      <c r="M343" s="32">
        <v>0</v>
      </c>
      <c r="N343" s="32">
        <v>9</v>
      </c>
      <c r="O343" s="33">
        <v>495</v>
      </c>
      <c r="P343" s="38" t="s">
        <v>1014</v>
      </c>
      <c r="Q343" s="34" t="str">
        <f>IF(MasterFees[[#This Row],[GST Basis]]="Excl",MasterFees[[#This Row],[Fee as Printed]],IF(MasterFees[[#This Row],[GST Basis]]="Incl",MasterFees[[#This Row],[Fee as Printed]]/(1+GST_Rate),""))</f>
        <v/>
      </c>
      <c r="R343" s="34" t="str">
        <f>IF(MasterFees[[#This Row],[GST Basis]]="Incl",MasterFees[[#This Row],[Fee as Printed]],IF(MasterFees[[#This Row],[GST Basis]]="Excl",MasterFees[[#This Row],[Fee as Printed]]*(1+GST_Rate),""))</f>
        <v/>
      </c>
      <c r="S343" s="35">
        <f>IF(N(MasterFees[[#This Row],[Total Units]])=0,"",MasterFees[[#This Row],[Fee as Printed]]/MasterFees[[#This Row],[Total Units]])</f>
        <v>55</v>
      </c>
      <c r="T343" s="36"/>
      <c r="U343" s="39" t="s">
        <v>1012</v>
      </c>
      <c r="V343" s="39" t="s">
        <v>1635</v>
      </c>
      <c r="W343" s="30"/>
      <c r="X343" s="73" t="s">
        <v>3432</v>
      </c>
      <c r="Y343" s="127" t="str">
        <f>_xlfn.XLOOKUP(MasterFees[[#This Row],[Provider / Payer]],Contracts[Contract Name],Contracts[Contract ID],"No contract")</f>
        <v>CON-01</v>
      </c>
      <c r="Z343" s="127" t="str">
        <f>_xlfn.XLOOKUP(MasterFees[[#This Row],[Provider / Payer]],Contracts[Contract Name],Contracts[Pricing Basis],"To confirm")</f>
        <v>To confirm</v>
      </c>
      <c r="AA343" s="127" t="str">
        <f>IF(MasterFees[[#This Row],[Pricing Basis]]="Fixed fee schedule","Yes","No")</f>
        <v>No</v>
      </c>
      <c r="AB343" s="127" t="str">
        <f>IF(OR(MasterFees[[#This Row],[Fee Basis]]="Add-on",MasterFees[[#This Row],[Fee Basis]]="Time band",MasterFees[[#This Row],[Fee Basis]]="Other"),MasterFees[[#This Row],[Fee Basis]],"Base")</f>
        <v>Base</v>
      </c>
      <c r="AC343" s="141" t="str">
        <f>IF(MasterFees[[#This Row],[Fixed Fee?]]="Yes",MasterFees[[#This Row],[Fee Excl. GST]],"")</f>
        <v/>
      </c>
    </row>
    <row r="344" spans="1:29" x14ac:dyDescent="0.2">
      <c r="A344" s="67" t="s">
        <v>2173</v>
      </c>
      <c r="B344" s="31">
        <f>IF(MasterFees[[#This Row],[RVG Code]]="","",_xlfn.XLOOKUP(MasterFees[[#This Row],[RVG Code]],RVGCodes[Code],RVGCodes[Base Units],"Code not found"))</f>
        <v>4</v>
      </c>
      <c r="C34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4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44" s="125" t="s">
        <v>2570</v>
      </c>
      <c r="F344" s="48" t="s">
        <v>2567</v>
      </c>
      <c r="G344" s="30" t="s">
        <v>541</v>
      </c>
      <c r="H344" s="37" t="s">
        <v>1095</v>
      </c>
      <c r="I344" s="37"/>
      <c r="J344" s="37" t="s">
        <v>1096</v>
      </c>
      <c r="K344" s="32">
        <v>2.2000000000000002</v>
      </c>
      <c r="L344" s="32">
        <v>1.1000000000000001</v>
      </c>
      <c r="M344" s="32">
        <v>0.8</v>
      </c>
      <c r="N344" s="32">
        <v>4.0999999999999996</v>
      </c>
      <c r="O344" s="33">
        <v>227.7</v>
      </c>
      <c r="P344" s="38" t="s">
        <v>1014</v>
      </c>
      <c r="Q344" s="34" t="str">
        <f>IF(MasterFees[[#This Row],[GST Basis]]="Excl",MasterFees[[#This Row],[Fee as Printed]],IF(MasterFees[[#This Row],[GST Basis]]="Incl",MasterFees[[#This Row],[Fee as Printed]]/(1+GST_Rate),""))</f>
        <v/>
      </c>
      <c r="R344" s="34" t="str">
        <f>IF(MasterFees[[#This Row],[GST Basis]]="Incl",MasterFees[[#This Row],[Fee as Printed]],IF(MasterFees[[#This Row],[GST Basis]]="Excl",MasterFees[[#This Row],[Fee as Printed]]*(1+GST_Rate),""))</f>
        <v/>
      </c>
      <c r="S344" s="35">
        <f>IF(N(MasterFees[[#This Row],[Total Units]])=0,"",MasterFees[[#This Row],[Fee as Printed]]/MasterFees[[#This Row],[Total Units]])</f>
        <v>55.536585365853661</v>
      </c>
      <c r="T344" s="36"/>
      <c r="U344" s="39" t="s">
        <v>1012</v>
      </c>
      <c r="V344" s="39" t="s">
        <v>1636</v>
      </c>
      <c r="W344" s="30"/>
      <c r="X344" s="73" t="s">
        <v>3433</v>
      </c>
      <c r="Y344" s="127" t="str">
        <f>_xlfn.XLOOKUP(MasterFees[[#This Row],[Provider / Payer]],Contracts[Contract Name],Contracts[Contract ID],"No contract")</f>
        <v>CON-01</v>
      </c>
      <c r="Z344" s="127" t="str">
        <f>_xlfn.XLOOKUP(MasterFees[[#This Row],[Provider / Payer]],Contracts[Contract Name],Contracts[Pricing Basis],"To confirm")</f>
        <v>To confirm</v>
      </c>
      <c r="AA344" s="127" t="str">
        <f>IF(MasterFees[[#This Row],[Pricing Basis]]="Fixed fee schedule","Yes","No")</f>
        <v>No</v>
      </c>
      <c r="AB344" s="127" t="str">
        <f>IF(OR(MasterFees[[#This Row],[Fee Basis]]="Add-on",MasterFees[[#This Row],[Fee Basis]]="Time band",MasterFees[[#This Row],[Fee Basis]]="Other"),MasterFees[[#This Row],[Fee Basis]],"Base")</f>
        <v>Base</v>
      </c>
      <c r="AC344" s="141" t="str">
        <f>IF(MasterFees[[#This Row],[Fixed Fee?]]="Yes",MasterFees[[#This Row],[Fee Excl. GST]],"")</f>
        <v/>
      </c>
    </row>
    <row r="345" spans="1:29" x14ac:dyDescent="0.2">
      <c r="A345" s="67" t="s">
        <v>2173</v>
      </c>
      <c r="B345" s="31">
        <f>IF(MasterFees[[#This Row],[RVG Code]]="","",_xlfn.XLOOKUP(MasterFees[[#This Row],[RVG Code]],RVGCodes[Code],RVGCodes[Base Units],"Code not found"))</f>
        <v>4</v>
      </c>
      <c r="C34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4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45" s="125" t="s">
        <v>2570</v>
      </c>
      <c r="F345" s="48" t="s">
        <v>2567</v>
      </c>
      <c r="G345" s="30" t="s">
        <v>542</v>
      </c>
      <c r="H345" s="37" t="s">
        <v>1095</v>
      </c>
      <c r="I345" s="37"/>
      <c r="J345" s="37" t="s">
        <v>1096</v>
      </c>
      <c r="K345" s="32">
        <v>0.1</v>
      </c>
      <c r="L345" s="32">
        <v>0.1</v>
      </c>
      <c r="M345" s="32">
        <v>0.1</v>
      </c>
      <c r="N345" s="32">
        <v>0.3</v>
      </c>
      <c r="O345" s="33">
        <v>16.5</v>
      </c>
      <c r="P345" s="38" t="s">
        <v>1014</v>
      </c>
      <c r="Q345" s="34" t="str">
        <f>IF(MasterFees[[#This Row],[GST Basis]]="Excl",MasterFees[[#This Row],[Fee as Printed]],IF(MasterFees[[#This Row],[GST Basis]]="Incl",MasterFees[[#This Row],[Fee as Printed]]/(1+GST_Rate),""))</f>
        <v/>
      </c>
      <c r="R345" s="34" t="str">
        <f>IF(MasterFees[[#This Row],[GST Basis]]="Incl",MasterFees[[#This Row],[Fee as Printed]],IF(MasterFees[[#This Row],[GST Basis]]="Excl",MasterFees[[#This Row],[Fee as Printed]]*(1+GST_Rate),""))</f>
        <v/>
      </c>
      <c r="S345" s="35">
        <f>IF(N(MasterFees[[#This Row],[Total Units]])=0,"",MasterFees[[#This Row],[Fee as Printed]]/MasterFees[[#This Row],[Total Units]])</f>
        <v>55</v>
      </c>
      <c r="T345" s="36"/>
      <c r="U345" s="39" t="s">
        <v>1012</v>
      </c>
      <c r="V345" s="39" t="s">
        <v>1637</v>
      </c>
      <c r="W345" s="30"/>
      <c r="X345" s="73" t="s">
        <v>3434</v>
      </c>
      <c r="Y345" s="127" t="str">
        <f>_xlfn.XLOOKUP(MasterFees[[#This Row],[Provider / Payer]],Contracts[Contract Name],Contracts[Contract ID],"No contract")</f>
        <v>CON-01</v>
      </c>
      <c r="Z345" s="127" t="str">
        <f>_xlfn.XLOOKUP(MasterFees[[#This Row],[Provider / Payer]],Contracts[Contract Name],Contracts[Pricing Basis],"To confirm")</f>
        <v>To confirm</v>
      </c>
      <c r="AA345" s="127" t="str">
        <f>IF(MasterFees[[#This Row],[Pricing Basis]]="Fixed fee schedule","Yes","No")</f>
        <v>No</v>
      </c>
      <c r="AB345" s="127" t="str">
        <f>IF(OR(MasterFees[[#This Row],[Fee Basis]]="Add-on",MasterFees[[#This Row],[Fee Basis]]="Time band",MasterFees[[#This Row],[Fee Basis]]="Other"),MasterFees[[#This Row],[Fee Basis]],"Base")</f>
        <v>Base</v>
      </c>
      <c r="AC345" s="141" t="str">
        <f>IF(MasterFees[[#This Row],[Fixed Fee?]]="Yes",MasterFees[[#This Row],[Fee Excl. GST]],"")</f>
        <v/>
      </c>
    </row>
    <row r="346" spans="1:29" x14ac:dyDescent="0.2">
      <c r="A346" s="67" t="s">
        <v>2173</v>
      </c>
      <c r="B346" s="31">
        <f>IF(MasterFees[[#This Row],[RVG Code]]="","",_xlfn.XLOOKUP(MasterFees[[#This Row],[RVG Code]],RVGCodes[Code],RVGCodes[Base Units],"Code not found"))</f>
        <v>4</v>
      </c>
      <c r="C34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4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46" s="125" t="s">
        <v>2570</v>
      </c>
      <c r="F346" s="48" t="s">
        <v>2567</v>
      </c>
      <c r="G346" s="30" t="s">
        <v>543</v>
      </c>
      <c r="H346" s="37" t="s">
        <v>1095</v>
      </c>
      <c r="I346" s="37"/>
      <c r="J346" s="37" t="s">
        <v>1096</v>
      </c>
      <c r="K346" s="32">
        <v>2.5</v>
      </c>
      <c r="L346" s="32">
        <v>1.3</v>
      </c>
      <c r="M346" s="32">
        <v>0.5</v>
      </c>
      <c r="N346" s="32">
        <v>4.2</v>
      </c>
      <c r="O346" s="33">
        <v>231.55</v>
      </c>
      <c r="P346" s="38" t="s">
        <v>1014</v>
      </c>
      <c r="Q346" s="34" t="str">
        <f>IF(MasterFees[[#This Row],[GST Basis]]="Excl",MasterFees[[#This Row],[Fee as Printed]],IF(MasterFees[[#This Row],[GST Basis]]="Incl",MasterFees[[#This Row],[Fee as Printed]]/(1+GST_Rate),""))</f>
        <v/>
      </c>
      <c r="R346" s="34" t="str">
        <f>IF(MasterFees[[#This Row],[GST Basis]]="Incl",MasterFees[[#This Row],[Fee as Printed]],IF(MasterFees[[#This Row],[GST Basis]]="Excl",MasterFees[[#This Row],[Fee as Printed]]*(1+GST_Rate),""))</f>
        <v/>
      </c>
      <c r="S346" s="35">
        <f>IF(N(MasterFees[[#This Row],[Total Units]])=0,"",MasterFees[[#This Row],[Fee as Printed]]/MasterFees[[#This Row],[Total Units]])</f>
        <v>55.13095238095238</v>
      </c>
      <c r="T346" s="36"/>
      <c r="U346" s="39" t="s">
        <v>1012</v>
      </c>
      <c r="V346" s="39" t="s">
        <v>1638</v>
      </c>
      <c r="W346" s="30"/>
      <c r="X346" s="73" t="s">
        <v>3435</v>
      </c>
      <c r="Y346" s="127" t="str">
        <f>_xlfn.XLOOKUP(MasterFees[[#This Row],[Provider / Payer]],Contracts[Contract Name],Contracts[Contract ID],"No contract")</f>
        <v>CON-01</v>
      </c>
      <c r="Z346" s="127" t="str">
        <f>_xlfn.XLOOKUP(MasterFees[[#This Row],[Provider / Payer]],Contracts[Contract Name],Contracts[Pricing Basis],"To confirm")</f>
        <v>To confirm</v>
      </c>
      <c r="AA346" s="127" t="str">
        <f>IF(MasterFees[[#This Row],[Pricing Basis]]="Fixed fee schedule","Yes","No")</f>
        <v>No</v>
      </c>
      <c r="AB346" s="127" t="str">
        <f>IF(OR(MasterFees[[#This Row],[Fee Basis]]="Add-on",MasterFees[[#This Row],[Fee Basis]]="Time band",MasterFees[[#This Row],[Fee Basis]]="Other"),MasterFees[[#This Row],[Fee Basis]],"Base")</f>
        <v>Base</v>
      </c>
      <c r="AC346" s="141" t="str">
        <f>IF(MasterFees[[#This Row],[Fixed Fee?]]="Yes",MasterFees[[#This Row],[Fee Excl. GST]],"")</f>
        <v/>
      </c>
    </row>
    <row r="347" spans="1:29" x14ac:dyDescent="0.2">
      <c r="A347" s="67" t="s">
        <v>2173</v>
      </c>
      <c r="B347" s="31">
        <f>IF(MasterFees[[#This Row],[RVG Code]]="","",_xlfn.XLOOKUP(MasterFees[[#This Row],[RVG Code]],RVGCodes[Code],RVGCodes[Base Units],"Code not found"))</f>
        <v>4</v>
      </c>
      <c r="C34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4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47" s="125" t="s">
        <v>2570</v>
      </c>
      <c r="F347" s="48" t="s">
        <v>2567</v>
      </c>
      <c r="G347" s="30" t="s">
        <v>545</v>
      </c>
      <c r="H347" s="37" t="s">
        <v>1095</v>
      </c>
      <c r="I347" s="37"/>
      <c r="J347" s="37" t="s">
        <v>1096</v>
      </c>
      <c r="K347" s="32">
        <v>1.8</v>
      </c>
      <c r="L347" s="32">
        <v>0.8</v>
      </c>
      <c r="M347" s="32">
        <v>0.4</v>
      </c>
      <c r="N347" s="32">
        <v>3</v>
      </c>
      <c r="O347" s="33">
        <v>163.9</v>
      </c>
      <c r="P347" s="38" t="s">
        <v>1014</v>
      </c>
      <c r="Q347" s="34" t="str">
        <f>IF(MasterFees[[#This Row],[GST Basis]]="Excl",MasterFees[[#This Row],[Fee as Printed]],IF(MasterFees[[#This Row],[GST Basis]]="Incl",MasterFees[[#This Row],[Fee as Printed]]/(1+GST_Rate),""))</f>
        <v/>
      </c>
      <c r="R347" s="34" t="str">
        <f>IF(MasterFees[[#This Row],[GST Basis]]="Incl",MasterFees[[#This Row],[Fee as Printed]],IF(MasterFees[[#This Row],[GST Basis]]="Excl",MasterFees[[#This Row],[Fee as Printed]]*(1+GST_Rate),""))</f>
        <v/>
      </c>
      <c r="S347" s="35">
        <f>IF(N(MasterFees[[#This Row],[Total Units]])=0,"",MasterFees[[#This Row],[Fee as Printed]]/MasterFees[[#This Row],[Total Units]])</f>
        <v>54.633333333333333</v>
      </c>
      <c r="T347" s="36"/>
      <c r="U347" s="39" t="s">
        <v>1012</v>
      </c>
      <c r="V347" s="39" t="s">
        <v>1640</v>
      </c>
      <c r="W347" s="30"/>
      <c r="X347" s="73" t="s">
        <v>3437</v>
      </c>
      <c r="Y347" s="127" t="str">
        <f>_xlfn.XLOOKUP(MasterFees[[#This Row],[Provider / Payer]],Contracts[Contract Name],Contracts[Contract ID],"No contract")</f>
        <v>CON-01</v>
      </c>
      <c r="Z347" s="127" t="str">
        <f>_xlfn.XLOOKUP(MasterFees[[#This Row],[Provider / Payer]],Contracts[Contract Name],Contracts[Pricing Basis],"To confirm")</f>
        <v>To confirm</v>
      </c>
      <c r="AA347" s="127" t="str">
        <f>IF(MasterFees[[#This Row],[Pricing Basis]]="Fixed fee schedule","Yes","No")</f>
        <v>No</v>
      </c>
      <c r="AB347" s="127" t="str">
        <f>IF(OR(MasterFees[[#This Row],[Fee Basis]]="Add-on",MasterFees[[#This Row],[Fee Basis]]="Time band",MasterFees[[#This Row],[Fee Basis]]="Other"),MasterFees[[#This Row],[Fee Basis]],"Base")</f>
        <v>Base</v>
      </c>
      <c r="AC347" s="141" t="str">
        <f>IF(MasterFees[[#This Row],[Fixed Fee?]]="Yes",MasterFees[[#This Row],[Fee Excl. GST]],"")</f>
        <v/>
      </c>
    </row>
    <row r="348" spans="1:29" x14ac:dyDescent="0.2">
      <c r="A348" s="67" t="s">
        <v>2173</v>
      </c>
      <c r="B348" s="31">
        <f>IF(MasterFees[[#This Row],[RVG Code]]="","",_xlfn.XLOOKUP(MasterFees[[#This Row],[RVG Code]],RVGCodes[Code],RVGCodes[Base Units],"Code not found"))</f>
        <v>4</v>
      </c>
      <c r="C34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4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48" s="125" t="s">
        <v>2570</v>
      </c>
      <c r="F348" s="48" t="s">
        <v>2567</v>
      </c>
      <c r="G348" s="30" t="s">
        <v>544</v>
      </c>
      <c r="H348" s="37" t="s">
        <v>1095</v>
      </c>
      <c r="I348" s="37"/>
      <c r="J348" s="37" t="s">
        <v>1096</v>
      </c>
      <c r="K348" s="32">
        <v>0</v>
      </c>
      <c r="L348" s="32">
        <v>0</v>
      </c>
      <c r="M348" s="32">
        <v>0</v>
      </c>
      <c r="N348" s="32">
        <v>0</v>
      </c>
      <c r="O348" s="33">
        <v>0</v>
      </c>
      <c r="P348" s="38" t="s">
        <v>1014</v>
      </c>
      <c r="Q348" s="34" t="str">
        <f>IF(MasterFees[[#This Row],[GST Basis]]="Excl",MasterFees[[#This Row],[Fee as Printed]],IF(MasterFees[[#This Row],[GST Basis]]="Incl",MasterFees[[#This Row],[Fee as Printed]]/(1+GST_Rate),""))</f>
        <v/>
      </c>
      <c r="R348" s="34" t="str">
        <f>IF(MasterFees[[#This Row],[GST Basis]]="Incl",MasterFees[[#This Row],[Fee as Printed]],IF(MasterFees[[#This Row],[GST Basis]]="Excl",MasterFees[[#This Row],[Fee as Printed]]*(1+GST_Rate),""))</f>
        <v/>
      </c>
      <c r="S348" s="35" t="str">
        <f>IF(N(MasterFees[[#This Row],[Total Units]])=0,"",MasterFees[[#This Row],[Fee as Printed]]/MasterFees[[#This Row],[Total Units]])</f>
        <v/>
      </c>
      <c r="T348" s="36"/>
      <c r="U348" s="39" t="s">
        <v>1012</v>
      </c>
      <c r="V348" s="39" t="s">
        <v>1639</v>
      </c>
      <c r="W348" s="30"/>
      <c r="X348" s="73" t="s">
        <v>3436</v>
      </c>
      <c r="Y348" s="127" t="str">
        <f>_xlfn.XLOOKUP(MasterFees[[#This Row],[Provider / Payer]],Contracts[Contract Name],Contracts[Contract ID],"No contract")</f>
        <v>CON-01</v>
      </c>
      <c r="Z348" s="127" t="str">
        <f>_xlfn.XLOOKUP(MasterFees[[#This Row],[Provider / Payer]],Contracts[Contract Name],Contracts[Pricing Basis],"To confirm")</f>
        <v>To confirm</v>
      </c>
      <c r="AA348" s="127" t="str">
        <f>IF(MasterFees[[#This Row],[Pricing Basis]]="Fixed fee schedule","Yes","No")</f>
        <v>No</v>
      </c>
      <c r="AB348" s="127" t="str">
        <f>IF(OR(MasterFees[[#This Row],[Fee Basis]]="Add-on",MasterFees[[#This Row],[Fee Basis]]="Time band",MasterFees[[#This Row],[Fee Basis]]="Other"),MasterFees[[#This Row],[Fee Basis]],"Base")</f>
        <v>Base</v>
      </c>
      <c r="AC348" s="141" t="str">
        <f>IF(MasterFees[[#This Row],[Fixed Fee?]]="Yes",MasterFees[[#This Row],[Fee Excl. GST]],"")</f>
        <v/>
      </c>
    </row>
    <row r="349" spans="1:29" x14ac:dyDescent="0.2">
      <c r="A349" s="67" t="s">
        <v>2173</v>
      </c>
      <c r="B349" s="31">
        <f>IF(MasterFees[[#This Row],[RVG Code]]="","",_xlfn.XLOOKUP(MasterFees[[#This Row],[RVG Code]],RVGCodes[Code],RVGCodes[Base Units],"Code not found"))</f>
        <v>4</v>
      </c>
      <c r="C34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4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49" s="125" t="s">
        <v>2570</v>
      </c>
      <c r="F349" s="48" t="s">
        <v>2567</v>
      </c>
      <c r="G349" s="30" t="s">
        <v>544</v>
      </c>
      <c r="H349" s="37" t="s">
        <v>1095</v>
      </c>
      <c r="I349" s="37"/>
      <c r="J349" s="37" t="s">
        <v>1096</v>
      </c>
      <c r="K349" s="32">
        <v>2.6</v>
      </c>
      <c r="L349" s="32">
        <v>1.2</v>
      </c>
      <c r="M349" s="32">
        <v>1.1000000000000001</v>
      </c>
      <c r="N349" s="32">
        <v>4.9000000000000004</v>
      </c>
      <c r="O349" s="33">
        <v>271.7</v>
      </c>
      <c r="P349" s="38" t="s">
        <v>1014</v>
      </c>
      <c r="Q349" s="34" t="str">
        <f>IF(MasterFees[[#This Row],[GST Basis]]="Excl",MasterFees[[#This Row],[Fee as Printed]],IF(MasterFees[[#This Row],[GST Basis]]="Incl",MasterFees[[#This Row],[Fee as Printed]]/(1+GST_Rate),""))</f>
        <v/>
      </c>
      <c r="R349" s="34" t="str">
        <f>IF(MasterFees[[#This Row],[GST Basis]]="Incl",MasterFees[[#This Row],[Fee as Printed]],IF(MasterFees[[#This Row],[GST Basis]]="Excl",MasterFees[[#This Row],[Fee as Printed]]*(1+GST_Rate),""))</f>
        <v/>
      </c>
      <c r="S349" s="35">
        <f>IF(N(MasterFees[[#This Row],[Total Units]])=0,"",MasterFees[[#This Row],[Fee as Printed]]/MasterFees[[#This Row],[Total Units]])</f>
        <v>55.448979591836725</v>
      </c>
      <c r="T349" s="36"/>
      <c r="U349" s="39" t="s">
        <v>1012</v>
      </c>
      <c r="V349" s="39" t="s">
        <v>1641</v>
      </c>
      <c r="W349" s="30"/>
      <c r="X349" s="73" t="s">
        <v>3438</v>
      </c>
      <c r="Y349" s="127" t="str">
        <f>_xlfn.XLOOKUP(MasterFees[[#This Row],[Provider / Payer]],Contracts[Contract Name],Contracts[Contract ID],"No contract")</f>
        <v>CON-01</v>
      </c>
      <c r="Z349" s="127" t="str">
        <f>_xlfn.XLOOKUP(MasterFees[[#This Row],[Provider / Payer]],Contracts[Contract Name],Contracts[Pricing Basis],"To confirm")</f>
        <v>To confirm</v>
      </c>
      <c r="AA349" s="127" t="str">
        <f>IF(MasterFees[[#This Row],[Pricing Basis]]="Fixed fee schedule","Yes","No")</f>
        <v>No</v>
      </c>
      <c r="AB349" s="127" t="str">
        <f>IF(OR(MasterFees[[#This Row],[Fee Basis]]="Add-on",MasterFees[[#This Row],[Fee Basis]]="Time band",MasterFees[[#This Row],[Fee Basis]]="Other"),MasterFees[[#This Row],[Fee Basis]],"Base")</f>
        <v>Base</v>
      </c>
      <c r="AC349" s="141" t="str">
        <f>IF(MasterFees[[#This Row],[Fixed Fee?]]="Yes",MasterFees[[#This Row],[Fee Excl. GST]],"")</f>
        <v/>
      </c>
    </row>
    <row r="350" spans="1:29" x14ac:dyDescent="0.2">
      <c r="A350" s="67" t="s">
        <v>2173</v>
      </c>
      <c r="B350" s="31">
        <f>IF(MasterFees[[#This Row],[RVG Code]]="","",_xlfn.XLOOKUP(MasterFees[[#This Row],[RVG Code]],RVGCodes[Code],RVGCodes[Base Units],"Code not found"))</f>
        <v>4</v>
      </c>
      <c r="C35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5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50" s="125" t="s">
        <v>2570</v>
      </c>
      <c r="F350" s="48" t="s">
        <v>2567</v>
      </c>
      <c r="G350" s="30" t="s">
        <v>546</v>
      </c>
      <c r="H350" s="37" t="s">
        <v>1095</v>
      </c>
      <c r="I350" s="37"/>
      <c r="J350" s="37" t="s">
        <v>1096</v>
      </c>
      <c r="K350" s="32">
        <v>0</v>
      </c>
      <c r="L350" s="32">
        <v>0</v>
      </c>
      <c r="M350" s="32">
        <v>0</v>
      </c>
      <c r="N350" s="32">
        <v>0</v>
      </c>
      <c r="O350" s="33">
        <v>0</v>
      </c>
      <c r="P350" s="38" t="s">
        <v>1014</v>
      </c>
      <c r="Q350" s="34" t="str">
        <f>IF(MasterFees[[#This Row],[GST Basis]]="Excl",MasterFees[[#This Row],[Fee as Printed]],IF(MasterFees[[#This Row],[GST Basis]]="Incl",MasterFees[[#This Row],[Fee as Printed]]/(1+GST_Rate),""))</f>
        <v/>
      </c>
      <c r="R350" s="34" t="str">
        <f>IF(MasterFees[[#This Row],[GST Basis]]="Incl",MasterFees[[#This Row],[Fee as Printed]],IF(MasterFees[[#This Row],[GST Basis]]="Excl",MasterFees[[#This Row],[Fee as Printed]]*(1+GST_Rate),""))</f>
        <v/>
      </c>
      <c r="S350" s="35" t="str">
        <f>IF(N(MasterFees[[#This Row],[Total Units]])=0,"",MasterFees[[#This Row],[Fee as Printed]]/MasterFees[[#This Row],[Total Units]])</f>
        <v/>
      </c>
      <c r="T350" s="36"/>
      <c r="U350" s="39" t="s">
        <v>1012</v>
      </c>
      <c r="V350" s="39" t="s">
        <v>1642</v>
      </c>
      <c r="W350" s="30"/>
      <c r="X350" s="73" t="s">
        <v>3439</v>
      </c>
      <c r="Y350" s="127" t="str">
        <f>_xlfn.XLOOKUP(MasterFees[[#This Row],[Provider / Payer]],Contracts[Contract Name],Contracts[Contract ID],"No contract")</f>
        <v>CON-01</v>
      </c>
      <c r="Z350" s="127" t="str">
        <f>_xlfn.XLOOKUP(MasterFees[[#This Row],[Provider / Payer]],Contracts[Contract Name],Contracts[Pricing Basis],"To confirm")</f>
        <v>To confirm</v>
      </c>
      <c r="AA350" s="127" t="str">
        <f>IF(MasterFees[[#This Row],[Pricing Basis]]="Fixed fee schedule","Yes","No")</f>
        <v>No</v>
      </c>
      <c r="AB350" s="127" t="str">
        <f>IF(OR(MasterFees[[#This Row],[Fee Basis]]="Add-on",MasterFees[[#This Row],[Fee Basis]]="Time band",MasterFees[[#This Row],[Fee Basis]]="Other"),MasterFees[[#This Row],[Fee Basis]],"Base")</f>
        <v>Base</v>
      </c>
      <c r="AC350" s="141" t="str">
        <f>IF(MasterFees[[#This Row],[Fixed Fee?]]="Yes",MasterFees[[#This Row],[Fee Excl. GST]],"")</f>
        <v/>
      </c>
    </row>
    <row r="351" spans="1:29" x14ac:dyDescent="0.2">
      <c r="A351" s="67" t="s">
        <v>2173</v>
      </c>
      <c r="B351" s="31">
        <f>IF(MasterFees[[#This Row],[RVG Code]]="","",_xlfn.XLOOKUP(MasterFees[[#This Row],[RVG Code]],RVGCodes[Code],RVGCodes[Base Units],"Code not found"))</f>
        <v>4</v>
      </c>
      <c r="C35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5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51" s="125" t="s">
        <v>2570</v>
      </c>
      <c r="F351" s="48" t="s">
        <v>2567</v>
      </c>
      <c r="G351" s="30" t="s">
        <v>536</v>
      </c>
      <c r="H351" s="37" t="s">
        <v>1095</v>
      </c>
      <c r="I351" s="37"/>
      <c r="J351" s="37" t="s">
        <v>1096</v>
      </c>
      <c r="K351" s="32">
        <v>2</v>
      </c>
      <c r="L351" s="32">
        <v>0.9</v>
      </c>
      <c r="M351" s="32">
        <v>0.5</v>
      </c>
      <c r="N351" s="32">
        <v>3.4</v>
      </c>
      <c r="O351" s="33">
        <v>187</v>
      </c>
      <c r="P351" s="38" t="s">
        <v>1014</v>
      </c>
      <c r="Q351" s="34" t="str">
        <f>IF(MasterFees[[#This Row],[GST Basis]]="Excl",MasterFees[[#This Row],[Fee as Printed]],IF(MasterFees[[#This Row],[GST Basis]]="Incl",MasterFees[[#This Row],[Fee as Printed]]/(1+GST_Rate),""))</f>
        <v/>
      </c>
      <c r="R351" s="34" t="str">
        <f>IF(MasterFees[[#This Row],[GST Basis]]="Incl",MasterFees[[#This Row],[Fee as Printed]],IF(MasterFees[[#This Row],[GST Basis]]="Excl",MasterFees[[#This Row],[Fee as Printed]]*(1+GST_Rate),""))</f>
        <v/>
      </c>
      <c r="S351" s="35">
        <f>IF(N(MasterFees[[#This Row],[Total Units]])=0,"",MasterFees[[#This Row],[Fee as Printed]]/MasterFees[[#This Row],[Total Units]])</f>
        <v>55</v>
      </c>
      <c r="T351" s="36"/>
      <c r="U351" s="39" t="s">
        <v>1012</v>
      </c>
      <c r="V351" s="39" t="s">
        <v>1631</v>
      </c>
      <c r="W351" s="30"/>
      <c r="X351" s="73" t="s">
        <v>3428</v>
      </c>
      <c r="Y351" s="127" t="str">
        <f>_xlfn.XLOOKUP(MasterFees[[#This Row],[Provider / Payer]],Contracts[Contract Name],Contracts[Contract ID],"No contract")</f>
        <v>CON-01</v>
      </c>
      <c r="Z351" s="127" t="str">
        <f>_xlfn.XLOOKUP(MasterFees[[#This Row],[Provider / Payer]],Contracts[Contract Name],Contracts[Pricing Basis],"To confirm")</f>
        <v>To confirm</v>
      </c>
      <c r="AA351" s="127" t="str">
        <f>IF(MasterFees[[#This Row],[Pricing Basis]]="Fixed fee schedule","Yes","No")</f>
        <v>No</v>
      </c>
      <c r="AB351" s="127" t="str">
        <f>IF(OR(MasterFees[[#This Row],[Fee Basis]]="Add-on",MasterFees[[#This Row],[Fee Basis]]="Time band",MasterFees[[#This Row],[Fee Basis]]="Other"),MasterFees[[#This Row],[Fee Basis]],"Base")</f>
        <v>Base</v>
      </c>
      <c r="AC351" s="141" t="str">
        <f>IF(MasterFees[[#This Row],[Fixed Fee?]]="Yes",MasterFees[[#This Row],[Fee Excl. GST]],"")</f>
        <v/>
      </c>
    </row>
    <row r="352" spans="1:29" x14ac:dyDescent="0.2">
      <c r="A352" s="67" t="s">
        <v>2173</v>
      </c>
      <c r="B352" s="31">
        <f>IF(MasterFees[[#This Row],[RVG Code]]="","",_xlfn.XLOOKUP(MasterFees[[#This Row],[RVG Code]],RVGCodes[Code],RVGCodes[Base Units],"Code not found"))</f>
        <v>4</v>
      </c>
      <c r="C35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5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52" s="125" t="s">
        <v>2570</v>
      </c>
      <c r="F352" s="48" t="s">
        <v>2567</v>
      </c>
      <c r="G352" s="30" t="s">
        <v>550</v>
      </c>
      <c r="H352" s="37" t="s">
        <v>1095</v>
      </c>
      <c r="I352" s="37"/>
      <c r="J352" s="37" t="s">
        <v>1096</v>
      </c>
      <c r="K352" s="32">
        <v>4</v>
      </c>
      <c r="L352" s="32">
        <v>7</v>
      </c>
      <c r="M352" s="32">
        <v>0</v>
      </c>
      <c r="N352" s="32">
        <v>11</v>
      </c>
      <c r="O352" s="33">
        <v>605</v>
      </c>
      <c r="P352" s="38" t="s">
        <v>1014</v>
      </c>
      <c r="Q352" s="34" t="str">
        <f>IF(MasterFees[[#This Row],[GST Basis]]="Excl",MasterFees[[#This Row],[Fee as Printed]],IF(MasterFees[[#This Row],[GST Basis]]="Incl",MasterFees[[#This Row],[Fee as Printed]]/(1+GST_Rate),""))</f>
        <v/>
      </c>
      <c r="R352" s="34" t="str">
        <f>IF(MasterFees[[#This Row],[GST Basis]]="Incl",MasterFees[[#This Row],[Fee as Printed]],IF(MasterFees[[#This Row],[GST Basis]]="Excl",MasterFees[[#This Row],[Fee as Printed]]*(1+GST_Rate),""))</f>
        <v/>
      </c>
      <c r="S352" s="35">
        <f>IF(N(MasterFees[[#This Row],[Total Units]])=0,"",MasterFees[[#This Row],[Fee as Printed]]/MasterFees[[#This Row],[Total Units]])</f>
        <v>55</v>
      </c>
      <c r="T352" s="36"/>
      <c r="U352" s="39" t="s">
        <v>1012</v>
      </c>
      <c r="V352" s="39" t="s">
        <v>1646</v>
      </c>
      <c r="W352" s="30"/>
      <c r="X352" s="73" t="s">
        <v>3443</v>
      </c>
      <c r="Y352" s="127" t="str">
        <f>_xlfn.XLOOKUP(MasterFees[[#This Row],[Provider / Payer]],Contracts[Contract Name],Contracts[Contract ID],"No contract")</f>
        <v>CON-01</v>
      </c>
      <c r="Z352" s="127" t="str">
        <f>_xlfn.XLOOKUP(MasterFees[[#This Row],[Provider / Payer]],Contracts[Contract Name],Contracts[Pricing Basis],"To confirm")</f>
        <v>To confirm</v>
      </c>
      <c r="AA352" s="127" t="str">
        <f>IF(MasterFees[[#This Row],[Pricing Basis]]="Fixed fee schedule","Yes","No")</f>
        <v>No</v>
      </c>
      <c r="AB352" s="127" t="str">
        <f>IF(OR(MasterFees[[#This Row],[Fee Basis]]="Add-on",MasterFees[[#This Row],[Fee Basis]]="Time band",MasterFees[[#This Row],[Fee Basis]]="Other"),MasterFees[[#This Row],[Fee Basis]],"Base")</f>
        <v>Base</v>
      </c>
      <c r="AC352" s="141" t="str">
        <f>IF(MasterFees[[#This Row],[Fixed Fee?]]="Yes",MasterFees[[#This Row],[Fee Excl. GST]],"")</f>
        <v/>
      </c>
    </row>
    <row r="353" spans="1:29" x14ac:dyDescent="0.2">
      <c r="A353" s="67" t="s">
        <v>2173</v>
      </c>
      <c r="B353" s="31">
        <f>IF(MasterFees[[#This Row],[RVG Code]]="","",_xlfn.XLOOKUP(MasterFees[[#This Row],[RVG Code]],RVGCodes[Code],RVGCodes[Base Units],"Code not found"))</f>
        <v>4</v>
      </c>
      <c r="C35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5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53" s="125" t="s">
        <v>2570</v>
      </c>
      <c r="F353" s="48" t="s">
        <v>2567</v>
      </c>
      <c r="G353" s="30" t="s">
        <v>582</v>
      </c>
      <c r="H353" s="37" t="s">
        <v>1095</v>
      </c>
      <c r="I353" s="37"/>
      <c r="J353" s="37" t="s">
        <v>1096</v>
      </c>
      <c r="K353" s="32">
        <v>4</v>
      </c>
      <c r="L353" s="32">
        <v>4</v>
      </c>
      <c r="M353" s="32">
        <v>0</v>
      </c>
      <c r="N353" s="32">
        <v>8</v>
      </c>
      <c r="O353" s="33">
        <v>440</v>
      </c>
      <c r="P353" s="38" t="s">
        <v>1014</v>
      </c>
      <c r="Q353" s="34" t="str">
        <f>IF(MasterFees[[#This Row],[GST Basis]]="Excl",MasterFees[[#This Row],[Fee as Printed]],IF(MasterFees[[#This Row],[GST Basis]]="Incl",MasterFees[[#This Row],[Fee as Printed]]/(1+GST_Rate),""))</f>
        <v/>
      </c>
      <c r="R353" s="34" t="str">
        <f>IF(MasterFees[[#This Row],[GST Basis]]="Incl",MasterFees[[#This Row],[Fee as Printed]],IF(MasterFees[[#This Row],[GST Basis]]="Excl",MasterFees[[#This Row],[Fee as Printed]]*(1+GST_Rate),""))</f>
        <v/>
      </c>
      <c r="S353" s="35">
        <f>IF(N(MasterFees[[#This Row],[Total Units]])=0,"",MasterFees[[#This Row],[Fee as Printed]]/MasterFees[[#This Row],[Total Units]])</f>
        <v>55</v>
      </c>
      <c r="T353" s="36"/>
      <c r="U353" s="39" t="s">
        <v>1012</v>
      </c>
      <c r="V353" s="39" t="s">
        <v>1678</v>
      </c>
      <c r="W353" s="30"/>
      <c r="X353" s="73" t="s">
        <v>3475</v>
      </c>
      <c r="Y353" s="127" t="str">
        <f>_xlfn.XLOOKUP(MasterFees[[#This Row],[Provider / Payer]],Contracts[Contract Name],Contracts[Contract ID],"No contract")</f>
        <v>CON-01</v>
      </c>
      <c r="Z353" s="127" t="str">
        <f>_xlfn.XLOOKUP(MasterFees[[#This Row],[Provider / Payer]],Contracts[Contract Name],Contracts[Pricing Basis],"To confirm")</f>
        <v>To confirm</v>
      </c>
      <c r="AA353" s="127" t="str">
        <f>IF(MasterFees[[#This Row],[Pricing Basis]]="Fixed fee schedule","Yes","No")</f>
        <v>No</v>
      </c>
      <c r="AB353" s="127" t="str">
        <f>IF(OR(MasterFees[[#This Row],[Fee Basis]]="Add-on",MasterFees[[#This Row],[Fee Basis]]="Time band",MasterFees[[#This Row],[Fee Basis]]="Other"),MasterFees[[#This Row],[Fee Basis]],"Base")</f>
        <v>Base</v>
      </c>
      <c r="AC353" s="141" t="str">
        <f>IF(MasterFees[[#This Row],[Fixed Fee?]]="Yes",MasterFees[[#This Row],[Fee Excl. GST]],"")</f>
        <v/>
      </c>
    </row>
    <row r="354" spans="1:29" x14ac:dyDescent="0.2">
      <c r="A354" s="67" t="s">
        <v>2173</v>
      </c>
      <c r="B354" s="31">
        <f>IF(MasterFees[[#This Row],[RVG Code]]="","",_xlfn.XLOOKUP(MasterFees[[#This Row],[RVG Code]],RVGCodes[Code],RVGCodes[Base Units],"Code not found"))</f>
        <v>4</v>
      </c>
      <c r="C35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5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54" s="125" t="s">
        <v>2570</v>
      </c>
      <c r="F354" s="48" t="s">
        <v>2567</v>
      </c>
      <c r="G354" s="30" t="s">
        <v>584</v>
      </c>
      <c r="H354" s="37" t="s">
        <v>1095</v>
      </c>
      <c r="I354" s="37"/>
      <c r="J354" s="37" t="s">
        <v>1096</v>
      </c>
      <c r="K354" s="32">
        <v>4</v>
      </c>
      <c r="L354" s="32">
        <v>5</v>
      </c>
      <c r="M354" s="32">
        <v>0</v>
      </c>
      <c r="N354" s="32">
        <v>9</v>
      </c>
      <c r="O354" s="33">
        <v>495</v>
      </c>
      <c r="P354" s="38" t="s">
        <v>1014</v>
      </c>
      <c r="Q354" s="34" t="str">
        <f>IF(MasterFees[[#This Row],[GST Basis]]="Excl",MasterFees[[#This Row],[Fee as Printed]],IF(MasterFees[[#This Row],[GST Basis]]="Incl",MasterFees[[#This Row],[Fee as Printed]]/(1+GST_Rate),""))</f>
        <v/>
      </c>
      <c r="R354" s="34" t="str">
        <f>IF(MasterFees[[#This Row],[GST Basis]]="Incl",MasterFees[[#This Row],[Fee as Printed]],IF(MasterFees[[#This Row],[GST Basis]]="Excl",MasterFees[[#This Row],[Fee as Printed]]*(1+GST_Rate),""))</f>
        <v/>
      </c>
      <c r="S354" s="35">
        <f>IF(N(MasterFees[[#This Row],[Total Units]])=0,"",MasterFees[[#This Row],[Fee as Printed]]/MasterFees[[#This Row],[Total Units]])</f>
        <v>55</v>
      </c>
      <c r="T354" s="36"/>
      <c r="U354" s="39" t="s">
        <v>1012</v>
      </c>
      <c r="V354" s="39" t="s">
        <v>1680</v>
      </c>
      <c r="W354" s="30"/>
      <c r="X354" s="73" t="s">
        <v>3477</v>
      </c>
      <c r="Y354" s="127" t="str">
        <f>_xlfn.XLOOKUP(MasterFees[[#This Row],[Provider / Payer]],Contracts[Contract Name],Contracts[Contract ID],"No contract")</f>
        <v>CON-01</v>
      </c>
      <c r="Z354" s="127" t="str">
        <f>_xlfn.XLOOKUP(MasterFees[[#This Row],[Provider / Payer]],Contracts[Contract Name],Contracts[Pricing Basis],"To confirm")</f>
        <v>To confirm</v>
      </c>
      <c r="AA354" s="127" t="str">
        <f>IF(MasterFees[[#This Row],[Pricing Basis]]="Fixed fee schedule","Yes","No")</f>
        <v>No</v>
      </c>
      <c r="AB354" s="127" t="str">
        <f>IF(OR(MasterFees[[#This Row],[Fee Basis]]="Add-on",MasterFees[[#This Row],[Fee Basis]]="Time band",MasterFees[[#This Row],[Fee Basis]]="Other"),MasterFees[[#This Row],[Fee Basis]],"Base")</f>
        <v>Base</v>
      </c>
      <c r="AC354" s="141" t="str">
        <f>IF(MasterFees[[#This Row],[Fixed Fee?]]="Yes",MasterFees[[#This Row],[Fee Excl. GST]],"")</f>
        <v/>
      </c>
    </row>
    <row r="355" spans="1:29" x14ac:dyDescent="0.2">
      <c r="A355" s="67" t="s">
        <v>2173</v>
      </c>
      <c r="B355" s="31">
        <f>IF(MasterFees[[#This Row],[RVG Code]]="","",_xlfn.XLOOKUP(MasterFees[[#This Row],[RVG Code]],RVGCodes[Code],RVGCodes[Base Units],"Code not found"))</f>
        <v>4</v>
      </c>
      <c r="C35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5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55" s="125" t="s">
        <v>2570</v>
      </c>
      <c r="F355" s="48" t="s">
        <v>2567</v>
      </c>
      <c r="G355" s="30" t="s">
        <v>585</v>
      </c>
      <c r="H355" s="37" t="s">
        <v>1095</v>
      </c>
      <c r="I355" s="37"/>
      <c r="J355" s="37" t="s">
        <v>1096</v>
      </c>
      <c r="K355" s="32">
        <v>1.9</v>
      </c>
      <c r="L355" s="32">
        <v>1</v>
      </c>
      <c r="M355" s="32">
        <v>0.1</v>
      </c>
      <c r="N355" s="32">
        <v>2.9</v>
      </c>
      <c r="O355" s="33">
        <v>161.69999999999999</v>
      </c>
      <c r="P355" s="38" t="s">
        <v>1014</v>
      </c>
      <c r="Q355" s="34" t="str">
        <f>IF(MasterFees[[#This Row],[GST Basis]]="Excl",MasterFees[[#This Row],[Fee as Printed]],IF(MasterFees[[#This Row],[GST Basis]]="Incl",MasterFees[[#This Row],[Fee as Printed]]/(1+GST_Rate),""))</f>
        <v/>
      </c>
      <c r="R355" s="34" t="str">
        <f>IF(MasterFees[[#This Row],[GST Basis]]="Incl",MasterFees[[#This Row],[Fee as Printed]],IF(MasterFees[[#This Row],[GST Basis]]="Excl",MasterFees[[#This Row],[Fee as Printed]]*(1+GST_Rate),""))</f>
        <v/>
      </c>
      <c r="S355" s="35">
        <f>IF(N(MasterFees[[#This Row],[Total Units]])=0,"",MasterFees[[#This Row],[Fee as Printed]]/MasterFees[[#This Row],[Total Units]])</f>
        <v>55.758620689655167</v>
      </c>
      <c r="T355" s="36"/>
      <c r="U355" s="39" t="s">
        <v>1012</v>
      </c>
      <c r="V355" s="39" t="s">
        <v>1681</v>
      </c>
      <c r="W355" s="30"/>
      <c r="X355" s="73" t="s">
        <v>3478</v>
      </c>
      <c r="Y355" s="127" t="str">
        <f>_xlfn.XLOOKUP(MasterFees[[#This Row],[Provider / Payer]],Contracts[Contract Name],Contracts[Contract ID],"No contract")</f>
        <v>CON-01</v>
      </c>
      <c r="Z355" s="127" t="str">
        <f>_xlfn.XLOOKUP(MasterFees[[#This Row],[Provider / Payer]],Contracts[Contract Name],Contracts[Pricing Basis],"To confirm")</f>
        <v>To confirm</v>
      </c>
      <c r="AA355" s="127" t="str">
        <f>IF(MasterFees[[#This Row],[Pricing Basis]]="Fixed fee schedule","Yes","No")</f>
        <v>No</v>
      </c>
      <c r="AB355" s="127" t="str">
        <f>IF(OR(MasterFees[[#This Row],[Fee Basis]]="Add-on",MasterFees[[#This Row],[Fee Basis]]="Time band",MasterFees[[#This Row],[Fee Basis]]="Other"),MasterFees[[#This Row],[Fee Basis]],"Base")</f>
        <v>Base</v>
      </c>
      <c r="AC355" s="141" t="str">
        <f>IF(MasterFees[[#This Row],[Fixed Fee?]]="Yes",MasterFees[[#This Row],[Fee Excl. GST]],"")</f>
        <v/>
      </c>
    </row>
    <row r="356" spans="1:29" x14ac:dyDescent="0.2">
      <c r="A356" s="67" t="s">
        <v>2173</v>
      </c>
      <c r="B356" s="31">
        <f>IF(MasterFees[[#This Row],[RVG Code]]="","",_xlfn.XLOOKUP(MasterFees[[#This Row],[RVG Code]],RVGCodes[Code],RVGCodes[Base Units],"Code not found"))</f>
        <v>4</v>
      </c>
      <c r="C35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5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56" s="125" t="s">
        <v>2570</v>
      </c>
      <c r="F356" s="48" t="s">
        <v>2567</v>
      </c>
      <c r="G356" s="30" t="s">
        <v>604</v>
      </c>
      <c r="H356" s="37" t="s">
        <v>1095</v>
      </c>
      <c r="I356" s="37"/>
      <c r="J356" s="37" t="s">
        <v>1096</v>
      </c>
      <c r="K356" s="32">
        <v>3.6</v>
      </c>
      <c r="L356" s="32">
        <v>3.8</v>
      </c>
      <c r="M356" s="32">
        <v>0.6</v>
      </c>
      <c r="N356" s="32">
        <v>7.9</v>
      </c>
      <c r="O356" s="33">
        <v>436.7</v>
      </c>
      <c r="P356" s="38" t="s">
        <v>1014</v>
      </c>
      <c r="Q356" s="34" t="str">
        <f>IF(MasterFees[[#This Row],[GST Basis]]="Excl",MasterFees[[#This Row],[Fee as Printed]],IF(MasterFees[[#This Row],[GST Basis]]="Incl",MasterFees[[#This Row],[Fee as Printed]]/(1+GST_Rate),""))</f>
        <v/>
      </c>
      <c r="R356" s="34" t="str">
        <f>IF(MasterFees[[#This Row],[GST Basis]]="Incl",MasterFees[[#This Row],[Fee as Printed]],IF(MasterFees[[#This Row],[GST Basis]]="Excl",MasterFees[[#This Row],[Fee as Printed]]*(1+GST_Rate),""))</f>
        <v/>
      </c>
      <c r="S356" s="35">
        <f>IF(N(MasterFees[[#This Row],[Total Units]])=0,"",MasterFees[[#This Row],[Fee as Printed]]/MasterFees[[#This Row],[Total Units]])</f>
        <v>55.278481012658226</v>
      </c>
      <c r="T356" s="36"/>
      <c r="U356" s="39" t="s">
        <v>1012</v>
      </c>
      <c r="V356" s="39" t="s">
        <v>1701</v>
      </c>
      <c r="W356" s="30"/>
      <c r="X356" s="73" t="s">
        <v>3498</v>
      </c>
      <c r="Y356" s="127" t="str">
        <f>_xlfn.XLOOKUP(MasterFees[[#This Row],[Provider / Payer]],Contracts[Contract Name],Contracts[Contract ID],"No contract")</f>
        <v>CON-01</v>
      </c>
      <c r="Z356" s="127" t="str">
        <f>_xlfn.XLOOKUP(MasterFees[[#This Row],[Provider / Payer]],Contracts[Contract Name],Contracts[Pricing Basis],"To confirm")</f>
        <v>To confirm</v>
      </c>
      <c r="AA356" s="127" t="str">
        <f>IF(MasterFees[[#This Row],[Pricing Basis]]="Fixed fee schedule","Yes","No")</f>
        <v>No</v>
      </c>
      <c r="AB356" s="127" t="str">
        <f>IF(OR(MasterFees[[#This Row],[Fee Basis]]="Add-on",MasterFees[[#This Row],[Fee Basis]]="Time band",MasterFees[[#This Row],[Fee Basis]]="Other"),MasterFees[[#This Row],[Fee Basis]],"Base")</f>
        <v>Base</v>
      </c>
      <c r="AC356" s="141" t="str">
        <f>IF(MasterFees[[#This Row],[Fixed Fee?]]="Yes",MasterFees[[#This Row],[Fee Excl. GST]],"")</f>
        <v/>
      </c>
    </row>
    <row r="357" spans="1:29" x14ac:dyDescent="0.2">
      <c r="A357" s="67" t="s">
        <v>2173</v>
      </c>
      <c r="B357" s="31">
        <f>IF(MasterFees[[#This Row],[RVG Code]]="","",_xlfn.XLOOKUP(MasterFees[[#This Row],[RVG Code]],RVGCodes[Code],RVGCodes[Base Units],"Code not found"))</f>
        <v>4</v>
      </c>
      <c r="C35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5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57" s="125" t="s">
        <v>2570</v>
      </c>
      <c r="F357" s="48" t="s">
        <v>2567</v>
      </c>
      <c r="G357" s="30" t="s">
        <v>633</v>
      </c>
      <c r="H357" s="37" t="s">
        <v>1095</v>
      </c>
      <c r="I357" s="37"/>
      <c r="J357" s="37" t="s">
        <v>1096</v>
      </c>
      <c r="K357" s="32">
        <v>4</v>
      </c>
      <c r="L357" s="32">
        <v>3</v>
      </c>
      <c r="M357" s="32">
        <v>0</v>
      </c>
      <c r="N357" s="32">
        <v>7</v>
      </c>
      <c r="O357" s="33">
        <v>385</v>
      </c>
      <c r="P357" s="38" t="s">
        <v>1014</v>
      </c>
      <c r="Q357" s="34" t="str">
        <f>IF(MasterFees[[#This Row],[GST Basis]]="Excl",MasterFees[[#This Row],[Fee as Printed]],IF(MasterFees[[#This Row],[GST Basis]]="Incl",MasterFees[[#This Row],[Fee as Printed]]/(1+GST_Rate),""))</f>
        <v/>
      </c>
      <c r="R357" s="34" t="str">
        <f>IF(MasterFees[[#This Row],[GST Basis]]="Incl",MasterFees[[#This Row],[Fee as Printed]],IF(MasterFees[[#This Row],[GST Basis]]="Excl",MasterFees[[#This Row],[Fee as Printed]]*(1+GST_Rate),""))</f>
        <v/>
      </c>
      <c r="S357" s="35">
        <f>IF(N(MasterFees[[#This Row],[Total Units]])=0,"",MasterFees[[#This Row],[Fee as Printed]]/MasterFees[[#This Row],[Total Units]])</f>
        <v>55</v>
      </c>
      <c r="T357" s="36"/>
      <c r="U357" s="39" t="s">
        <v>1012</v>
      </c>
      <c r="V357" s="39" t="s">
        <v>1730</v>
      </c>
      <c r="W357" s="30"/>
      <c r="X357" s="73" t="s">
        <v>3528</v>
      </c>
      <c r="Y357" s="127" t="str">
        <f>_xlfn.XLOOKUP(MasterFees[[#This Row],[Provider / Payer]],Contracts[Contract Name],Contracts[Contract ID],"No contract")</f>
        <v>CON-01</v>
      </c>
      <c r="Z357" s="127" t="str">
        <f>_xlfn.XLOOKUP(MasterFees[[#This Row],[Provider / Payer]],Contracts[Contract Name],Contracts[Pricing Basis],"To confirm")</f>
        <v>To confirm</v>
      </c>
      <c r="AA357" s="127" t="str">
        <f>IF(MasterFees[[#This Row],[Pricing Basis]]="Fixed fee schedule","Yes","No")</f>
        <v>No</v>
      </c>
      <c r="AB357" s="127" t="str">
        <f>IF(OR(MasterFees[[#This Row],[Fee Basis]]="Add-on",MasterFees[[#This Row],[Fee Basis]]="Time band",MasterFees[[#This Row],[Fee Basis]]="Other"),MasterFees[[#This Row],[Fee Basis]],"Base")</f>
        <v>Base</v>
      </c>
      <c r="AC357" s="141" t="str">
        <f>IF(MasterFees[[#This Row],[Fixed Fee?]]="Yes",MasterFees[[#This Row],[Fee Excl. GST]],"")</f>
        <v/>
      </c>
    </row>
    <row r="358" spans="1:29" x14ac:dyDescent="0.2">
      <c r="A358" s="67" t="s">
        <v>2173</v>
      </c>
      <c r="B358" s="31">
        <f>IF(MasterFees[[#This Row],[RVG Code]]="","",_xlfn.XLOOKUP(MasterFees[[#This Row],[RVG Code]],RVGCodes[Code],RVGCodes[Base Units],"Code not found"))</f>
        <v>4</v>
      </c>
      <c r="C35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5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58" s="125" t="s">
        <v>2570</v>
      </c>
      <c r="F358" s="48" t="s">
        <v>2567</v>
      </c>
      <c r="G358" s="30" t="s">
        <v>4538</v>
      </c>
      <c r="H358" s="37" t="s">
        <v>4622</v>
      </c>
      <c r="I358" s="37" t="s">
        <v>4537</v>
      </c>
      <c r="J358" s="37" t="s">
        <v>1024</v>
      </c>
      <c r="K358" s="32"/>
      <c r="L358" s="32"/>
      <c r="M358" s="32"/>
      <c r="N358" s="32"/>
      <c r="O358" s="33">
        <v>800</v>
      </c>
      <c r="P358" s="38" t="s">
        <v>4398</v>
      </c>
      <c r="Q358" s="34">
        <f>IF(MasterFees[[#This Row],[GST Basis]]="Excl",MasterFees[[#This Row],[Fee as Printed]],IF(MasterFees[[#This Row],[GST Basis]]="Incl",MasterFees[[#This Row],[Fee as Printed]]/(1+GST_Rate),""))</f>
        <v>800</v>
      </c>
      <c r="R358" s="34">
        <f>IF(MasterFees[[#This Row],[GST Basis]]="Incl",MasterFees[[#This Row],[Fee as Printed]],IF(MasterFees[[#This Row],[GST Basis]]="Excl",MasterFees[[#This Row],[Fee as Printed]]*(1+GST_Rate),""))</f>
        <v>919.99999999999989</v>
      </c>
      <c r="S358" s="35" t="str">
        <f>IF(N(MasterFees[[#This Row],[Total Units]])=0,"",MasterFees[[#This Row],[Fee as Printed]]/MasterFees[[#This Row],[Total Units]])</f>
        <v/>
      </c>
      <c r="T358" s="36"/>
      <c r="U358" s="39" t="s">
        <v>4587</v>
      </c>
      <c r="V358" s="39" t="s">
        <v>4644</v>
      </c>
      <c r="W358" s="30" t="s">
        <v>4624</v>
      </c>
      <c r="X358" s="77" t="s">
        <v>4861</v>
      </c>
      <c r="Y358" s="127" t="str">
        <f>_xlfn.XLOOKUP(MasterFees[[#This Row],[Provider / Payer]],Contracts[Contract Name],Contracts[Contract ID],"No contract")</f>
        <v>CON-05</v>
      </c>
      <c r="Z358" s="127" t="str">
        <f>_xlfn.XLOOKUP(MasterFees[[#This Row],[Provider / Payer]],Contracts[Contract Name],Contracts[Pricing Basis],"To confirm")</f>
        <v>Fixed fee schedule</v>
      </c>
      <c r="AA358" s="127" t="str">
        <f>IF(MasterFees[[#This Row],[Pricing Basis]]="Fixed fee schedule","Yes","No")</f>
        <v>Yes</v>
      </c>
      <c r="AB358" s="127" t="str">
        <f>IF(OR(MasterFees[[#This Row],[Fee Basis]]="Add-on",MasterFees[[#This Row],[Fee Basis]]="Time band",MasterFees[[#This Row],[Fee Basis]]="Other"),MasterFees[[#This Row],[Fee Basis]],"Base")</f>
        <v>Base</v>
      </c>
      <c r="AC358" s="141">
        <f>IF(MasterFees[[#This Row],[Fixed Fee?]]="Yes",MasterFees[[#This Row],[Fee Excl. GST]],"")</f>
        <v>800</v>
      </c>
    </row>
    <row r="359" spans="1:29" x14ac:dyDescent="0.2">
      <c r="A359" s="67" t="s">
        <v>2173</v>
      </c>
      <c r="B359" s="31">
        <f>IF(MasterFees[[#This Row],[RVG Code]]="","",_xlfn.XLOOKUP(MasterFees[[#This Row],[RVG Code]],RVGCodes[Code],RVGCodes[Base Units],"Code not found"))</f>
        <v>4</v>
      </c>
      <c r="C35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5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59" s="125" t="s">
        <v>2570</v>
      </c>
      <c r="F359" s="48" t="s">
        <v>2567</v>
      </c>
      <c r="G359" s="30" t="s">
        <v>4538</v>
      </c>
      <c r="H359" s="37" t="s">
        <v>4625</v>
      </c>
      <c r="I359" s="37" t="s">
        <v>4537</v>
      </c>
      <c r="J359" s="37" t="s">
        <v>1024</v>
      </c>
      <c r="K359" s="32"/>
      <c r="L359" s="32"/>
      <c r="M359" s="32"/>
      <c r="N359" s="32"/>
      <c r="O359" s="33">
        <v>800</v>
      </c>
      <c r="P359" s="38" t="s">
        <v>4398</v>
      </c>
      <c r="Q359" s="34">
        <f>IF(MasterFees[[#This Row],[GST Basis]]="Excl",MasterFees[[#This Row],[Fee as Printed]],IF(MasterFees[[#This Row],[GST Basis]]="Incl",MasterFees[[#This Row],[Fee as Printed]]/(1+GST_Rate),""))</f>
        <v>800</v>
      </c>
      <c r="R359" s="34">
        <f>IF(MasterFees[[#This Row],[GST Basis]]="Incl",MasterFees[[#This Row],[Fee as Printed]],IF(MasterFees[[#This Row],[GST Basis]]="Excl",MasterFees[[#This Row],[Fee as Printed]]*(1+GST_Rate),""))</f>
        <v>919.99999999999989</v>
      </c>
      <c r="S359" s="35" t="str">
        <f>IF(N(MasterFees[[#This Row],[Total Units]])=0,"",MasterFees[[#This Row],[Fee as Printed]]/MasterFees[[#This Row],[Total Units]])</f>
        <v/>
      </c>
      <c r="T359" s="36"/>
      <c r="U359" s="39" t="s">
        <v>4587</v>
      </c>
      <c r="V359" s="39" t="s">
        <v>4645</v>
      </c>
      <c r="W359" s="30" t="s">
        <v>4627</v>
      </c>
      <c r="X359" s="77" t="s">
        <v>4861</v>
      </c>
      <c r="Y359" s="127" t="str">
        <f>_xlfn.XLOOKUP(MasterFees[[#This Row],[Provider / Payer]],Contracts[Contract Name],Contracts[Contract ID],"No contract")</f>
        <v>CON-06</v>
      </c>
      <c r="Z359" s="127" t="str">
        <f>_xlfn.XLOOKUP(MasterFees[[#This Row],[Provider / Payer]],Contracts[Contract Name],Contracts[Pricing Basis],"To confirm")</f>
        <v>Fixed fee schedule</v>
      </c>
      <c r="AA359" s="127" t="str">
        <f>IF(MasterFees[[#This Row],[Pricing Basis]]="Fixed fee schedule","Yes","No")</f>
        <v>Yes</v>
      </c>
      <c r="AB359" s="127" t="str">
        <f>IF(OR(MasterFees[[#This Row],[Fee Basis]]="Add-on",MasterFees[[#This Row],[Fee Basis]]="Time band",MasterFees[[#This Row],[Fee Basis]]="Other"),MasterFees[[#This Row],[Fee Basis]],"Base")</f>
        <v>Base</v>
      </c>
      <c r="AC359" s="141">
        <f>IF(MasterFees[[#This Row],[Fixed Fee?]]="Yes",MasterFees[[#This Row],[Fee Excl. GST]],"")</f>
        <v>800</v>
      </c>
    </row>
    <row r="360" spans="1:29" x14ac:dyDescent="0.2">
      <c r="A360" s="67" t="s">
        <v>2173</v>
      </c>
      <c r="B360" s="31">
        <f>IF(MasterFees[[#This Row],[RVG Code]]="","",_xlfn.XLOOKUP(MasterFees[[#This Row],[RVG Code]],RVGCodes[Code],RVGCodes[Base Units],"Code not found"))</f>
        <v>4</v>
      </c>
      <c r="C36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6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60" s="125" t="s">
        <v>2570</v>
      </c>
      <c r="F360" s="48" t="s">
        <v>2567</v>
      </c>
      <c r="G360" s="30" t="s">
        <v>4320</v>
      </c>
      <c r="H360" s="37" t="s">
        <v>4157</v>
      </c>
      <c r="I360" s="37" t="s">
        <v>4319</v>
      </c>
      <c r="J360" s="37" t="s">
        <v>1024</v>
      </c>
      <c r="K360" s="32"/>
      <c r="L360" s="32"/>
      <c r="M360" s="32"/>
      <c r="N360" s="32"/>
      <c r="O360" s="33">
        <v>910</v>
      </c>
      <c r="P360" s="38" t="s">
        <v>4043</v>
      </c>
      <c r="Q360" s="34">
        <f>IF(MasterFees[[#This Row],[GST Basis]]="Excl",MasterFees[[#This Row],[Fee as Printed]],IF(MasterFees[[#This Row],[GST Basis]]="Incl",MasterFees[[#This Row],[Fee as Printed]]/(1+GST_Rate),""))</f>
        <v>791.304347826087</v>
      </c>
      <c r="R360" s="34">
        <f>IF(MasterFees[[#This Row],[GST Basis]]="Incl",MasterFees[[#This Row],[Fee as Printed]],IF(MasterFees[[#This Row],[GST Basis]]="Excl",MasterFees[[#This Row],[Fee as Printed]]*(1+GST_Rate),""))</f>
        <v>910</v>
      </c>
      <c r="S360" s="35" t="str">
        <f>IF(N(MasterFees[[#This Row],[Total Units]])=0,"",MasterFees[[#This Row],[Fee as Printed]]/MasterFees[[#This Row],[Total Units]])</f>
        <v/>
      </c>
      <c r="T360" s="36">
        <v>46113</v>
      </c>
      <c r="U360" s="39" t="s">
        <v>1028</v>
      </c>
      <c r="V360" s="39" t="s">
        <v>4070</v>
      </c>
      <c r="W360" s="30" t="s">
        <v>4336</v>
      </c>
      <c r="X360" s="73" t="s">
        <v>4335</v>
      </c>
      <c r="Y360" s="127" t="str">
        <f>_xlfn.XLOOKUP(MasterFees[[#This Row],[Provider / Payer]],Contracts[Contract Name],Contracts[Contract ID],"No contract")</f>
        <v>CON-02</v>
      </c>
      <c r="Z360" s="127" t="str">
        <f>_xlfn.XLOOKUP(MasterFees[[#This Row],[Provider / Payer]],Contracts[Contract Name],Contracts[Pricing Basis],"To confirm")</f>
        <v>Fixed fee schedule</v>
      </c>
      <c r="AA360" s="127" t="str">
        <f>IF(MasterFees[[#This Row],[Pricing Basis]]="Fixed fee schedule","Yes","No")</f>
        <v>Yes</v>
      </c>
      <c r="AB360" s="127" t="str">
        <f>IF(OR(MasterFees[[#This Row],[Fee Basis]]="Add-on",MasterFees[[#This Row],[Fee Basis]]="Time band",MasterFees[[#This Row],[Fee Basis]]="Other"),MasterFees[[#This Row],[Fee Basis]],"Base")</f>
        <v>Base</v>
      </c>
      <c r="AC360" s="141">
        <f>IF(MasterFees[[#This Row],[Fixed Fee?]]="Yes",MasterFees[[#This Row],[Fee Excl. GST]],"")</f>
        <v>791.304347826087</v>
      </c>
    </row>
    <row r="361" spans="1:29" x14ac:dyDescent="0.2">
      <c r="A361" s="67" t="s">
        <v>2173</v>
      </c>
      <c r="B361" s="31">
        <f>IF(MasterFees[[#This Row],[RVG Code]]="","",_xlfn.XLOOKUP(MasterFees[[#This Row],[RVG Code]],RVGCodes[Code],RVGCodes[Base Units],"Code not found"))</f>
        <v>4</v>
      </c>
      <c r="C36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6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61" s="125" t="s">
        <v>2570</v>
      </c>
      <c r="F361" s="48" t="s">
        <v>2567</v>
      </c>
      <c r="G361" s="30" t="s">
        <v>4311</v>
      </c>
      <c r="H361" s="37" t="s">
        <v>4157</v>
      </c>
      <c r="I361" s="37" t="s">
        <v>4310</v>
      </c>
      <c r="J361" s="37" t="s">
        <v>1024</v>
      </c>
      <c r="K361" s="32"/>
      <c r="L361" s="32"/>
      <c r="M361" s="32"/>
      <c r="N361" s="32"/>
      <c r="O361" s="33">
        <v>950</v>
      </c>
      <c r="P361" s="38" t="s">
        <v>4043</v>
      </c>
      <c r="Q361" s="34">
        <f>IF(MasterFees[[#This Row],[GST Basis]]="Excl",MasterFees[[#This Row],[Fee as Printed]],IF(MasterFees[[#This Row],[GST Basis]]="Incl",MasterFees[[#This Row],[Fee as Printed]]/(1+GST_Rate),""))</f>
        <v>826.08695652173924</v>
      </c>
      <c r="R361" s="34">
        <f>IF(MasterFees[[#This Row],[GST Basis]]="Incl",MasterFees[[#This Row],[Fee as Printed]],IF(MasterFees[[#This Row],[GST Basis]]="Excl",MasterFees[[#This Row],[Fee as Printed]]*(1+GST_Rate),""))</f>
        <v>950</v>
      </c>
      <c r="S361" s="35" t="str">
        <f>IF(N(MasterFees[[#This Row],[Total Units]])=0,"",MasterFees[[#This Row],[Fee as Printed]]/MasterFees[[#This Row],[Total Units]])</f>
        <v/>
      </c>
      <c r="T361" s="36">
        <v>46113</v>
      </c>
      <c r="U361" s="39" t="s">
        <v>1028</v>
      </c>
      <c r="V361" s="39" t="s">
        <v>4070</v>
      </c>
      <c r="W361" s="30" t="s">
        <v>4329</v>
      </c>
      <c r="X361" s="73" t="s">
        <v>4328</v>
      </c>
      <c r="Y361" s="127" t="str">
        <f>_xlfn.XLOOKUP(MasterFees[[#This Row],[Provider / Payer]],Contracts[Contract Name],Contracts[Contract ID],"No contract")</f>
        <v>CON-02</v>
      </c>
      <c r="Z361" s="127" t="str">
        <f>_xlfn.XLOOKUP(MasterFees[[#This Row],[Provider / Payer]],Contracts[Contract Name],Contracts[Pricing Basis],"To confirm")</f>
        <v>Fixed fee schedule</v>
      </c>
      <c r="AA361" s="127" t="str">
        <f>IF(MasterFees[[#This Row],[Pricing Basis]]="Fixed fee schedule","Yes","No")</f>
        <v>Yes</v>
      </c>
      <c r="AB361" s="127" t="str">
        <f>IF(OR(MasterFees[[#This Row],[Fee Basis]]="Add-on",MasterFees[[#This Row],[Fee Basis]]="Time band",MasterFees[[#This Row],[Fee Basis]]="Other"),MasterFees[[#This Row],[Fee Basis]],"Base")</f>
        <v>Base</v>
      </c>
      <c r="AC361" s="141">
        <f>IF(MasterFees[[#This Row],[Fixed Fee?]]="Yes",MasterFees[[#This Row],[Fee Excl. GST]],"")</f>
        <v>826.08695652173924</v>
      </c>
    </row>
    <row r="362" spans="1:29" x14ac:dyDescent="0.2">
      <c r="A362" s="67" t="s">
        <v>2173</v>
      </c>
      <c r="B362" s="31">
        <f>IF(MasterFees[[#This Row],[RVG Code]]="","",_xlfn.XLOOKUP(MasterFees[[#This Row],[RVG Code]],RVGCodes[Code],RVGCodes[Base Units],"Code not found"))</f>
        <v>4</v>
      </c>
      <c r="C36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6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62" s="125" t="s">
        <v>2570</v>
      </c>
      <c r="F362" s="48" t="s">
        <v>2567</v>
      </c>
      <c r="G362" s="30" t="s">
        <v>4313</v>
      </c>
      <c r="H362" s="37" t="s">
        <v>4157</v>
      </c>
      <c r="I362" s="37" t="s">
        <v>4312</v>
      </c>
      <c r="J362" s="37" t="s">
        <v>2678</v>
      </c>
      <c r="K362" s="32"/>
      <c r="L362" s="32"/>
      <c r="M362" s="32"/>
      <c r="N362" s="32"/>
      <c r="O362" s="33">
        <v>545</v>
      </c>
      <c r="P362" s="38" t="s">
        <v>4043</v>
      </c>
      <c r="Q362" s="34">
        <f>IF(MasterFees[[#This Row],[GST Basis]]="Excl",MasterFees[[#This Row],[Fee as Printed]],IF(MasterFees[[#This Row],[GST Basis]]="Incl",MasterFees[[#This Row],[Fee as Printed]]/(1+GST_Rate),""))</f>
        <v>473.91304347826093</v>
      </c>
      <c r="R362" s="34">
        <f>IF(MasterFees[[#This Row],[GST Basis]]="Incl",MasterFees[[#This Row],[Fee as Printed]],IF(MasterFees[[#This Row],[GST Basis]]="Excl",MasterFees[[#This Row],[Fee as Printed]]*(1+GST_Rate),""))</f>
        <v>545</v>
      </c>
      <c r="S362" s="35" t="str">
        <f>IF(N(MasterFees[[#This Row],[Total Units]])=0,"",MasterFees[[#This Row],[Fee as Printed]]/MasterFees[[#This Row],[Total Units]])</f>
        <v/>
      </c>
      <c r="T362" s="36">
        <v>46113</v>
      </c>
      <c r="U362" s="39" t="s">
        <v>1028</v>
      </c>
      <c r="V362" s="39" t="s">
        <v>4070</v>
      </c>
      <c r="W362" s="30" t="s">
        <v>4327</v>
      </c>
      <c r="X362" s="73" t="s">
        <v>4330</v>
      </c>
      <c r="Y362" s="127" t="str">
        <f>_xlfn.XLOOKUP(MasterFees[[#This Row],[Provider / Payer]],Contracts[Contract Name],Contracts[Contract ID],"No contract")</f>
        <v>CON-02</v>
      </c>
      <c r="Z362" s="127" t="str">
        <f>_xlfn.XLOOKUP(MasterFees[[#This Row],[Provider / Payer]],Contracts[Contract Name],Contracts[Pricing Basis],"To confirm")</f>
        <v>Fixed fee schedule</v>
      </c>
      <c r="AA362" s="127" t="str">
        <f>IF(MasterFees[[#This Row],[Pricing Basis]]="Fixed fee schedule","Yes","No")</f>
        <v>Yes</v>
      </c>
      <c r="AB362" s="127" t="str">
        <f>IF(OR(MasterFees[[#This Row],[Fee Basis]]="Add-on",MasterFees[[#This Row],[Fee Basis]]="Time band",MasterFees[[#This Row],[Fee Basis]]="Other"),MasterFees[[#This Row],[Fee Basis]],"Base")</f>
        <v>Add-on</v>
      </c>
      <c r="AC362" s="141">
        <f>IF(MasterFees[[#This Row],[Fixed Fee?]]="Yes",MasterFees[[#This Row],[Fee Excl. GST]],"")</f>
        <v>473.91304347826093</v>
      </c>
    </row>
    <row r="363" spans="1:29" x14ac:dyDescent="0.2">
      <c r="A363" s="67" t="s">
        <v>2173</v>
      </c>
      <c r="B363" s="31">
        <f>IF(MasterFees[[#This Row],[RVG Code]]="","",_xlfn.XLOOKUP(MasterFees[[#This Row],[RVG Code]],RVGCodes[Code],RVGCodes[Base Units],"Code not found"))</f>
        <v>4</v>
      </c>
      <c r="C36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6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63" s="125" t="s">
        <v>2570</v>
      </c>
      <c r="F363" s="48" t="s">
        <v>2567</v>
      </c>
      <c r="G363" s="30" t="s">
        <v>4308</v>
      </c>
      <c r="H363" s="37" t="s">
        <v>4157</v>
      </c>
      <c r="I363" s="37" t="s">
        <v>4307</v>
      </c>
      <c r="J363" s="37" t="s">
        <v>2678</v>
      </c>
      <c r="K363" s="32"/>
      <c r="L363" s="32"/>
      <c r="M363" s="32"/>
      <c r="N363" s="32"/>
      <c r="O363" s="33">
        <v>545</v>
      </c>
      <c r="P363" s="38" t="s">
        <v>4043</v>
      </c>
      <c r="Q363" s="34">
        <f>IF(MasterFees[[#This Row],[GST Basis]]="Excl",MasterFees[[#This Row],[Fee as Printed]],IF(MasterFees[[#This Row],[GST Basis]]="Incl",MasterFees[[#This Row],[Fee as Printed]]/(1+GST_Rate),""))</f>
        <v>473.91304347826093</v>
      </c>
      <c r="R363" s="34">
        <f>IF(MasterFees[[#This Row],[GST Basis]]="Incl",MasterFees[[#This Row],[Fee as Printed]],IF(MasterFees[[#This Row],[GST Basis]]="Excl",MasterFees[[#This Row],[Fee as Printed]]*(1+GST_Rate),""))</f>
        <v>545</v>
      </c>
      <c r="S363" s="35" t="str">
        <f>IF(N(MasterFees[[#This Row],[Total Units]])=0,"",MasterFees[[#This Row],[Fee as Printed]]/MasterFees[[#This Row],[Total Units]])</f>
        <v/>
      </c>
      <c r="T363" s="36">
        <v>46113</v>
      </c>
      <c r="U363" s="39" t="s">
        <v>1028</v>
      </c>
      <c r="V363" s="39" t="s">
        <v>4070</v>
      </c>
      <c r="W363" s="30" t="s">
        <v>4327</v>
      </c>
      <c r="X363" s="73" t="s">
        <v>4326</v>
      </c>
      <c r="Y363" s="127" t="str">
        <f>_xlfn.XLOOKUP(MasterFees[[#This Row],[Provider / Payer]],Contracts[Contract Name],Contracts[Contract ID],"No contract")</f>
        <v>CON-02</v>
      </c>
      <c r="Z363" s="127" t="str">
        <f>_xlfn.XLOOKUP(MasterFees[[#This Row],[Provider / Payer]],Contracts[Contract Name],Contracts[Pricing Basis],"To confirm")</f>
        <v>Fixed fee schedule</v>
      </c>
      <c r="AA363" s="127" t="str">
        <f>IF(MasterFees[[#This Row],[Pricing Basis]]="Fixed fee schedule","Yes","No")</f>
        <v>Yes</v>
      </c>
      <c r="AB363" s="127" t="str">
        <f>IF(OR(MasterFees[[#This Row],[Fee Basis]]="Add-on",MasterFees[[#This Row],[Fee Basis]]="Time band",MasterFees[[#This Row],[Fee Basis]]="Other"),MasterFees[[#This Row],[Fee Basis]],"Base")</f>
        <v>Add-on</v>
      </c>
      <c r="AC363" s="141">
        <f>IF(MasterFees[[#This Row],[Fixed Fee?]]="Yes",MasterFees[[#This Row],[Fee Excl. GST]],"")</f>
        <v>473.91304347826093</v>
      </c>
    </row>
    <row r="364" spans="1:29" x14ac:dyDescent="0.2">
      <c r="A364" s="67" t="s">
        <v>2173</v>
      </c>
      <c r="B364" s="31">
        <f>IF(MasterFees[[#This Row],[RVG Code]]="","",_xlfn.XLOOKUP(MasterFees[[#This Row],[RVG Code]],RVGCodes[Code],RVGCodes[Base Units],"Code not found"))</f>
        <v>4</v>
      </c>
      <c r="C36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6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64" s="125" t="s">
        <v>2570</v>
      </c>
      <c r="F364" s="48" t="s">
        <v>2567</v>
      </c>
      <c r="G364" s="30" t="s">
        <v>4306</v>
      </c>
      <c r="H364" s="37" t="s">
        <v>4157</v>
      </c>
      <c r="I364" s="37" t="s">
        <v>4305</v>
      </c>
      <c r="J364" s="37" t="s">
        <v>1024</v>
      </c>
      <c r="K364" s="32"/>
      <c r="L364" s="32"/>
      <c r="M364" s="32"/>
      <c r="N364" s="32"/>
      <c r="O364" s="33">
        <v>950</v>
      </c>
      <c r="P364" s="38" t="s">
        <v>4043</v>
      </c>
      <c r="Q364" s="34">
        <f>IF(MasterFees[[#This Row],[GST Basis]]="Excl",MasterFees[[#This Row],[Fee as Printed]],IF(MasterFees[[#This Row],[GST Basis]]="Incl",MasterFees[[#This Row],[Fee as Printed]]/(1+GST_Rate),""))</f>
        <v>826.08695652173924</v>
      </c>
      <c r="R364" s="34">
        <f>IF(MasterFees[[#This Row],[GST Basis]]="Incl",MasterFees[[#This Row],[Fee as Printed]],IF(MasterFees[[#This Row],[GST Basis]]="Excl",MasterFees[[#This Row],[Fee as Printed]]*(1+GST_Rate),""))</f>
        <v>950</v>
      </c>
      <c r="S364" s="35" t="str">
        <f>IF(N(MasterFees[[#This Row],[Total Units]])=0,"",MasterFees[[#This Row],[Fee as Printed]]/MasterFees[[#This Row],[Total Units]])</f>
        <v/>
      </c>
      <c r="T364" s="36">
        <v>46113</v>
      </c>
      <c r="U364" s="39" t="s">
        <v>1028</v>
      </c>
      <c r="V364" s="39" t="s">
        <v>4070</v>
      </c>
      <c r="W364" s="30" t="s">
        <v>4325</v>
      </c>
      <c r="X364" s="73" t="s">
        <v>4339</v>
      </c>
      <c r="Y364" s="127" t="str">
        <f>_xlfn.XLOOKUP(MasterFees[[#This Row],[Provider / Payer]],Contracts[Contract Name],Contracts[Contract ID],"No contract")</f>
        <v>CON-02</v>
      </c>
      <c r="Z364" s="127" t="str">
        <f>_xlfn.XLOOKUP(MasterFees[[#This Row],[Provider / Payer]],Contracts[Contract Name],Contracts[Pricing Basis],"To confirm")</f>
        <v>Fixed fee schedule</v>
      </c>
      <c r="AA364" s="127" t="str">
        <f>IF(MasterFees[[#This Row],[Pricing Basis]]="Fixed fee schedule","Yes","No")</f>
        <v>Yes</v>
      </c>
      <c r="AB364" s="127" t="str">
        <f>IF(OR(MasterFees[[#This Row],[Fee Basis]]="Add-on",MasterFees[[#This Row],[Fee Basis]]="Time band",MasterFees[[#This Row],[Fee Basis]]="Other"),MasterFees[[#This Row],[Fee Basis]],"Base")</f>
        <v>Base</v>
      </c>
      <c r="AC364" s="141">
        <f>IF(MasterFees[[#This Row],[Fixed Fee?]]="Yes",MasterFees[[#This Row],[Fee Excl. GST]],"")</f>
        <v>826.08695652173924</v>
      </c>
    </row>
    <row r="365" spans="1:29" x14ac:dyDescent="0.2">
      <c r="A365" s="67" t="s">
        <v>2173</v>
      </c>
      <c r="B365" s="31">
        <f>IF(MasterFees[[#This Row],[RVG Code]]="","",_xlfn.XLOOKUP(MasterFees[[#This Row],[RVG Code]],RVGCodes[Code],RVGCodes[Base Units],"Code not found"))</f>
        <v>4</v>
      </c>
      <c r="C36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6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65" s="125" t="s">
        <v>2570</v>
      </c>
      <c r="F365" s="48" t="s">
        <v>2567</v>
      </c>
      <c r="G365" s="30" t="s">
        <v>4315</v>
      </c>
      <c r="H365" s="37" t="s">
        <v>4157</v>
      </c>
      <c r="I365" s="37" t="s">
        <v>4314</v>
      </c>
      <c r="J365" s="37" t="s">
        <v>1024</v>
      </c>
      <c r="K365" s="32"/>
      <c r="L365" s="32"/>
      <c r="M365" s="32"/>
      <c r="N365" s="32"/>
      <c r="O365" s="33">
        <v>510</v>
      </c>
      <c r="P365" s="38" t="s">
        <v>4043</v>
      </c>
      <c r="Q365" s="34">
        <f>IF(MasterFees[[#This Row],[GST Basis]]="Excl",MasterFees[[#This Row],[Fee as Printed]],IF(MasterFees[[#This Row],[GST Basis]]="Incl",MasterFees[[#This Row],[Fee as Printed]]/(1+GST_Rate),""))</f>
        <v>443.47826086956525</v>
      </c>
      <c r="R365" s="34">
        <f>IF(MasterFees[[#This Row],[GST Basis]]="Incl",MasterFees[[#This Row],[Fee as Printed]],IF(MasterFees[[#This Row],[GST Basis]]="Excl",MasterFees[[#This Row],[Fee as Printed]]*(1+GST_Rate),""))</f>
        <v>510</v>
      </c>
      <c r="S365" s="35" t="str">
        <f>IF(N(MasterFees[[#This Row],[Total Units]])=0,"",MasterFees[[#This Row],[Fee as Printed]]/MasterFees[[#This Row],[Total Units]])</f>
        <v/>
      </c>
      <c r="T365" s="36">
        <v>46113</v>
      </c>
      <c r="U365" s="39" t="s">
        <v>1028</v>
      </c>
      <c r="V365" s="39" t="s">
        <v>4070</v>
      </c>
      <c r="W365" s="30" t="s">
        <v>4332</v>
      </c>
      <c r="X365" s="73" t="s">
        <v>4331</v>
      </c>
      <c r="Y365" s="127" t="str">
        <f>_xlfn.XLOOKUP(MasterFees[[#This Row],[Provider / Payer]],Contracts[Contract Name],Contracts[Contract ID],"No contract")</f>
        <v>CON-02</v>
      </c>
      <c r="Z365" s="127" t="str">
        <f>_xlfn.XLOOKUP(MasterFees[[#This Row],[Provider / Payer]],Contracts[Contract Name],Contracts[Pricing Basis],"To confirm")</f>
        <v>Fixed fee schedule</v>
      </c>
      <c r="AA365" s="127" t="str">
        <f>IF(MasterFees[[#This Row],[Pricing Basis]]="Fixed fee schedule","Yes","No")</f>
        <v>Yes</v>
      </c>
      <c r="AB365" s="127" t="str">
        <f>IF(OR(MasterFees[[#This Row],[Fee Basis]]="Add-on",MasterFees[[#This Row],[Fee Basis]]="Time band",MasterFees[[#This Row],[Fee Basis]]="Other"),MasterFees[[#This Row],[Fee Basis]],"Base")</f>
        <v>Base</v>
      </c>
      <c r="AC365" s="141">
        <f>IF(MasterFees[[#This Row],[Fixed Fee?]]="Yes",MasterFees[[#This Row],[Fee Excl. GST]],"")</f>
        <v>443.47826086956525</v>
      </c>
    </row>
    <row r="366" spans="1:29" x14ac:dyDescent="0.2">
      <c r="A366" s="67" t="s">
        <v>2173</v>
      </c>
      <c r="B366" s="31">
        <f>IF(MasterFees[[#This Row],[RVG Code]]="","",_xlfn.XLOOKUP(MasterFees[[#This Row],[RVG Code]],RVGCodes[Code],RVGCodes[Base Units],"Code not found"))</f>
        <v>4</v>
      </c>
      <c r="C36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6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66" s="125" t="s">
        <v>2570</v>
      </c>
      <c r="F366" s="48" t="s">
        <v>2567</v>
      </c>
      <c r="G366" s="30" t="s">
        <v>4317</v>
      </c>
      <c r="H366" s="37" t="s">
        <v>4157</v>
      </c>
      <c r="I366" s="37" t="s">
        <v>4316</v>
      </c>
      <c r="J366" s="37" t="s">
        <v>2678</v>
      </c>
      <c r="K366" s="32"/>
      <c r="L366" s="32"/>
      <c r="M366" s="32"/>
      <c r="N366" s="32"/>
      <c r="O366" s="33">
        <v>460</v>
      </c>
      <c r="P366" s="38" t="s">
        <v>4043</v>
      </c>
      <c r="Q366" s="34">
        <f>IF(MasterFees[[#This Row],[GST Basis]]="Excl",MasterFees[[#This Row],[Fee as Printed]],IF(MasterFees[[#This Row],[GST Basis]]="Incl",MasterFees[[#This Row],[Fee as Printed]]/(1+GST_Rate),""))</f>
        <v>400.00000000000006</v>
      </c>
      <c r="R366" s="34">
        <f>IF(MasterFees[[#This Row],[GST Basis]]="Incl",MasterFees[[#This Row],[Fee as Printed]],IF(MasterFees[[#This Row],[GST Basis]]="Excl",MasterFees[[#This Row],[Fee as Printed]]*(1+GST_Rate),""))</f>
        <v>460</v>
      </c>
      <c r="S366" s="35" t="str">
        <f>IF(N(MasterFees[[#This Row],[Total Units]])=0,"",MasterFees[[#This Row],[Fee as Printed]]/MasterFees[[#This Row],[Total Units]])</f>
        <v/>
      </c>
      <c r="T366" s="36">
        <v>46113</v>
      </c>
      <c r="U366" s="39" t="s">
        <v>1028</v>
      </c>
      <c r="V366" s="39" t="s">
        <v>4070</v>
      </c>
      <c r="W366" s="30" t="s">
        <v>4334</v>
      </c>
      <c r="X366" s="73" t="s">
        <v>4333</v>
      </c>
      <c r="Y366" s="127" t="str">
        <f>_xlfn.XLOOKUP(MasterFees[[#This Row],[Provider / Payer]],Contracts[Contract Name],Contracts[Contract ID],"No contract")</f>
        <v>CON-02</v>
      </c>
      <c r="Z366" s="127" t="str">
        <f>_xlfn.XLOOKUP(MasterFees[[#This Row],[Provider / Payer]],Contracts[Contract Name],Contracts[Pricing Basis],"To confirm")</f>
        <v>Fixed fee schedule</v>
      </c>
      <c r="AA366" s="127" t="str">
        <f>IF(MasterFees[[#This Row],[Pricing Basis]]="Fixed fee schedule","Yes","No")</f>
        <v>Yes</v>
      </c>
      <c r="AB366" s="127" t="str">
        <f>IF(OR(MasterFees[[#This Row],[Fee Basis]]="Add-on",MasterFees[[#This Row],[Fee Basis]]="Time band",MasterFees[[#This Row],[Fee Basis]]="Other"),MasterFees[[#This Row],[Fee Basis]],"Base")</f>
        <v>Add-on</v>
      </c>
      <c r="AC366" s="141">
        <f>IF(MasterFees[[#This Row],[Fixed Fee?]]="Yes",MasterFees[[#This Row],[Fee Excl. GST]],"")</f>
        <v>400.00000000000006</v>
      </c>
    </row>
    <row r="367" spans="1:29" x14ac:dyDescent="0.2">
      <c r="A367" s="67" t="s">
        <v>2173</v>
      </c>
      <c r="B367" s="31">
        <f>IF(MasterFees[[#This Row],[RVG Code]]="","",_xlfn.XLOOKUP(MasterFees[[#This Row],[RVG Code]],RVGCodes[Code],RVGCodes[Base Units],"Code not found"))</f>
        <v>4</v>
      </c>
      <c r="C36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6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67" s="125" t="s">
        <v>2570</v>
      </c>
      <c r="F367" s="48" t="s">
        <v>2567</v>
      </c>
      <c r="G367" s="30" t="s">
        <v>4323</v>
      </c>
      <c r="H367" s="37" t="s">
        <v>4157</v>
      </c>
      <c r="I367" s="37" t="s">
        <v>4322</v>
      </c>
      <c r="J367" s="37" t="s">
        <v>2678</v>
      </c>
      <c r="K367" s="32"/>
      <c r="L367" s="32"/>
      <c r="M367" s="32"/>
      <c r="N367" s="32"/>
      <c r="O367" s="33">
        <v>505</v>
      </c>
      <c r="P367" s="38" t="s">
        <v>4043</v>
      </c>
      <c r="Q367" s="34">
        <f>IF(MasterFees[[#This Row],[GST Basis]]="Excl",MasterFees[[#This Row],[Fee as Printed]],IF(MasterFees[[#This Row],[GST Basis]]="Incl",MasterFees[[#This Row],[Fee as Printed]]/(1+GST_Rate),""))</f>
        <v>439.13043478260875</v>
      </c>
      <c r="R367" s="34">
        <f>IF(MasterFees[[#This Row],[GST Basis]]="Incl",MasterFees[[#This Row],[Fee as Printed]],IF(MasterFees[[#This Row],[GST Basis]]="Excl",MasterFees[[#This Row],[Fee as Printed]]*(1+GST_Rate),""))</f>
        <v>505</v>
      </c>
      <c r="S367" s="35" t="str">
        <f>IF(N(MasterFees[[#This Row],[Total Units]])=0,"",MasterFees[[#This Row],[Fee as Printed]]/MasterFees[[#This Row],[Total Units]])</f>
        <v/>
      </c>
      <c r="T367" s="36">
        <v>46113</v>
      </c>
      <c r="U367" s="39" t="s">
        <v>1028</v>
      </c>
      <c r="V367" s="39" t="s">
        <v>4070</v>
      </c>
      <c r="W367" s="30" t="s">
        <v>4338</v>
      </c>
      <c r="X367" s="73" t="s">
        <v>4337</v>
      </c>
      <c r="Y367" s="127" t="str">
        <f>_xlfn.XLOOKUP(MasterFees[[#This Row],[Provider / Payer]],Contracts[Contract Name],Contracts[Contract ID],"No contract")</f>
        <v>CON-02</v>
      </c>
      <c r="Z367" s="127" t="str">
        <f>_xlfn.XLOOKUP(MasterFees[[#This Row],[Provider / Payer]],Contracts[Contract Name],Contracts[Pricing Basis],"To confirm")</f>
        <v>Fixed fee schedule</v>
      </c>
      <c r="AA367" s="127" t="str">
        <f>IF(MasterFees[[#This Row],[Pricing Basis]]="Fixed fee schedule","Yes","No")</f>
        <v>Yes</v>
      </c>
      <c r="AB367" s="127" t="str">
        <f>IF(OR(MasterFees[[#This Row],[Fee Basis]]="Add-on",MasterFees[[#This Row],[Fee Basis]]="Time band",MasterFees[[#This Row],[Fee Basis]]="Other"),MasterFees[[#This Row],[Fee Basis]],"Base")</f>
        <v>Add-on</v>
      </c>
      <c r="AC367" s="141">
        <f>IF(MasterFees[[#This Row],[Fixed Fee?]]="Yes",MasterFees[[#This Row],[Fee Excl. GST]],"")</f>
        <v>439.13043478260875</v>
      </c>
    </row>
    <row r="368" spans="1:29" x14ac:dyDescent="0.2">
      <c r="A368" s="67" t="s">
        <v>2173</v>
      </c>
      <c r="B368" s="31">
        <f>IF(MasterFees[[#This Row],[RVG Code]]="","",_xlfn.XLOOKUP(MasterFees[[#This Row],[RVG Code]],RVGCodes[Code],RVGCodes[Base Units],"Code not found"))</f>
        <v>4</v>
      </c>
      <c r="C36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6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68" s="125" t="s">
        <v>2570</v>
      </c>
      <c r="F368" s="48" t="s">
        <v>2567</v>
      </c>
      <c r="G368" s="30" t="s">
        <v>643</v>
      </c>
      <c r="H368" s="37" t="s">
        <v>1095</v>
      </c>
      <c r="I368" s="37"/>
      <c r="J368" s="37" t="s">
        <v>1096</v>
      </c>
      <c r="K368" s="32">
        <v>5.4</v>
      </c>
      <c r="L368" s="32">
        <v>6.8</v>
      </c>
      <c r="M368" s="32">
        <v>2</v>
      </c>
      <c r="N368" s="32">
        <v>14.2</v>
      </c>
      <c r="O368" s="33">
        <v>781</v>
      </c>
      <c r="P368" s="38" t="s">
        <v>1014</v>
      </c>
      <c r="Q368" s="34" t="str">
        <f>IF(MasterFees[[#This Row],[GST Basis]]="Excl",MasterFees[[#This Row],[Fee as Printed]],IF(MasterFees[[#This Row],[GST Basis]]="Incl",MasterFees[[#This Row],[Fee as Printed]]/(1+GST_Rate),""))</f>
        <v/>
      </c>
      <c r="R368" s="34" t="str">
        <f>IF(MasterFees[[#This Row],[GST Basis]]="Incl",MasterFees[[#This Row],[Fee as Printed]],IF(MasterFees[[#This Row],[GST Basis]]="Excl",MasterFees[[#This Row],[Fee as Printed]]*(1+GST_Rate),""))</f>
        <v/>
      </c>
      <c r="S368" s="35">
        <f>IF(N(MasterFees[[#This Row],[Total Units]])=0,"",MasterFees[[#This Row],[Fee as Printed]]/MasterFees[[#This Row],[Total Units]])</f>
        <v>55</v>
      </c>
      <c r="T368" s="36"/>
      <c r="U368" s="39" t="s">
        <v>1012</v>
      </c>
      <c r="V368" s="39" t="s">
        <v>1740</v>
      </c>
      <c r="W368" s="30"/>
      <c r="X368" s="73" t="s">
        <v>3539</v>
      </c>
      <c r="Y368" s="127" t="str">
        <f>_xlfn.XLOOKUP(MasterFees[[#This Row],[Provider / Payer]],Contracts[Contract Name],Contracts[Contract ID],"No contract")</f>
        <v>CON-01</v>
      </c>
      <c r="Z368" s="127" t="str">
        <f>_xlfn.XLOOKUP(MasterFees[[#This Row],[Provider / Payer]],Contracts[Contract Name],Contracts[Pricing Basis],"To confirm")</f>
        <v>To confirm</v>
      </c>
      <c r="AA368" s="127" t="str">
        <f>IF(MasterFees[[#This Row],[Pricing Basis]]="Fixed fee schedule","Yes","No")</f>
        <v>No</v>
      </c>
      <c r="AB368" s="127" t="str">
        <f>IF(OR(MasterFees[[#This Row],[Fee Basis]]="Add-on",MasterFees[[#This Row],[Fee Basis]]="Time band",MasterFees[[#This Row],[Fee Basis]]="Other"),MasterFees[[#This Row],[Fee Basis]],"Base")</f>
        <v>Base</v>
      </c>
      <c r="AC368" s="141" t="str">
        <f>IF(MasterFees[[#This Row],[Fixed Fee?]]="Yes",MasterFees[[#This Row],[Fee Excl. GST]],"")</f>
        <v/>
      </c>
    </row>
    <row r="369" spans="1:29" x14ac:dyDescent="0.2">
      <c r="A369" s="67" t="s">
        <v>2175</v>
      </c>
      <c r="B369" s="31">
        <f>IF(MasterFees[[#This Row],[RVG Code]]="","",_xlfn.XLOOKUP(MasterFees[[#This Row],[RVG Code]],RVGCodes[Code],RVGCodes[Base Units],"Code not found"))</f>
        <v>5</v>
      </c>
      <c r="C36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6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69" s="125" t="s">
        <v>2684</v>
      </c>
      <c r="F369" s="48" t="s">
        <v>2565</v>
      </c>
      <c r="G369" s="30" t="s">
        <v>2176</v>
      </c>
      <c r="H369" s="37" t="s">
        <v>2630</v>
      </c>
      <c r="I369" s="37" t="s">
        <v>2175</v>
      </c>
      <c r="J369" s="37" t="s">
        <v>1096</v>
      </c>
      <c r="K369" s="32">
        <v>5</v>
      </c>
      <c r="L369" s="32"/>
      <c r="M369" s="32"/>
      <c r="N369" s="32">
        <v>5</v>
      </c>
      <c r="O369" s="33"/>
      <c r="P369" s="38"/>
      <c r="Q369" s="34" t="str">
        <f>IF(MasterFees[[#This Row],[GST Basis]]="Excl",MasterFees[[#This Row],[Fee as Printed]],IF(MasterFees[[#This Row],[GST Basis]]="Incl",MasterFees[[#This Row],[Fee as Printed]]/(1+GST_Rate),""))</f>
        <v/>
      </c>
      <c r="R369" s="34" t="str">
        <f>IF(MasterFees[[#This Row],[GST Basis]]="Incl",MasterFees[[#This Row],[Fee as Printed]],IF(MasterFees[[#This Row],[GST Basis]]="Excl",MasterFees[[#This Row],[Fee as Printed]]*(1+GST_Rate),""))</f>
        <v/>
      </c>
      <c r="S369" s="35">
        <f>IF(N(MasterFees[[#This Row],[Total Units]])=0,"",MasterFees[[#This Row],[Fee as Printed]]/MasterFees[[#This Row],[Total Units]])</f>
        <v>0</v>
      </c>
      <c r="T369" s="36"/>
      <c r="U369" s="39" t="s">
        <v>1016</v>
      </c>
      <c r="V369" s="39" t="s">
        <v>2633</v>
      </c>
      <c r="W369" s="30" t="s">
        <v>2632</v>
      </c>
      <c r="X369" s="73" t="s">
        <v>3924</v>
      </c>
      <c r="Y369" s="127" t="str">
        <f>_xlfn.XLOOKUP(MasterFees[[#This Row],[Provider / Payer]],Contracts[Contract Name],Contracts[Contract ID],"No contract")</f>
        <v>CON-10</v>
      </c>
      <c r="Z369" s="127" t="str">
        <f>_xlfn.XLOOKUP(MasterFees[[#This Row],[Provider / Payer]],Contracts[Contract Name],Contracts[Pricing Basis],"To confirm")</f>
        <v>Reference – units only</v>
      </c>
      <c r="AA369" s="127" t="str">
        <f>IF(MasterFees[[#This Row],[Pricing Basis]]="Fixed fee schedule","Yes","No")</f>
        <v>No</v>
      </c>
      <c r="AB369" s="127" t="str">
        <f>IF(OR(MasterFees[[#This Row],[Fee Basis]]="Add-on",MasterFees[[#This Row],[Fee Basis]]="Time band",MasterFees[[#This Row],[Fee Basis]]="Other"),MasterFees[[#This Row],[Fee Basis]],"Base")</f>
        <v>Base</v>
      </c>
      <c r="AC369" s="141" t="str">
        <f>IF(MasterFees[[#This Row],[Fixed Fee?]]="Yes",MasterFees[[#This Row],[Fee Excl. GST]],"")</f>
        <v/>
      </c>
    </row>
    <row r="370" spans="1:29" x14ac:dyDescent="0.2">
      <c r="A370" s="67" t="s">
        <v>2173</v>
      </c>
      <c r="B370" s="31">
        <f>IF(MasterFees[[#This Row],[RVG Code]]="","",_xlfn.XLOOKUP(MasterFees[[#This Row],[RVG Code]],RVGCodes[Code],RVGCodes[Base Units],"Code not found"))</f>
        <v>4</v>
      </c>
      <c r="C37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7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70" s="125" t="s">
        <v>2570</v>
      </c>
      <c r="F370" s="48" t="s">
        <v>2629</v>
      </c>
      <c r="G370" s="30" t="s">
        <v>2174</v>
      </c>
      <c r="H370" s="37" t="s">
        <v>2630</v>
      </c>
      <c r="I370" s="37" t="s">
        <v>2173</v>
      </c>
      <c r="J370" s="37" t="s">
        <v>1096</v>
      </c>
      <c r="K370" s="32">
        <v>4</v>
      </c>
      <c r="L370" s="32"/>
      <c r="M370" s="32"/>
      <c r="N370" s="32">
        <v>4</v>
      </c>
      <c r="O370" s="33"/>
      <c r="P370" s="38"/>
      <c r="Q370" s="34" t="str">
        <f>IF(MasterFees[[#This Row],[GST Basis]]="Excl",MasterFees[[#This Row],[Fee as Printed]],IF(MasterFees[[#This Row],[GST Basis]]="Incl",MasterFees[[#This Row],[Fee as Printed]]/(1+GST_Rate),""))</f>
        <v/>
      </c>
      <c r="R370" s="34" t="str">
        <f>IF(MasterFees[[#This Row],[GST Basis]]="Incl",MasterFees[[#This Row],[Fee as Printed]],IF(MasterFees[[#This Row],[GST Basis]]="Excl",MasterFees[[#This Row],[Fee as Printed]]*(1+GST_Rate),""))</f>
        <v/>
      </c>
      <c r="S370" s="35">
        <f>IF(N(MasterFees[[#This Row],[Total Units]])=0,"",MasterFees[[#This Row],[Fee as Printed]]/MasterFees[[#This Row],[Total Units]])</f>
        <v>0</v>
      </c>
      <c r="T370" s="36"/>
      <c r="U370" s="39" t="s">
        <v>1016</v>
      </c>
      <c r="V370" s="39" t="s">
        <v>2633</v>
      </c>
      <c r="W370" s="30" t="s">
        <v>2632</v>
      </c>
      <c r="X370" s="73" t="s">
        <v>3920</v>
      </c>
      <c r="Y370" s="127" t="str">
        <f>_xlfn.XLOOKUP(MasterFees[[#This Row],[Provider / Payer]],Contracts[Contract Name],Contracts[Contract ID],"No contract")</f>
        <v>CON-10</v>
      </c>
      <c r="Z370" s="127" t="str">
        <f>_xlfn.XLOOKUP(MasterFees[[#This Row],[Provider / Payer]],Contracts[Contract Name],Contracts[Pricing Basis],"To confirm")</f>
        <v>Reference – units only</v>
      </c>
      <c r="AA370" s="127" t="str">
        <f>IF(MasterFees[[#This Row],[Pricing Basis]]="Fixed fee schedule","Yes","No")</f>
        <v>No</v>
      </c>
      <c r="AB370" s="127" t="str">
        <f>IF(OR(MasterFees[[#This Row],[Fee Basis]]="Add-on",MasterFees[[#This Row],[Fee Basis]]="Time band",MasterFees[[#This Row],[Fee Basis]]="Other"),MasterFees[[#This Row],[Fee Basis]],"Base")</f>
        <v>Base</v>
      </c>
      <c r="AC370" s="141" t="str">
        <f>IF(MasterFees[[#This Row],[Fixed Fee?]]="Yes",MasterFees[[#This Row],[Fee Excl. GST]],"")</f>
        <v/>
      </c>
    </row>
    <row r="371" spans="1:29" x14ac:dyDescent="0.2">
      <c r="A371" s="67" t="s">
        <v>2173</v>
      </c>
      <c r="B371" s="31">
        <f>IF(MasterFees[[#This Row],[RVG Code]]="","",_xlfn.XLOOKUP(MasterFees[[#This Row],[RVG Code]],RVGCodes[Code],RVGCodes[Base Units],"Code not found"))</f>
        <v>4</v>
      </c>
      <c r="C37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7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71" s="125" t="s">
        <v>2570</v>
      </c>
      <c r="F371" s="48" t="s">
        <v>2567</v>
      </c>
      <c r="G371" s="30" t="s">
        <v>4486</v>
      </c>
      <c r="H371" s="37" t="s">
        <v>4622</v>
      </c>
      <c r="I371" s="37" t="s">
        <v>4485</v>
      </c>
      <c r="J371" s="37" t="s">
        <v>1024</v>
      </c>
      <c r="K371" s="32"/>
      <c r="L371" s="32"/>
      <c r="M371" s="32"/>
      <c r="N371" s="32"/>
      <c r="O371" s="33">
        <v>500</v>
      </c>
      <c r="P371" s="38" t="s">
        <v>4398</v>
      </c>
      <c r="Q371" s="34">
        <f>IF(MasterFees[[#This Row],[GST Basis]]="Excl",MasterFees[[#This Row],[Fee as Printed]],IF(MasterFees[[#This Row],[GST Basis]]="Incl",MasterFees[[#This Row],[Fee as Printed]]/(1+GST_Rate),""))</f>
        <v>500</v>
      </c>
      <c r="R371" s="34">
        <f>IF(MasterFees[[#This Row],[GST Basis]]="Incl",MasterFees[[#This Row],[Fee as Printed]],IF(MasterFees[[#This Row],[GST Basis]]="Excl",MasterFees[[#This Row],[Fee as Printed]]*(1+GST_Rate),""))</f>
        <v>575</v>
      </c>
      <c r="S371" s="35" t="str">
        <f>IF(N(MasterFees[[#This Row],[Total Units]])=0,"",MasterFees[[#This Row],[Fee as Printed]]/MasterFees[[#This Row],[Total Units]])</f>
        <v/>
      </c>
      <c r="T371" s="36"/>
      <c r="U371" s="39" t="s">
        <v>4587</v>
      </c>
      <c r="V371" s="39" t="s">
        <v>4630</v>
      </c>
      <c r="W371" s="30" t="s">
        <v>4624</v>
      </c>
      <c r="X371" s="77" t="s">
        <v>4855</v>
      </c>
      <c r="Y371" s="127" t="str">
        <f>_xlfn.XLOOKUP(MasterFees[[#This Row],[Provider / Payer]],Contracts[Contract Name],Contracts[Contract ID],"No contract")</f>
        <v>CON-05</v>
      </c>
      <c r="Z371" s="127" t="str">
        <f>_xlfn.XLOOKUP(MasterFees[[#This Row],[Provider / Payer]],Contracts[Contract Name],Contracts[Pricing Basis],"To confirm")</f>
        <v>Fixed fee schedule</v>
      </c>
      <c r="AA371" s="127" t="str">
        <f>IF(MasterFees[[#This Row],[Pricing Basis]]="Fixed fee schedule","Yes","No")</f>
        <v>Yes</v>
      </c>
      <c r="AB371" s="127" t="str">
        <f>IF(OR(MasterFees[[#This Row],[Fee Basis]]="Add-on",MasterFees[[#This Row],[Fee Basis]]="Time band",MasterFees[[#This Row],[Fee Basis]]="Other"),MasterFees[[#This Row],[Fee Basis]],"Base")</f>
        <v>Base</v>
      </c>
      <c r="AC371" s="141">
        <f>IF(MasterFees[[#This Row],[Fixed Fee?]]="Yes",MasterFees[[#This Row],[Fee Excl. GST]],"")</f>
        <v>500</v>
      </c>
    </row>
    <row r="372" spans="1:29" x14ac:dyDescent="0.2">
      <c r="A372" s="67" t="s">
        <v>2173</v>
      </c>
      <c r="B372" s="31">
        <f>IF(MasterFees[[#This Row],[RVG Code]]="","",_xlfn.XLOOKUP(MasterFees[[#This Row],[RVG Code]],RVGCodes[Code],RVGCodes[Base Units],"Code not found"))</f>
        <v>4</v>
      </c>
      <c r="C37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7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72" s="125" t="s">
        <v>2570</v>
      </c>
      <c r="F372" s="48" t="s">
        <v>2567</v>
      </c>
      <c r="G372" s="30" t="s">
        <v>4486</v>
      </c>
      <c r="H372" s="37" t="s">
        <v>4625</v>
      </c>
      <c r="I372" s="37" t="s">
        <v>4485</v>
      </c>
      <c r="J372" s="37" t="s">
        <v>1024</v>
      </c>
      <c r="K372" s="32"/>
      <c r="L372" s="32"/>
      <c r="M372" s="32"/>
      <c r="N372" s="32"/>
      <c r="O372" s="33">
        <v>500</v>
      </c>
      <c r="P372" s="38" t="s">
        <v>4398</v>
      </c>
      <c r="Q372" s="34">
        <f>IF(MasterFees[[#This Row],[GST Basis]]="Excl",MasterFees[[#This Row],[Fee as Printed]],IF(MasterFees[[#This Row],[GST Basis]]="Incl",MasterFees[[#This Row],[Fee as Printed]]/(1+GST_Rate),""))</f>
        <v>500</v>
      </c>
      <c r="R372" s="34">
        <f>IF(MasterFees[[#This Row],[GST Basis]]="Incl",MasterFees[[#This Row],[Fee as Printed]],IF(MasterFees[[#This Row],[GST Basis]]="Excl",MasterFees[[#This Row],[Fee as Printed]]*(1+GST_Rate),""))</f>
        <v>575</v>
      </c>
      <c r="S372" s="35" t="str">
        <f>IF(N(MasterFees[[#This Row],[Total Units]])=0,"",MasterFees[[#This Row],[Fee as Printed]]/MasterFees[[#This Row],[Total Units]])</f>
        <v/>
      </c>
      <c r="T372" s="36"/>
      <c r="U372" s="39" t="s">
        <v>4587</v>
      </c>
      <c r="V372" s="39" t="s">
        <v>4631</v>
      </c>
      <c r="W372" s="30" t="s">
        <v>4627</v>
      </c>
      <c r="X372" s="77" t="s">
        <v>4855</v>
      </c>
      <c r="Y372" s="127" t="str">
        <f>_xlfn.XLOOKUP(MasterFees[[#This Row],[Provider / Payer]],Contracts[Contract Name],Contracts[Contract ID],"No contract")</f>
        <v>CON-06</v>
      </c>
      <c r="Z372" s="127" t="str">
        <f>_xlfn.XLOOKUP(MasterFees[[#This Row],[Provider / Payer]],Contracts[Contract Name],Contracts[Pricing Basis],"To confirm")</f>
        <v>Fixed fee schedule</v>
      </c>
      <c r="AA372" s="127" t="str">
        <f>IF(MasterFees[[#This Row],[Pricing Basis]]="Fixed fee schedule","Yes","No")</f>
        <v>Yes</v>
      </c>
      <c r="AB372" s="127" t="str">
        <f>IF(OR(MasterFees[[#This Row],[Fee Basis]]="Add-on",MasterFees[[#This Row],[Fee Basis]]="Time band",MasterFees[[#This Row],[Fee Basis]]="Other"),MasterFees[[#This Row],[Fee Basis]],"Base")</f>
        <v>Base</v>
      </c>
      <c r="AC372" s="141">
        <f>IF(MasterFees[[#This Row],[Fixed Fee?]]="Yes",MasterFees[[#This Row],[Fee Excl. GST]],"")</f>
        <v>500</v>
      </c>
    </row>
    <row r="373" spans="1:29" x14ac:dyDescent="0.2">
      <c r="A373" s="67" t="s">
        <v>2173</v>
      </c>
      <c r="B373" s="31">
        <f>IF(MasterFees[[#This Row],[RVG Code]]="","",_xlfn.XLOOKUP(MasterFees[[#This Row],[RVG Code]],RVGCodes[Code],RVGCodes[Base Units],"Code not found"))</f>
        <v>4</v>
      </c>
      <c r="C37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7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73" s="125" t="s">
        <v>2570</v>
      </c>
      <c r="F373" s="48" t="s">
        <v>2567</v>
      </c>
      <c r="G373" s="30" t="s">
        <v>4382</v>
      </c>
      <c r="H373" s="37" t="s">
        <v>4397</v>
      </c>
      <c r="I373" s="37"/>
      <c r="J373" s="37" t="s">
        <v>2744</v>
      </c>
      <c r="K373" s="32"/>
      <c r="L373" s="32"/>
      <c r="M373" s="32"/>
      <c r="N373" s="32"/>
      <c r="O373" s="33">
        <v>86.96</v>
      </c>
      <c r="P373" s="38" t="s">
        <v>4398</v>
      </c>
      <c r="Q373" s="34">
        <f>IF(MasterFees[[#This Row],[GST Basis]]="Excl",MasterFees[[#This Row],[Fee as Printed]],IF(MasterFees[[#This Row],[GST Basis]]="Incl",MasterFees[[#This Row],[Fee as Printed]]/(1+GST_Rate),""))</f>
        <v>86.96</v>
      </c>
      <c r="R373" s="34">
        <f>IF(MasterFees[[#This Row],[GST Basis]]="Incl",MasterFees[[#This Row],[Fee as Printed]],IF(MasterFees[[#This Row],[GST Basis]]="Excl",MasterFees[[#This Row],[Fee as Printed]]*(1+GST_Rate),""))</f>
        <v>100.00399999999999</v>
      </c>
      <c r="S373" s="35" t="str">
        <f>IF(N(MasterFees[[#This Row],[Total Units]])=0,"",MasterFees[[#This Row],[Fee as Printed]]/MasterFees[[#This Row],[Total Units]])</f>
        <v/>
      </c>
      <c r="T373" s="36">
        <v>46113</v>
      </c>
      <c r="U373" s="39" t="s">
        <v>1021</v>
      </c>
      <c r="V373" s="39" t="s">
        <v>4399</v>
      </c>
      <c r="W373" s="30" t="s">
        <v>4406</v>
      </c>
      <c r="X373" s="77" t="s">
        <v>4407</v>
      </c>
      <c r="Y373" s="127" t="str">
        <f>_xlfn.XLOOKUP(MasterFees[[#This Row],[Provider / Payer]],Contracts[Contract Name],Contracts[Contract ID],"No contract")</f>
        <v>CON-03</v>
      </c>
      <c r="Z373" s="127" t="str">
        <f>_xlfn.XLOOKUP(MasterFees[[#This Row],[Provider / Payer]],Contracts[Contract Name],Contracts[Pricing Basis],"To confirm")</f>
        <v>Fixed fee schedule</v>
      </c>
      <c r="AA373" s="127" t="str">
        <f>IF(MasterFees[[#This Row],[Pricing Basis]]="Fixed fee schedule","Yes","No")</f>
        <v>Yes</v>
      </c>
      <c r="AB373" s="127" t="str">
        <f>IF(OR(MasterFees[[#This Row],[Fee Basis]]="Add-on",MasterFees[[#This Row],[Fee Basis]]="Time band",MasterFees[[#This Row],[Fee Basis]]="Other"),MasterFees[[#This Row],[Fee Basis]],"Base")</f>
        <v>Time band</v>
      </c>
      <c r="AC373" s="141">
        <f>IF(MasterFees[[#This Row],[Fixed Fee?]]="Yes",MasterFees[[#This Row],[Fee Excl. GST]],"")</f>
        <v>86.96</v>
      </c>
    </row>
    <row r="374" spans="1:29" x14ac:dyDescent="0.2">
      <c r="A374" s="67" t="s">
        <v>2173</v>
      </c>
      <c r="B374" s="31">
        <f>IF(MasterFees[[#This Row],[RVG Code]]="","",_xlfn.XLOOKUP(MasterFees[[#This Row],[RVG Code]],RVGCodes[Code],RVGCodes[Base Units],"Code not found"))</f>
        <v>4</v>
      </c>
      <c r="C37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7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74" s="125" t="s">
        <v>2570</v>
      </c>
      <c r="F374" s="48" t="s">
        <v>2567</v>
      </c>
      <c r="G374" s="30" t="s">
        <v>705</v>
      </c>
      <c r="H374" s="37" t="s">
        <v>1095</v>
      </c>
      <c r="I374" s="37"/>
      <c r="J374" s="37" t="s">
        <v>1096</v>
      </c>
      <c r="K374" s="32">
        <v>4.0999999999999996</v>
      </c>
      <c r="L374" s="32">
        <v>3.4</v>
      </c>
      <c r="M374" s="32">
        <v>0.3</v>
      </c>
      <c r="N374" s="32">
        <v>7.9</v>
      </c>
      <c r="O374" s="33">
        <v>431.75</v>
      </c>
      <c r="P374" s="38" t="s">
        <v>1014</v>
      </c>
      <c r="Q374" s="34" t="str">
        <f>IF(MasterFees[[#This Row],[GST Basis]]="Excl",MasterFees[[#This Row],[Fee as Printed]],IF(MasterFees[[#This Row],[GST Basis]]="Incl",MasterFees[[#This Row],[Fee as Printed]]/(1+GST_Rate),""))</f>
        <v/>
      </c>
      <c r="R374" s="34" t="str">
        <f>IF(MasterFees[[#This Row],[GST Basis]]="Incl",MasterFees[[#This Row],[Fee as Printed]],IF(MasterFees[[#This Row],[GST Basis]]="Excl",MasterFees[[#This Row],[Fee as Printed]]*(1+GST_Rate),""))</f>
        <v/>
      </c>
      <c r="S374" s="35">
        <f>IF(N(MasterFees[[#This Row],[Total Units]])=0,"",MasterFees[[#This Row],[Fee as Printed]]/MasterFees[[#This Row],[Total Units]])</f>
        <v>54.651898734177216</v>
      </c>
      <c r="T374" s="36"/>
      <c r="U374" s="39" t="s">
        <v>1012</v>
      </c>
      <c r="V374" s="39" t="s">
        <v>1802</v>
      </c>
      <c r="W374" s="30"/>
      <c r="X374" s="73" t="s">
        <v>3605</v>
      </c>
      <c r="Y374" s="127" t="str">
        <f>_xlfn.XLOOKUP(MasterFees[[#This Row],[Provider / Payer]],Contracts[Contract Name],Contracts[Contract ID],"No contract")</f>
        <v>CON-01</v>
      </c>
      <c r="Z374" s="127" t="str">
        <f>_xlfn.XLOOKUP(MasterFees[[#This Row],[Provider / Payer]],Contracts[Contract Name],Contracts[Pricing Basis],"To confirm")</f>
        <v>To confirm</v>
      </c>
      <c r="AA374" s="127" t="str">
        <f>IF(MasterFees[[#This Row],[Pricing Basis]]="Fixed fee schedule","Yes","No")</f>
        <v>No</v>
      </c>
      <c r="AB374" s="127" t="str">
        <f>IF(OR(MasterFees[[#This Row],[Fee Basis]]="Add-on",MasterFees[[#This Row],[Fee Basis]]="Time band",MasterFees[[#This Row],[Fee Basis]]="Other"),MasterFees[[#This Row],[Fee Basis]],"Base")</f>
        <v>Base</v>
      </c>
      <c r="AC374" s="141" t="str">
        <f>IF(MasterFees[[#This Row],[Fixed Fee?]]="Yes",MasterFees[[#This Row],[Fee Excl. GST]],"")</f>
        <v/>
      </c>
    </row>
    <row r="375" spans="1:29" x14ac:dyDescent="0.2">
      <c r="A375" s="67" t="s">
        <v>2173</v>
      </c>
      <c r="B375" s="31">
        <f>IF(MasterFees[[#This Row],[RVG Code]]="","",_xlfn.XLOOKUP(MasterFees[[#This Row],[RVG Code]],RVGCodes[Code],RVGCodes[Base Units],"Code not found"))</f>
        <v>4</v>
      </c>
      <c r="C37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7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75" s="125" t="s">
        <v>2570</v>
      </c>
      <c r="F375" s="48" t="s">
        <v>2567</v>
      </c>
      <c r="G375" s="30" t="s">
        <v>4213</v>
      </c>
      <c r="H375" s="37" t="s">
        <v>4157</v>
      </c>
      <c r="I375" s="79" t="s">
        <v>4212</v>
      </c>
      <c r="J375" s="37" t="s">
        <v>1024</v>
      </c>
      <c r="K375" s="32"/>
      <c r="L375" s="32"/>
      <c r="M375" s="32"/>
      <c r="N375" s="32"/>
      <c r="O375" s="33">
        <v>1150</v>
      </c>
      <c r="P375" s="38" t="s">
        <v>4043</v>
      </c>
      <c r="Q375" s="34">
        <f>IF(MasterFees[[#This Row],[GST Basis]]="Excl",MasterFees[[#This Row],[Fee as Printed]],IF(MasterFees[[#This Row],[GST Basis]]="Incl",MasterFees[[#This Row],[Fee as Printed]]/(1+GST_Rate),""))</f>
        <v>1000.0000000000001</v>
      </c>
      <c r="R375" s="34">
        <f>IF(MasterFees[[#This Row],[GST Basis]]="Incl",MasterFees[[#This Row],[Fee as Printed]],IF(MasterFees[[#This Row],[GST Basis]]="Excl",MasterFees[[#This Row],[Fee as Printed]]*(1+GST_Rate),""))</f>
        <v>1150</v>
      </c>
      <c r="S375" s="35" t="str">
        <f>IF(N(MasterFees[[#This Row],[Total Units]])=0,"",MasterFees[[#This Row],[Fee as Printed]]/MasterFees[[#This Row],[Total Units]])</f>
        <v/>
      </c>
      <c r="T375" s="36">
        <v>46113</v>
      </c>
      <c r="U375" s="39" t="s">
        <v>4201</v>
      </c>
      <c r="V375" s="39" t="s">
        <v>4070</v>
      </c>
      <c r="W375" s="30" t="s">
        <v>4228</v>
      </c>
      <c r="X375" s="77" t="s">
        <v>4229</v>
      </c>
      <c r="Y375" s="127" t="str">
        <f>_xlfn.XLOOKUP(MasterFees[[#This Row],[Provider / Payer]],Contracts[Contract Name],Contracts[Contract ID],"No contract")</f>
        <v>CON-02</v>
      </c>
      <c r="Z375" s="127" t="str">
        <f>_xlfn.XLOOKUP(MasterFees[[#This Row],[Provider / Payer]],Contracts[Contract Name],Contracts[Pricing Basis],"To confirm")</f>
        <v>Fixed fee schedule</v>
      </c>
      <c r="AA375" s="127" t="str">
        <f>IF(MasterFees[[#This Row],[Pricing Basis]]="Fixed fee schedule","Yes","No")</f>
        <v>Yes</v>
      </c>
      <c r="AB375" s="127" t="str">
        <f>IF(OR(MasterFees[[#This Row],[Fee Basis]]="Add-on",MasterFees[[#This Row],[Fee Basis]]="Time band",MasterFees[[#This Row],[Fee Basis]]="Other"),MasterFees[[#This Row],[Fee Basis]],"Base")</f>
        <v>Base</v>
      </c>
      <c r="AC375" s="141">
        <f>IF(MasterFees[[#This Row],[Fixed Fee?]]="Yes",MasterFees[[#This Row],[Fee Excl. GST]],"")</f>
        <v>1000.0000000000001</v>
      </c>
    </row>
    <row r="376" spans="1:29" x14ac:dyDescent="0.2">
      <c r="A376" s="67" t="s">
        <v>2173</v>
      </c>
      <c r="B376" s="31">
        <f>IF(MasterFees[[#This Row],[RVG Code]]="","",_xlfn.XLOOKUP(MasterFees[[#This Row],[RVG Code]],RVGCodes[Code],RVGCodes[Base Units],"Code not found"))</f>
        <v>4</v>
      </c>
      <c r="C37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7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76" s="125" t="s">
        <v>2570</v>
      </c>
      <c r="F376" s="48" t="s">
        <v>2567</v>
      </c>
      <c r="G376" s="30" t="s">
        <v>4211</v>
      </c>
      <c r="H376" s="37" t="s">
        <v>4157</v>
      </c>
      <c r="I376" s="79" t="s">
        <v>4210</v>
      </c>
      <c r="J376" s="37" t="s">
        <v>1024</v>
      </c>
      <c r="K376" s="32"/>
      <c r="L376" s="32"/>
      <c r="M376" s="32"/>
      <c r="N376" s="32"/>
      <c r="O376" s="33">
        <v>1035</v>
      </c>
      <c r="P376" s="38" t="s">
        <v>4043</v>
      </c>
      <c r="Q376" s="34">
        <f>IF(MasterFees[[#This Row],[GST Basis]]="Excl",MasterFees[[#This Row],[Fee as Printed]],IF(MasterFees[[#This Row],[GST Basis]]="Incl",MasterFees[[#This Row],[Fee as Printed]]/(1+GST_Rate),""))</f>
        <v>900.00000000000011</v>
      </c>
      <c r="R376" s="34">
        <f>IF(MasterFees[[#This Row],[GST Basis]]="Incl",MasterFees[[#This Row],[Fee as Printed]],IF(MasterFees[[#This Row],[GST Basis]]="Excl",MasterFees[[#This Row],[Fee as Printed]]*(1+GST_Rate),""))</f>
        <v>1035</v>
      </c>
      <c r="S376" s="35" t="str">
        <f>IF(N(MasterFees[[#This Row],[Total Units]])=0,"",MasterFees[[#This Row],[Fee as Printed]]/MasterFees[[#This Row],[Total Units]])</f>
        <v/>
      </c>
      <c r="T376" s="36">
        <v>46113</v>
      </c>
      <c r="U376" s="39" t="s">
        <v>4201</v>
      </c>
      <c r="V376" s="39" t="s">
        <v>4070</v>
      </c>
      <c r="W376" s="30" t="s">
        <v>4226</v>
      </c>
      <c r="X376" s="77" t="s">
        <v>4227</v>
      </c>
      <c r="Y376" s="127" t="str">
        <f>_xlfn.XLOOKUP(MasterFees[[#This Row],[Provider / Payer]],Contracts[Contract Name],Contracts[Contract ID],"No contract")</f>
        <v>CON-02</v>
      </c>
      <c r="Z376" s="127" t="str">
        <f>_xlfn.XLOOKUP(MasterFees[[#This Row],[Provider / Payer]],Contracts[Contract Name],Contracts[Pricing Basis],"To confirm")</f>
        <v>Fixed fee schedule</v>
      </c>
      <c r="AA376" s="127" t="str">
        <f>IF(MasterFees[[#This Row],[Pricing Basis]]="Fixed fee schedule","Yes","No")</f>
        <v>Yes</v>
      </c>
      <c r="AB376" s="127" t="str">
        <f>IF(OR(MasterFees[[#This Row],[Fee Basis]]="Add-on",MasterFees[[#This Row],[Fee Basis]]="Time band",MasterFees[[#This Row],[Fee Basis]]="Other"),MasterFees[[#This Row],[Fee Basis]],"Base")</f>
        <v>Base</v>
      </c>
      <c r="AC376" s="141">
        <f>IF(MasterFees[[#This Row],[Fixed Fee?]]="Yes",MasterFees[[#This Row],[Fee Excl. GST]],"")</f>
        <v>900.00000000000011</v>
      </c>
    </row>
    <row r="377" spans="1:29" x14ac:dyDescent="0.2">
      <c r="A377" s="67" t="s">
        <v>2173</v>
      </c>
      <c r="B377" s="31">
        <f>IF(MasterFees[[#This Row],[RVG Code]]="","",_xlfn.XLOOKUP(MasterFees[[#This Row],[RVG Code]],RVGCodes[Code],RVGCodes[Base Units],"Code not found"))</f>
        <v>4</v>
      </c>
      <c r="C37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7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77" s="125" t="s">
        <v>2570</v>
      </c>
      <c r="F377" s="48" t="s">
        <v>2567</v>
      </c>
      <c r="G377" s="30" t="s">
        <v>4218</v>
      </c>
      <c r="H377" s="37" t="s">
        <v>4157</v>
      </c>
      <c r="I377" s="79" t="s">
        <v>4217</v>
      </c>
      <c r="J377" s="37" t="s">
        <v>1024</v>
      </c>
      <c r="K377" s="32"/>
      <c r="L377" s="32"/>
      <c r="M377" s="32"/>
      <c r="N377" s="32"/>
      <c r="O377" s="33">
        <v>1035</v>
      </c>
      <c r="P377" s="38" t="s">
        <v>4043</v>
      </c>
      <c r="Q377" s="34">
        <f>IF(MasterFees[[#This Row],[GST Basis]]="Excl",MasterFees[[#This Row],[Fee as Printed]],IF(MasterFees[[#This Row],[GST Basis]]="Incl",MasterFees[[#This Row],[Fee as Printed]]/(1+GST_Rate),""))</f>
        <v>900.00000000000011</v>
      </c>
      <c r="R377" s="34">
        <f>IF(MasterFees[[#This Row],[GST Basis]]="Incl",MasterFees[[#This Row],[Fee as Printed]],IF(MasterFees[[#This Row],[GST Basis]]="Excl",MasterFees[[#This Row],[Fee as Printed]]*(1+GST_Rate),""))</f>
        <v>1035</v>
      </c>
      <c r="S377" s="35" t="str">
        <f>IF(N(MasterFees[[#This Row],[Total Units]])=0,"",MasterFees[[#This Row],[Fee as Printed]]/MasterFees[[#This Row],[Total Units]])</f>
        <v/>
      </c>
      <c r="T377" s="36">
        <v>46113</v>
      </c>
      <c r="U377" s="39" t="s">
        <v>4201</v>
      </c>
      <c r="V377" s="39" t="s">
        <v>4070</v>
      </c>
      <c r="W377" s="30" t="s">
        <v>4232</v>
      </c>
      <c r="X377" s="77" t="s">
        <v>4233</v>
      </c>
      <c r="Y377" s="127" t="str">
        <f>_xlfn.XLOOKUP(MasterFees[[#This Row],[Provider / Payer]],Contracts[Contract Name],Contracts[Contract ID],"No contract")</f>
        <v>CON-02</v>
      </c>
      <c r="Z377" s="127" t="str">
        <f>_xlfn.XLOOKUP(MasterFees[[#This Row],[Provider / Payer]],Contracts[Contract Name],Contracts[Pricing Basis],"To confirm")</f>
        <v>Fixed fee schedule</v>
      </c>
      <c r="AA377" s="127" t="str">
        <f>IF(MasterFees[[#This Row],[Pricing Basis]]="Fixed fee schedule","Yes","No")</f>
        <v>Yes</v>
      </c>
      <c r="AB377" s="127" t="str">
        <f>IF(OR(MasterFees[[#This Row],[Fee Basis]]="Add-on",MasterFees[[#This Row],[Fee Basis]]="Time band",MasterFees[[#This Row],[Fee Basis]]="Other"),MasterFees[[#This Row],[Fee Basis]],"Base")</f>
        <v>Base</v>
      </c>
      <c r="AC377" s="141">
        <f>IF(MasterFees[[#This Row],[Fixed Fee?]]="Yes",MasterFees[[#This Row],[Fee Excl. GST]],"")</f>
        <v>900.00000000000011</v>
      </c>
    </row>
    <row r="378" spans="1:29" x14ac:dyDescent="0.2">
      <c r="A378" s="67" t="s">
        <v>2173</v>
      </c>
      <c r="B378" s="31">
        <f>IF(MasterFees[[#This Row],[RVG Code]]="","",_xlfn.XLOOKUP(MasterFees[[#This Row],[RVG Code]],RVGCodes[Code],RVGCodes[Base Units],"Code not found"))</f>
        <v>4</v>
      </c>
      <c r="C37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7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78" s="125" t="s">
        <v>2570</v>
      </c>
      <c r="F378" s="48" t="s">
        <v>2567</v>
      </c>
      <c r="G378" s="30" t="s">
        <v>4206</v>
      </c>
      <c r="H378" s="37" t="s">
        <v>4157</v>
      </c>
      <c r="I378" s="79" t="s">
        <v>4205</v>
      </c>
      <c r="J378" s="37" t="s">
        <v>1024</v>
      </c>
      <c r="K378" s="32"/>
      <c r="L378" s="32"/>
      <c r="M378" s="32"/>
      <c r="N378" s="32"/>
      <c r="O378" s="33">
        <v>1035</v>
      </c>
      <c r="P378" s="38" t="s">
        <v>4043</v>
      </c>
      <c r="Q378" s="34">
        <f>IF(MasterFees[[#This Row],[GST Basis]]="Excl",MasterFees[[#This Row],[Fee as Printed]],IF(MasterFees[[#This Row],[GST Basis]]="Incl",MasterFees[[#This Row],[Fee as Printed]]/(1+GST_Rate),""))</f>
        <v>900.00000000000011</v>
      </c>
      <c r="R378" s="34">
        <f>IF(MasterFees[[#This Row],[GST Basis]]="Incl",MasterFees[[#This Row],[Fee as Printed]],IF(MasterFees[[#This Row],[GST Basis]]="Excl",MasterFees[[#This Row],[Fee as Printed]]*(1+GST_Rate),""))</f>
        <v>1035</v>
      </c>
      <c r="S378" s="35" t="str">
        <f>IF(N(MasterFees[[#This Row],[Total Units]])=0,"",MasterFees[[#This Row],[Fee as Printed]]/MasterFees[[#This Row],[Total Units]])</f>
        <v/>
      </c>
      <c r="T378" s="36">
        <v>46113</v>
      </c>
      <c r="U378" s="39" t="s">
        <v>4201</v>
      </c>
      <c r="V378" s="39" t="s">
        <v>4070</v>
      </c>
      <c r="W378" s="30" t="s">
        <v>4222</v>
      </c>
      <c r="X378" s="77" t="s">
        <v>4223</v>
      </c>
      <c r="Y378" s="127" t="str">
        <f>_xlfn.XLOOKUP(MasterFees[[#This Row],[Provider / Payer]],Contracts[Contract Name],Contracts[Contract ID],"No contract")</f>
        <v>CON-02</v>
      </c>
      <c r="Z378" s="127" t="str">
        <f>_xlfn.XLOOKUP(MasterFees[[#This Row],[Provider / Payer]],Contracts[Contract Name],Contracts[Pricing Basis],"To confirm")</f>
        <v>Fixed fee schedule</v>
      </c>
      <c r="AA378" s="127" t="str">
        <f>IF(MasterFees[[#This Row],[Pricing Basis]]="Fixed fee schedule","Yes","No")</f>
        <v>Yes</v>
      </c>
      <c r="AB378" s="127" t="str">
        <f>IF(OR(MasterFees[[#This Row],[Fee Basis]]="Add-on",MasterFees[[#This Row],[Fee Basis]]="Time band",MasterFees[[#This Row],[Fee Basis]]="Other"),MasterFees[[#This Row],[Fee Basis]],"Base")</f>
        <v>Base</v>
      </c>
      <c r="AC378" s="141">
        <f>IF(MasterFees[[#This Row],[Fixed Fee?]]="Yes",MasterFees[[#This Row],[Fee Excl. GST]],"")</f>
        <v>900.00000000000011</v>
      </c>
    </row>
    <row r="379" spans="1:29" x14ac:dyDescent="0.2">
      <c r="A379" s="67" t="s">
        <v>2173</v>
      </c>
      <c r="B379" s="31">
        <f>IF(MasterFees[[#This Row],[RVG Code]]="","",_xlfn.XLOOKUP(MasterFees[[#This Row],[RVG Code]],RVGCodes[Code],RVGCodes[Base Units],"Code not found"))</f>
        <v>4</v>
      </c>
      <c r="C37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7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79" s="125" t="s">
        <v>2570</v>
      </c>
      <c r="F379" s="48" t="s">
        <v>2567</v>
      </c>
      <c r="G379" s="30" t="s">
        <v>4215</v>
      </c>
      <c r="H379" s="37" t="s">
        <v>4157</v>
      </c>
      <c r="I379" s="79" t="s">
        <v>4214</v>
      </c>
      <c r="J379" s="37" t="s">
        <v>1024</v>
      </c>
      <c r="K379" s="32"/>
      <c r="L379" s="32"/>
      <c r="M379" s="32"/>
      <c r="N379" s="32"/>
      <c r="O379" s="33">
        <v>1265</v>
      </c>
      <c r="P379" s="38" t="s">
        <v>4043</v>
      </c>
      <c r="Q379" s="34">
        <f>IF(MasterFees[[#This Row],[GST Basis]]="Excl",MasterFees[[#This Row],[Fee as Printed]],IF(MasterFees[[#This Row],[GST Basis]]="Incl",MasterFees[[#This Row],[Fee as Printed]]/(1+GST_Rate),""))</f>
        <v>1100</v>
      </c>
      <c r="R379" s="34">
        <f>IF(MasterFees[[#This Row],[GST Basis]]="Incl",MasterFees[[#This Row],[Fee as Printed]],IF(MasterFees[[#This Row],[GST Basis]]="Excl",MasterFees[[#This Row],[Fee as Printed]]*(1+GST_Rate),""))</f>
        <v>1265</v>
      </c>
      <c r="S379" s="35" t="str">
        <f>IF(N(MasterFees[[#This Row],[Total Units]])=0,"",MasterFees[[#This Row],[Fee as Printed]]/MasterFees[[#This Row],[Total Units]])</f>
        <v/>
      </c>
      <c r="T379" s="36">
        <v>46113</v>
      </c>
      <c r="U379" s="39" t="s">
        <v>4201</v>
      </c>
      <c r="V379" s="39" t="s">
        <v>4070</v>
      </c>
      <c r="W379" s="30" t="s">
        <v>4230</v>
      </c>
      <c r="X379" s="77" t="s">
        <v>4231</v>
      </c>
      <c r="Y379" s="127" t="str">
        <f>_xlfn.XLOOKUP(MasterFees[[#This Row],[Provider / Payer]],Contracts[Contract Name],Contracts[Contract ID],"No contract")</f>
        <v>CON-02</v>
      </c>
      <c r="Z379" s="127" t="str">
        <f>_xlfn.XLOOKUP(MasterFees[[#This Row],[Provider / Payer]],Contracts[Contract Name],Contracts[Pricing Basis],"To confirm")</f>
        <v>Fixed fee schedule</v>
      </c>
      <c r="AA379" s="127" t="str">
        <f>IF(MasterFees[[#This Row],[Pricing Basis]]="Fixed fee schedule","Yes","No")</f>
        <v>Yes</v>
      </c>
      <c r="AB379" s="127" t="str">
        <f>IF(OR(MasterFees[[#This Row],[Fee Basis]]="Add-on",MasterFees[[#This Row],[Fee Basis]]="Time band",MasterFees[[#This Row],[Fee Basis]]="Other"),MasterFees[[#This Row],[Fee Basis]],"Base")</f>
        <v>Base</v>
      </c>
      <c r="AC379" s="141">
        <f>IF(MasterFees[[#This Row],[Fixed Fee?]]="Yes",MasterFees[[#This Row],[Fee Excl. GST]],"")</f>
        <v>1100</v>
      </c>
    </row>
    <row r="380" spans="1:29" x14ac:dyDescent="0.2">
      <c r="A380" s="67" t="s">
        <v>2173</v>
      </c>
      <c r="B380" s="31">
        <f>IF(MasterFees[[#This Row],[RVG Code]]="","",_xlfn.XLOOKUP(MasterFees[[#This Row],[RVG Code]],RVGCodes[Code],RVGCodes[Base Units],"Code not found"))</f>
        <v>4</v>
      </c>
      <c r="C38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8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80" s="125" t="s">
        <v>2570</v>
      </c>
      <c r="F380" s="48" t="s">
        <v>2567</v>
      </c>
      <c r="G380" s="30" t="s">
        <v>4209</v>
      </c>
      <c r="H380" s="37" t="s">
        <v>4157</v>
      </c>
      <c r="I380" s="79" t="s">
        <v>4208</v>
      </c>
      <c r="J380" s="37" t="s">
        <v>1024</v>
      </c>
      <c r="K380" s="32"/>
      <c r="L380" s="32"/>
      <c r="M380" s="32"/>
      <c r="N380" s="32"/>
      <c r="O380" s="33">
        <v>1035</v>
      </c>
      <c r="P380" s="38" t="s">
        <v>4043</v>
      </c>
      <c r="Q380" s="34">
        <f>IF(MasterFees[[#This Row],[GST Basis]]="Excl",MasterFees[[#This Row],[Fee as Printed]],IF(MasterFees[[#This Row],[GST Basis]]="Incl",MasterFees[[#This Row],[Fee as Printed]]/(1+GST_Rate),""))</f>
        <v>900.00000000000011</v>
      </c>
      <c r="R380" s="34">
        <f>IF(MasterFees[[#This Row],[GST Basis]]="Incl",MasterFees[[#This Row],[Fee as Printed]],IF(MasterFees[[#This Row],[GST Basis]]="Excl",MasterFees[[#This Row],[Fee as Printed]]*(1+GST_Rate),""))</f>
        <v>1035</v>
      </c>
      <c r="S380" s="35" t="str">
        <f>IF(N(MasterFees[[#This Row],[Total Units]])=0,"",MasterFees[[#This Row],[Fee as Printed]]/MasterFees[[#This Row],[Total Units]])</f>
        <v/>
      </c>
      <c r="T380" s="36">
        <v>46113</v>
      </c>
      <c r="U380" s="39" t="s">
        <v>4201</v>
      </c>
      <c r="V380" s="39" t="s">
        <v>4070</v>
      </c>
      <c r="W380" s="30" t="s">
        <v>4224</v>
      </c>
      <c r="X380" s="77" t="s">
        <v>4225</v>
      </c>
      <c r="Y380" s="127" t="str">
        <f>_xlfn.XLOOKUP(MasterFees[[#This Row],[Provider / Payer]],Contracts[Contract Name],Contracts[Contract ID],"No contract")</f>
        <v>CON-02</v>
      </c>
      <c r="Z380" s="127" t="str">
        <f>_xlfn.XLOOKUP(MasterFees[[#This Row],[Provider / Payer]],Contracts[Contract Name],Contracts[Pricing Basis],"To confirm")</f>
        <v>Fixed fee schedule</v>
      </c>
      <c r="AA380" s="127" t="str">
        <f>IF(MasterFees[[#This Row],[Pricing Basis]]="Fixed fee schedule","Yes","No")</f>
        <v>Yes</v>
      </c>
      <c r="AB380" s="127" t="str">
        <f>IF(OR(MasterFees[[#This Row],[Fee Basis]]="Add-on",MasterFees[[#This Row],[Fee Basis]]="Time band",MasterFees[[#This Row],[Fee Basis]]="Other"),MasterFees[[#This Row],[Fee Basis]],"Base")</f>
        <v>Base</v>
      </c>
      <c r="AC380" s="141">
        <f>IF(MasterFees[[#This Row],[Fixed Fee?]]="Yes",MasterFees[[#This Row],[Fee Excl. GST]],"")</f>
        <v>900.00000000000011</v>
      </c>
    </row>
    <row r="381" spans="1:29" x14ac:dyDescent="0.2">
      <c r="A381" s="67" t="s">
        <v>2173</v>
      </c>
      <c r="B381" s="31">
        <f>IF(MasterFees[[#This Row],[RVG Code]]="","",_xlfn.XLOOKUP(MasterFees[[#This Row],[RVG Code]],RVGCodes[Code],RVGCodes[Base Units],"Code not found"))</f>
        <v>4</v>
      </c>
      <c r="C38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8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81" s="125" t="s">
        <v>2570</v>
      </c>
      <c r="F381" s="48" t="s">
        <v>2567</v>
      </c>
      <c r="G381" s="30" t="s">
        <v>4518</v>
      </c>
      <c r="H381" s="37" t="s">
        <v>4622</v>
      </c>
      <c r="I381" s="37" t="s">
        <v>4517</v>
      </c>
      <c r="J381" s="37" t="s">
        <v>1024</v>
      </c>
      <c r="K381" s="32"/>
      <c r="L381" s="32"/>
      <c r="M381" s="32"/>
      <c r="N381" s="32"/>
      <c r="O381" s="33">
        <v>750</v>
      </c>
      <c r="P381" s="38" t="s">
        <v>4398</v>
      </c>
      <c r="Q381" s="34">
        <f>IF(MasterFees[[#This Row],[GST Basis]]="Excl",MasterFees[[#This Row],[Fee as Printed]],IF(MasterFees[[#This Row],[GST Basis]]="Incl",MasterFees[[#This Row],[Fee as Printed]]/(1+GST_Rate),""))</f>
        <v>750</v>
      </c>
      <c r="R381" s="34">
        <f>IF(MasterFees[[#This Row],[GST Basis]]="Incl",MasterFees[[#This Row],[Fee as Printed]],IF(MasterFees[[#This Row],[GST Basis]]="Excl",MasterFees[[#This Row],[Fee as Printed]]*(1+GST_Rate),""))</f>
        <v>862.49999999999989</v>
      </c>
      <c r="S381" s="35" t="str">
        <f>IF(N(MasterFees[[#This Row],[Total Units]])=0,"",MasterFees[[#This Row],[Fee as Printed]]/MasterFees[[#This Row],[Total Units]])</f>
        <v/>
      </c>
      <c r="T381" s="36"/>
      <c r="U381" s="39" t="s">
        <v>4587</v>
      </c>
      <c r="V381" s="39" t="s">
        <v>4670</v>
      </c>
      <c r="W381" s="30" t="s">
        <v>4671</v>
      </c>
      <c r="X381" s="77" t="s">
        <v>4844</v>
      </c>
      <c r="Y381" s="127" t="str">
        <f>_xlfn.XLOOKUP(MasterFees[[#This Row],[Provider / Payer]],Contracts[Contract Name],Contracts[Contract ID],"No contract")</f>
        <v>CON-05</v>
      </c>
      <c r="Z381" s="127" t="str">
        <f>_xlfn.XLOOKUP(MasterFees[[#This Row],[Provider / Payer]],Contracts[Contract Name],Contracts[Pricing Basis],"To confirm")</f>
        <v>Fixed fee schedule</v>
      </c>
      <c r="AA381" s="127" t="str">
        <f>IF(MasterFees[[#This Row],[Pricing Basis]]="Fixed fee schedule","Yes","No")</f>
        <v>Yes</v>
      </c>
      <c r="AB381" s="127" t="str">
        <f>IF(OR(MasterFees[[#This Row],[Fee Basis]]="Add-on",MasterFees[[#This Row],[Fee Basis]]="Time band",MasterFees[[#This Row],[Fee Basis]]="Other"),MasterFees[[#This Row],[Fee Basis]],"Base")</f>
        <v>Base</v>
      </c>
      <c r="AC381" s="141">
        <f>IF(MasterFees[[#This Row],[Fixed Fee?]]="Yes",MasterFees[[#This Row],[Fee Excl. GST]],"")</f>
        <v>750</v>
      </c>
    </row>
    <row r="382" spans="1:29" x14ac:dyDescent="0.2">
      <c r="A382" s="67" t="s">
        <v>2173</v>
      </c>
      <c r="B382" s="31">
        <f>IF(MasterFees[[#This Row],[RVG Code]]="","",_xlfn.XLOOKUP(MasterFees[[#This Row],[RVG Code]],RVGCodes[Code],RVGCodes[Base Units],"Code not found"))</f>
        <v>4</v>
      </c>
      <c r="C38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8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82" s="125" t="s">
        <v>2570</v>
      </c>
      <c r="F382" s="48" t="s">
        <v>2567</v>
      </c>
      <c r="G382" s="30" t="s">
        <v>4518</v>
      </c>
      <c r="H382" s="37" t="s">
        <v>4625</v>
      </c>
      <c r="I382" s="37" t="s">
        <v>4517</v>
      </c>
      <c r="J382" s="37" t="s">
        <v>1024</v>
      </c>
      <c r="K382" s="32"/>
      <c r="L382" s="32"/>
      <c r="M382" s="32"/>
      <c r="N382" s="32"/>
      <c r="O382" s="33">
        <v>800</v>
      </c>
      <c r="P382" s="38" t="s">
        <v>4398</v>
      </c>
      <c r="Q382" s="34">
        <f>IF(MasterFees[[#This Row],[GST Basis]]="Excl",MasterFees[[#This Row],[Fee as Printed]],IF(MasterFees[[#This Row],[GST Basis]]="Incl",MasterFees[[#This Row],[Fee as Printed]]/(1+GST_Rate),""))</f>
        <v>800</v>
      </c>
      <c r="R382" s="34">
        <f>IF(MasterFees[[#This Row],[GST Basis]]="Incl",MasterFees[[#This Row],[Fee as Printed]],IF(MasterFees[[#This Row],[GST Basis]]="Excl",MasterFees[[#This Row],[Fee as Printed]]*(1+GST_Rate),""))</f>
        <v>919.99999999999989</v>
      </c>
      <c r="S382" s="35" t="str">
        <f>IF(N(MasterFees[[#This Row],[Total Units]])=0,"",MasterFees[[#This Row],[Fee as Printed]]/MasterFees[[#This Row],[Total Units]])</f>
        <v/>
      </c>
      <c r="T382" s="36"/>
      <c r="U382" s="39" t="s">
        <v>4587</v>
      </c>
      <c r="V382" s="39" t="s">
        <v>4672</v>
      </c>
      <c r="W382" s="30" t="s">
        <v>4673</v>
      </c>
      <c r="X382" s="77" t="s">
        <v>4844</v>
      </c>
      <c r="Y382" s="127" t="str">
        <f>_xlfn.XLOOKUP(MasterFees[[#This Row],[Provider / Payer]],Contracts[Contract Name],Contracts[Contract ID],"No contract")</f>
        <v>CON-06</v>
      </c>
      <c r="Z382" s="127" t="str">
        <f>_xlfn.XLOOKUP(MasterFees[[#This Row],[Provider / Payer]],Contracts[Contract Name],Contracts[Pricing Basis],"To confirm")</f>
        <v>Fixed fee schedule</v>
      </c>
      <c r="AA382" s="127" t="str">
        <f>IF(MasterFees[[#This Row],[Pricing Basis]]="Fixed fee schedule","Yes","No")</f>
        <v>Yes</v>
      </c>
      <c r="AB382" s="127" t="str">
        <f>IF(OR(MasterFees[[#This Row],[Fee Basis]]="Add-on",MasterFees[[#This Row],[Fee Basis]]="Time band",MasterFees[[#This Row],[Fee Basis]]="Other"),MasterFees[[#This Row],[Fee Basis]],"Base")</f>
        <v>Base</v>
      </c>
      <c r="AC382" s="141">
        <f>IF(MasterFees[[#This Row],[Fixed Fee?]]="Yes",MasterFees[[#This Row],[Fee Excl. GST]],"")</f>
        <v>800</v>
      </c>
    </row>
    <row r="383" spans="1:29" x14ac:dyDescent="0.2">
      <c r="A383" s="67" t="s">
        <v>2173</v>
      </c>
      <c r="B383" s="31">
        <f>IF(MasterFees[[#This Row],[RVG Code]]="","",_xlfn.XLOOKUP(MasterFees[[#This Row],[RVG Code]],RVGCodes[Code],RVGCodes[Base Units],"Code not found"))</f>
        <v>4</v>
      </c>
      <c r="C38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8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83" s="125" t="s">
        <v>2570</v>
      </c>
      <c r="F383" s="48" t="s">
        <v>2567</v>
      </c>
      <c r="G383" s="30" t="s">
        <v>4476</v>
      </c>
      <c r="H383" s="37" t="s">
        <v>4622</v>
      </c>
      <c r="I383" s="37" t="s">
        <v>4475</v>
      </c>
      <c r="J383" s="37" t="s">
        <v>1024</v>
      </c>
      <c r="K383" s="32"/>
      <c r="L383" s="32"/>
      <c r="M383" s="32"/>
      <c r="N383" s="32"/>
      <c r="O383" s="33">
        <v>600</v>
      </c>
      <c r="P383" s="38" t="s">
        <v>4398</v>
      </c>
      <c r="Q383" s="34">
        <f>IF(MasterFees[[#This Row],[GST Basis]]="Excl",MasterFees[[#This Row],[Fee as Printed]],IF(MasterFees[[#This Row],[GST Basis]]="Incl",MasterFees[[#This Row],[Fee as Printed]]/(1+GST_Rate),""))</f>
        <v>600</v>
      </c>
      <c r="R383" s="34">
        <f>IF(MasterFees[[#This Row],[GST Basis]]="Incl",MasterFees[[#This Row],[Fee as Printed]],IF(MasterFees[[#This Row],[GST Basis]]="Excl",MasterFees[[#This Row],[Fee as Printed]]*(1+GST_Rate),""))</f>
        <v>690</v>
      </c>
      <c r="S383" s="35" t="str">
        <f>IF(N(MasterFees[[#This Row],[Total Units]])=0,"",MasterFees[[#This Row],[Fee as Printed]]/MasterFees[[#This Row],[Total Units]])</f>
        <v/>
      </c>
      <c r="T383" s="36"/>
      <c r="U383" s="39" t="s">
        <v>4587</v>
      </c>
      <c r="V383" s="39" t="s">
        <v>4623</v>
      </c>
      <c r="W383" s="30" t="s">
        <v>4624</v>
      </c>
      <c r="X383" s="77" t="s">
        <v>4853</v>
      </c>
      <c r="Y383" s="127" t="str">
        <f>_xlfn.XLOOKUP(MasterFees[[#This Row],[Provider / Payer]],Contracts[Contract Name],Contracts[Contract ID],"No contract")</f>
        <v>CON-05</v>
      </c>
      <c r="Z383" s="127" t="str">
        <f>_xlfn.XLOOKUP(MasterFees[[#This Row],[Provider / Payer]],Contracts[Contract Name],Contracts[Pricing Basis],"To confirm")</f>
        <v>Fixed fee schedule</v>
      </c>
      <c r="AA383" s="127" t="str">
        <f>IF(MasterFees[[#This Row],[Pricing Basis]]="Fixed fee schedule","Yes","No")</f>
        <v>Yes</v>
      </c>
      <c r="AB383" s="127" t="str">
        <f>IF(OR(MasterFees[[#This Row],[Fee Basis]]="Add-on",MasterFees[[#This Row],[Fee Basis]]="Time band",MasterFees[[#This Row],[Fee Basis]]="Other"),MasterFees[[#This Row],[Fee Basis]],"Base")</f>
        <v>Base</v>
      </c>
      <c r="AC383" s="141">
        <f>IF(MasterFees[[#This Row],[Fixed Fee?]]="Yes",MasterFees[[#This Row],[Fee Excl. GST]],"")</f>
        <v>600</v>
      </c>
    </row>
    <row r="384" spans="1:29" x14ac:dyDescent="0.2">
      <c r="A384" s="67" t="s">
        <v>2173</v>
      </c>
      <c r="B384" s="31">
        <f>IF(MasterFees[[#This Row],[RVG Code]]="","",_xlfn.XLOOKUP(MasterFees[[#This Row],[RVG Code]],RVGCodes[Code],RVGCodes[Base Units],"Code not found"))</f>
        <v>4</v>
      </c>
      <c r="C38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8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84" s="125" t="s">
        <v>2570</v>
      </c>
      <c r="F384" s="48" t="s">
        <v>2567</v>
      </c>
      <c r="G384" s="30" t="s">
        <v>4476</v>
      </c>
      <c r="H384" s="37" t="s">
        <v>4625</v>
      </c>
      <c r="I384" s="37" t="s">
        <v>4475</v>
      </c>
      <c r="J384" s="37" t="s">
        <v>1024</v>
      </c>
      <c r="K384" s="32"/>
      <c r="L384" s="32"/>
      <c r="M384" s="32"/>
      <c r="N384" s="32"/>
      <c r="O384" s="33">
        <v>600</v>
      </c>
      <c r="P384" s="38" t="s">
        <v>4398</v>
      </c>
      <c r="Q384" s="34">
        <f>IF(MasterFees[[#This Row],[GST Basis]]="Excl",MasterFees[[#This Row],[Fee as Printed]],IF(MasterFees[[#This Row],[GST Basis]]="Incl",MasterFees[[#This Row],[Fee as Printed]]/(1+GST_Rate),""))</f>
        <v>600</v>
      </c>
      <c r="R384" s="34">
        <f>IF(MasterFees[[#This Row],[GST Basis]]="Incl",MasterFees[[#This Row],[Fee as Printed]],IF(MasterFees[[#This Row],[GST Basis]]="Excl",MasterFees[[#This Row],[Fee as Printed]]*(1+GST_Rate),""))</f>
        <v>690</v>
      </c>
      <c r="S384" s="35" t="str">
        <f>IF(N(MasterFees[[#This Row],[Total Units]])=0,"",MasterFees[[#This Row],[Fee as Printed]]/MasterFees[[#This Row],[Total Units]])</f>
        <v/>
      </c>
      <c r="T384" s="36"/>
      <c r="U384" s="39" t="s">
        <v>4587</v>
      </c>
      <c r="V384" s="39" t="s">
        <v>4626</v>
      </c>
      <c r="W384" s="30" t="s">
        <v>4627</v>
      </c>
      <c r="X384" s="77" t="s">
        <v>4853</v>
      </c>
      <c r="Y384" s="127" t="str">
        <f>_xlfn.XLOOKUP(MasterFees[[#This Row],[Provider / Payer]],Contracts[Contract Name],Contracts[Contract ID],"No contract")</f>
        <v>CON-06</v>
      </c>
      <c r="Z384" s="127" t="str">
        <f>_xlfn.XLOOKUP(MasterFees[[#This Row],[Provider / Payer]],Contracts[Contract Name],Contracts[Pricing Basis],"To confirm")</f>
        <v>Fixed fee schedule</v>
      </c>
      <c r="AA384" s="127" t="str">
        <f>IF(MasterFees[[#This Row],[Pricing Basis]]="Fixed fee schedule","Yes","No")</f>
        <v>Yes</v>
      </c>
      <c r="AB384" s="127" t="str">
        <f>IF(OR(MasterFees[[#This Row],[Fee Basis]]="Add-on",MasterFees[[#This Row],[Fee Basis]]="Time band",MasterFees[[#This Row],[Fee Basis]]="Other"),MasterFees[[#This Row],[Fee Basis]],"Base")</f>
        <v>Base</v>
      </c>
      <c r="AC384" s="141">
        <f>IF(MasterFees[[#This Row],[Fixed Fee?]]="Yes",MasterFees[[#This Row],[Fee Excl. GST]],"")</f>
        <v>600</v>
      </c>
    </row>
    <row r="385" spans="1:29" x14ac:dyDescent="0.2">
      <c r="A385" s="67" t="s">
        <v>2173</v>
      </c>
      <c r="B385" s="31">
        <f>IF(MasterFees[[#This Row],[RVG Code]]="","",_xlfn.XLOOKUP(MasterFees[[#This Row],[RVG Code]],RVGCodes[Code],RVGCodes[Base Units],"Code not found"))</f>
        <v>4</v>
      </c>
      <c r="C38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8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85" s="125" t="s">
        <v>2570</v>
      </c>
      <c r="F385" s="48" t="s">
        <v>2567</v>
      </c>
      <c r="G385" s="30" t="s">
        <v>4576</v>
      </c>
      <c r="H385" s="37" t="s">
        <v>4622</v>
      </c>
      <c r="I385" s="37" t="s">
        <v>4575</v>
      </c>
      <c r="J385" s="37" t="s">
        <v>1024</v>
      </c>
      <c r="K385" s="32"/>
      <c r="L385" s="32"/>
      <c r="M385" s="32"/>
      <c r="N385" s="32"/>
      <c r="O385" s="33">
        <v>800</v>
      </c>
      <c r="P385" s="38" t="s">
        <v>4398</v>
      </c>
      <c r="Q385" s="34">
        <f>IF(MasterFees[[#This Row],[GST Basis]]="Excl",MasterFees[[#This Row],[Fee as Printed]],IF(MasterFees[[#This Row],[GST Basis]]="Incl",MasterFees[[#This Row],[Fee as Printed]]/(1+GST_Rate),""))</f>
        <v>800</v>
      </c>
      <c r="R385" s="34">
        <f>IF(MasterFees[[#This Row],[GST Basis]]="Incl",MasterFees[[#This Row],[Fee as Printed]],IF(MasterFees[[#This Row],[GST Basis]]="Excl",MasterFees[[#This Row],[Fee as Printed]]*(1+GST_Rate),""))</f>
        <v>919.99999999999989</v>
      </c>
      <c r="S385" s="35" t="str">
        <f>IF(N(MasterFees[[#This Row],[Total Units]])=0,"",MasterFees[[#This Row],[Fee as Printed]]/MasterFees[[#This Row],[Total Units]])</f>
        <v/>
      </c>
      <c r="T385" s="36"/>
      <c r="U385" s="39" t="s">
        <v>4587</v>
      </c>
      <c r="V385" s="39" t="s">
        <v>4650</v>
      </c>
      <c r="W385" s="30" t="s">
        <v>4651</v>
      </c>
      <c r="X385" s="77" t="s">
        <v>4848</v>
      </c>
      <c r="Y385" s="127" t="str">
        <f>_xlfn.XLOOKUP(MasterFees[[#This Row],[Provider / Payer]],Contracts[Contract Name],Contracts[Contract ID],"No contract")</f>
        <v>CON-05</v>
      </c>
      <c r="Z385" s="127" t="str">
        <f>_xlfn.XLOOKUP(MasterFees[[#This Row],[Provider / Payer]],Contracts[Contract Name],Contracts[Pricing Basis],"To confirm")</f>
        <v>Fixed fee schedule</v>
      </c>
      <c r="AA385" s="127" t="str">
        <f>IF(MasterFees[[#This Row],[Pricing Basis]]="Fixed fee schedule","Yes","No")</f>
        <v>Yes</v>
      </c>
      <c r="AB385" s="127" t="str">
        <f>IF(OR(MasterFees[[#This Row],[Fee Basis]]="Add-on",MasterFees[[#This Row],[Fee Basis]]="Time band",MasterFees[[#This Row],[Fee Basis]]="Other"),MasterFees[[#This Row],[Fee Basis]],"Base")</f>
        <v>Base</v>
      </c>
      <c r="AC385" s="141">
        <f>IF(MasterFees[[#This Row],[Fixed Fee?]]="Yes",MasterFees[[#This Row],[Fee Excl. GST]],"")</f>
        <v>800</v>
      </c>
    </row>
    <row r="386" spans="1:29" x14ac:dyDescent="0.2">
      <c r="A386" s="67" t="s">
        <v>2173</v>
      </c>
      <c r="B386" s="31">
        <f>IF(MasterFees[[#This Row],[RVG Code]]="","",_xlfn.XLOOKUP(MasterFees[[#This Row],[RVG Code]],RVGCodes[Code],RVGCodes[Base Units],"Code not found"))</f>
        <v>4</v>
      </c>
      <c r="C38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8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86" s="125" t="s">
        <v>2570</v>
      </c>
      <c r="F386" s="48" t="s">
        <v>2567</v>
      </c>
      <c r="G386" s="30" t="s">
        <v>4576</v>
      </c>
      <c r="H386" s="37" t="s">
        <v>4625</v>
      </c>
      <c r="I386" s="37" t="s">
        <v>4575</v>
      </c>
      <c r="J386" s="37" t="s">
        <v>1024</v>
      </c>
      <c r="K386" s="32"/>
      <c r="L386" s="32"/>
      <c r="M386" s="32"/>
      <c r="N386" s="32"/>
      <c r="O386" s="33">
        <v>800</v>
      </c>
      <c r="P386" s="38" t="s">
        <v>4398</v>
      </c>
      <c r="Q386" s="34">
        <f>IF(MasterFees[[#This Row],[GST Basis]]="Excl",MasterFees[[#This Row],[Fee as Printed]],IF(MasterFees[[#This Row],[GST Basis]]="Incl",MasterFees[[#This Row],[Fee as Printed]]/(1+GST_Rate),""))</f>
        <v>800</v>
      </c>
      <c r="R386" s="34">
        <f>IF(MasterFees[[#This Row],[GST Basis]]="Incl",MasterFees[[#This Row],[Fee as Printed]],IF(MasterFees[[#This Row],[GST Basis]]="Excl",MasterFees[[#This Row],[Fee as Printed]]*(1+GST_Rate),""))</f>
        <v>919.99999999999989</v>
      </c>
      <c r="S386" s="35" t="str">
        <f>IF(N(MasterFees[[#This Row],[Total Units]])=0,"",MasterFees[[#This Row],[Fee as Printed]]/MasterFees[[#This Row],[Total Units]])</f>
        <v/>
      </c>
      <c r="T386" s="36"/>
      <c r="U386" s="39" t="s">
        <v>4587</v>
      </c>
      <c r="V386" s="39" t="s">
        <v>4652</v>
      </c>
      <c r="W386" s="30" t="s">
        <v>4653</v>
      </c>
      <c r="X386" s="77" t="s">
        <v>4848</v>
      </c>
      <c r="Y386" s="127" t="str">
        <f>_xlfn.XLOOKUP(MasterFees[[#This Row],[Provider / Payer]],Contracts[Contract Name],Contracts[Contract ID],"No contract")</f>
        <v>CON-06</v>
      </c>
      <c r="Z386" s="127" t="str">
        <f>_xlfn.XLOOKUP(MasterFees[[#This Row],[Provider / Payer]],Contracts[Contract Name],Contracts[Pricing Basis],"To confirm")</f>
        <v>Fixed fee schedule</v>
      </c>
      <c r="AA386" s="127" t="str">
        <f>IF(MasterFees[[#This Row],[Pricing Basis]]="Fixed fee schedule","Yes","No")</f>
        <v>Yes</v>
      </c>
      <c r="AB386" s="127" t="str">
        <f>IF(OR(MasterFees[[#This Row],[Fee Basis]]="Add-on",MasterFees[[#This Row],[Fee Basis]]="Time band",MasterFees[[#This Row],[Fee Basis]]="Other"),MasterFees[[#This Row],[Fee Basis]],"Base")</f>
        <v>Base</v>
      </c>
      <c r="AC386" s="141">
        <f>IF(MasterFees[[#This Row],[Fixed Fee?]]="Yes",MasterFees[[#This Row],[Fee Excl. GST]],"")</f>
        <v>800</v>
      </c>
    </row>
    <row r="387" spans="1:29" x14ac:dyDescent="0.2">
      <c r="A387" s="67" t="s">
        <v>2173</v>
      </c>
      <c r="B387" s="31">
        <f>IF(MasterFees[[#This Row],[RVG Code]]="","",_xlfn.XLOOKUP(MasterFees[[#This Row],[RVG Code]],RVGCodes[Code],RVGCodes[Base Units],"Code not found"))</f>
        <v>4</v>
      </c>
      <c r="C38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8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87" s="125" t="s">
        <v>2570</v>
      </c>
      <c r="F387" s="48" t="s">
        <v>2567</v>
      </c>
      <c r="G387" s="30" t="s">
        <v>4580</v>
      </c>
      <c r="H387" s="37" t="s">
        <v>4622</v>
      </c>
      <c r="I387" s="37" t="s">
        <v>4579</v>
      </c>
      <c r="J387" s="37" t="s">
        <v>1024</v>
      </c>
      <c r="K387" s="32"/>
      <c r="L387" s="32"/>
      <c r="M387" s="32"/>
      <c r="N387" s="32"/>
      <c r="O387" s="33">
        <v>800</v>
      </c>
      <c r="P387" s="38" t="s">
        <v>4398</v>
      </c>
      <c r="Q387" s="34">
        <f>IF(MasterFees[[#This Row],[GST Basis]]="Excl",MasterFees[[#This Row],[Fee as Printed]],IF(MasterFees[[#This Row],[GST Basis]]="Incl",MasterFees[[#This Row],[Fee as Printed]]/(1+GST_Rate),""))</f>
        <v>800</v>
      </c>
      <c r="R387" s="34">
        <f>IF(MasterFees[[#This Row],[GST Basis]]="Incl",MasterFees[[#This Row],[Fee as Printed]],IF(MasterFees[[#This Row],[GST Basis]]="Excl",MasterFees[[#This Row],[Fee as Printed]]*(1+GST_Rate),""))</f>
        <v>919.99999999999989</v>
      </c>
      <c r="S387" s="35" t="str">
        <f>IF(N(MasterFees[[#This Row],[Total Units]])=0,"",MasterFees[[#This Row],[Fee as Printed]]/MasterFees[[#This Row],[Total Units]])</f>
        <v/>
      </c>
      <c r="T387" s="36"/>
      <c r="U387" s="39" t="s">
        <v>4587</v>
      </c>
      <c r="V387" s="39" t="s">
        <v>4718</v>
      </c>
      <c r="W387" s="30" t="s">
        <v>4719</v>
      </c>
      <c r="X387" s="77" t="s">
        <v>4832</v>
      </c>
      <c r="Y387" s="127" t="str">
        <f>_xlfn.XLOOKUP(MasterFees[[#This Row],[Provider / Payer]],Contracts[Contract Name],Contracts[Contract ID],"No contract")</f>
        <v>CON-05</v>
      </c>
      <c r="Z387" s="127" t="str">
        <f>_xlfn.XLOOKUP(MasterFees[[#This Row],[Provider / Payer]],Contracts[Contract Name],Contracts[Pricing Basis],"To confirm")</f>
        <v>Fixed fee schedule</v>
      </c>
      <c r="AA387" s="127" t="str">
        <f>IF(MasterFees[[#This Row],[Pricing Basis]]="Fixed fee schedule","Yes","No")</f>
        <v>Yes</v>
      </c>
      <c r="AB387" s="127" t="str">
        <f>IF(OR(MasterFees[[#This Row],[Fee Basis]]="Add-on",MasterFees[[#This Row],[Fee Basis]]="Time band",MasterFees[[#This Row],[Fee Basis]]="Other"),MasterFees[[#This Row],[Fee Basis]],"Base")</f>
        <v>Base</v>
      </c>
      <c r="AC387" s="141">
        <f>IF(MasterFees[[#This Row],[Fixed Fee?]]="Yes",MasterFees[[#This Row],[Fee Excl. GST]],"")</f>
        <v>800</v>
      </c>
    </row>
    <row r="388" spans="1:29" x14ac:dyDescent="0.2">
      <c r="A388" s="67" t="s">
        <v>2173</v>
      </c>
      <c r="B388" s="31">
        <f>IF(MasterFees[[#This Row],[RVG Code]]="","",_xlfn.XLOOKUP(MasterFees[[#This Row],[RVG Code]],RVGCodes[Code],RVGCodes[Base Units],"Code not found"))</f>
        <v>4</v>
      </c>
      <c r="C38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8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88" s="125" t="s">
        <v>2570</v>
      </c>
      <c r="F388" s="48" t="s">
        <v>2567</v>
      </c>
      <c r="G388" s="30" t="s">
        <v>4580</v>
      </c>
      <c r="H388" s="37" t="s">
        <v>4625</v>
      </c>
      <c r="I388" s="37" t="s">
        <v>4579</v>
      </c>
      <c r="J388" s="37" t="s">
        <v>1024</v>
      </c>
      <c r="K388" s="32"/>
      <c r="L388" s="32"/>
      <c r="M388" s="32"/>
      <c r="N388" s="32"/>
      <c r="O388" s="33">
        <v>800</v>
      </c>
      <c r="P388" s="38" t="s">
        <v>4398</v>
      </c>
      <c r="Q388" s="34">
        <f>IF(MasterFees[[#This Row],[GST Basis]]="Excl",MasterFees[[#This Row],[Fee as Printed]],IF(MasterFees[[#This Row],[GST Basis]]="Incl",MasterFees[[#This Row],[Fee as Printed]]/(1+GST_Rate),""))</f>
        <v>800</v>
      </c>
      <c r="R388" s="34">
        <f>IF(MasterFees[[#This Row],[GST Basis]]="Incl",MasterFees[[#This Row],[Fee as Printed]],IF(MasterFees[[#This Row],[GST Basis]]="Excl",MasterFees[[#This Row],[Fee as Printed]]*(1+GST_Rate),""))</f>
        <v>919.99999999999989</v>
      </c>
      <c r="S388" s="35" t="str">
        <f>IF(N(MasterFees[[#This Row],[Total Units]])=0,"",MasterFees[[#This Row],[Fee as Printed]]/MasterFees[[#This Row],[Total Units]])</f>
        <v/>
      </c>
      <c r="T388" s="36"/>
      <c r="U388" s="39" t="s">
        <v>4587</v>
      </c>
      <c r="V388" s="39" t="s">
        <v>4720</v>
      </c>
      <c r="W388" s="30" t="s">
        <v>4721</v>
      </c>
      <c r="X388" s="77" t="s">
        <v>4832</v>
      </c>
      <c r="Y388" s="127" t="str">
        <f>_xlfn.XLOOKUP(MasterFees[[#This Row],[Provider / Payer]],Contracts[Contract Name],Contracts[Contract ID],"No contract")</f>
        <v>CON-06</v>
      </c>
      <c r="Z388" s="127" t="str">
        <f>_xlfn.XLOOKUP(MasterFees[[#This Row],[Provider / Payer]],Contracts[Contract Name],Contracts[Pricing Basis],"To confirm")</f>
        <v>Fixed fee schedule</v>
      </c>
      <c r="AA388" s="127" t="str">
        <f>IF(MasterFees[[#This Row],[Pricing Basis]]="Fixed fee schedule","Yes","No")</f>
        <v>Yes</v>
      </c>
      <c r="AB388" s="127" t="str">
        <f>IF(OR(MasterFees[[#This Row],[Fee Basis]]="Add-on",MasterFees[[#This Row],[Fee Basis]]="Time band",MasterFees[[#This Row],[Fee Basis]]="Other"),MasterFees[[#This Row],[Fee Basis]],"Base")</f>
        <v>Base</v>
      </c>
      <c r="AC388" s="141">
        <f>IF(MasterFees[[#This Row],[Fixed Fee?]]="Yes",MasterFees[[#This Row],[Fee Excl. GST]],"")</f>
        <v>800</v>
      </c>
    </row>
    <row r="389" spans="1:29" x14ac:dyDescent="0.2">
      <c r="A389" s="67" t="s">
        <v>2173</v>
      </c>
      <c r="B389" s="31">
        <f>IF(MasterFees[[#This Row],[RVG Code]]="","",_xlfn.XLOOKUP(MasterFees[[#This Row],[RVG Code]],RVGCodes[Code],RVGCodes[Base Units],"Code not found"))</f>
        <v>4</v>
      </c>
      <c r="C38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8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89" s="125" t="s">
        <v>2570</v>
      </c>
      <c r="F389" s="48" t="s">
        <v>2567</v>
      </c>
      <c r="G389" s="30" t="s">
        <v>4578</v>
      </c>
      <c r="H389" s="37" t="s">
        <v>4622</v>
      </c>
      <c r="I389" s="37" t="s">
        <v>4577</v>
      </c>
      <c r="J389" s="37" t="s">
        <v>1024</v>
      </c>
      <c r="K389" s="32"/>
      <c r="L389" s="32"/>
      <c r="M389" s="32"/>
      <c r="N389" s="32"/>
      <c r="O389" s="33">
        <v>800</v>
      </c>
      <c r="P389" s="38" t="s">
        <v>4398</v>
      </c>
      <c r="Q389" s="34">
        <f>IF(MasterFees[[#This Row],[GST Basis]]="Excl",MasterFees[[#This Row],[Fee as Printed]],IF(MasterFees[[#This Row],[GST Basis]]="Incl",MasterFees[[#This Row],[Fee as Printed]]/(1+GST_Rate),""))</f>
        <v>800</v>
      </c>
      <c r="R389" s="34">
        <f>IF(MasterFees[[#This Row],[GST Basis]]="Incl",MasterFees[[#This Row],[Fee as Printed]],IF(MasterFees[[#This Row],[GST Basis]]="Excl",MasterFees[[#This Row],[Fee as Printed]]*(1+GST_Rate),""))</f>
        <v>919.99999999999989</v>
      </c>
      <c r="S389" s="35" t="str">
        <f>IF(N(MasterFees[[#This Row],[Total Units]])=0,"",MasterFees[[#This Row],[Fee as Printed]]/MasterFees[[#This Row],[Total Units]])</f>
        <v/>
      </c>
      <c r="T389" s="36"/>
      <c r="U389" s="39" t="s">
        <v>4587</v>
      </c>
      <c r="V389" s="39" t="s">
        <v>4654</v>
      </c>
      <c r="W389" s="30" t="s">
        <v>4651</v>
      </c>
      <c r="X389" s="77" t="s">
        <v>4849</v>
      </c>
      <c r="Y389" s="127" t="str">
        <f>_xlfn.XLOOKUP(MasterFees[[#This Row],[Provider / Payer]],Contracts[Contract Name],Contracts[Contract ID],"No contract")</f>
        <v>CON-05</v>
      </c>
      <c r="Z389" s="127" t="str">
        <f>_xlfn.XLOOKUP(MasterFees[[#This Row],[Provider / Payer]],Contracts[Contract Name],Contracts[Pricing Basis],"To confirm")</f>
        <v>Fixed fee schedule</v>
      </c>
      <c r="AA389" s="127" t="str">
        <f>IF(MasterFees[[#This Row],[Pricing Basis]]="Fixed fee schedule","Yes","No")</f>
        <v>Yes</v>
      </c>
      <c r="AB389" s="127" t="str">
        <f>IF(OR(MasterFees[[#This Row],[Fee Basis]]="Add-on",MasterFees[[#This Row],[Fee Basis]]="Time band",MasterFees[[#This Row],[Fee Basis]]="Other"),MasterFees[[#This Row],[Fee Basis]],"Base")</f>
        <v>Base</v>
      </c>
      <c r="AC389" s="141">
        <f>IF(MasterFees[[#This Row],[Fixed Fee?]]="Yes",MasterFees[[#This Row],[Fee Excl. GST]],"")</f>
        <v>800</v>
      </c>
    </row>
    <row r="390" spans="1:29" x14ac:dyDescent="0.2">
      <c r="A390" s="67" t="s">
        <v>2173</v>
      </c>
      <c r="B390" s="31">
        <f>IF(MasterFees[[#This Row],[RVG Code]]="","",_xlfn.XLOOKUP(MasterFees[[#This Row],[RVG Code]],RVGCodes[Code],RVGCodes[Base Units],"Code not found"))</f>
        <v>4</v>
      </c>
      <c r="C39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9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90" s="125" t="s">
        <v>2570</v>
      </c>
      <c r="F390" s="48" t="s">
        <v>2567</v>
      </c>
      <c r="G390" s="30" t="s">
        <v>4578</v>
      </c>
      <c r="H390" s="37" t="s">
        <v>4625</v>
      </c>
      <c r="I390" s="37" t="s">
        <v>4577</v>
      </c>
      <c r="J390" s="37" t="s">
        <v>1024</v>
      </c>
      <c r="K390" s="32"/>
      <c r="L390" s="32"/>
      <c r="M390" s="32"/>
      <c r="N390" s="32"/>
      <c r="O390" s="33">
        <v>800</v>
      </c>
      <c r="P390" s="38" t="s">
        <v>4398</v>
      </c>
      <c r="Q390" s="34">
        <f>IF(MasterFees[[#This Row],[GST Basis]]="Excl",MasterFees[[#This Row],[Fee as Printed]],IF(MasterFees[[#This Row],[GST Basis]]="Incl",MasterFees[[#This Row],[Fee as Printed]]/(1+GST_Rate),""))</f>
        <v>800</v>
      </c>
      <c r="R390" s="34">
        <f>IF(MasterFees[[#This Row],[GST Basis]]="Incl",MasterFees[[#This Row],[Fee as Printed]],IF(MasterFees[[#This Row],[GST Basis]]="Excl",MasterFees[[#This Row],[Fee as Printed]]*(1+GST_Rate),""))</f>
        <v>919.99999999999989</v>
      </c>
      <c r="S390" s="35" t="str">
        <f>IF(N(MasterFees[[#This Row],[Total Units]])=0,"",MasterFees[[#This Row],[Fee as Printed]]/MasterFees[[#This Row],[Total Units]])</f>
        <v/>
      </c>
      <c r="T390" s="36"/>
      <c r="U390" s="39" t="s">
        <v>4587</v>
      </c>
      <c r="V390" s="39" t="s">
        <v>4655</v>
      </c>
      <c r="W390" s="30" t="s">
        <v>4653</v>
      </c>
      <c r="X390" s="77" t="s">
        <v>4849</v>
      </c>
      <c r="Y390" s="127" t="str">
        <f>_xlfn.XLOOKUP(MasterFees[[#This Row],[Provider / Payer]],Contracts[Contract Name],Contracts[Contract ID],"No contract")</f>
        <v>CON-06</v>
      </c>
      <c r="Z390" s="127" t="str">
        <f>_xlfn.XLOOKUP(MasterFees[[#This Row],[Provider / Payer]],Contracts[Contract Name],Contracts[Pricing Basis],"To confirm")</f>
        <v>Fixed fee schedule</v>
      </c>
      <c r="AA390" s="127" t="str">
        <f>IF(MasterFees[[#This Row],[Pricing Basis]]="Fixed fee schedule","Yes","No")</f>
        <v>Yes</v>
      </c>
      <c r="AB390" s="127" t="str">
        <f>IF(OR(MasterFees[[#This Row],[Fee Basis]]="Add-on",MasterFees[[#This Row],[Fee Basis]]="Time band",MasterFees[[#This Row],[Fee Basis]]="Other"),MasterFees[[#This Row],[Fee Basis]],"Base")</f>
        <v>Base</v>
      </c>
      <c r="AC390" s="141">
        <f>IF(MasterFees[[#This Row],[Fixed Fee?]]="Yes",MasterFees[[#This Row],[Fee Excl. GST]],"")</f>
        <v>800</v>
      </c>
    </row>
    <row r="391" spans="1:29" x14ac:dyDescent="0.2">
      <c r="A391" s="67" t="s">
        <v>2173</v>
      </c>
      <c r="B391" s="31">
        <f>IF(MasterFees[[#This Row],[RVG Code]]="","",_xlfn.XLOOKUP(MasterFees[[#This Row],[RVG Code]],RVGCodes[Code],RVGCodes[Base Units],"Code not found"))</f>
        <v>4</v>
      </c>
      <c r="C39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9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91" s="125" t="s">
        <v>2570</v>
      </c>
      <c r="F391" s="48" t="s">
        <v>2567</v>
      </c>
      <c r="G391" s="30" t="s">
        <v>762</v>
      </c>
      <c r="H391" s="37" t="s">
        <v>1095</v>
      </c>
      <c r="I391" s="37"/>
      <c r="J391" s="37" t="s">
        <v>1096</v>
      </c>
      <c r="K391" s="32">
        <v>0</v>
      </c>
      <c r="L391" s="32">
        <v>0</v>
      </c>
      <c r="M391" s="32">
        <v>0</v>
      </c>
      <c r="N391" s="32">
        <v>0</v>
      </c>
      <c r="O391" s="33">
        <v>0</v>
      </c>
      <c r="P391" s="38" t="s">
        <v>1014</v>
      </c>
      <c r="Q391" s="34" t="str">
        <f>IF(MasterFees[[#This Row],[GST Basis]]="Excl",MasterFees[[#This Row],[Fee as Printed]],IF(MasterFees[[#This Row],[GST Basis]]="Incl",MasterFees[[#This Row],[Fee as Printed]]/(1+GST_Rate),""))</f>
        <v/>
      </c>
      <c r="R391" s="34" t="str">
        <f>IF(MasterFees[[#This Row],[GST Basis]]="Incl",MasterFees[[#This Row],[Fee as Printed]],IF(MasterFees[[#This Row],[GST Basis]]="Excl",MasterFees[[#This Row],[Fee as Printed]]*(1+GST_Rate),""))</f>
        <v/>
      </c>
      <c r="S391" s="35" t="str">
        <f>IF(N(MasterFees[[#This Row],[Total Units]])=0,"",MasterFees[[#This Row],[Fee as Printed]]/MasterFees[[#This Row],[Total Units]])</f>
        <v/>
      </c>
      <c r="T391" s="36"/>
      <c r="U391" s="39" t="s">
        <v>1012</v>
      </c>
      <c r="V391" s="39" t="s">
        <v>1860</v>
      </c>
      <c r="W391" s="30"/>
      <c r="X391" s="73" t="s">
        <v>3665</v>
      </c>
      <c r="Y391" s="127" t="str">
        <f>_xlfn.XLOOKUP(MasterFees[[#This Row],[Provider / Payer]],Contracts[Contract Name],Contracts[Contract ID],"No contract")</f>
        <v>CON-01</v>
      </c>
      <c r="Z391" s="127" t="str">
        <f>_xlfn.XLOOKUP(MasterFees[[#This Row],[Provider / Payer]],Contracts[Contract Name],Contracts[Pricing Basis],"To confirm")</f>
        <v>To confirm</v>
      </c>
      <c r="AA391" s="127" t="str">
        <f>IF(MasterFees[[#This Row],[Pricing Basis]]="Fixed fee schedule","Yes","No")</f>
        <v>No</v>
      </c>
      <c r="AB391" s="127" t="str">
        <f>IF(OR(MasterFees[[#This Row],[Fee Basis]]="Add-on",MasterFees[[#This Row],[Fee Basis]]="Time band",MasterFees[[#This Row],[Fee Basis]]="Other"),MasterFees[[#This Row],[Fee Basis]],"Base")</f>
        <v>Base</v>
      </c>
      <c r="AC391" s="141" t="str">
        <f>IF(MasterFees[[#This Row],[Fixed Fee?]]="Yes",MasterFees[[#This Row],[Fee Excl. GST]],"")</f>
        <v/>
      </c>
    </row>
    <row r="392" spans="1:29" x14ac:dyDescent="0.2">
      <c r="A392" s="67" t="s">
        <v>2173</v>
      </c>
      <c r="B392" s="31">
        <f>IF(MasterFees[[#This Row],[RVG Code]]="","",_xlfn.XLOOKUP(MasterFees[[#This Row],[RVG Code]],RVGCodes[Code],RVGCodes[Base Units],"Code not found"))</f>
        <v>4</v>
      </c>
      <c r="C39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9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92" s="125" t="s">
        <v>2570</v>
      </c>
      <c r="F392" s="48" t="s">
        <v>2567</v>
      </c>
      <c r="G392" s="30" t="s">
        <v>771</v>
      </c>
      <c r="H392" s="37" t="s">
        <v>1095</v>
      </c>
      <c r="I392" s="37"/>
      <c r="J392" s="37" t="s">
        <v>1096</v>
      </c>
      <c r="K392" s="32">
        <v>1.4</v>
      </c>
      <c r="L392" s="32">
        <v>0.7</v>
      </c>
      <c r="M392" s="32">
        <v>0.3</v>
      </c>
      <c r="N392" s="32">
        <v>2.2999999999999998</v>
      </c>
      <c r="O392" s="33">
        <v>128.15</v>
      </c>
      <c r="P392" s="38" t="s">
        <v>1014</v>
      </c>
      <c r="Q392" s="34" t="str">
        <f>IF(MasterFees[[#This Row],[GST Basis]]="Excl",MasterFees[[#This Row],[Fee as Printed]],IF(MasterFees[[#This Row],[GST Basis]]="Incl",MasterFees[[#This Row],[Fee as Printed]]/(1+GST_Rate),""))</f>
        <v/>
      </c>
      <c r="R392" s="34" t="str">
        <f>IF(MasterFees[[#This Row],[GST Basis]]="Incl",MasterFees[[#This Row],[Fee as Printed]],IF(MasterFees[[#This Row],[GST Basis]]="Excl",MasterFees[[#This Row],[Fee as Printed]]*(1+GST_Rate),""))</f>
        <v/>
      </c>
      <c r="S392" s="35">
        <f>IF(N(MasterFees[[#This Row],[Total Units]])=0,"",MasterFees[[#This Row],[Fee as Printed]]/MasterFees[[#This Row],[Total Units]])</f>
        <v>55.717391304347835</v>
      </c>
      <c r="T392" s="36"/>
      <c r="U392" s="39" t="s">
        <v>1012</v>
      </c>
      <c r="V392" s="39" t="s">
        <v>1869</v>
      </c>
      <c r="W392" s="30"/>
      <c r="X392" s="73" t="s">
        <v>3675</v>
      </c>
      <c r="Y392" s="127" t="str">
        <f>_xlfn.XLOOKUP(MasterFees[[#This Row],[Provider / Payer]],Contracts[Contract Name],Contracts[Contract ID],"No contract")</f>
        <v>CON-01</v>
      </c>
      <c r="Z392" s="127" t="str">
        <f>_xlfn.XLOOKUP(MasterFees[[#This Row],[Provider / Payer]],Contracts[Contract Name],Contracts[Pricing Basis],"To confirm")</f>
        <v>To confirm</v>
      </c>
      <c r="AA392" s="127" t="str">
        <f>IF(MasterFees[[#This Row],[Pricing Basis]]="Fixed fee schedule","Yes","No")</f>
        <v>No</v>
      </c>
      <c r="AB392" s="127" t="str">
        <f>IF(OR(MasterFees[[#This Row],[Fee Basis]]="Add-on",MasterFees[[#This Row],[Fee Basis]]="Time band",MasterFees[[#This Row],[Fee Basis]]="Other"),MasterFees[[#This Row],[Fee Basis]],"Base")</f>
        <v>Base</v>
      </c>
      <c r="AC392" s="141" t="str">
        <f>IF(MasterFees[[#This Row],[Fixed Fee?]]="Yes",MasterFees[[#This Row],[Fee Excl. GST]],"")</f>
        <v/>
      </c>
    </row>
    <row r="393" spans="1:29" x14ac:dyDescent="0.2">
      <c r="A393" s="67" t="s">
        <v>2173</v>
      </c>
      <c r="B393" s="31">
        <f>IF(MasterFees[[#This Row],[RVG Code]]="","",_xlfn.XLOOKUP(MasterFees[[#This Row],[RVG Code]],RVGCodes[Code],RVGCodes[Base Units],"Code not found"))</f>
        <v>4</v>
      </c>
      <c r="C39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9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93" s="125" t="s">
        <v>2570</v>
      </c>
      <c r="F393" s="48" t="s">
        <v>2567</v>
      </c>
      <c r="G393" s="30" t="s">
        <v>771</v>
      </c>
      <c r="H393" s="37" t="s">
        <v>1095</v>
      </c>
      <c r="I393" s="37"/>
      <c r="J393" s="37" t="s">
        <v>1096</v>
      </c>
      <c r="K393" s="32">
        <v>1.4</v>
      </c>
      <c r="L393" s="32">
        <v>0.7</v>
      </c>
      <c r="M393" s="32">
        <v>0.3</v>
      </c>
      <c r="N393" s="32">
        <v>2.2999999999999998</v>
      </c>
      <c r="O393" s="33">
        <v>128.15</v>
      </c>
      <c r="P393" s="38" t="s">
        <v>1014</v>
      </c>
      <c r="Q393" s="34" t="str">
        <f>IF(MasterFees[[#This Row],[GST Basis]]="Excl",MasterFees[[#This Row],[Fee as Printed]],IF(MasterFees[[#This Row],[GST Basis]]="Incl",MasterFees[[#This Row],[Fee as Printed]]/(1+GST_Rate),""))</f>
        <v/>
      </c>
      <c r="R393" s="34" t="str">
        <f>IF(MasterFees[[#This Row],[GST Basis]]="Incl",MasterFees[[#This Row],[Fee as Printed]],IF(MasterFees[[#This Row],[GST Basis]]="Excl",MasterFees[[#This Row],[Fee as Printed]]*(1+GST_Rate),""))</f>
        <v/>
      </c>
      <c r="S393" s="35">
        <f>IF(N(MasterFees[[#This Row],[Total Units]])=0,"",MasterFees[[#This Row],[Fee as Printed]]/MasterFees[[#This Row],[Total Units]])</f>
        <v>55.717391304347835</v>
      </c>
      <c r="T393" s="36"/>
      <c r="U393" s="39" t="s">
        <v>1012</v>
      </c>
      <c r="V393" s="39" t="s">
        <v>1870</v>
      </c>
      <c r="W393" s="30"/>
      <c r="X393" s="73" t="s">
        <v>3676</v>
      </c>
      <c r="Y393" s="127" t="str">
        <f>_xlfn.XLOOKUP(MasterFees[[#This Row],[Provider / Payer]],Contracts[Contract Name],Contracts[Contract ID],"No contract")</f>
        <v>CON-01</v>
      </c>
      <c r="Z393" s="127" t="str">
        <f>_xlfn.XLOOKUP(MasterFees[[#This Row],[Provider / Payer]],Contracts[Contract Name],Contracts[Pricing Basis],"To confirm")</f>
        <v>To confirm</v>
      </c>
      <c r="AA393" s="127" t="str">
        <f>IF(MasterFees[[#This Row],[Pricing Basis]]="Fixed fee schedule","Yes","No")</f>
        <v>No</v>
      </c>
      <c r="AB393" s="127" t="str">
        <f>IF(OR(MasterFees[[#This Row],[Fee Basis]]="Add-on",MasterFees[[#This Row],[Fee Basis]]="Time band",MasterFees[[#This Row],[Fee Basis]]="Other"),MasterFees[[#This Row],[Fee Basis]],"Base")</f>
        <v>Base</v>
      </c>
      <c r="AC393" s="141" t="str">
        <f>IF(MasterFees[[#This Row],[Fixed Fee?]]="Yes",MasterFees[[#This Row],[Fee Excl. GST]],"")</f>
        <v/>
      </c>
    </row>
    <row r="394" spans="1:29" x14ac:dyDescent="0.2">
      <c r="A394" s="67" t="s">
        <v>2173</v>
      </c>
      <c r="B394" s="31">
        <f>IF(MasterFees[[#This Row],[RVG Code]]="","",_xlfn.XLOOKUP(MasterFees[[#This Row],[RVG Code]],RVGCodes[Code],RVGCodes[Base Units],"Code not found"))</f>
        <v>4</v>
      </c>
      <c r="C39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9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94" s="125" t="s">
        <v>2570</v>
      </c>
      <c r="F394" s="48" t="s">
        <v>2567</v>
      </c>
      <c r="G394" s="30" t="s">
        <v>775</v>
      </c>
      <c r="H394" s="37" t="s">
        <v>1095</v>
      </c>
      <c r="I394" s="37"/>
      <c r="J394" s="37" t="s">
        <v>1096</v>
      </c>
      <c r="K394" s="32">
        <v>1</v>
      </c>
      <c r="L394" s="32">
        <v>0.5</v>
      </c>
      <c r="M394" s="32">
        <v>0.3</v>
      </c>
      <c r="N394" s="32">
        <v>1.8</v>
      </c>
      <c r="O394" s="33">
        <v>98.45</v>
      </c>
      <c r="P394" s="38" t="s">
        <v>1014</v>
      </c>
      <c r="Q394" s="34" t="str">
        <f>IF(MasterFees[[#This Row],[GST Basis]]="Excl",MasterFees[[#This Row],[Fee as Printed]],IF(MasterFees[[#This Row],[GST Basis]]="Incl",MasterFees[[#This Row],[Fee as Printed]]/(1+GST_Rate),""))</f>
        <v/>
      </c>
      <c r="R394" s="34" t="str">
        <f>IF(MasterFees[[#This Row],[GST Basis]]="Incl",MasterFees[[#This Row],[Fee as Printed]],IF(MasterFees[[#This Row],[GST Basis]]="Excl",MasterFees[[#This Row],[Fee as Printed]]*(1+GST_Rate),""))</f>
        <v/>
      </c>
      <c r="S394" s="35">
        <f>IF(N(MasterFees[[#This Row],[Total Units]])=0,"",MasterFees[[#This Row],[Fee as Printed]]/MasterFees[[#This Row],[Total Units]])</f>
        <v>54.694444444444443</v>
      </c>
      <c r="T394" s="36"/>
      <c r="U394" s="39" t="s">
        <v>1012</v>
      </c>
      <c r="V394" s="39" t="s">
        <v>1875</v>
      </c>
      <c r="W394" s="30"/>
      <c r="X394" s="73" t="s">
        <v>3681</v>
      </c>
      <c r="Y394" s="127" t="str">
        <f>_xlfn.XLOOKUP(MasterFees[[#This Row],[Provider / Payer]],Contracts[Contract Name],Contracts[Contract ID],"No contract")</f>
        <v>CON-01</v>
      </c>
      <c r="Z394" s="127" t="str">
        <f>_xlfn.XLOOKUP(MasterFees[[#This Row],[Provider / Payer]],Contracts[Contract Name],Contracts[Pricing Basis],"To confirm")</f>
        <v>To confirm</v>
      </c>
      <c r="AA394" s="127" t="str">
        <f>IF(MasterFees[[#This Row],[Pricing Basis]]="Fixed fee schedule","Yes","No")</f>
        <v>No</v>
      </c>
      <c r="AB394" s="127" t="str">
        <f>IF(OR(MasterFees[[#This Row],[Fee Basis]]="Add-on",MasterFees[[#This Row],[Fee Basis]]="Time band",MasterFees[[#This Row],[Fee Basis]]="Other"),MasterFees[[#This Row],[Fee Basis]],"Base")</f>
        <v>Base</v>
      </c>
      <c r="AC394" s="141" t="str">
        <f>IF(MasterFees[[#This Row],[Fixed Fee?]]="Yes",MasterFees[[#This Row],[Fee Excl. GST]],"")</f>
        <v/>
      </c>
    </row>
    <row r="395" spans="1:29" x14ac:dyDescent="0.2">
      <c r="A395" s="67" t="s">
        <v>2173</v>
      </c>
      <c r="B395" s="31">
        <f>IF(MasterFees[[#This Row],[RVG Code]]="","",_xlfn.XLOOKUP(MasterFees[[#This Row],[RVG Code]],RVGCodes[Code],RVGCodes[Base Units],"Code not found"))</f>
        <v>4</v>
      </c>
      <c r="C39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9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95" s="125" t="s">
        <v>2570</v>
      </c>
      <c r="F395" s="48" t="s">
        <v>2567</v>
      </c>
      <c r="G395" s="30" t="s">
        <v>777</v>
      </c>
      <c r="H395" s="37" t="s">
        <v>1095</v>
      </c>
      <c r="I395" s="37"/>
      <c r="J395" s="37" t="s">
        <v>1096</v>
      </c>
      <c r="K395" s="32">
        <v>1.8</v>
      </c>
      <c r="L395" s="32">
        <v>0.9</v>
      </c>
      <c r="M395" s="32">
        <v>0.7</v>
      </c>
      <c r="N395" s="32">
        <v>3.4</v>
      </c>
      <c r="O395" s="33">
        <v>185.35</v>
      </c>
      <c r="P395" s="38" t="s">
        <v>1014</v>
      </c>
      <c r="Q395" s="34" t="str">
        <f>IF(MasterFees[[#This Row],[GST Basis]]="Excl",MasterFees[[#This Row],[Fee as Printed]],IF(MasterFees[[#This Row],[GST Basis]]="Incl",MasterFees[[#This Row],[Fee as Printed]]/(1+GST_Rate),""))</f>
        <v/>
      </c>
      <c r="R395" s="34" t="str">
        <f>IF(MasterFees[[#This Row],[GST Basis]]="Incl",MasterFees[[#This Row],[Fee as Printed]],IF(MasterFees[[#This Row],[GST Basis]]="Excl",MasterFees[[#This Row],[Fee as Printed]]*(1+GST_Rate),""))</f>
        <v/>
      </c>
      <c r="S395" s="35">
        <f>IF(N(MasterFees[[#This Row],[Total Units]])=0,"",MasterFees[[#This Row],[Fee as Printed]]/MasterFees[[#This Row],[Total Units]])</f>
        <v>54.514705882352942</v>
      </c>
      <c r="T395" s="36"/>
      <c r="U395" s="39" t="s">
        <v>1012</v>
      </c>
      <c r="V395" s="39" t="s">
        <v>1877</v>
      </c>
      <c r="W395" s="30"/>
      <c r="X395" s="73" t="s">
        <v>3683</v>
      </c>
      <c r="Y395" s="127" t="str">
        <f>_xlfn.XLOOKUP(MasterFees[[#This Row],[Provider / Payer]],Contracts[Contract Name],Contracts[Contract ID],"No contract")</f>
        <v>CON-01</v>
      </c>
      <c r="Z395" s="127" t="str">
        <f>_xlfn.XLOOKUP(MasterFees[[#This Row],[Provider / Payer]],Contracts[Contract Name],Contracts[Pricing Basis],"To confirm")</f>
        <v>To confirm</v>
      </c>
      <c r="AA395" s="127" t="str">
        <f>IF(MasterFees[[#This Row],[Pricing Basis]]="Fixed fee schedule","Yes","No")</f>
        <v>No</v>
      </c>
      <c r="AB395" s="127" t="str">
        <f>IF(OR(MasterFees[[#This Row],[Fee Basis]]="Add-on",MasterFees[[#This Row],[Fee Basis]]="Time band",MasterFees[[#This Row],[Fee Basis]]="Other"),MasterFees[[#This Row],[Fee Basis]],"Base")</f>
        <v>Base</v>
      </c>
      <c r="AC395" s="141" t="str">
        <f>IF(MasterFees[[#This Row],[Fixed Fee?]]="Yes",MasterFees[[#This Row],[Fee Excl. GST]],"")</f>
        <v/>
      </c>
    </row>
    <row r="396" spans="1:29" x14ac:dyDescent="0.2">
      <c r="A396" s="67" t="s">
        <v>2173</v>
      </c>
      <c r="B396" s="31">
        <f>IF(MasterFees[[#This Row],[RVG Code]]="","",_xlfn.XLOOKUP(MasterFees[[#This Row],[RVG Code]],RVGCodes[Code],RVGCodes[Base Units],"Code not found"))</f>
        <v>4</v>
      </c>
      <c r="C39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9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96" s="125" t="s">
        <v>2570</v>
      </c>
      <c r="F396" s="48" t="s">
        <v>2567</v>
      </c>
      <c r="G396" s="30" t="s">
        <v>778</v>
      </c>
      <c r="H396" s="37" t="s">
        <v>1095</v>
      </c>
      <c r="I396" s="37"/>
      <c r="J396" s="37" t="s">
        <v>1096</v>
      </c>
      <c r="K396" s="32">
        <v>2.7</v>
      </c>
      <c r="L396" s="32">
        <v>4.3</v>
      </c>
      <c r="M396" s="32">
        <v>1</v>
      </c>
      <c r="N396" s="32">
        <v>8</v>
      </c>
      <c r="O396" s="33">
        <v>439.45</v>
      </c>
      <c r="P396" s="38" t="s">
        <v>1014</v>
      </c>
      <c r="Q396" s="34" t="str">
        <f>IF(MasterFees[[#This Row],[GST Basis]]="Excl",MasterFees[[#This Row],[Fee as Printed]],IF(MasterFees[[#This Row],[GST Basis]]="Incl",MasterFees[[#This Row],[Fee as Printed]]/(1+GST_Rate),""))</f>
        <v/>
      </c>
      <c r="R396" s="34" t="str">
        <f>IF(MasterFees[[#This Row],[GST Basis]]="Incl",MasterFees[[#This Row],[Fee as Printed]],IF(MasterFees[[#This Row],[GST Basis]]="Excl",MasterFees[[#This Row],[Fee as Printed]]*(1+GST_Rate),""))</f>
        <v/>
      </c>
      <c r="S396" s="35">
        <f>IF(N(MasterFees[[#This Row],[Total Units]])=0,"",MasterFees[[#This Row],[Fee as Printed]]/MasterFees[[#This Row],[Total Units]])</f>
        <v>54.931249999999999</v>
      </c>
      <c r="T396" s="36"/>
      <c r="U396" s="39" t="s">
        <v>1012</v>
      </c>
      <c r="V396" s="39" t="s">
        <v>1878</v>
      </c>
      <c r="W396" s="30"/>
      <c r="X396" s="73" t="s">
        <v>3684</v>
      </c>
      <c r="Y396" s="127" t="str">
        <f>_xlfn.XLOOKUP(MasterFees[[#This Row],[Provider / Payer]],Contracts[Contract Name],Contracts[Contract ID],"No contract")</f>
        <v>CON-01</v>
      </c>
      <c r="Z396" s="127" t="str">
        <f>_xlfn.XLOOKUP(MasterFees[[#This Row],[Provider / Payer]],Contracts[Contract Name],Contracts[Pricing Basis],"To confirm")</f>
        <v>To confirm</v>
      </c>
      <c r="AA396" s="127" t="str">
        <f>IF(MasterFees[[#This Row],[Pricing Basis]]="Fixed fee schedule","Yes","No")</f>
        <v>No</v>
      </c>
      <c r="AB396" s="127" t="str">
        <f>IF(OR(MasterFees[[#This Row],[Fee Basis]]="Add-on",MasterFees[[#This Row],[Fee Basis]]="Time band",MasterFees[[#This Row],[Fee Basis]]="Other"),MasterFees[[#This Row],[Fee Basis]],"Base")</f>
        <v>Base</v>
      </c>
      <c r="AC396" s="141" t="str">
        <f>IF(MasterFees[[#This Row],[Fixed Fee?]]="Yes",MasterFees[[#This Row],[Fee Excl. GST]],"")</f>
        <v/>
      </c>
    </row>
    <row r="397" spans="1:29" x14ac:dyDescent="0.2">
      <c r="A397" s="67" t="s">
        <v>2173</v>
      </c>
      <c r="B397" s="31">
        <f>IF(MasterFees[[#This Row],[RVG Code]]="","",_xlfn.XLOOKUP(MasterFees[[#This Row],[RVG Code]],RVGCodes[Code],RVGCodes[Base Units],"Code not found"))</f>
        <v>4</v>
      </c>
      <c r="C39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9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97" s="125" t="s">
        <v>2570</v>
      </c>
      <c r="F397" s="48" t="s">
        <v>2567</v>
      </c>
      <c r="G397" s="30" t="s">
        <v>772</v>
      </c>
      <c r="H397" s="37" t="s">
        <v>1095</v>
      </c>
      <c r="I397" s="37"/>
      <c r="J397" s="37" t="s">
        <v>1096</v>
      </c>
      <c r="K397" s="32">
        <v>1.3</v>
      </c>
      <c r="L397" s="32">
        <v>0.6</v>
      </c>
      <c r="M397" s="32">
        <v>0.4</v>
      </c>
      <c r="N397" s="32">
        <v>2.2999999999999998</v>
      </c>
      <c r="O397" s="33">
        <v>124.85</v>
      </c>
      <c r="P397" s="38" t="s">
        <v>1014</v>
      </c>
      <c r="Q397" s="34" t="str">
        <f>IF(MasterFees[[#This Row],[GST Basis]]="Excl",MasterFees[[#This Row],[Fee as Printed]],IF(MasterFees[[#This Row],[GST Basis]]="Incl",MasterFees[[#This Row],[Fee as Printed]]/(1+GST_Rate),""))</f>
        <v/>
      </c>
      <c r="R397" s="34" t="str">
        <f>IF(MasterFees[[#This Row],[GST Basis]]="Incl",MasterFees[[#This Row],[Fee as Printed]],IF(MasterFees[[#This Row],[GST Basis]]="Excl",MasterFees[[#This Row],[Fee as Printed]]*(1+GST_Rate),""))</f>
        <v/>
      </c>
      <c r="S397" s="35">
        <f>IF(N(MasterFees[[#This Row],[Total Units]])=0,"",MasterFees[[#This Row],[Fee as Printed]]/MasterFees[[#This Row],[Total Units]])</f>
        <v>54.282608695652179</v>
      </c>
      <c r="T397" s="36"/>
      <c r="U397" s="39" t="s">
        <v>1012</v>
      </c>
      <c r="V397" s="39" t="s">
        <v>1871</v>
      </c>
      <c r="W397" s="30"/>
      <c r="X397" s="73" t="s">
        <v>3677</v>
      </c>
      <c r="Y397" s="127" t="str">
        <f>_xlfn.XLOOKUP(MasterFees[[#This Row],[Provider / Payer]],Contracts[Contract Name],Contracts[Contract ID],"No contract")</f>
        <v>CON-01</v>
      </c>
      <c r="Z397" s="127" t="str">
        <f>_xlfn.XLOOKUP(MasterFees[[#This Row],[Provider / Payer]],Contracts[Contract Name],Contracts[Pricing Basis],"To confirm")</f>
        <v>To confirm</v>
      </c>
      <c r="AA397" s="127" t="str">
        <f>IF(MasterFees[[#This Row],[Pricing Basis]]="Fixed fee schedule","Yes","No")</f>
        <v>No</v>
      </c>
      <c r="AB397" s="127" t="str">
        <f>IF(OR(MasterFees[[#This Row],[Fee Basis]]="Add-on",MasterFees[[#This Row],[Fee Basis]]="Time band",MasterFees[[#This Row],[Fee Basis]]="Other"),MasterFees[[#This Row],[Fee Basis]],"Base")</f>
        <v>Base</v>
      </c>
      <c r="AC397" s="141" t="str">
        <f>IF(MasterFees[[#This Row],[Fixed Fee?]]="Yes",MasterFees[[#This Row],[Fee Excl. GST]],"")</f>
        <v/>
      </c>
    </row>
    <row r="398" spans="1:29" x14ac:dyDescent="0.2">
      <c r="A398" s="67" t="s">
        <v>2173</v>
      </c>
      <c r="B398" s="31">
        <f>IF(MasterFees[[#This Row],[RVG Code]]="","",_xlfn.XLOOKUP(MasterFees[[#This Row],[RVG Code]],RVGCodes[Code],RVGCodes[Base Units],"Code not found"))</f>
        <v>4</v>
      </c>
      <c r="C39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9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98" s="125" t="s">
        <v>2570</v>
      </c>
      <c r="F398" s="48" t="s">
        <v>2567</v>
      </c>
      <c r="G398" s="30" t="s">
        <v>774</v>
      </c>
      <c r="H398" s="37" t="s">
        <v>1095</v>
      </c>
      <c r="I398" s="37"/>
      <c r="J398" s="37" t="s">
        <v>1096</v>
      </c>
      <c r="K398" s="32">
        <v>1.6</v>
      </c>
      <c r="L398" s="32">
        <v>0.7</v>
      </c>
      <c r="M398" s="32">
        <v>0.4</v>
      </c>
      <c r="N398" s="32">
        <v>2.7</v>
      </c>
      <c r="O398" s="33">
        <v>147.4</v>
      </c>
      <c r="P398" s="38" t="s">
        <v>1014</v>
      </c>
      <c r="Q398" s="34" t="str">
        <f>IF(MasterFees[[#This Row],[GST Basis]]="Excl",MasterFees[[#This Row],[Fee as Printed]],IF(MasterFees[[#This Row],[GST Basis]]="Incl",MasterFees[[#This Row],[Fee as Printed]]/(1+GST_Rate),""))</f>
        <v/>
      </c>
      <c r="R398" s="34" t="str">
        <f>IF(MasterFees[[#This Row],[GST Basis]]="Incl",MasterFees[[#This Row],[Fee as Printed]],IF(MasterFees[[#This Row],[GST Basis]]="Excl",MasterFees[[#This Row],[Fee as Printed]]*(1+GST_Rate),""))</f>
        <v/>
      </c>
      <c r="S398" s="35">
        <f>IF(N(MasterFees[[#This Row],[Total Units]])=0,"",MasterFees[[#This Row],[Fee as Printed]]/MasterFees[[#This Row],[Total Units]])</f>
        <v>54.592592592592588</v>
      </c>
      <c r="T398" s="36"/>
      <c r="U398" s="39" t="s">
        <v>1012</v>
      </c>
      <c r="V398" s="39" t="s">
        <v>1873</v>
      </c>
      <c r="W398" s="30"/>
      <c r="X398" s="73" t="s">
        <v>3679</v>
      </c>
      <c r="Y398" s="127" t="str">
        <f>_xlfn.XLOOKUP(MasterFees[[#This Row],[Provider / Payer]],Contracts[Contract Name],Contracts[Contract ID],"No contract")</f>
        <v>CON-01</v>
      </c>
      <c r="Z398" s="127" t="str">
        <f>_xlfn.XLOOKUP(MasterFees[[#This Row],[Provider / Payer]],Contracts[Contract Name],Contracts[Pricing Basis],"To confirm")</f>
        <v>To confirm</v>
      </c>
      <c r="AA398" s="127" t="str">
        <f>IF(MasterFees[[#This Row],[Pricing Basis]]="Fixed fee schedule","Yes","No")</f>
        <v>No</v>
      </c>
      <c r="AB398" s="127" t="str">
        <f>IF(OR(MasterFees[[#This Row],[Fee Basis]]="Add-on",MasterFees[[#This Row],[Fee Basis]]="Time band",MasterFees[[#This Row],[Fee Basis]]="Other"),MasterFees[[#This Row],[Fee Basis]],"Base")</f>
        <v>Base</v>
      </c>
      <c r="AC398" s="141" t="str">
        <f>IF(MasterFees[[#This Row],[Fixed Fee?]]="Yes",MasterFees[[#This Row],[Fee Excl. GST]],"")</f>
        <v/>
      </c>
    </row>
    <row r="399" spans="1:29" x14ac:dyDescent="0.2">
      <c r="A399" s="67" t="s">
        <v>2173</v>
      </c>
      <c r="B399" s="31">
        <f>IF(MasterFees[[#This Row],[RVG Code]]="","",_xlfn.XLOOKUP(MasterFees[[#This Row],[RVG Code]],RVGCodes[Code],RVGCodes[Base Units],"Code not found"))</f>
        <v>4</v>
      </c>
      <c r="C39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39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399" s="125" t="s">
        <v>2570</v>
      </c>
      <c r="F399" s="48" t="s">
        <v>2567</v>
      </c>
      <c r="G399" s="30" t="s">
        <v>772</v>
      </c>
      <c r="H399" s="37" t="s">
        <v>1095</v>
      </c>
      <c r="I399" s="37"/>
      <c r="J399" s="37" t="s">
        <v>1096</v>
      </c>
      <c r="K399" s="32">
        <v>1.5</v>
      </c>
      <c r="L399" s="32">
        <v>0.7</v>
      </c>
      <c r="M399" s="32">
        <v>0.4</v>
      </c>
      <c r="N399" s="32">
        <v>2.7</v>
      </c>
      <c r="O399" s="33">
        <v>145.75</v>
      </c>
      <c r="P399" s="38" t="s">
        <v>1014</v>
      </c>
      <c r="Q399" s="34" t="str">
        <f>IF(MasterFees[[#This Row],[GST Basis]]="Excl",MasterFees[[#This Row],[Fee as Printed]],IF(MasterFees[[#This Row],[GST Basis]]="Incl",MasterFees[[#This Row],[Fee as Printed]]/(1+GST_Rate),""))</f>
        <v/>
      </c>
      <c r="R399" s="34" t="str">
        <f>IF(MasterFees[[#This Row],[GST Basis]]="Incl",MasterFees[[#This Row],[Fee as Printed]],IF(MasterFees[[#This Row],[GST Basis]]="Excl",MasterFees[[#This Row],[Fee as Printed]]*(1+GST_Rate),""))</f>
        <v/>
      </c>
      <c r="S399" s="35">
        <f>IF(N(MasterFees[[#This Row],[Total Units]])=0,"",MasterFees[[#This Row],[Fee as Printed]]/MasterFees[[#This Row],[Total Units]])</f>
        <v>53.981481481481481</v>
      </c>
      <c r="T399" s="36"/>
      <c r="U399" s="39" t="s">
        <v>1012</v>
      </c>
      <c r="V399" s="39" t="s">
        <v>1874</v>
      </c>
      <c r="W399" s="30"/>
      <c r="X399" s="73" t="s">
        <v>3680</v>
      </c>
      <c r="Y399" s="127" t="str">
        <f>_xlfn.XLOOKUP(MasterFees[[#This Row],[Provider / Payer]],Contracts[Contract Name],Contracts[Contract ID],"No contract")</f>
        <v>CON-01</v>
      </c>
      <c r="Z399" s="127" t="str">
        <f>_xlfn.XLOOKUP(MasterFees[[#This Row],[Provider / Payer]],Contracts[Contract Name],Contracts[Pricing Basis],"To confirm")</f>
        <v>To confirm</v>
      </c>
      <c r="AA399" s="127" t="str">
        <f>IF(MasterFees[[#This Row],[Pricing Basis]]="Fixed fee schedule","Yes","No")</f>
        <v>No</v>
      </c>
      <c r="AB399" s="127" t="str">
        <f>IF(OR(MasterFees[[#This Row],[Fee Basis]]="Add-on",MasterFees[[#This Row],[Fee Basis]]="Time band",MasterFees[[#This Row],[Fee Basis]]="Other"),MasterFees[[#This Row],[Fee Basis]],"Base")</f>
        <v>Base</v>
      </c>
      <c r="AC399" s="141" t="str">
        <f>IF(MasterFees[[#This Row],[Fixed Fee?]]="Yes",MasterFees[[#This Row],[Fee Excl. GST]],"")</f>
        <v/>
      </c>
    </row>
    <row r="400" spans="1:29" x14ac:dyDescent="0.2">
      <c r="A400" s="67" t="s">
        <v>2173</v>
      </c>
      <c r="B400" s="31">
        <f>IF(MasterFees[[#This Row],[RVG Code]]="","",_xlfn.XLOOKUP(MasterFees[[#This Row],[RVG Code]],RVGCodes[Code],RVGCodes[Base Units],"Code not found"))</f>
        <v>4</v>
      </c>
      <c r="C40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0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00" s="125" t="s">
        <v>2570</v>
      </c>
      <c r="F400" s="48" t="s">
        <v>2567</v>
      </c>
      <c r="G400" s="30" t="s">
        <v>774</v>
      </c>
      <c r="H400" s="37" t="s">
        <v>1095</v>
      </c>
      <c r="I400" s="37"/>
      <c r="J400" s="37" t="s">
        <v>1096</v>
      </c>
      <c r="K400" s="32">
        <v>2</v>
      </c>
      <c r="L400" s="32">
        <v>1</v>
      </c>
      <c r="M400" s="32">
        <v>0.7</v>
      </c>
      <c r="N400" s="32">
        <v>3.6</v>
      </c>
      <c r="O400" s="33">
        <v>198</v>
      </c>
      <c r="P400" s="38" t="s">
        <v>1014</v>
      </c>
      <c r="Q400" s="34" t="str">
        <f>IF(MasterFees[[#This Row],[GST Basis]]="Excl",MasterFees[[#This Row],[Fee as Printed]],IF(MasterFees[[#This Row],[GST Basis]]="Incl",MasterFees[[#This Row],[Fee as Printed]]/(1+GST_Rate),""))</f>
        <v/>
      </c>
      <c r="R400" s="34" t="str">
        <f>IF(MasterFees[[#This Row],[GST Basis]]="Incl",MasterFees[[#This Row],[Fee as Printed]],IF(MasterFees[[#This Row],[GST Basis]]="Excl",MasterFees[[#This Row],[Fee as Printed]]*(1+GST_Rate),""))</f>
        <v/>
      </c>
      <c r="S400" s="35">
        <f>IF(N(MasterFees[[#This Row],[Total Units]])=0,"",MasterFees[[#This Row],[Fee as Printed]]/MasterFees[[#This Row],[Total Units]])</f>
        <v>55</v>
      </c>
      <c r="T400" s="36"/>
      <c r="U400" s="39" t="s">
        <v>1012</v>
      </c>
      <c r="V400" s="39" t="s">
        <v>1879</v>
      </c>
      <c r="W400" s="30"/>
      <c r="X400" s="73" t="s">
        <v>3685</v>
      </c>
      <c r="Y400" s="127" t="str">
        <f>_xlfn.XLOOKUP(MasterFees[[#This Row],[Provider / Payer]],Contracts[Contract Name],Contracts[Contract ID],"No contract")</f>
        <v>CON-01</v>
      </c>
      <c r="Z400" s="127" t="str">
        <f>_xlfn.XLOOKUP(MasterFees[[#This Row],[Provider / Payer]],Contracts[Contract Name],Contracts[Pricing Basis],"To confirm")</f>
        <v>To confirm</v>
      </c>
      <c r="AA400" s="127" t="str">
        <f>IF(MasterFees[[#This Row],[Pricing Basis]]="Fixed fee schedule","Yes","No")</f>
        <v>No</v>
      </c>
      <c r="AB400" s="127" t="str">
        <f>IF(OR(MasterFees[[#This Row],[Fee Basis]]="Add-on",MasterFees[[#This Row],[Fee Basis]]="Time band",MasterFees[[#This Row],[Fee Basis]]="Other"),MasterFees[[#This Row],[Fee Basis]],"Base")</f>
        <v>Base</v>
      </c>
      <c r="AC400" s="141" t="str">
        <f>IF(MasterFees[[#This Row],[Fixed Fee?]]="Yes",MasterFees[[#This Row],[Fee Excl. GST]],"")</f>
        <v/>
      </c>
    </row>
    <row r="401" spans="1:29" x14ac:dyDescent="0.2">
      <c r="A401" s="67" t="s">
        <v>2173</v>
      </c>
      <c r="B401" s="31">
        <f>IF(MasterFees[[#This Row],[RVG Code]]="","",_xlfn.XLOOKUP(MasterFees[[#This Row],[RVG Code]],RVGCodes[Code],RVGCodes[Base Units],"Code not found"))</f>
        <v>4</v>
      </c>
      <c r="C40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0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01" s="125" t="s">
        <v>2570</v>
      </c>
      <c r="F401" s="48" t="s">
        <v>2567</v>
      </c>
      <c r="G401" s="30" t="s">
        <v>779</v>
      </c>
      <c r="H401" s="37" t="s">
        <v>1095</v>
      </c>
      <c r="I401" s="37"/>
      <c r="J401" s="37" t="s">
        <v>1096</v>
      </c>
      <c r="K401" s="32">
        <v>0.8</v>
      </c>
      <c r="L401" s="32">
        <v>0.4</v>
      </c>
      <c r="M401" s="32">
        <v>0.3</v>
      </c>
      <c r="N401" s="32">
        <v>1.5</v>
      </c>
      <c r="O401" s="33">
        <v>81.400000000000006</v>
      </c>
      <c r="P401" s="38" t="s">
        <v>1014</v>
      </c>
      <c r="Q401" s="34" t="str">
        <f>IF(MasterFees[[#This Row],[GST Basis]]="Excl",MasterFees[[#This Row],[Fee as Printed]],IF(MasterFees[[#This Row],[GST Basis]]="Incl",MasterFees[[#This Row],[Fee as Printed]]/(1+GST_Rate),""))</f>
        <v/>
      </c>
      <c r="R401" s="34" t="str">
        <f>IF(MasterFees[[#This Row],[GST Basis]]="Incl",MasterFees[[#This Row],[Fee as Printed]],IF(MasterFees[[#This Row],[GST Basis]]="Excl",MasterFees[[#This Row],[Fee as Printed]]*(1+GST_Rate),""))</f>
        <v/>
      </c>
      <c r="S401" s="35">
        <f>IF(N(MasterFees[[#This Row],[Total Units]])=0,"",MasterFees[[#This Row],[Fee as Printed]]/MasterFees[[#This Row],[Total Units]])</f>
        <v>54.266666666666673</v>
      </c>
      <c r="T401" s="36"/>
      <c r="U401" s="39" t="s">
        <v>1012</v>
      </c>
      <c r="V401" s="39" t="s">
        <v>1880</v>
      </c>
      <c r="W401" s="30"/>
      <c r="X401" s="73" t="s">
        <v>3686</v>
      </c>
      <c r="Y401" s="127" t="str">
        <f>_xlfn.XLOOKUP(MasterFees[[#This Row],[Provider / Payer]],Contracts[Contract Name],Contracts[Contract ID],"No contract")</f>
        <v>CON-01</v>
      </c>
      <c r="Z401" s="127" t="str">
        <f>_xlfn.XLOOKUP(MasterFees[[#This Row],[Provider / Payer]],Contracts[Contract Name],Contracts[Pricing Basis],"To confirm")</f>
        <v>To confirm</v>
      </c>
      <c r="AA401" s="127" t="str">
        <f>IF(MasterFees[[#This Row],[Pricing Basis]]="Fixed fee schedule","Yes","No")</f>
        <v>No</v>
      </c>
      <c r="AB401" s="127" t="str">
        <f>IF(OR(MasterFees[[#This Row],[Fee Basis]]="Add-on",MasterFees[[#This Row],[Fee Basis]]="Time band",MasterFees[[#This Row],[Fee Basis]]="Other"),MasterFees[[#This Row],[Fee Basis]],"Base")</f>
        <v>Base</v>
      </c>
      <c r="AC401" s="141" t="str">
        <f>IF(MasterFees[[#This Row],[Fixed Fee?]]="Yes",MasterFees[[#This Row],[Fee Excl. GST]],"")</f>
        <v/>
      </c>
    </row>
    <row r="402" spans="1:29" x14ac:dyDescent="0.2">
      <c r="A402" s="67" t="s">
        <v>2173</v>
      </c>
      <c r="B402" s="31">
        <f>IF(MasterFees[[#This Row],[RVG Code]]="","",_xlfn.XLOOKUP(MasterFees[[#This Row],[RVG Code]],RVGCodes[Code],RVGCodes[Base Units],"Code not found"))</f>
        <v>4</v>
      </c>
      <c r="C40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0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02" s="125" t="s">
        <v>2570</v>
      </c>
      <c r="F402" s="48" t="s">
        <v>2567</v>
      </c>
      <c r="G402" s="30" t="s">
        <v>780</v>
      </c>
      <c r="H402" s="37" t="s">
        <v>1095</v>
      </c>
      <c r="I402" s="37"/>
      <c r="J402" s="37" t="s">
        <v>1096</v>
      </c>
      <c r="K402" s="32">
        <v>2</v>
      </c>
      <c r="L402" s="32">
        <v>1.1000000000000001</v>
      </c>
      <c r="M402" s="32">
        <v>0.5</v>
      </c>
      <c r="N402" s="32">
        <v>3.6</v>
      </c>
      <c r="O402" s="33">
        <v>200.2</v>
      </c>
      <c r="P402" s="38" t="s">
        <v>1014</v>
      </c>
      <c r="Q402" s="34" t="str">
        <f>IF(MasterFees[[#This Row],[GST Basis]]="Excl",MasterFees[[#This Row],[Fee as Printed]],IF(MasterFees[[#This Row],[GST Basis]]="Incl",MasterFees[[#This Row],[Fee as Printed]]/(1+GST_Rate),""))</f>
        <v/>
      </c>
      <c r="R402" s="34" t="str">
        <f>IF(MasterFees[[#This Row],[GST Basis]]="Incl",MasterFees[[#This Row],[Fee as Printed]],IF(MasterFees[[#This Row],[GST Basis]]="Excl",MasterFees[[#This Row],[Fee as Printed]]*(1+GST_Rate),""))</f>
        <v/>
      </c>
      <c r="S402" s="35">
        <f>IF(N(MasterFees[[#This Row],[Total Units]])=0,"",MasterFees[[#This Row],[Fee as Printed]]/MasterFees[[#This Row],[Total Units]])</f>
        <v>55.611111111111107</v>
      </c>
      <c r="T402" s="36"/>
      <c r="U402" s="39" t="s">
        <v>1012</v>
      </c>
      <c r="V402" s="39" t="s">
        <v>1881</v>
      </c>
      <c r="W402" s="30"/>
      <c r="X402" s="73" t="s">
        <v>3687</v>
      </c>
      <c r="Y402" s="127" t="str">
        <f>_xlfn.XLOOKUP(MasterFees[[#This Row],[Provider / Payer]],Contracts[Contract Name],Contracts[Contract ID],"No contract")</f>
        <v>CON-01</v>
      </c>
      <c r="Z402" s="127" t="str">
        <f>_xlfn.XLOOKUP(MasterFees[[#This Row],[Provider / Payer]],Contracts[Contract Name],Contracts[Pricing Basis],"To confirm")</f>
        <v>To confirm</v>
      </c>
      <c r="AA402" s="127" t="str">
        <f>IF(MasterFees[[#This Row],[Pricing Basis]]="Fixed fee schedule","Yes","No")</f>
        <v>No</v>
      </c>
      <c r="AB402" s="127" t="str">
        <f>IF(OR(MasterFees[[#This Row],[Fee Basis]]="Add-on",MasterFees[[#This Row],[Fee Basis]]="Time band",MasterFees[[#This Row],[Fee Basis]]="Other"),MasterFees[[#This Row],[Fee Basis]],"Base")</f>
        <v>Base</v>
      </c>
      <c r="AC402" s="141" t="str">
        <f>IF(MasterFees[[#This Row],[Fixed Fee?]]="Yes",MasterFees[[#This Row],[Fee Excl. GST]],"")</f>
        <v/>
      </c>
    </row>
    <row r="403" spans="1:29" x14ac:dyDescent="0.2">
      <c r="A403" s="67" t="s">
        <v>2173</v>
      </c>
      <c r="B403" s="31">
        <f>IF(MasterFees[[#This Row],[RVG Code]]="","",_xlfn.XLOOKUP(MasterFees[[#This Row],[RVG Code]],RVGCodes[Code],RVGCodes[Base Units],"Code not found"))</f>
        <v>4</v>
      </c>
      <c r="C40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0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03" s="125" t="s">
        <v>2570</v>
      </c>
      <c r="F403" s="48" t="s">
        <v>2567</v>
      </c>
      <c r="G403" s="30" t="s">
        <v>780</v>
      </c>
      <c r="H403" s="37" t="s">
        <v>1095</v>
      </c>
      <c r="I403" s="37"/>
      <c r="J403" s="37" t="s">
        <v>1096</v>
      </c>
      <c r="K403" s="32">
        <v>0</v>
      </c>
      <c r="L403" s="32">
        <v>0.1</v>
      </c>
      <c r="M403" s="32">
        <v>0.1</v>
      </c>
      <c r="N403" s="32">
        <v>0.2</v>
      </c>
      <c r="O403" s="33">
        <v>12.1</v>
      </c>
      <c r="P403" s="38" t="s">
        <v>1014</v>
      </c>
      <c r="Q403" s="34" t="str">
        <f>IF(MasterFees[[#This Row],[GST Basis]]="Excl",MasterFees[[#This Row],[Fee as Printed]],IF(MasterFees[[#This Row],[GST Basis]]="Incl",MasterFees[[#This Row],[Fee as Printed]]/(1+GST_Rate),""))</f>
        <v/>
      </c>
      <c r="R403" s="34" t="str">
        <f>IF(MasterFees[[#This Row],[GST Basis]]="Incl",MasterFees[[#This Row],[Fee as Printed]],IF(MasterFees[[#This Row],[GST Basis]]="Excl",MasterFees[[#This Row],[Fee as Printed]]*(1+GST_Rate),""))</f>
        <v/>
      </c>
      <c r="S403" s="35">
        <f>IF(N(MasterFees[[#This Row],[Total Units]])=0,"",MasterFees[[#This Row],[Fee as Printed]]/MasterFees[[#This Row],[Total Units]])</f>
        <v>60.499999999999993</v>
      </c>
      <c r="T403" s="36"/>
      <c r="U403" s="39" t="s">
        <v>1012</v>
      </c>
      <c r="V403" s="39" t="s">
        <v>1882</v>
      </c>
      <c r="W403" s="30"/>
      <c r="X403" s="73" t="s">
        <v>3688</v>
      </c>
      <c r="Y403" s="127" t="str">
        <f>_xlfn.XLOOKUP(MasterFees[[#This Row],[Provider / Payer]],Contracts[Contract Name],Contracts[Contract ID],"No contract")</f>
        <v>CON-01</v>
      </c>
      <c r="Z403" s="127" t="str">
        <f>_xlfn.XLOOKUP(MasterFees[[#This Row],[Provider / Payer]],Contracts[Contract Name],Contracts[Pricing Basis],"To confirm")</f>
        <v>To confirm</v>
      </c>
      <c r="AA403" s="127" t="str">
        <f>IF(MasterFees[[#This Row],[Pricing Basis]]="Fixed fee schedule","Yes","No")</f>
        <v>No</v>
      </c>
      <c r="AB403" s="127" t="str">
        <f>IF(OR(MasterFees[[#This Row],[Fee Basis]]="Add-on",MasterFees[[#This Row],[Fee Basis]]="Time band",MasterFees[[#This Row],[Fee Basis]]="Other"),MasterFees[[#This Row],[Fee Basis]],"Base")</f>
        <v>Base</v>
      </c>
      <c r="AC403" s="141" t="str">
        <f>IF(MasterFees[[#This Row],[Fixed Fee?]]="Yes",MasterFees[[#This Row],[Fee Excl. GST]],"")</f>
        <v/>
      </c>
    </row>
    <row r="404" spans="1:29" x14ac:dyDescent="0.2">
      <c r="A404" s="67" t="s">
        <v>2173</v>
      </c>
      <c r="B404" s="31">
        <f>IF(MasterFees[[#This Row],[RVG Code]]="","",_xlfn.XLOOKUP(MasterFees[[#This Row],[RVG Code]],RVGCodes[Code],RVGCodes[Base Units],"Code not found"))</f>
        <v>4</v>
      </c>
      <c r="C40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0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04" s="125" t="s">
        <v>2570</v>
      </c>
      <c r="F404" s="48" t="s">
        <v>2567</v>
      </c>
      <c r="G404" s="30" t="s">
        <v>781</v>
      </c>
      <c r="H404" s="37" t="s">
        <v>1095</v>
      </c>
      <c r="I404" s="37"/>
      <c r="J404" s="37" t="s">
        <v>1096</v>
      </c>
      <c r="K404" s="32">
        <v>2.5</v>
      </c>
      <c r="L404" s="32">
        <v>1.3</v>
      </c>
      <c r="M404" s="32">
        <v>1.2</v>
      </c>
      <c r="N404" s="32">
        <v>4.9000000000000004</v>
      </c>
      <c r="O404" s="33">
        <v>269.5</v>
      </c>
      <c r="P404" s="38" t="s">
        <v>1014</v>
      </c>
      <c r="Q404" s="34" t="str">
        <f>IF(MasterFees[[#This Row],[GST Basis]]="Excl",MasterFees[[#This Row],[Fee as Printed]],IF(MasterFees[[#This Row],[GST Basis]]="Incl",MasterFees[[#This Row],[Fee as Printed]]/(1+GST_Rate),""))</f>
        <v/>
      </c>
      <c r="R404" s="34" t="str">
        <f>IF(MasterFees[[#This Row],[GST Basis]]="Incl",MasterFees[[#This Row],[Fee as Printed]],IF(MasterFees[[#This Row],[GST Basis]]="Excl",MasterFees[[#This Row],[Fee as Printed]]*(1+GST_Rate),""))</f>
        <v/>
      </c>
      <c r="S404" s="35">
        <f>IF(N(MasterFees[[#This Row],[Total Units]])=0,"",MasterFees[[#This Row],[Fee as Printed]]/MasterFees[[#This Row],[Total Units]])</f>
        <v>54.999999999999993</v>
      </c>
      <c r="T404" s="36"/>
      <c r="U404" s="39" t="s">
        <v>1012</v>
      </c>
      <c r="V404" s="39" t="s">
        <v>1883</v>
      </c>
      <c r="W404" s="30"/>
      <c r="X404" s="73" t="s">
        <v>3689</v>
      </c>
      <c r="Y404" s="127" t="str">
        <f>_xlfn.XLOOKUP(MasterFees[[#This Row],[Provider / Payer]],Contracts[Contract Name],Contracts[Contract ID],"No contract")</f>
        <v>CON-01</v>
      </c>
      <c r="Z404" s="127" t="str">
        <f>_xlfn.XLOOKUP(MasterFees[[#This Row],[Provider / Payer]],Contracts[Contract Name],Contracts[Pricing Basis],"To confirm")</f>
        <v>To confirm</v>
      </c>
      <c r="AA404" s="127" t="str">
        <f>IF(MasterFees[[#This Row],[Pricing Basis]]="Fixed fee schedule","Yes","No")</f>
        <v>No</v>
      </c>
      <c r="AB404" s="127" t="str">
        <f>IF(OR(MasterFees[[#This Row],[Fee Basis]]="Add-on",MasterFees[[#This Row],[Fee Basis]]="Time band",MasterFees[[#This Row],[Fee Basis]]="Other"),MasterFees[[#This Row],[Fee Basis]],"Base")</f>
        <v>Base</v>
      </c>
      <c r="AC404" s="141" t="str">
        <f>IF(MasterFees[[#This Row],[Fixed Fee?]]="Yes",MasterFees[[#This Row],[Fee Excl. GST]],"")</f>
        <v/>
      </c>
    </row>
    <row r="405" spans="1:29" x14ac:dyDescent="0.2">
      <c r="A405" s="67" t="s">
        <v>2173</v>
      </c>
      <c r="B405" s="31">
        <f>IF(MasterFees[[#This Row],[RVG Code]]="","",_xlfn.XLOOKUP(MasterFees[[#This Row],[RVG Code]],RVGCodes[Code],RVGCodes[Base Units],"Code not found"))</f>
        <v>4</v>
      </c>
      <c r="C40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0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05" s="125" t="s">
        <v>2570</v>
      </c>
      <c r="F405" s="48" t="s">
        <v>2567</v>
      </c>
      <c r="G405" s="30" t="s">
        <v>782</v>
      </c>
      <c r="H405" s="37" t="s">
        <v>1095</v>
      </c>
      <c r="I405" s="37"/>
      <c r="J405" s="37" t="s">
        <v>1096</v>
      </c>
      <c r="K405" s="32">
        <v>0</v>
      </c>
      <c r="L405" s="32">
        <v>0</v>
      </c>
      <c r="M405" s="32">
        <v>0</v>
      </c>
      <c r="N405" s="32">
        <v>0</v>
      </c>
      <c r="O405" s="33">
        <v>0</v>
      </c>
      <c r="P405" s="38" t="s">
        <v>1014</v>
      </c>
      <c r="Q405" s="34" t="str">
        <f>IF(MasterFees[[#This Row],[GST Basis]]="Excl",MasterFees[[#This Row],[Fee as Printed]],IF(MasterFees[[#This Row],[GST Basis]]="Incl",MasterFees[[#This Row],[Fee as Printed]]/(1+GST_Rate),""))</f>
        <v/>
      </c>
      <c r="R405" s="34" t="str">
        <f>IF(MasterFees[[#This Row],[GST Basis]]="Incl",MasterFees[[#This Row],[Fee as Printed]],IF(MasterFees[[#This Row],[GST Basis]]="Excl",MasterFees[[#This Row],[Fee as Printed]]*(1+GST_Rate),""))</f>
        <v/>
      </c>
      <c r="S405" s="35" t="str">
        <f>IF(N(MasterFees[[#This Row],[Total Units]])=0,"",MasterFees[[#This Row],[Fee as Printed]]/MasterFees[[#This Row],[Total Units]])</f>
        <v/>
      </c>
      <c r="T405" s="36"/>
      <c r="U405" s="39" t="s">
        <v>1012</v>
      </c>
      <c r="V405" s="39" t="s">
        <v>1884</v>
      </c>
      <c r="W405" s="30"/>
      <c r="X405" s="73" t="s">
        <v>3690</v>
      </c>
      <c r="Y405" s="127" t="str">
        <f>_xlfn.XLOOKUP(MasterFees[[#This Row],[Provider / Payer]],Contracts[Contract Name],Contracts[Contract ID],"No contract")</f>
        <v>CON-01</v>
      </c>
      <c r="Z405" s="127" t="str">
        <f>_xlfn.XLOOKUP(MasterFees[[#This Row],[Provider / Payer]],Contracts[Contract Name],Contracts[Pricing Basis],"To confirm")</f>
        <v>To confirm</v>
      </c>
      <c r="AA405" s="127" t="str">
        <f>IF(MasterFees[[#This Row],[Pricing Basis]]="Fixed fee schedule","Yes","No")</f>
        <v>No</v>
      </c>
      <c r="AB405" s="127" t="str">
        <f>IF(OR(MasterFees[[#This Row],[Fee Basis]]="Add-on",MasterFees[[#This Row],[Fee Basis]]="Time band",MasterFees[[#This Row],[Fee Basis]]="Other"),MasterFees[[#This Row],[Fee Basis]],"Base")</f>
        <v>Base</v>
      </c>
      <c r="AC405" s="141" t="str">
        <f>IF(MasterFees[[#This Row],[Fixed Fee?]]="Yes",MasterFees[[#This Row],[Fee Excl. GST]],"")</f>
        <v/>
      </c>
    </row>
    <row r="406" spans="1:29" x14ac:dyDescent="0.2">
      <c r="A406" s="67" t="s">
        <v>2173</v>
      </c>
      <c r="B406" s="31">
        <f>IF(MasterFees[[#This Row],[RVG Code]]="","",_xlfn.XLOOKUP(MasterFees[[#This Row],[RVG Code]],RVGCodes[Code],RVGCodes[Base Units],"Code not found"))</f>
        <v>4</v>
      </c>
      <c r="C40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0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06" s="125" t="s">
        <v>2570</v>
      </c>
      <c r="F406" s="48" t="s">
        <v>2567</v>
      </c>
      <c r="G406" s="30" t="s">
        <v>773</v>
      </c>
      <c r="H406" s="37" t="s">
        <v>1095</v>
      </c>
      <c r="I406" s="37"/>
      <c r="J406" s="37" t="s">
        <v>1096</v>
      </c>
      <c r="K406" s="32">
        <v>1.8</v>
      </c>
      <c r="L406" s="32">
        <v>0.8</v>
      </c>
      <c r="M406" s="32">
        <v>0.5</v>
      </c>
      <c r="N406" s="32">
        <v>3</v>
      </c>
      <c r="O406" s="33">
        <v>166.65</v>
      </c>
      <c r="P406" s="38" t="s">
        <v>1014</v>
      </c>
      <c r="Q406" s="34" t="str">
        <f>IF(MasterFees[[#This Row],[GST Basis]]="Excl",MasterFees[[#This Row],[Fee as Printed]],IF(MasterFees[[#This Row],[GST Basis]]="Incl",MasterFees[[#This Row],[Fee as Printed]]/(1+GST_Rate),""))</f>
        <v/>
      </c>
      <c r="R406" s="34" t="str">
        <f>IF(MasterFees[[#This Row],[GST Basis]]="Incl",MasterFees[[#This Row],[Fee as Printed]],IF(MasterFees[[#This Row],[GST Basis]]="Excl",MasterFees[[#This Row],[Fee as Printed]]*(1+GST_Rate),""))</f>
        <v/>
      </c>
      <c r="S406" s="35">
        <f>IF(N(MasterFees[[#This Row],[Total Units]])=0,"",MasterFees[[#This Row],[Fee as Printed]]/MasterFees[[#This Row],[Total Units]])</f>
        <v>55.550000000000004</v>
      </c>
      <c r="T406" s="36"/>
      <c r="U406" s="39" t="s">
        <v>1012</v>
      </c>
      <c r="V406" s="39" t="s">
        <v>1872</v>
      </c>
      <c r="W406" s="30"/>
      <c r="X406" s="73" t="s">
        <v>3678</v>
      </c>
      <c r="Y406" s="127" t="str">
        <f>_xlfn.XLOOKUP(MasterFees[[#This Row],[Provider / Payer]],Contracts[Contract Name],Contracts[Contract ID],"No contract")</f>
        <v>CON-01</v>
      </c>
      <c r="Z406" s="127" t="str">
        <f>_xlfn.XLOOKUP(MasterFees[[#This Row],[Provider / Payer]],Contracts[Contract Name],Contracts[Pricing Basis],"To confirm")</f>
        <v>To confirm</v>
      </c>
      <c r="AA406" s="127" t="str">
        <f>IF(MasterFees[[#This Row],[Pricing Basis]]="Fixed fee schedule","Yes","No")</f>
        <v>No</v>
      </c>
      <c r="AB406" s="127" t="str">
        <f>IF(OR(MasterFees[[#This Row],[Fee Basis]]="Add-on",MasterFees[[#This Row],[Fee Basis]]="Time band",MasterFees[[#This Row],[Fee Basis]]="Other"),MasterFees[[#This Row],[Fee Basis]],"Base")</f>
        <v>Base</v>
      </c>
      <c r="AC406" s="141" t="str">
        <f>IF(MasterFees[[#This Row],[Fixed Fee?]]="Yes",MasterFees[[#This Row],[Fee Excl. GST]],"")</f>
        <v/>
      </c>
    </row>
    <row r="407" spans="1:29" x14ac:dyDescent="0.2">
      <c r="A407" s="67" t="s">
        <v>2173</v>
      </c>
      <c r="B407" s="31">
        <f>IF(MasterFees[[#This Row],[RVG Code]]="","",_xlfn.XLOOKUP(MasterFees[[#This Row],[RVG Code]],RVGCodes[Code],RVGCodes[Base Units],"Code not found"))</f>
        <v>4</v>
      </c>
      <c r="C40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0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07" s="125" t="s">
        <v>2570</v>
      </c>
      <c r="F407" s="48" t="s">
        <v>2567</v>
      </c>
      <c r="G407" s="30" t="s">
        <v>776</v>
      </c>
      <c r="H407" s="37" t="s">
        <v>1095</v>
      </c>
      <c r="I407" s="37"/>
      <c r="J407" s="37" t="s">
        <v>1096</v>
      </c>
      <c r="K407" s="32">
        <v>1.8</v>
      </c>
      <c r="L407" s="32">
        <v>1</v>
      </c>
      <c r="M407" s="32">
        <v>0.3</v>
      </c>
      <c r="N407" s="32">
        <v>3.2</v>
      </c>
      <c r="O407" s="33">
        <v>173.8</v>
      </c>
      <c r="P407" s="38" t="s">
        <v>1014</v>
      </c>
      <c r="Q407" s="34" t="str">
        <f>IF(MasterFees[[#This Row],[GST Basis]]="Excl",MasterFees[[#This Row],[Fee as Printed]],IF(MasterFees[[#This Row],[GST Basis]]="Incl",MasterFees[[#This Row],[Fee as Printed]]/(1+GST_Rate),""))</f>
        <v/>
      </c>
      <c r="R407" s="34" t="str">
        <f>IF(MasterFees[[#This Row],[GST Basis]]="Incl",MasterFees[[#This Row],[Fee as Printed]],IF(MasterFees[[#This Row],[GST Basis]]="Excl",MasterFees[[#This Row],[Fee as Printed]]*(1+GST_Rate),""))</f>
        <v/>
      </c>
      <c r="S407" s="35">
        <f>IF(N(MasterFees[[#This Row],[Total Units]])=0,"",MasterFees[[#This Row],[Fee as Printed]]/MasterFees[[#This Row],[Total Units]])</f>
        <v>54.3125</v>
      </c>
      <c r="T407" s="36"/>
      <c r="U407" s="39" t="s">
        <v>1012</v>
      </c>
      <c r="V407" s="39" t="s">
        <v>1876</v>
      </c>
      <c r="W407" s="30"/>
      <c r="X407" s="73" t="s">
        <v>3682</v>
      </c>
      <c r="Y407" s="127" t="str">
        <f>_xlfn.XLOOKUP(MasterFees[[#This Row],[Provider / Payer]],Contracts[Contract Name],Contracts[Contract ID],"No contract")</f>
        <v>CON-01</v>
      </c>
      <c r="Z407" s="127" t="str">
        <f>_xlfn.XLOOKUP(MasterFees[[#This Row],[Provider / Payer]],Contracts[Contract Name],Contracts[Pricing Basis],"To confirm")</f>
        <v>To confirm</v>
      </c>
      <c r="AA407" s="127" t="str">
        <f>IF(MasterFees[[#This Row],[Pricing Basis]]="Fixed fee schedule","Yes","No")</f>
        <v>No</v>
      </c>
      <c r="AB407" s="127" t="str">
        <f>IF(OR(MasterFees[[#This Row],[Fee Basis]]="Add-on",MasterFees[[#This Row],[Fee Basis]]="Time band",MasterFees[[#This Row],[Fee Basis]]="Other"),MasterFees[[#This Row],[Fee Basis]],"Base")</f>
        <v>Base</v>
      </c>
      <c r="AC407" s="141" t="str">
        <f>IF(MasterFees[[#This Row],[Fixed Fee?]]="Yes",MasterFees[[#This Row],[Fee Excl. GST]],"")</f>
        <v/>
      </c>
    </row>
    <row r="408" spans="1:29" x14ac:dyDescent="0.2">
      <c r="A408" s="67" t="s">
        <v>2173</v>
      </c>
      <c r="B408" s="31">
        <f>IF(MasterFees[[#This Row],[RVG Code]]="","",_xlfn.XLOOKUP(MasterFees[[#This Row],[RVG Code]],RVGCodes[Code],RVGCodes[Base Units],"Code not found"))</f>
        <v>4</v>
      </c>
      <c r="C40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0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08" s="125" t="s">
        <v>2570</v>
      </c>
      <c r="F408" s="48" t="s">
        <v>2567</v>
      </c>
      <c r="G408" s="30" t="s">
        <v>773</v>
      </c>
      <c r="H408" s="37" t="s">
        <v>1095</v>
      </c>
      <c r="I408" s="37"/>
      <c r="J408" s="37" t="s">
        <v>1096</v>
      </c>
      <c r="K408" s="32">
        <v>1.6</v>
      </c>
      <c r="L408" s="32">
        <v>0.9</v>
      </c>
      <c r="M408" s="32">
        <v>0.8</v>
      </c>
      <c r="N408" s="32">
        <v>3.3</v>
      </c>
      <c r="O408" s="33">
        <v>178.75</v>
      </c>
      <c r="P408" s="38" t="s">
        <v>1014</v>
      </c>
      <c r="Q408" s="34" t="str">
        <f>IF(MasterFees[[#This Row],[GST Basis]]="Excl",MasterFees[[#This Row],[Fee as Printed]],IF(MasterFees[[#This Row],[GST Basis]]="Incl",MasterFees[[#This Row],[Fee as Printed]]/(1+GST_Rate),""))</f>
        <v/>
      </c>
      <c r="R408" s="34" t="str">
        <f>IF(MasterFees[[#This Row],[GST Basis]]="Incl",MasterFees[[#This Row],[Fee as Printed]],IF(MasterFees[[#This Row],[GST Basis]]="Excl",MasterFees[[#This Row],[Fee as Printed]]*(1+GST_Rate),""))</f>
        <v/>
      </c>
      <c r="S408" s="35">
        <f>IF(N(MasterFees[[#This Row],[Total Units]])=0,"",MasterFees[[#This Row],[Fee as Printed]]/MasterFees[[#This Row],[Total Units]])</f>
        <v>54.166666666666671</v>
      </c>
      <c r="T408" s="36"/>
      <c r="U408" s="39" t="s">
        <v>1012</v>
      </c>
      <c r="V408" s="39" t="s">
        <v>1885</v>
      </c>
      <c r="W408" s="30"/>
      <c r="X408" s="73" t="s">
        <v>3691</v>
      </c>
      <c r="Y408" s="127" t="str">
        <f>_xlfn.XLOOKUP(MasterFees[[#This Row],[Provider / Payer]],Contracts[Contract Name],Contracts[Contract ID],"No contract")</f>
        <v>CON-01</v>
      </c>
      <c r="Z408" s="127" t="str">
        <f>_xlfn.XLOOKUP(MasterFees[[#This Row],[Provider / Payer]],Contracts[Contract Name],Contracts[Pricing Basis],"To confirm")</f>
        <v>To confirm</v>
      </c>
      <c r="AA408" s="127" t="str">
        <f>IF(MasterFees[[#This Row],[Pricing Basis]]="Fixed fee schedule","Yes","No")</f>
        <v>No</v>
      </c>
      <c r="AB408" s="127" t="str">
        <f>IF(OR(MasterFees[[#This Row],[Fee Basis]]="Add-on",MasterFees[[#This Row],[Fee Basis]]="Time band",MasterFees[[#This Row],[Fee Basis]]="Other"),MasterFees[[#This Row],[Fee Basis]],"Base")</f>
        <v>Base</v>
      </c>
      <c r="AC408" s="141" t="str">
        <f>IF(MasterFees[[#This Row],[Fixed Fee?]]="Yes",MasterFees[[#This Row],[Fee Excl. GST]],"")</f>
        <v/>
      </c>
    </row>
    <row r="409" spans="1:29" x14ac:dyDescent="0.2">
      <c r="A409" s="67" t="s">
        <v>2173</v>
      </c>
      <c r="B409" s="31">
        <f>IF(MasterFees[[#This Row],[RVG Code]]="","",_xlfn.XLOOKUP(MasterFees[[#This Row],[RVG Code]],RVGCodes[Code],RVGCodes[Base Units],"Code not found"))</f>
        <v>4</v>
      </c>
      <c r="C40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0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09" s="125" t="s">
        <v>2570</v>
      </c>
      <c r="F409" s="48" t="s">
        <v>2567</v>
      </c>
      <c r="G409" s="30" t="s">
        <v>807</v>
      </c>
      <c r="H409" s="37" t="s">
        <v>1095</v>
      </c>
      <c r="I409" s="37"/>
      <c r="J409" s="37" t="s">
        <v>1096</v>
      </c>
      <c r="K409" s="32">
        <v>5</v>
      </c>
      <c r="L409" s="32">
        <v>1.5</v>
      </c>
      <c r="M409" s="32">
        <v>0.5</v>
      </c>
      <c r="N409" s="32">
        <v>7</v>
      </c>
      <c r="O409" s="33">
        <v>385</v>
      </c>
      <c r="P409" s="38" t="s">
        <v>1014</v>
      </c>
      <c r="Q409" s="34" t="str">
        <f>IF(MasterFees[[#This Row],[GST Basis]]="Excl",MasterFees[[#This Row],[Fee as Printed]],IF(MasterFees[[#This Row],[GST Basis]]="Incl",MasterFees[[#This Row],[Fee as Printed]]/(1+GST_Rate),""))</f>
        <v/>
      </c>
      <c r="R409" s="34" t="str">
        <f>IF(MasterFees[[#This Row],[GST Basis]]="Incl",MasterFees[[#This Row],[Fee as Printed]],IF(MasterFees[[#This Row],[GST Basis]]="Excl",MasterFees[[#This Row],[Fee as Printed]]*(1+GST_Rate),""))</f>
        <v/>
      </c>
      <c r="S409" s="35">
        <f>IF(N(MasterFees[[#This Row],[Total Units]])=0,"",MasterFees[[#This Row],[Fee as Printed]]/MasterFees[[#This Row],[Total Units]])</f>
        <v>55</v>
      </c>
      <c r="T409" s="36"/>
      <c r="U409" s="39" t="s">
        <v>1012</v>
      </c>
      <c r="V409" s="39" t="s">
        <v>1910</v>
      </c>
      <c r="W409" s="30"/>
      <c r="X409" s="73" t="s">
        <v>3717</v>
      </c>
      <c r="Y409" s="127" t="str">
        <f>_xlfn.XLOOKUP(MasterFees[[#This Row],[Provider / Payer]],Contracts[Contract Name],Contracts[Contract ID],"No contract")</f>
        <v>CON-01</v>
      </c>
      <c r="Z409" s="127" t="str">
        <f>_xlfn.XLOOKUP(MasterFees[[#This Row],[Provider / Payer]],Contracts[Contract Name],Contracts[Pricing Basis],"To confirm")</f>
        <v>To confirm</v>
      </c>
      <c r="AA409" s="127" t="str">
        <f>IF(MasterFees[[#This Row],[Pricing Basis]]="Fixed fee schedule","Yes","No")</f>
        <v>No</v>
      </c>
      <c r="AB409" s="127" t="str">
        <f>IF(OR(MasterFees[[#This Row],[Fee Basis]]="Add-on",MasterFees[[#This Row],[Fee Basis]]="Time band",MasterFees[[#This Row],[Fee Basis]]="Other"),MasterFees[[#This Row],[Fee Basis]],"Base")</f>
        <v>Base</v>
      </c>
      <c r="AC409" s="141" t="str">
        <f>IF(MasterFees[[#This Row],[Fixed Fee?]]="Yes",MasterFees[[#This Row],[Fee Excl. GST]],"")</f>
        <v/>
      </c>
    </row>
    <row r="410" spans="1:29" x14ac:dyDescent="0.2">
      <c r="A410" s="67" t="s">
        <v>2173</v>
      </c>
      <c r="B410" s="31">
        <f>IF(MasterFees[[#This Row],[RVG Code]]="","",_xlfn.XLOOKUP(MasterFees[[#This Row],[RVG Code]],RVGCodes[Code],RVGCodes[Base Units],"Code not found"))</f>
        <v>4</v>
      </c>
      <c r="C41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1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10" s="125" t="s">
        <v>2570</v>
      </c>
      <c r="F410" s="48" t="s">
        <v>2567</v>
      </c>
      <c r="G410" s="30" t="s">
        <v>809</v>
      </c>
      <c r="H410" s="37" t="s">
        <v>1095</v>
      </c>
      <c r="I410" s="37"/>
      <c r="J410" s="37" t="s">
        <v>1096</v>
      </c>
      <c r="K410" s="32">
        <v>2</v>
      </c>
      <c r="L410" s="32">
        <v>1</v>
      </c>
      <c r="M410" s="32">
        <v>0.1</v>
      </c>
      <c r="N410" s="32">
        <v>3.1</v>
      </c>
      <c r="O410" s="33">
        <v>168.3</v>
      </c>
      <c r="P410" s="38" t="s">
        <v>1014</v>
      </c>
      <c r="Q410" s="34" t="str">
        <f>IF(MasterFees[[#This Row],[GST Basis]]="Excl",MasterFees[[#This Row],[Fee as Printed]],IF(MasterFees[[#This Row],[GST Basis]]="Incl",MasterFees[[#This Row],[Fee as Printed]]/(1+GST_Rate),""))</f>
        <v/>
      </c>
      <c r="R410" s="34" t="str">
        <f>IF(MasterFees[[#This Row],[GST Basis]]="Incl",MasterFees[[#This Row],[Fee as Printed]],IF(MasterFees[[#This Row],[GST Basis]]="Excl",MasterFees[[#This Row],[Fee as Printed]]*(1+GST_Rate),""))</f>
        <v/>
      </c>
      <c r="S410" s="35">
        <f>IF(N(MasterFees[[#This Row],[Total Units]])=0,"",MasterFees[[#This Row],[Fee as Printed]]/MasterFees[[#This Row],[Total Units]])</f>
        <v>54.29032258064516</v>
      </c>
      <c r="T410" s="36"/>
      <c r="U410" s="39" t="s">
        <v>1012</v>
      </c>
      <c r="V410" s="39" t="s">
        <v>1912</v>
      </c>
      <c r="W410" s="30"/>
      <c r="X410" s="73" t="s">
        <v>3719</v>
      </c>
      <c r="Y410" s="127" t="str">
        <f>_xlfn.XLOOKUP(MasterFees[[#This Row],[Provider / Payer]],Contracts[Contract Name],Contracts[Contract ID],"No contract")</f>
        <v>CON-01</v>
      </c>
      <c r="Z410" s="127" t="str">
        <f>_xlfn.XLOOKUP(MasterFees[[#This Row],[Provider / Payer]],Contracts[Contract Name],Contracts[Pricing Basis],"To confirm")</f>
        <v>To confirm</v>
      </c>
      <c r="AA410" s="127" t="str">
        <f>IF(MasterFees[[#This Row],[Pricing Basis]]="Fixed fee schedule","Yes","No")</f>
        <v>No</v>
      </c>
      <c r="AB410" s="127" t="str">
        <f>IF(OR(MasterFees[[#This Row],[Fee Basis]]="Add-on",MasterFees[[#This Row],[Fee Basis]]="Time band",MasterFees[[#This Row],[Fee Basis]]="Other"),MasterFees[[#This Row],[Fee Basis]],"Base")</f>
        <v>Base</v>
      </c>
      <c r="AC410" s="141" t="str">
        <f>IF(MasterFees[[#This Row],[Fixed Fee?]]="Yes",MasterFees[[#This Row],[Fee Excl. GST]],"")</f>
        <v/>
      </c>
    </row>
    <row r="411" spans="1:29" x14ac:dyDescent="0.2">
      <c r="A411" s="67" t="s">
        <v>2173</v>
      </c>
      <c r="B411" s="31">
        <f>IF(MasterFees[[#This Row],[RVG Code]]="","",_xlfn.XLOOKUP(MasterFees[[#This Row],[RVG Code]],RVGCodes[Code],RVGCodes[Base Units],"Code not found"))</f>
        <v>4</v>
      </c>
      <c r="C41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1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11" s="125" t="s">
        <v>2570</v>
      </c>
      <c r="F411" s="48" t="s">
        <v>2567</v>
      </c>
      <c r="G411" s="30" t="s">
        <v>833</v>
      </c>
      <c r="H411" s="37" t="s">
        <v>1095</v>
      </c>
      <c r="I411" s="37"/>
      <c r="J411" s="37" t="s">
        <v>1096</v>
      </c>
      <c r="K411" s="32">
        <v>3.7</v>
      </c>
      <c r="L411" s="32">
        <v>4</v>
      </c>
      <c r="M411" s="32">
        <v>0.2</v>
      </c>
      <c r="N411" s="32">
        <v>7.8</v>
      </c>
      <c r="O411" s="33">
        <v>430.1</v>
      </c>
      <c r="P411" s="38" t="s">
        <v>1014</v>
      </c>
      <c r="Q411" s="34" t="str">
        <f>IF(MasterFees[[#This Row],[GST Basis]]="Excl",MasterFees[[#This Row],[Fee as Printed]],IF(MasterFees[[#This Row],[GST Basis]]="Incl",MasterFees[[#This Row],[Fee as Printed]]/(1+GST_Rate),""))</f>
        <v/>
      </c>
      <c r="R411" s="34" t="str">
        <f>IF(MasterFees[[#This Row],[GST Basis]]="Incl",MasterFees[[#This Row],[Fee as Printed]],IF(MasterFees[[#This Row],[GST Basis]]="Excl",MasterFees[[#This Row],[Fee as Printed]]*(1+GST_Rate),""))</f>
        <v/>
      </c>
      <c r="S411" s="35">
        <f>IF(N(MasterFees[[#This Row],[Total Units]])=0,"",MasterFees[[#This Row],[Fee as Printed]]/MasterFees[[#This Row],[Total Units]])</f>
        <v>55.141025641025642</v>
      </c>
      <c r="T411" s="36"/>
      <c r="U411" s="39" t="s">
        <v>1012</v>
      </c>
      <c r="V411" s="39" t="s">
        <v>1936</v>
      </c>
      <c r="W411" s="30"/>
      <c r="X411" s="73" t="s">
        <v>3746</v>
      </c>
      <c r="Y411" s="127" t="str">
        <f>_xlfn.XLOOKUP(MasterFees[[#This Row],[Provider / Payer]],Contracts[Contract Name],Contracts[Contract ID],"No contract")</f>
        <v>CON-01</v>
      </c>
      <c r="Z411" s="127" t="str">
        <f>_xlfn.XLOOKUP(MasterFees[[#This Row],[Provider / Payer]],Contracts[Contract Name],Contracts[Pricing Basis],"To confirm")</f>
        <v>To confirm</v>
      </c>
      <c r="AA411" s="127" t="str">
        <f>IF(MasterFees[[#This Row],[Pricing Basis]]="Fixed fee schedule","Yes","No")</f>
        <v>No</v>
      </c>
      <c r="AB411" s="127" t="str">
        <f>IF(OR(MasterFees[[#This Row],[Fee Basis]]="Add-on",MasterFees[[#This Row],[Fee Basis]]="Time band",MasterFees[[#This Row],[Fee Basis]]="Other"),MasterFees[[#This Row],[Fee Basis]],"Base")</f>
        <v>Base</v>
      </c>
      <c r="AC411" s="141" t="str">
        <f>IF(MasterFees[[#This Row],[Fixed Fee?]]="Yes",MasterFees[[#This Row],[Fee Excl. GST]],"")</f>
        <v/>
      </c>
    </row>
    <row r="412" spans="1:29" x14ac:dyDescent="0.2">
      <c r="A412" s="67" t="s">
        <v>2173</v>
      </c>
      <c r="B412" s="31">
        <f>IF(MasterFees[[#This Row],[RVG Code]]="","",_xlfn.XLOOKUP(MasterFees[[#This Row],[RVG Code]],RVGCodes[Code],RVGCodes[Base Units],"Code not found"))</f>
        <v>4</v>
      </c>
      <c r="C41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1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12" s="125" t="s">
        <v>2570</v>
      </c>
      <c r="F412" s="48" t="s">
        <v>2567</v>
      </c>
      <c r="G412" s="30" t="s">
        <v>834</v>
      </c>
      <c r="H412" s="37" t="s">
        <v>1095</v>
      </c>
      <c r="I412" s="37"/>
      <c r="J412" s="37" t="s">
        <v>1096</v>
      </c>
      <c r="K412" s="32">
        <v>3.7</v>
      </c>
      <c r="L412" s="32">
        <v>3.7</v>
      </c>
      <c r="M412" s="32">
        <v>0.7</v>
      </c>
      <c r="N412" s="32">
        <v>8.1</v>
      </c>
      <c r="O412" s="33">
        <v>445.5</v>
      </c>
      <c r="P412" s="38" t="s">
        <v>1014</v>
      </c>
      <c r="Q412" s="34" t="str">
        <f>IF(MasterFees[[#This Row],[GST Basis]]="Excl",MasterFees[[#This Row],[Fee as Printed]],IF(MasterFees[[#This Row],[GST Basis]]="Incl",MasterFees[[#This Row],[Fee as Printed]]/(1+GST_Rate),""))</f>
        <v/>
      </c>
      <c r="R412" s="34" t="str">
        <f>IF(MasterFees[[#This Row],[GST Basis]]="Incl",MasterFees[[#This Row],[Fee as Printed]],IF(MasterFees[[#This Row],[GST Basis]]="Excl",MasterFees[[#This Row],[Fee as Printed]]*(1+GST_Rate),""))</f>
        <v/>
      </c>
      <c r="S412" s="35">
        <f>IF(N(MasterFees[[#This Row],[Total Units]])=0,"",MasterFees[[#This Row],[Fee as Printed]]/MasterFees[[#This Row],[Total Units]])</f>
        <v>55</v>
      </c>
      <c r="T412" s="36"/>
      <c r="U412" s="39" t="s">
        <v>1012</v>
      </c>
      <c r="V412" s="39" t="s">
        <v>1937</v>
      </c>
      <c r="W412" s="30"/>
      <c r="X412" s="73" t="s">
        <v>3747</v>
      </c>
      <c r="Y412" s="127" t="str">
        <f>_xlfn.XLOOKUP(MasterFees[[#This Row],[Provider / Payer]],Contracts[Contract Name],Contracts[Contract ID],"No contract")</f>
        <v>CON-01</v>
      </c>
      <c r="Z412" s="127" t="str">
        <f>_xlfn.XLOOKUP(MasterFees[[#This Row],[Provider / Payer]],Contracts[Contract Name],Contracts[Pricing Basis],"To confirm")</f>
        <v>To confirm</v>
      </c>
      <c r="AA412" s="127" t="str">
        <f>IF(MasterFees[[#This Row],[Pricing Basis]]="Fixed fee schedule","Yes","No")</f>
        <v>No</v>
      </c>
      <c r="AB412" s="127" t="str">
        <f>IF(OR(MasterFees[[#This Row],[Fee Basis]]="Add-on",MasterFees[[#This Row],[Fee Basis]]="Time band",MasterFees[[#This Row],[Fee Basis]]="Other"),MasterFees[[#This Row],[Fee Basis]],"Base")</f>
        <v>Base</v>
      </c>
      <c r="AC412" s="141" t="str">
        <f>IF(MasterFees[[#This Row],[Fixed Fee?]]="Yes",MasterFees[[#This Row],[Fee Excl. GST]],"")</f>
        <v/>
      </c>
    </row>
    <row r="413" spans="1:29" x14ac:dyDescent="0.2">
      <c r="A413" s="67" t="s">
        <v>2173</v>
      </c>
      <c r="B413" s="31">
        <f>IF(MasterFees[[#This Row],[RVG Code]]="","",_xlfn.XLOOKUP(MasterFees[[#This Row],[RVG Code]],RVGCodes[Code],RVGCodes[Base Units],"Code not found"))</f>
        <v>4</v>
      </c>
      <c r="C41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1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13" s="125" t="s">
        <v>2570</v>
      </c>
      <c r="F413" s="48" t="s">
        <v>2567</v>
      </c>
      <c r="G413" s="30" t="s">
        <v>849</v>
      </c>
      <c r="H413" s="37" t="s">
        <v>1095</v>
      </c>
      <c r="I413" s="37"/>
      <c r="J413" s="37" t="s">
        <v>1096</v>
      </c>
      <c r="K413" s="32">
        <v>0</v>
      </c>
      <c r="L413" s="32">
        <v>6</v>
      </c>
      <c r="M413" s="32">
        <v>0</v>
      </c>
      <c r="N413" s="32">
        <v>6</v>
      </c>
      <c r="O413" s="33">
        <v>330</v>
      </c>
      <c r="P413" s="38" t="s">
        <v>1014</v>
      </c>
      <c r="Q413" s="34" t="str">
        <f>IF(MasterFees[[#This Row],[GST Basis]]="Excl",MasterFees[[#This Row],[Fee as Printed]],IF(MasterFees[[#This Row],[GST Basis]]="Incl",MasterFees[[#This Row],[Fee as Printed]]/(1+GST_Rate),""))</f>
        <v/>
      </c>
      <c r="R413" s="34" t="str">
        <f>IF(MasterFees[[#This Row],[GST Basis]]="Incl",MasterFees[[#This Row],[Fee as Printed]],IF(MasterFees[[#This Row],[GST Basis]]="Excl",MasterFees[[#This Row],[Fee as Printed]]*(1+GST_Rate),""))</f>
        <v/>
      </c>
      <c r="S413" s="35">
        <f>IF(N(MasterFees[[#This Row],[Total Units]])=0,"",MasterFees[[#This Row],[Fee as Printed]]/MasterFees[[#This Row],[Total Units]])</f>
        <v>55</v>
      </c>
      <c r="T413" s="36"/>
      <c r="U413" s="39" t="s">
        <v>1012</v>
      </c>
      <c r="V413" s="39" t="s">
        <v>1952</v>
      </c>
      <c r="W413" s="30"/>
      <c r="X413" s="73" t="s">
        <v>3766</v>
      </c>
      <c r="Y413" s="127" t="str">
        <f>_xlfn.XLOOKUP(MasterFees[[#This Row],[Provider / Payer]],Contracts[Contract Name],Contracts[Contract ID],"No contract")</f>
        <v>CON-01</v>
      </c>
      <c r="Z413" s="127" t="str">
        <f>_xlfn.XLOOKUP(MasterFees[[#This Row],[Provider / Payer]],Contracts[Contract Name],Contracts[Pricing Basis],"To confirm")</f>
        <v>To confirm</v>
      </c>
      <c r="AA413" s="127" t="str">
        <f>IF(MasterFees[[#This Row],[Pricing Basis]]="Fixed fee schedule","Yes","No")</f>
        <v>No</v>
      </c>
      <c r="AB413" s="127" t="str">
        <f>IF(OR(MasterFees[[#This Row],[Fee Basis]]="Add-on",MasterFees[[#This Row],[Fee Basis]]="Time band",MasterFees[[#This Row],[Fee Basis]]="Other"),MasterFees[[#This Row],[Fee Basis]],"Base")</f>
        <v>Base</v>
      </c>
      <c r="AC413" s="141" t="str">
        <f>IF(MasterFees[[#This Row],[Fixed Fee?]]="Yes",MasterFees[[#This Row],[Fee Excl. GST]],"")</f>
        <v/>
      </c>
    </row>
    <row r="414" spans="1:29" x14ac:dyDescent="0.2">
      <c r="A414" s="67" t="s">
        <v>2173</v>
      </c>
      <c r="B414" s="31">
        <f>IF(MasterFees[[#This Row],[RVG Code]]="","",_xlfn.XLOOKUP(MasterFees[[#This Row],[RVG Code]],RVGCodes[Code],RVGCodes[Base Units],"Code not found"))</f>
        <v>4</v>
      </c>
      <c r="C41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1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14" s="125" t="s">
        <v>2570</v>
      </c>
      <c r="F414" s="48" t="s">
        <v>2567</v>
      </c>
      <c r="G414" s="30" t="s">
        <v>4564</v>
      </c>
      <c r="H414" s="37" t="s">
        <v>4622</v>
      </c>
      <c r="I414" s="37" t="s">
        <v>4563</v>
      </c>
      <c r="J414" s="37" t="s">
        <v>1024</v>
      </c>
      <c r="K414" s="32"/>
      <c r="L414" s="32"/>
      <c r="M414" s="32"/>
      <c r="N414" s="32"/>
      <c r="O414" s="33">
        <v>750</v>
      </c>
      <c r="P414" s="38" t="s">
        <v>4398</v>
      </c>
      <c r="Q414" s="34">
        <f>IF(MasterFees[[#This Row],[GST Basis]]="Excl",MasterFees[[#This Row],[Fee as Printed]],IF(MasterFees[[#This Row],[GST Basis]]="Incl",MasterFees[[#This Row],[Fee as Printed]]/(1+GST_Rate),""))</f>
        <v>750</v>
      </c>
      <c r="R414" s="34">
        <f>IF(MasterFees[[#This Row],[GST Basis]]="Incl",MasterFees[[#This Row],[Fee as Printed]],IF(MasterFees[[#This Row],[GST Basis]]="Excl",MasterFees[[#This Row],[Fee as Printed]]*(1+GST_Rate),""))</f>
        <v>862.49999999999989</v>
      </c>
      <c r="S414" s="35" t="str">
        <f>IF(N(MasterFees[[#This Row],[Total Units]])=0,"",MasterFees[[#This Row],[Fee as Printed]]/MasterFees[[#This Row],[Total Units]])</f>
        <v/>
      </c>
      <c r="T414" s="36"/>
      <c r="U414" s="39" t="s">
        <v>4587</v>
      </c>
      <c r="V414" s="39" t="s">
        <v>4680</v>
      </c>
      <c r="W414" s="30" t="s">
        <v>4681</v>
      </c>
      <c r="X414" s="77" t="s">
        <v>4839</v>
      </c>
      <c r="Y414" s="127" t="str">
        <f>_xlfn.XLOOKUP(MasterFees[[#This Row],[Provider / Payer]],Contracts[Contract Name],Contracts[Contract ID],"No contract")</f>
        <v>CON-05</v>
      </c>
      <c r="Z414" s="127" t="str">
        <f>_xlfn.XLOOKUP(MasterFees[[#This Row],[Provider / Payer]],Contracts[Contract Name],Contracts[Pricing Basis],"To confirm")</f>
        <v>Fixed fee schedule</v>
      </c>
      <c r="AA414" s="127" t="str">
        <f>IF(MasterFees[[#This Row],[Pricing Basis]]="Fixed fee schedule","Yes","No")</f>
        <v>Yes</v>
      </c>
      <c r="AB414" s="127" t="str">
        <f>IF(OR(MasterFees[[#This Row],[Fee Basis]]="Add-on",MasterFees[[#This Row],[Fee Basis]]="Time band",MasterFees[[#This Row],[Fee Basis]]="Other"),MasterFees[[#This Row],[Fee Basis]],"Base")</f>
        <v>Base</v>
      </c>
      <c r="AC414" s="141">
        <f>IF(MasterFees[[#This Row],[Fixed Fee?]]="Yes",MasterFees[[#This Row],[Fee Excl. GST]],"")</f>
        <v>750</v>
      </c>
    </row>
    <row r="415" spans="1:29" x14ac:dyDescent="0.2">
      <c r="A415" s="67" t="s">
        <v>2173</v>
      </c>
      <c r="B415" s="31">
        <f>IF(MasterFees[[#This Row],[RVG Code]]="","",_xlfn.XLOOKUP(MasterFees[[#This Row],[RVG Code]],RVGCodes[Code],RVGCodes[Base Units],"Code not found"))</f>
        <v>4</v>
      </c>
      <c r="C41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1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15" s="125" t="s">
        <v>2570</v>
      </c>
      <c r="F415" s="48" t="s">
        <v>2567</v>
      </c>
      <c r="G415" s="30" t="s">
        <v>4564</v>
      </c>
      <c r="H415" s="37" t="s">
        <v>4625</v>
      </c>
      <c r="I415" s="37" t="s">
        <v>4563</v>
      </c>
      <c r="J415" s="37" t="s">
        <v>1024</v>
      </c>
      <c r="K415" s="32"/>
      <c r="L415" s="32"/>
      <c r="M415" s="32"/>
      <c r="N415" s="32"/>
      <c r="O415" s="33">
        <v>800</v>
      </c>
      <c r="P415" s="38" t="s">
        <v>4398</v>
      </c>
      <c r="Q415" s="34">
        <f>IF(MasterFees[[#This Row],[GST Basis]]="Excl",MasterFees[[#This Row],[Fee as Printed]],IF(MasterFees[[#This Row],[GST Basis]]="Incl",MasterFees[[#This Row],[Fee as Printed]]/(1+GST_Rate),""))</f>
        <v>800</v>
      </c>
      <c r="R415" s="34">
        <f>IF(MasterFees[[#This Row],[GST Basis]]="Incl",MasterFees[[#This Row],[Fee as Printed]],IF(MasterFees[[#This Row],[GST Basis]]="Excl",MasterFees[[#This Row],[Fee as Printed]]*(1+GST_Rate),""))</f>
        <v>919.99999999999989</v>
      </c>
      <c r="S415" s="35" t="str">
        <f>IF(N(MasterFees[[#This Row],[Total Units]])=0,"",MasterFees[[#This Row],[Fee as Printed]]/MasterFees[[#This Row],[Total Units]])</f>
        <v/>
      </c>
      <c r="T415" s="36"/>
      <c r="U415" s="39" t="s">
        <v>4587</v>
      </c>
      <c r="V415" s="39" t="s">
        <v>4682</v>
      </c>
      <c r="W415" s="30" t="s">
        <v>4683</v>
      </c>
      <c r="X415" s="77" t="s">
        <v>4839</v>
      </c>
      <c r="Y415" s="127" t="str">
        <f>_xlfn.XLOOKUP(MasterFees[[#This Row],[Provider / Payer]],Contracts[Contract Name],Contracts[Contract ID],"No contract")</f>
        <v>CON-06</v>
      </c>
      <c r="Z415" s="127" t="str">
        <f>_xlfn.XLOOKUP(MasterFees[[#This Row],[Provider / Payer]],Contracts[Contract Name],Contracts[Pricing Basis],"To confirm")</f>
        <v>Fixed fee schedule</v>
      </c>
      <c r="AA415" s="127" t="str">
        <f>IF(MasterFees[[#This Row],[Pricing Basis]]="Fixed fee schedule","Yes","No")</f>
        <v>Yes</v>
      </c>
      <c r="AB415" s="127" t="str">
        <f>IF(OR(MasterFees[[#This Row],[Fee Basis]]="Add-on",MasterFees[[#This Row],[Fee Basis]]="Time band",MasterFees[[#This Row],[Fee Basis]]="Other"),MasterFees[[#This Row],[Fee Basis]],"Base")</f>
        <v>Base</v>
      </c>
      <c r="AC415" s="141">
        <f>IF(MasterFees[[#This Row],[Fixed Fee?]]="Yes",MasterFees[[#This Row],[Fee Excl. GST]],"")</f>
        <v>800</v>
      </c>
    </row>
    <row r="416" spans="1:29" x14ac:dyDescent="0.2">
      <c r="A416" s="67" t="s">
        <v>2173</v>
      </c>
      <c r="B416" s="31">
        <f>IF(MasterFees[[#This Row],[RVG Code]]="","",_xlfn.XLOOKUP(MasterFees[[#This Row],[RVG Code]],RVGCodes[Code],RVGCodes[Base Units],"Code not found"))</f>
        <v>4</v>
      </c>
      <c r="C41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1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16" s="125" t="s">
        <v>2570</v>
      </c>
      <c r="F416" s="48" t="s">
        <v>2567</v>
      </c>
      <c r="G416" s="30" t="s">
        <v>4566</v>
      </c>
      <c r="H416" s="37" t="s">
        <v>4622</v>
      </c>
      <c r="I416" s="37" t="s">
        <v>4565</v>
      </c>
      <c r="J416" s="37" t="s">
        <v>1024</v>
      </c>
      <c r="K416" s="32"/>
      <c r="L416" s="32"/>
      <c r="M416" s="32"/>
      <c r="N416" s="32"/>
      <c r="O416" s="33">
        <v>850</v>
      </c>
      <c r="P416" s="38" t="s">
        <v>4398</v>
      </c>
      <c r="Q416" s="34">
        <f>IF(MasterFees[[#This Row],[GST Basis]]="Excl",MasterFees[[#This Row],[Fee as Printed]],IF(MasterFees[[#This Row],[GST Basis]]="Incl",MasterFees[[#This Row],[Fee as Printed]]/(1+GST_Rate),""))</f>
        <v>850</v>
      </c>
      <c r="R416" s="34">
        <f>IF(MasterFees[[#This Row],[GST Basis]]="Incl",MasterFees[[#This Row],[Fee as Printed]],IF(MasterFees[[#This Row],[GST Basis]]="Excl",MasterFees[[#This Row],[Fee as Printed]]*(1+GST_Rate),""))</f>
        <v>977.49999999999989</v>
      </c>
      <c r="S416" s="35" t="str">
        <f>IF(N(MasterFees[[#This Row],[Total Units]])=0,"",MasterFees[[#This Row],[Fee as Printed]]/MasterFees[[#This Row],[Total Units]])</f>
        <v/>
      </c>
      <c r="T416" s="36"/>
      <c r="U416" s="39" t="s">
        <v>4587</v>
      </c>
      <c r="V416" s="39" t="s">
        <v>4684</v>
      </c>
      <c r="W416" s="30" t="s">
        <v>4685</v>
      </c>
      <c r="X416" s="77" t="s">
        <v>4840</v>
      </c>
      <c r="Y416" s="127" t="str">
        <f>_xlfn.XLOOKUP(MasterFees[[#This Row],[Provider / Payer]],Contracts[Contract Name],Contracts[Contract ID],"No contract")</f>
        <v>CON-05</v>
      </c>
      <c r="Z416" s="127" t="str">
        <f>_xlfn.XLOOKUP(MasterFees[[#This Row],[Provider / Payer]],Contracts[Contract Name],Contracts[Pricing Basis],"To confirm")</f>
        <v>Fixed fee schedule</v>
      </c>
      <c r="AA416" s="127" t="str">
        <f>IF(MasterFees[[#This Row],[Pricing Basis]]="Fixed fee schedule","Yes","No")</f>
        <v>Yes</v>
      </c>
      <c r="AB416" s="127" t="str">
        <f>IF(OR(MasterFees[[#This Row],[Fee Basis]]="Add-on",MasterFees[[#This Row],[Fee Basis]]="Time band",MasterFees[[#This Row],[Fee Basis]]="Other"),MasterFees[[#This Row],[Fee Basis]],"Base")</f>
        <v>Base</v>
      </c>
      <c r="AC416" s="141">
        <f>IF(MasterFees[[#This Row],[Fixed Fee?]]="Yes",MasterFees[[#This Row],[Fee Excl. GST]],"")</f>
        <v>850</v>
      </c>
    </row>
    <row r="417" spans="1:29" x14ac:dyDescent="0.2">
      <c r="A417" s="67" t="s">
        <v>2173</v>
      </c>
      <c r="B417" s="31">
        <f>IF(MasterFees[[#This Row],[RVG Code]]="","",_xlfn.XLOOKUP(MasterFees[[#This Row],[RVG Code]],RVGCodes[Code],RVGCodes[Base Units],"Code not found"))</f>
        <v>4</v>
      </c>
      <c r="C41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1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17" s="125" t="s">
        <v>2570</v>
      </c>
      <c r="F417" s="48" t="s">
        <v>2567</v>
      </c>
      <c r="G417" s="30" t="s">
        <v>4566</v>
      </c>
      <c r="H417" s="37" t="s">
        <v>4625</v>
      </c>
      <c r="I417" s="37" t="s">
        <v>4565</v>
      </c>
      <c r="J417" s="37" t="s">
        <v>1024</v>
      </c>
      <c r="K417" s="32"/>
      <c r="L417" s="32"/>
      <c r="M417" s="32"/>
      <c r="N417" s="32"/>
      <c r="O417" s="33">
        <v>900</v>
      </c>
      <c r="P417" s="38" t="s">
        <v>4398</v>
      </c>
      <c r="Q417" s="34">
        <f>IF(MasterFees[[#This Row],[GST Basis]]="Excl",MasterFees[[#This Row],[Fee as Printed]],IF(MasterFees[[#This Row],[GST Basis]]="Incl",MasterFees[[#This Row],[Fee as Printed]]/(1+GST_Rate),""))</f>
        <v>900</v>
      </c>
      <c r="R417" s="34">
        <f>IF(MasterFees[[#This Row],[GST Basis]]="Incl",MasterFees[[#This Row],[Fee as Printed]],IF(MasterFees[[#This Row],[GST Basis]]="Excl",MasterFees[[#This Row],[Fee as Printed]]*(1+GST_Rate),""))</f>
        <v>1035</v>
      </c>
      <c r="S417" s="35" t="str">
        <f>IF(N(MasterFees[[#This Row],[Total Units]])=0,"",MasterFees[[#This Row],[Fee as Printed]]/MasterFees[[#This Row],[Total Units]])</f>
        <v/>
      </c>
      <c r="T417" s="36"/>
      <c r="U417" s="39" t="s">
        <v>4587</v>
      </c>
      <c r="V417" s="39" t="s">
        <v>4686</v>
      </c>
      <c r="W417" s="30" t="s">
        <v>4687</v>
      </c>
      <c r="X417" s="77" t="s">
        <v>4840</v>
      </c>
      <c r="Y417" s="127" t="str">
        <f>_xlfn.XLOOKUP(MasterFees[[#This Row],[Provider / Payer]],Contracts[Contract Name],Contracts[Contract ID],"No contract")</f>
        <v>CON-06</v>
      </c>
      <c r="Z417" s="127" t="str">
        <f>_xlfn.XLOOKUP(MasterFees[[#This Row],[Provider / Payer]],Contracts[Contract Name],Contracts[Pricing Basis],"To confirm")</f>
        <v>Fixed fee schedule</v>
      </c>
      <c r="AA417" s="127" t="str">
        <f>IF(MasterFees[[#This Row],[Pricing Basis]]="Fixed fee schedule","Yes","No")</f>
        <v>Yes</v>
      </c>
      <c r="AB417" s="127" t="str">
        <f>IF(OR(MasterFees[[#This Row],[Fee Basis]]="Add-on",MasterFees[[#This Row],[Fee Basis]]="Time band",MasterFees[[#This Row],[Fee Basis]]="Other"),MasterFees[[#This Row],[Fee Basis]],"Base")</f>
        <v>Base</v>
      </c>
      <c r="AC417" s="141">
        <f>IF(MasterFees[[#This Row],[Fixed Fee?]]="Yes",MasterFees[[#This Row],[Fee Excl. GST]],"")</f>
        <v>900</v>
      </c>
    </row>
    <row r="418" spans="1:29" x14ac:dyDescent="0.2">
      <c r="A418" s="67" t="s">
        <v>2173</v>
      </c>
      <c r="B418" s="31">
        <f>IF(MasterFees[[#This Row],[RVG Code]]="","",_xlfn.XLOOKUP(MasterFees[[#This Row],[RVG Code]],RVGCodes[Code],RVGCodes[Base Units],"Code not found"))</f>
        <v>4</v>
      </c>
      <c r="C41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1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18" s="125" t="s">
        <v>2570</v>
      </c>
      <c r="F418" s="48" t="s">
        <v>2567</v>
      </c>
      <c r="G418" s="30" t="s">
        <v>4568</v>
      </c>
      <c r="H418" s="37" t="s">
        <v>4622</v>
      </c>
      <c r="I418" s="37" t="s">
        <v>4567</v>
      </c>
      <c r="J418" s="37" t="s">
        <v>1024</v>
      </c>
      <c r="K418" s="32"/>
      <c r="L418" s="32"/>
      <c r="M418" s="32"/>
      <c r="N418" s="32"/>
      <c r="O418" s="33">
        <v>900</v>
      </c>
      <c r="P418" s="38" t="s">
        <v>4398</v>
      </c>
      <c r="Q418" s="34">
        <f>IF(MasterFees[[#This Row],[GST Basis]]="Excl",MasterFees[[#This Row],[Fee as Printed]],IF(MasterFees[[#This Row],[GST Basis]]="Incl",MasterFees[[#This Row],[Fee as Printed]]/(1+GST_Rate),""))</f>
        <v>900</v>
      </c>
      <c r="R418" s="34">
        <f>IF(MasterFees[[#This Row],[GST Basis]]="Incl",MasterFees[[#This Row],[Fee as Printed]],IF(MasterFees[[#This Row],[GST Basis]]="Excl",MasterFees[[#This Row],[Fee as Printed]]*(1+GST_Rate),""))</f>
        <v>1035</v>
      </c>
      <c r="S418" s="35" t="str">
        <f>IF(N(MasterFees[[#This Row],[Total Units]])=0,"",MasterFees[[#This Row],[Fee as Printed]]/MasterFees[[#This Row],[Total Units]])</f>
        <v/>
      </c>
      <c r="T418" s="36"/>
      <c r="U418" s="39" t="s">
        <v>4587</v>
      </c>
      <c r="V418" s="39" t="s">
        <v>4688</v>
      </c>
      <c r="W418" s="30" t="s">
        <v>4689</v>
      </c>
      <c r="X418" s="77" t="s">
        <v>4841</v>
      </c>
      <c r="Y418" s="127" t="str">
        <f>_xlfn.XLOOKUP(MasterFees[[#This Row],[Provider / Payer]],Contracts[Contract Name],Contracts[Contract ID],"No contract")</f>
        <v>CON-05</v>
      </c>
      <c r="Z418" s="127" t="str">
        <f>_xlfn.XLOOKUP(MasterFees[[#This Row],[Provider / Payer]],Contracts[Contract Name],Contracts[Pricing Basis],"To confirm")</f>
        <v>Fixed fee schedule</v>
      </c>
      <c r="AA418" s="127" t="str">
        <f>IF(MasterFees[[#This Row],[Pricing Basis]]="Fixed fee schedule","Yes","No")</f>
        <v>Yes</v>
      </c>
      <c r="AB418" s="127" t="str">
        <f>IF(OR(MasterFees[[#This Row],[Fee Basis]]="Add-on",MasterFees[[#This Row],[Fee Basis]]="Time band",MasterFees[[#This Row],[Fee Basis]]="Other"),MasterFees[[#This Row],[Fee Basis]],"Base")</f>
        <v>Base</v>
      </c>
      <c r="AC418" s="141">
        <f>IF(MasterFees[[#This Row],[Fixed Fee?]]="Yes",MasterFees[[#This Row],[Fee Excl. GST]],"")</f>
        <v>900</v>
      </c>
    </row>
    <row r="419" spans="1:29" x14ac:dyDescent="0.2">
      <c r="A419" s="67" t="s">
        <v>2173</v>
      </c>
      <c r="B419" s="31">
        <f>IF(MasterFees[[#This Row],[RVG Code]]="","",_xlfn.XLOOKUP(MasterFees[[#This Row],[RVG Code]],RVGCodes[Code],RVGCodes[Base Units],"Code not found"))</f>
        <v>4</v>
      </c>
      <c r="C41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1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19" s="125" t="s">
        <v>2570</v>
      </c>
      <c r="F419" s="48" t="s">
        <v>2567</v>
      </c>
      <c r="G419" s="30" t="s">
        <v>4568</v>
      </c>
      <c r="H419" s="37" t="s">
        <v>4625</v>
      </c>
      <c r="I419" s="37" t="s">
        <v>4567</v>
      </c>
      <c r="J419" s="37" t="s">
        <v>1024</v>
      </c>
      <c r="K419" s="32"/>
      <c r="L419" s="32"/>
      <c r="M419" s="32"/>
      <c r="N419" s="32"/>
      <c r="O419" s="33">
        <v>950</v>
      </c>
      <c r="P419" s="38" t="s">
        <v>4398</v>
      </c>
      <c r="Q419" s="34">
        <f>IF(MasterFees[[#This Row],[GST Basis]]="Excl",MasterFees[[#This Row],[Fee as Printed]],IF(MasterFees[[#This Row],[GST Basis]]="Incl",MasterFees[[#This Row],[Fee as Printed]]/(1+GST_Rate),""))</f>
        <v>950</v>
      </c>
      <c r="R419" s="34">
        <f>IF(MasterFees[[#This Row],[GST Basis]]="Incl",MasterFees[[#This Row],[Fee as Printed]],IF(MasterFees[[#This Row],[GST Basis]]="Excl",MasterFees[[#This Row],[Fee as Printed]]*(1+GST_Rate),""))</f>
        <v>1092.5</v>
      </c>
      <c r="S419" s="35" t="str">
        <f>IF(N(MasterFees[[#This Row],[Total Units]])=0,"",MasterFees[[#This Row],[Fee as Printed]]/MasterFees[[#This Row],[Total Units]])</f>
        <v/>
      </c>
      <c r="T419" s="36"/>
      <c r="U419" s="39" t="s">
        <v>4587</v>
      </c>
      <c r="V419" s="39" t="s">
        <v>4690</v>
      </c>
      <c r="W419" s="30" t="s">
        <v>4691</v>
      </c>
      <c r="X419" s="77" t="s">
        <v>4841</v>
      </c>
      <c r="Y419" s="127" t="str">
        <f>_xlfn.XLOOKUP(MasterFees[[#This Row],[Provider / Payer]],Contracts[Contract Name],Contracts[Contract ID],"No contract")</f>
        <v>CON-06</v>
      </c>
      <c r="Z419" s="127" t="str">
        <f>_xlfn.XLOOKUP(MasterFees[[#This Row],[Provider / Payer]],Contracts[Contract Name],Contracts[Pricing Basis],"To confirm")</f>
        <v>Fixed fee schedule</v>
      </c>
      <c r="AA419" s="127" t="str">
        <f>IF(MasterFees[[#This Row],[Pricing Basis]]="Fixed fee schedule","Yes","No")</f>
        <v>Yes</v>
      </c>
      <c r="AB419" s="127" t="str">
        <f>IF(OR(MasterFees[[#This Row],[Fee Basis]]="Add-on",MasterFees[[#This Row],[Fee Basis]]="Time band",MasterFees[[#This Row],[Fee Basis]]="Other"),MasterFees[[#This Row],[Fee Basis]],"Base")</f>
        <v>Base</v>
      </c>
      <c r="AC419" s="141">
        <f>IF(MasterFees[[#This Row],[Fixed Fee?]]="Yes",MasterFees[[#This Row],[Fee Excl. GST]],"")</f>
        <v>950</v>
      </c>
    </row>
    <row r="420" spans="1:29" x14ac:dyDescent="0.2">
      <c r="A420" s="67" t="s">
        <v>2173</v>
      </c>
      <c r="B420" s="31">
        <f>IF(MasterFees[[#This Row],[RVG Code]]="","",_xlfn.XLOOKUP(MasterFees[[#This Row],[RVG Code]],RVGCodes[Code],RVGCodes[Base Units],"Code not found"))</f>
        <v>4</v>
      </c>
      <c r="C42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2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20" s="125" t="s">
        <v>2570</v>
      </c>
      <c r="F420" s="48" t="s">
        <v>2567</v>
      </c>
      <c r="G420" s="30" t="s">
        <v>4570</v>
      </c>
      <c r="H420" s="37" t="s">
        <v>4622</v>
      </c>
      <c r="I420" s="37" t="s">
        <v>4569</v>
      </c>
      <c r="J420" s="37" t="s">
        <v>1024</v>
      </c>
      <c r="K420" s="32"/>
      <c r="L420" s="32"/>
      <c r="M420" s="32"/>
      <c r="N420" s="32"/>
      <c r="O420" s="33">
        <v>950</v>
      </c>
      <c r="P420" s="38" t="s">
        <v>4398</v>
      </c>
      <c r="Q420" s="34">
        <f>IF(MasterFees[[#This Row],[GST Basis]]="Excl",MasterFees[[#This Row],[Fee as Printed]],IF(MasterFees[[#This Row],[GST Basis]]="Incl",MasterFees[[#This Row],[Fee as Printed]]/(1+GST_Rate),""))</f>
        <v>950</v>
      </c>
      <c r="R420" s="34">
        <f>IF(MasterFees[[#This Row],[GST Basis]]="Incl",MasterFees[[#This Row],[Fee as Printed]],IF(MasterFees[[#This Row],[GST Basis]]="Excl",MasterFees[[#This Row],[Fee as Printed]]*(1+GST_Rate),""))</f>
        <v>1092.5</v>
      </c>
      <c r="S420" s="35" t="str">
        <f>IF(N(MasterFees[[#This Row],[Total Units]])=0,"",MasterFees[[#This Row],[Fee as Printed]]/MasterFees[[#This Row],[Total Units]])</f>
        <v/>
      </c>
      <c r="T420" s="36"/>
      <c r="U420" s="39" t="s">
        <v>4587</v>
      </c>
      <c r="V420" s="39" t="s">
        <v>4692</v>
      </c>
      <c r="W420" s="30" t="s">
        <v>4693</v>
      </c>
      <c r="X420" s="77" t="s">
        <v>4842</v>
      </c>
      <c r="Y420" s="127" t="str">
        <f>_xlfn.XLOOKUP(MasterFees[[#This Row],[Provider / Payer]],Contracts[Contract Name],Contracts[Contract ID],"No contract")</f>
        <v>CON-05</v>
      </c>
      <c r="Z420" s="127" t="str">
        <f>_xlfn.XLOOKUP(MasterFees[[#This Row],[Provider / Payer]],Contracts[Contract Name],Contracts[Pricing Basis],"To confirm")</f>
        <v>Fixed fee schedule</v>
      </c>
      <c r="AA420" s="127" t="str">
        <f>IF(MasterFees[[#This Row],[Pricing Basis]]="Fixed fee schedule","Yes","No")</f>
        <v>Yes</v>
      </c>
      <c r="AB420" s="127" t="str">
        <f>IF(OR(MasterFees[[#This Row],[Fee Basis]]="Add-on",MasterFees[[#This Row],[Fee Basis]]="Time band",MasterFees[[#This Row],[Fee Basis]]="Other"),MasterFees[[#This Row],[Fee Basis]],"Base")</f>
        <v>Base</v>
      </c>
      <c r="AC420" s="141">
        <f>IF(MasterFees[[#This Row],[Fixed Fee?]]="Yes",MasterFees[[#This Row],[Fee Excl. GST]],"")</f>
        <v>950</v>
      </c>
    </row>
    <row r="421" spans="1:29" x14ac:dyDescent="0.2">
      <c r="A421" s="67" t="s">
        <v>2173</v>
      </c>
      <c r="B421" s="31">
        <f>IF(MasterFees[[#This Row],[RVG Code]]="","",_xlfn.XLOOKUP(MasterFees[[#This Row],[RVG Code]],RVGCodes[Code],RVGCodes[Base Units],"Code not found"))</f>
        <v>4</v>
      </c>
      <c r="C42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2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21" s="125" t="s">
        <v>2570</v>
      </c>
      <c r="F421" s="48" t="s">
        <v>2567</v>
      </c>
      <c r="G421" s="30" t="s">
        <v>4570</v>
      </c>
      <c r="H421" s="37" t="s">
        <v>4625</v>
      </c>
      <c r="I421" s="37" t="s">
        <v>4569</v>
      </c>
      <c r="J421" s="37" t="s">
        <v>1024</v>
      </c>
      <c r="K421" s="32"/>
      <c r="L421" s="32"/>
      <c r="M421" s="32"/>
      <c r="N421" s="32"/>
      <c r="O421" s="33">
        <v>1000</v>
      </c>
      <c r="P421" s="38" t="s">
        <v>4398</v>
      </c>
      <c r="Q421" s="34">
        <f>IF(MasterFees[[#This Row],[GST Basis]]="Excl",MasterFees[[#This Row],[Fee as Printed]],IF(MasterFees[[#This Row],[GST Basis]]="Incl",MasterFees[[#This Row],[Fee as Printed]]/(1+GST_Rate),""))</f>
        <v>1000</v>
      </c>
      <c r="R421" s="34">
        <f>IF(MasterFees[[#This Row],[GST Basis]]="Incl",MasterFees[[#This Row],[Fee as Printed]],IF(MasterFees[[#This Row],[GST Basis]]="Excl",MasterFees[[#This Row],[Fee as Printed]]*(1+GST_Rate),""))</f>
        <v>1150</v>
      </c>
      <c r="S421" s="35" t="str">
        <f>IF(N(MasterFees[[#This Row],[Total Units]])=0,"",MasterFees[[#This Row],[Fee as Printed]]/MasterFees[[#This Row],[Total Units]])</f>
        <v/>
      </c>
      <c r="T421" s="36"/>
      <c r="U421" s="39" t="s">
        <v>4587</v>
      </c>
      <c r="V421" s="39" t="s">
        <v>4694</v>
      </c>
      <c r="W421" s="30" t="s">
        <v>4695</v>
      </c>
      <c r="X421" s="77" t="s">
        <v>4842</v>
      </c>
      <c r="Y421" s="127" t="str">
        <f>_xlfn.XLOOKUP(MasterFees[[#This Row],[Provider / Payer]],Contracts[Contract Name],Contracts[Contract ID],"No contract")</f>
        <v>CON-06</v>
      </c>
      <c r="Z421" s="127" t="str">
        <f>_xlfn.XLOOKUP(MasterFees[[#This Row],[Provider / Payer]],Contracts[Contract Name],Contracts[Pricing Basis],"To confirm")</f>
        <v>Fixed fee schedule</v>
      </c>
      <c r="AA421" s="127" t="str">
        <f>IF(MasterFees[[#This Row],[Pricing Basis]]="Fixed fee schedule","Yes","No")</f>
        <v>Yes</v>
      </c>
      <c r="AB421" s="127" t="str">
        <f>IF(OR(MasterFees[[#This Row],[Fee Basis]]="Add-on",MasterFees[[#This Row],[Fee Basis]]="Time band",MasterFees[[#This Row],[Fee Basis]]="Other"),MasterFees[[#This Row],[Fee Basis]],"Base")</f>
        <v>Base</v>
      </c>
      <c r="AC421" s="141">
        <f>IF(MasterFees[[#This Row],[Fixed Fee?]]="Yes",MasterFees[[#This Row],[Fee Excl. GST]],"")</f>
        <v>1000</v>
      </c>
    </row>
    <row r="422" spans="1:29" x14ac:dyDescent="0.2">
      <c r="A422" s="67" t="s">
        <v>2173</v>
      </c>
      <c r="B422" s="31">
        <f>IF(MasterFees[[#This Row],[RVG Code]]="","",_xlfn.XLOOKUP(MasterFees[[#This Row],[RVG Code]],RVGCodes[Code],RVGCodes[Base Units],"Code not found"))</f>
        <v>4</v>
      </c>
      <c r="C42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2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22" s="125" t="s">
        <v>2570</v>
      </c>
      <c r="F422" s="48" t="s">
        <v>2567</v>
      </c>
      <c r="G422" s="30" t="s">
        <v>894</v>
      </c>
      <c r="H422" s="37" t="s">
        <v>1095</v>
      </c>
      <c r="I422" s="37"/>
      <c r="J422" s="37" t="s">
        <v>1096</v>
      </c>
      <c r="K422" s="32">
        <v>4.7</v>
      </c>
      <c r="L422" s="32">
        <v>3.8</v>
      </c>
      <c r="M422" s="32">
        <v>0.3</v>
      </c>
      <c r="N422" s="32">
        <v>8.8000000000000007</v>
      </c>
      <c r="O422" s="33">
        <v>484.55</v>
      </c>
      <c r="P422" s="38" t="s">
        <v>1014</v>
      </c>
      <c r="Q422" s="34" t="str">
        <f>IF(MasterFees[[#This Row],[GST Basis]]="Excl",MasterFees[[#This Row],[Fee as Printed]],IF(MasterFees[[#This Row],[GST Basis]]="Incl",MasterFees[[#This Row],[Fee as Printed]]/(1+GST_Rate),""))</f>
        <v/>
      </c>
      <c r="R422" s="34" t="str">
        <f>IF(MasterFees[[#This Row],[GST Basis]]="Incl",MasterFees[[#This Row],[Fee as Printed]],IF(MasterFees[[#This Row],[GST Basis]]="Excl",MasterFees[[#This Row],[Fee as Printed]]*(1+GST_Rate),""))</f>
        <v/>
      </c>
      <c r="S422" s="35">
        <f>IF(N(MasterFees[[#This Row],[Total Units]])=0,"",MasterFees[[#This Row],[Fee as Printed]]/MasterFees[[#This Row],[Total Units]])</f>
        <v>55.0625</v>
      </c>
      <c r="T422" s="36"/>
      <c r="U422" s="39" t="s">
        <v>1012</v>
      </c>
      <c r="V422" s="39" t="s">
        <v>1997</v>
      </c>
      <c r="W422" s="30"/>
      <c r="X422" s="73" t="s">
        <v>3820</v>
      </c>
      <c r="Y422" s="127" t="str">
        <f>_xlfn.XLOOKUP(MasterFees[[#This Row],[Provider / Payer]],Contracts[Contract Name],Contracts[Contract ID],"No contract")</f>
        <v>CON-01</v>
      </c>
      <c r="Z422" s="127" t="str">
        <f>_xlfn.XLOOKUP(MasterFees[[#This Row],[Provider / Payer]],Contracts[Contract Name],Contracts[Pricing Basis],"To confirm")</f>
        <v>To confirm</v>
      </c>
      <c r="AA422" s="127" t="str">
        <f>IF(MasterFees[[#This Row],[Pricing Basis]]="Fixed fee schedule","Yes","No")</f>
        <v>No</v>
      </c>
      <c r="AB422" s="127" t="str">
        <f>IF(OR(MasterFees[[#This Row],[Fee Basis]]="Add-on",MasterFees[[#This Row],[Fee Basis]]="Time band",MasterFees[[#This Row],[Fee Basis]]="Other"),MasterFees[[#This Row],[Fee Basis]],"Base")</f>
        <v>Base</v>
      </c>
      <c r="AC422" s="141" t="str">
        <f>IF(MasterFees[[#This Row],[Fixed Fee?]]="Yes",MasterFees[[#This Row],[Fee Excl. GST]],"")</f>
        <v/>
      </c>
    </row>
    <row r="423" spans="1:29" x14ac:dyDescent="0.2">
      <c r="A423" s="67" t="s">
        <v>2173</v>
      </c>
      <c r="B423" s="31">
        <f>IF(MasterFees[[#This Row],[RVG Code]]="","",_xlfn.XLOOKUP(MasterFees[[#This Row],[RVG Code]],RVGCodes[Code],RVGCodes[Base Units],"Code not found"))</f>
        <v>4</v>
      </c>
      <c r="C42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2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23" s="125" t="s">
        <v>2570</v>
      </c>
      <c r="F423" s="48" t="s">
        <v>2567</v>
      </c>
      <c r="G423" s="30" t="s">
        <v>897</v>
      </c>
      <c r="H423" s="37" t="s">
        <v>1095</v>
      </c>
      <c r="I423" s="37"/>
      <c r="J423" s="37" t="s">
        <v>1096</v>
      </c>
      <c r="K423" s="32">
        <v>4.5</v>
      </c>
      <c r="L423" s="32">
        <v>4.8</v>
      </c>
      <c r="M423" s="32">
        <v>0.7</v>
      </c>
      <c r="N423" s="32">
        <v>10.1</v>
      </c>
      <c r="O423" s="33">
        <v>553.29999999999995</v>
      </c>
      <c r="P423" s="38" t="s">
        <v>1014</v>
      </c>
      <c r="Q423" s="34" t="str">
        <f>IF(MasterFees[[#This Row],[GST Basis]]="Excl",MasterFees[[#This Row],[Fee as Printed]],IF(MasterFees[[#This Row],[GST Basis]]="Incl",MasterFees[[#This Row],[Fee as Printed]]/(1+GST_Rate),""))</f>
        <v/>
      </c>
      <c r="R423" s="34" t="str">
        <f>IF(MasterFees[[#This Row],[GST Basis]]="Incl",MasterFees[[#This Row],[Fee as Printed]],IF(MasterFees[[#This Row],[GST Basis]]="Excl",MasterFees[[#This Row],[Fee as Printed]]*(1+GST_Rate),""))</f>
        <v/>
      </c>
      <c r="S423" s="35">
        <f>IF(N(MasterFees[[#This Row],[Total Units]])=0,"",MasterFees[[#This Row],[Fee as Printed]]/MasterFees[[#This Row],[Total Units]])</f>
        <v>54.78217821782178</v>
      </c>
      <c r="T423" s="36"/>
      <c r="U423" s="39" t="s">
        <v>1012</v>
      </c>
      <c r="V423" s="39" t="s">
        <v>2000</v>
      </c>
      <c r="W423" s="30"/>
      <c r="X423" s="73" t="s">
        <v>3823</v>
      </c>
      <c r="Y423" s="127" t="str">
        <f>_xlfn.XLOOKUP(MasterFees[[#This Row],[Provider / Payer]],Contracts[Contract Name],Contracts[Contract ID],"No contract")</f>
        <v>CON-01</v>
      </c>
      <c r="Z423" s="127" t="str">
        <f>_xlfn.XLOOKUP(MasterFees[[#This Row],[Provider / Payer]],Contracts[Contract Name],Contracts[Pricing Basis],"To confirm")</f>
        <v>To confirm</v>
      </c>
      <c r="AA423" s="127" t="str">
        <f>IF(MasterFees[[#This Row],[Pricing Basis]]="Fixed fee schedule","Yes","No")</f>
        <v>No</v>
      </c>
      <c r="AB423" s="127" t="str">
        <f>IF(OR(MasterFees[[#This Row],[Fee Basis]]="Add-on",MasterFees[[#This Row],[Fee Basis]]="Time band",MasterFees[[#This Row],[Fee Basis]]="Other"),MasterFees[[#This Row],[Fee Basis]],"Base")</f>
        <v>Base</v>
      </c>
      <c r="AC423" s="141" t="str">
        <f>IF(MasterFees[[#This Row],[Fixed Fee?]]="Yes",MasterFees[[#This Row],[Fee Excl. GST]],"")</f>
        <v/>
      </c>
    </row>
    <row r="424" spans="1:29" x14ac:dyDescent="0.2">
      <c r="A424" s="67" t="s">
        <v>2173</v>
      </c>
      <c r="B424" s="31">
        <f>IF(MasterFees[[#This Row],[RVG Code]]="","",_xlfn.XLOOKUP(MasterFees[[#This Row],[RVG Code]],RVGCodes[Code],RVGCodes[Base Units],"Code not found"))</f>
        <v>4</v>
      </c>
      <c r="C42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2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24" s="125" t="s">
        <v>2570</v>
      </c>
      <c r="F424" s="48" t="s">
        <v>2567</v>
      </c>
      <c r="G424" s="30" t="s">
        <v>906</v>
      </c>
      <c r="H424" s="37" t="s">
        <v>1095</v>
      </c>
      <c r="I424" s="37"/>
      <c r="J424" s="37" t="s">
        <v>1096</v>
      </c>
      <c r="K424" s="32">
        <v>5</v>
      </c>
      <c r="L424" s="32">
        <v>2</v>
      </c>
      <c r="M424" s="32">
        <v>0</v>
      </c>
      <c r="N424" s="32">
        <v>7</v>
      </c>
      <c r="O424" s="33">
        <v>385</v>
      </c>
      <c r="P424" s="38" t="s">
        <v>1014</v>
      </c>
      <c r="Q424" s="34" t="str">
        <f>IF(MasterFees[[#This Row],[GST Basis]]="Excl",MasterFees[[#This Row],[Fee as Printed]],IF(MasterFees[[#This Row],[GST Basis]]="Incl",MasterFees[[#This Row],[Fee as Printed]]/(1+GST_Rate),""))</f>
        <v/>
      </c>
      <c r="R424" s="34" t="str">
        <f>IF(MasterFees[[#This Row],[GST Basis]]="Incl",MasterFees[[#This Row],[Fee as Printed]],IF(MasterFees[[#This Row],[GST Basis]]="Excl",MasterFees[[#This Row],[Fee as Printed]]*(1+GST_Rate),""))</f>
        <v/>
      </c>
      <c r="S424" s="35">
        <f>IF(N(MasterFees[[#This Row],[Total Units]])=0,"",MasterFees[[#This Row],[Fee as Printed]]/MasterFees[[#This Row],[Total Units]])</f>
        <v>55</v>
      </c>
      <c r="T424" s="36"/>
      <c r="U424" s="39" t="s">
        <v>1012</v>
      </c>
      <c r="V424" s="39" t="s">
        <v>2009</v>
      </c>
      <c r="W424" s="30"/>
      <c r="X424" s="73" t="s">
        <v>3834</v>
      </c>
      <c r="Y424" s="127" t="str">
        <f>_xlfn.XLOOKUP(MasterFees[[#This Row],[Provider / Payer]],Contracts[Contract Name],Contracts[Contract ID],"No contract")</f>
        <v>CON-01</v>
      </c>
      <c r="Z424" s="127" t="str">
        <f>_xlfn.XLOOKUP(MasterFees[[#This Row],[Provider / Payer]],Contracts[Contract Name],Contracts[Pricing Basis],"To confirm")</f>
        <v>To confirm</v>
      </c>
      <c r="AA424" s="127" t="str">
        <f>IF(MasterFees[[#This Row],[Pricing Basis]]="Fixed fee schedule","Yes","No")</f>
        <v>No</v>
      </c>
      <c r="AB424" s="127" t="str">
        <f>IF(OR(MasterFees[[#This Row],[Fee Basis]]="Add-on",MasterFees[[#This Row],[Fee Basis]]="Time band",MasterFees[[#This Row],[Fee Basis]]="Other"),MasterFees[[#This Row],[Fee Basis]],"Base")</f>
        <v>Base</v>
      </c>
      <c r="AC424" s="141" t="str">
        <f>IF(MasterFees[[#This Row],[Fixed Fee?]]="Yes",MasterFees[[#This Row],[Fee Excl. GST]],"")</f>
        <v/>
      </c>
    </row>
    <row r="425" spans="1:29" x14ac:dyDescent="0.2">
      <c r="A425" s="67" t="s">
        <v>2173</v>
      </c>
      <c r="B425" s="31">
        <f>IF(MasterFees[[#This Row],[RVG Code]]="","",_xlfn.XLOOKUP(MasterFees[[#This Row],[RVG Code]],RVGCodes[Code],RVGCodes[Base Units],"Code not found"))</f>
        <v>4</v>
      </c>
      <c r="C42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2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25" s="125" t="s">
        <v>2570</v>
      </c>
      <c r="F425" s="48" t="s">
        <v>2569</v>
      </c>
      <c r="G425" s="30" t="s">
        <v>4574</v>
      </c>
      <c r="H425" s="37" t="s">
        <v>4622</v>
      </c>
      <c r="I425" s="37" t="s">
        <v>4573</v>
      </c>
      <c r="J425" s="37" t="s">
        <v>1024</v>
      </c>
      <c r="K425" s="32"/>
      <c r="L425" s="32"/>
      <c r="M425" s="32"/>
      <c r="N425" s="32"/>
      <c r="O425" s="33">
        <v>500</v>
      </c>
      <c r="P425" s="38" t="s">
        <v>4398</v>
      </c>
      <c r="Q425" s="34">
        <f>IF(MasterFees[[#This Row],[GST Basis]]="Excl",MasterFees[[#This Row],[Fee as Printed]],IF(MasterFees[[#This Row],[GST Basis]]="Incl",MasterFees[[#This Row],[Fee as Printed]]/(1+GST_Rate),""))</f>
        <v>500</v>
      </c>
      <c r="R425" s="34">
        <f>IF(MasterFees[[#This Row],[GST Basis]]="Incl",MasterFees[[#This Row],[Fee as Printed]],IF(MasterFees[[#This Row],[GST Basis]]="Excl",MasterFees[[#This Row],[Fee as Printed]]*(1+GST_Rate),""))</f>
        <v>575</v>
      </c>
      <c r="S425" s="35" t="str">
        <f>IF(N(MasterFees[[#This Row],[Total Units]])=0,"",MasterFees[[#This Row],[Fee as Printed]]/MasterFees[[#This Row],[Total Units]])</f>
        <v/>
      </c>
      <c r="T425" s="36"/>
      <c r="U425" s="39" t="s">
        <v>4587</v>
      </c>
      <c r="V425" s="39" t="s">
        <v>4678</v>
      </c>
      <c r="W425" s="30" t="s">
        <v>4675</v>
      </c>
      <c r="X425" s="77" t="s">
        <v>4846</v>
      </c>
      <c r="Y425" s="127" t="str">
        <f>_xlfn.XLOOKUP(MasterFees[[#This Row],[Provider / Payer]],Contracts[Contract Name],Contracts[Contract ID],"No contract")</f>
        <v>CON-05</v>
      </c>
      <c r="Z425" s="127" t="str">
        <f>_xlfn.XLOOKUP(MasterFees[[#This Row],[Provider / Payer]],Contracts[Contract Name],Contracts[Pricing Basis],"To confirm")</f>
        <v>Fixed fee schedule</v>
      </c>
      <c r="AA425" s="127" t="str">
        <f>IF(MasterFees[[#This Row],[Pricing Basis]]="Fixed fee schedule","Yes","No")</f>
        <v>Yes</v>
      </c>
      <c r="AB425" s="127" t="str">
        <f>IF(OR(MasterFees[[#This Row],[Fee Basis]]="Add-on",MasterFees[[#This Row],[Fee Basis]]="Time band",MasterFees[[#This Row],[Fee Basis]]="Other"),MasterFees[[#This Row],[Fee Basis]],"Base")</f>
        <v>Base</v>
      </c>
      <c r="AC425" s="141">
        <f>IF(MasterFees[[#This Row],[Fixed Fee?]]="Yes",MasterFees[[#This Row],[Fee Excl. GST]],"")</f>
        <v>500</v>
      </c>
    </row>
    <row r="426" spans="1:29" x14ac:dyDescent="0.2">
      <c r="A426" s="67" t="s">
        <v>2173</v>
      </c>
      <c r="B426" s="31">
        <f>IF(MasterFees[[#This Row],[RVG Code]]="","",_xlfn.XLOOKUP(MasterFees[[#This Row],[RVG Code]],RVGCodes[Code],RVGCodes[Base Units],"Code not found"))</f>
        <v>4</v>
      </c>
      <c r="C42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2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26" s="125" t="s">
        <v>2570</v>
      </c>
      <c r="F426" s="48" t="s">
        <v>2569</v>
      </c>
      <c r="G426" s="30" t="s">
        <v>4574</v>
      </c>
      <c r="H426" s="37" t="s">
        <v>4625</v>
      </c>
      <c r="I426" s="37" t="s">
        <v>4573</v>
      </c>
      <c r="J426" s="37" t="s">
        <v>1024</v>
      </c>
      <c r="K426" s="32"/>
      <c r="L426" s="32"/>
      <c r="M426" s="32"/>
      <c r="N426" s="32"/>
      <c r="O426" s="33">
        <v>500</v>
      </c>
      <c r="P426" s="38" t="s">
        <v>4398</v>
      </c>
      <c r="Q426" s="34">
        <f>IF(MasterFees[[#This Row],[GST Basis]]="Excl",MasterFees[[#This Row],[Fee as Printed]],IF(MasterFees[[#This Row],[GST Basis]]="Incl",MasterFees[[#This Row],[Fee as Printed]]/(1+GST_Rate),""))</f>
        <v>500</v>
      </c>
      <c r="R426" s="34">
        <f>IF(MasterFees[[#This Row],[GST Basis]]="Incl",MasterFees[[#This Row],[Fee as Printed]],IF(MasterFees[[#This Row],[GST Basis]]="Excl",MasterFees[[#This Row],[Fee as Printed]]*(1+GST_Rate),""))</f>
        <v>575</v>
      </c>
      <c r="S426" s="35" t="str">
        <f>IF(N(MasterFees[[#This Row],[Total Units]])=0,"",MasterFees[[#This Row],[Fee as Printed]]/MasterFees[[#This Row],[Total Units]])</f>
        <v/>
      </c>
      <c r="T426" s="36"/>
      <c r="U426" s="39" t="s">
        <v>4587</v>
      </c>
      <c r="V426" s="39" t="s">
        <v>4679</v>
      </c>
      <c r="W426" s="30" t="s">
        <v>4677</v>
      </c>
      <c r="X426" s="77" t="s">
        <v>4846</v>
      </c>
      <c r="Y426" s="127" t="str">
        <f>_xlfn.XLOOKUP(MasterFees[[#This Row],[Provider / Payer]],Contracts[Contract Name],Contracts[Contract ID],"No contract")</f>
        <v>CON-06</v>
      </c>
      <c r="Z426" s="127" t="str">
        <f>_xlfn.XLOOKUP(MasterFees[[#This Row],[Provider / Payer]],Contracts[Contract Name],Contracts[Pricing Basis],"To confirm")</f>
        <v>Fixed fee schedule</v>
      </c>
      <c r="AA426" s="127" t="str">
        <f>IF(MasterFees[[#This Row],[Pricing Basis]]="Fixed fee schedule","Yes","No")</f>
        <v>Yes</v>
      </c>
      <c r="AB426" s="127" t="str">
        <f>IF(OR(MasterFees[[#This Row],[Fee Basis]]="Add-on",MasterFees[[#This Row],[Fee Basis]]="Time band",MasterFees[[#This Row],[Fee Basis]]="Other"),MasterFees[[#This Row],[Fee Basis]],"Base")</f>
        <v>Base</v>
      </c>
      <c r="AC426" s="141">
        <f>IF(MasterFees[[#This Row],[Fixed Fee?]]="Yes",MasterFees[[#This Row],[Fee Excl. GST]],"")</f>
        <v>500</v>
      </c>
    </row>
    <row r="427" spans="1:29" x14ac:dyDescent="0.2">
      <c r="A427" s="67" t="s">
        <v>2173</v>
      </c>
      <c r="B427" s="31">
        <f>IF(MasterFees[[#This Row],[RVG Code]]="","",_xlfn.XLOOKUP(MasterFees[[#This Row],[RVG Code]],RVGCodes[Code],RVGCodes[Base Units],"Code not found"))</f>
        <v>4</v>
      </c>
      <c r="C42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2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27" s="125" t="s">
        <v>2570</v>
      </c>
      <c r="F427" s="48" t="s">
        <v>2569</v>
      </c>
      <c r="G427" s="30" t="s">
        <v>4572</v>
      </c>
      <c r="H427" s="37" t="s">
        <v>4622</v>
      </c>
      <c r="I427" s="37" t="s">
        <v>4571</v>
      </c>
      <c r="J427" s="37" t="s">
        <v>1024</v>
      </c>
      <c r="K427" s="32"/>
      <c r="L427" s="32"/>
      <c r="M427" s="32"/>
      <c r="N427" s="32"/>
      <c r="O427" s="33">
        <v>500</v>
      </c>
      <c r="P427" s="38" t="s">
        <v>4398</v>
      </c>
      <c r="Q427" s="34">
        <f>IF(MasterFees[[#This Row],[GST Basis]]="Excl",MasterFees[[#This Row],[Fee as Printed]],IF(MasterFees[[#This Row],[GST Basis]]="Incl",MasterFees[[#This Row],[Fee as Printed]]/(1+GST_Rate),""))</f>
        <v>500</v>
      </c>
      <c r="R427" s="34">
        <f>IF(MasterFees[[#This Row],[GST Basis]]="Incl",MasterFees[[#This Row],[Fee as Printed]],IF(MasterFees[[#This Row],[GST Basis]]="Excl",MasterFees[[#This Row],[Fee as Printed]]*(1+GST_Rate),""))</f>
        <v>575</v>
      </c>
      <c r="S427" s="35" t="str">
        <f>IF(N(MasterFees[[#This Row],[Total Units]])=0,"",MasterFees[[#This Row],[Fee as Printed]]/MasterFees[[#This Row],[Total Units]])</f>
        <v/>
      </c>
      <c r="T427" s="36"/>
      <c r="U427" s="39" t="s">
        <v>4587</v>
      </c>
      <c r="V427" s="39" t="s">
        <v>4674</v>
      </c>
      <c r="W427" s="30" t="s">
        <v>4675</v>
      </c>
      <c r="X427" s="77" t="s">
        <v>4845</v>
      </c>
      <c r="Y427" s="127" t="str">
        <f>_xlfn.XLOOKUP(MasterFees[[#This Row],[Provider / Payer]],Contracts[Contract Name],Contracts[Contract ID],"No contract")</f>
        <v>CON-05</v>
      </c>
      <c r="Z427" s="127" t="str">
        <f>_xlfn.XLOOKUP(MasterFees[[#This Row],[Provider / Payer]],Contracts[Contract Name],Contracts[Pricing Basis],"To confirm")</f>
        <v>Fixed fee schedule</v>
      </c>
      <c r="AA427" s="127" t="str">
        <f>IF(MasterFees[[#This Row],[Pricing Basis]]="Fixed fee schedule","Yes","No")</f>
        <v>Yes</v>
      </c>
      <c r="AB427" s="127" t="str">
        <f>IF(OR(MasterFees[[#This Row],[Fee Basis]]="Add-on",MasterFees[[#This Row],[Fee Basis]]="Time band",MasterFees[[#This Row],[Fee Basis]]="Other"),MasterFees[[#This Row],[Fee Basis]],"Base")</f>
        <v>Base</v>
      </c>
      <c r="AC427" s="141">
        <f>IF(MasterFees[[#This Row],[Fixed Fee?]]="Yes",MasterFees[[#This Row],[Fee Excl. GST]],"")</f>
        <v>500</v>
      </c>
    </row>
    <row r="428" spans="1:29" x14ac:dyDescent="0.2">
      <c r="A428" s="67" t="s">
        <v>2173</v>
      </c>
      <c r="B428" s="31">
        <f>IF(MasterFees[[#This Row],[RVG Code]]="","",_xlfn.XLOOKUP(MasterFees[[#This Row],[RVG Code]],RVGCodes[Code],RVGCodes[Base Units],"Code not found"))</f>
        <v>4</v>
      </c>
      <c r="C42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2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28" s="125" t="s">
        <v>2570</v>
      </c>
      <c r="F428" s="48" t="s">
        <v>2569</v>
      </c>
      <c r="G428" s="30" t="s">
        <v>4572</v>
      </c>
      <c r="H428" s="37" t="s">
        <v>4625</v>
      </c>
      <c r="I428" s="37" t="s">
        <v>4571</v>
      </c>
      <c r="J428" s="37" t="s">
        <v>1024</v>
      </c>
      <c r="K428" s="32"/>
      <c r="L428" s="32"/>
      <c r="M428" s="32"/>
      <c r="N428" s="32"/>
      <c r="O428" s="33">
        <v>500</v>
      </c>
      <c r="P428" s="38" t="s">
        <v>4398</v>
      </c>
      <c r="Q428" s="34">
        <f>IF(MasterFees[[#This Row],[GST Basis]]="Excl",MasterFees[[#This Row],[Fee as Printed]],IF(MasterFees[[#This Row],[GST Basis]]="Incl",MasterFees[[#This Row],[Fee as Printed]]/(1+GST_Rate),""))</f>
        <v>500</v>
      </c>
      <c r="R428" s="34">
        <f>IF(MasterFees[[#This Row],[GST Basis]]="Incl",MasterFees[[#This Row],[Fee as Printed]],IF(MasterFees[[#This Row],[GST Basis]]="Excl",MasterFees[[#This Row],[Fee as Printed]]*(1+GST_Rate),""))</f>
        <v>575</v>
      </c>
      <c r="S428" s="35" t="str">
        <f>IF(N(MasterFees[[#This Row],[Total Units]])=0,"",MasterFees[[#This Row],[Fee as Printed]]/MasterFees[[#This Row],[Total Units]])</f>
        <v/>
      </c>
      <c r="T428" s="36"/>
      <c r="U428" s="39" t="s">
        <v>4587</v>
      </c>
      <c r="V428" s="39" t="s">
        <v>4676</v>
      </c>
      <c r="W428" s="30" t="s">
        <v>4677</v>
      </c>
      <c r="X428" s="77" t="s">
        <v>4845</v>
      </c>
      <c r="Y428" s="127" t="str">
        <f>_xlfn.XLOOKUP(MasterFees[[#This Row],[Provider / Payer]],Contracts[Contract Name],Contracts[Contract ID],"No contract")</f>
        <v>CON-06</v>
      </c>
      <c r="Z428" s="127" t="str">
        <f>_xlfn.XLOOKUP(MasterFees[[#This Row],[Provider / Payer]],Contracts[Contract Name],Contracts[Pricing Basis],"To confirm")</f>
        <v>Fixed fee schedule</v>
      </c>
      <c r="AA428" s="127" t="str">
        <f>IF(MasterFees[[#This Row],[Pricing Basis]]="Fixed fee schedule","Yes","No")</f>
        <v>Yes</v>
      </c>
      <c r="AB428" s="127" t="str">
        <f>IF(OR(MasterFees[[#This Row],[Fee Basis]]="Add-on",MasterFees[[#This Row],[Fee Basis]]="Time band",MasterFees[[#This Row],[Fee Basis]]="Other"),MasterFees[[#This Row],[Fee Basis]],"Base")</f>
        <v>Base</v>
      </c>
      <c r="AC428" s="141">
        <f>IF(MasterFees[[#This Row],[Fixed Fee?]]="Yes",MasterFees[[#This Row],[Fee Excl. GST]],"")</f>
        <v>500</v>
      </c>
    </row>
    <row r="429" spans="1:29" x14ac:dyDescent="0.2">
      <c r="A429" s="67" t="s">
        <v>2173</v>
      </c>
      <c r="B429" s="31">
        <f>IF(MasterFees[[#This Row],[RVG Code]]="","",_xlfn.XLOOKUP(MasterFees[[#This Row],[RVG Code]],RVGCodes[Code],RVGCodes[Base Units],"Code not found"))</f>
        <v>4</v>
      </c>
      <c r="C42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2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29" s="125" t="s">
        <v>2570</v>
      </c>
      <c r="F429" s="48" t="s">
        <v>2567</v>
      </c>
      <c r="G429" s="30" t="s">
        <v>932</v>
      </c>
      <c r="H429" s="37" t="s">
        <v>1095</v>
      </c>
      <c r="I429" s="37"/>
      <c r="J429" s="37" t="s">
        <v>1096</v>
      </c>
      <c r="K429" s="32">
        <v>5</v>
      </c>
      <c r="L429" s="32">
        <v>5.6</v>
      </c>
      <c r="M429" s="32">
        <v>1.6</v>
      </c>
      <c r="N429" s="32">
        <v>12.1</v>
      </c>
      <c r="O429" s="33">
        <v>666.05</v>
      </c>
      <c r="P429" s="38" t="s">
        <v>1014</v>
      </c>
      <c r="Q429" s="34" t="str">
        <f>IF(MasterFees[[#This Row],[GST Basis]]="Excl",MasterFees[[#This Row],[Fee as Printed]],IF(MasterFees[[#This Row],[GST Basis]]="Incl",MasterFees[[#This Row],[Fee as Printed]]/(1+GST_Rate),""))</f>
        <v/>
      </c>
      <c r="R429" s="34" t="str">
        <f>IF(MasterFees[[#This Row],[GST Basis]]="Incl",MasterFees[[#This Row],[Fee as Printed]],IF(MasterFees[[#This Row],[GST Basis]]="Excl",MasterFees[[#This Row],[Fee as Printed]]*(1+GST_Rate),""))</f>
        <v/>
      </c>
      <c r="S429" s="35">
        <f>IF(N(MasterFees[[#This Row],[Total Units]])=0,"",MasterFees[[#This Row],[Fee as Printed]]/MasterFees[[#This Row],[Total Units]])</f>
        <v>55.045454545454547</v>
      </c>
      <c r="T429" s="36"/>
      <c r="U429" s="39" t="s">
        <v>1012</v>
      </c>
      <c r="V429" s="39" t="s">
        <v>2035</v>
      </c>
      <c r="W429" s="30"/>
      <c r="X429" s="73" t="s">
        <v>3867</v>
      </c>
      <c r="Y429" s="127" t="str">
        <f>_xlfn.XLOOKUP(MasterFees[[#This Row],[Provider / Payer]],Contracts[Contract Name],Contracts[Contract ID],"No contract")</f>
        <v>CON-01</v>
      </c>
      <c r="Z429" s="127" t="str">
        <f>_xlfn.XLOOKUP(MasterFees[[#This Row],[Provider / Payer]],Contracts[Contract Name],Contracts[Pricing Basis],"To confirm")</f>
        <v>To confirm</v>
      </c>
      <c r="AA429" s="127" t="str">
        <f>IF(MasterFees[[#This Row],[Pricing Basis]]="Fixed fee schedule","Yes","No")</f>
        <v>No</v>
      </c>
      <c r="AB429" s="127" t="str">
        <f>IF(OR(MasterFees[[#This Row],[Fee Basis]]="Add-on",MasterFees[[#This Row],[Fee Basis]]="Time band",MasterFees[[#This Row],[Fee Basis]]="Other"),MasterFees[[#This Row],[Fee Basis]],"Base")</f>
        <v>Base</v>
      </c>
      <c r="AC429" s="141" t="str">
        <f>IF(MasterFees[[#This Row],[Fixed Fee?]]="Yes",MasterFees[[#This Row],[Fee Excl. GST]],"")</f>
        <v/>
      </c>
    </row>
    <row r="430" spans="1:29" x14ac:dyDescent="0.2">
      <c r="A430" s="67" t="s">
        <v>2173</v>
      </c>
      <c r="B430" s="31">
        <f>IF(MasterFees[[#This Row],[RVG Code]]="","",_xlfn.XLOOKUP(MasterFees[[#This Row],[RVG Code]],RVGCodes[Code],RVGCodes[Base Units],"Code not found"))</f>
        <v>4</v>
      </c>
      <c r="C43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3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30" s="125" t="s">
        <v>2570</v>
      </c>
      <c r="F430" s="48" t="s">
        <v>2567</v>
      </c>
      <c r="G430" s="30" t="s">
        <v>4488</v>
      </c>
      <c r="H430" s="37" t="s">
        <v>4622</v>
      </c>
      <c r="I430" s="37" t="s">
        <v>4487</v>
      </c>
      <c r="J430" s="37" t="s">
        <v>1024</v>
      </c>
      <c r="K430" s="32"/>
      <c r="L430" s="32"/>
      <c r="M430" s="32"/>
      <c r="N430" s="32"/>
      <c r="O430" s="33">
        <v>900</v>
      </c>
      <c r="P430" s="38" t="s">
        <v>4398</v>
      </c>
      <c r="Q430" s="34">
        <f>IF(MasterFees[[#This Row],[GST Basis]]="Excl",MasterFees[[#This Row],[Fee as Printed]],IF(MasterFees[[#This Row],[GST Basis]]="Incl",MasterFees[[#This Row],[Fee as Printed]]/(1+GST_Rate),""))</f>
        <v>900</v>
      </c>
      <c r="R430" s="34">
        <f>IF(MasterFees[[#This Row],[GST Basis]]="Incl",MasterFees[[#This Row],[Fee as Printed]],IF(MasterFees[[#This Row],[GST Basis]]="Excl",MasterFees[[#This Row],[Fee as Printed]]*(1+GST_Rate),""))</f>
        <v>1035</v>
      </c>
      <c r="S430" s="35" t="str">
        <f>IF(N(MasterFees[[#This Row],[Total Units]])=0,"",MasterFees[[#This Row],[Fee as Printed]]/MasterFees[[#This Row],[Total Units]])</f>
        <v/>
      </c>
      <c r="T430" s="36"/>
      <c r="U430" s="39" t="s">
        <v>4587</v>
      </c>
      <c r="V430" s="39" t="s">
        <v>4662</v>
      </c>
      <c r="W430" s="30" t="s">
        <v>4663</v>
      </c>
      <c r="X430" s="77" t="s">
        <v>4847</v>
      </c>
      <c r="Y430" s="127" t="str">
        <f>_xlfn.XLOOKUP(MasterFees[[#This Row],[Provider / Payer]],Contracts[Contract Name],Contracts[Contract ID],"No contract")</f>
        <v>CON-05</v>
      </c>
      <c r="Z430" s="127" t="str">
        <f>_xlfn.XLOOKUP(MasterFees[[#This Row],[Provider / Payer]],Contracts[Contract Name],Contracts[Pricing Basis],"To confirm")</f>
        <v>Fixed fee schedule</v>
      </c>
      <c r="AA430" s="127" t="str">
        <f>IF(MasterFees[[#This Row],[Pricing Basis]]="Fixed fee schedule","Yes","No")</f>
        <v>Yes</v>
      </c>
      <c r="AB430" s="127" t="str">
        <f>IF(OR(MasterFees[[#This Row],[Fee Basis]]="Add-on",MasterFees[[#This Row],[Fee Basis]]="Time band",MasterFees[[#This Row],[Fee Basis]]="Other"),MasterFees[[#This Row],[Fee Basis]],"Base")</f>
        <v>Base</v>
      </c>
      <c r="AC430" s="141">
        <f>IF(MasterFees[[#This Row],[Fixed Fee?]]="Yes",MasterFees[[#This Row],[Fee Excl. GST]],"")</f>
        <v>900</v>
      </c>
    </row>
    <row r="431" spans="1:29" x14ac:dyDescent="0.2">
      <c r="A431" s="67" t="s">
        <v>2173</v>
      </c>
      <c r="B431" s="31">
        <f>IF(MasterFees[[#This Row],[RVG Code]]="","",_xlfn.XLOOKUP(MasterFees[[#This Row],[RVG Code]],RVGCodes[Code],RVGCodes[Base Units],"Code not found"))</f>
        <v>4</v>
      </c>
      <c r="C43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3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31" s="125" t="s">
        <v>2570</v>
      </c>
      <c r="F431" s="48" t="s">
        <v>2567</v>
      </c>
      <c r="G431" s="30" t="s">
        <v>4488</v>
      </c>
      <c r="H431" s="37" t="s">
        <v>4625</v>
      </c>
      <c r="I431" s="37" t="s">
        <v>4487</v>
      </c>
      <c r="J431" s="37" t="s">
        <v>1024</v>
      </c>
      <c r="K431" s="32"/>
      <c r="L431" s="32"/>
      <c r="M431" s="32"/>
      <c r="N431" s="32"/>
      <c r="O431" s="33">
        <v>900</v>
      </c>
      <c r="P431" s="38" t="s">
        <v>4398</v>
      </c>
      <c r="Q431" s="34">
        <f>IF(MasterFees[[#This Row],[GST Basis]]="Excl",MasterFees[[#This Row],[Fee as Printed]],IF(MasterFees[[#This Row],[GST Basis]]="Incl",MasterFees[[#This Row],[Fee as Printed]]/(1+GST_Rate),""))</f>
        <v>900</v>
      </c>
      <c r="R431" s="34">
        <f>IF(MasterFees[[#This Row],[GST Basis]]="Incl",MasterFees[[#This Row],[Fee as Printed]],IF(MasterFees[[#This Row],[GST Basis]]="Excl",MasterFees[[#This Row],[Fee as Printed]]*(1+GST_Rate),""))</f>
        <v>1035</v>
      </c>
      <c r="S431" s="35" t="str">
        <f>IF(N(MasterFees[[#This Row],[Total Units]])=0,"",MasterFees[[#This Row],[Fee as Printed]]/MasterFees[[#This Row],[Total Units]])</f>
        <v/>
      </c>
      <c r="T431" s="36"/>
      <c r="U431" s="39" t="s">
        <v>4587</v>
      </c>
      <c r="V431" s="39" t="s">
        <v>4664</v>
      </c>
      <c r="W431" s="30" t="s">
        <v>4665</v>
      </c>
      <c r="X431" s="77" t="s">
        <v>4847</v>
      </c>
      <c r="Y431" s="127" t="str">
        <f>_xlfn.XLOOKUP(MasterFees[[#This Row],[Provider / Payer]],Contracts[Contract Name],Contracts[Contract ID],"No contract")</f>
        <v>CON-06</v>
      </c>
      <c r="Z431" s="127" t="str">
        <f>_xlfn.XLOOKUP(MasterFees[[#This Row],[Provider / Payer]],Contracts[Contract Name],Contracts[Pricing Basis],"To confirm")</f>
        <v>Fixed fee schedule</v>
      </c>
      <c r="AA431" s="127" t="str">
        <f>IF(MasterFees[[#This Row],[Pricing Basis]]="Fixed fee schedule","Yes","No")</f>
        <v>Yes</v>
      </c>
      <c r="AB431" s="127" t="str">
        <f>IF(OR(MasterFees[[#This Row],[Fee Basis]]="Add-on",MasterFees[[#This Row],[Fee Basis]]="Time band",MasterFees[[#This Row],[Fee Basis]]="Other"),MasterFees[[#This Row],[Fee Basis]],"Base")</f>
        <v>Base</v>
      </c>
      <c r="AC431" s="141">
        <f>IF(MasterFees[[#This Row],[Fixed Fee?]]="Yes",MasterFees[[#This Row],[Fee Excl. GST]],"")</f>
        <v>900</v>
      </c>
    </row>
    <row r="432" spans="1:29" x14ac:dyDescent="0.2">
      <c r="A432" s="67" t="s">
        <v>2173</v>
      </c>
      <c r="B432" s="31">
        <f>IF(MasterFees[[#This Row],[RVG Code]]="","",_xlfn.XLOOKUP(MasterFees[[#This Row],[RVG Code]],RVGCodes[Code],RVGCodes[Base Units],"Code not found"))</f>
        <v>4</v>
      </c>
      <c r="C43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3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32" s="125" t="s">
        <v>2570</v>
      </c>
      <c r="F432" s="48" t="s">
        <v>2567</v>
      </c>
      <c r="G432" s="30" t="s">
        <v>4378</v>
      </c>
      <c r="H432" s="37" t="s">
        <v>4397</v>
      </c>
      <c r="I432" s="37"/>
      <c r="J432" s="37" t="s">
        <v>2744</v>
      </c>
      <c r="K432" s="32"/>
      <c r="L432" s="32"/>
      <c r="M432" s="32"/>
      <c r="N432" s="32"/>
      <c r="O432" s="33">
        <v>739.13</v>
      </c>
      <c r="P432" s="38" t="s">
        <v>4398</v>
      </c>
      <c r="Q432" s="34">
        <f>IF(MasterFees[[#This Row],[GST Basis]]="Excl",MasterFees[[#This Row],[Fee as Printed]],IF(MasterFees[[#This Row],[GST Basis]]="Incl",MasterFees[[#This Row],[Fee as Printed]]/(1+GST_Rate),""))</f>
        <v>739.13</v>
      </c>
      <c r="R432" s="34">
        <f>IF(MasterFees[[#This Row],[GST Basis]]="Incl",MasterFees[[#This Row],[Fee as Printed]],IF(MasterFees[[#This Row],[GST Basis]]="Excl",MasterFees[[#This Row],[Fee as Printed]]*(1+GST_Rate),""))</f>
        <v>849.9994999999999</v>
      </c>
      <c r="S432" s="35" t="str">
        <f>IF(N(MasterFees[[#This Row],[Total Units]])=0,"",MasterFees[[#This Row],[Fee as Printed]]/MasterFees[[#This Row],[Total Units]])</f>
        <v/>
      </c>
      <c r="T432" s="36">
        <v>46113</v>
      </c>
      <c r="U432" s="39" t="s">
        <v>1021</v>
      </c>
      <c r="V432" s="39" t="s">
        <v>4399</v>
      </c>
      <c r="W432" s="30" t="s">
        <v>4400</v>
      </c>
      <c r="X432" s="77" t="s">
        <v>4401</v>
      </c>
      <c r="Y432" s="127" t="str">
        <f>_xlfn.XLOOKUP(MasterFees[[#This Row],[Provider / Payer]],Contracts[Contract Name],Contracts[Contract ID],"No contract")</f>
        <v>CON-03</v>
      </c>
      <c r="Z432" s="127" t="str">
        <f>_xlfn.XLOOKUP(MasterFees[[#This Row],[Provider / Payer]],Contracts[Contract Name],Contracts[Pricing Basis],"To confirm")</f>
        <v>Fixed fee schedule</v>
      </c>
      <c r="AA432" s="127" t="str">
        <f>IF(MasterFees[[#This Row],[Pricing Basis]]="Fixed fee schedule","Yes","No")</f>
        <v>Yes</v>
      </c>
      <c r="AB432" s="127" t="str">
        <f>IF(OR(MasterFees[[#This Row],[Fee Basis]]="Add-on",MasterFees[[#This Row],[Fee Basis]]="Time band",MasterFees[[#This Row],[Fee Basis]]="Other"),MasterFees[[#This Row],[Fee Basis]],"Base")</f>
        <v>Time band</v>
      </c>
      <c r="AC432" s="141">
        <f>IF(MasterFees[[#This Row],[Fixed Fee?]]="Yes",MasterFees[[#This Row],[Fee Excl. GST]],"")</f>
        <v>739.13</v>
      </c>
    </row>
    <row r="433" spans="1:29" x14ac:dyDescent="0.2">
      <c r="A433" s="67" t="s">
        <v>2173</v>
      </c>
      <c r="B433" s="31">
        <f>IF(MasterFees[[#This Row],[RVG Code]]="","",_xlfn.XLOOKUP(MasterFees[[#This Row],[RVG Code]],RVGCodes[Code],RVGCodes[Base Units],"Code not found"))</f>
        <v>4</v>
      </c>
      <c r="C43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3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33" s="125" t="s">
        <v>2570</v>
      </c>
      <c r="F433" s="48" t="s">
        <v>2567</v>
      </c>
      <c r="G433" s="30" t="s">
        <v>966</v>
      </c>
      <c r="H433" s="37" t="s">
        <v>1095</v>
      </c>
      <c r="I433" s="37"/>
      <c r="J433" s="37" t="s">
        <v>1096</v>
      </c>
      <c r="K433" s="32">
        <v>3.9</v>
      </c>
      <c r="L433" s="32">
        <v>4</v>
      </c>
      <c r="M433" s="32">
        <v>0.8</v>
      </c>
      <c r="N433" s="32">
        <v>8.6999999999999993</v>
      </c>
      <c r="O433" s="33">
        <v>477.95</v>
      </c>
      <c r="P433" s="38" t="s">
        <v>1014</v>
      </c>
      <c r="Q433" s="34" t="str">
        <f>IF(MasterFees[[#This Row],[GST Basis]]="Excl",MasterFees[[#This Row],[Fee as Printed]],IF(MasterFees[[#This Row],[GST Basis]]="Incl",MasterFees[[#This Row],[Fee as Printed]]/(1+GST_Rate),""))</f>
        <v/>
      </c>
      <c r="R433" s="34" t="str">
        <f>IF(MasterFees[[#This Row],[GST Basis]]="Incl",MasterFees[[#This Row],[Fee as Printed]],IF(MasterFees[[#This Row],[GST Basis]]="Excl",MasterFees[[#This Row],[Fee as Printed]]*(1+GST_Rate),""))</f>
        <v/>
      </c>
      <c r="S433" s="35">
        <f>IF(N(MasterFees[[#This Row],[Total Units]])=0,"",MasterFees[[#This Row],[Fee as Printed]]/MasterFees[[#This Row],[Total Units]])</f>
        <v>54.936781609195407</v>
      </c>
      <c r="T433" s="36"/>
      <c r="U433" s="39" t="s">
        <v>1012</v>
      </c>
      <c r="V433" s="39" t="s">
        <v>2069</v>
      </c>
      <c r="W433" s="30"/>
      <c r="X433" s="73" t="s">
        <v>3912</v>
      </c>
      <c r="Y433" s="127" t="str">
        <f>_xlfn.XLOOKUP(MasterFees[[#This Row],[Provider / Payer]],Contracts[Contract Name],Contracts[Contract ID],"No contract")</f>
        <v>CON-01</v>
      </c>
      <c r="Z433" s="127" t="str">
        <f>_xlfn.XLOOKUP(MasterFees[[#This Row],[Provider / Payer]],Contracts[Contract Name],Contracts[Pricing Basis],"To confirm")</f>
        <v>To confirm</v>
      </c>
      <c r="AA433" s="127" t="str">
        <f>IF(MasterFees[[#This Row],[Pricing Basis]]="Fixed fee schedule","Yes","No")</f>
        <v>No</v>
      </c>
      <c r="AB433" s="127" t="str">
        <f>IF(OR(MasterFees[[#This Row],[Fee Basis]]="Add-on",MasterFees[[#This Row],[Fee Basis]]="Time band",MasterFees[[#This Row],[Fee Basis]]="Other"),MasterFees[[#This Row],[Fee Basis]],"Base")</f>
        <v>Base</v>
      </c>
      <c r="AC433" s="141" t="str">
        <f>IF(MasterFees[[#This Row],[Fixed Fee?]]="Yes",MasterFees[[#This Row],[Fee Excl. GST]],"")</f>
        <v/>
      </c>
    </row>
    <row r="434" spans="1:29" x14ac:dyDescent="0.2">
      <c r="A434" s="67" t="s">
        <v>2173</v>
      </c>
      <c r="B434" s="31">
        <f>IF(MasterFees[[#This Row],[RVG Code]]="","",_xlfn.XLOOKUP(MasterFees[[#This Row],[RVG Code]],RVGCodes[Code],RVGCodes[Base Units],"Code not found"))</f>
        <v>4</v>
      </c>
      <c r="C43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3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34" s="125" t="s">
        <v>2570</v>
      </c>
      <c r="F434" s="48" t="s">
        <v>2567</v>
      </c>
      <c r="G434" s="30" t="s">
        <v>967</v>
      </c>
      <c r="H434" s="37" t="s">
        <v>1095</v>
      </c>
      <c r="I434" s="37"/>
      <c r="J434" s="37" t="s">
        <v>1096</v>
      </c>
      <c r="K434" s="32">
        <v>3.6</v>
      </c>
      <c r="L434" s="32">
        <v>3.7</v>
      </c>
      <c r="M434" s="32">
        <v>0.5</v>
      </c>
      <c r="N434" s="32">
        <v>7.8</v>
      </c>
      <c r="O434" s="33">
        <v>427.35</v>
      </c>
      <c r="P434" s="38" t="s">
        <v>1014</v>
      </c>
      <c r="Q434" s="34" t="str">
        <f>IF(MasterFees[[#This Row],[GST Basis]]="Excl",MasterFees[[#This Row],[Fee as Printed]],IF(MasterFees[[#This Row],[GST Basis]]="Incl",MasterFees[[#This Row],[Fee as Printed]]/(1+GST_Rate),""))</f>
        <v/>
      </c>
      <c r="R434" s="34" t="str">
        <f>IF(MasterFees[[#This Row],[GST Basis]]="Incl",MasterFees[[#This Row],[Fee as Printed]],IF(MasterFees[[#This Row],[GST Basis]]="Excl",MasterFees[[#This Row],[Fee as Printed]]*(1+GST_Rate),""))</f>
        <v/>
      </c>
      <c r="S434" s="35">
        <f>IF(N(MasterFees[[#This Row],[Total Units]])=0,"",MasterFees[[#This Row],[Fee as Printed]]/MasterFees[[#This Row],[Total Units]])</f>
        <v>54.78846153846154</v>
      </c>
      <c r="T434" s="36"/>
      <c r="U434" s="39" t="s">
        <v>1012</v>
      </c>
      <c r="V434" s="39" t="s">
        <v>2070</v>
      </c>
      <c r="W434" s="30"/>
      <c r="X434" s="73" t="s">
        <v>3913</v>
      </c>
      <c r="Y434" s="127" t="str">
        <f>_xlfn.XLOOKUP(MasterFees[[#This Row],[Provider / Payer]],Contracts[Contract Name],Contracts[Contract ID],"No contract")</f>
        <v>CON-01</v>
      </c>
      <c r="Z434" s="127" t="str">
        <f>_xlfn.XLOOKUP(MasterFees[[#This Row],[Provider / Payer]],Contracts[Contract Name],Contracts[Pricing Basis],"To confirm")</f>
        <v>To confirm</v>
      </c>
      <c r="AA434" s="127" t="str">
        <f>IF(MasterFees[[#This Row],[Pricing Basis]]="Fixed fee schedule","Yes","No")</f>
        <v>No</v>
      </c>
      <c r="AB434" s="127" t="str">
        <f>IF(OR(MasterFees[[#This Row],[Fee Basis]]="Add-on",MasterFees[[#This Row],[Fee Basis]]="Time band",MasterFees[[#This Row],[Fee Basis]]="Other"),MasterFees[[#This Row],[Fee Basis]],"Base")</f>
        <v>Base</v>
      </c>
      <c r="AC434" s="141" t="str">
        <f>IF(MasterFees[[#This Row],[Fixed Fee?]]="Yes",MasterFees[[#This Row],[Fee Excl. GST]],"")</f>
        <v/>
      </c>
    </row>
    <row r="435" spans="1:29" x14ac:dyDescent="0.2">
      <c r="A435" s="67" t="s">
        <v>2173</v>
      </c>
      <c r="B435" s="31">
        <f>IF(MasterFees[[#This Row],[RVG Code]]="","",_xlfn.XLOOKUP(MasterFees[[#This Row],[RVG Code]],RVGCodes[Code],RVGCodes[Base Units],"Code not found"))</f>
        <v>4</v>
      </c>
      <c r="C43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3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35" s="125" t="s">
        <v>2570</v>
      </c>
      <c r="F435" s="48" t="s">
        <v>2567</v>
      </c>
      <c r="G435" s="30" t="s">
        <v>968</v>
      </c>
      <c r="H435" s="37" t="s">
        <v>1095</v>
      </c>
      <c r="I435" s="37"/>
      <c r="J435" s="37" t="s">
        <v>1096</v>
      </c>
      <c r="K435" s="32">
        <v>3.2</v>
      </c>
      <c r="L435" s="32">
        <v>3.8</v>
      </c>
      <c r="M435" s="32">
        <v>0.6</v>
      </c>
      <c r="N435" s="32">
        <v>7.7</v>
      </c>
      <c r="O435" s="33">
        <v>421.3</v>
      </c>
      <c r="P435" s="38" t="s">
        <v>1014</v>
      </c>
      <c r="Q435" s="34" t="str">
        <f>IF(MasterFees[[#This Row],[GST Basis]]="Excl",MasterFees[[#This Row],[Fee as Printed]],IF(MasterFees[[#This Row],[GST Basis]]="Incl",MasterFees[[#This Row],[Fee as Printed]]/(1+GST_Rate),""))</f>
        <v/>
      </c>
      <c r="R435" s="34" t="str">
        <f>IF(MasterFees[[#This Row],[GST Basis]]="Incl",MasterFees[[#This Row],[Fee as Printed]],IF(MasterFees[[#This Row],[GST Basis]]="Excl",MasterFees[[#This Row],[Fee as Printed]]*(1+GST_Rate),""))</f>
        <v/>
      </c>
      <c r="S435" s="35">
        <f>IF(N(MasterFees[[#This Row],[Total Units]])=0,"",MasterFees[[#This Row],[Fee as Printed]]/MasterFees[[#This Row],[Total Units]])</f>
        <v>54.714285714285715</v>
      </c>
      <c r="T435" s="36"/>
      <c r="U435" s="39" t="s">
        <v>1012</v>
      </c>
      <c r="V435" s="39" t="s">
        <v>2071</v>
      </c>
      <c r="W435" s="30"/>
      <c r="X435" s="73" t="s">
        <v>3914</v>
      </c>
      <c r="Y435" s="127" t="str">
        <f>_xlfn.XLOOKUP(MasterFees[[#This Row],[Provider / Payer]],Contracts[Contract Name],Contracts[Contract ID],"No contract")</f>
        <v>CON-01</v>
      </c>
      <c r="Z435" s="127" t="str">
        <f>_xlfn.XLOOKUP(MasterFees[[#This Row],[Provider / Payer]],Contracts[Contract Name],Contracts[Pricing Basis],"To confirm")</f>
        <v>To confirm</v>
      </c>
      <c r="AA435" s="127" t="str">
        <f>IF(MasterFees[[#This Row],[Pricing Basis]]="Fixed fee schedule","Yes","No")</f>
        <v>No</v>
      </c>
      <c r="AB435" s="127" t="str">
        <f>IF(OR(MasterFees[[#This Row],[Fee Basis]]="Add-on",MasterFees[[#This Row],[Fee Basis]]="Time band",MasterFees[[#This Row],[Fee Basis]]="Other"),MasterFees[[#This Row],[Fee Basis]],"Base")</f>
        <v>Base</v>
      </c>
      <c r="AC435" s="141" t="str">
        <f>IF(MasterFees[[#This Row],[Fixed Fee?]]="Yes",MasterFees[[#This Row],[Fee Excl. GST]],"")</f>
        <v/>
      </c>
    </row>
    <row r="436" spans="1:29" x14ac:dyDescent="0.2">
      <c r="A436" s="67" t="s">
        <v>2173</v>
      </c>
      <c r="B436" s="31">
        <f>IF(MasterFees[[#This Row],[RVG Code]]="","",_xlfn.XLOOKUP(MasterFees[[#This Row],[RVG Code]],RVGCodes[Code],RVGCodes[Base Units],"Code not found"))</f>
        <v>4</v>
      </c>
      <c r="C43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3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36" s="125" t="s">
        <v>2570</v>
      </c>
      <c r="F436" s="48" t="s">
        <v>2567</v>
      </c>
      <c r="G436" s="30" t="s">
        <v>4384</v>
      </c>
      <c r="H436" s="37" t="s">
        <v>4397</v>
      </c>
      <c r="I436" s="37"/>
      <c r="J436" s="37" t="s">
        <v>2678</v>
      </c>
      <c r="K436" s="32"/>
      <c r="L436" s="32"/>
      <c r="M436" s="32"/>
      <c r="N436" s="32"/>
      <c r="O436" s="33">
        <v>334.78</v>
      </c>
      <c r="P436" s="38" t="s">
        <v>4398</v>
      </c>
      <c r="Q436" s="34">
        <f>IF(MasterFees[[#This Row],[GST Basis]]="Excl",MasterFees[[#This Row],[Fee as Printed]],IF(MasterFees[[#This Row],[GST Basis]]="Incl",MasterFees[[#This Row],[Fee as Printed]]/(1+GST_Rate),""))</f>
        <v>334.78</v>
      </c>
      <c r="R436" s="34">
        <f>IF(MasterFees[[#This Row],[GST Basis]]="Incl",MasterFees[[#This Row],[Fee as Printed]],IF(MasterFees[[#This Row],[GST Basis]]="Excl",MasterFees[[#This Row],[Fee as Printed]]*(1+GST_Rate),""))</f>
        <v>384.99699999999996</v>
      </c>
      <c r="S436" s="35" t="str">
        <f>IF(N(MasterFees[[#This Row],[Total Units]])=0,"",MasterFees[[#This Row],[Fee as Printed]]/MasterFees[[#This Row],[Total Units]])</f>
        <v/>
      </c>
      <c r="T436" s="36">
        <v>46113</v>
      </c>
      <c r="U436" s="39" t="s">
        <v>1021</v>
      </c>
      <c r="V436" s="39" t="s">
        <v>4399</v>
      </c>
      <c r="W436" s="30" t="s">
        <v>4408</v>
      </c>
      <c r="X436" s="77" t="s">
        <v>4409</v>
      </c>
      <c r="Y436" s="127" t="str">
        <f>_xlfn.XLOOKUP(MasterFees[[#This Row],[Provider / Payer]],Contracts[Contract Name],Contracts[Contract ID],"No contract")</f>
        <v>CON-03</v>
      </c>
      <c r="Z436" s="127" t="str">
        <f>_xlfn.XLOOKUP(MasterFees[[#This Row],[Provider / Payer]],Contracts[Contract Name],Contracts[Pricing Basis],"To confirm")</f>
        <v>Fixed fee schedule</v>
      </c>
      <c r="AA436" s="127" t="str">
        <f>IF(MasterFees[[#This Row],[Pricing Basis]]="Fixed fee schedule","Yes","No")</f>
        <v>Yes</v>
      </c>
      <c r="AB436" s="127" t="str">
        <f>IF(OR(MasterFees[[#This Row],[Fee Basis]]="Add-on",MasterFees[[#This Row],[Fee Basis]]="Time band",MasterFees[[#This Row],[Fee Basis]]="Other"),MasterFees[[#This Row],[Fee Basis]],"Base")</f>
        <v>Add-on</v>
      </c>
      <c r="AC436" s="141">
        <f>IF(MasterFees[[#This Row],[Fixed Fee?]]="Yes",MasterFees[[#This Row],[Fee Excl. GST]],"")</f>
        <v>334.78</v>
      </c>
    </row>
    <row r="437" spans="1:29" x14ac:dyDescent="0.2">
      <c r="A437" s="67" t="s">
        <v>2173</v>
      </c>
      <c r="B437" s="31">
        <f>IF(MasterFees[[#This Row],[RVG Code]]="","",_xlfn.XLOOKUP(MasterFees[[#This Row],[RVG Code]],RVGCodes[Code],RVGCodes[Base Units],"Code not found"))</f>
        <v>4</v>
      </c>
      <c r="C43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3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37" s="125" t="s">
        <v>2570</v>
      </c>
      <c r="F437" s="48" t="s">
        <v>2567</v>
      </c>
      <c r="G437" s="30" t="s">
        <v>969</v>
      </c>
      <c r="H437" s="37" t="s">
        <v>1095</v>
      </c>
      <c r="I437" s="37"/>
      <c r="J437" s="37" t="s">
        <v>1096</v>
      </c>
      <c r="K437" s="32">
        <v>4</v>
      </c>
      <c r="L437" s="32">
        <v>5</v>
      </c>
      <c r="M437" s="32">
        <v>1</v>
      </c>
      <c r="N437" s="32">
        <v>10</v>
      </c>
      <c r="O437" s="33">
        <v>550</v>
      </c>
      <c r="P437" s="38" t="s">
        <v>1014</v>
      </c>
      <c r="Q437" s="34" t="str">
        <f>IF(MasterFees[[#This Row],[GST Basis]]="Excl",MasterFees[[#This Row],[Fee as Printed]],IF(MasterFees[[#This Row],[GST Basis]]="Incl",MasterFees[[#This Row],[Fee as Printed]]/(1+GST_Rate),""))</f>
        <v/>
      </c>
      <c r="R437" s="34" t="str">
        <f>IF(MasterFees[[#This Row],[GST Basis]]="Incl",MasterFees[[#This Row],[Fee as Printed]],IF(MasterFees[[#This Row],[GST Basis]]="Excl",MasterFees[[#This Row],[Fee as Printed]]*(1+GST_Rate),""))</f>
        <v/>
      </c>
      <c r="S437" s="35">
        <f>IF(N(MasterFees[[#This Row],[Total Units]])=0,"",MasterFees[[#This Row],[Fee as Printed]]/MasterFees[[#This Row],[Total Units]])</f>
        <v>55</v>
      </c>
      <c r="T437" s="36"/>
      <c r="U437" s="39" t="s">
        <v>1012</v>
      </c>
      <c r="V437" s="39" t="s">
        <v>2072</v>
      </c>
      <c r="W437" s="30"/>
      <c r="X437" s="73" t="s">
        <v>3915</v>
      </c>
      <c r="Y437" s="127" t="str">
        <f>_xlfn.XLOOKUP(MasterFees[[#This Row],[Provider / Payer]],Contracts[Contract Name],Contracts[Contract ID],"No contract")</f>
        <v>CON-01</v>
      </c>
      <c r="Z437" s="127" t="str">
        <f>_xlfn.XLOOKUP(MasterFees[[#This Row],[Provider / Payer]],Contracts[Contract Name],Contracts[Pricing Basis],"To confirm")</f>
        <v>To confirm</v>
      </c>
      <c r="AA437" s="127" t="str">
        <f>IF(MasterFees[[#This Row],[Pricing Basis]]="Fixed fee schedule","Yes","No")</f>
        <v>No</v>
      </c>
      <c r="AB437" s="127" t="str">
        <f>IF(OR(MasterFees[[#This Row],[Fee Basis]]="Add-on",MasterFees[[#This Row],[Fee Basis]]="Time band",MasterFees[[#This Row],[Fee Basis]]="Other"),MasterFees[[#This Row],[Fee Basis]],"Base")</f>
        <v>Base</v>
      </c>
      <c r="AC437" s="141" t="str">
        <f>IF(MasterFees[[#This Row],[Fixed Fee?]]="Yes",MasterFees[[#This Row],[Fee Excl. GST]],"")</f>
        <v/>
      </c>
    </row>
    <row r="438" spans="1:29" x14ac:dyDescent="0.2">
      <c r="A438" s="67" t="s">
        <v>2173</v>
      </c>
      <c r="B438" s="31">
        <f>IF(MasterFees[[#This Row],[RVG Code]]="","",_xlfn.XLOOKUP(MasterFees[[#This Row],[RVG Code]],RVGCodes[Code],RVGCodes[Base Units],"Code not found"))</f>
        <v>4</v>
      </c>
      <c r="C43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3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38" s="125" t="s">
        <v>2570</v>
      </c>
      <c r="F438" s="48" t="s">
        <v>2567</v>
      </c>
      <c r="G438" s="30" t="s">
        <v>4621</v>
      </c>
      <c r="H438" s="37" t="s">
        <v>4622</v>
      </c>
      <c r="I438" s="37" t="s">
        <v>4585</v>
      </c>
      <c r="J438" s="37" t="s">
        <v>1024</v>
      </c>
      <c r="K438" s="32"/>
      <c r="L438" s="32"/>
      <c r="M438" s="32"/>
      <c r="N438" s="32"/>
      <c r="O438" s="33">
        <v>1000</v>
      </c>
      <c r="P438" s="38" t="s">
        <v>4398</v>
      </c>
      <c r="Q438" s="34">
        <f>IF(MasterFees[[#This Row],[GST Basis]]="Excl",MasterFees[[#This Row],[Fee as Printed]],IF(MasterFees[[#This Row],[GST Basis]]="Incl",MasterFees[[#This Row],[Fee as Printed]]/(1+GST_Rate),""))</f>
        <v>1000</v>
      </c>
      <c r="R438" s="34">
        <f>IF(MasterFees[[#This Row],[GST Basis]]="Incl",MasterFees[[#This Row],[Fee as Printed]],IF(MasterFees[[#This Row],[GST Basis]]="Excl",MasterFees[[#This Row],[Fee as Printed]]*(1+GST_Rate),""))</f>
        <v>1150</v>
      </c>
      <c r="S438" s="35" t="str">
        <f>IF(N(MasterFees[[#This Row],[Total Units]])=0,"",MasterFees[[#This Row],[Fee as Printed]]/MasterFees[[#This Row],[Total Units]])</f>
        <v/>
      </c>
      <c r="T438" s="36"/>
      <c r="U438" s="39" t="s">
        <v>4587</v>
      </c>
      <c r="V438" s="39" t="s">
        <v>4660</v>
      </c>
      <c r="W438" s="30" t="s">
        <v>4651</v>
      </c>
      <c r="X438" s="77" t="s">
        <v>4852</v>
      </c>
      <c r="Y438" s="127" t="str">
        <f>_xlfn.XLOOKUP(MasterFees[[#This Row],[Provider / Payer]],Contracts[Contract Name],Contracts[Contract ID],"No contract")</f>
        <v>CON-05</v>
      </c>
      <c r="Z438" s="127" t="str">
        <f>_xlfn.XLOOKUP(MasterFees[[#This Row],[Provider / Payer]],Contracts[Contract Name],Contracts[Pricing Basis],"To confirm")</f>
        <v>Fixed fee schedule</v>
      </c>
      <c r="AA438" s="127" t="str">
        <f>IF(MasterFees[[#This Row],[Pricing Basis]]="Fixed fee schedule","Yes","No")</f>
        <v>Yes</v>
      </c>
      <c r="AB438" s="127" t="str">
        <f>IF(OR(MasterFees[[#This Row],[Fee Basis]]="Add-on",MasterFees[[#This Row],[Fee Basis]]="Time band",MasterFees[[#This Row],[Fee Basis]]="Other"),MasterFees[[#This Row],[Fee Basis]],"Base")</f>
        <v>Base</v>
      </c>
      <c r="AC438" s="141">
        <f>IF(MasterFees[[#This Row],[Fixed Fee?]]="Yes",MasterFees[[#This Row],[Fee Excl. GST]],"")</f>
        <v>1000</v>
      </c>
    </row>
    <row r="439" spans="1:29" x14ac:dyDescent="0.2">
      <c r="A439" s="67" t="s">
        <v>2173</v>
      </c>
      <c r="B439" s="31">
        <f>IF(MasterFees[[#This Row],[RVG Code]]="","",_xlfn.XLOOKUP(MasterFees[[#This Row],[RVG Code]],RVGCodes[Code],RVGCodes[Base Units],"Code not found"))</f>
        <v>4</v>
      </c>
      <c r="C43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3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39" s="125" t="s">
        <v>2570</v>
      </c>
      <c r="F439" s="48" t="s">
        <v>2567</v>
      </c>
      <c r="G439" s="30" t="s">
        <v>4621</v>
      </c>
      <c r="H439" s="37" t="s">
        <v>4625</v>
      </c>
      <c r="I439" s="37" t="s">
        <v>4585</v>
      </c>
      <c r="J439" s="37" t="s">
        <v>1024</v>
      </c>
      <c r="K439" s="32"/>
      <c r="L439" s="32"/>
      <c r="M439" s="32"/>
      <c r="N439" s="32"/>
      <c r="O439" s="33">
        <v>1000</v>
      </c>
      <c r="P439" s="38" t="s">
        <v>4398</v>
      </c>
      <c r="Q439" s="34">
        <f>IF(MasterFees[[#This Row],[GST Basis]]="Excl",MasterFees[[#This Row],[Fee as Printed]],IF(MasterFees[[#This Row],[GST Basis]]="Incl",MasterFees[[#This Row],[Fee as Printed]]/(1+GST_Rate),""))</f>
        <v>1000</v>
      </c>
      <c r="R439" s="34">
        <f>IF(MasterFees[[#This Row],[GST Basis]]="Incl",MasterFees[[#This Row],[Fee as Printed]],IF(MasterFees[[#This Row],[GST Basis]]="Excl",MasterFees[[#This Row],[Fee as Printed]]*(1+GST_Rate),""))</f>
        <v>1150</v>
      </c>
      <c r="S439" s="35" t="str">
        <f>IF(N(MasterFees[[#This Row],[Total Units]])=0,"",MasterFees[[#This Row],[Fee as Printed]]/MasterFees[[#This Row],[Total Units]])</f>
        <v/>
      </c>
      <c r="T439" s="36"/>
      <c r="U439" s="39" t="s">
        <v>4587</v>
      </c>
      <c r="V439" s="39" t="s">
        <v>4661</v>
      </c>
      <c r="W439" s="30" t="s">
        <v>4653</v>
      </c>
      <c r="X439" s="77" t="s">
        <v>4852</v>
      </c>
      <c r="Y439" s="127" t="str">
        <f>_xlfn.XLOOKUP(MasterFees[[#This Row],[Provider / Payer]],Contracts[Contract Name],Contracts[Contract ID],"No contract")</f>
        <v>CON-06</v>
      </c>
      <c r="Z439" s="127" t="str">
        <f>_xlfn.XLOOKUP(MasterFees[[#This Row],[Provider / Payer]],Contracts[Contract Name],Contracts[Pricing Basis],"To confirm")</f>
        <v>Fixed fee schedule</v>
      </c>
      <c r="AA439" s="127" t="str">
        <f>IF(MasterFees[[#This Row],[Pricing Basis]]="Fixed fee schedule","Yes","No")</f>
        <v>Yes</v>
      </c>
      <c r="AB439" s="127" t="str">
        <f>IF(OR(MasterFees[[#This Row],[Fee Basis]]="Add-on",MasterFees[[#This Row],[Fee Basis]]="Time band",MasterFees[[#This Row],[Fee Basis]]="Other"),MasterFees[[#This Row],[Fee Basis]],"Base")</f>
        <v>Base</v>
      </c>
      <c r="AC439" s="141">
        <f>IF(MasterFees[[#This Row],[Fixed Fee?]]="Yes",MasterFees[[#This Row],[Fee Excl. GST]],"")</f>
        <v>1000</v>
      </c>
    </row>
    <row r="440" spans="1:29" x14ac:dyDescent="0.2">
      <c r="A440" s="67" t="s">
        <v>2173</v>
      </c>
      <c r="B440" s="31">
        <f>IF(MasterFees[[#This Row],[RVG Code]]="","",_xlfn.XLOOKUP(MasterFees[[#This Row],[RVG Code]],RVGCodes[Code],RVGCodes[Base Units],"Code not found"))</f>
        <v>4</v>
      </c>
      <c r="C44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4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40" s="125" t="s">
        <v>2570</v>
      </c>
      <c r="F440" s="48" t="s">
        <v>2567</v>
      </c>
      <c r="G440" s="30" t="s">
        <v>4619</v>
      </c>
      <c r="H440" s="37" t="s">
        <v>4622</v>
      </c>
      <c r="I440" s="37" t="s">
        <v>4583</v>
      </c>
      <c r="J440" s="37" t="s">
        <v>1024</v>
      </c>
      <c r="K440" s="32"/>
      <c r="L440" s="32"/>
      <c r="M440" s="32"/>
      <c r="N440" s="32"/>
      <c r="O440" s="33">
        <v>900</v>
      </c>
      <c r="P440" s="38" t="s">
        <v>4398</v>
      </c>
      <c r="Q440" s="34">
        <f>IF(MasterFees[[#This Row],[GST Basis]]="Excl",MasterFees[[#This Row],[Fee as Printed]],IF(MasterFees[[#This Row],[GST Basis]]="Incl",MasterFees[[#This Row],[Fee as Printed]]/(1+GST_Rate),""))</f>
        <v>900</v>
      </c>
      <c r="R440" s="34">
        <f>IF(MasterFees[[#This Row],[GST Basis]]="Incl",MasterFees[[#This Row],[Fee as Printed]],IF(MasterFees[[#This Row],[GST Basis]]="Excl",MasterFees[[#This Row],[Fee as Printed]]*(1+GST_Rate),""))</f>
        <v>1035</v>
      </c>
      <c r="S440" s="35" t="str">
        <f>IF(N(MasterFees[[#This Row],[Total Units]])=0,"",MasterFees[[#This Row],[Fee as Printed]]/MasterFees[[#This Row],[Total Units]])</f>
        <v/>
      </c>
      <c r="T440" s="36"/>
      <c r="U440" s="39" t="s">
        <v>4587</v>
      </c>
      <c r="V440" s="39" t="s">
        <v>4658</v>
      </c>
      <c r="W440" s="30" t="s">
        <v>4651</v>
      </c>
      <c r="X440" s="77" t="s">
        <v>4851</v>
      </c>
      <c r="Y440" s="127" t="str">
        <f>_xlfn.XLOOKUP(MasterFees[[#This Row],[Provider / Payer]],Contracts[Contract Name],Contracts[Contract ID],"No contract")</f>
        <v>CON-05</v>
      </c>
      <c r="Z440" s="127" t="str">
        <f>_xlfn.XLOOKUP(MasterFees[[#This Row],[Provider / Payer]],Contracts[Contract Name],Contracts[Pricing Basis],"To confirm")</f>
        <v>Fixed fee schedule</v>
      </c>
      <c r="AA440" s="127" t="str">
        <f>IF(MasterFees[[#This Row],[Pricing Basis]]="Fixed fee schedule","Yes","No")</f>
        <v>Yes</v>
      </c>
      <c r="AB440" s="127" t="str">
        <f>IF(OR(MasterFees[[#This Row],[Fee Basis]]="Add-on",MasterFees[[#This Row],[Fee Basis]]="Time band",MasterFees[[#This Row],[Fee Basis]]="Other"),MasterFees[[#This Row],[Fee Basis]],"Base")</f>
        <v>Base</v>
      </c>
      <c r="AC440" s="141">
        <f>IF(MasterFees[[#This Row],[Fixed Fee?]]="Yes",MasterFees[[#This Row],[Fee Excl. GST]],"")</f>
        <v>900</v>
      </c>
    </row>
    <row r="441" spans="1:29" x14ac:dyDescent="0.2">
      <c r="A441" s="67" t="s">
        <v>2173</v>
      </c>
      <c r="B441" s="31">
        <f>IF(MasterFees[[#This Row],[RVG Code]]="","",_xlfn.XLOOKUP(MasterFees[[#This Row],[RVG Code]],RVGCodes[Code],RVGCodes[Base Units],"Code not found"))</f>
        <v>4</v>
      </c>
      <c r="C44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4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41" s="125" t="s">
        <v>2570</v>
      </c>
      <c r="F441" s="48" t="s">
        <v>2567</v>
      </c>
      <c r="G441" s="30" t="s">
        <v>4619</v>
      </c>
      <c r="H441" s="37" t="s">
        <v>4625</v>
      </c>
      <c r="I441" s="37" t="s">
        <v>4583</v>
      </c>
      <c r="J441" s="37" t="s">
        <v>1024</v>
      </c>
      <c r="K441" s="32"/>
      <c r="L441" s="32"/>
      <c r="M441" s="32"/>
      <c r="N441" s="32"/>
      <c r="O441" s="33">
        <v>900</v>
      </c>
      <c r="P441" s="38" t="s">
        <v>4398</v>
      </c>
      <c r="Q441" s="34">
        <f>IF(MasterFees[[#This Row],[GST Basis]]="Excl",MasterFees[[#This Row],[Fee as Printed]],IF(MasterFees[[#This Row],[GST Basis]]="Incl",MasterFees[[#This Row],[Fee as Printed]]/(1+GST_Rate),""))</f>
        <v>900</v>
      </c>
      <c r="R441" s="34">
        <f>IF(MasterFees[[#This Row],[GST Basis]]="Incl",MasterFees[[#This Row],[Fee as Printed]],IF(MasterFees[[#This Row],[GST Basis]]="Excl",MasterFees[[#This Row],[Fee as Printed]]*(1+GST_Rate),""))</f>
        <v>1035</v>
      </c>
      <c r="S441" s="35" t="str">
        <f>IF(N(MasterFees[[#This Row],[Total Units]])=0,"",MasterFees[[#This Row],[Fee as Printed]]/MasterFees[[#This Row],[Total Units]])</f>
        <v/>
      </c>
      <c r="T441" s="36"/>
      <c r="U441" s="39" t="s">
        <v>4587</v>
      </c>
      <c r="V441" s="39" t="s">
        <v>4659</v>
      </c>
      <c r="W441" s="30" t="s">
        <v>4653</v>
      </c>
      <c r="X441" s="77" t="s">
        <v>4851</v>
      </c>
      <c r="Y441" s="127" t="str">
        <f>_xlfn.XLOOKUP(MasterFees[[#This Row],[Provider / Payer]],Contracts[Contract Name],Contracts[Contract ID],"No contract")</f>
        <v>CON-06</v>
      </c>
      <c r="Z441" s="127" t="str">
        <f>_xlfn.XLOOKUP(MasterFees[[#This Row],[Provider / Payer]],Contracts[Contract Name],Contracts[Pricing Basis],"To confirm")</f>
        <v>Fixed fee schedule</v>
      </c>
      <c r="AA441" s="127" t="str">
        <f>IF(MasterFees[[#This Row],[Pricing Basis]]="Fixed fee schedule","Yes","No")</f>
        <v>Yes</v>
      </c>
      <c r="AB441" s="127" t="str">
        <f>IF(OR(MasterFees[[#This Row],[Fee Basis]]="Add-on",MasterFees[[#This Row],[Fee Basis]]="Time band",MasterFees[[#This Row],[Fee Basis]]="Other"),MasterFees[[#This Row],[Fee Basis]],"Base")</f>
        <v>Base</v>
      </c>
      <c r="AC441" s="141">
        <f>IF(MasterFees[[#This Row],[Fixed Fee?]]="Yes",MasterFees[[#This Row],[Fee Excl. GST]],"")</f>
        <v>900</v>
      </c>
    </row>
    <row r="442" spans="1:29" x14ac:dyDescent="0.2">
      <c r="A442" s="67" t="s">
        <v>2173</v>
      </c>
      <c r="B442" s="31">
        <f>IF(MasterFees[[#This Row],[RVG Code]]="","",_xlfn.XLOOKUP(MasterFees[[#This Row],[RVG Code]],RVGCodes[Code],RVGCodes[Base Units],"Code not found"))</f>
        <v>4</v>
      </c>
      <c r="C44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4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42" s="125" t="s">
        <v>2570</v>
      </c>
      <c r="F442" s="48" t="s">
        <v>2567</v>
      </c>
      <c r="G442" s="30" t="s">
        <v>970</v>
      </c>
      <c r="H442" s="37" t="s">
        <v>1095</v>
      </c>
      <c r="I442" s="37"/>
      <c r="J442" s="37" t="s">
        <v>1096</v>
      </c>
      <c r="K442" s="32">
        <v>0</v>
      </c>
      <c r="L442" s="32">
        <v>0</v>
      </c>
      <c r="M442" s="32">
        <v>0</v>
      </c>
      <c r="N442" s="32">
        <v>0</v>
      </c>
      <c r="O442" s="33">
        <v>0</v>
      </c>
      <c r="P442" s="38" t="s">
        <v>1014</v>
      </c>
      <c r="Q442" s="34" t="str">
        <f>IF(MasterFees[[#This Row],[GST Basis]]="Excl",MasterFees[[#This Row],[Fee as Printed]],IF(MasterFees[[#This Row],[GST Basis]]="Incl",MasterFees[[#This Row],[Fee as Printed]]/(1+GST_Rate),""))</f>
        <v/>
      </c>
      <c r="R442" s="34" t="str">
        <f>IF(MasterFees[[#This Row],[GST Basis]]="Incl",MasterFees[[#This Row],[Fee as Printed]],IF(MasterFees[[#This Row],[GST Basis]]="Excl",MasterFees[[#This Row],[Fee as Printed]]*(1+GST_Rate),""))</f>
        <v/>
      </c>
      <c r="S442" s="35" t="str">
        <f>IF(N(MasterFees[[#This Row],[Total Units]])=0,"",MasterFees[[#This Row],[Fee as Printed]]/MasterFees[[#This Row],[Total Units]])</f>
        <v/>
      </c>
      <c r="T442" s="36"/>
      <c r="U442" s="39" t="s">
        <v>1012</v>
      </c>
      <c r="V442" s="39" t="s">
        <v>2073</v>
      </c>
      <c r="W442" s="30"/>
      <c r="X442" s="73" t="s">
        <v>3916</v>
      </c>
      <c r="Y442" s="127" t="str">
        <f>_xlfn.XLOOKUP(MasterFees[[#This Row],[Provider / Payer]],Contracts[Contract Name],Contracts[Contract ID],"No contract")</f>
        <v>CON-01</v>
      </c>
      <c r="Z442" s="127" t="str">
        <f>_xlfn.XLOOKUP(MasterFees[[#This Row],[Provider / Payer]],Contracts[Contract Name],Contracts[Pricing Basis],"To confirm")</f>
        <v>To confirm</v>
      </c>
      <c r="AA442" s="127" t="str">
        <f>IF(MasterFees[[#This Row],[Pricing Basis]]="Fixed fee schedule","Yes","No")</f>
        <v>No</v>
      </c>
      <c r="AB442" s="127" t="str">
        <f>IF(OR(MasterFees[[#This Row],[Fee Basis]]="Add-on",MasterFees[[#This Row],[Fee Basis]]="Time band",MasterFees[[#This Row],[Fee Basis]]="Other"),MasterFees[[#This Row],[Fee Basis]],"Base")</f>
        <v>Base</v>
      </c>
      <c r="AC442" s="141" t="str">
        <f>IF(MasterFees[[#This Row],[Fixed Fee?]]="Yes",MasterFees[[#This Row],[Fee Excl. GST]],"")</f>
        <v/>
      </c>
    </row>
    <row r="443" spans="1:29" x14ac:dyDescent="0.2">
      <c r="A443" s="67" t="s">
        <v>2173</v>
      </c>
      <c r="B443" s="31">
        <f>IF(MasterFees[[#This Row],[RVG Code]]="","",_xlfn.XLOOKUP(MasterFees[[#This Row],[RVG Code]],RVGCodes[Code],RVGCodes[Base Units],"Code not found"))</f>
        <v>4</v>
      </c>
      <c r="C44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4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43" s="125" t="s">
        <v>2570</v>
      </c>
      <c r="F443" s="48" t="s">
        <v>2567</v>
      </c>
      <c r="G443" s="30" t="s">
        <v>971</v>
      </c>
      <c r="H443" s="37" t="s">
        <v>1095</v>
      </c>
      <c r="I443" s="37"/>
      <c r="J443" s="37" t="s">
        <v>1096</v>
      </c>
      <c r="K443" s="32">
        <v>1.2</v>
      </c>
      <c r="L443" s="32">
        <v>0.6</v>
      </c>
      <c r="M443" s="32">
        <v>0.6</v>
      </c>
      <c r="N443" s="32">
        <v>2.5</v>
      </c>
      <c r="O443" s="33">
        <v>135.30000000000001</v>
      </c>
      <c r="P443" s="38" t="s">
        <v>1014</v>
      </c>
      <c r="Q443" s="34" t="str">
        <f>IF(MasterFees[[#This Row],[GST Basis]]="Excl",MasterFees[[#This Row],[Fee as Printed]],IF(MasterFees[[#This Row],[GST Basis]]="Incl",MasterFees[[#This Row],[Fee as Printed]]/(1+GST_Rate),""))</f>
        <v/>
      </c>
      <c r="R443" s="34" t="str">
        <f>IF(MasterFees[[#This Row],[GST Basis]]="Incl",MasterFees[[#This Row],[Fee as Printed]],IF(MasterFees[[#This Row],[GST Basis]]="Excl",MasterFees[[#This Row],[Fee as Printed]]*(1+GST_Rate),""))</f>
        <v/>
      </c>
      <c r="S443" s="35">
        <f>IF(N(MasterFees[[#This Row],[Total Units]])=0,"",MasterFees[[#This Row],[Fee as Printed]]/MasterFees[[#This Row],[Total Units]])</f>
        <v>54.120000000000005</v>
      </c>
      <c r="T443" s="36"/>
      <c r="U443" s="39" t="s">
        <v>1012</v>
      </c>
      <c r="V443" s="39" t="s">
        <v>2074</v>
      </c>
      <c r="W443" s="30"/>
      <c r="X443" s="73" t="s">
        <v>3917</v>
      </c>
      <c r="Y443" s="127" t="str">
        <f>_xlfn.XLOOKUP(MasterFees[[#This Row],[Provider / Payer]],Contracts[Contract Name],Contracts[Contract ID],"No contract")</f>
        <v>CON-01</v>
      </c>
      <c r="Z443" s="127" t="str">
        <f>_xlfn.XLOOKUP(MasterFees[[#This Row],[Provider / Payer]],Contracts[Contract Name],Contracts[Pricing Basis],"To confirm")</f>
        <v>To confirm</v>
      </c>
      <c r="AA443" s="127" t="str">
        <f>IF(MasterFees[[#This Row],[Pricing Basis]]="Fixed fee schedule","Yes","No")</f>
        <v>No</v>
      </c>
      <c r="AB443" s="127" t="str">
        <f>IF(OR(MasterFees[[#This Row],[Fee Basis]]="Add-on",MasterFees[[#This Row],[Fee Basis]]="Time band",MasterFees[[#This Row],[Fee Basis]]="Other"),MasterFees[[#This Row],[Fee Basis]],"Base")</f>
        <v>Base</v>
      </c>
      <c r="AC443" s="141" t="str">
        <f>IF(MasterFees[[#This Row],[Fixed Fee?]]="Yes",MasterFees[[#This Row],[Fee Excl. GST]],"")</f>
        <v/>
      </c>
    </row>
    <row r="444" spans="1:29" x14ac:dyDescent="0.2">
      <c r="A444" s="67" t="s">
        <v>2173</v>
      </c>
      <c r="B444" s="31">
        <f>IF(MasterFees[[#This Row],[RVG Code]]="","",_xlfn.XLOOKUP(MasterFees[[#This Row],[RVG Code]],RVGCodes[Code],RVGCodes[Base Units],"Code not found"))</f>
        <v>4</v>
      </c>
      <c r="C44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4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44" s="125" t="s">
        <v>2570</v>
      </c>
      <c r="F444" s="48" t="s">
        <v>2567</v>
      </c>
      <c r="G444" s="30" t="s">
        <v>972</v>
      </c>
      <c r="H444" s="37" t="s">
        <v>1095</v>
      </c>
      <c r="I444" s="37"/>
      <c r="J444" s="37" t="s">
        <v>1096</v>
      </c>
      <c r="K444" s="32">
        <v>2.2000000000000002</v>
      </c>
      <c r="L444" s="32">
        <v>1</v>
      </c>
      <c r="M444" s="32">
        <v>0.6</v>
      </c>
      <c r="N444" s="32">
        <v>3.8</v>
      </c>
      <c r="O444" s="33">
        <v>207.35</v>
      </c>
      <c r="P444" s="38" t="s">
        <v>1014</v>
      </c>
      <c r="Q444" s="34" t="str">
        <f>IF(MasterFees[[#This Row],[GST Basis]]="Excl",MasterFees[[#This Row],[Fee as Printed]],IF(MasterFees[[#This Row],[GST Basis]]="Incl",MasterFees[[#This Row],[Fee as Printed]]/(1+GST_Rate),""))</f>
        <v/>
      </c>
      <c r="R444" s="34" t="str">
        <f>IF(MasterFees[[#This Row],[GST Basis]]="Incl",MasterFees[[#This Row],[Fee as Printed]],IF(MasterFees[[#This Row],[GST Basis]]="Excl",MasterFees[[#This Row],[Fee as Printed]]*(1+GST_Rate),""))</f>
        <v/>
      </c>
      <c r="S444" s="35">
        <f>IF(N(MasterFees[[#This Row],[Total Units]])=0,"",MasterFees[[#This Row],[Fee as Printed]]/MasterFees[[#This Row],[Total Units]])</f>
        <v>54.565789473684212</v>
      </c>
      <c r="T444" s="36"/>
      <c r="U444" s="39" t="s">
        <v>1012</v>
      </c>
      <c r="V444" s="39" t="s">
        <v>2075</v>
      </c>
      <c r="W444" s="30"/>
      <c r="X444" s="73" t="s">
        <v>3918</v>
      </c>
      <c r="Y444" s="127" t="str">
        <f>_xlfn.XLOOKUP(MasterFees[[#This Row],[Provider / Payer]],Contracts[Contract Name],Contracts[Contract ID],"No contract")</f>
        <v>CON-01</v>
      </c>
      <c r="Z444" s="127" t="str">
        <f>_xlfn.XLOOKUP(MasterFees[[#This Row],[Provider / Payer]],Contracts[Contract Name],Contracts[Pricing Basis],"To confirm")</f>
        <v>To confirm</v>
      </c>
      <c r="AA444" s="127" t="str">
        <f>IF(MasterFees[[#This Row],[Pricing Basis]]="Fixed fee schedule","Yes","No")</f>
        <v>No</v>
      </c>
      <c r="AB444" s="127" t="str">
        <f>IF(OR(MasterFees[[#This Row],[Fee Basis]]="Add-on",MasterFees[[#This Row],[Fee Basis]]="Time band",MasterFees[[#This Row],[Fee Basis]]="Other"),MasterFees[[#This Row],[Fee Basis]],"Base")</f>
        <v>Base</v>
      </c>
      <c r="AC444" s="141" t="str">
        <f>IF(MasterFees[[#This Row],[Fixed Fee?]]="Yes",MasterFees[[#This Row],[Fee Excl. GST]],"")</f>
        <v/>
      </c>
    </row>
    <row r="445" spans="1:29" x14ac:dyDescent="0.2">
      <c r="A445" s="67" t="s">
        <v>2173</v>
      </c>
      <c r="B445" s="31">
        <f>IF(MasterFees[[#This Row],[RVG Code]]="","",_xlfn.XLOOKUP(MasterFees[[#This Row],[RVG Code]],RVGCodes[Code],RVGCodes[Base Units],"Code not found"))</f>
        <v>4</v>
      </c>
      <c r="C44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01 - Head</v>
      </c>
      <c r="D44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Ocular</v>
      </c>
      <c r="E445" s="125" t="s">
        <v>2570</v>
      </c>
      <c r="F445" s="48" t="s">
        <v>2567</v>
      </c>
      <c r="G445" s="30" t="s">
        <v>973</v>
      </c>
      <c r="H445" s="37" t="s">
        <v>1095</v>
      </c>
      <c r="I445" s="37"/>
      <c r="J445" s="37" t="s">
        <v>1096</v>
      </c>
      <c r="K445" s="32">
        <v>0</v>
      </c>
      <c r="L445" s="32">
        <v>0</v>
      </c>
      <c r="M445" s="32">
        <v>0</v>
      </c>
      <c r="N445" s="32">
        <v>0</v>
      </c>
      <c r="O445" s="33">
        <v>0</v>
      </c>
      <c r="P445" s="38" t="s">
        <v>1014</v>
      </c>
      <c r="Q445" s="34" t="str">
        <f>IF(MasterFees[[#This Row],[GST Basis]]="Excl",MasterFees[[#This Row],[Fee as Printed]],IF(MasterFees[[#This Row],[GST Basis]]="Incl",MasterFees[[#This Row],[Fee as Printed]]/(1+GST_Rate),""))</f>
        <v/>
      </c>
      <c r="R445" s="34" t="str">
        <f>IF(MasterFees[[#This Row],[GST Basis]]="Incl",MasterFees[[#This Row],[Fee as Printed]],IF(MasterFees[[#This Row],[GST Basis]]="Excl",MasterFees[[#This Row],[Fee as Printed]]*(1+GST_Rate),""))</f>
        <v/>
      </c>
      <c r="S445" s="35" t="str">
        <f>IF(N(MasterFees[[#This Row],[Total Units]])=0,"",MasterFees[[#This Row],[Fee as Printed]]/MasterFees[[#This Row],[Total Units]])</f>
        <v/>
      </c>
      <c r="T445" s="36"/>
      <c r="U445" s="39" t="s">
        <v>1012</v>
      </c>
      <c r="V445" s="39" t="s">
        <v>2076</v>
      </c>
      <c r="W445" s="30"/>
      <c r="X445" s="73" t="s">
        <v>3919</v>
      </c>
      <c r="Y445" s="127" t="str">
        <f>_xlfn.XLOOKUP(MasterFees[[#This Row],[Provider / Payer]],Contracts[Contract Name],Contracts[Contract ID],"No contract")</f>
        <v>CON-01</v>
      </c>
      <c r="Z445" s="127" t="str">
        <f>_xlfn.XLOOKUP(MasterFees[[#This Row],[Provider / Payer]],Contracts[Contract Name],Contracts[Pricing Basis],"To confirm")</f>
        <v>To confirm</v>
      </c>
      <c r="AA445" s="127" t="str">
        <f>IF(MasterFees[[#This Row],[Pricing Basis]]="Fixed fee schedule","Yes","No")</f>
        <v>No</v>
      </c>
      <c r="AB445" s="127" t="str">
        <f>IF(OR(MasterFees[[#This Row],[Fee Basis]]="Add-on",MasterFees[[#This Row],[Fee Basis]]="Time band",MasterFees[[#This Row],[Fee Basis]]="Other"),MasterFees[[#This Row],[Fee Basis]],"Base")</f>
        <v>Base</v>
      </c>
      <c r="AC445" s="141" t="str">
        <f>IF(MasterFees[[#This Row],[Fixed Fee?]]="Yes",MasterFees[[#This Row],[Fee Excl. GST]],"")</f>
        <v/>
      </c>
    </row>
    <row r="446" spans="1:29" x14ac:dyDescent="0.2">
      <c r="A446" s="67" t="s">
        <v>2215</v>
      </c>
      <c r="B446" s="31">
        <f>IF(MasterFees[[#This Row],[RVG Code]]="","",_xlfn.XLOOKUP(MasterFees[[#This Row],[RVG Code]],RVGCodes[Code],RVGCodes[Base Units],"Code not found"))</f>
        <v>10</v>
      </c>
      <c r="C44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02 - Neck (Non vascular)</v>
      </c>
      <c r="D44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46" s="125" t="s">
        <v>2619</v>
      </c>
      <c r="F446" s="48" t="s">
        <v>2569</v>
      </c>
      <c r="G446" s="30" t="s">
        <v>520</v>
      </c>
      <c r="H446" s="37" t="s">
        <v>1095</v>
      </c>
      <c r="I446" s="37"/>
      <c r="J446" s="37" t="s">
        <v>1096</v>
      </c>
      <c r="K446" s="32">
        <v>7</v>
      </c>
      <c r="L446" s="32">
        <v>21</v>
      </c>
      <c r="M446" s="32">
        <v>3</v>
      </c>
      <c r="N446" s="32">
        <v>31</v>
      </c>
      <c r="O446" s="33">
        <v>1705</v>
      </c>
      <c r="P446" s="38" t="s">
        <v>1014</v>
      </c>
      <c r="Q446" s="34" t="str">
        <f>IF(MasterFees[[#This Row],[GST Basis]]="Excl",MasterFees[[#This Row],[Fee as Printed]],IF(MasterFees[[#This Row],[GST Basis]]="Incl",MasterFees[[#This Row],[Fee as Printed]]/(1+GST_Rate),""))</f>
        <v/>
      </c>
      <c r="R446" s="34" t="str">
        <f>IF(MasterFees[[#This Row],[GST Basis]]="Incl",MasterFees[[#This Row],[Fee as Printed]],IF(MasterFees[[#This Row],[GST Basis]]="Excl",MasterFees[[#This Row],[Fee as Printed]]*(1+GST_Rate),""))</f>
        <v/>
      </c>
      <c r="S446" s="35">
        <f>IF(N(MasterFees[[#This Row],[Total Units]])=0,"",MasterFees[[#This Row],[Fee as Printed]]/MasterFees[[#This Row],[Total Units]])</f>
        <v>55</v>
      </c>
      <c r="T446" s="36"/>
      <c r="U446" s="39" t="s">
        <v>1012</v>
      </c>
      <c r="V446" s="39" t="s">
        <v>1615</v>
      </c>
      <c r="W446" s="30"/>
      <c r="X446" s="73" t="s">
        <v>3410</v>
      </c>
      <c r="Y446" s="127" t="str">
        <f>_xlfn.XLOOKUP(MasterFees[[#This Row],[Provider / Payer]],Contracts[Contract Name],Contracts[Contract ID],"No contract")</f>
        <v>CON-01</v>
      </c>
      <c r="Z446" s="127" t="str">
        <f>_xlfn.XLOOKUP(MasterFees[[#This Row],[Provider / Payer]],Contracts[Contract Name],Contracts[Pricing Basis],"To confirm")</f>
        <v>To confirm</v>
      </c>
      <c r="AA446" s="127" t="str">
        <f>IF(MasterFees[[#This Row],[Pricing Basis]]="Fixed fee schedule","Yes","No")</f>
        <v>No</v>
      </c>
      <c r="AB446" s="127" t="str">
        <f>IF(OR(MasterFees[[#This Row],[Fee Basis]]="Add-on",MasterFees[[#This Row],[Fee Basis]]="Time band",MasterFees[[#This Row],[Fee Basis]]="Other"),MasterFees[[#This Row],[Fee Basis]],"Base")</f>
        <v>Base</v>
      </c>
      <c r="AC446" s="141" t="str">
        <f>IF(MasterFees[[#This Row],[Fixed Fee?]]="Yes",MasterFees[[#This Row],[Fee Excl. GST]],"")</f>
        <v/>
      </c>
    </row>
    <row r="447" spans="1:29" x14ac:dyDescent="0.2">
      <c r="A447" s="67" t="s">
        <v>2209</v>
      </c>
      <c r="B447" s="31">
        <f>IF(MasterFees[[#This Row],[RVG Code]]="","",_xlfn.XLOOKUP(MasterFees[[#This Row],[RVG Code]],RVGCodes[Code],RVGCodes[Base Units],"Code not found"))</f>
        <v>4</v>
      </c>
      <c r="C44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02 - Neck (Non vascular)</v>
      </c>
      <c r="D44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47" s="125" t="s">
        <v>2688</v>
      </c>
      <c r="F447" s="48" t="s">
        <v>2565</v>
      </c>
      <c r="G447" s="30" t="s">
        <v>2210</v>
      </c>
      <c r="H447" s="37" t="s">
        <v>2630</v>
      </c>
      <c r="I447" s="37" t="s">
        <v>2209</v>
      </c>
      <c r="J447" s="37" t="s">
        <v>1096</v>
      </c>
      <c r="K447" s="32">
        <v>4</v>
      </c>
      <c r="L447" s="32"/>
      <c r="M447" s="32"/>
      <c r="N447" s="32">
        <v>4</v>
      </c>
      <c r="O447" s="33"/>
      <c r="P447" s="38"/>
      <c r="Q447" s="34" t="str">
        <f>IF(MasterFees[[#This Row],[GST Basis]]="Excl",MasterFees[[#This Row],[Fee as Printed]],IF(MasterFees[[#This Row],[GST Basis]]="Incl",MasterFees[[#This Row],[Fee as Printed]]/(1+GST_Rate),""))</f>
        <v/>
      </c>
      <c r="R447" s="34" t="str">
        <f>IF(MasterFees[[#This Row],[GST Basis]]="Incl",MasterFees[[#This Row],[Fee as Printed]],IF(MasterFees[[#This Row],[GST Basis]]="Excl",MasterFees[[#This Row],[Fee as Printed]]*(1+GST_Rate),""))</f>
        <v/>
      </c>
      <c r="S447" s="35">
        <f>IF(N(MasterFees[[#This Row],[Total Units]])=0,"",MasterFees[[#This Row],[Fee as Printed]]/MasterFees[[#This Row],[Total Units]])</f>
        <v>0</v>
      </c>
      <c r="T447" s="36"/>
      <c r="U447" s="39" t="s">
        <v>1016</v>
      </c>
      <c r="V447" s="39" t="s">
        <v>2645</v>
      </c>
      <c r="W447" s="30" t="s">
        <v>2632</v>
      </c>
      <c r="X447" s="73" t="s">
        <v>3928</v>
      </c>
      <c r="Y447" s="127" t="str">
        <f>_xlfn.XLOOKUP(MasterFees[[#This Row],[Provider / Payer]],Contracts[Contract Name],Contracts[Contract ID],"No contract")</f>
        <v>CON-10</v>
      </c>
      <c r="Z447" s="127" t="str">
        <f>_xlfn.XLOOKUP(MasterFees[[#This Row],[Provider / Payer]],Contracts[Contract Name],Contracts[Pricing Basis],"To confirm")</f>
        <v>Reference – units only</v>
      </c>
      <c r="AA447" s="127" t="str">
        <f>IF(MasterFees[[#This Row],[Pricing Basis]]="Fixed fee schedule","Yes","No")</f>
        <v>No</v>
      </c>
      <c r="AB447" s="127" t="str">
        <f>IF(OR(MasterFees[[#This Row],[Fee Basis]]="Add-on",MasterFees[[#This Row],[Fee Basis]]="Time band",MasterFees[[#This Row],[Fee Basis]]="Other"),MasterFees[[#This Row],[Fee Basis]],"Base")</f>
        <v>Base</v>
      </c>
      <c r="AC447" s="141" t="str">
        <f>IF(MasterFees[[#This Row],[Fixed Fee?]]="Yes",MasterFees[[#This Row],[Fee Excl. GST]],"")</f>
        <v/>
      </c>
    </row>
    <row r="448" spans="1:29" x14ac:dyDescent="0.2">
      <c r="A448" s="67" t="s">
        <v>2213</v>
      </c>
      <c r="B448" s="31">
        <f>IF(MasterFees[[#This Row],[RVG Code]]="","",_xlfn.XLOOKUP(MasterFees[[#This Row],[RVG Code]],RVGCodes[Code],RVGCodes[Base Units],"Code not found"))</f>
        <v>6</v>
      </c>
      <c r="C44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02 - Neck (Non vascular)</v>
      </c>
      <c r="D44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48" s="125" t="s">
        <v>2623</v>
      </c>
      <c r="F448" s="48" t="s">
        <v>2629</v>
      </c>
      <c r="G448" s="30" t="s">
        <v>2214</v>
      </c>
      <c r="H448" s="37" t="s">
        <v>2630</v>
      </c>
      <c r="I448" s="37" t="s">
        <v>2213</v>
      </c>
      <c r="J448" s="37" t="s">
        <v>1096</v>
      </c>
      <c r="K448" s="32">
        <v>6</v>
      </c>
      <c r="L448" s="32"/>
      <c r="M448" s="32"/>
      <c r="N448" s="32">
        <v>6</v>
      </c>
      <c r="O448" s="33"/>
      <c r="P448" s="38"/>
      <c r="Q448" s="34" t="str">
        <f>IF(MasterFees[[#This Row],[GST Basis]]="Excl",MasterFees[[#This Row],[Fee as Printed]],IF(MasterFees[[#This Row],[GST Basis]]="Incl",MasterFees[[#This Row],[Fee as Printed]]/(1+GST_Rate),""))</f>
        <v/>
      </c>
      <c r="R448" s="34" t="str">
        <f>IF(MasterFees[[#This Row],[GST Basis]]="Incl",MasterFees[[#This Row],[Fee as Printed]],IF(MasterFees[[#This Row],[GST Basis]]="Excl",MasterFees[[#This Row],[Fee as Printed]]*(1+GST_Rate),""))</f>
        <v/>
      </c>
      <c r="S448" s="35">
        <f>IF(N(MasterFees[[#This Row],[Total Units]])=0,"",MasterFees[[#This Row],[Fee as Printed]]/MasterFees[[#This Row],[Total Units]])</f>
        <v>0</v>
      </c>
      <c r="T448" s="36"/>
      <c r="U448" s="39" t="s">
        <v>1016</v>
      </c>
      <c r="V448" s="39" t="s">
        <v>2645</v>
      </c>
      <c r="W448" s="30" t="s">
        <v>2632</v>
      </c>
      <c r="X448" s="73" t="s">
        <v>3866</v>
      </c>
      <c r="Y448" s="127" t="str">
        <f>_xlfn.XLOOKUP(MasterFees[[#This Row],[Provider / Payer]],Contracts[Contract Name],Contracts[Contract ID],"No contract")</f>
        <v>CON-10</v>
      </c>
      <c r="Z448" s="127" t="str">
        <f>_xlfn.XLOOKUP(MasterFees[[#This Row],[Provider / Payer]],Contracts[Contract Name],Contracts[Pricing Basis],"To confirm")</f>
        <v>Reference – units only</v>
      </c>
      <c r="AA448" s="127" t="str">
        <f>IF(MasterFees[[#This Row],[Pricing Basis]]="Fixed fee schedule","Yes","No")</f>
        <v>No</v>
      </c>
      <c r="AB448" s="127" t="str">
        <f>IF(OR(MasterFees[[#This Row],[Fee Basis]]="Add-on",MasterFees[[#This Row],[Fee Basis]]="Time band",MasterFees[[#This Row],[Fee Basis]]="Other"),MasterFees[[#This Row],[Fee Basis]],"Base")</f>
        <v>Base</v>
      </c>
      <c r="AC448" s="141" t="str">
        <f>IF(MasterFees[[#This Row],[Fixed Fee?]]="Yes",MasterFees[[#This Row],[Fee Excl. GST]],"")</f>
        <v/>
      </c>
    </row>
    <row r="449" spans="1:29" x14ac:dyDescent="0.2">
      <c r="A449" s="67" t="s">
        <v>2213</v>
      </c>
      <c r="B449" s="31">
        <f>IF(MasterFees[[#This Row],[RVG Code]]="","",_xlfn.XLOOKUP(MasterFees[[#This Row],[RVG Code]],RVGCodes[Code],RVGCodes[Base Units],"Code not found"))</f>
        <v>6</v>
      </c>
      <c r="C44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02 - Neck (Non vascular)</v>
      </c>
      <c r="D44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49" s="125" t="s">
        <v>2623</v>
      </c>
      <c r="F449" s="48" t="s">
        <v>2567</v>
      </c>
      <c r="G449" s="30" t="s">
        <v>689</v>
      </c>
      <c r="H449" s="37" t="s">
        <v>1095</v>
      </c>
      <c r="I449" s="37"/>
      <c r="J449" s="37" t="s">
        <v>1096</v>
      </c>
      <c r="K449" s="32">
        <v>6.1</v>
      </c>
      <c r="L449" s="32">
        <v>6.9</v>
      </c>
      <c r="M449" s="32">
        <v>0.8</v>
      </c>
      <c r="N449" s="32">
        <v>13.8</v>
      </c>
      <c r="O449" s="33">
        <v>757.9</v>
      </c>
      <c r="P449" s="38" t="s">
        <v>1014</v>
      </c>
      <c r="Q449" s="34" t="str">
        <f>IF(MasterFees[[#This Row],[GST Basis]]="Excl",MasterFees[[#This Row],[Fee as Printed]],IF(MasterFees[[#This Row],[GST Basis]]="Incl",MasterFees[[#This Row],[Fee as Printed]]/(1+GST_Rate),""))</f>
        <v/>
      </c>
      <c r="R449" s="34" t="str">
        <f>IF(MasterFees[[#This Row],[GST Basis]]="Incl",MasterFees[[#This Row],[Fee as Printed]],IF(MasterFees[[#This Row],[GST Basis]]="Excl",MasterFees[[#This Row],[Fee as Printed]]*(1+GST_Rate),""))</f>
        <v/>
      </c>
      <c r="S449" s="35">
        <f>IF(N(MasterFees[[#This Row],[Total Units]])=0,"",MasterFees[[#This Row],[Fee as Printed]]/MasterFees[[#This Row],[Total Units]])</f>
        <v>54.920289855072461</v>
      </c>
      <c r="T449" s="36"/>
      <c r="U449" s="39" t="s">
        <v>1012</v>
      </c>
      <c r="V449" s="39" t="s">
        <v>1786</v>
      </c>
      <c r="W449" s="30"/>
      <c r="X449" s="73" t="s">
        <v>3588</v>
      </c>
      <c r="Y449" s="127" t="str">
        <f>_xlfn.XLOOKUP(MasterFees[[#This Row],[Provider / Payer]],Contracts[Contract Name],Contracts[Contract ID],"No contract")</f>
        <v>CON-01</v>
      </c>
      <c r="Z449" s="127" t="str">
        <f>_xlfn.XLOOKUP(MasterFees[[#This Row],[Provider / Payer]],Contracts[Contract Name],Contracts[Pricing Basis],"To confirm")</f>
        <v>To confirm</v>
      </c>
      <c r="AA449" s="127" t="str">
        <f>IF(MasterFees[[#This Row],[Pricing Basis]]="Fixed fee schedule","Yes","No")</f>
        <v>No</v>
      </c>
      <c r="AB449" s="127" t="str">
        <f>IF(OR(MasterFees[[#This Row],[Fee Basis]]="Add-on",MasterFees[[#This Row],[Fee Basis]]="Time band",MasterFees[[#This Row],[Fee Basis]]="Other"),MasterFees[[#This Row],[Fee Basis]],"Base")</f>
        <v>Base</v>
      </c>
      <c r="AC449" s="141" t="str">
        <f>IF(MasterFees[[#This Row],[Fixed Fee?]]="Yes",MasterFees[[#This Row],[Fee Excl. GST]],"")</f>
        <v/>
      </c>
    </row>
    <row r="450" spans="1:29" x14ac:dyDescent="0.2">
      <c r="A450" s="67" t="s">
        <v>2213</v>
      </c>
      <c r="B450" s="31">
        <f>IF(MasterFees[[#This Row],[RVG Code]]="","",_xlfn.XLOOKUP(MasterFees[[#This Row],[RVG Code]],RVGCodes[Code],RVGCodes[Base Units],"Code not found"))</f>
        <v>6</v>
      </c>
      <c r="C45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02 - Neck (Non vascular)</v>
      </c>
      <c r="D45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50" s="125" t="s">
        <v>2623</v>
      </c>
      <c r="F450" s="48" t="s">
        <v>2567</v>
      </c>
      <c r="G450" s="30" t="s">
        <v>690</v>
      </c>
      <c r="H450" s="37" t="s">
        <v>1095</v>
      </c>
      <c r="I450" s="37"/>
      <c r="J450" s="37" t="s">
        <v>1096</v>
      </c>
      <c r="K450" s="32">
        <v>5.9</v>
      </c>
      <c r="L450" s="32">
        <v>5.2</v>
      </c>
      <c r="M450" s="32">
        <v>0.9</v>
      </c>
      <c r="N450" s="32">
        <v>12</v>
      </c>
      <c r="O450" s="33">
        <v>658.9</v>
      </c>
      <c r="P450" s="38" t="s">
        <v>1014</v>
      </c>
      <c r="Q450" s="34" t="str">
        <f>IF(MasterFees[[#This Row],[GST Basis]]="Excl",MasterFees[[#This Row],[Fee as Printed]],IF(MasterFees[[#This Row],[GST Basis]]="Incl",MasterFees[[#This Row],[Fee as Printed]]/(1+GST_Rate),""))</f>
        <v/>
      </c>
      <c r="R450" s="34" t="str">
        <f>IF(MasterFees[[#This Row],[GST Basis]]="Incl",MasterFees[[#This Row],[Fee as Printed]],IF(MasterFees[[#This Row],[GST Basis]]="Excl",MasterFees[[#This Row],[Fee as Printed]]*(1+GST_Rate),""))</f>
        <v/>
      </c>
      <c r="S450" s="35">
        <f>IF(N(MasterFees[[#This Row],[Total Units]])=0,"",MasterFees[[#This Row],[Fee as Printed]]/MasterFees[[#This Row],[Total Units]])</f>
        <v>54.908333333333331</v>
      </c>
      <c r="T450" s="36"/>
      <c r="U450" s="39" t="s">
        <v>1012</v>
      </c>
      <c r="V450" s="39" t="s">
        <v>1787</v>
      </c>
      <c r="W450" s="30"/>
      <c r="X450" s="73" t="s">
        <v>3589</v>
      </c>
      <c r="Y450" s="127" t="str">
        <f>_xlfn.XLOOKUP(MasterFees[[#This Row],[Provider / Payer]],Contracts[Contract Name],Contracts[Contract ID],"No contract")</f>
        <v>CON-01</v>
      </c>
      <c r="Z450" s="127" t="str">
        <f>_xlfn.XLOOKUP(MasterFees[[#This Row],[Provider / Payer]],Contracts[Contract Name],Contracts[Pricing Basis],"To confirm")</f>
        <v>To confirm</v>
      </c>
      <c r="AA450" s="127" t="str">
        <f>IF(MasterFees[[#This Row],[Pricing Basis]]="Fixed fee schedule","Yes","No")</f>
        <v>No</v>
      </c>
      <c r="AB450" s="127" t="str">
        <f>IF(OR(MasterFees[[#This Row],[Fee Basis]]="Add-on",MasterFees[[#This Row],[Fee Basis]]="Time band",MasterFees[[#This Row],[Fee Basis]]="Other"),MasterFees[[#This Row],[Fee Basis]],"Base")</f>
        <v>Base</v>
      </c>
      <c r="AC450" s="141" t="str">
        <f>IF(MasterFees[[#This Row],[Fixed Fee?]]="Yes",MasterFees[[#This Row],[Fee Excl. GST]],"")</f>
        <v/>
      </c>
    </row>
    <row r="451" spans="1:29" x14ac:dyDescent="0.2">
      <c r="A451" s="67" t="s">
        <v>2215</v>
      </c>
      <c r="B451" s="31">
        <f>IF(MasterFees[[#This Row],[RVG Code]]="","",_xlfn.XLOOKUP(MasterFees[[#This Row],[RVG Code]],RVGCodes[Code],RVGCodes[Base Units],"Code not found"))</f>
        <v>10</v>
      </c>
      <c r="C45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02 - Neck (Non vascular)</v>
      </c>
      <c r="D45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51" s="125" t="s">
        <v>2619</v>
      </c>
      <c r="F451" s="48" t="s">
        <v>2629</v>
      </c>
      <c r="G451" s="30" t="s">
        <v>2216</v>
      </c>
      <c r="H451" s="37" t="s">
        <v>2630</v>
      </c>
      <c r="I451" s="37" t="s">
        <v>2215</v>
      </c>
      <c r="J451" s="37" t="s">
        <v>1096</v>
      </c>
      <c r="K451" s="32">
        <v>10</v>
      </c>
      <c r="L451" s="32"/>
      <c r="M451" s="32"/>
      <c r="N451" s="32"/>
      <c r="O451" s="33"/>
      <c r="P451" s="38"/>
      <c r="Q451" s="34" t="str">
        <f>IF(MasterFees[[#This Row],[GST Basis]]="Excl",MasterFees[[#This Row],[Fee as Printed]],IF(MasterFees[[#This Row],[GST Basis]]="Incl",MasterFees[[#This Row],[Fee as Printed]]/(1+GST_Rate),""))</f>
        <v/>
      </c>
      <c r="R451" s="34" t="str">
        <f>IF(MasterFees[[#This Row],[GST Basis]]="Incl",MasterFees[[#This Row],[Fee as Printed]],IF(MasterFees[[#This Row],[GST Basis]]="Excl",MasterFees[[#This Row],[Fee as Printed]]*(1+GST_Rate),""))</f>
        <v/>
      </c>
      <c r="S451" s="35" t="str">
        <f>IF(N(MasterFees[[#This Row],[Total Units]])=0,"",MasterFees[[#This Row],[Fee as Printed]]/MasterFees[[#This Row],[Total Units]])</f>
        <v/>
      </c>
      <c r="T451" s="36"/>
      <c r="U451" s="39" t="s">
        <v>1016</v>
      </c>
      <c r="V451" s="39" t="s">
        <v>2645</v>
      </c>
      <c r="W451" s="30" t="s">
        <v>2670</v>
      </c>
      <c r="X451" s="73" t="s">
        <v>3411</v>
      </c>
      <c r="Y451" s="127" t="str">
        <f>_xlfn.XLOOKUP(MasterFees[[#This Row],[Provider / Payer]],Contracts[Contract Name],Contracts[Contract ID],"No contract")</f>
        <v>CON-10</v>
      </c>
      <c r="Z451" s="127" t="str">
        <f>_xlfn.XLOOKUP(MasterFees[[#This Row],[Provider / Payer]],Contracts[Contract Name],Contracts[Pricing Basis],"To confirm")</f>
        <v>Reference – units only</v>
      </c>
      <c r="AA451" s="127" t="str">
        <f>IF(MasterFees[[#This Row],[Pricing Basis]]="Fixed fee schedule","Yes","No")</f>
        <v>No</v>
      </c>
      <c r="AB451" s="127" t="str">
        <f>IF(OR(MasterFees[[#This Row],[Fee Basis]]="Add-on",MasterFees[[#This Row],[Fee Basis]]="Time band",MasterFees[[#This Row],[Fee Basis]]="Other"),MasterFees[[#This Row],[Fee Basis]],"Base")</f>
        <v>Base</v>
      </c>
      <c r="AC451" s="141" t="str">
        <f>IF(MasterFees[[#This Row],[Fixed Fee?]]="Yes",MasterFees[[#This Row],[Fee Excl. GST]],"")</f>
        <v/>
      </c>
    </row>
    <row r="452" spans="1:29" x14ac:dyDescent="0.2">
      <c r="A452" s="67" t="s">
        <v>2211</v>
      </c>
      <c r="B452" s="31">
        <f>IF(MasterFees[[#This Row],[RVG Code]]="","",_xlfn.XLOOKUP(MasterFees[[#This Row],[RVG Code]],RVGCodes[Code],RVGCodes[Base Units],"Code not found"))</f>
        <v>5</v>
      </c>
      <c r="C45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02 - Neck (Non vascular)</v>
      </c>
      <c r="D45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52" s="125" t="s">
        <v>2689</v>
      </c>
      <c r="F452" s="48" t="s">
        <v>2565</v>
      </c>
      <c r="G452" s="30" t="s">
        <v>2212</v>
      </c>
      <c r="H452" s="37" t="s">
        <v>2630</v>
      </c>
      <c r="I452" s="37" t="s">
        <v>2211</v>
      </c>
      <c r="J452" s="37" t="s">
        <v>1096</v>
      </c>
      <c r="K452" s="32">
        <v>5</v>
      </c>
      <c r="L452" s="32"/>
      <c r="M452" s="32"/>
      <c r="N452" s="32">
        <v>5</v>
      </c>
      <c r="O452" s="33"/>
      <c r="P452" s="38"/>
      <c r="Q452" s="34" t="str">
        <f>IF(MasterFees[[#This Row],[GST Basis]]="Excl",MasterFees[[#This Row],[Fee as Printed]],IF(MasterFees[[#This Row],[GST Basis]]="Incl",MasterFees[[#This Row],[Fee as Printed]]/(1+GST_Rate),""))</f>
        <v/>
      </c>
      <c r="R452" s="34" t="str">
        <f>IF(MasterFees[[#This Row],[GST Basis]]="Incl",MasterFees[[#This Row],[Fee as Printed]],IF(MasterFees[[#This Row],[GST Basis]]="Excl",MasterFees[[#This Row],[Fee as Printed]]*(1+GST_Rate),""))</f>
        <v/>
      </c>
      <c r="S452" s="35">
        <f>IF(N(MasterFees[[#This Row],[Total Units]])=0,"",MasterFees[[#This Row],[Fee as Printed]]/MasterFees[[#This Row],[Total Units]])</f>
        <v>0</v>
      </c>
      <c r="T452" s="36"/>
      <c r="U452" s="39" t="s">
        <v>1016</v>
      </c>
      <c r="V452" s="39" t="s">
        <v>2645</v>
      </c>
      <c r="W452" s="30" t="s">
        <v>2632</v>
      </c>
      <c r="X452" s="73" t="s">
        <v>3929</v>
      </c>
      <c r="Y452" s="127" t="str">
        <f>_xlfn.XLOOKUP(MasterFees[[#This Row],[Provider / Payer]],Contracts[Contract Name],Contracts[Contract ID],"No contract")</f>
        <v>CON-10</v>
      </c>
      <c r="Z452" s="127" t="str">
        <f>_xlfn.XLOOKUP(MasterFees[[#This Row],[Provider / Payer]],Contracts[Contract Name],Contracts[Pricing Basis],"To confirm")</f>
        <v>Reference – units only</v>
      </c>
      <c r="AA452" s="127" t="str">
        <f>IF(MasterFees[[#This Row],[Pricing Basis]]="Fixed fee schedule","Yes","No")</f>
        <v>No</v>
      </c>
      <c r="AB452" s="127" t="str">
        <f>IF(OR(MasterFees[[#This Row],[Fee Basis]]="Add-on",MasterFees[[#This Row],[Fee Basis]]="Time band",MasterFees[[#This Row],[Fee Basis]]="Other"),MasterFees[[#This Row],[Fee Basis]],"Base")</f>
        <v>Base</v>
      </c>
      <c r="AC452" s="141" t="str">
        <f>IF(MasterFees[[#This Row],[Fixed Fee?]]="Yes",MasterFees[[#This Row],[Fee Excl. GST]],"")</f>
        <v/>
      </c>
    </row>
    <row r="453" spans="1:29" x14ac:dyDescent="0.2">
      <c r="A453" s="67" t="s">
        <v>2213</v>
      </c>
      <c r="B453" s="31">
        <f>IF(MasterFees[[#This Row],[RVG Code]]="","",_xlfn.XLOOKUP(MasterFees[[#This Row],[RVG Code]],RVGCodes[Code],RVGCodes[Base Units],"Code not found"))</f>
        <v>6</v>
      </c>
      <c r="C45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02 - Neck (Non vascular)</v>
      </c>
      <c r="D45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53" s="125" t="s">
        <v>2623</v>
      </c>
      <c r="F453" s="48" t="s">
        <v>2567</v>
      </c>
      <c r="G453" s="30" t="s">
        <v>899</v>
      </c>
      <c r="H453" s="37" t="s">
        <v>1095</v>
      </c>
      <c r="I453" s="37"/>
      <c r="J453" s="37" t="s">
        <v>1096</v>
      </c>
      <c r="K453" s="32">
        <v>4</v>
      </c>
      <c r="L453" s="32">
        <v>4</v>
      </c>
      <c r="M453" s="32">
        <v>4</v>
      </c>
      <c r="N453" s="32">
        <v>12</v>
      </c>
      <c r="O453" s="33">
        <v>660</v>
      </c>
      <c r="P453" s="38" t="s">
        <v>1014</v>
      </c>
      <c r="Q453" s="34" t="str">
        <f>IF(MasterFees[[#This Row],[GST Basis]]="Excl",MasterFees[[#This Row],[Fee as Printed]],IF(MasterFees[[#This Row],[GST Basis]]="Incl",MasterFees[[#This Row],[Fee as Printed]]/(1+GST_Rate),""))</f>
        <v/>
      </c>
      <c r="R453" s="34" t="str">
        <f>IF(MasterFees[[#This Row],[GST Basis]]="Incl",MasterFees[[#This Row],[Fee as Printed]],IF(MasterFees[[#This Row],[GST Basis]]="Excl",MasterFees[[#This Row],[Fee as Printed]]*(1+GST_Rate),""))</f>
        <v/>
      </c>
      <c r="S453" s="35">
        <f>IF(N(MasterFees[[#This Row],[Total Units]])=0,"",MasterFees[[#This Row],[Fee as Printed]]/MasterFees[[#This Row],[Total Units]])</f>
        <v>55</v>
      </c>
      <c r="T453" s="36"/>
      <c r="U453" s="39" t="s">
        <v>1012</v>
      </c>
      <c r="V453" s="39" t="s">
        <v>2002</v>
      </c>
      <c r="W453" s="30"/>
      <c r="X453" s="73" t="s">
        <v>3826</v>
      </c>
      <c r="Y453" s="127" t="str">
        <f>_xlfn.XLOOKUP(MasterFees[[#This Row],[Provider / Payer]],Contracts[Contract Name],Contracts[Contract ID],"No contract")</f>
        <v>CON-01</v>
      </c>
      <c r="Z453" s="127" t="str">
        <f>_xlfn.XLOOKUP(MasterFees[[#This Row],[Provider / Payer]],Contracts[Contract Name],Contracts[Pricing Basis],"To confirm")</f>
        <v>To confirm</v>
      </c>
      <c r="AA453" s="127" t="str">
        <f>IF(MasterFees[[#This Row],[Pricing Basis]]="Fixed fee schedule","Yes","No")</f>
        <v>No</v>
      </c>
      <c r="AB453" s="127" t="str">
        <f>IF(OR(MasterFees[[#This Row],[Fee Basis]]="Add-on",MasterFees[[#This Row],[Fee Basis]]="Time band",MasterFees[[#This Row],[Fee Basis]]="Other"),MasterFees[[#This Row],[Fee Basis]],"Base")</f>
        <v>Base</v>
      </c>
      <c r="AC453" s="141" t="str">
        <f>IF(MasterFees[[#This Row],[Fixed Fee?]]="Yes",MasterFees[[#This Row],[Fee Excl. GST]],"")</f>
        <v/>
      </c>
    </row>
    <row r="454" spans="1:29" x14ac:dyDescent="0.2">
      <c r="A454" s="67" t="s">
        <v>2213</v>
      </c>
      <c r="B454" s="31">
        <f>IF(MasterFees[[#This Row],[RVG Code]]="","",_xlfn.XLOOKUP(MasterFees[[#This Row],[RVG Code]],RVGCodes[Code],RVGCodes[Base Units],"Code not found"))</f>
        <v>6</v>
      </c>
      <c r="C45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02 - Neck (Non vascular)</v>
      </c>
      <c r="D45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54" s="125" t="s">
        <v>2623</v>
      </c>
      <c r="F454" s="48" t="s">
        <v>2569</v>
      </c>
      <c r="G454" s="30" t="s">
        <v>913</v>
      </c>
      <c r="H454" s="37" t="s">
        <v>1095</v>
      </c>
      <c r="I454" s="37"/>
      <c r="J454" s="37" t="s">
        <v>1096</v>
      </c>
      <c r="K454" s="32">
        <v>5.9</v>
      </c>
      <c r="L454" s="32">
        <v>8.8000000000000007</v>
      </c>
      <c r="M454" s="32">
        <v>0.6</v>
      </c>
      <c r="N454" s="32">
        <v>15.3</v>
      </c>
      <c r="O454" s="33">
        <v>839.3</v>
      </c>
      <c r="P454" s="38" t="s">
        <v>1014</v>
      </c>
      <c r="Q454" s="34" t="str">
        <f>IF(MasterFees[[#This Row],[GST Basis]]="Excl",MasterFees[[#This Row],[Fee as Printed]],IF(MasterFees[[#This Row],[GST Basis]]="Incl",MasterFees[[#This Row],[Fee as Printed]]/(1+GST_Rate),""))</f>
        <v/>
      </c>
      <c r="R454" s="34" t="str">
        <f>IF(MasterFees[[#This Row],[GST Basis]]="Incl",MasterFees[[#This Row],[Fee as Printed]],IF(MasterFees[[#This Row],[GST Basis]]="Excl",MasterFees[[#This Row],[Fee as Printed]]*(1+GST_Rate),""))</f>
        <v/>
      </c>
      <c r="S454" s="35">
        <f>IF(N(MasterFees[[#This Row],[Total Units]])=0,"",MasterFees[[#This Row],[Fee as Printed]]/MasterFees[[#This Row],[Total Units]])</f>
        <v>54.856209150326791</v>
      </c>
      <c r="T454" s="36"/>
      <c r="U454" s="39" t="s">
        <v>1012</v>
      </c>
      <c r="V454" s="39" t="s">
        <v>2016</v>
      </c>
      <c r="W454" s="30"/>
      <c r="X454" s="73" t="s">
        <v>3843</v>
      </c>
      <c r="Y454" s="127" t="str">
        <f>_xlfn.XLOOKUP(MasterFees[[#This Row],[Provider / Payer]],Contracts[Contract Name],Contracts[Contract ID],"No contract")</f>
        <v>CON-01</v>
      </c>
      <c r="Z454" s="127" t="str">
        <f>_xlfn.XLOOKUP(MasterFees[[#This Row],[Provider / Payer]],Contracts[Contract Name],Contracts[Pricing Basis],"To confirm")</f>
        <v>To confirm</v>
      </c>
      <c r="AA454" s="127" t="str">
        <f>IF(MasterFees[[#This Row],[Pricing Basis]]="Fixed fee schedule","Yes","No")</f>
        <v>No</v>
      </c>
      <c r="AB454" s="127" t="str">
        <f>IF(OR(MasterFees[[#This Row],[Fee Basis]]="Add-on",MasterFees[[#This Row],[Fee Basis]]="Time band",MasterFees[[#This Row],[Fee Basis]]="Other"),MasterFees[[#This Row],[Fee Basis]],"Base")</f>
        <v>Base</v>
      </c>
      <c r="AC454" s="141" t="str">
        <f>IF(MasterFees[[#This Row],[Fixed Fee?]]="Yes",MasterFees[[#This Row],[Fee Excl. GST]],"")</f>
        <v/>
      </c>
    </row>
    <row r="455" spans="1:29" x14ac:dyDescent="0.2">
      <c r="A455" s="67" t="s">
        <v>2213</v>
      </c>
      <c r="B455" s="31">
        <f>IF(MasterFees[[#This Row],[RVG Code]]="","",_xlfn.XLOOKUP(MasterFees[[#This Row],[RVG Code]],RVGCodes[Code],RVGCodes[Base Units],"Code not found"))</f>
        <v>6</v>
      </c>
      <c r="C45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02 - Neck (Non vascular)</v>
      </c>
      <c r="D45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55" s="125" t="s">
        <v>2623</v>
      </c>
      <c r="F455" s="48" t="s">
        <v>2569</v>
      </c>
      <c r="G455" s="30" t="s">
        <v>914</v>
      </c>
      <c r="H455" s="37" t="s">
        <v>1095</v>
      </c>
      <c r="I455" s="37"/>
      <c r="J455" s="37" t="s">
        <v>1096</v>
      </c>
      <c r="K455" s="32">
        <v>6</v>
      </c>
      <c r="L455" s="32">
        <v>11.1</v>
      </c>
      <c r="M455" s="32">
        <v>1.1000000000000001</v>
      </c>
      <c r="N455" s="32">
        <v>18.2</v>
      </c>
      <c r="O455" s="33">
        <v>1001.55</v>
      </c>
      <c r="P455" s="38" t="s">
        <v>1014</v>
      </c>
      <c r="Q455" s="34" t="str">
        <f>IF(MasterFees[[#This Row],[GST Basis]]="Excl",MasterFees[[#This Row],[Fee as Printed]],IF(MasterFees[[#This Row],[GST Basis]]="Incl",MasterFees[[#This Row],[Fee as Printed]]/(1+GST_Rate),""))</f>
        <v/>
      </c>
      <c r="R455" s="34" t="str">
        <f>IF(MasterFees[[#This Row],[GST Basis]]="Incl",MasterFees[[#This Row],[Fee as Printed]],IF(MasterFees[[#This Row],[GST Basis]]="Excl",MasterFees[[#This Row],[Fee as Printed]]*(1+GST_Rate),""))</f>
        <v/>
      </c>
      <c r="S455" s="35">
        <f>IF(N(MasterFees[[#This Row],[Total Units]])=0,"",MasterFees[[#This Row],[Fee as Printed]]/MasterFees[[#This Row],[Total Units]])</f>
        <v>55.030219780219781</v>
      </c>
      <c r="T455" s="36"/>
      <c r="U455" s="39" t="s">
        <v>1012</v>
      </c>
      <c r="V455" s="39" t="s">
        <v>2017</v>
      </c>
      <c r="W455" s="30"/>
      <c r="X455" s="73" t="s">
        <v>3844</v>
      </c>
      <c r="Y455" s="127" t="str">
        <f>_xlfn.XLOOKUP(MasterFees[[#This Row],[Provider / Payer]],Contracts[Contract Name],Contracts[Contract ID],"No contract")</f>
        <v>CON-01</v>
      </c>
      <c r="Z455" s="127" t="str">
        <f>_xlfn.XLOOKUP(MasterFees[[#This Row],[Provider / Payer]],Contracts[Contract Name],Contracts[Pricing Basis],"To confirm")</f>
        <v>To confirm</v>
      </c>
      <c r="AA455" s="127" t="str">
        <f>IF(MasterFees[[#This Row],[Pricing Basis]]="Fixed fee schedule","Yes","No")</f>
        <v>No</v>
      </c>
      <c r="AB455" s="127" t="str">
        <f>IF(OR(MasterFees[[#This Row],[Fee Basis]]="Add-on",MasterFees[[#This Row],[Fee Basis]]="Time band",MasterFees[[#This Row],[Fee Basis]]="Other"),MasterFees[[#This Row],[Fee Basis]],"Base")</f>
        <v>Base</v>
      </c>
      <c r="AC455" s="141" t="str">
        <f>IF(MasterFees[[#This Row],[Fixed Fee?]]="Yes",MasterFees[[#This Row],[Fee Excl. GST]],"")</f>
        <v/>
      </c>
    </row>
    <row r="456" spans="1:29" x14ac:dyDescent="0.2">
      <c r="A456" s="67" t="s">
        <v>2213</v>
      </c>
      <c r="B456" s="31">
        <f>IF(MasterFees[[#This Row],[RVG Code]]="","",_xlfn.XLOOKUP(MasterFees[[#This Row],[RVG Code]],RVGCodes[Code],RVGCodes[Base Units],"Code not found"))</f>
        <v>6</v>
      </c>
      <c r="C45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02 - Neck (Non vascular)</v>
      </c>
      <c r="D45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56" s="125" t="s">
        <v>2623</v>
      </c>
      <c r="F456" s="48" t="s">
        <v>2569</v>
      </c>
      <c r="G456" s="30" t="s">
        <v>931</v>
      </c>
      <c r="H456" s="37" t="s">
        <v>1095</v>
      </c>
      <c r="I456" s="37"/>
      <c r="J456" s="37" t="s">
        <v>1096</v>
      </c>
      <c r="K456" s="32">
        <v>6.1</v>
      </c>
      <c r="L456" s="32">
        <v>11.9</v>
      </c>
      <c r="M456" s="32">
        <v>0.8</v>
      </c>
      <c r="N456" s="32">
        <v>18.7</v>
      </c>
      <c r="O456" s="33">
        <v>1028.5</v>
      </c>
      <c r="P456" s="38" t="s">
        <v>1014</v>
      </c>
      <c r="Q456" s="34" t="str">
        <f>IF(MasterFees[[#This Row],[GST Basis]]="Excl",MasterFees[[#This Row],[Fee as Printed]],IF(MasterFees[[#This Row],[GST Basis]]="Incl",MasterFees[[#This Row],[Fee as Printed]]/(1+GST_Rate),""))</f>
        <v/>
      </c>
      <c r="R456" s="34" t="str">
        <f>IF(MasterFees[[#This Row],[GST Basis]]="Incl",MasterFees[[#This Row],[Fee as Printed]],IF(MasterFees[[#This Row],[GST Basis]]="Excl",MasterFees[[#This Row],[Fee as Printed]]*(1+GST_Rate),""))</f>
        <v/>
      </c>
      <c r="S456" s="35">
        <f>IF(N(MasterFees[[#This Row],[Total Units]])=0,"",MasterFees[[#This Row],[Fee as Printed]]/MasterFees[[#This Row],[Total Units]])</f>
        <v>55</v>
      </c>
      <c r="T456" s="36"/>
      <c r="U456" s="39" t="s">
        <v>1012</v>
      </c>
      <c r="V456" s="39" t="s">
        <v>2034</v>
      </c>
      <c r="W456" s="30"/>
      <c r="X456" s="73" t="s">
        <v>3865</v>
      </c>
      <c r="Y456" s="127" t="str">
        <f>_xlfn.XLOOKUP(MasterFees[[#This Row],[Provider / Payer]],Contracts[Contract Name],Contracts[Contract ID],"No contract")</f>
        <v>CON-01</v>
      </c>
      <c r="Z456" s="127" t="str">
        <f>_xlfn.XLOOKUP(MasterFees[[#This Row],[Provider / Payer]],Contracts[Contract Name],Contracts[Pricing Basis],"To confirm")</f>
        <v>To confirm</v>
      </c>
      <c r="AA456" s="127" t="str">
        <f>IF(MasterFees[[#This Row],[Pricing Basis]]="Fixed fee schedule","Yes","No")</f>
        <v>No</v>
      </c>
      <c r="AB456" s="127" t="str">
        <f>IF(OR(MasterFees[[#This Row],[Fee Basis]]="Add-on",MasterFees[[#This Row],[Fee Basis]]="Time band",MasterFees[[#This Row],[Fee Basis]]="Other"),MasterFees[[#This Row],[Fee Basis]],"Base")</f>
        <v>Base</v>
      </c>
      <c r="AC456" s="141" t="str">
        <f>IF(MasterFees[[#This Row],[Fixed Fee?]]="Yes",MasterFees[[#This Row],[Fee Excl. GST]],"")</f>
        <v/>
      </c>
    </row>
    <row r="457" spans="1:29" x14ac:dyDescent="0.2">
      <c r="A457" s="67" t="s">
        <v>2225</v>
      </c>
      <c r="B457" s="31">
        <f>IF(MasterFees[[#This Row],[RVG Code]]="","",_xlfn.XLOOKUP(MasterFees[[#This Row],[RVG Code]],RVGCodes[Code],RVGCodes[Base Units],"Code not found"))</f>
        <v>6</v>
      </c>
      <c r="C45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5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57" s="125" t="s">
        <v>2577</v>
      </c>
      <c r="F457" s="48" t="s">
        <v>2567</v>
      </c>
      <c r="G457" s="30" t="s">
        <v>29</v>
      </c>
      <c r="H457" s="37" t="s">
        <v>1095</v>
      </c>
      <c r="I457" s="37"/>
      <c r="J457" s="37" t="s">
        <v>1096</v>
      </c>
      <c r="K457" s="32">
        <v>6</v>
      </c>
      <c r="L457" s="32">
        <v>4</v>
      </c>
      <c r="M457" s="32">
        <v>1</v>
      </c>
      <c r="N457" s="32">
        <v>11</v>
      </c>
      <c r="O457" s="33">
        <v>605</v>
      </c>
      <c r="P457" s="38" t="s">
        <v>1014</v>
      </c>
      <c r="Q457" s="34" t="str">
        <f>IF(MasterFees[[#This Row],[GST Basis]]="Excl",MasterFees[[#This Row],[Fee as Printed]],IF(MasterFees[[#This Row],[GST Basis]]="Incl",MasterFees[[#This Row],[Fee as Printed]]/(1+GST_Rate),""))</f>
        <v/>
      </c>
      <c r="R457" s="34" t="str">
        <f>IF(MasterFees[[#This Row],[GST Basis]]="Incl",MasterFees[[#This Row],[Fee as Printed]],IF(MasterFees[[#This Row],[GST Basis]]="Excl",MasterFees[[#This Row],[Fee as Printed]]*(1+GST_Rate),""))</f>
        <v/>
      </c>
      <c r="S457" s="35">
        <f>IF(N(MasterFees[[#This Row],[Total Units]])=0,"",MasterFees[[#This Row],[Fee as Printed]]/MasterFees[[#This Row],[Total Units]])</f>
        <v>55</v>
      </c>
      <c r="T457" s="36"/>
      <c r="U457" s="39" t="s">
        <v>1012</v>
      </c>
      <c r="V457" s="39" t="s">
        <v>1118</v>
      </c>
      <c r="W457" s="30"/>
      <c r="X457" s="73" t="s">
        <v>2900</v>
      </c>
      <c r="Y457" s="127" t="str">
        <f>_xlfn.XLOOKUP(MasterFees[[#This Row],[Provider / Payer]],Contracts[Contract Name],Contracts[Contract ID],"No contract")</f>
        <v>CON-01</v>
      </c>
      <c r="Z457" s="127" t="str">
        <f>_xlfn.XLOOKUP(MasterFees[[#This Row],[Provider / Payer]],Contracts[Contract Name],Contracts[Pricing Basis],"To confirm")</f>
        <v>To confirm</v>
      </c>
      <c r="AA457" s="127" t="str">
        <f>IF(MasterFees[[#This Row],[Pricing Basis]]="Fixed fee schedule","Yes","No")</f>
        <v>No</v>
      </c>
      <c r="AB457" s="127" t="str">
        <f>IF(OR(MasterFees[[#This Row],[Fee Basis]]="Add-on",MasterFees[[#This Row],[Fee Basis]]="Time band",MasterFees[[#This Row],[Fee Basis]]="Other"),MasterFees[[#This Row],[Fee Basis]],"Base")</f>
        <v>Base</v>
      </c>
      <c r="AC457" s="141" t="str">
        <f>IF(MasterFees[[#This Row],[Fixed Fee?]]="Yes",MasterFees[[#This Row],[Fee Excl. GST]],"")</f>
        <v/>
      </c>
    </row>
    <row r="458" spans="1:29" x14ac:dyDescent="0.2">
      <c r="A458" s="67" t="s">
        <v>2225</v>
      </c>
      <c r="B458" s="31">
        <f>IF(MasterFees[[#This Row],[RVG Code]]="","",_xlfn.XLOOKUP(MasterFees[[#This Row],[RVG Code]],RVGCodes[Code],RVGCodes[Base Units],"Code not found"))</f>
        <v>6</v>
      </c>
      <c r="C45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5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58" s="125" t="s">
        <v>2577</v>
      </c>
      <c r="F458" s="48" t="s">
        <v>2567</v>
      </c>
      <c r="G458" s="30" t="s">
        <v>40</v>
      </c>
      <c r="H458" s="37" t="s">
        <v>1095</v>
      </c>
      <c r="I458" s="37"/>
      <c r="J458" s="37" t="s">
        <v>1096</v>
      </c>
      <c r="K458" s="32">
        <v>6</v>
      </c>
      <c r="L458" s="32">
        <v>6</v>
      </c>
      <c r="M458" s="32">
        <v>2</v>
      </c>
      <c r="N458" s="32">
        <v>14</v>
      </c>
      <c r="O458" s="33">
        <v>770</v>
      </c>
      <c r="P458" s="38" t="s">
        <v>1014</v>
      </c>
      <c r="Q458" s="34" t="str">
        <f>IF(MasterFees[[#This Row],[GST Basis]]="Excl",MasterFees[[#This Row],[Fee as Printed]],IF(MasterFees[[#This Row],[GST Basis]]="Incl",MasterFees[[#This Row],[Fee as Printed]]/(1+GST_Rate),""))</f>
        <v/>
      </c>
      <c r="R458" s="34" t="str">
        <f>IF(MasterFees[[#This Row],[GST Basis]]="Incl",MasterFees[[#This Row],[Fee as Printed]],IF(MasterFees[[#This Row],[GST Basis]]="Excl",MasterFees[[#This Row],[Fee as Printed]]*(1+GST_Rate),""))</f>
        <v/>
      </c>
      <c r="S458" s="35">
        <f>IF(N(MasterFees[[#This Row],[Total Units]])=0,"",MasterFees[[#This Row],[Fee as Printed]]/MasterFees[[#This Row],[Total Units]])</f>
        <v>55</v>
      </c>
      <c r="T458" s="36"/>
      <c r="U458" s="39" t="s">
        <v>1012</v>
      </c>
      <c r="V458" s="39" t="s">
        <v>1129</v>
      </c>
      <c r="W458" s="30"/>
      <c r="X458" s="73" t="s">
        <v>2911</v>
      </c>
      <c r="Y458" s="127" t="str">
        <f>_xlfn.XLOOKUP(MasterFees[[#This Row],[Provider / Payer]],Contracts[Contract Name],Contracts[Contract ID],"No contract")</f>
        <v>CON-01</v>
      </c>
      <c r="Z458" s="127" t="str">
        <f>_xlfn.XLOOKUP(MasterFees[[#This Row],[Provider / Payer]],Contracts[Contract Name],Contracts[Pricing Basis],"To confirm")</f>
        <v>To confirm</v>
      </c>
      <c r="AA458" s="127" t="str">
        <f>IF(MasterFees[[#This Row],[Pricing Basis]]="Fixed fee schedule","Yes","No")</f>
        <v>No</v>
      </c>
      <c r="AB458" s="127" t="str">
        <f>IF(OR(MasterFees[[#This Row],[Fee Basis]]="Add-on",MasterFees[[#This Row],[Fee Basis]]="Time band",MasterFees[[#This Row],[Fee Basis]]="Other"),MasterFees[[#This Row],[Fee Basis]],"Base")</f>
        <v>Base</v>
      </c>
      <c r="AC458" s="141" t="str">
        <f>IF(MasterFees[[#This Row],[Fixed Fee?]]="Yes",MasterFees[[#This Row],[Fee Excl. GST]],"")</f>
        <v/>
      </c>
    </row>
    <row r="459" spans="1:29" x14ac:dyDescent="0.2">
      <c r="A459" s="67" t="s">
        <v>2225</v>
      </c>
      <c r="B459" s="31">
        <f>IF(MasterFees[[#This Row],[RVG Code]]="","",_xlfn.XLOOKUP(MasterFees[[#This Row],[RVG Code]],RVGCodes[Code],RVGCodes[Base Units],"Code not found"))</f>
        <v>6</v>
      </c>
      <c r="C45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5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59" s="125" t="s">
        <v>2577</v>
      </c>
      <c r="F459" s="48" t="s">
        <v>2569</v>
      </c>
      <c r="G459" s="30" t="s">
        <v>57</v>
      </c>
      <c r="H459" s="37" t="s">
        <v>1095</v>
      </c>
      <c r="I459" s="37"/>
      <c r="J459" s="37" t="s">
        <v>1096</v>
      </c>
      <c r="K459" s="32">
        <v>5.9</v>
      </c>
      <c r="L459" s="32">
        <v>6.2</v>
      </c>
      <c r="M459" s="32">
        <v>0.6</v>
      </c>
      <c r="N459" s="32">
        <v>12.7</v>
      </c>
      <c r="O459" s="33">
        <v>695.75</v>
      </c>
      <c r="P459" s="38" t="s">
        <v>1014</v>
      </c>
      <c r="Q459" s="34" t="str">
        <f>IF(MasterFees[[#This Row],[GST Basis]]="Excl",MasterFees[[#This Row],[Fee as Printed]],IF(MasterFees[[#This Row],[GST Basis]]="Incl",MasterFees[[#This Row],[Fee as Printed]]/(1+GST_Rate),""))</f>
        <v/>
      </c>
      <c r="R459" s="34" t="str">
        <f>IF(MasterFees[[#This Row],[GST Basis]]="Incl",MasterFees[[#This Row],[Fee as Printed]],IF(MasterFees[[#This Row],[GST Basis]]="Excl",MasterFees[[#This Row],[Fee as Printed]]*(1+GST_Rate),""))</f>
        <v/>
      </c>
      <c r="S459" s="35">
        <f>IF(N(MasterFees[[#This Row],[Total Units]])=0,"",MasterFees[[#This Row],[Fee as Printed]]/MasterFees[[#This Row],[Total Units]])</f>
        <v>54.78346456692914</v>
      </c>
      <c r="T459" s="36"/>
      <c r="U459" s="39" t="s">
        <v>1012</v>
      </c>
      <c r="V459" s="39" t="s">
        <v>1146</v>
      </c>
      <c r="W459" s="30"/>
      <c r="X459" s="73" t="s">
        <v>2928</v>
      </c>
      <c r="Y459" s="127" t="str">
        <f>_xlfn.XLOOKUP(MasterFees[[#This Row],[Provider / Payer]],Contracts[Contract Name],Contracts[Contract ID],"No contract")</f>
        <v>CON-01</v>
      </c>
      <c r="Z459" s="127" t="str">
        <f>_xlfn.XLOOKUP(MasterFees[[#This Row],[Provider / Payer]],Contracts[Contract Name],Contracts[Pricing Basis],"To confirm")</f>
        <v>To confirm</v>
      </c>
      <c r="AA459" s="127" t="str">
        <f>IF(MasterFees[[#This Row],[Pricing Basis]]="Fixed fee schedule","Yes","No")</f>
        <v>No</v>
      </c>
      <c r="AB459" s="127" t="str">
        <f>IF(OR(MasterFees[[#This Row],[Fee Basis]]="Add-on",MasterFees[[#This Row],[Fee Basis]]="Time band",MasterFees[[#This Row],[Fee Basis]]="Other"),MasterFees[[#This Row],[Fee Basis]],"Base")</f>
        <v>Base</v>
      </c>
      <c r="AC459" s="141" t="str">
        <f>IF(MasterFees[[#This Row],[Fixed Fee?]]="Yes",MasterFees[[#This Row],[Fee Excl. GST]],"")</f>
        <v/>
      </c>
    </row>
    <row r="460" spans="1:29" x14ac:dyDescent="0.2">
      <c r="A460" s="67" t="s">
        <v>2225</v>
      </c>
      <c r="B460" s="31">
        <f>IF(MasterFees[[#This Row],[RVG Code]]="","",_xlfn.XLOOKUP(MasterFees[[#This Row],[RVG Code]],RVGCodes[Code],RVGCodes[Base Units],"Code not found"))</f>
        <v>6</v>
      </c>
      <c r="C46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6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60" s="125" t="s">
        <v>2577</v>
      </c>
      <c r="F460" s="48" t="s">
        <v>2567</v>
      </c>
      <c r="G460" s="30" t="s">
        <v>60</v>
      </c>
      <c r="H460" s="37" t="s">
        <v>1095</v>
      </c>
      <c r="I460" s="37"/>
      <c r="J460" s="37" t="s">
        <v>1096</v>
      </c>
      <c r="K460" s="32">
        <v>5.5</v>
      </c>
      <c r="L460" s="32">
        <v>4</v>
      </c>
      <c r="M460" s="32">
        <v>0.3</v>
      </c>
      <c r="N460" s="32">
        <v>9.8000000000000007</v>
      </c>
      <c r="O460" s="33">
        <v>539</v>
      </c>
      <c r="P460" s="38" t="s">
        <v>1014</v>
      </c>
      <c r="Q460" s="34" t="str">
        <f>IF(MasterFees[[#This Row],[GST Basis]]="Excl",MasterFees[[#This Row],[Fee as Printed]],IF(MasterFees[[#This Row],[GST Basis]]="Incl",MasterFees[[#This Row],[Fee as Printed]]/(1+GST_Rate),""))</f>
        <v/>
      </c>
      <c r="R460" s="34" t="str">
        <f>IF(MasterFees[[#This Row],[GST Basis]]="Incl",MasterFees[[#This Row],[Fee as Printed]],IF(MasterFees[[#This Row],[GST Basis]]="Excl",MasterFees[[#This Row],[Fee as Printed]]*(1+GST_Rate),""))</f>
        <v/>
      </c>
      <c r="S460" s="35">
        <f>IF(N(MasterFees[[#This Row],[Total Units]])=0,"",MasterFees[[#This Row],[Fee as Printed]]/MasterFees[[#This Row],[Total Units]])</f>
        <v>54.999999999999993</v>
      </c>
      <c r="T460" s="36"/>
      <c r="U460" s="39" t="s">
        <v>1012</v>
      </c>
      <c r="V460" s="39" t="s">
        <v>1149</v>
      </c>
      <c r="W460" s="30"/>
      <c r="X460" s="73" t="s">
        <v>2931</v>
      </c>
      <c r="Y460" s="127" t="str">
        <f>_xlfn.XLOOKUP(MasterFees[[#This Row],[Provider / Payer]],Contracts[Contract Name],Contracts[Contract ID],"No contract")</f>
        <v>CON-01</v>
      </c>
      <c r="Z460" s="127" t="str">
        <f>_xlfn.XLOOKUP(MasterFees[[#This Row],[Provider / Payer]],Contracts[Contract Name],Contracts[Pricing Basis],"To confirm")</f>
        <v>To confirm</v>
      </c>
      <c r="AA460" s="127" t="str">
        <f>IF(MasterFees[[#This Row],[Pricing Basis]]="Fixed fee schedule","Yes","No")</f>
        <v>No</v>
      </c>
      <c r="AB460" s="127" t="str">
        <f>IF(OR(MasterFees[[#This Row],[Fee Basis]]="Add-on",MasterFees[[#This Row],[Fee Basis]]="Time band",MasterFees[[#This Row],[Fee Basis]]="Other"),MasterFees[[#This Row],[Fee Basis]],"Base")</f>
        <v>Base</v>
      </c>
      <c r="AC460" s="141" t="str">
        <f>IF(MasterFees[[#This Row],[Fixed Fee?]]="Yes",MasterFees[[#This Row],[Fee Excl. GST]],"")</f>
        <v/>
      </c>
    </row>
    <row r="461" spans="1:29" x14ac:dyDescent="0.2">
      <c r="A461" s="67" t="s">
        <v>2225</v>
      </c>
      <c r="B461" s="31">
        <f>IF(MasterFees[[#This Row],[RVG Code]]="","",_xlfn.XLOOKUP(MasterFees[[#This Row],[RVG Code]],RVGCodes[Code],RVGCodes[Base Units],"Code not found"))</f>
        <v>6</v>
      </c>
      <c r="C46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6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61" s="125" t="s">
        <v>2577</v>
      </c>
      <c r="F461" s="48" t="s">
        <v>2567</v>
      </c>
      <c r="G461" s="30" t="s">
        <v>61</v>
      </c>
      <c r="H461" s="37" t="s">
        <v>1095</v>
      </c>
      <c r="I461" s="37"/>
      <c r="J461" s="37" t="s">
        <v>1096</v>
      </c>
      <c r="K461" s="32">
        <v>6</v>
      </c>
      <c r="L461" s="32">
        <v>6.7</v>
      </c>
      <c r="M461" s="32">
        <v>0.1</v>
      </c>
      <c r="N461" s="32">
        <v>12.9</v>
      </c>
      <c r="O461" s="33">
        <v>706.75</v>
      </c>
      <c r="P461" s="38" t="s">
        <v>1014</v>
      </c>
      <c r="Q461" s="34" t="str">
        <f>IF(MasterFees[[#This Row],[GST Basis]]="Excl",MasterFees[[#This Row],[Fee as Printed]],IF(MasterFees[[#This Row],[GST Basis]]="Incl",MasterFees[[#This Row],[Fee as Printed]]/(1+GST_Rate),""))</f>
        <v/>
      </c>
      <c r="R461" s="34" t="str">
        <f>IF(MasterFees[[#This Row],[GST Basis]]="Incl",MasterFees[[#This Row],[Fee as Printed]],IF(MasterFees[[#This Row],[GST Basis]]="Excl",MasterFees[[#This Row],[Fee as Printed]]*(1+GST_Rate),""))</f>
        <v/>
      </c>
      <c r="S461" s="35">
        <f>IF(N(MasterFees[[#This Row],[Total Units]])=0,"",MasterFees[[#This Row],[Fee as Printed]]/MasterFees[[#This Row],[Total Units]])</f>
        <v>54.786821705426355</v>
      </c>
      <c r="T461" s="36"/>
      <c r="U461" s="39" t="s">
        <v>1012</v>
      </c>
      <c r="V461" s="39" t="s">
        <v>1150</v>
      </c>
      <c r="W461" s="30"/>
      <c r="X461" s="73" t="s">
        <v>2932</v>
      </c>
      <c r="Y461" s="127" t="str">
        <f>_xlfn.XLOOKUP(MasterFees[[#This Row],[Provider / Payer]],Contracts[Contract Name],Contracts[Contract ID],"No contract")</f>
        <v>CON-01</v>
      </c>
      <c r="Z461" s="127" t="str">
        <f>_xlfn.XLOOKUP(MasterFees[[#This Row],[Provider / Payer]],Contracts[Contract Name],Contracts[Pricing Basis],"To confirm")</f>
        <v>To confirm</v>
      </c>
      <c r="AA461" s="127" t="str">
        <f>IF(MasterFees[[#This Row],[Pricing Basis]]="Fixed fee schedule","Yes","No")</f>
        <v>No</v>
      </c>
      <c r="AB461" s="127" t="str">
        <f>IF(OR(MasterFees[[#This Row],[Fee Basis]]="Add-on",MasterFees[[#This Row],[Fee Basis]]="Time band",MasterFees[[#This Row],[Fee Basis]]="Other"),MasterFees[[#This Row],[Fee Basis]],"Base")</f>
        <v>Base</v>
      </c>
      <c r="AC461" s="141" t="str">
        <f>IF(MasterFees[[#This Row],[Fixed Fee?]]="Yes",MasterFees[[#This Row],[Fee Excl. GST]],"")</f>
        <v/>
      </c>
    </row>
    <row r="462" spans="1:29" x14ac:dyDescent="0.2">
      <c r="A462" s="67" t="s">
        <v>2220</v>
      </c>
      <c r="B462" s="31">
        <f>IF(MasterFees[[#This Row],[RVG Code]]="","",_xlfn.XLOOKUP(MasterFees[[#This Row],[RVG Code]],RVGCodes[Code],RVGCodes[Base Units],"Code not found"))</f>
        <v>4</v>
      </c>
      <c r="C46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6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62" s="125" t="s">
        <v>2591</v>
      </c>
      <c r="F462" s="48" t="s">
        <v>2569</v>
      </c>
      <c r="G462" s="30" t="s">
        <v>84</v>
      </c>
      <c r="H462" s="37" t="s">
        <v>1095</v>
      </c>
      <c r="I462" s="37"/>
      <c r="J462" s="37" t="s">
        <v>1096</v>
      </c>
      <c r="K462" s="32">
        <v>3.6</v>
      </c>
      <c r="L462" s="32">
        <v>3.8</v>
      </c>
      <c r="M462" s="32">
        <v>0.9</v>
      </c>
      <c r="N462" s="32">
        <v>8.4</v>
      </c>
      <c r="O462" s="33">
        <v>460.35</v>
      </c>
      <c r="P462" s="38" t="s">
        <v>1014</v>
      </c>
      <c r="Q462" s="34" t="str">
        <f>IF(MasterFees[[#This Row],[GST Basis]]="Excl",MasterFees[[#This Row],[Fee as Printed]],IF(MasterFees[[#This Row],[GST Basis]]="Incl",MasterFees[[#This Row],[Fee as Printed]]/(1+GST_Rate),""))</f>
        <v/>
      </c>
      <c r="R462" s="34" t="str">
        <f>IF(MasterFees[[#This Row],[GST Basis]]="Incl",MasterFees[[#This Row],[Fee as Printed]],IF(MasterFees[[#This Row],[GST Basis]]="Excl",MasterFees[[#This Row],[Fee as Printed]]*(1+GST_Rate),""))</f>
        <v/>
      </c>
      <c r="S462" s="35">
        <f>IF(N(MasterFees[[#This Row],[Total Units]])=0,"",MasterFees[[#This Row],[Fee as Printed]]/MasterFees[[#This Row],[Total Units]])</f>
        <v>54.803571428571431</v>
      </c>
      <c r="T462" s="36"/>
      <c r="U462" s="39" t="s">
        <v>1012</v>
      </c>
      <c r="V462" s="39" t="s">
        <v>1173</v>
      </c>
      <c r="W462" s="30"/>
      <c r="X462" s="73" t="s">
        <v>2956</v>
      </c>
      <c r="Y462" s="127" t="str">
        <f>_xlfn.XLOOKUP(MasterFees[[#This Row],[Provider / Payer]],Contracts[Contract Name],Contracts[Contract ID],"No contract")</f>
        <v>CON-01</v>
      </c>
      <c r="Z462" s="127" t="str">
        <f>_xlfn.XLOOKUP(MasterFees[[#This Row],[Provider / Payer]],Contracts[Contract Name],Contracts[Pricing Basis],"To confirm")</f>
        <v>To confirm</v>
      </c>
      <c r="AA462" s="127" t="str">
        <f>IF(MasterFees[[#This Row],[Pricing Basis]]="Fixed fee schedule","Yes","No")</f>
        <v>No</v>
      </c>
      <c r="AB462" s="127" t="str">
        <f>IF(OR(MasterFees[[#This Row],[Fee Basis]]="Add-on",MasterFees[[#This Row],[Fee Basis]]="Time band",MasterFees[[#This Row],[Fee Basis]]="Other"),MasterFees[[#This Row],[Fee Basis]],"Base")</f>
        <v>Base</v>
      </c>
      <c r="AC462" s="141" t="str">
        <f>IF(MasterFees[[#This Row],[Fixed Fee?]]="Yes",MasterFees[[#This Row],[Fee Excl. GST]],"")</f>
        <v/>
      </c>
    </row>
    <row r="463" spans="1:29" x14ac:dyDescent="0.2">
      <c r="A463" s="67" t="s">
        <v>2220</v>
      </c>
      <c r="B463" s="31">
        <f>IF(MasterFees[[#This Row],[RVG Code]]="","",_xlfn.XLOOKUP(MasterFees[[#This Row],[RVG Code]],RVGCodes[Code],RVGCodes[Base Units],"Code not found"))</f>
        <v>4</v>
      </c>
      <c r="C46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6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63" s="125" t="s">
        <v>2591</v>
      </c>
      <c r="F463" s="48" t="s">
        <v>2569</v>
      </c>
      <c r="G463" s="30" t="s">
        <v>153</v>
      </c>
      <c r="H463" s="37" t="s">
        <v>1095</v>
      </c>
      <c r="I463" s="37"/>
      <c r="J463" s="37" t="s">
        <v>1096</v>
      </c>
      <c r="K463" s="32">
        <v>3.5</v>
      </c>
      <c r="L463" s="32">
        <v>2.9</v>
      </c>
      <c r="M463" s="32">
        <v>0.4</v>
      </c>
      <c r="N463" s="32">
        <v>6.8</v>
      </c>
      <c r="O463" s="33">
        <v>372.9</v>
      </c>
      <c r="P463" s="38" t="s">
        <v>1014</v>
      </c>
      <c r="Q463" s="34" t="str">
        <f>IF(MasterFees[[#This Row],[GST Basis]]="Excl",MasterFees[[#This Row],[Fee as Printed]],IF(MasterFees[[#This Row],[GST Basis]]="Incl",MasterFees[[#This Row],[Fee as Printed]]/(1+GST_Rate),""))</f>
        <v/>
      </c>
      <c r="R463" s="34" t="str">
        <f>IF(MasterFees[[#This Row],[GST Basis]]="Incl",MasterFees[[#This Row],[Fee as Printed]],IF(MasterFees[[#This Row],[GST Basis]]="Excl",MasterFees[[#This Row],[Fee as Printed]]*(1+GST_Rate),""))</f>
        <v/>
      </c>
      <c r="S463" s="35">
        <f>IF(N(MasterFees[[#This Row],[Total Units]])=0,"",MasterFees[[#This Row],[Fee as Printed]]/MasterFees[[#This Row],[Total Units]])</f>
        <v>54.838235294117645</v>
      </c>
      <c r="T463" s="36"/>
      <c r="U463" s="39" t="s">
        <v>1012</v>
      </c>
      <c r="V463" s="39" t="s">
        <v>1246</v>
      </c>
      <c r="W463" s="30"/>
      <c r="X463" s="73" t="s">
        <v>3030</v>
      </c>
      <c r="Y463" s="127" t="str">
        <f>_xlfn.XLOOKUP(MasterFees[[#This Row],[Provider / Payer]],Contracts[Contract Name],Contracts[Contract ID],"No contract")</f>
        <v>CON-01</v>
      </c>
      <c r="Z463" s="127" t="str">
        <f>_xlfn.XLOOKUP(MasterFees[[#This Row],[Provider / Payer]],Contracts[Contract Name],Contracts[Pricing Basis],"To confirm")</f>
        <v>To confirm</v>
      </c>
      <c r="AA463" s="127" t="str">
        <f>IF(MasterFees[[#This Row],[Pricing Basis]]="Fixed fee schedule","Yes","No")</f>
        <v>No</v>
      </c>
      <c r="AB463" s="127" t="str">
        <f>IF(OR(MasterFees[[#This Row],[Fee Basis]]="Add-on",MasterFees[[#This Row],[Fee Basis]]="Time band",MasterFees[[#This Row],[Fee Basis]]="Other"),MasterFees[[#This Row],[Fee Basis]],"Base")</f>
        <v>Base</v>
      </c>
      <c r="AC463" s="141" t="str">
        <f>IF(MasterFees[[#This Row],[Fixed Fee?]]="Yes",MasterFees[[#This Row],[Fee Excl. GST]],"")</f>
        <v/>
      </c>
    </row>
    <row r="464" spans="1:29" x14ac:dyDescent="0.2">
      <c r="A464" s="67" t="s">
        <v>2223</v>
      </c>
      <c r="B464" s="31">
        <f>IF(MasterFees[[#This Row],[RVG Code]]="","",_xlfn.XLOOKUP(MasterFees[[#This Row],[RVG Code]],RVGCodes[Code],RVGCodes[Base Units],"Code not found"))</f>
        <v>5</v>
      </c>
      <c r="C46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6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64" s="125" t="s">
        <v>2603</v>
      </c>
      <c r="F464" s="48" t="s">
        <v>2569</v>
      </c>
      <c r="G464" s="30" t="s">
        <v>219</v>
      </c>
      <c r="H464" s="37" t="s">
        <v>1095</v>
      </c>
      <c r="I464" s="37"/>
      <c r="J464" s="37" t="s">
        <v>1096</v>
      </c>
      <c r="K464" s="32">
        <v>6</v>
      </c>
      <c r="L464" s="32">
        <v>16</v>
      </c>
      <c r="M464" s="32">
        <v>2</v>
      </c>
      <c r="N464" s="32">
        <v>24</v>
      </c>
      <c r="O464" s="33">
        <v>1320</v>
      </c>
      <c r="P464" s="38" t="s">
        <v>1014</v>
      </c>
      <c r="Q464" s="34" t="str">
        <f>IF(MasterFees[[#This Row],[GST Basis]]="Excl",MasterFees[[#This Row],[Fee as Printed]],IF(MasterFees[[#This Row],[GST Basis]]="Incl",MasterFees[[#This Row],[Fee as Printed]]/(1+GST_Rate),""))</f>
        <v/>
      </c>
      <c r="R464" s="34" t="str">
        <f>IF(MasterFees[[#This Row],[GST Basis]]="Incl",MasterFees[[#This Row],[Fee as Printed]],IF(MasterFees[[#This Row],[GST Basis]]="Excl",MasterFees[[#This Row],[Fee as Printed]]*(1+GST_Rate),""))</f>
        <v/>
      </c>
      <c r="S464" s="35">
        <f>IF(N(MasterFees[[#This Row],[Total Units]])=0,"",MasterFees[[#This Row],[Fee as Printed]]/MasterFees[[#This Row],[Total Units]])</f>
        <v>55</v>
      </c>
      <c r="T464" s="36"/>
      <c r="U464" s="39" t="s">
        <v>1012</v>
      </c>
      <c r="V464" s="39" t="s">
        <v>1313</v>
      </c>
      <c r="W464" s="30"/>
      <c r="X464" s="73" t="s">
        <v>3099</v>
      </c>
      <c r="Y464" s="127" t="str">
        <f>_xlfn.XLOOKUP(MasterFees[[#This Row],[Provider / Payer]],Contracts[Contract Name],Contracts[Contract ID],"No contract")</f>
        <v>CON-01</v>
      </c>
      <c r="Z464" s="127" t="str">
        <f>_xlfn.XLOOKUP(MasterFees[[#This Row],[Provider / Payer]],Contracts[Contract Name],Contracts[Pricing Basis],"To confirm")</f>
        <v>To confirm</v>
      </c>
      <c r="AA464" s="127" t="str">
        <f>IF(MasterFees[[#This Row],[Pricing Basis]]="Fixed fee schedule","Yes","No")</f>
        <v>No</v>
      </c>
      <c r="AB464" s="127" t="str">
        <f>IF(OR(MasterFees[[#This Row],[Fee Basis]]="Add-on",MasterFees[[#This Row],[Fee Basis]]="Time band",MasterFees[[#This Row],[Fee Basis]]="Other"),MasterFees[[#This Row],[Fee Basis]],"Base")</f>
        <v>Base</v>
      </c>
      <c r="AC464" s="141" t="str">
        <f>IF(MasterFees[[#This Row],[Fixed Fee?]]="Yes",MasterFees[[#This Row],[Fee Excl. GST]],"")</f>
        <v/>
      </c>
    </row>
    <row r="465" spans="1:29" x14ac:dyDescent="0.2">
      <c r="A465" s="67" t="s">
        <v>2220</v>
      </c>
      <c r="B465" s="31">
        <f>IF(MasterFees[[#This Row],[RVG Code]]="","",_xlfn.XLOOKUP(MasterFees[[#This Row],[RVG Code]],RVGCodes[Code],RVGCodes[Base Units],"Code not found"))</f>
        <v>4</v>
      </c>
      <c r="C46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6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65" s="125" t="s">
        <v>2591</v>
      </c>
      <c r="F465" s="48" t="s">
        <v>2567</v>
      </c>
      <c r="G465" s="30" t="s">
        <v>234</v>
      </c>
      <c r="H465" s="37" t="s">
        <v>1095</v>
      </c>
      <c r="I465" s="37"/>
      <c r="J465" s="37" t="s">
        <v>1096</v>
      </c>
      <c r="K465" s="32">
        <v>3.8</v>
      </c>
      <c r="L465" s="32">
        <v>2.8</v>
      </c>
      <c r="M465" s="32">
        <v>0.8</v>
      </c>
      <c r="N465" s="32">
        <v>7.6</v>
      </c>
      <c r="O465" s="33">
        <v>411.95</v>
      </c>
      <c r="P465" s="38" t="s">
        <v>1014</v>
      </c>
      <c r="Q465" s="34" t="str">
        <f>IF(MasterFees[[#This Row],[GST Basis]]="Excl",MasterFees[[#This Row],[Fee as Printed]],IF(MasterFees[[#This Row],[GST Basis]]="Incl",MasterFees[[#This Row],[Fee as Printed]]/(1+GST_Rate),""))</f>
        <v/>
      </c>
      <c r="R465" s="34" t="str">
        <f>IF(MasterFees[[#This Row],[GST Basis]]="Incl",MasterFees[[#This Row],[Fee as Printed]],IF(MasterFees[[#This Row],[GST Basis]]="Excl",MasterFees[[#This Row],[Fee as Printed]]*(1+GST_Rate),""))</f>
        <v/>
      </c>
      <c r="S465" s="35">
        <f>IF(N(MasterFees[[#This Row],[Total Units]])=0,"",MasterFees[[#This Row],[Fee as Printed]]/MasterFees[[#This Row],[Total Units]])</f>
        <v>54.203947368421055</v>
      </c>
      <c r="T465" s="36"/>
      <c r="U465" s="39" t="s">
        <v>1012</v>
      </c>
      <c r="V465" s="39" t="s">
        <v>1328</v>
      </c>
      <c r="W465" s="30"/>
      <c r="X465" s="73" t="s">
        <v>3117</v>
      </c>
      <c r="Y465" s="127" t="str">
        <f>_xlfn.XLOOKUP(MasterFees[[#This Row],[Provider / Payer]],Contracts[Contract Name],Contracts[Contract ID],"No contract")</f>
        <v>CON-01</v>
      </c>
      <c r="Z465" s="127" t="str">
        <f>_xlfn.XLOOKUP(MasterFees[[#This Row],[Provider / Payer]],Contracts[Contract Name],Contracts[Pricing Basis],"To confirm")</f>
        <v>To confirm</v>
      </c>
      <c r="AA465" s="127" t="str">
        <f>IF(MasterFees[[#This Row],[Pricing Basis]]="Fixed fee schedule","Yes","No")</f>
        <v>No</v>
      </c>
      <c r="AB465" s="127" t="str">
        <f>IF(OR(MasterFees[[#This Row],[Fee Basis]]="Add-on",MasterFees[[#This Row],[Fee Basis]]="Time band",MasterFees[[#This Row],[Fee Basis]]="Other"),MasterFees[[#This Row],[Fee Basis]],"Base")</f>
        <v>Base</v>
      </c>
      <c r="AC465" s="141" t="str">
        <f>IF(MasterFees[[#This Row],[Fixed Fee?]]="Yes",MasterFees[[#This Row],[Fee Excl. GST]],"")</f>
        <v/>
      </c>
    </row>
    <row r="466" spans="1:29" x14ac:dyDescent="0.2">
      <c r="A466" s="67" t="s">
        <v>2223</v>
      </c>
      <c r="B466" s="31">
        <f>IF(MasterFees[[#This Row],[RVG Code]]="","",_xlfn.XLOOKUP(MasterFees[[#This Row],[RVG Code]],RVGCodes[Code],RVGCodes[Base Units],"Code not found"))</f>
        <v>5</v>
      </c>
      <c r="C46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6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66" s="125" t="s">
        <v>2603</v>
      </c>
      <c r="F466" s="48" t="s">
        <v>2567</v>
      </c>
      <c r="G466" s="30" t="s">
        <v>237</v>
      </c>
      <c r="H466" s="37" t="s">
        <v>1095</v>
      </c>
      <c r="I466" s="37"/>
      <c r="J466" s="37" t="s">
        <v>1096</v>
      </c>
      <c r="K466" s="32">
        <v>4</v>
      </c>
      <c r="L466" s="32">
        <v>4.3</v>
      </c>
      <c r="M466" s="32">
        <v>0.3</v>
      </c>
      <c r="N466" s="32">
        <v>8.5</v>
      </c>
      <c r="O466" s="33">
        <v>467.5</v>
      </c>
      <c r="P466" s="38" t="s">
        <v>1014</v>
      </c>
      <c r="Q466" s="34" t="str">
        <f>IF(MasterFees[[#This Row],[GST Basis]]="Excl",MasterFees[[#This Row],[Fee as Printed]],IF(MasterFees[[#This Row],[GST Basis]]="Incl",MasterFees[[#This Row],[Fee as Printed]]/(1+GST_Rate),""))</f>
        <v/>
      </c>
      <c r="R466" s="34" t="str">
        <f>IF(MasterFees[[#This Row],[GST Basis]]="Incl",MasterFees[[#This Row],[Fee as Printed]],IF(MasterFees[[#This Row],[GST Basis]]="Excl",MasterFees[[#This Row],[Fee as Printed]]*(1+GST_Rate),""))</f>
        <v/>
      </c>
      <c r="S466" s="35">
        <f>IF(N(MasterFees[[#This Row],[Total Units]])=0,"",MasterFees[[#This Row],[Fee as Printed]]/MasterFees[[#This Row],[Total Units]])</f>
        <v>55</v>
      </c>
      <c r="T466" s="36"/>
      <c r="U466" s="39" t="s">
        <v>1012</v>
      </c>
      <c r="V466" s="39" t="s">
        <v>1331</v>
      </c>
      <c r="W466" s="30"/>
      <c r="X466" s="73" t="s">
        <v>3121</v>
      </c>
      <c r="Y466" s="127" t="str">
        <f>_xlfn.XLOOKUP(MasterFees[[#This Row],[Provider / Payer]],Contracts[Contract Name],Contracts[Contract ID],"No contract")</f>
        <v>CON-01</v>
      </c>
      <c r="Z466" s="127" t="str">
        <f>_xlfn.XLOOKUP(MasterFees[[#This Row],[Provider / Payer]],Contracts[Contract Name],Contracts[Pricing Basis],"To confirm")</f>
        <v>To confirm</v>
      </c>
      <c r="AA466" s="127" t="str">
        <f>IF(MasterFees[[#This Row],[Pricing Basis]]="Fixed fee schedule","Yes","No")</f>
        <v>No</v>
      </c>
      <c r="AB466" s="127" t="str">
        <f>IF(OR(MasterFees[[#This Row],[Fee Basis]]="Add-on",MasterFees[[#This Row],[Fee Basis]]="Time band",MasterFees[[#This Row],[Fee Basis]]="Other"),MasterFees[[#This Row],[Fee Basis]],"Base")</f>
        <v>Base</v>
      </c>
      <c r="AC466" s="141" t="str">
        <f>IF(MasterFees[[#This Row],[Fixed Fee?]]="Yes",MasterFees[[#This Row],[Fee Excl. GST]],"")</f>
        <v/>
      </c>
    </row>
    <row r="467" spans="1:29" x14ac:dyDescent="0.2">
      <c r="A467" s="67" t="s">
        <v>2220</v>
      </c>
      <c r="B467" s="31">
        <f>IF(MasterFees[[#This Row],[RVG Code]]="","",_xlfn.XLOOKUP(MasterFees[[#This Row],[RVG Code]],RVGCodes[Code],RVGCodes[Base Units],"Code not found"))</f>
        <v>4</v>
      </c>
      <c r="C46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6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67" s="125" t="s">
        <v>2591</v>
      </c>
      <c r="F467" s="48" t="s">
        <v>2567</v>
      </c>
      <c r="G467" s="30" t="s">
        <v>261</v>
      </c>
      <c r="H467" s="37" t="s">
        <v>1095</v>
      </c>
      <c r="I467" s="37"/>
      <c r="J467" s="37" t="s">
        <v>1096</v>
      </c>
      <c r="K467" s="32">
        <v>4</v>
      </c>
      <c r="L467" s="32">
        <v>2</v>
      </c>
      <c r="M467" s="32">
        <v>0</v>
      </c>
      <c r="N467" s="32">
        <v>6</v>
      </c>
      <c r="O467" s="33">
        <v>330</v>
      </c>
      <c r="P467" s="38" t="s">
        <v>1014</v>
      </c>
      <c r="Q467" s="34" t="str">
        <f>IF(MasterFees[[#This Row],[GST Basis]]="Excl",MasterFees[[#This Row],[Fee as Printed]],IF(MasterFees[[#This Row],[GST Basis]]="Incl",MasterFees[[#This Row],[Fee as Printed]]/(1+GST_Rate),""))</f>
        <v/>
      </c>
      <c r="R467" s="34" t="str">
        <f>IF(MasterFees[[#This Row],[GST Basis]]="Incl",MasterFees[[#This Row],[Fee as Printed]],IF(MasterFees[[#This Row],[GST Basis]]="Excl",MasterFees[[#This Row],[Fee as Printed]]*(1+GST_Rate),""))</f>
        <v/>
      </c>
      <c r="S467" s="35">
        <f>IF(N(MasterFees[[#This Row],[Total Units]])=0,"",MasterFees[[#This Row],[Fee as Printed]]/MasterFees[[#This Row],[Total Units]])</f>
        <v>55</v>
      </c>
      <c r="T467" s="36"/>
      <c r="U467" s="39" t="s">
        <v>1012</v>
      </c>
      <c r="V467" s="39" t="s">
        <v>1355</v>
      </c>
      <c r="W467" s="30"/>
      <c r="X467" s="73" t="s">
        <v>3145</v>
      </c>
      <c r="Y467" s="127" t="str">
        <f>_xlfn.XLOOKUP(MasterFees[[#This Row],[Provider / Payer]],Contracts[Contract Name],Contracts[Contract ID],"No contract")</f>
        <v>CON-01</v>
      </c>
      <c r="Z467" s="127" t="str">
        <f>_xlfn.XLOOKUP(MasterFees[[#This Row],[Provider / Payer]],Contracts[Contract Name],Contracts[Pricing Basis],"To confirm")</f>
        <v>To confirm</v>
      </c>
      <c r="AA467" s="127" t="str">
        <f>IF(MasterFees[[#This Row],[Pricing Basis]]="Fixed fee schedule","Yes","No")</f>
        <v>No</v>
      </c>
      <c r="AB467" s="127" t="str">
        <f>IF(OR(MasterFees[[#This Row],[Fee Basis]]="Add-on",MasterFees[[#This Row],[Fee Basis]]="Time band",MasterFees[[#This Row],[Fee Basis]]="Other"),MasterFees[[#This Row],[Fee Basis]],"Base")</f>
        <v>Base</v>
      </c>
      <c r="AC467" s="141" t="str">
        <f>IF(MasterFees[[#This Row],[Fixed Fee?]]="Yes",MasterFees[[#This Row],[Fee Excl. GST]],"")</f>
        <v/>
      </c>
    </row>
    <row r="468" spans="1:29" x14ac:dyDescent="0.2">
      <c r="A468" s="67" t="s">
        <v>2223</v>
      </c>
      <c r="B468" s="31">
        <f>IF(MasterFees[[#This Row],[RVG Code]]="","",_xlfn.XLOOKUP(MasterFees[[#This Row],[RVG Code]],RVGCodes[Code],RVGCodes[Base Units],"Code not found"))</f>
        <v>5</v>
      </c>
      <c r="C46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6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68" s="125" t="s">
        <v>2603</v>
      </c>
      <c r="F468" s="48" t="s">
        <v>2567</v>
      </c>
      <c r="G468" s="30" t="s">
        <v>263</v>
      </c>
      <c r="H468" s="37" t="s">
        <v>1095</v>
      </c>
      <c r="I468" s="37"/>
      <c r="J468" s="37" t="s">
        <v>1096</v>
      </c>
      <c r="K468" s="32">
        <v>4.2</v>
      </c>
      <c r="L468" s="32">
        <v>6.1</v>
      </c>
      <c r="M468" s="32">
        <v>0.6</v>
      </c>
      <c r="N468" s="32">
        <v>10.8</v>
      </c>
      <c r="O468" s="33">
        <v>595.65</v>
      </c>
      <c r="P468" s="38" t="s">
        <v>1014</v>
      </c>
      <c r="Q468" s="34" t="str">
        <f>IF(MasterFees[[#This Row],[GST Basis]]="Excl",MasterFees[[#This Row],[Fee as Printed]],IF(MasterFees[[#This Row],[GST Basis]]="Incl",MasterFees[[#This Row],[Fee as Printed]]/(1+GST_Rate),""))</f>
        <v/>
      </c>
      <c r="R468" s="34" t="str">
        <f>IF(MasterFees[[#This Row],[GST Basis]]="Incl",MasterFees[[#This Row],[Fee as Printed]],IF(MasterFees[[#This Row],[GST Basis]]="Excl",MasterFees[[#This Row],[Fee as Printed]]*(1+GST_Rate),""))</f>
        <v/>
      </c>
      <c r="S468" s="35">
        <f>IF(N(MasterFees[[#This Row],[Total Units]])=0,"",MasterFees[[#This Row],[Fee as Printed]]/MasterFees[[#This Row],[Total Units]])</f>
        <v>55.152777777777771</v>
      </c>
      <c r="T468" s="36"/>
      <c r="U468" s="39" t="s">
        <v>1012</v>
      </c>
      <c r="V468" s="39" t="s">
        <v>1357</v>
      </c>
      <c r="W468" s="30"/>
      <c r="X468" s="73" t="s">
        <v>3147</v>
      </c>
      <c r="Y468" s="127" t="str">
        <f>_xlfn.XLOOKUP(MasterFees[[#This Row],[Provider / Payer]],Contracts[Contract Name],Contracts[Contract ID],"No contract")</f>
        <v>CON-01</v>
      </c>
      <c r="Z468" s="127" t="str">
        <f>_xlfn.XLOOKUP(MasterFees[[#This Row],[Provider / Payer]],Contracts[Contract Name],Contracts[Pricing Basis],"To confirm")</f>
        <v>To confirm</v>
      </c>
      <c r="AA468" s="127" t="str">
        <f>IF(MasterFees[[#This Row],[Pricing Basis]]="Fixed fee schedule","Yes","No")</f>
        <v>No</v>
      </c>
      <c r="AB468" s="127" t="str">
        <f>IF(OR(MasterFees[[#This Row],[Fee Basis]]="Add-on",MasterFees[[#This Row],[Fee Basis]]="Time band",MasterFees[[#This Row],[Fee Basis]]="Other"),MasterFees[[#This Row],[Fee Basis]],"Base")</f>
        <v>Base</v>
      </c>
      <c r="AC468" s="141" t="str">
        <f>IF(MasterFees[[#This Row],[Fixed Fee?]]="Yes",MasterFees[[#This Row],[Fee Excl. GST]],"")</f>
        <v/>
      </c>
    </row>
    <row r="469" spans="1:29" x14ac:dyDescent="0.2">
      <c r="A469" s="67" t="s">
        <v>2223</v>
      </c>
      <c r="B469" s="31">
        <f>IF(MasterFees[[#This Row],[RVG Code]]="","",_xlfn.XLOOKUP(MasterFees[[#This Row],[RVG Code]],RVGCodes[Code],RVGCodes[Base Units],"Code not found"))</f>
        <v>5</v>
      </c>
      <c r="C46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6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69" s="125" t="s">
        <v>2603</v>
      </c>
      <c r="F469" s="48" t="s">
        <v>2567</v>
      </c>
      <c r="G469" s="30" t="s">
        <v>264</v>
      </c>
      <c r="H469" s="37" t="s">
        <v>1095</v>
      </c>
      <c r="I469" s="37"/>
      <c r="J469" s="37" t="s">
        <v>1096</v>
      </c>
      <c r="K469" s="32">
        <v>0</v>
      </c>
      <c r="L469" s="32">
        <v>0</v>
      </c>
      <c r="M469" s="32">
        <v>0</v>
      </c>
      <c r="N469" s="32">
        <v>0</v>
      </c>
      <c r="O469" s="33">
        <v>0</v>
      </c>
      <c r="P469" s="38" t="s">
        <v>1014</v>
      </c>
      <c r="Q469" s="34" t="str">
        <f>IF(MasterFees[[#This Row],[GST Basis]]="Excl",MasterFees[[#This Row],[Fee as Printed]],IF(MasterFees[[#This Row],[GST Basis]]="Incl",MasterFees[[#This Row],[Fee as Printed]]/(1+GST_Rate),""))</f>
        <v/>
      </c>
      <c r="R469" s="34" t="str">
        <f>IF(MasterFees[[#This Row],[GST Basis]]="Incl",MasterFees[[#This Row],[Fee as Printed]],IF(MasterFees[[#This Row],[GST Basis]]="Excl",MasterFees[[#This Row],[Fee as Printed]]*(1+GST_Rate),""))</f>
        <v/>
      </c>
      <c r="S469" s="35" t="str">
        <f>IF(N(MasterFees[[#This Row],[Total Units]])=0,"",MasterFees[[#This Row],[Fee as Printed]]/MasterFees[[#This Row],[Total Units]])</f>
        <v/>
      </c>
      <c r="T469" s="36"/>
      <c r="U469" s="39" t="s">
        <v>1012</v>
      </c>
      <c r="V469" s="39" t="s">
        <v>1358</v>
      </c>
      <c r="W469" s="30"/>
      <c r="X469" s="73" t="s">
        <v>3148</v>
      </c>
      <c r="Y469" s="127" t="str">
        <f>_xlfn.XLOOKUP(MasterFees[[#This Row],[Provider / Payer]],Contracts[Contract Name],Contracts[Contract ID],"No contract")</f>
        <v>CON-01</v>
      </c>
      <c r="Z469" s="127" t="str">
        <f>_xlfn.XLOOKUP(MasterFees[[#This Row],[Provider / Payer]],Contracts[Contract Name],Contracts[Pricing Basis],"To confirm")</f>
        <v>To confirm</v>
      </c>
      <c r="AA469" s="127" t="str">
        <f>IF(MasterFees[[#This Row],[Pricing Basis]]="Fixed fee schedule","Yes","No")</f>
        <v>No</v>
      </c>
      <c r="AB469" s="127" t="str">
        <f>IF(OR(MasterFees[[#This Row],[Fee Basis]]="Add-on",MasterFees[[#This Row],[Fee Basis]]="Time band",MasterFees[[#This Row],[Fee Basis]]="Other"),MasterFees[[#This Row],[Fee Basis]],"Base")</f>
        <v>Base</v>
      </c>
      <c r="AC469" s="141" t="str">
        <f>IF(MasterFees[[#This Row],[Fixed Fee?]]="Yes",MasterFees[[#This Row],[Fee Excl. GST]],"")</f>
        <v/>
      </c>
    </row>
    <row r="470" spans="1:29" x14ac:dyDescent="0.2">
      <c r="A470" s="67" t="s">
        <v>2223</v>
      </c>
      <c r="B470" s="31">
        <f>IF(MasterFees[[#This Row],[RVG Code]]="","",_xlfn.XLOOKUP(MasterFees[[#This Row],[RVG Code]],RVGCodes[Code],RVGCodes[Base Units],"Code not found"))</f>
        <v>5</v>
      </c>
      <c r="C47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7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70" s="125" t="s">
        <v>2603</v>
      </c>
      <c r="F470" s="48" t="s">
        <v>2567</v>
      </c>
      <c r="G470" s="30" t="s">
        <v>265</v>
      </c>
      <c r="H470" s="37" t="s">
        <v>1095</v>
      </c>
      <c r="I470" s="37"/>
      <c r="J470" s="37" t="s">
        <v>1096</v>
      </c>
      <c r="K470" s="32">
        <v>4.2</v>
      </c>
      <c r="L470" s="32">
        <v>6.1</v>
      </c>
      <c r="M470" s="32">
        <v>0.6</v>
      </c>
      <c r="N470" s="32">
        <v>10.9</v>
      </c>
      <c r="O470" s="33">
        <v>600.6</v>
      </c>
      <c r="P470" s="38" t="s">
        <v>1014</v>
      </c>
      <c r="Q470" s="34" t="str">
        <f>IF(MasterFees[[#This Row],[GST Basis]]="Excl",MasterFees[[#This Row],[Fee as Printed]],IF(MasterFees[[#This Row],[GST Basis]]="Incl",MasterFees[[#This Row],[Fee as Printed]]/(1+GST_Rate),""))</f>
        <v/>
      </c>
      <c r="R470" s="34" t="str">
        <f>IF(MasterFees[[#This Row],[GST Basis]]="Incl",MasterFees[[#This Row],[Fee as Printed]],IF(MasterFees[[#This Row],[GST Basis]]="Excl",MasterFees[[#This Row],[Fee as Printed]]*(1+GST_Rate),""))</f>
        <v/>
      </c>
      <c r="S470" s="35">
        <f>IF(N(MasterFees[[#This Row],[Total Units]])=0,"",MasterFees[[#This Row],[Fee as Printed]]/MasterFees[[#This Row],[Total Units]])</f>
        <v>55.100917431192663</v>
      </c>
      <c r="T470" s="36"/>
      <c r="U470" s="39" t="s">
        <v>1012</v>
      </c>
      <c r="V470" s="39" t="s">
        <v>1359</v>
      </c>
      <c r="W470" s="30"/>
      <c r="X470" s="73" t="s">
        <v>3149</v>
      </c>
      <c r="Y470" s="127" t="str">
        <f>_xlfn.XLOOKUP(MasterFees[[#This Row],[Provider / Payer]],Contracts[Contract Name],Contracts[Contract ID],"No contract")</f>
        <v>CON-01</v>
      </c>
      <c r="Z470" s="127" t="str">
        <f>_xlfn.XLOOKUP(MasterFees[[#This Row],[Provider / Payer]],Contracts[Contract Name],Contracts[Pricing Basis],"To confirm")</f>
        <v>To confirm</v>
      </c>
      <c r="AA470" s="127" t="str">
        <f>IF(MasterFees[[#This Row],[Pricing Basis]]="Fixed fee schedule","Yes","No")</f>
        <v>No</v>
      </c>
      <c r="AB470" s="127" t="str">
        <f>IF(OR(MasterFees[[#This Row],[Fee Basis]]="Add-on",MasterFees[[#This Row],[Fee Basis]]="Time band",MasterFees[[#This Row],[Fee Basis]]="Other"),MasterFees[[#This Row],[Fee Basis]],"Base")</f>
        <v>Base</v>
      </c>
      <c r="AC470" s="141" t="str">
        <f>IF(MasterFees[[#This Row],[Fixed Fee?]]="Yes",MasterFees[[#This Row],[Fee Excl. GST]],"")</f>
        <v/>
      </c>
    </row>
    <row r="471" spans="1:29" x14ac:dyDescent="0.2">
      <c r="A471" s="67" t="s">
        <v>2223</v>
      </c>
      <c r="B471" s="31">
        <f>IF(MasterFees[[#This Row],[RVG Code]]="","",_xlfn.XLOOKUP(MasterFees[[#This Row],[RVG Code]],RVGCodes[Code],RVGCodes[Base Units],"Code not found"))</f>
        <v>5</v>
      </c>
      <c r="C47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7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71" s="125" t="s">
        <v>2603</v>
      </c>
      <c r="F471" s="48" t="s">
        <v>2567</v>
      </c>
      <c r="G471" s="30" t="s">
        <v>266</v>
      </c>
      <c r="H471" s="37" t="s">
        <v>1095</v>
      </c>
      <c r="I471" s="37"/>
      <c r="J471" s="37" t="s">
        <v>1096</v>
      </c>
      <c r="K471" s="32">
        <v>4.3</v>
      </c>
      <c r="L471" s="32">
        <v>7.1</v>
      </c>
      <c r="M471" s="32">
        <v>1.1000000000000001</v>
      </c>
      <c r="N471" s="32">
        <v>12.5</v>
      </c>
      <c r="O471" s="33">
        <v>685.85</v>
      </c>
      <c r="P471" s="38" t="s">
        <v>1014</v>
      </c>
      <c r="Q471" s="34" t="str">
        <f>IF(MasterFees[[#This Row],[GST Basis]]="Excl",MasterFees[[#This Row],[Fee as Printed]],IF(MasterFees[[#This Row],[GST Basis]]="Incl",MasterFees[[#This Row],[Fee as Printed]]/(1+GST_Rate),""))</f>
        <v/>
      </c>
      <c r="R471" s="34" t="str">
        <f>IF(MasterFees[[#This Row],[GST Basis]]="Incl",MasterFees[[#This Row],[Fee as Printed]],IF(MasterFees[[#This Row],[GST Basis]]="Excl",MasterFees[[#This Row],[Fee as Printed]]*(1+GST_Rate),""))</f>
        <v/>
      </c>
      <c r="S471" s="35">
        <f>IF(N(MasterFees[[#This Row],[Total Units]])=0,"",MasterFees[[#This Row],[Fee as Printed]]/MasterFees[[#This Row],[Total Units]])</f>
        <v>54.868000000000002</v>
      </c>
      <c r="T471" s="36"/>
      <c r="U471" s="39" t="s">
        <v>1012</v>
      </c>
      <c r="V471" s="39" t="s">
        <v>1360</v>
      </c>
      <c r="W471" s="30"/>
      <c r="X471" s="73" t="s">
        <v>3150</v>
      </c>
      <c r="Y471" s="127" t="str">
        <f>_xlfn.XLOOKUP(MasterFees[[#This Row],[Provider / Payer]],Contracts[Contract Name],Contracts[Contract ID],"No contract")</f>
        <v>CON-01</v>
      </c>
      <c r="Z471" s="127" t="str">
        <f>_xlfn.XLOOKUP(MasterFees[[#This Row],[Provider / Payer]],Contracts[Contract Name],Contracts[Pricing Basis],"To confirm")</f>
        <v>To confirm</v>
      </c>
      <c r="AA471" s="127" t="str">
        <f>IF(MasterFees[[#This Row],[Pricing Basis]]="Fixed fee schedule","Yes","No")</f>
        <v>No</v>
      </c>
      <c r="AB471" s="127" t="str">
        <f>IF(OR(MasterFees[[#This Row],[Fee Basis]]="Add-on",MasterFees[[#This Row],[Fee Basis]]="Time band",MasterFees[[#This Row],[Fee Basis]]="Other"),MasterFees[[#This Row],[Fee Basis]],"Base")</f>
        <v>Base</v>
      </c>
      <c r="AC471" s="141" t="str">
        <f>IF(MasterFees[[#This Row],[Fixed Fee?]]="Yes",MasterFees[[#This Row],[Fee Excl. GST]],"")</f>
        <v/>
      </c>
    </row>
    <row r="472" spans="1:29" x14ac:dyDescent="0.2">
      <c r="A472" s="67" t="s">
        <v>2223</v>
      </c>
      <c r="B472" s="31">
        <f>IF(MasterFees[[#This Row],[RVG Code]]="","",_xlfn.XLOOKUP(MasterFees[[#This Row],[RVG Code]],RVGCodes[Code],RVGCodes[Base Units],"Code not found"))</f>
        <v>5</v>
      </c>
      <c r="C47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7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72" s="125" t="s">
        <v>2603</v>
      </c>
      <c r="F472" s="48" t="s">
        <v>2567</v>
      </c>
      <c r="G472" s="30" t="s">
        <v>267</v>
      </c>
      <c r="H472" s="37" t="s">
        <v>1095</v>
      </c>
      <c r="I472" s="37"/>
      <c r="J472" s="37" t="s">
        <v>1096</v>
      </c>
      <c r="K472" s="32">
        <v>6</v>
      </c>
      <c r="L472" s="32">
        <v>5.5</v>
      </c>
      <c r="M472" s="32">
        <v>1</v>
      </c>
      <c r="N472" s="32">
        <v>12.5</v>
      </c>
      <c r="O472" s="33">
        <v>687.5</v>
      </c>
      <c r="P472" s="38" t="s">
        <v>1014</v>
      </c>
      <c r="Q472" s="34" t="str">
        <f>IF(MasterFees[[#This Row],[GST Basis]]="Excl",MasterFees[[#This Row],[Fee as Printed]],IF(MasterFees[[#This Row],[GST Basis]]="Incl",MasterFees[[#This Row],[Fee as Printed]]/(1+GST_Rate),""))</f>
        <v/>
      </c>
      <c r="R472" s="34" t="str">
        <f>IF(MasterFees[[#This Row],[GST Basis]]="Incl",MasterFees[[#This Row],[Fee as Printed]],IF(MasterFees[[#This Row],[GST Basis]]="Excl",MasterFees[[#This Row],[Fee as Printed]]*(1+GST_Rate),""))</f>
        <v/>
      </c>
      <c r="S472" s="35">
        <f>IF(N(MasterFees[[#This Row],[Total Units]])=0,"",MasterFees[[#This Row],[Fee as Printed]]/MasterFees[[#This Row],[Total Units]])</f>
        <v>55</v>
      </c>
      <c r="T472" s="36"/>
      <c r="U472" s="39" t="s">
        <v>1012</v>
      </c>
      <c r="V472" s="39" t="s">
        <v>1361</v>
      </c>
      <c r="W472" s="30"/>
      <c r="X472" s="73" t="s">
        <v>3151</v>
      </c>
      <c r="Y472" s="127" t="str">
        <f>_xlfn.XLOOKUP(MasterFees[[#This Row],[Provider / Payer]],Contracts[Contract Name],Contracts[Contract ID],"No contract")</f>
        <v>CON-01</v>
      </c>
      <c r="Z472" s="127" t="str">
        <f>_xlfn.XLOOKUP(MasterFees[[#This Row],[Provider / Payer]],Contracts[Contract Name],Contracts[Pricing Basis],"To confirm")</f>
        <v>To confirm</v>
      </c>
      <c r="AA472" s="127" t="str">
        <f>IF(MasterFees[[#This Row],[Pricing Basis]]="Fixed fee schedule","Yes","No")</f>
        <v>No</v>
      </c>
      <c r="AB472" s="127" t="str">
        <f>IF(OR(MasterFees[[#This Row],[Fee Basis]]="Add-on",MasterFees[[#This Row],[Fee Basis]]="Time band",MasterFees[[#This Row],[Fee Basis]]="Other"),MasterFees[[#This Row],[Fee Basis]],"Base")</f>
        <v>Base</v>
      </c>
      <c r="AC472" s="141" t="str">
        <f>IF(MasterFees[[#This Row],[Fixed Fee?]]="Yes",MasterFees[[#This Row],[Fee Excl. GST]],"")</f>
        <v/>
      </c>
    </row>
    <row r="473" spans="1:29" x14ac:dyDescent="0.2">
      <c r="A473" s="67" t="s">
        <v>2220</v>
      </c>
      <c r="B473" s="31">
        <f>IF(MasterFees[[#This Row],[RVG Code]]="","",_xlfn.XLOOKUP(MasterFees[[#This Row],[RVG Code]],RVGCodes[Code],RVGCodes[Base Units],"Code not found"))</f>
        <v>4</v>
      </c>
      <c r="C47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7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73" s="125" t="s">
        <v>2591</v>
      </c>
      <c r="F473" s="48" t="s">
        <v>2567</v>
      </c>
      <c r="G473" s="30" t="s">
        <v>269</v>
      </c>
      <c r="H473" s="37" t="s">
        <v>1095</v>
      </c>
      <c r="I473" s="37"/>
      <c r="J473" s="37" t="s">
        <v>1096</v>
      </c>
      <c r="K473" s="32">
        <v>0</v>
      </c>
      <c r="L473" s="32">
        <v>0</v>
      </c>
      <c r="M473" s="32">
        <v>0</v>
      </c>
      <c r="N473" s="32">
        <v>0</v>
      </c>
      <c r="O473" s="33">
        <v>0</v>
      </c>
      <c r="P473" s="38" t="s">
        <v>1014</v>
      </c>
      <c r="Q473" s="34" t="str">
        <f>IF(MasterFees[[#This Row],[GST Basis]]="Excl",MasterFees[[#This Row],[Fee as Printed]],IF(MasterFees[[#This Row],[GST Basis]]="Incl",MasterFees[[#This Row],[Fee as Printed]]/(1+GST_Rate),""))</f>
        <v/>
      </c>
      <c r="R473" s="34" t="str">
        <f>IF(MasterFees[[#This Row],[GST Basis]]="Incl",MasterFees[[#This Row],[Fee as Printed]],IF(MasterFees[[#This Row],[GST Basis]]="Excl",MasterFees[[#This Row],[Fee as Printed]]*(1+GST_Rate),""))</f>
        <v/>
      </c>
      <c r="S473" s="35" t="str">
        <f>IF(N(MasterFees[[#This Row],[Total Units]])=0,"",MasterFees[[#This Row],[Fee as Printed]]/MasterFees[[#This Row],[Total Units]])</f>
        <v/>
      </c>
      <c r="T473" s="36"/>
      <c r="U473" s="39" t="s">
        <v>1012</v>
      </c>
      <c r="V473" s="39" t="s">
        <v>1363</v>
      </c>
      <c r="W473" s="30"/>
      <c r="X473" s="73" t="s">
        <v>3153</v>
      </c>
      <c r="Y473" s="127" t="str">
        <f>_xlfn.XLOOKUP(MasterFees[[#This Row],[Provider / Payer]],Contracts[Contract Name],Contracts[Contract ID],"No contract")</f>
        <v>CON-01</v>
      </c>
      <c r="Z473" s="127" t="str">
        <f>_xlfn.XLOOKUP(MasterFees[[#This Row],[Provider / Payer]],Contracts[Contract Name],Contracts[Pricing Basis],"To confirm")</f>
        <v>To confirm</v>
      </c>
      <c r="AA473" s="127" t="str">
        <f>IF(MasterFees[[#This Row],[Pricing Basis]]="Fixed fee schedule","Yes","No")</f>
        <v>No</v>
      </c>
      <c r="AB473" s="127" t="str">
        <f>IF(OR(MasterFees[[#This Row],[Fee Basis]]="Add-on",MasterFees[[#This Row],[Fee Basis]]="Time band",MasterFees[[#This Row],[Fee Basis]]="Other"),MasterFees[[#This Row],[Fee Basis]],"Base")</f>
        <v>Base</v>
      </c>
      <c r="AC473" s="141" t="str">
        <f>IF(MasterFees[[#This Row],[Fixed Fee?]]="Yes",MasterFees[[#This Row],[Fee Excl. GST]],"")</f>
        <v/>
      </c>
    </row>
    <row r="474" spans="1:29" x14ac:dyDescent="0.2">
      <c r="A474" s="67" t="s">
        <v>2220</v>
      </c>
      <c r="B474" s="31">
        <f>IF(MasterFees[[#This Row],[RVG Code]]="","",_xlfn.XLOOKUP(MasterFees[[#This Row],[RVG Code]],RVGCodes[Code],RVGCodes[Base Units],"Code not found"))</f>
        <v>4</v>
      </c>
      <c r="C47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7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74" s="125" t="s">
        <v>2591</v>
      </c>
      <c r="F474" s="48" t="s">
        <v>2567</v>
      </c>
      <c r="G474" s="30" t="s">
        <v>280</v>
      </c>
      <c r="H474" s="37" t="s">
        <v>1095</v>
      </c>
      <c r="I474" s="37"/>
      <c r="J474" s="37" t="s">
        <v>1096</v>
      </c>
      <c r="K474" s="32">
        <v>4</v>
      </c>
      <c r="L474" s="32">
        <v>2.2000000000000002</v>
      </c>
      <c r="M474" s="32">
        <v>0.2</v>
      </c>
      <c r="N474" s="32">
        <v>6.5</v>
      </c>
      <c r="O474" s="33">
        <v>355.3</v>
      </c>
      <c r="P474" s="38" t="s">
        <v>1014</v>
      </c>
      <c r="Q474" s="34" t="str">
        <f>IF(MasterFees[[#This Row],[GST Basis]]="Excl",MasterFees[[#This Row],[Fee as Printed]],IF(MasterFees[[#This Row],[GST Basis]]="Incl",MasterFees[[#This Row],[Fee as Printed]]/(1+GST_Rate),""))</f>
        <v/>
      </c>
      <c r="R474" s="34" t="str">
        <f>IF(MasterFees[[#This Row],[GST Basis]]="Incl",MasterFees[[#This Row],[Fee as Printed]],IF(MasterFees[[#This Row],[GST Basis]]="Excl",MasterFees[[#This Row],[Fee as Printed]]*(1+GST_Rate),""))</f>
        <v/>
      </c>
      <c r="S474" s="35">
        <f>IF(N(MasterFees[[#This Row],[Total Units]])=0,"",MasterFees[[#This Row],[Fee as Printed]]/MasterFees[[#This Row],[Total Units]])</f>
        <v>54.661538461538463</v>
      </c>
      <c r="T474" s="36"/>
      <c r="U474" s="39" t="s">
        <v>1012</v>
      </c>
      <c r="V474" s="39" t="s">
        <v>1374</v>
      </c>
      <c r="W474" s="30"/>
      <c r="X474" s="73" t="s">
        <v>3165</v>
      </c>
      <c r="Y474" s="127" t="str">
        <f>_xlfn.XLOOKUP(MasterFees[[#This Row],[Provider / Payer]],Contracts[Contract Name],Contracts[Contract ID],"No contract")</f>
        <v>CON-01</v>
      </c>
      <c r="Z474" s="127" t="str">
        <f>_xlfn.XLOOKUP(MasterFees[[#This Row],[Provider / Payer]],Contracts[Contract Name],Contracts[Pricing Basis],"To confirm")</f>
        <v>To confirm</v>
      </c>
      <c r="AA474" s="127" t="str">
        <f>IF(MasterFees[[#This Row],[Pricing Basis]]="Fixed fee schedule","Yes","No")</f>
        <v>No</v>
      </c>
      <c r="AB474" s="127" t="str">
        <f>IF(OR(MasterFees[[#This Row],[Fee Basis]]="Add-on",MasterFees[[#This Row],[Fee Basis]]="Time band",MasterFees[[#This Row],[Fee Basis]]="Other"),MasterFees[[#This Row],[Fee Basis]],"Base")</f>
        <v>Base</v>
      </c>
      <c r="AC474" s="141" t="str">
        <f>IF(MasterFees[[#This Row],[Fixed Fee?]]="Yes",MasterFees[[#This Row],[Fee Excl. GST]],"")</f>
        <v/>
      </c>
    </row>
    <row r="475" spans="1:29" x14ac:dyDescent="0.2">
      <c r="A475" s="67" t="s">
        <v>2220</v>
      </c>
      <c r="B475" s="31">
        <f>IF(MasterFees[[#This Row],[RVG Code]]="","",_xlfn.XLOOKUP(MasterFees[[#This Row],[RVG Code]],RVGCodes[Code],RVGCodes[Base Units],"Code not found"))</f>
        <v>4</v>
      </c>
      <c r="C47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7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75" s="125" t="s">
        <v>2591</v>
      </c>
      <c r="F475" s="48" t="s">
        <v>2567</v>
      </c>
      <c r="G475" s="30" t="s">
        <v>307</v>
      </c>
      <c r="H475" s="37" t="s">
        <v>1095</v>
      </c>
      <c r="I475" s="37"/>
      <c r="J475" s="37" t="s">
        <v>1096</v>
      </c>
      <c r="K475" s="32">
        <v>4</v>
      </c>
      <c r="L475" s="32">
        <v>4</v>
      </c>
      <c r="M475" s="32">
        <v>0</v>
      </c>
      <c r="N475" s="32">
        <v>8</v>
      </c>
      <c r="O475" s="33">
        <v>440</v>
      </c>
      <c r="P475" s="38" t="s">
        <v>1014</v>
      </c>
      <c r="Q475" s="34" t="str">
        <f>IF(MasterFees[[#This Row],[GST Basis]]="Excl",MasterFees[[#This Row],[Fee as Printed]],IF(MasterFees[[#This Row],[GST Basis]]="Incl",MasterFees[[#This Row],[Fee as Printed]]/(1+GST_Rate),""))</f>
        <v/>
      </c>
      <c r="R475" s="34" t="str">
        <f>IF(MasterFees[[#This Row],[GST Basis]]="Incl",MasterFees[[#This Row],[Fee as Printed]],IF(MasterFees[[#This Row],[GST Basis]]="Excl",MasterFees[[#This Row],[Fee as Printed]]*(1+GST_Rate),""))</f>
        <v/>
      </c>
      <c r="S475" s="35">
        <f>IF(N(MasterFees[[#This Row],[Total Units]])=0,"",MasterFees[[#This Row],[Fee as Printed]]/MasterFees[[#This Row],[Total Units]])</f>
        <v>55</v>
      </c>
      <c r="T475" s="36"/>
      <c r="U475" s="39" t="s">
        <v>1012</v>
      </c>
      <c r="V475" s="39" t="s">
        <v>1401</v>
      </c>
      <c r="W475" s="30"/>
      <c r="X475" s="73" t="s">
        <v>3192</v>
      </c>
      <c r="Y475" s="127" t="str">
        <f>_xlfn.XLOOKUP(MasterFees[[#This Row],[Provider / Payer]],Contracts[Contract Name],Contracts[Contract ID],"No contract")</f>
        <v>CON-01</v>
      </c>
      <c r="Z475" s="127" t="str">
        <f>_xlfn.XLOOKUP(MasterFees[[#This Row],[Provider / Payer]],Contracts[Contract Name],Contracts[Pricing Basis],"To confirm")</f>
        <v>To confirm</v>
      </c>
      <c r="AA475" s="127" t="str">
        <f>IF(MasterFees[[#This Row],[Pricing Basis]]="Fixed fee schedule","Yes","No")</f>
        <v>No</v>
      </c>
      <c r="AB475" s="127" t="str">
        <f>IF(OR(MasterFees[[#This Row],[Fee Basis]]="Add-on",MasterFees[[#This Row],[Fee Basis]]="Time band",MasterFees[[#This Row],[Fee Basis]]="Other"),MasterFees[[#This Row],[Fee Basis]],"Base")</f>
        <v>Base</v>
      </c>
      <c r="AC475" s="141" t="str">
        <f>IF(MasterFees[[#This Row],[Fixed Fee?]]="Yes",MasterFees[[#This Row],[Fee Excl. GST]],"")</f>
        <v/>
      </c>
    </row>
    <row r="476" spans="1:29" x14ac:dyDescent="0.2">
      <c r="A476" s="67" t="s">
        <v>2220</v>
      </c>
      <c r="B476" s="31">
        <f>IF(MasterFees[[#This Row],[RVG Code]]="","",_xlfn.XLOOKUP(MasterFees[[#This Row],[RVG Code]],RVGCodes[Code],RVGCodes[Base Units],"Code not found"))</f>
        <v>4</v>
      </c>
      <c r="C47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7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76" s="125" t="s">
        <v>2591</v>
      </c>
      <c r="F476" s="48" t="s">
        <v>2567</v>
      </c>
      <c r="G476" s="30" t="s">
        <v>310</v>
      </c>
      <c r="H476" s="37" t="s">
        <v>1095</v>
      </c>
      <c r="I476" s="37"/>
      <c r="J476" s="37" t="s">
        <v>1096</v>
      </c>
      <c r="K476" s="32">
        <v>6</v>
      </c>
      <c r="L476" s="32">
        <v>8</v>
      </c>
      <c r="M476" s="32">
        <v>0</v>
      </c>
      <c r="N476" s="32">
        <v>14</v>
      </c>
      <c r="O476" s="33">
        <v>770</v>
      </c>
      <c r="P476" s="38" t="s">
        <v>1014</v>
      </c>
      <c r="Q476" s="34" t="str">
        <f>IF(MasterFees[[#This Row],[GST Basis]]="Excl",MasterFees[[#This Row],[Fee as Printed]],IF(MasterFees[[#This Row],[GST Basis]]="Incl",MasterFees[[#This Row],[Fee as Printed]]/(1+GST_Rate),""))</f>
        <v/>
      </c>
      <c r="R476" s="34" t="str">
        <f>IF(MasterFees[[#This Row],[GST Basis]]="Incl",MasterFees[[#This Row],[Fee as Printed]],IF(MasterFees[[#This Row],[GST Basis]]="Excl",MasterFees[[#This Row],[Fee as Printed]]*(1+GST_Rate),""))</f>
        <v/>
      </c>
      <c r="S476" s="35">
        <f>IF(N(MasterFees[[#This Row],[Total Units]])=0,"",MasterFees[[#This Row],[Fee as Printed]]/MasterFees[[#This Row],[Total Units]])</f>
        <v>55</v>
      </c>
      <c r="T476" s="36"/>
      <c r="U476" s="39" t="s">
        <v>1012</v>
      </c>
      <c r="V476" s="39" t="s">
        <v>1404</v>
      </c>
      <c r="W476" s="30"/>
      <c r="X476" s="73" t="s">
        <v>3195</v>
      </c>
      <c r="Y476" s="127" t="str">
        <f>_xlfn.XLOOKUP(MasterFees[[#This Row],[Provider / Payer]],Contracts[Contract Name],Contracts[Contract ID],"No contract")</f>
        <v>CON-01</v>
      </c>
      <c r="Z476" s="127" t="str">
        <f>_xlfn.XLOOKUP(MasterFees[[#This Row],[Provider / Payer]],Contracts[Contract Name],Contracts[Pricing Basis],"To confirm")</f>
        <v>To confirm</v>
      </c>
      <c r="AA476" s="127" t="str">
        <f>IF(MasterFees[[#This Row],[Pricing Basis]]="Fixed fee schedule","Yes","No")</f>
        <v>No</v>
      </c>
      <c r="AB476" s="127" t="str">
        <f>IF(OR(MasterFees[[#This Row],[Fee Basis]]="Add-on",MasterFees[[#This Row],[Fee Basis]]="Time band",MasterFees[[#This Row],[Fee Basis]]="Other"),MasterFees[[#This Row],[Fee Basis]],"Base")</f>
        <v>Base</v>
      </c>
      <c r="AC476" s="141" t="str">
        <f>IF(MasterFees[[#This Row],[Fixed Fee?]]="Yes",MasterFees[[#This Row],[Fee Excl. GST]],"")</f>
        <v/>
      </c>
    </row>
    <row r="477" spans="1:29" x14ac:dyDescent="0.2">
      <c r="A477" s="67" t="s">
        <v>2220</v>
      </c>
      <c r="B477" s="31">
        <f>IF(MasterFees[[#This Row],[RVG Code]]="","",_xlfn.XLOOKUP(MasterFees[[#This Row],[RVG Code]],RVGCodes[Code],RVGCodes[Base Units],"Code not found"))</f>
        <v>4</v>
      </c>
      <c r="C47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7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77" s="125" t="s">
        <v>2591</v>
      </c>
      <c r="F477" s="48" t="s">
        <v>2567</v>
      </c>
      <c r="G477" s="30" t="s">
        <v>311</v>
      </c>
      <c r="H477" s="37" t="s">
        <v>1095</v>
      </c>
      <c r="I477" s="37"/>
      <c r="J477" s="37" t="s">
        <v>1096</v>
      </c>
      <c r="K477" s="32">
        <v>3.9</v>
      </c>
      <c r="L477" s="32">
        <v>3.7</v>
      </c>
      <c r="M477" s="32">
        <v>0.3</v>
      </c>
      <c r="N477" s="32">
        <v>7.9</v>
      </c>
      <c r="O477" s="33">
        <v>434.5</v>
      </c>
      <c r="P477" s="38" t="s">
        <v>1014</v>
      </c>
      <c r="Q477" s="34" t="str">
        <f>IF(MasterFees[[#This Row],[GST Basis]]="Excl",MasterFees[[#This Row],[Fee as Printed]],IF(MasterFees[[#This Row],[GST Basis]]="Incl",MasterFees[[#This Row],[Fee as Printed]]/(1+GST_Rate),""))</f>
        <v/>
      </c>
      <c r="R477" s="34" t="str">
        <f>IF(MasterFees[[#This Row],[GST Basis]]="Incl",MasterFees[[#This Row],[Fee as Printed]],IF(MasterFees[[#This Row],[GST Basis]]="Excl",MasterFees[[#This Row],[Fee as Printed]]*(1+GST_Rate),""))</f>
        <v/>
      </c>
      <c r="S477" s="35">
        <f>IF(N(MasterFees[[#This Row],[Total Units]])=0,"",MasterFees[[#This Row],[Fee as Printed]]/MasterFees[[#This Row],[Total Units]])</f>
        <v>55</v>
      </c>
      <c r="T477" s="36"/>
      <c r="U477" s="39" t="s">
        <v>1012</v>
      </c>
      <c r="V477" s="39" t="s">
        <v>1405</v>
      </c>
      <c r="W477" s="30"/>
      <c r="X477" s="73" t="s">
        <v>3196</v>
      </c>
      <c r="Y477" s="127" t="str">
        <f>_xlfn.XLOOKUP(MasterFees[[#This Row],[Provider / Payer]],Contracts[Contract Name],Contracts[Contract ID],"No contract")</f>
        <v>CON-01</v>
      </c>
      <c r="Z477" s="127" t="str">
        <f>_xlfn.XLOOKUP(MasterFees[[#This Row],[Provider / Payer]],Contracts[Contract Name],Contracts[Pricing Basis],"To confirm")</f>
        <v>To confirm</v>
      </c>
      <c r="AA477" s="127" t="str">
        <f>IF(MasterFees[[#This Row],[Pricing Basis]]="Fixed fee schedule","Yes","No")</f>
        <v>No</v>
      </c>
      <c r="AB477" s="127" t="str">
        <f>IF(OR(MasterFees[[#This Row],[Fee Basis]]="Add-on",MasterFees[[#This Row],[Fee Basis]]="Time band",MasterFees[[#This Row],[Fee Basis]]="Other"),MasterFees[[#This Row],[Fee Basis]],"Base")</f>
        <v>Base</v>
      </c>
      <c r="AC477" s="141" t="str">
        <f>IF(MasterFees[[#This Row],[Fixed Fee?]]="Yes",MasterFees[[#This Row],[Fee Excl. GST]],"")</f>
        <v/>
      </c>
    </row>
    <row r="478" spans="1:29" x14ac:dyDescent="0.2">
      <c r="A478" s="67" t="s">
        <v>2220</v>
      </c>
      <c r="B478" s="31">
        <f>IF(MasterFees[[#This Row],[RVG Code]]="","",_xlfn.XLOOKUP(MasterFees[[#This Row],[RVG Code]],RVGCodes[Code],RVGCodes[Base Units],"Code not found"))</f>
        <v>4</v>
      </c>
      <c r="C47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7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78" s="125" t="s">
        <v>2591</v>
      </c>
      <c r="F478" s="48" t="s">
        <v>2567</v>
      </c>
      <c r="G478" s="30" t="s">
        <v>313</v>
      </c>
      <c r="H478" s="37" t="s">
        <v>1095</v>
      </c>
      <c r="I478" s="37"/>
      <c r="J478" s="37" t="s">
        <v>1096</v>
      </c>
      <c r="K478" s="32">
        <v>4</v>
      </c>
      <c r="L478" s="32">
        <v>3.7</v>
      </c>
      <c r="M478" s="32">
        <v>0.3</v>
      </c>
      <c r="N478" s="32">
        <v>8.1</v>
      </c>
      <c r="O478" s="33">
        <v>443.3</v>
      </c>
      <c r="P478" s="38" t="s">
        <v>1014</v>
      </c>
      <c r="Q478" s="34" t="str">
        <f>IF(MasterFees[[#This Row],[GST Basis]]="Excl",MasterFees[[#This Row],[Fee as Printed]],IF(MasterFees[[#This Row],[GST Basis]]="Incl",MasterFees[[#This Row],[Fee as Printed]]/(1+GST_Rate),""))</f>
        <v/>
      </c>
      <c r="R478" s="34" t="str">
        <f>IF(MasterFees[[#This Row],[GST Basis]]="Incl",MasterFees[[#This Row],[Fee as Printed]],IF(MasterFees[[#This Row],[GST Basis]]="Excl",MasterFees[[#This Row],[Fee as Printed]]*(1+GST_Rate),""))</f>
        <v/>
      </c>
      <c r="S478" s="35">
        <f>IF(N(MasterFees[[#This Row],[Total Units]])=0,"",MasterFees[[#This Row],[Fee as Printed]]/MasterFees[[#This Row],[Total Units]])</f>
        <v>54.728395061728399</v>
      </c>
      <c r="T478" s="36"/>
      <c r="U478" s="39" t="s">
        <v>1012</v>
      </c>
      <c r="V478" s="39" t="s">
        <v>1407</v>
      </c>
      <c r="W478" s="30"/>
      <c r="X478" s="73" t="s">
        <v>3198</v>
      </c>
      <c r="Y478" s="127" t="str">
        <f>_xlfn.XLOOKUP(MasterFees[[#This Row],[Provider / Payer]],Contracts[Contract Name],Contracts[Contract ID],"No contract")</f>
        <v>CON-01</v>
      </c>
      <c r="Z478" s="127" t="str">
        <f>_xlfn.XLOOKUP(MasterFees[[#This Row],[Provider / Payer]],Contracts[Contract Name],Contracts[Pricing Basis],"To confirm")</f>
        <v>To confirm</v>
      </c>
      <c r="AA478" s="127" t="str">
        <f>IF(MasterFees[[#This Row],[Pricing Basis]]="Fixed fee schedule","Yes","No")</f>
        <v>No</v>
      </c>
      <c r="AB478" s="127" t="str">
        <f>IF(OR(MasterFees[[#This Row],[Fee Basis]]="Add-on",MasterFees[[#This Row],[Fee Basis]]="Time band",MasterFees[[#This Row],[Fee Basis]]="Other"),MasterFees[[#This Row],[Fee Basis]],"Base")</f>
        <v>Base</v>
      </c>
      <c r="AC478" s="141" t="str">
        <f>IF(MasterFees[[#This Row],[Fixed Fee?]]="Yes",MasterFees[[#This Row],[Fee Excl. GST]],"")</f>
        <v/>
      </c>
    </row>
    <row r="479" spans="1:29" x14ac:dyDescent="0.2">
      <c r="A479" s="67" t="s">
        <v>2223</v>
      </c>
      <c r="B479" s="31">
        <f>IF(MasterFees[[#This Row],[RVG Code]]="","",_xlfn.XLOOKUP(MasterFees[[#This Row],[RVG Code]],RVGCodes[Code],RVGCodes[Base Units],"Code not found"))</f>
        <v>5</v>
      </c>
      <c r="C47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7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79" s="125" t="s">
        <v>2603</v>
      </c>
      <c r="F479" s="48" t="s">
        <v>2567</v>
      </c>
      <c r="G479" s="30" t="s">
        <v>360</v>
      </c>
      <c r="H479" s="37" t="s">
        <v>1095</v>
      </c>
      <c r="I479" s="37"/>
      <c r="J479" s="37" t="s">
        <v>1096</v>
      </c>
      <c r="K479" s="32">
        <v>4.5</v>
      </c>
      <c r="L479" s="32">
        <v>4.5</v>
      </c>
      <c r="M479" s="32">
        <v>0</v>
      </c>
      <c r="N479" s="32">
        <v>9</v>
      </c>
      <c r="O479" s="33">
        <v>495</v>
      </c>
      <c r="P479" s="38" t="s">
        <v>1014</v>
      </c>
      <c r="Q479" s="34" t="str">
        <f>IF(MasterFees[[#This Row],[GST Basis]]="Excl",MasterFees[[#This Row],[Fee as Printed]],IF(MasterFees[[#This Row],[GST Basis]]="Incl",MasterFees[[#This Row],[Fee as Printed]]/(1+GST_Rate),""))</f>
        <v/>
      </c>
      <c r="R479" s="34" t="str">
        <f>IF(MasterFees[[#This Row],[GST Basis]]="Incl",MasterFees[[#This Row],[Fee as Printed]],IF(MasterFees[[#This Row],[GST Basis]]="Excl",MasterFees[[#This Row],[Fee as Printed]]*(1+GST_Rate),""))</f>
        <v/>
      </c>
      <c r="S479" s="35">
        <f>IF(N(MasterFees[[#This Row],[Total Units]])=0,"",MasterFees[[#This Row],[Fee as Printed]]/MasterFees[[#This Row],[Total Units]])</f>
        <v>55</v>
      </c>
      <c r="T479" s="36"/>
      <c r="U479" s="39" t="s">
        <v>1012</v>
      </c>
      <c r="V479" s="39" t="s">
        <v>1455</v>
      </c>
      <c r="W479" s="30"/>
      <c r="X479" s="73" t="s">
        <v>3247</v>
      </c>
      <c r="Y479" s="127" t="str">
        <f>_xlfn.XLOOKUP(MasterFees[[#This Row],[Provider / Payer]],Contracts[Contract Name],Contracts[Contract ID],"No contract")</f>
        <v>CON-01</v>
      </c>
      <c r="Z479" s="127" t="str">
        <f>_xlfn.XLOOKUP(MasterFees[[#This Row],[Provider / Payer]],Contracts[Contract Name],Contracts[Pricing Basis],"To confirm")</f>
        <v>To confirm</v>
      </c>
      <c r="AA479" s="127" t="str">
        <f>IF(MasterFees[[#This Row],[Pricing Basis]]="Fixed fee schedule","Yes","No")</f>
        <v>No</v>
      </c>
      <c r="AB479" s="127" t="str">
        <f>IF(OR(MasterFees[[#This Row],[Fee Basis]]="Add-on",MasterFees[[#This Row],[Fee Basis]]="Time band",MasterFees[[#This Row],[Fee Basis]]="Other"),MasterFees[[#This Row],[Fee Basis]],"Base")</f>
        <v>Base</v>
      </c>
      <c r="AC479" s="141" t="str">
        <f>IF(MasterFees[[#This Row],[Fixed Fee?]]="Yes",MasterFees[[#This Row],[Fee Excl. GST]],"")</f>
        <v/>
      </c>
    </row>
    <row r="480" spans="1:29" x14ac:dyDescent="0.2">
      <c r="A480" s="67" t="s">
        <v>2223</v>
      </c>
      <c r="B480" s="31">
        <f>IF(MasterFees[[#This Row],[RVG Code]]="","",_xlfn.XLOOKUP(MasterFees[[#This Row],[RVG Code]],RVGCodes[Code],RVGCodes[Base Units],"Code not found"))</f>
        <v>5</v>
      </c>
      <c r="C48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8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80" s="125" t="s">
        <v>2603</v>
      </c>
      <c r="F480" s="48" t="s">
        <v>2567</v>
      </c>
      <c r="G480" s="30" t="s">
        <v>532</v>
      </c>
      <c r="H480" s="37" t="s">
        <v>1095</v>
      </c>
      <c r="I480" s="37"/>
      <c r="J480" s="37" t="s">
        <v>1096</v>
      </c>
      <c r="K480" s="32">
        <v>4.5</v>
      </c>
      <c r="L480" s="32">
        <v>5</v>
      </c>
      <c r="M480" s="32">
        <v>0.5</v>
      </c>
      <c r="N480" s="32">
        <v>10</v>
      </c>
      <c r="O480" s="33">
        <v>550</v>
      </c>
      <c r="P480" s="38" t="s">
        <v>1014</v>
      </c>
      <c r="Q480" s="34" t="str">
        <f>IF(MasterFees[[#This Row],[GST Basis]]="Excl",MasterFees[[#This Row],[Fee as Printed]],IF(MasterFees[[#This Row],[GST Basis]]="Incl",MasterFees[[#This Row],[Fee as Printed]]/(1+GST_Rate),""))</f>
        <v/>
      </c>
      <c r="R480" s="34" t="str">
        <f>IF(MasterFees[[#This Row],[GST Basis]]="Incl",MasterFees[[#This Row],[Fee as Printed]],IF(MasterFees[[#This Row],[GST Basis]]="Excl",MasterFees[[#This Row],[Fee as Printed]]*(1+GST_Rate),""))</f>
        <v/>
      </c>
      <c r="S480" s="35">
        <f>IF(N(MasterFees[[#This Row],[Total Units]])=0,"",MasterFees[[#This Row],[Fee as Printed]]/MasterFees[[#This Row],[Total Units]])</f>
        <v>55</v>
      </c>
      <c r="T480" s="36"/>
      <c r="U480" s="39" t="s">
        <v>1012</v>
      </c>
      <c r="V480" s="39" t="s">
        <v>1627</v>
      </c>
      <c r="W480" s="30"/>
      <c r="X480" s="73" t="s">
        <v>3424</v>
      </c>
      <c r="Y480" s="127" t="str">
        <f>_xlfn.XLOOKUP(MasterFees[[#This Row],[Provider / Payer]],Contracts[Contract Name],Contracts[Contract ID],"No contract")</f>
        <v>CON-01</v>
      </c>
      <c r="Z480" s="127" t="str">
        <f>_xlfn.XLOOKUP(MasterFees[[#This Row],[Provider / Payer]],Contracts[Contract Name],Contracts[Pricing Basis],"To confirm")</f>
        <v>To confirm</v>
      </c>
      <c r="AA480" s="127" t="str">
        <f>IF(MasterFees[[#This Row],[Pricing Basis]]="Fixed fee schedule","Yes","No")</f>
        <v>No</v>
      </c>
      <c r="AB480" s="127" t="str">
        <f>IF(OR(MasterFees[[#This Row],[Fee Basis]]="Add-on",MasterFees[[#This Row],[Fee Basis]]="Time band",MasterFees[[#This Row],[Fee Basis]]="Other"),MasterFees[[#This Row],[Fee Basis]],"Base")</f>
        <v>Base</v>
      </c>
      <c r="AC480" s="141" t="str">
        <f>IF(MasterFees[[#This Row],[Fixed Fee?]]="Yes",MasterFees[[#This Row],[Fee Excl. GST]],"")</f>
        <v/>
      </c>
    </row>
    <row r="481" spans="1:29" x14ac:dyDescent="0.2">
      <c r="A481" s="67" t="s">
        <v>2220</v>
      </c>
      <c r="B481" s="31">
        <f>IF(MasterFees[[#This Row],[RVG Code]]="","",_xlfn.XLOOKUP(MasterFees[[#This Row],[RVG Code]],RVGCodes[Code],RVGCodes[Base Units],"Code not found"))</f>
        <v>4</v>
      </c>
      <c r="C48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8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81" s="125" t="s">
        <v>2591</v>
      </c>
      <c r="F481" s="48" t="s">
        <v>2569</v>
      </c>
      <c r="G481" s="30" t="s">
        <v>533</v>
      </c>
      <c r="H481" s="37" t="s">
        <v>1095</v>
      </c>
      <c r="I481" s="37"/>
      <c r="J481" s="37" t="s">
        <v>1096</v>
      </c>
      <c r="K481" s="32">
        <v>3.4</v>
      </c>
      <c r="L481" s="32">
        <v>2.7</v>
      </c>
      <c r="M481" s="32">
        <v>0.5</v>
      </c>
      <c r="N481" s="32">
        <v>6.7</v>
      </c>
      <c r="O481" s="33">
        <v>366.85</v>
      </c>
      <c r="P481" s="38" t="s">
        <v>1014</v>
      </c>
      <c r="Q481" s="34" t="str">
        <f>IF(MasterFees[[#This Row],[GST Basis]]="Excl",MasterFees[[#This Row],[Fee as Printed]],IF(MasterFees[[#This Row],[GST Basis]]="Incl",MasterFees[[#This Row],[Fee as Printed]]/(1+GST_Rate),""))</f>
        <v/>
      </c>
      <c r="R481" s="34" t="str">
        <f>IF(MasterFees[[#This Row],[GST Basis]]="Incl",MasterFees[[#This Row],[Fee as Printed]],IF(MasterFees[[#This Row],[GST Basis]]="Excl",MasterFees[[#This Row],[Fee as Printed]]*(1+GST_Rate),""))</f>
        <v/>
      </c>
      <c r="S481" s="35">
        <f>IF(N(MasterFees[[#This Row],[Total Units]])=0,"",MasterFees[[#This Row],[Fee as Printed]]/MasterFees[[#This Row],[Total Units]])</f>
        <v>54.753731343283583</v>
      </c>
      <c r="T481" s="36"/>
      <c r="U481" s="39" t="s">
        <v>1012</v>
      </c>
      <c r="V481" s="39" t="s">
        <v>1628</v>
      </c>
      <c r="W481" s="30"/>
      <c r="X481" s="73" t="s">
        <v>3425</v>
      </c>
      <c r="Y481" s="127" t="str">
        <f>_xlfn.XLOOKUP(MasterFees[[#This Row],[Provider / Payer]],Contracts[Contract Name],Contracts[Contract ID],"No contract")</f>
        <v>CON-01</v>
      </c>
      <c r="Z481" s="127" t="str">
        <f>_xlfn.XLOOKUP(MasterFees[[#This Row],[Provider / Payer]],Contracts[Contract Name],Contracts[Pricing Basis],"To confirm")</f>
        <v>To confirm</v>
      </c>
      <c r="AA481" s="127" t="str">
        <f>IF(MasterFees[[#This Row],[Pricing Basis]]="Fixed fee schedule","Yes","No")</f>
        <v>No</v>
      </c>
      <c r="AB481" s="127" t="str">
        <f>IF(OR(MasterFees[[#This Row],[Fee Basis]]="Add-on",MasterFees[[#This Row],[Fee Basis]]="Time band",MasterFees[[#This Row],[Fee Basis]]="Other"),MasterFees[[#This Row],[Fee Basis]],"Base")</f>
        <v>Base</v>
      </c>
      <c r="AC481" s="141" t="str">
        <f>IF(MasterFees[[#This Row],[Fixed Fee?]]="Yes",MasterFees[[#This Row],[Fee Excl. GST]],"")</f>
        <v/>
      </c>
    </row>
    <row r="482" spans="1:29" x14ac:dyDescent="0.2">
      <c r="A482" s="67" t="s">
        <v>2220</v>
      </c>
      <c r="B482" s="31">
        <f>IF(MasterFees[[#This Row],[RVG Code]]="","",_xlfn.XLOOKUP(MasterFees[[#This Row],[RVG Code]],RVGCodes[Code],RVGCodes[Base Units],"Code not found"))</f>
        <v>4</v>
      </c>
      <c r="C48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8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82" s="125" t="s">
        <v>2591</v>
      </c>
      <c r="F482" s="48" t="s">
        <v>2569</v>
      </c>
      <c r="G482" s="30" t="s">
        <v>534</v>
      </c>
      <c r="H482" s="37" t="s">
        <v>1095</v>
      </c>
      <c r="I482" s="37"/>
      <c r="J482" s="37" t="s">
        <v>1096</v>
      </c>
      <c r="K482" s="32">
        <v>3.6</v>
      </c>
      <c r="L482" s="32">
        <v>2.7</v>
      </c>
      <c r="M482" s="32">
        <v>0.7</v>
      </c>
      <c r="N482" s="32">
        <v>7</v>
      </c>
      <c r="O482" s="33">
        <v>385</v>
      </c>
      <c r="P482" s="38" t="s">
        <v>1014</v>
      </c>
      <c r="Q482" s="34" t="str">
        <f>IF(MasterFees[[#This Row],[GST Basis]]="Excl",MasterFees[[#This Row],[Fee as Printed]],IF(MasterFees[[#This Row],[GST Basis]]="Incl",MasterFees[[#This Row],[Fee as Printed]]/(1+GST_Rate),""))</f>
        <v/>
      </c>
      <c r="R482" s="34" t="str">
        <f>IF(MasterFees[[#This Row],[GST Basis]]="Incl",MasterFees[[#This Row],[Fee as Printed]],IF(MasterFees[[#This Row],[GST Basis]]="Excl",MasterFees[[#This Row],[Fee as Printed]]*(1+GST_Rate),""))</f>
        <v/>
      </c>
      <c r="S482" s="35">
        <f>IF(N(MasterFees[[#This Row],[Total Units]])=0,"",MasterFees[[#This Row],[Fee as Printed]]/MasterFees[[#This Row],[Total Units]])</f>
        <v>55</v>
      </c>
      <c r="T482" s="36"/>
      <c r="U482" s="39" t="s">
        <v>1012</v>
      </c>
      <c r="V482" s="39" t="s">
        <v>1629</v>
      </c>
      <c r="W482" s="30"/>
      <c r="X482" s="73" t="s">
        <v>3426</v>
      </c>
      <c r="Y482" s="127" t="str">
        <f>_xlfn.XLOOKUP(MasterFees[[#This Row],[Provider / Payer]],Contracts[Contract Name],Contracts[Contract ID],"No contract")</f>
        <v>CON-01</v>
      </c>
      <c r="Z482" s="127" t="str">
        <f>_xlfn.XLOOKUP(MasterFees[[#This Row],[Provider / Payer]],Contracts[Contract Name],Contracts[Pricing Basis],"To confirm")</f>
        <v>To confirm</v>
      </c>
      <c r="AA482" s="127" t="str">
        <f>IF(MasterFees[[#This Row],[Pricing Basis]]="Fixed fee schedule","Yes","No")</f>
        <v>No</v>
      </c>
      <c r="AB482" s="127" t="str">
        <f>IF(OR(MasterFees[[#This Row],[Fee Basis]]="Add-on",MasterFees[[#This Row],[Fee Basis]]="Time band",MasterFees[[#This Row],[Fee Basis]]="Other"),MasterFees[[#This Row],[Fee Basis]],"Base")</f>
        <v>Base</v>
      </c>
      <c r="AC482" s="141" t="str">
        <f>IF(MasterFees[[#This Row],[Fixed Fee?]]="Yes",MasterFees[[#This Row],[Fee Excl. GST]],"")</f>
        <v/>
      </c>
    </row>
    <row r="483" spans="1:29" x14ac:dyDescent="0.2">
      <c r="A483" s="67" t="s">
        <v>2223</v>
      </c>
      <c r="B483" s="31">
        <f>IF(MasterFees[[#This Row],[RVG Code]]="","",_xlfn.XLOOKUP(MasterFees[[#This Row],[RVG Code]],RVGCodes[Code],RVGCodes[Base Units],"Code not found"))</f>
        <v>5</v>
      </c>
      <c r="C48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8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83" s="125" t="s">
        <v>2603</v>
      </c>
      <c r="F483" s="48" t="s">
        <v>2567</v>
      </c>
      <c r="G483" s="30" t="s">
        <v>547</v>
      </c>
      <c r="H483" s="37" t="s">
        <v>1095</v>
      </c>
      <c r="I483" s="37"/>
      <c r="J483" s="37" t="s">
        <v>1096</v>
      </c>
      <c r="K483" s="32">
        <v>5</v>
      </c>
      <c r="L483" s="32">
        <v>4</v>
      </c>
      <c r="M483" s="32">
        <v>1</v>
      </c>
      <c r="N483" s="32">
        <v>10</v>
      </c>
      <c r="O483" s="33">
        <v>550</v>
      </c>
      <c r="P483" s="38" t="s">
        <v>1014</v>
      </c>
      <c r="Q483" s="34" t="str">
        <f>IF(MasterFees[[#This Row],[GST Basis]]="Excl",MasterFees[[#This Row],[Fee as Printed]],IF(MasterFees[[#This Row],[GST Basis]]="Incl",MasterFees[[#This Row],[Fee as Printed]]/(1+GST_Rate),""))</f>
        <v/>
      </c>
      <c r="R483" s="34" t="str">
        <f>IF(MasterFees[[#This Row],[GST Basis]]="Incl",MasterFees[[#This Row],[Fee as Printed]],IF(MasterFees[[#This Row],[GST Basis]]="Excl",MasterFees[[#This Row],[Fee as Printed]]*(1+GST_Rate),""))</f>
        <v/>
      </c>
      <c r="S483" s="35">
        <f>IF(N(MasterFees[[#This Row],[Total Units]])=0,"",MasterFees[[#This Row],[Fee as Printed]]/MasterFees[[#This Row],[Total Units]])</f>
        <v>55</v>
      </c>
      <c r="T483" s="36"/>
      <c r="U483" s="39" t="s">
        <v>1012</v>
      </c>
      <c r="V483" s="39" t="s">
        <v>1643</v>
      </c>
      <c r="W483" s="30"/>
      <c r="X483" s="73" t="s">
        <v>3440</v>
      </c>
      <c r="Y483" s="127" t="str">
        <f>_xlfn.XLOOKUP(MasterFees[[#This Row],[Provider / Payer]],Contracts[Contract Name],Contracts[Contract ID],"No contract")</f>
        <v>CON-01</v>
      </c>
      <c r="Z483" s="127" t="str">
        <f>_xlfn.XLOOKUP(MasterFees[[#This Row],[Provider / Payer]],Contracts[Contract Name],Contracts[Pricing Basis],"To confirm")</f>
        <v>To confirm</v>
      </c>
      <c r="AA483" s="127" t="str">
        <f>IF(MasterFees[[#This Row],[Pricing Basis]]="Fixed fee schedule","Yes","No")</f>
        <v>No</v>
      </c>
      <c r="AB483" s="127" t="str">
        <f>IF(OR(MasterFees[[#This Row],[Fee Basis]]="Add-on",MasterFees[[#This Row],[Fee Basis]]="Time band",MasterFees[[#This Row],[Fee Basis]]="Other"),MasterFees[[#This Row],[Fee Basis]],"Base")</f>
        <v>Base</v>
      </c>
      <c r="AC483" s="141" t="str">
        <f>IF(MasterFees[[#This Row],[Fixed Fee?]]="Yes",MasterFees[[#This Row],[Fee Excl. GST]],"")</f>
        <v/>
      </c>
    </row>
    <row r="484" spans="1:29" x14ac:dyDescent="0.2">
      <c r="A484" s="67" t="s">
        <v>2220</v>
      </c>
      <c r="B484" s="31">
        <f>IF(MasterFees[[#This Row],[RVG Code]]="","",_xlfn.XLOOKUP(MasterFees[[#This Row],[RVG Code]],RVGCodes[Code],RVGCodes[Base Units],"Code not found"))</f>
        <v>4</v>
      </c>
      <c r="C48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8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84" s="125" t="s">
        <v>2591</v>
      </c>
      <c r="F484" s="48" t="s">
        <v>2567</v>
      </c>
      <c r="G484" s="30" t="s">
        <v>551</v>
      </c>
      <c r="H484" s="37" t="s">
        <v>1095</v>
      </c>
      <c r="I484" s="37"/>
      <c r="J484" s="37" t="s">
        <v>1096</v>
      </c>
      <c r="K484" s="32">
        <v>4</v>
      </c>
      <c r="L484" s="32">
        <v>7</v>
      </c>
      <c r="M484" s="32">
        <v>0</v>
      </c>
      <c r="N484" s="32">
        <v>11</v>
      </c>
      <c r="O484" s="33">
        <v>605</v>
      </c>
      <c r="P484" s="38" t="s">
        <v>1014</v>
      </c>
      <c r="Q484" s="34" t="str">
        <f>IF(MasterFees[[#This Row],[GST Basis]]="Excl",MasterFees[[#This Row],[Fee as Printed]],IF(MasterFees[[#This Row],[GST Basis]]="Incl",MasterFees[[#This Row],[Fee as Printed]]/(1+GST_Rate),""))</f>
        <v/>
      </c>
      <c r="R484" s="34" t="str">
        <f>IF(MasterFees[[#This Row],[GST Basis]]="Incl",MasterFees[[#This Row],[Fee as Printed]],IF(MasterFees[[#This Row],[GST Basis]]="Excl",MasterFees[[#This Row],[Fee as Printed]]*(1+GST_Rate),""))</f>
        <v/>
      </c>
      <c r="S484" s="35">
        <f>IF(N(MasterFees[[#This Row],[Total Units]])=0,"",MasterFees[[#This Row],[Fee as Printed]]/MasterFees[[#This Row],[Total Units]])</f>
        <v>55</v>
      </c>
      <c r="T484" s="36"/>
      <c r="U484" s="39" t="s">
        <v>1012</v>
      </c>
      <c r="V484" s="39" t="s">
        <v>1647</v>
      </c>
      <c r="W484" s="30"/>
      <c r="X484" s="73" t="s">
        <v>3444</v>
      </c>
      <c r="Y484" s="127" t="str">
        <f>_xlfn.XLOOKUP(MasterFees[[#This Row],[Provider / Payer]],Contracts[Contract Name],Contracts[Contract ID],"No contract")</f>
        <v>CON-01</v>
      </c>
      <c r="Z484" s="127" t="str">
        <f>_xlfn.XLOOKUP(MasterFees[[#This Row],[Provider / Payer]],Contracts[Contract Name],Contracts[Pricing Basis],"To confirm")</f>
        <v>To confirm</v>
      </c>
      <c r="AA484" s="127" t="str">
        <f>IF(MasterFees[[#This Row],[Pricing Basis]]="Fixed fee schedule","Yes","No")</f>
        <v>No</v>
      </c>
      <c r="AB484" s="127" t="str">
        <f>IF(OR(MasterFees[[#This Row],[Fee Basis]]="Add-on",MasterFees[[#This Row],[Fee Basis]]="Time band",MasterFees[[#This Row],[Fee Basis]]="Other"),MasterFees[[#This Row],[Fee Basis]],"Base")</f>
        <v>Base</v>
      </c>
      <c r="AC484" s="141" t="str">
        <f>IF(MasterFees[[#This Row],[Fixed Fee?]]="Yes",MasterFees[[#This Row],[Fee Excl. GST]],"")</f>
        <v/>
      </c>
    </row>
    <row r="485" spans="1:29" x14ac:dyDescent="0.2">
      <c r="A485" s="67" t="s">
        <v>2223</v>
      </c>
      <c r="B485" s="31">
        <f>IF(MasterFees[[#This Row],[RVG Code]]="","",_xlfn.XLOOKUP(MasterFees[[#This Row],[RVG Code]],RVGCodes[Code],RVGCodes[Base Units],"Code not found"))</f>
        <v>5</v>
      </c>
      <c r="C48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8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85" s="125" t="s">
        <v>2603</v>
      </c>
      <c r="F485" s="48" t="s">
        <v>2567</v>
      </c>
      <c r="G485" s="30" t="s">
        <v>580</v>
      </c>
      <c r="H485" s="37" t="s">
        <v>1095</v>
      </c>
      <c r="I485" s="37"/>
      <c r="J485" s="37" t="s">
        <v>1096</v>
      </c>
      <c r="K485" s="32">
        <v>4.5</v>
      </c>
      <c r="L485" s="32">
        <v>6</v>
      </c>
      <c r="M485" s="32">
        <v>0.5</v>
      </c>
      <c r="N485" s="32">
        <v>11</v>
      </c>
      <c r="O485" s="33">
        <v>605</v>
      </c>
      <c r="P485" s="38" t="s">
        <v>1014</v>
      </c>
      <c r="Q485" s="34" t="str">
        <f>IF(MasterFees[[#This Row],[GST Basis]]="Excl",MasterFees[[#This Row],[Fee as Printed]],IF(MasterFees[[#This Row],[GST Basis]]="Incl",MasterFees[[#This Row],[Fee as Printed]]/(1+GST_Rate),""))</f>
        <v/>
      </c>
      <c r="R485" s="34" t="str">
        <f>IF(MasterFees[[#This Row],[GST Basis]]="Incl",MasterFees[[#This Row],[Fee as Printed]],IF(MasterFees[[#This Row],[GST Basis]]="Excl",MasterFees[[#This Row],[Fee as Printed]]*(1+GST_Rate),""))</f>
        <v/>
      </c>
      <c r="S485" s="35">
        <f>IF(N(MasterFees[[#This Row],[Total Units]])=0,"",MasterFees[[#This Row],[Fee as Printed]]/MasterFees[[#This Row],[Total Units]])</f>
        <v>55</v>
      </c>
      <c r="T485" s="36"/>
      <c r="U485" s="39" t="s">
        <v>1012</v>
      </c>
      <c r="V485" s="39" t="s">
        <v>1676</v>
      </c>
      <c r="W485" s="30"/>
      <c r="X485" s="73" t="s">
        <v>3473</v>
      </c>
      <c r="Y485" s="127" t="str">
        <f>_xlfn.XLOOKUP(MasterFees[[#This Row],[Provider / Payer]],Contracts[Contract Name],Contracts[Contract ID],"No contract")</f>
        <v>CON-01</v>
      </c>
      <c r="Z485" s="127" t="str">
        <f>_xlfn.XLOOKUP(MasterFees[[#This Row],[Provider / Payer]],Contracts[Contract Name],Contracts[Pricing Basis],"To confirm")</f>
        <v>To confirm</v>
      </c>
      <c r="AA485" s="127" t="str">
        <f>IF(MasterFees[[#This Row],[Pricing Basis]]="Fixed fee schedule","Yes","No")</f>
        <v>No</v>
      </c>
      <c r="AB485" s="127" t="str">
        <f>IF(OR(MasterFees[[#This Row],[Fee Basis]]="Add-on",MasterFees[[#This Row],[Fee Basis]]="Time band",MasterFees[[#This Row],[Fee Basis]]="Other"),MasterFees[[#This Row],[Fee Basis]],"Base")</f>
        <v>Base</v>
      </c>
      <c r="AC485" s="141" t="str">
        <f>IF(MasterFees[[#This Row],[Fixed Fee?]]="Yes",MasterFees[[#This Row],[Fee Excl. GST]],"")</f>
        <v/>
      </c>
    </row>
    <row r="486" spans="1:29" x14ac:dyDescent="0.2">
      <c r="A486" s="67" t="s">
        <v>2220</v>
      </c>
      <c r="B486" s="31">
        <f>IF(MasterFees[[#This Row],[RVG Code]]="","",_xlfn.XLOOKUP(MasterFees[[#This Row],[RVG Code]],RVGCodes[Code],RVGCodes[Base Units],"Code not found"))</f>
        <v>4</v>
      </c>
      <c r="C48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8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86" s="125" t="s">
        <v>2591</v>
      </c>
      <c r="F486" s="48" t="s">
        <v>2567</v>
      </c>
      <c r="G486" s="30" t="s">
        <v>581</v>
      </c>
      <c r="H486" s="37" t="s">
        <v>1095</v>
      </c>
      <c r="I486" s="37"/>
      <c r="J486" s="37" t="s">
        <v>1096</v>
      </c>
      <c r="K486" s="32">
        <v>5</v>
      </c>
      <c r="L486" s="32">
        <v>5</v>
      </c>
      <c r="M486" s="32">
        <v>0</v>
      </c>
      <c r="N486" s="32">
        <v>10</v>
      </c>
      <c r="O486" s="33">
        <v>550</v>
      </c>
      <c r="P486" s="38" t="s">
        <v>1014</v>
      </c>
      <c r="Q486" s="34" t="str">
        <f>IF(MasterFees[[#This Row],[GST Basis]]="Excl",MasterFees[[#This Row],[Fee as Printed]],IF(MasterFees[[#This Row],[GST Basis]]="Incl",MasterFees[[#This Row],[Fee as Printed]]/(1+GST_Rate),""))</f>
        <v/>
      </c>
      <c r="R486" s="34" t="str">
        <f>IF(MasterFees[[#This Row],[GST Basis]]="Incl",MasterFees[[#This Row],[Fee as Printed]],IF(MasterFees[[#This Row],[GST Basis]]="Excl",MasterFees[[#This Row],[Fee as Printed]]*(1+GST_Rate),""))</f>
        <v/>
      </c>
      <c r="S486" s="35">
        <f>IF(N(MasterFees[[#This Row],[Total Units]])=0,"",MasterFees[[#This Row],[Fee as Printed]]/MasterFees[[#This Row],[Total Units]])</f>
        <v>55</v>
      </c>
      <c r="T486" s="36"/>
      <c r="U486" s="39" t="s">
        <v>1012</v>
      </c>
      <c r="V486" s="39" t="s">
        <v>1677</v>
      </c>
      <c r="W486" s="30"/>
      <c r="X486" s="73" t="s">
        <v>3474</v>
      </c>
      <c r="Y486" s="127" t="str">
        <f>_xlfn.XLOOKUP(MasterFees[[#This Row],[Provider / Payer]],Contracts[Contract Name],Contracts[Contract ID],"No contract")</f>
        <v>CON-01</v>
      </c>
      <c r="Z486" s="127" t="str">
        <f>_xlfn.XLOOKUP(MasterFees[[#This Row],[Provider / Payer]],Contracts[Contract Name],Contracts[Pricing Basis],"To confirm")</f>
        <v>To confirm</v>
      </c>
      <c r="AA486" s="127" t="str">
        <f>IF(MasterFees[[#This Row],[Pricing Basis]]="Fixed fee schedule","Yes","No")</f>
        <v>No</v>
      </c>
      <c r="AB486" s="127" t="str">
        <f>IF(OR(MasterFees[[#This Row],[Fee Basis]]="Add-on",MasterFees[[#This Row],[Fee Basis]]="Time band",MasterFees[[#This Row],[Fee Basis]]="Other"),MasterFees[[#This Row],[Fee Basis]],"Base")</f>
        <v>Base</v>
      </c>
      <c r="AC486" s="141" t="str">
        <f>IF(MasterFees[[#This Row],[Fixed Fee?]]="Yes",MasterFees[[#This Row],[Fee Excl. GST]],"")</f>
        <v/>
      </c>
    </row>
    <row r="487" spans="1:29" x14ac:dyDescent="0.2">
      <c r="A487" s="67" t="s">
        <v>2220</v>
      </c>
      <c r="B487" s="31">
        <f>IF(MasterFees[[#This Row],[RVG Code]]="","",_xlfn.XLOOKUP(MasterFees[[#This Row],[RVG Code]],RVGCodes[Code],RVGCodes[Base Units],"Code not found"))</f>
        <v>4</v>
      </c>
      <c r="C48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8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87" s="125" t="s">
        <v>2591</v>
      </c>
      <c r="F487" s="48" t="s">
        <v>2569</v>
      </c>
      <c r="G487" s="30" t="s">
        <v>586</v>
      </c>
      <c r="H487" s="37" t="s">
        <v>1095</v>
      </c>
      <c r="I487" s="37"/>
      <c r="J487" s="37" t="s">
        <v>1096</v>
      </c>
      <c r="K487" s="32">
        <v>0</v>
      </c>
      <c r="L487" s="32">
        <v>0</v>
      </c>
      <c r="M487" s="32">
        <v>0</v>
      </c>
      <c r="N487" s="32">
        <v>0</v>
      </c>
      <c r="O487" s="33">
        <v>0</v>
      </c>
      <c r="P487" s="38" t="s">
        <v>1014</v>
      </c>
      <c r="Q487" s="34" t="str">
        <f>IF(MasterFees[[#This Row],[GST Basis]]="Excl",MasterFees[[#This Row],[Fee as Printed]],IF(MasterFees[[#This Row],[GST Basis]]="Incl",MasterFees[[#This Row],[Fee as Printed]]/(1+GST_Rate),""))</f>
        <v/>
      </c>
      <c r="R487" s="34" t="str">
        <f>IF(MasterFees[[#This Row],[GST Basis]]="Incl",MasterFees[[#This Row],[Fee as Printed]],IF(MasterFees[[#This Row],[GST Basis]]="Excl",MasterFees[[#This Row],[Fee as Printed]]*(1+GST_Rate),""))</f>
        <v/>
      </c>
      <c r="S487" s="35" t="str">
        <f>IF(N(MasterFees[[#This Row],[Total Units]])=0,"",MasterFees[[#This Row],[Fee as Printed]]/MasterFees[[#This Row],[Total Units]])</f>
        <v/>
      </c>
      <c r="T487" s="36"/>
      <c r="U487" s="39" t="s">
        <v>1012</v>
      </c>
      <c r="V487" s="39" t="s">
        <v>1682</v>
      </c>
      <c r="W487" s="30"/>
      <c r="X487" s="73" t="s">
        <v>3479</v>
      </c>
      <c r="Y487" s="127" t="str">
        <f>_xlfn.XLOOKUP(MasterFees[[#This Row],[Provider / Payer]],Contracts[Contract Name],Contracts[Contract ID],"No contract")</f>
        <v>CON-01</v>
      </c>
      <c r="Z487" s="127" t="str">
        <f>_xlfn.XLOOKUP(MasterFees[[#This Row],[Provider / Payer]],Contracts[Contract Name],Contracts[Pricing Basis],"To confirm")</f>
        <v>To confirm</v>
      </c>
      <c r="AA487" s="127" t="str">
        <f>IF(MasterFees[[#This Row],[Pricing Basis]]="Fixed fee schedule","Yes","No")</f>
        <v>No</v>
      </c>
      <c r="AB487" s="127" t="str">
        <f>IF(OR(MasterFees[[#This Row],[Fee Basis]]="Add-on",MasterFees[[#This Row],[Fee Basis]]="Time band",MasterFees[[#This Row],[Fee Basis]]="Other"),MasterFees[[#This Row],[Fee Basis]],"Base")</f>
        <v>Base</v>
      </c>
      <c r="AC487" s="141" t="str">
        <f>IF(MasterFees[[#This Row],[Fixed Fee?]]="Yes",MasterFees[[#This Row],[Fee Excl. GST]],"")</f>
        <v/>
      </c>
    </row>
    <row r="488" spans="1:29" x14ac:dyDescent="0.2">
      <c r="A488" s="67" t="s">
        <v>2225</v>
      </c>
      <c r="B488" s="31">
        <f>IF(MasterFees[[#This Row],[RVG Code]]="","",_xlfn.XLOOKUP(MasterFees[[#This Row],[RVG Code]],RVGCodes[Code],RVGCodes[Base Units],"Code not found"))</f>
        <v>6</v>
      </c>
      <c r="C48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8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88" s="125" t="s">
        <v>2577</v>
      </c>
      <c r="F488" s="48" t="s">
        <v>2567</v>
      </c>
      <c r="G488" s="30" t="s">
        <v>589</v>
      </c>
      <c r="H488" s="37" t="s">
        <v>1095</v>
      </c>
      <c r="I488" s="37"/>
      <c r="J488" s="37" t="s">
        <v>1096</v>
      </c>
      <c r="K488" s="32">
        <v>6</v>
      </c>
      <c r="L488" s="32">
        <v>5.3</v>
      </c>
      <c r="M488" s="32">
        <v>2</v>
      </c>
      <c r="N488" s="32">
        <v>13.3</v>
      </c>
      <c r="O488" s="33">
        <v>729.85</v>
      </c>
      <c r="P488" s="38" t="s">
        <v>1014</v>
      </c>
      <c r="Q488" s="34" t="str">
        <f>IF(MasterFees[[#This Row],[GST Basis]]="Excl",MasterFees[[#This Row],[Fee as Printed]],IF(MasterFees[[#This Row],[GST Basis]]="Incl",MasterFees[[#This Row],[Fee as Printed]]/(1+GST_Rate),""))</f>
        <v/>
      </c>
      <c r="R488" s="34" t="str">
        <f>IF(MasterFees[[#This Row],[GST Basis]]="Incl",MasterFees[[#This Row],[Fee as Printed]],IF(MasterFees[[#This Row],[GST Basis]]="Excl",MasterFees[[#This Row],[Fee as Printed]]*(1+GST_Rate),""))</f>
        <v/>
      </c>
      <c r="S488" s="35">
        <f>IF(N(MasterFees[[#This Row],[Total Units]])=0,"",MasterFees[[#This Row],[Fee as Printed]]/MasterFees[[#This Row],[Total Units]])</f>
        <v>54.875939849624061</v>
      </c>
      <c r="T488" s="36"/>
      <c r="U488" s="39" t="s">
        <v>1012</v>
      </c>
      <c r="V488" s="39" t="s">
        <v>1685</v>
      </c>
      <c r="W488" s="30"/>
      <c r="X488" s="73" t="s">
        <v>3482</v>
      </c>
      <c r="Y488" s="127" t="str">
        <f>_xlfn.XLOOKUP(MasterFees[[#This Row],[Provider / Payer]],Contracts[Contract Name],Contracts[Contract ID],"No contract")</f>
        <v>CON-01</v>
      </c>
      <c r="Z488" s="127" t="str">
        <f>_xlfn.XLOOKUP(MasterFees[[#This Row],[Provider / Payer]],Contracts[Contract Name],Contracts[Pricing Basis],"To confirm")</f>
        <v>To confirm</v>
      </c>
      <c r="AA488" s="127" t="str">
        <f>IF(MasterFees[[#This Row],[Pricing Basis]]="Fixed fee schedule","Yes","No")</f>
        <v>No</v>
      </c>
      <c r="AB488" s="127" t="str">
        <f>IF(OR(MasterFees[[#This Row],[Fee Basis]]="Add-on",MasterFees[[#This Row],[Fee Basis]]="Time band",MasterFees[[#This Row],[Fee Basis]]="Other"),MasterFees[[#This Row],[Fee Basis]],"Base")</f>
        <v>Base</v>
      </c>
      <c r="AC488" s="141" t="str">
        <f>IF(MasterFees[[#This Row],[Fixed Fee?]]="Yes",MasterFees[[#This Row],[Fee Excl. GST]],"")</f>
        <v/>
      </c>
    </row>
    <row r="489" spans="1:29" x14ac:dyDescent="0.2">
      <c r="A489" s="67" t="s">
        <v>2225</v>
      </c>
      <c r="B489" s="31">
        <f>IF(MasterFees[[#This Row],[RVG Code]]="","",_xlfn.XLOOKUP(MasterFees[[#This Row],[RVG Code]],RVGCodes[Code],RVGCodes[Base Units],"Code not found"))</f>
        <v>6</v>
      </c>
      <c r="C48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8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89" s="125" t="s">
        <v>2577</v>
      </c>
      <c r="F489" s="48" t="s">
        <v>2567</v>
      </c>
      <c r="G489" s="30" t="s">
        <v>590</v>
      </c>
      <c r="H489" s="37" t="s">
        <v>1095</v>
      </c>
      <c r="I489" s="37"/>
      <c r="J489" s="37" t="s">
        <v>1096</v>
      </c>
      <c r="K489" s="32">
        <v>8</v>
      </c>
      <c r="L489" s="32">
        <v>16</v>
      </c>
      <c r="M489" s="32">
        <v>2</v>
      </c>
      <c r="N489" s="32">
        <v>26</v>
      </c>
      <c r="O489" s="33">
        <v>1430</v>
      </c>
      <c r="P489" s="38" t="s">
        <v>1014</v>
      </c>
      <c r="Q489" s="34" t="str">
        <f>IF(MasterFees[[#This Row],[GST Basis]]="Excl",MasterFees[[#This Row],[Fee as Printed]],IF(MasterFees[[#This Row],[GST Basis]]="Incl",MasterFees[[#This Row],[Fee as Printed]]/(1+GST_Rate),""))</f>
        <v/>
      </c>
      <c r="R489" s="34" t="str">
        <f>IF(MasterFees[[#This Row],[GST Basis]]="Incl",MasterFees[[#This Row],[Fee as Printed]],IF(MasterFees[[#This Row],[GST Basis]]="Excl",MasterFees[[#This Row],[Fee as Printed]]*(1+GST_Rate),""))</f>
        <v/>
      </c>
      <c r="S489" s="35">
        <f>IF(N(MasterFees[[#This Row],[Total Units]])=0,"",MasterFees[[#This Row],[Fee as Printed]]/MasterFees[[#This Row],[Total Units]])</f>
        <v>55</v>
      </c>
      <c r="T489" s="36"/>
      <c r="U489" s="39" t="s">
        <v>1012</v>
      </c>
      <c r="V489" s="39" t="s">
        <v>1686</v>
      </c>
      <c r="W489" s="30"/>
      <c r="X489" s="73" t="s">
        <v>3483</v>
      </c>
      <c r="Y489" s="127" t="str">
        <f>_xlfn.XLOOKUP(MasterFees[[#This Row],[Provider / Payer]],Contracts[Contract Name],Contracts[Contract ID],"No contract")</f>
        <v>CON-01</v>
      </c>
      <c r="Z489" s="127" t="str">
        <f>_xlfn.XLOOKUP(MasterFees[[#This Row],[Provider / Payer]],Contracts[Contract Name],Contracts[Pricing Basis],"To confirm")</f>
        <v>To confirm</v>
      </c>
      <c r="AA489" s="127" t="str">
        <f>IF(MasterFees[[#This Row],[Pricing Basis]]="Fixed fee schedule","Yes","No")</f>
        <v>No</v>
      </c>
      <c r="AB489" s="127" t="str">
        <f>IF(OR(MasterFees[[#This Row],[Fee Basis]]="Add-on",MasterFees[[#This Row],[Fee Basis]]="Time band",MasterFees[[#This Row],[Fee Basis]]="Other"),MasterFees[[#This Row],[Fee Basis]],"Base")</f>
        <v>Base</v>
      </c>
      <c r="AC489" s="141" t="str">
        <f>IF(MasterFees[[#This Row],[Fixed Fee?]]="Yes",MasterFees[[#This Row],[Fee Excl. GST]],"")</f>
        <v/>
      </c>
    </row>
    <row r="490" spans="1:29" x14ac:dyDescent="0.2">
      <c r="A490" s="67" t="s">
        <v>2225</v>
      </c>
      <c r="B490" s="31">
        <f>IF(MasterFees[[#This Row],[RVG Code]]="","",_xlfn.XLOOKUP(MasterFees[[#This Row],[RVG Code]],RVGCodes[Code],RVGCodes[Base Units],"Code not found"))</f>
        <v>6</v>
      </c>
      <c r="C49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9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90" s="125" t="s">
        <v>2577</v>
      </c>
      <c r="F490" s="48" t="s">
        <v>2567</v>
      </c>
      <c r="G490" s="30" t="s">
        <v>591</v>
      </c>
      <c r="H490" s="37" t="s">
        <v>1095</v>
      </c>
      <c r="I490" s="37"/>
      <c r="J490" s="37" t="s">
        <v>1096</v>
      </c>
      <c r="K490" s="32">
        <v>6</v>
      </c>
      <c r="L490" s="32">
        <v>12</v>
      </c>
      <c r="M490" s="32">
        <v>0</v>
      </c>
      <c r="N490" s="32">
        <v>18</v>
      </c>
      <c r="O490" s="33">
        <v>990</v>
      </c>
      <c r="P490" s="38" t="s">
        <v>1014</v>
      </c>
      <c r="Q490" s="34" t="str">
        <f>IF(MasterFees[[#This Row],[GST Basis]]="Excl",MasterFees[[#This Row],[Fee as Printed]],IF(MasterFees[[#This Row],[GST Basis]]="Incl",MasterFees[[#This Row],[Fee as Printed]]/(1+GST_Rate),""))</f>
        <v/>
      </c>
      <c r="R490" s="34" t="str">
        <f>IF(MasterFees[[#This Row],[GST Basis]]="Incl",MasterFees[[#This Row],[Fee as Printed]],IF(MasterFees[[#This Row],[GST Basis]]="Excl",MasterFees[[#This Row],[Fee as Printed]]*(1+GST_Rate),""))</f>
        <v/>
      </c>
      <c r="S490" s="35">
        <f>IF(N(MasterFees[[#This Row],[Total Units]])=0,"",MasterFees[[#This Row],[Fee as Printed]]/MasterFees[[#This Row],[Total Units]])</f>
        <v>55</v>
      </c>
      <c r="T490" s="36"/>
      <c r="U490" s="39" t="s">
        <v>1012</v>
      </c>
      <c r="V490" s="39" t="s">
        <v>1687</v>
      </c>
      <c r="W490" s="30"/>
      <c r="X490" s="73" t="s">
        <v>3484</v>
      </c>
      <c r="Y490" s="127" t="str">
        <f>_xlfn.XLOOKUP(MasterFees[[#This Row],[Provider / Payer]],Contracts[Contract Name],Contracts[Contract ID],"No contract")</f>
        <v>CON-01</v>
      </c>
      <c r="Z490" s="127" t="str">
        <f>_xlfn.XLOOKUP(MasterFees[[#This Row],[Provider / Payer]],Contracts[Contract Name],Contracts[Pricing Basis],"To confirm")</f>
        <v>To confirm</v>
      </c>
      <c r="AA490" s="127" t="str">
        <f>IF(MasterFees[[#This Row],[Pricing Basis]]="Fixed fee schedule","Yes","No")</f>
        <v>No</v>
      </c>
      <c r="AB490" s="127" t="str">
        <f>IF(OR(MasterFees[[#This Row],[Fee Basis]]="Add-on",MasterFees[[#This Row],[Fee Basis]]="Time band",MasterFees[[#This Row],[Fee Basis]]="Other"),MasterFees[[#This Row],[Fee Basis]],"Base")</f>
        <v>Base</v>
      </c>
      <c r="AC490" s="141" t="str">
        <f>IF(MasterFees[[#This Row],[Fixed Fee?]]="Yes",MasterFees[[#This Row],[Fee Excl. GST]],"")</f>
        <v/>
      </c>
    </row>
    <row r="491" spans="1:29" x14ac:dyDescent="0.2">
      <c r="A491" s="67" t="s">
        <v>2227</v>
      </c>
      <c r="B491" s="31">
        <f>IF(MasterFees[[#This Row],[RVG Code]]="","",_xlfn.XLOOKUP(MasterFees[[#This Row],[RVG Code]],RVGCodes[Code],RVGCodes[Base Units],"Code not found"))</f>
        <v>8</v>
      </c>
      <c r="C49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9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91" s="125" t="s">
        <v>2624</v>
      </c>
      <c r="F491" s="48" t="s">
        <v>2629</v>
      </c>
      <c r="G491" s="30" t="s">
        <v>2228</v>
      </c>
      <c r="H491" s="37" t="s">
        <v>2630</v>
      </c>
      <c r="I491" s="37" t="s">
        <v>2227</v>
      </c>
      <c r="J491" s="37" t="s">
        <v>1096</v>
      </c>
      <c r="K491" s="32">
        <v>8</v>
      </c>
      <c r="L491" s="32"/>
      <c r="M491" s="32"/>
      <c r="N491" s="32">
        <v>8</v>
      </c>
      <c r="O491" s="33"/>
      <c r="P491" s="38"/>
      <c r="Q491" s="34" t="str">
        <f>IF(MasterFees[[#This Row],[GST Basis]]="Excl",MasterFees[[#This Row],[Fee as Printed]],IF(MasterFees[[#This Row],[GST Basis]]="Incl",MasterFees[[#This Row],[Fee as Printed]]/(1+GST_Rate),""))</f>
        <v/>
      </c>
      <c r="R491" s="34" t="str">
        <f>IF(MasterFees[[#This Row],[GST Basis]]="Incl",MasterFees[[#This Row],[Fee as Printed]],IF(MasterFees[[#This Row],[GST Basis]]="Excl",MasterFees[[#This Row],[Fee as Printed]]*(1+GST_Rate),""))</f>
        <v/>
      </c>
      <c r="S491" s="35">
        <f>IF(N(MasterFees[[#This Row],[Total Units]])=0,"",MasterFees[[#This Row],[Fee as Printed]]/MasterFees[[#This Row],[Total Units]])</f>
        <v>0</v>
      </c>
      <c r="T491" s="36"/>
      <c r="U491" s="39" t="s">
        <v>1016</v>
      </c>
      <c r="V491" s="39" t="s">
        <v>2642</v>
      </c>
      <c r="W491" s="30" t="s">
        <v>2643</v>
      </c>
      <c r="X491" s="73" t="s">
        <v>3736</v>
      </c>
      <c r="Y491" s="127" t="str">
        <f>_xlfn.XLOOKUP(MasterFees[[#This Row],[Provider / Payer]],Contracts[Contract Name],Contracts[Contract ID],"No contract")</f>
        <v>CON-10</v>
      </c>
      <c r="Z491" s="127" t="str">
        <f>_xlfn.XLOOKUP(MasterFees[[#This Row],[Provider / Payer]],Contracts[Contract Name],Contracts[Pricing Basis],"To confirm")</f>
        <v>Reference – units only</v>
      </c>
      <c r="AA491" s="127" t="str">
        <f>IF(MasterFees[[#This Row],[Pricing Basis]]="Fixed fee schedule","Yes","No")</f>
        <v>No</v>
      </c>
      <c r="AB491" s="127" t="str">
        <f>IF(OR(MasterFees[[#This Row],[Fee Basis]]="Add-on",MasterFees[[#This Row],[Fee Basis]]="Time band",MasterFees[[#This Row],[Fee Basis]]="Other"),MasterFees[[#This Row],[Fee Basis]],"Base")</f>
        <v>Base</v>
      </c>
      <c r="AC491" s="141" t="str">
        <f>IF(MasterFees[[#This Row],[Fixed Fee?]]="Yes",MasterFees[[#This Row],[Fee Excl. GST]],"")</f>
        <v/>
      </c>
    </row>
    <row r="492" spans="1:29" x14ac:dyDescent="0.2">
      <c r="A492" s="67" t="s">
        <v>2223</v>
      </c>
      <c r="B492" s="31">
        <f>IF(MasterFees[[#This Row],[RVG Code]]="","",_xlfn.XLOOKUP(MasterFees[[#This Row],[RVG Code]],RVGCodes[Code],RVGCodes[Base Units],"Code not found"))</f>
        <v>5</v>
      </c>
      <c r="C49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9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92" s="125" t="s">
        <v>2603</v>
      </c>
      <c r="F492" s="48" t="s">
        <v>2567</v>
      </c>
      <c r="G492" s="30" t="s">
        <v>635</v>
      </c>
      <c r="H492" s="37" t="s">
        <v>1095</v>
      </c>
      <c r="I492" s="37"/>
      <c r="J492" s="37" t="s">
        <v>1096</v>
      </c>
      <c r="K492" s="32">
        <v>4.0999999999999996</v>
      </c>
      <c r="L492" s="32">
        <v>3.2</v>
      </c>
      <c r="M492" s="32">
        <v>0.8</v>
      </c>
      <c r="N492" s="32">
        <v>8.1</v>
      </c>
      <c r="O492" s="33">
        <v>444.4</v>
      </c>
      <c r="P492" s="38" t="s">
        <v>1014</v>
      </c>
      <c r="Q492" s="34" t="str">
        <f>IF(MasterFees[[#This Row],[GST Basis]]="Excl",MasterFees[[#This Row],[Fee as Printed]],IF(MasterFees[[#This Row],[GST Basis]]="Incl",MasterFees[[#This Row],[Fee as Printed]]/(1+GST_Rate),""))</f>
        <v/>
      </c>
      <c r="R492" s="34" t="str">
        <f>IF(MasterFees[[#This Row],[GST Basis]]="Incl",MasterFees[[#This Row],[Fee as Printed]],IF(MasterFees[[#This Row],[GST Basis]]="Excl",MasterFees[[#This Row],[Fee as Printed]]*(1+GST_Rate),""))</f>
        <v/>
      </c>
      <c r="S492" s="35">
        <f>IF(N(MasterFees[[#This Row],[Total Units]])=0,"",MasterFees[[#This Row],[Fee as Printed]]/MasterFees[[#This Row],[Total Units]])</f>
        <v>54.864197530864196</v>
      </c>
      <c r="T492" s="36"/>
      <c r="U492" s="39" t="s">
        <v>1012</v>
      </c>
      <c r="V492" s="39" t="s">
        <v>1732</v>
      </c>
      <c r="W492" s="30"/>
      <c r="X492" s="73" t="s">
        <v>3531</v>
      </c>
      <c r="Y492" s="127" t="str">
        <f>_xlfn.XLOOKUP(MasterFees[[#This Row],[Provider / Payer]],Contracts[Contract Name],Contracts[Contract ID],"No contract")</f>
        <v>CON-01</v>
      </c>
      <c r="Z492" s="127" t="str">
        <f>_xlfn.XLOOKUP(MasterFees[[#This Row],[Provider / Payer]],Contracts[Contract Name],Contracts[Pricing Basis],"To confirm")</f>
        <v>To confirm</v>
      </c>
      <c r="AA492" s="127" t="str">
        <f>IF(MasterFees[[#This Row],[Pricing Basis]]="Fixed fee schedule","Yes","No")</f>
        <v>No</v>
      </c>
      <c r="AB492" s="127" t="str">
        <f>IF(OR(MasterFees[[#This Row],[Fee Basis]]="Add-on",MasterFees[[#This Row],[Fee Basis]]="Time band",MasterFees[[#This Row],[Fee Basis]]="Other"),MasterFees[[#This Row],[Fee Basis]],"Base")</f>
        <v>Base</v>
      </c>
      <c r="AC492" s="141" t="str">
        <f>IF(MasterFees[[#This Row],[Fixed Fee?]]="Yes",MasterFees[[#This Row],[Fee Excl. GST]],"")</f>
        <v/>
      </c>
    </row>
    <row r="493" spans="1:29" x14ac:dyDescent="0.2">
      <c r="A493" s="67" t="s">
        <v>2220</v>
      </c>
      <c r="B493" s="31">
        <f>IF(MasterFees[[#This Row],[RVG Code]]="","",_xlfn.XLOOKUP(MasterFees[[#This Row],[RVG Code]],RVGCodes[Code],RVGCodes[Base Units],"Code not found"))</f>
        <v>4</v>
      </c>
      <c r="C49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9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93" s="125" t="s">
        <v>2591</v>
      </c>
      <c r="F493" s="48" t="s">
        <v>2629</v>
      </c>
      <c r="G493" s="30" t="s">
        <v>2221</v>
      </c>
      <c r="H493" s="37" t="s">
        <v>2630</v>
      </c>
      <c r="I493" s="37" t="s">
        <v>2220</v>
      </c>
      <c r="J493" s="37" t="s">
        <v>1096</v>
      </c>
      <c r="K493" s="32">
        <v>4</v>
      </c>
      <c r="L493" s="32"/>
      <c r="M493" s="32"/>
      <c r="N493" s="32">
        <v>4</v>
      </c>
      <c r="O493" s="33"/>
      <c r="P493" s="38"/>
      <c r="Q493" s="34" t="str">
        <f>IF(MasterFees[[#This Row],[GST Basis]]="Excl",MasterFees[[#This Row],[Fee as Printed]],IF(MasterFees[[#This Row],[GST Basis]]="Incl",MasterFees[[#This Row],[Fee as Printed]]/(1+GST_Rate),""))</f>
        <v/>
      </c>
      <c r="R493" s="34" t="str">
        <f>IF(MasterFees[[#This Row],[GST Basis]]="Incl",MasterFees[[#This Row],[Fee as Printed]],IF(MasterFees[[#This Row],[GST Basis]]="Excl",MasterFees[[#This Row],[Fee as Printed]]*(1+GST_Rate),""))</f>
        <v/>
      </c>
      <c r="S493" s="35">
        <f>IF(N(MasterFees[[#This Row],[Total Units]])=0,"",MasterFees[[#This Row],[Fee as Printed]]/MasterFees[[#This Row],[Total Units]])</f>
        <v>0</v>
      </c>
      <c r="T493" s="36"/>
      <c r="U493" s="39" t="s">
        <v>1016</v>
      </c>
      <c r="V493" s="39" t="s">
        <v>2642</v>
      </c>
      <c r="W493" s="30" t="s">
        <v>2643</v>
      </c>
      <c r="X493" s="73" t="s">
        <v>3839</v>
      </c>
      <c r="Y493" s="127" t="str">
        <f>_xlfn.XLOOKUP(MasterFees[[#This Row],[Provider / Payer]],Contracts[Contract Name],Contracts[Contract ID],"No contract")</f>
        <v>CON-10</v>
      </c>
      <c r="Z493" s="127" t="str">
        <f>_xlfn.XLOOKUP(MasterFees[[#This Row],[Provider / Payer]],Contracts[Contract Name],Contracts[Pricing Basis],"To confirm")</f>
        <v>Reference – units only</v>
      </c>
      <c r="AA493" s="127" t="str">
        <f>IF(MasterFees[[#This Row],[Pricing Basis]]="Fixed fee schedule","Yes","No")</f>
        <v>No</v>
      </c>
      <c r="AB493" s="127" t="str">
        <f>IF(OR(MasterFees[[#This Row],[Fee Basis]]="Add-on",MasterFees[[#This Row],[Fee Basis]]="Time band",MasterFees[[#This Row],[Fee Basis]]="Other"),MasterFees[[#This Row],[Fee Basis]],"Base")</f>
        <v>Base</v>
      </c>
      <c r="AC493" s="141" t="str">
        <f>IF(MasterFees[[#This Row],[Fixed Fee?]]="Yes",MasterFees[[#This Row],[Fee Excl. GST]],"")</f>
        <v/>
      </c>
    </row>
    <row r="494" spans="1:29" x14ac:dyDescent="0.2">
      <c r="A494" s="67" t="s">
        <v>2225</v>
      </c>
      <c r="B494" s="31">
        <f>IF(MasterFees[[#This Row],[RVG Code]]="","",_xlfn.XLOOKUP(MasterFees[[#This Row],[RVG Code]],RVGCodes[Code],RVGCodes[Base Units],"Code not found"))</f>
        <v>6</v>
      </c>
      <c r="C49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9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94" s="125" t="s">
        <v>2577</v>
      </c>
      <c r="F494" s="48" t="s">
        <v>2629</v>
      </c>
      <c r="G494" s="30" t="s">
        <v>2226</v>
      </c>
      <c r="H494" s="37" t="s">
        <v>2630</v>
      </c>
      <c r="I494" s="37" t="s">
        <v>2225</v>
      </c>
      <c r="J494" s="37" t="s">
        <v>1096</v>
      </c>
      <c r="K494" s="32">
        <v>6</v>
      </c>
      <c r="L494" s="32"/>
      <c r="M494" s="32"/>
      <c r="N494" s="32">
        <v>6</v>
      </c>
      <c r="O494" s="33"/>
      <c r="P494" s="38"/>
      <c r="Q494" s="34" t="str">
        <f>IF(MasterFees[[#This Row],[GST Basis]]="Excl",MasterFees[[#This Row],[Fee as Printed]],IF(MasterFees[[#This Row],[GST Basis]]="Incl",MasterFees[[#This Row],[Fee as Printed]]/(1+GST_Rate),""))</f>
        <v/>
      </c>
      <c r="R494" s="34" t="str">
        <f>IF(MasterFees[[#This Row],[GST Basis]]="Incl",MasterFees[[#This Row],[Fee as Printed]],IF(MasterFees[[#This Row],[GST Basis]]="Excl",MasterFees[[#This Row],[Fee as Printed]]*(1+GST_Rate),""))</f>
        <v/>
      </c>
      <c r="S494" s="35">
        <f>IF(N(MasterFees[[#This Row],[Total Units]])=0,"",MasterFees[[#This Row],[Fee as Printed]]/MasterFees[[#This Row],[Total Units]])</f>
        <v>0</v>
      </c>
      <c r="T494" s="36"/>
      <c r="U494" s="39" t="s">
        <v>1016</v>
      </c>
      <c r="V494" s="39" t="s">
        <v>2642</v>
      </c>
      <c r="W494" s="30" t="s">
        <v>2643</v>
      </c>
      <c r="X494" s="73" t="s">
        <v>3825</v>
      </c>
      <c r="Y494" s="127" t="str">
        <f>_xlfn.XLOOKUP(MasterFees[[#This Row],[Provider / Payer]],Contracts[Contract Name],Contracts[Contract ID],"No contract")</f>
        <v>CON-10</v>
      </c>
      <c r="Z494" s="127" t="str">
        <f>_xlfn.XLOOKUP(MasterFees[[#This Row],[Provider / Payer]],Contracts[Contract Name],Contracts[Pricing Basis],"To confirm")</f>
        <v>Reference – units only</v>
      </c>
      <c r="AA494" s="127" t="str">
        <f>IF(MasterFees[[#This Row],[Pricing Basis]]="Fixed fee schedule","Yes","No")</f>
        <v>No</v>
      </c>
      <c r="AB494" s="127" t="str">
        <f>IF(OR(MasterFees[[#This Row],[Fee Basis]]="Add-on",MasterFees[[#This Row],[Fee Basis]]="Time band",MasterFees[[#This Row],[Fee Basis]]="Other"),MasterFees[[#This Row],[Fee Basis]],"Base")</f>
        <v>Base</v>
      </c>
      <c r="AC494" s="141" t="str">
        <f>IF(MasterFees[[#This Row],[Fixed Fee?]]="Yes",MasterFees[[#This Row],[Fee Excl. GST]],"")</f>
        <v/>
      </c>
    </row>
    <row r="495" spans="1:29" x14ac:dyDescent="0.2">
      <c r="A495" s="67" t="s">
        <v>2223</v>
      </c>
      <c r="B495" s="31">
        <f>IF(MasterFees[[#This Row],[RVG Code]]="","",_xlfn.XLOOKUP(MasterFees[[#This Row],[RVG Code]],RVGCodes[Code],RVGCodes[Base Units],"Code not found"))</f>
        <v>5</v>
      </c>
      <c r="C49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9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95" s="125" t="s">
        <v>2603</v>
      </c>
      <c r="F495" s="48" t="s">
        <v>2567</v>
      </c>
      <c r="G495" s="30" t="s">
        <v>713</v>
      </c>
      <c r="H495" s="37" t="s">
        <v>1095</v>
      </c>
      <c r="I495" s="37"/>
      <c r="J495" s="37" t="s">
        <v>1096</v>
      </c>
      <c r="K495" s="32">
        <v>0</v>
      </c>
      <c r="L495" s="32">
        <v>0</v>
      </c>
      <c r="M495" s="32">
        <v>0</v>
      </c>
      <c r="N495" s="32">
        <v>0</v>
      </c>
      <c r="O495" s="33">
        <v>0</v>
      </c>
      <c r="P495" s="38" t="s">
        <v>1014</v>
      </c>
      <c r="Q495" s="34" t="str">
        <f>IF(MasterFees[[#This Row],[GST Basis]]="Excl",MasterFees[[#This Row],[Fee as Printed]],IF(MasterFees[[#This Row],[GST Basis]]="Incl",MasterFees[[#This Row],[Fee as Printed]]/(1+GST_Rate),""))</f>
        <v/>
      </c>
      <c r="R495" s="34" t="str">
        <f>IF(MasterFees[[#This Row],[GST Basis]]="Incl",MasterFees[[#This Row],[Fee as Printed]],IF(MasterFees[[#This Row],[GST Basis]]="Excl",MasterFees[[#This Row],[Fee as Printed]]*(1+GST_Rate),""))</f>
        <v/>
      </c>
      <c r="S495" s="35" t="str">
        <f>IF(N(MasterFees[[#This Row],[Total Units]])=0,"",MasterFees[[#This Row],[Fee as Printed]]/MasterFees[[#This Row],[Total Units]])</f>
        <v/>
      </c>
      <c r="T495" s="36"/>
      <c r="U495" s="39" t="s">
        <v>1012</v>
      </c>
      <c r="V495" s="39" t="s">
        <v>1810</v>
      </c>
      <c r="W495" s="30"/>
      <c r="X495" s="73" t="s">
        <v>3613</v>
      </c>
      <c r="Y495" s="127" t="str">
        <f>_xlfn.XLOOKUP(MasterFees[[#This Row],[Provider / Payer]],Contracts[Contract Name],Contracts[Contract ID],"No contract")</f>
        <v>CON-01</v>
      </c>
      <c r="Z495" s="127" t="str">
        <f>_xlfn.XLOOKUP(MasterFees[[#This Row],[Provider / Payer]],Contracts[Contract Name],Contracts[Pricing Basis],"To confirm")</f>
        <v>To confirm</v>
      </c>
      <c r="AA495" s="127" t="str">
        <f>IF(MasterFees[[#This Row],[Pricing Basis]]="Fixed fee schedule","Yes","No")</f>
        <v>No</v>
      </c>
      <c r="AB495" s="127" t="str">
        <f>IF(OR(MasterFees[[#This Row],[Fee Basis]]="Add-on",MasterFees[[#This Row],[Fee Basis]]="Time band",MasterFees[[#This Row],[Fee Basis]]="Other"),MasterFees[[#This Row],[Fee Basis]],"Base")</f>
        <v>Base</v>
      </c>
      <c r="AC495" s="141" t="str">
        <f>IF(MasterFees[[#This Row],[Fixed Fee?]]="Yes",MasterFees[[#This Row],[Fee Excl. GST]],"")</f>
        <v/>
      </c>
    </row>
    <row r="496" spans="1:29" x14ac:dyDescent="0.2">
      <c r="A496" s="67" t="s">
        <v>2223</v>
      </c>
      <c r="B496" s="31">
        <f>IF(MasterFees[[#This Row],[RVG Code]]="","",_xlfn.XLOOKUP(MasterFees[[#This Row],[RVG Code]],RVGCodes[Code],RVGCodes[Base Units],"Code not found"))</f>
        <v>5</v>
      </c>
      <c r="C49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9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96" s="125" t="s">
        <v>2603</v>
      </c>
      <c r="F496" s="48" t="s">
        <v>2569</v>
      </c>
      <c r="G496" s="30" t="s">
        <v>715</v>
      </c>
      <c r="H496" s="37" t="s">
        <v>1095</v>
      </c>
      <c r="I496" s="37"/>
      <c r="J496" s="37" t="s">
        <v>1096</v>
      </c>
      <c r="K496" s="32">
        <v>6</v>
      </c>
      <c r="L496" s="32">
        <v>5</v>
      </c>
      <c r="M496" s="32">
        <v>0</v>
      </c>
      <c r="N496" s="32">
        <v>11</v>
      </c>
      <c r="O496" s="33">
        <v>605</v>
      </c>
      <c r="P496" s="38" t="s">
        <v>1014</v>
      </c>
      <c r="Q496" s="34" t="str">
        <f>IF(MasterFees[[#This Row],[GST Basis]]="Excl",MasterFees[[#This Row],[Fee as Printed]],IF(MasterFees[[#This Row],[GST Basis]]="Incl",MasterFees[[#This Row],[Fee as Printed]]/(1+GST_Rate),""))</f>
        <v/>
      </c>
      <c r="R496" s="34" t="str">
        <f>IF(MasterFees[[#This Row],[GST Basis]]="Incl",MasterFees[[#This Row],[Fee as Printed]],IF(MasterFees[[#This Row],[GST Basis]]="Excl",MasterFees[[#This Row],[Fee as Printed]]*(1+GST_Rate),""))</f>
        <v/>
      </c>
      <c r="S496" s="35">
        <f>IF(N(MasterFees[[#This Row],[Total Units]])=0,"",MasterFees[[#This Row],[Fee as Printed]]/MasterFees[[#This Row],[Total Units]])</f>
        <v>55</v>
      </c>
      <c r="T496" s="36"/>
      <c r="U496" s="39" t="s">
        <v>1012</v>
      </c>
      <c r="V496" s="39" t="s">
        <v>1812</v>
      </c>
      <c r="W496" s="30"/>
      <c r="X496" s="73" t="s">
        <v>3615</v>
      </c>
      <c r="Y496" s="127" t="str">
        <f>_xlfn.XLOOKUP(MasterFees[[#This Row],[Provider / Payer]],Contracts[Contract Name],Contracts[Contract ID],"No contract")</f>
        <v>CON-01</v>
      </c>
      <c r="Z496" s="127" t="str">
        <f>_xlfn.XLOOKUP(MasterFees[[#This Row],[Provider / Payer]],Contracts[Contract Name],Contracts[Pricing Basis],"To confirm")</f>
        <v>To confirm</v>
      </c>
      <c r="AA496" s="127" t="str">
        <f>IF(MasterFees[[#This Row],[Pricing Basis]]="Fixed fee schedule","Yes","No")</f>
        <v>No</v>
      </c>
      <c r="AB496" s="127" t="str">
        <f>IF(OR(MasterFees[[#This Row],[Fee Basis]]="Add-on",MasterFees[[#This Row],[Fee Basis]]="Time band",MasterFees[[#This Row],[Fee Basis]]="Other"),MasterFees[[#This Row],[Fee Basis]],"Base")</f>
        <v>Base</v>
      </c>
      <c r="AC496" s="141" t="str">
        <f>IF(MasterFees[[#This Row],[Fixed Fee?]]="Yes",MasterFees[[#This Row],[Fee Excl. GST]],"")</f>
        <v/>
      </c>
    </row>
    <row r="497" spans="1:29" x14ac:dyDescent="0.2">
      <c r="A497" s="67" t="s">
        <v>2225</v>
      </c>
      <c r="B497" s="31">
        <f>IF(MasterFees[[#This Row],[RVG Code]]="","",_xlfn.XLOOKUP(MasterFees[[#This Row],[RVG Code]],RVGCodes[Code],RVGCodes[Base Units],"Code not found"))</f>
        <v>6</v>
      </c>
      <c r="C49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9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97" s="125" t="s">
        <v>2577</v>
      </c>
      <c r="F497" s="48" t="s">
        <v>2567</v>
      </c>
      <c r="G497" s="30" t="s">
        <v>730</v>
      </c>
      <c r="H497" s="37" t="s">
        <v>1095</v>
      </c>
      <c r="I497" s="37"/>
      <c r="J497" s="37" t="s">
        <v>1096</v>
      </c>
      <c r="K497" s="32">
        <v>4</v>
      </c>
      <c r="L497" s="32">
        <v>5.5</v>
      </c>
      <c r="M497" s="32">
        <v>0</v>
      </c>
      <c r="N497" s="32">
        <v>9.5</v>
      </c>
      <c r="O497" s="33">
        <v>522.5</v>
      </c>
      <c r="P497" s="38" t="s">
        <v>1014</v>
      </c>
      <c r="Q497" s="34" t="str">
        <f>IF(MasterFees[[#This Row],[GST Basis]]="Excl",MasterFees[[#This Row],[Fee as Printed]],IF(MasterFees[[#This Row],[GST Basis]]="Incl",MasterFees[[#This Row],[Fee as Printed]]/(1+GST_Rate),""))</f>
        <v/>
      </c>
      <c r="R497" s="34" t="str">
        <f>IF(MasterFees[[#This Row],[GST Basis]]="Incl",MasterFees[[#This Row],[Fee as Printed]],IF(MasterFees[[#This Row],[GST Basis]]="Excl",MasterFees[[#This Row],[Fee as Printed]]*(1+GST_Rate),""))</f>
        <v/>
      </c>
      <c r="S497" s="35">
        <f>IF(N(MasterFees[[#This Row],[Total Units]])=0,"",MasterFees[[#This Row],[Fee as Printed]]/MasterFees[[#This Row],[Total Units]])</f>
        <v>55</v>
      </c>
      <c r="T497" s="36"/>
      <c r="U497" s="39" t="s">
        <v>1012</v>
      </c>
      <c r="V497" s="39" t="s">
        <v>1827</v>
      </c>
      <c r="W497" s="30"/>
      <c r="X497" s="73" t="s">
        <v>3630</v>
      </c>
      <c r="Y497" s="127" t="str">
        <f>_xlfn.XLOOKUP(MasterFees[[#This Row],[Provider / Payer]],Contracts[Contract Name],Contracts[Contract ID],"No contract")</f>
        <v>CON-01</v>
      </c>
      <c r="Z497" s="127" t="str">
        <f>_xlfn.XLOOKUP(MasterFees[[#This Row],[Provider / Payer]],Contracts[Contract Name],Contracts[Pricing Basis],"To confirm")</f>
        <v>To confirm</v>
      </c>
      <c r="AA497" s="127" t="str">
        <f>IF(MasterFees[[#This Row],[Pricing Basis]]="Fixed fee schedule","Yes","No")</f>
        <v>No</v>
      </c>
      <c r="AB497" s="127" t="str">
        <f>IF(OR(MasterFees[[#This Row],[Fee Basis]]="Add-on",MasterFees[[#This Row],[Fee Basis]]="Time band",MasterFees[[#This Row],[Fee Basis]]="Other"),MasterFees[[#This Row],[Fee Basis]],"Base")</f>
        <v>Base</v>
      </c>
      <c r="AC497" s="141" t="str">
        <f>IF(MasterFees[[#This Row],[Fixed Fee?]]="Yes",MasterFees[[#This Row],[Fee Excl. GST]],"")</f>
        <v/>
      </c>
    </row>
    <row r="498" spans="1:29" x14ac:dyDescent="0.2">
      <c r="A498" s="67" t="s">
        <v>2220</v>
      </c>
      <c r="B498" s="31">
        <f>IF(MasterFees[[#This Row],[RVG Code]]="","",_xlfn.XLOOKUP(MasterFees[[#This Row],[RVG Code]],RVGCodes[Code],RVGCodes[Base Units],"Code not found"))</f>
        <v>4</v>
      </c>
      <c r="C49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9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98" s="125" t="s">
        <v>2591</v>
      </c>
      <c r="F498" s="48" t="s">
        <v>2569</v>
      </c>
      <c r="G498" s="30" t="s">
        <v>767</v>
      </c>
      <c r="H498" s="37" t="s">
        <v>1095</v>
      </c>
      <c r="I498" s="37"/>
      <c r="J498" s="37" t="s">
        <v>1096</v>
      </c>
      <c r="K498" s="32">
        <v>3.5</v>
      </c>
      <c r="L498" s="32">
        <v>3</v>
      </c>
      <c r="M498" s="32">
        <v>0.4</v>
      </c>
      <c r="N498" s="32">
        <v>6.9</v>
      </c>
      <c r="O498" s="33">
        <v>381.7</v>
      </c>
      <c r="P498" s="38" t="s">
        <v>1014</v>
      </c>
      <c r="Q498" s="34" t="str">
        <f>IF(MasterFees[[#This Row],[GST Basis]]="Excl",MasterFees[[#This Row],[Fee as Printed]],IF(MasterFees[[#This Row],[GST Basis]]="Incl",MasterFees[[#This Row],[Fee as Printed]]/(1+GST_Rate),""))</f>
        <v/>
      </c>
      <c r="R498" s="34" t="str">
        <f>IF(MasterFees[[#This Row],[GST Basis]]="Incl",MasterFees[[#This Row],[Fee as Printed]],IF(MasterFees[[#This Row],[GST Basis]]="Excl",MasterFees[[#This Row],[Fee as Printed]]*(1+GST_Rate),""))</f>
        <v/>
      </c>
      <c r="S498" s="35">
        <f>IF(N(MasterFees[[#This Row],[Total Units]])=0,"",MasterFees[[#This Row],[Fee as Printed]]/MasterFees[[#This Row],[Total Units]])</f>
        <v>55.318840579710141</v>
      </c>
      <c r="T498" s="36"/>
      <c r="U498" s="39" t="s">
        <v>1012</v>
      </c>
      <c r="V498" s="39" t="s">
        <v>1865</v>
      </c>
      <c r="W498" s="30"/>
      <c r="X498" s="73" t="s">
        <v>3671</v>
      </c>
      <c r="Y498" s="127" t="str">
        <f>_xlfn.XLOOKUP(MasterFees[[#This Row],[Provider / Payer]],Contracts[Contract Name],Contracts[Contract ID],"No contract")</f>
        <v>CON-01</v>
      </c>
      <c r="Z498" s="127" t="str">
        <f>_xlfn.XLOOKUP(MasterFees[[#This Row],[Provider / Payer]],Contracts[Contract Name],Contracts[Pricing Basis],"To confirm")</f>
        <v>To confirm</v>
      </c>
      <c r="AA498" s="127" t="str">
        <f>IF(MasterFees[[#This Row],[Pricing Basis]]="Fixed fee schedule","Yes","No")</f>
        <v>No</v>
      </c>
      <c r="AB498" s="127" t="str">
        <f>IF(OR(MasterFees[[#This Row],[Fee Basis]]="Add-on",MasterFees[[#This Row],[Fee Basis]]="Time band",MasterFees[[#This Row],[Fee Basis]]="Other"),MasterFees[[#This Row],[Fee Basis]],"Base")</f>
        <v>Base</v>
      </c>
      <c r="AC498" s="141" t="str">
        <f>IF(MasterFees[[#This Row],[Fixed Fee?]]="Yes",MasterFees[[#This Row],[Fee Excl. GST]],"")</f>
        <v/>
      </c>
    </row>
    <row r="499" spans="1:29" x14ac:dyDescent="0.2">
      <c r="A499" s="67" t="s">
        <v>2220</v>
      </c>
      <c r="B499" s="31">
        <f>IF(MasterFees[[#This Row],[RVG Code]]="","",_xlfn.XLOOKUP(MasterFees[[#This Row],[RVG Code]],RVGCodes[Code],RVGCodes[Base Units],"Code not found"))</f>
        <v>4</v>
      </c>
      <c r="C49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49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499" s="125" t="s">
        <v>2591</v>
      </c>
      <c r="F499" s="48" t="s">
        <v>2569</v>
      </c>
      <c r="G499" s="30" t="s">
        <v>768</v>
      </c>
      <c r="H499" s="37" t="s">
        <v>1095</v>
      </c>
      <c r="I499" s="37"/>
      <c r="J499" s="37" t="s">
        <v>1096</v>
      </c>
      <c r="K499" s="32">
        <v>3.7</v>
      </c>
      <c r="L499" s="32">
        <v>2.7</v>
      </c>
      <c r="M499" s="32">
        <v>0.5</v>
      </c>
      <c r="N499" s="32">
        <v>6.9</v>
      </c>
      <c r="O499" s="33">
        <v>376.75</v>
      </c>
      <c r="P499" s="38" t="s">
        <v>1014</v>
      </c>
      <c r="Q499" s="34" t="str">
        <f>IF(MasterFees[[#This Row],[GST Basis]]="Excl",MasterFees[[#This Row],[Fee as Printed]],IF(MasterFees[[#This Row],[GST Basis]]="Incl",MasterFees[[#This Row],[Fee as Printed]]/(1+GST_Rate),""))</f>
        <v/>
      </c>
      <c r="R499" s="34" t="str">
        <f>IF(MasterFees[[#This Row],[GST Basis]]="Incl",MasterFees[[#This Row],[Fee as Printed]],IF(MasterFees[[#This Row],[GST Basis]]="Excl",MasterFees[[#This Row],[Fee as Printed]]*(1+GST_Rate),""))</f>
        <v/>
      </c>
      <c r="S499" s="35">
        <f>IF(N(MasterFees[[#This Row],[Total Units]])=0,"",MasterFees[[#This Row],[Fee as Printed]]/MasterFees[[#This Row],[Total Units]])</f>
        <v>54.601449275362313</v>
      </c>
      <c r="T499" s="36"/>
      <c r="U499" s="39" t="s">
        <v>1012</v>
      </c>
      <c r="V499" s="39" t="s">
        <v>1866</v>
      </c>
      <c r="W499" s="30"/>
      <c r="X499" s="73" t="s">
        <v>3672</v>
      </c>
      <c r="Y499" s="127" t="str">
        <f>_xlfn.XLOOKUP(MasterFees[[#This Row],[Provider / Payer]],Contracts[Contract Name],Contracts[Contract ID],"No contract")</f>
        <v>CON-01</v>
      </c>
      <c r="Z499" s="127" t="str">
        <f>_xlfn.XLOOKUP(MasterFees[[#This Row],[Provider / Payer]],Contracts[Contract Name],Contracts[Pricing Basis],"To confirm")</f>
        <v>To confirm</v>
      </c>
      <c r="AA499" s="127" t="str">
        <f>IF(MasterFees[[#This Row],[Pricing Basis]]="Fixed fee schedule","Yes","No")</f>
        <v>No</v>
      </c>
      <c r="AB499" s="127" t="str">
        <f>IF(OR(MasterFees[[#This Row],[Fee Basis]]="Add-on",MasterFees[[#This Row],[Fee Basis]]="Time band",MasterFees[[#This Row],[Fee Basis]]="Other"),MasterFees[[#This Row],[Fee Basis]],"Base")</f>
        <v>Base</v>
      </c>
      <c r="AC499" s="141" t="str">
        <f>IF(MasterFees[[#This Row],[Fixed Fee?]]="Yes",MasterFees[[#This Row],[Fee Excl. GST]],"")</f>
        <v/>
      </c>
    </row>
    <row r="500" spans="1:29" x14ac:dyDescent="0.2">
      <c r="A500" s="67" t="s">
        <v>2220</v>
      </c>
      <c r="B500" s="31">
        <f>IF(MasterFees[[#This Row],[RVG Code]]="","",_xlfn.XLOOKUP(MasterFees[[#This Row],[RVG Code]],RVGCodes[Code],RVGCodes[Base Units],"Code not found"))</f>
        <v>4</v>
      </c>
      <c r="C50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50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00" s="125" t="s">
        <v>2591</v>
      </c>
      <c r="F500" s="48" t="s">
        <v>2569</v>
      </c>
      <c r="G500" s="30" t="s">
        <v>769</v>
      </c>
      <c r="H500" s="37" t="s">
        <v>1095</v>
      </c>
      <c r="I500" s="37"/>
      <c r="J500" s="37" t="s">
        <v>1096</v>
      </c>
      <c r="K500" s="32">
        <v>3.6</v>
      </c>
      <c r="L500" s="32">
        <v>2.9</v>
      </c>
      <c r="M500" s="32">
        <v>0.7</v>
      </c>
      <c r="N500" s="32">
        <v>7.2</v>
      </c>
      <c r="O500" s="33">
        <v>397.65</v>
      </c>
      <c r="P500" s="38" t="s">
        <v>1014</v>
      </c>
      <c r="Q500" s="34" t="str">
        <f>IF(MasterFees[[#This Row],[GST Basis]]="Excl",MasterFees[[#This Row],[Fee as Printed]],IF(MasterFees[[#This Row],[GST Basis]]="Incl",MasterFees[[#This Row],[Fee as Printed]]/(1+GST_Rate),""))</f>
        <v/>
      </c>
      <c r="R500" s="34" t="str">
        <f>IF(MasterFees[[#This Row],[GST Basis]]="Incl",MasterFees[[#This Row],[Fee as Printed]],IF(MasterFees[[#This Row],[GST Basis]]="Excl",MasterFees[[#This Row],[Fee as Printed]]*(1+GST_Rate),""))</f>
        <v/>
      </c>
      <c r="S500" s="35">
        <f>IF(N(MasterFees[[#This Row],[Total Units]])=0,"",MasterFees[[#This Row],[Fee as Printed]]/MasterFees[[#This Row],[Total Units]])</f>
        <v>55.229166666666664</v>
      </c>
      <c r="T500" s="36"/>
      <c r="U500" s="39" t="s">
        <v>1012</v>
      </c>
      <c r="V500" s="39" t="s">
        <v>1867</v>
      </c>
      <c r="W500" s="30"/>
      <c r="X500" s="73" t="s">
        <v>3673</v>
      </c>
      <c r="Y500" s="127" t="str">
        <f>_xlfn.XLOOKUP(MasterFees[[#This Row],[Provider / Payer]],Contracts[Contract Name],Contracts[Contract ID],"No contract")</f>
        <v>CON-01</v>
      </c>
      <c r="Z500" s="127" t="str">
        <f>_xlfn.XLOOKUP(MasterFees[[#This Row],[Provider / Payer]],Contracts[Contract Name],Contracts[Pricing Basis],"To confirm")</f>
        <v>To confirm</v>
      </c>
      <c r="AA500" s="127" t="str">
        <f>IF(MasterFees[[#This Row],[Pricing Basis]]="Fixed fee schedule","Yes","No")</f>
        <v>No</v>
      </c>
      <c r="AB500" s="127" t="str">
        <f>IF(OR(MasterFees[[#This Row],[Fee Basis]]="Add-on",MasterFees[[#This Row],[Fee Basis]]="Time band",MasterFees[[#This Row],[Fee Basis]]="Other"),MasterFees[[#This Row],[Fee Basis]],"Base")</f>
        <v>Base</v>
      </c>
      <c r="AC500" s="141" t="str">
        <f>IF(MasterFees[[#This Row],[Fixed Fee?]]="Yes",MasterFees[[#This Row],[Fee Excl. GST]],"")</f>
        <v/>
      </c>
    </row>
    <row r="501" spans="1:29" x14ac:dyDescent="0.2">
      <c r="A501" s="67" t="s">
        <v>2220</v>
      </c>
      <c r="B501" s="31">
        <f>IF(MasterFees[[#This Row],[RVG Code]]="","",_xlfn.XLOOKUP(MasterFees[[#This Row],[RVG Code]],RVGCodes[Code],RVGCodes[Base Units],"Code not found"))</f>
        <v>4</v>
      </c>
      <c r="C50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50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01" s="125" t="s">
        <v>2591</v>
      </c>
      <c r="F501" s="48" t="s">
        <v>2569</v>
      </c>
      <c r="G501" s="30" t="s">
        <v>770</v>
      </c>
      <c r="H501" s="37" t="s">
        <v>1095</v>
      </c>
      <c r="I501" s="37"/>
      <c r="J501" s="37" t="s">
        <v>1096</v>
      </c>
      <c r="K501" s="32">
        <v>0</v>
      </c>
      <c r="L501" s="32">
        <v>0</v>
      </c>
      <c r="M501" s="32">
        <v>0</v>
      </c>
      <c r="N501" s="32">
        <v>0</v>
      </c>
      <c r="O501" s="33">
        <v>0</v>
      </c>
      <c r="P501" s="38" t="s">
        <v>1014</v>
      </c>
      <c r="Q501" s="34" t="str">
        <f>IF(MasterFees[[#This Row],[GST Basis]]="Excl",MasterFees[[#This Row],[Fee as Printed]],IF(MasterFees[[#This Row],[GST Basis]]="Incl",MasterFees[[#This Row],[Fee as Printed]]/(1+GST_Rate),""))</f>
        <v/>
      </c>
      <c r="R501" s="34" t="str">
        <f>IF(MasterFees[[#This Row],[GST Basis]]="Incl",MasterFees[[#This Row],[Fee as Printed]],IF(MasterFees[[#This Row],[GST Basis]]="Excl",MasterFees[[#This Row],[Fee as Printed]]*(1+GST_Rate),""))</f>
        <v/>
      </c>
      <c r="S501" s="35" t="str">
        <f>IF(N(MasterFees[[#This Row],[Total Units]])=0,"",MasterFees[[#This Row],[Fee as Printed]]/MasterFees[[#This Row],[Total Units]])</f>
        <v/>
      </c>
      <c r="T501" s="36"/>
      <c r="U501" s="39" t="s">
        <v>1012</v>
      </c>
      <c r="V501" s="39" t="s">
        <v>1868</v>
      </c>
      <c r="W501" s="30"/>
      <c r="X501" s="73" t="s">
        <v>3674</v>
      </c>
      <c r="Y501" s="127" t="str">
        <f>_xlfn.XLOOKUP(MasterFees[[#This Row],[Provider / Payer]],Contracts[Contract Name],Contracts[Contract ID],"No contract")</f>
        <v>CON-01</v>
      </c>
      <c r="Z501" s="127" t="str">
        <f>_xlfn.XLOOKUP(MasterFees[[#This Row],[Provider / Payer]],Contracts[Contract Name],Contracts[Pricing Basis],"To confirm")</f>
        <v>To confirm</v>
      </c>
      <c r="AA501" s="127" t="str">
        <f>IF(MasterFees[[#This Row],[Pricing Basis]]="Fixed fee schedule","Yes","No")</f>
        <v>No</v>
      </c>
      <c r="AB501" s="127" t="str">
        <f>IF(OR(MasterFees[[#This Row],[Fee Basis]]="Add-on",MasterFees[[#This Row],[Fee Basis]]="Time band",MasterFees[[#This Row],[Fee Basis]]="Other"),MasterFees[[#This Row],[Fee Basis]],"Base")</f>
        <v>Base</v>
      </c>
      <c r="AC501" s="141" t="str">
        <f>IF(MasterFees[[#This Row],[Fixed Fee?]]="Yes",MasterFees[[#This Row],[Fee Excl. GST]],"")</f>
        <v/>
      </c>
    </row>
    <row r="502" spans="1:29" x14ac:dyDescent="0.2">
      <c r="A502" s="67" t="s">
        <v>2223</v>
      </c>
      <c r="B502" s="31">
        <f>IF(MasterFees[[#This Row],[RVG Code]]="","",_xlfn.XLOOKUP(MasterFees[[#This Row],[RVG Code]],RVGCodes[Code],RVGCodes[Base Units],"Code not found"))</f>
        <v>5</v>
      </c>
      <c r="C50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50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02" s="125" t="s">
        <v>2603</v>
      </c>
      <c r="F502" s="48" t="s">
        <v>2567</v>
      </c>
      <c r="G502" s="30" t="s">
        <v>784</v>
      </c>
      <c r="H502" s="37" t="s">
        <v>1095</v>
      </c>
      <c r="I502" s="37"/>
      <c r="J502" s="37" t="s">
        <v>1096</v>
      </c>
      <c r="K502" s="32">
        <v>4.2</v>
      </c>
      <c r="L502" s="32">
        <v>5.3</v>
      </c>
      <c r="M502" s="32">
        <v>0.5</v>
      </c>
      <c r="N502" s="32">
        <v>10</v>
      </c>
      <c r="O502" s="33">
        <v>549.45000000000005</v>
      </c>
      <c r="P502" s="38" t="s">
        <v>1014</v>
      </c>
      <c r="Q502" s="34" t="str">
        <f>IF(MasterFees[[#This Row],[GST Basis]]="Excl",MasterFees[[#This Row],[Fee as Printed]],IF(MasterFees[[#This Row],[GST Basis]]="Incl",MasterFees[[#This Row],[Fee as Printed]]/(1+GST_Rate),""))</f>
        <v/>
      </c>
      <c r="R502" s="34" t="str">
        <f>IF(MasterFees[[#This Row],[GST Basis]]="Incl",MasterFees[[#This Row],[Fee as Printed]],IF(MasterFees[[#This Row],[GST Basis]]="Excl",MasterFees[[#This Row],[Fee as Printed]]*(1+GST_Rate),""))</f>
        <v/>
      </c>
      <c r="S502" s="35">
        <f>IF(N(MasterFees[[#This Row],[Total Units]])=0,"",MasterFees[[#This Row],[Fee as Printed]]/MasterFees[[#This Row],[Total Units]])</f>
        <v>54.945000000000007</v>
      </c>
      <c r="T502" s="36"/>
      <c r="U502" s="39" t="s">
        <v>1012</v>
      </c>
      <c r="V502" s="39" t="s">
        <v>1887</v>
      </c>
      <c r="W502" s="30"/>
      <c r="X502" s="73" t="s">
        <v>3693</v>
      </c>
      <c r="Y502" s="127" t="str">
        <f>_xlfn.XLOOKUP(MasterFees[[#This Row],[Provider / Payer]],Contracts[Contract Name],Contracts[Contract ID],"No contract")</f>
        <v>CON-01</v>
      </c>
      <c r="Z502" s="127" t="str">
        <f>_xlfn.XLOOKUP(MasterFees[[#This Row],[Provider / Payer]],Contracts[Contract Name],Contracts[Pricing Basis],"To confirm")</f>
        <v>To confirm</v>
      </c>
      <c r="AA502" s="127" t="str">
        <f>IF(MasterFees[[#This Row],[Pricing Basis]]="Fixed fee schedule","Yes","No")</f>
        <v>No</v>
      </c>
      <c r="AB502" s="127" t="str">
        <f>IF(OR(MasterFees[[#This Row],[Fee Basis]]="Add-on",MasterFees[[#This Row],[Fee Basis]]="Time band",MasterFees[[#This Row],[Fee Basis]]="Other"),MasterFees[[#This Row],[Fee Basis]],"Base")</f>
        <v>Base</v>
      </c>
      <c r="AC502" s="141" t="str">
        <f>IF(MasterFees[[#This Row],[Fixed Fee?]]="Yes",MasterFees[[#This Row],[Fee Excl. GST]],"")</f>
        <v/>
      </c>
    </row>
    <row r="503" spans="1:29" x14ac:dyDescent="0.2">
      <c r="A503" s="67" t="s">
        <v>2223</v>
      </c>
      <c r="B503" s="31">
        <f>IF(MasterFees[[#This Row],[RVG Code]]="","",_xlfn.XLOOKUP(MasterFees[[#This Row],[RVG Code]],RVGCodes[Code],RVGCodes[Base Units],"Code not found"))</f>
        <v>5</v>
      </c>
      <c r="C50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50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03" s="125" t="s">
        <v>2603</v>
      </c>
      <c r="F503" s="48" t="s">
        <v>2567</v>
      </c>
      <c r="G503" s="30" t="s">
        <v>787</v>
      </c>
      <c r="H503" s="37" t="s">
        <v>1095</v>
      </c>
      <c r="I503" s="37"/>
      <c r="J503" s="37" t="s">
        <v>1096</v>
      </c>
      <c r="K503" s="32">
        <v>5.3</v>
      </c>
      <c r="L503" s="32">
        <v>7</v>
      </c>
      <c r="M503" s="32">
        <v>0.3</v>
      </c>
      <c r="N503" s="32">
        <v>12.7</v>
      </c>
      <c r="O503" s="33">
        <v>696.3</v>
      </c>
      <c r="P503" s="38" t="s">
        <v>1014</v>
      </c>
      <c r="Q503" s="34" t="str">
        <f>IF(MasterFees[[#This Row],[GST Basis]]="Excl",MasterFees[[#This Row],[Fee as Printed]],IF(MasterFees[[#This Row],[GST Basis]]="Incl",MasterFees[[#This Row],[Fee as Printed]]/(1+GST_Rate),""))</f>
        <v/>
      </c>
      <c r="R503" s="34" t="str">
        <f>IF(MasterFees[[#This Row],[GST Basis]]="Incl",MasterFees[[#This Row],[Fee as Printed]],IF(MasterFees[[#This Row],[GST Basis]]="Excl",MasterFees[[#This Row],[Fee as Printed]]*(1+GST_Rate),""))</f>
        <v/>
      </c>
      <c r="S503" s="35">
        <f>IF(N(MasterFees[[#This Row],[Total Units]])=0,"",MasterFees[[#This Row],[Fee as Printed]]/MasterFees[[#This Row],[Total Units]])</f>
        <v>54.826771653543304</v>
      </c>
      <c r="T503" s="36"/>
      <c r="U503" s="39" t="s">
        <v>1012</v>
      </c>
      <c r="V503" s="39" t="s">
        <v>1890</v>
      </c>
      <c r="W503" s="30"/>
      <c r="X503" s="73" t="s">
        <v>3696</v>
      </c>
      <c r="Y503" s="127" t="str">
        <f>_xlfn.XLOOKUP(MasterFees[[#This Row],[Provider / Payer]],Contracts[Contract Name],Contracts[Contract ID],"No contract")</f>
        <v>CON-01</v>
      </c>
      <c r="Z503" s="127" t="str">
        <f>_xlfn.XLOOKUP(MasterFees[[#This Row],[Provider / Payer]],Contracts[Contract Name],Contracts[Pricing Basis],"To confirm")</f>
        <v>To confirm</v>
      </c>
      <c r="AA503" s="127" t="str">
        <f>IF(MasterFees[[#This Row],[Pricing Basis]]="Fixed fee schedule","Yes","No")</f>
        <v>No</v>
      </c>
      <c r="AB503" s="127" t="str">
        <f>IF(OR(MasterFees[[#This Row],[Fee Basis]]="Add-on",MasterFees[[#This Row],[Fee Basis]]="Time band",MasterFees[[#This Row],[Fee Basis]]="Other"),MasterFees[[#This Row],[Fee Basis]],"Base")</f>
        <v>Base</v>
      </c>
      <c r="AC503" s="141" t="str">
        <f>IF(MasterFees[[#This Row],[Fixed Fee?]]="Yes",MasterFees[[#This Row],[Fee Excl. GST]],"")</f>
        <v/>
      </c>
    </row>
    <row r="504" spans="1:29" x14ac:dyDescent="0.2">
      <c r="A504" s="67" t="s">
        <v>2225</v>
      </c>
      <c r="B504" s="31">
        <f>IF(MasterFees[[#This Row],[RVG Code]]="","",_xlfn.XLOOKUP(MasterFees[[#This Row],[RVG Code]],RVGCodes[Code],RVGCodes[Base Units],"Code not found"))</f>
        <v>6</v>
      </c>
      <c r="C50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50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04" s="125" t="s">
        <v>2577</v>
      </c>
      <c r="F504" s="48" t="s">
        <v>2567</v>
      </c>
      <c r="G504" s="30" t="s">
        <v>788</v>
      </c>
      <c r="H504" s="37" t="s">
        <v>1095</v>
      </c>
      <c r="I504" s="37"/>
      <c r="J504" s="37" t="s">
        <v>1096</v>
      </c>
      <c r="K504" s="32">
        <v>6</v>
      </c>
      <c r="L504" s="32">
        <v>8</v>
      </c>
      <c r="M504" s="32">
        <v>0</v>
      </c>
      <c r="N504" s="32">
        <v>14</v>
      </c>
      <c r="O504" s="33">
        <v>770</v>
      </c>
      <c r="P504" s="38" t="s">
        <v>1014</v>
      </c>
      <c r="Q504" s="34" t="str">
        <f>IF(MasterFees[[#This Row],[GST Basis]]="Excl",MasterFees[[#This Row],[Fee as Printed]],IF(MasterFees[[#This Row],[GST Basis]]="Incl",MasterFees[[#This Row],[Fee as Printed]]/(1+GST_Rate),""))</f>
        <v/>
      </c>
      <c r="R504" s="34" t="str">
        <f>IF(MasterFees[[#This Row],[GST Basis]]="Incl",MasterFees[[#This Row],[Fee as Printed]],IF(MasterFees[[#This Row],[GST Basis]]="Excl",MasterFees[[#This Row],[Fee as Printed]]*(1+GST_Rate),""))</f>
        <v/>
      </c>
      <c r="S504" s="35">
        <f>IF(N(MasterFees[[#This Row],[Total Units]])=0,"",MasterFees[[#This Row],[Fee as Printed]]/MasterFees[[#This Row],[Total Units]])</f>
        <v>55</v>
      </c>
      <c r="T504" s="36"/>
      <c r="U504" s="39" t="s">
        <v>1012</v>
      </c>
      <c r="V504" s="39" t="s">
        <v>1891</v>
      </c>
      <c r="W504" s="30"/>
      <c r="X504" s="73" t="s">
        <v>3697</v>
      </c>
      <c r="Y504" s="127" t="str">
        <f>_xlfn.XLOOKUP(MasterFees[[#This Row],[Provider / Payer]],Contracts[Contract Name],Contracts[Contract ID],"No contract")</f>
        <v>CON-01</v>
      </c>
      <c r="Z504" s="127" t="str">
        <f>_xlfn.XLOOKUP(MasterFees[[#This Row],[Provider / Payer]],Contracts[Contract Name],Contracts[Pricing Basis],"To confirm")</f>
        <v>To confirm</v>
      </c>
      <c r="AA504" s="127" t="str">
        <f>IF(MasterFees[[#This Row],[Pricing Basis]]="Fixed fee schedule","Yes","No")</f>
        <v>No</v>
      </c>
      <c r="AB504" s="127" t="str">
        <f>IF(OR(MasterFees[[#This Row],[Fee Basis]]="Add-on",MasterFees[[#This Row],[Fee Basis]]="Time band",MasterFees[[#This Row],[Fee Basis]]="Other"),MasterFees[[#This Row],[Fee Basis]],"Base")</f>
        <v>Base</v>
      </c>
      <c r="AC504" s="141" t="str">
        <f>IF(MasterFees[[#This Row],[Fixed Fee?]]="Yes",MasterFees[[#This Row],[Fee Excl. GST]],"")</f>
        <v/>
      </c>
    </row>
    <row r="505" spans="1:29" x14ac:dyDescent="0.2">
      <c r="A505" s="67" t="s">
        <v>2225</v>
      </c>
      <c r="B505" s="31">
        <f>IF(MasterFees[[#This Row],[RVG Code]]="","",_xlfn.XLOOKUP(MasterFees[[#This Row],[RVG Code]],RVGCodes[Code],RVGCodes[Base Units],"Code not found"))</f>
        <v>6</v>
      </c>
      <c r="C50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50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05" s="125" t="s">
        <v>2577</v>
      </c>
      <c r="F505" s="48" t="s">
        <v>2567</v>
      </c>
      <c r="G505" s="30" t="s">
        <v>810</v>
      </c>
      <c r="H505" s="37" t="s">
        <v>1095</v>
      </c>
      <c r="I505" s="37"/>
      <c r="J505" s="37" t="s">
        <v>1096</v>
      </c>
      <c r="K505" s="32">
        <v>5.6</v>
      </c>
      <c r="L505" s="32">
        <v>7.9</v>
      </c>
      <c r="M505" s="32">
        <v>1.1000000000000001</v>
      </c>
      <c r="N505" s="32">
        <v>14.5</v>
      </c>
      <c r="O505" s="33">
        <v>796.4</v>
      </c>
      <c r="P505" s="38" t="s">
        <v>1014</v>
      </c>
      <c r="Q505" s="34" t="str">
        <f>IF(MasterFees[[#This Row],[GST Basis]]="Excl",MasterFees[[#This Row],[Fee as Printed]],IF(MasterFees[[#This Row],[GST Basis]]="Incl",MasterFees[[#This Row],[Fee as Printed]]/(1+GST_Rate),""))</f>
        <v/>
      </c>
      <c r="R505" s="34" t="str">
        <f>IF(MasterFees[[#This Row],[GST Basis]]="Incl",MasterFees[[#This Row],[Fee as Printed]],IF(MasterFees[[#This Row],[GST Basis]]="Excl",MasterFees[[#This Row],[Fee as Printed]]*(1+GST_Rate),""))</f>
        <v/>
      </c>
      <c r="S505" s="35">
        <f>IF(N(MasterFees[[#This Row],[Total Units]])=0,"",MasterFees[[#This Row],[Fee as Printed]]/MasterFees[[#This Row],[Total Units]])</f>
        <v>54.92413793103448</v>
      </c>
      <c r="T505" s="36"/>
      <c r="U505" s="39" t="s">
        <v>1012</v>
      </c>
      <c r="V505" s="39" t="s">
        <v>1913</v>
      </c>
      <c r="W505" s="30"/>
      <c r="X505" s="73" t="s">
        <v>3720</v>
      </c>
      <c r="Y505" s="127" t="str">
        <f>_xlfn.XLOOKUP(MasterFees[[#This Row],[Provider / Payer]],Contracts[Contract Name],Contracts[Contract ID],"No contract")</f>
        <v>CON-01</v>
      </c>
      <c r="Z505" s="127" t="str">
        <f>_xlfn.XLOOKUP(MasterFees[[#This Row],[Provider / Payer]],Contracts[Contract Name],Contracts[Pricing Basis],"To confirm")</f>
        <v>To confirm</v>
      </c>
      <c r="AA505" s="127" t="str">
        <f>IF(MasterFees[[#This Row],[Pricing Basis]]="Fixed fee schedule","Yes","No")</f>
        <v>No</v>
      </c>
      <c r="AB505" s="127" t="str">
        <f>IF(OR(MasterFees[[#This Row],[Fee Basis]]="Add-on",MasterFees[[#This Row],[Fee Basis]]="Time band",MasterFees[[#This Row],[Fee Basis]]="Other"),MasterFees[[#This Row],[Fee Basis]],"Base")</f>
        <v>Base</v>
      </c>
      <c r="AC505" s="141" t="str">
        <f>IF(MasterFees[[#This Row],[Fixed Fee?]]="Yes",MasterFees[[#This Row],[Fee Excl. GST]],"")</f>
        <v/>
      </c>
    </row>
    <row r="506" spans="1:29" x14ac:dyDescent="0.2">
      <c r="A506" s="67" t="s">
        <v>2225</v>
      </c>
      <c r="B506" s="31">
        <f>IF(MasterFees[[#This Row],[RVG Code]]="","",_xlfn.XLOOKUP(MasterFees[[#This Row],[RVG Code]],RVGCodes[Code],RVGCodes[Base Units],"Code not found"))</f>
        <v>6</v>
      </c>
      <c r="C50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50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06" s="125" t="s">
        <v>2577</v>
      </c>
      <c r="F506" s="48" t="s">
        <v>2567</v>
      </c>
      <c r="G506" s="30" t="s">
        <v>811</v>
      </c>
      <c r="H506" s="37" t="s">
        <v>1095</v>
      </c>
      <c r="I506" s="37"/>
      <c r="J506" s="37" t="s">
        <v>1096</v>
      </c>
      <c r="K506" s="32">
        <v>6</v>
      </c>
      <c r="L506" s="32">
        <v>5.7</v>
      </c>
      <c r="M506" s="32">
        <v>0.7</v>
      </c>
      <c r="N506" s="32">
        <v>12.4</v>
      </c>
      <c r="O506" s="33">
        <v>683.1</v>
      </c>
      <c r="P506" s="38" t="s">
        <v>1014</v>
      </c>
      <c r="Q506" s="34" t="str">
        <f>IF(MasterFees[[#This Row],[GST Basis]]="Excl",MasterFees[[#This Row],[Fee as Printed]],IF(MasterFees[[#This Row],[GST Basis]]="Incl",MasterFees[[#This Row],[Fee as Printed]]/(1+GST_Rate),""))</f>
        <v/>
      </c>
      <c r="R506" s="34" t="str">
        <f>IF(MasterFees[[#This Row],[GST Basis]]="Incl",MasterFees[[#This Row],[Fee as Printed]],IF(MasterFees[[#This Row],[GST Basis]]="Excl",MasterFees[[#This Row],[Fee as Printed]]*(1+GST_Rate),""))</f>
        <v/>
      </c>
      <c r="S506" s="35">
        <f>IF(N(MasterFees[[#This Row],[Total Units]])=0,"",MasterFees[[#This Row],[Fee as Printed]]/MasterFees[[#This Row],[Total Units]])</f>
        <v>55.088709677419352</v>
      </c>
      <c r="T506" s="36"/>
      <c r="U506" s="39" t="s">
        <v>1012</v>
      </c>
      <c r="V506" s="39" t="s">
        <v>1914</v>
      </c>
      <c r="W506" s="30"/>
      <c r="X506" s="73" t="s">
        <v>3721</v>
      </c>
      <c r="Y506" s="127" t="str">
        <f>_xlfn.XLOOKUP(MasterFees[[#This Row],[Provider / Payer]],Contracts[Contract Name],Contracts[Contract ID],"No contract")</f>
        <v>CON-01</v>
      </c>
      <c r="Z506" s="127" t="str">
        <f>_xlfn.XLOOKUP(MasterFees[[#This Row],[Provider / Payer]],Contracts[Contract Name],Contracts[Pricing Basis],"To confirm")</f>
        <v>To confirm</v>
      </c>
      <c r="AA506" s="127" t="str">
        <f>IF(MasterFees[[#This Row],[Pricing Basis]]="Fixed fee schedule","Yes","No")</f>
        <v>No</v>
      </c>
      <c r="AB506" s="127" t="str">
        <f>IF(OR(MasterFees[[#This Row],[Fee Basis]]="Add-on",MasterFees[[#This Row],[Fee Basis]]="Time band",MasterFees[[#This Row],[Fee Basis]]="Other"),MasterFees[[#This Row],[Fee Basis]],"Base")</f>
        <v>Base</v>
      </c>
      <c r="AC506" s="141" t="str">
        <f>IF(MasterFees[[#This Row],[Fixed Fee?]]="Yes",MasterFees[[#This Row],[Fee Excl. GST]],"")</f>
        <v/>
      </c>
    </row>
    <row r="507" spans="1:29" x14ac:dyDescent="0.2">
      <c r="A507" s="67" t="s">
        <v>2225</v>
      </c>
      <c r="B507" s="31">
        <f>IF(MasterFees[[#This Row],[RVG Code]]="","",_xlfn.XLOOKUP(MasterFees[[#This Row],[RVG Code]],RVGCodes[Code],RVGCodes[Base Units],"Code not found"))</f>
        <v>6</v>
      </c>
      <c r="C50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50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07" s="125" t="s">
        <v>2577</v>
      </c>
      <c r="F507" s="48" t="s">
        <v>2567</v>
      </c>
      <c r="G507" s="30" t="s">
        <v>812</v>
      </c>
      <c r="H507" s="37" t="s">
        <v>1095</v>
      </c>
      <c r="I507" s="37"/>
      <c r="J507" s="37" t="s">
        <v>1096</v>
      </c>
      <c r="K507" s="32">
        <v>6</v>
      </c>
      <c r="L507" s="32">
        <v>5.5</v>
      </c>
      <c r="M507" s="32">
        <v>2.2999999999999998</v>
      </c>
      <c r="N507" s="32">
        <v>13.8</v>
      </c>
      <c r="O507" s="33">
        <v>759</v>
      </c>
      <c r="P507" s="38" t="s">
        <v>1014</v>
      </c>
      <c r="Q507" s="34" t="str">
        <f>IF(MasterFees[[#This Row],[GST Basis]]="Excl",MasterFees[[#This Row],[Fee as Printed]],IF(MasterFees[[#This Row],[GST Basis]]="Incl",MasterFees[[#This Row],[Fee as Printed]]/(1+GST_Rate),""))</f>
        <v/>
      </c>
      <c r="R507" s="34" t="str">
        <f>IF(MasterFees[[#This Row],[GST Basis]]="Incl",MasterFees[[#This Row],[Fee as Printed]],IF(MasterFees[[#This Row],[GST Basis]]="Excl",MasterFees[[#This Row],[Fee as Printed]]*(1+GST_Rate),""))</f>
        <v/>
      </c>
      <c r="S507" s="35">
        <f>IF(N(MasterFees[[#This Row],[Total Units]])=0,"",MasterFees[[#This Row],[Fee as Printed]]/MasterFees[[#This Row],[Total Units]])</f>
        <v>55</v>
      </c>
      <c r="T507" s="36"/>
      <c r="U507" s="39" t="s">
        <v>1012</v>
      </c>
      <c r="V507" s="39" t="s">
        <v>1915</v>
      </c>
      <c r="W507" s="30"/>
      <c r="X507" s="73" t="s">
        <v>3722</v>
      </c>
      <c r="Y507" s="127" t="str">
        <f>_xlfn.XLOOKUP(MasterFees[[#This Row],[Provider / Payer]],Contracts[Contract Name],Contracts[Contract ID],"No contract")</f>
        <v>CON-01</v>
      </c>
      <c r="Z507" s="127" t="str">
        <f>_xlfn.XLOOKUP(MasterFees[[#This Row],[Provider / Payer]],Contracts[Contract Name],Contracts[Pricing Basis],"To confirm")</f>
        <v>To confirm</v>
      </c>
      <c r="AA507" s="127" t="str">
        <f>IF(MasterFees[[#This Row],[Pricing Basis]]="Fixed fee schedule","Yes","No")</f>
        <v>No</v>
      </c>
      <c r="AB507" s="127" t="str">
        <f>IF(OR(MasterFees[[#This Row],[Fee Basis]]="Add-on",MasterFees[[#This Row],[Fee Basis]]="Time band",MasterFees[[#This Row],[Fee Basis]]="Other"),MasterFees[[#This Row],[Fee Basis]],"Base")</f>
        <v>Base</v>
      </c>
      <c r="AC507" s="141" t="str">
        <f>IF(MasterFees[[#This Row],[Fixed Fee?]]="Yes",MasterFees[[#This Row],[Fee Excl. GST]],"")</f>
        <v/>
      </c>
    </row>
    <row r="508" spans="1:29" x14ac:dyDescent="0.2">
      <c r="A508" s="67" t="s">
        <v>2227</v>
      </c>
      <c r="B508" s="31">
        <f>IF(MasterFees[[#This Row],[RVG Code]]="","",_xlfn.XLOOKUP(MasterFees[[#This Row],[RVG Code]],RVGCodes[Code],RVGCodes[Base Units],"Code not found"))</f>
        <v>8</v>
      </c>
      <c r="C50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50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08" s="125" t="s">
        <v>2624</v>
      </c>
      <c r="F508" s="48" t="s">
        <v>2569</v>
      </c>
      <c r="G508" s="30" t="s">
        <v>813</v>
      </c>
      <c r="H508" s="37" t="s">
        <v>1095</v>
      </c>
      <c r="I508" s="37"/>
      <c r="J508" s="37" t="s">
        <v>1096</v>
      </c>
      <c r="K508" s="32">
        <v>6</v>
      </c>
      <c r="L508" s="32">
        <v>9</v>
      </c>
      <c r="M508" s="32">
        <v>2</v>
      </c>
      <c r="N508" s="32">
        <v>17</v>
      </c>
      <c r="O508" s="33">
        <v>935</v>
      </c>
      <c r="P508" s="38" t="s">
        <v>1014</v>
      </c>
      <c r="Q508" s="34" t="str">
        <f>IF(MasterFees[[#This Row],[GST Basis]]="Excl",MasterFees[[#This Row],[Fee as Printed]],IF(MasterFees[[#This Row],[GST Basis]]="Incl",MasterFees[[#This Row],[Fee as Printed]]/(1+GST_Rate),""))</f>
        <v/>
      </c>
      <c r="R508" s="34" t="str">
        <f>IF(MasterFees[[#This Row],[GST Basis]]="Incl",MasterFees[[#This Row],[Fee as Printed]],IF(MasterFees[[#This Row],[GST Basis]]="Excl",MasterFees[[#This Row],[Fee as Printed]]*(1+GST_Rate),""))</f>
        <v/>
      </c>
      <c r="S508" s="35">
        <f>IF(N(MasterFees[[#This Row],[Total Units]])=0,"",MasterFees[[#This Row],[Fee as Printed]]/MasterFees[[#This Row],[Total Units]])</f>
        <v>55</v>
      </c>
      <c r="T508" s="36"/>
      <c r="U508" s="39" t="s">
        <v>1012</v>
      </c>
      <c r="V508" s="39" t="s">
        <v>1916</v>
      </c>
      <c r="W508" s="30"/>
      <c r="X508" s="73" t="s">
        <v>3723</v>
      </c>
      <c r="Y508" s="127" t="str">
        <f>_xlfn.XLOOKUP(MasterFees[[#This Row],[Provider / Payer]],Contracts[Contract Name],Contracts[Contract ID],"No contract")</f>
        <v>CON-01</v>
      </c>
      <c r="Z508" s="127" t="str">
        <f>_xlfn.XLOOKUP(MasterFees[[#This Row],[Provider / Payer]],Contracts[Contract Name],Contracts[Pricing Basis],"To confirm")</f>
        <v>To confirm</v>
      </c>
      <c r="AA508" s="127" t="str">
        <f>IF(MasterFees[[#This Row],[Pricing Basis]]="Fixed fee schedule","Yes","No")</f>
        <v>No</v>
      </c>
      <c r="AB508" s="127" t="str">
        <f>IF(OR(MasterFees[[#This Row],[Fee Basis]]="Add-on",MasterFees[[#This Row],[Fee Basis]]="Time band",MasterFees[[#This Row],[Fee Basis]]="Other"),MasterFees[[#This Row],[Fee Basis]],"Base")</f>
        <v>Base</v>
      </c>
      <c r="AC508" s="141" t="str">
        <f>IF(MasterFees[[#This Row],[Fixed Fee?]]="Yes",MasterFees[[#This Row],[Fee Excl. GST]],"")</f>
        <v/>
      </c>
    </row>
    <row r="509" spans="1:29" x14ac:dyDescent="0.2">
      <c r="A509" s="67" t="s">
        <v>2225</v>
      </c>
      <c r="B509" s="31">
        <f>IF(MasterFees[[#This Row],[RVG Code]]="","",_xlfn.XLOOKUP(MasterFees[[#This Row],[RVG Code]],RVGCodes[Code],RVGCodes[Base Units],"Code not found"))</f>
        <v>6</v>
      </c>
      <c r="C50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50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09" s="125" t="s">
        <v>2577</v>
      </c>
      <c r="F509" s="48" t="s">
        <v>2567</v>
      </c>
      <c r="G509" s="30" t="s">
        <v>815</v>
      </c>
      <c r="H509" s="37" t="s">
        <v>1095</v>
      </c>
      <c r="I509" s="37"/>
      <c r="J509" s="37" t="s">
        <v>1096</v>
      </c>
      <c r="K509" s="32">
        <v>4</v>
      </c>
      <c r="L509" s="32">
        <v>8.6999999999999993</v>
      </c>
      <c r="M509" s="32">
        <v>1</v>
      </c>
      <c r="N509" s="32">
        <v>13.7</v>
      </c>
      <c r="O509" s="33">
        <v>751.3</v>
      </c>
      <c r="P509" s="38" t="s">
        <v>1014</v>
      </c>
      <c r="Q509" s="34" t="str">
        <f>IF(MasterFees[[#This Row],[GST Basis]]="Excl",MasterFees[[#This Row],[Fee as Printed]],IF(MasterFees[[#This Row],[GST Basis]]="Incl",MasterFees[[#This Row],[Fee as Printed]]/(1+GST_Rate),""))</f>
        <v/>
      </c>
      <c r="R509" s="34" t="str">
        <f>IF(MasterFees[[#This Row],[GST Basis]]="Incl",MasterFees[[#This Row],[Fee as Printed]],IF(MasterFees[[#This Row],[GST Basis]]="Excl",MasterFees[[#This Row],[Fee as Printed]]*(1+GST_Rate),""))</f>
        <v/>
      </c>
      <c r="S509" s="35">
        <f>IF(N(MasterFees[[#This Row],[Total Units]])=0,"",MasterFees[[#This Row],[Fee as Printed]]/MasterFees[[#This Row],[Total Units]])</f>
        <v>54.839416058394157</v>
      </c>
      <c r="T509" s="36"/>
      <c r="U509" s="39" t="s">
        <v>1012</v>
      </c>
      <c r="V509" s="39" t="s">
        <v>1918</v>
      </c>
      <c r="W509" s="30"/>
      <c r="X509" s="73" t="s">
        <v>3726</v>
      </c>
      <c r="Y509" s="127" t="str">
        <f>_xlfn.XLOOKUP(MasterFees[[#This Row],[Provider / Payer]],Contracts[Contract Name],Contracts[Contract ID],"No contract")</f>
        <v>CON-01</v>
      </c>
      <c r="Z509" s="127" t="str">
        <f>_xlfn.XLOOKUP(MasterFees[[#This Row],[Provider / Payer]],Contracts[Contract Name],Contracts[Pricing Basis],"To confirm")</f>
        <v>To confirm</v>
      </c>
      <c r="AA509" s="127" t="str">
        <f>IF(MasterFees[[#This Row],[Pricing Basis]]="Fixed fee schedule","Yes","No")</f>
        <v>No</v>
      </c>
      <c r="AB509" s="127" t="str">
        <f>IF(OR(MasterFees[[#This Row],[Fee Basis]]="Add-on",MasterFees[[#This Row],[Fee Basis]]="Time band",MasterFees[[#This Row],[Fee Basis]]="Other"),MasterFees[[#This Row],[Fee Basis]],"Base")</f>
        <v>Base</v>
      </c>
      <c r="AC509" s="141" t="str">
        <f>IF(MasterFees[[#This Row],[Fixed Fee?]]="Yes",MasterFees[[#This Row],[Fee Excl. GST]],"")</f>
        <v/>
      </c>
    </row>
    <row r="510" spans="1:29" x14ac:dyDescent="0.2">
      <c r="A510" s="67" t="s">
        <v>2227</v>
      </c>
      <c r="B510" s="31">
        <f>IF(MasterFees[[#This Row],[RVG Code]]="","",_xlfn.XLOOKUP(MasterFees[[#This Row],[RVG Code]],RVGCodes[Code],RVGCodes[Base Units],"Code not found"))</f>
        <v>8</v>
      </c>
      <c r="C51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51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10" s="125" t="s">
        <v>2624</v>
      </c>
      <c r="F510" s="48" t="s">
        <v>2569</v>
      </c>
      <c r="G510" s="30" t="s">
        <v>824</v>
      </c>
      <c r="H510" s="37" t="s">
        <v>1095</v>
      </c>
      <c r="I510" s="37"/>
      <c r="J510" s="37" t="s">
        <v>1096</v>
      </c>
      <c r="K510" s="32">
        <v>8.1</v>
      </c>
      <c r="L510" s="32">
        <v>12.5</v>
      </c>
      <c r="M510" s="32">
        <v>2.2999999999999998</v>
      </c>
      <c r="N510" s="32">
        <v>22.9</v>
      </c>
      <c r="O510" s="33">
        <v>1258.95</v>
      </c>
      <c r="P510" s="38" t="s">
        <v>1014</v>
      </c>
      <c r="Q510" s="34" t="str">
        <f>IF(MasterFees[[#This Row],[GST Basis]]="Excl",MasterFees[[#This Row],[Fee as Printed]],IF(MasterFees[[#This Row],[GST Basis]]="Incl",MasterFees[[#This Row],[Fee as Printed]]/(1+GST_Rate),""))</f>
        <v/>
      </c>
      <c r="R510" s="34" t="str">
        <f>IF(MasterFees[[#This Row],[GST Basis]]="Incl",MasterFees[[#This Row],[Fee as Printed]],IF(MasterFees[[#This Row],[GST Basis]]="Excl",MasterFees[[#This Row],[Fee as Printed]]*(1+GST_Rate),""))</f>
        <v/>
      </c>
      <c r="S510" s="35">
        <f>IF(N(MasterFees[[#This Row],[Total Units]])=0,"",MasterFees[[#This Row],[Fee as Printed]]/MasterFees[[#This Row],[Total Units]])</f>
        <v>54.975982532751097</v>
      </c>
      <c r="T510" s="36"/>
      <c r="U510" s="39" t="s">
        <v>1012</v>
      </c>
      <c r="V510" s="39" t="s">
        <v>1927</v>
      </c>
      <c r="W510" s="30"/>
      <c r="X510" s="73" t="s">
        <v>3735</v>
      </c>
      <c r="Y510" s="127" t="str">
        <f>_xlfn.XLOOKUP(MasterFees[[#This Row],[Provider / Payer]],Contracts[Contract Name],Contracts[Contract ID],"No contract")</f>
        <v>CON-01</v>
      </c>
      <c r="Z510" s="127" t="str">
        <f>_xlfn.XLOOKUP(MasterFees[[#This Row],[Provider / Payer]],Contracts[Contract Name],Contracts[Pricing Basis],"To confirm")</f>
        <v>To confirm</v>
      </c>
      <c r="AA510" s="127" t="str">
        <f>IF(MasterFees[[#This Row],[Pricing Basis]]="Fixed fee schedule","Yes","No")</f>
        <v>No</v>
      </c>
      <c r="AB510" s="127" t="str">
        <f>IF(OR(MasterFees[[#This Row],[Fee Basis]]="Add-on",MasterFees[[#This Row],[Fee Basis]]="Time band",MasterFees[[#This Row],[Fee Basis]]="Other"),MasterFees[[#This Row],[Fee Basis]],"Base")</f>
        <v>Base</v>
      </c>
      <c r="AC510" s="141" t="str">
        <f>IF(MasterFees[[#This Row],[Fixed Fee?]]="Yes",MasterFees[[#This Row],[Fee Excl. GST]],"")</f>
        <v/>
      </c>
    </row>
    <row r="511" spans="1:29" x14ac:dyDescent="0.2">
      <c r="A511" s="67" t="s">
        <v>2223</v>
      </c>
      <c r="B511" s="31">
        <f>IF(MasterFees[[#This Row],[RVG Code]]="","",_xlfn.XLOOKUP(MasterFees[[#This Row],[RVG Code]],RVGCodes[Code],RVGCodes[Base Units],"Code not found"))</f>
        <v>5</v>
      </c>
      <c r="C51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51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11" s="125" t="s">
        <v>2603</v>
      </c>
      <c r="F511" s="48" t="s">
        <v>2567</v>
      </c>
      <c r="G511" s="30" t="s">
        <v>825</v>
      </c>
      <c r="H511" s="37" t="s">
        <v>1095</v>
      </c>
      <c r="I511" s="37"/>
      <c r="J511" s="37" t="s">
        <v>1096</v>
      </c>
      <c r="K511" s="32">
        <v>0</v>
      </c>
      <c r="L511" s="32">
        <v>3</v>
      </c>
      <c r="M511" s="32">
        <v>0</v>
      </c>
      <c r="N511" s="32">
        <v>3</v>
      </c>
      <c r="O511" s="33">
        <v>165</v>
      </c>
      <c r="P511" s="38" t="s">
        <v>1014</v>
      </c>
      <c r="Q511" s="34" t="str">
        <f>IF(MasterFees[[#This Row],[GST Basis]]="Excl",MasterFees[[#This Row],[Fee as Printed]],IF(MasterFees[[#This Row],[GST Basis]]="Incl",MasterFees[[#This Row],[Fee as Printed]]/(1+GST_Rate),""))</f>
        <v/>
      </c>
      <c r="R511" s="34" t="str">
        <f>IF(MasterFees[[#This Row],[GST Basis]]="Incl",MasterFees[[#This Row],[Fee as Printed]],IF(MasterFees[[#This Row],[GST Basis]]="Excl",MasterFees[[#This Row],[Fee as Printed]]*(1+GST_Rate),""))</f>
        <v/>
      </c>
      <c r="S511" s="35">
        <f>IF(N(MasterFees[[#This Row],[Total Units]])=0,"",MasterFees[[#This Row],[Fee as Printed]]/MasterFees[[#This Row],[Total Units]])</f>
        <v>55</v>
      </c>
      <c r="T511" s="36"/>
      <c r="U511" s="39" t="s">
        <v>1012</v>
      </c>
      <c r="V511" s="39" t="s">
        <v>1928</v>
      </c>
      <c r="W511" s="30"/>
      <c r="X511" s="73" t="s">
        <v>3737</v>
      </c>
      <c r="Y511" s="127" t="str">
        <f>_xlfn.XLOOKUP(MasterFees[[#This Row],[Provider / Payer]],Contracts[Contract Name],Contracts[Contract ID],"No contract")</f>
        <v>CON-01</v>
      </c>
      <c r="Z511" s="127" t="str">
        <f>_xlfn.XLOOKUP(MasterFees[[#This Row],[Provider / Payer]],Contracts[Contract Name],Contracts[Pricing Basis],"To confirm")</f>
        <v>To confirm</v>
      </c>
      <c r="AA511" s="127" t="str">
        <f>IF(MasterFees[[#This Row],[Pricing Basis]]="Fixed fee schedule","Yes","No")</f>
        <v>No</v>
      </c>
      <c r="AB511" s="127" t="str">
        <f>IF(OR(MasterFees[[#This Row],[Fee Basis]]="Add-on",MasterFees[[#This Row],[Fee Basis]]="Time band",MasterFees[[#This Row],[Fee Basis]]="Other"),MasterFees[[#This Row],[Fee Basis]],"Base")</f>
        <v>Base</v>
      </c>
      <c r="AC511" s="141" t="str">
        <f>IF(MasterFees[[#This Row],[Fixed Fee?]]="Yes",MasterFees[[#This Row],[Fee Excl. GST]],"")</f>
        <v/>
      </c>
    </row>
    <row r="512" spans="1:29" x14ac:dyDescent="0.2">
      <c r="A512" s="67" t="s">
        <v>2220</v>
      </c>
      <c r="B512" s="31">
        <f>IF(MasterFees[[#This Row],[RVG Code]]="","",_xlfn.XLOOKUP(MasterFees[[#This Row],[RVG Code]],RVGCodes[Code],RVGCodes[Base Units],"Code not found"))</f>
        <v>4</v>
      </c>
      <c r="C51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51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12" s="125" t="s">
        <v>2591</v>
      </c>
      <c r="F512" s="48" t="s">
        <v>2567</v>
      </c>
      <c r="G512" s="30" t="s">
        <v>835</v>
      </c>
      <c r="H512" s="37" t="s">
        <v>1095</v>
      </c>
      <c r="I512" s="37"/>
      <c r="J512" s="37" t="s">
        <v>1096</v>
      </c>
      <c r="K512" s="32">
        <v>0</v>
      </c>
      <c r="L512" s="32">
        <v>6</v>
      </c>
      <c r="M512" s="32">
        <v>0</v>
      </c>
      <c r="N512" s="32">
        <v>6</v>
      </c>
      <c r="O512" s="33">
        <v>330</v>
      </c>
      <c r="P512" s="38" t="s">
        <v>1014</v>
      </c>
      <c r="Q512" s="34" t="str">
        <f>IF(MasterFees[[#This Row],[GST Basis]]="Excl",MasterFees[[#This Row],[Fee as Printed]],IF(MasterFees[[#This Row],[GST Basis]]="Incl",MasterFees[[#This Row],[Fee as Printed]]/(1+GST_Rate),""))</f>
        <v/>
      </c>
      <c r="R512" s="34" t="str">
        <f>IF(MasterFees[[#This Row],[GST Basis]]="Incl",MasterFees[[#This Row],[Fee as Printed]],IF(MasterFees[[#This Row],[GST Basis]]="Excl",MasterFees[[#This Row],[Fee as Printed]]*(1+GST_Rate),""))</f>
        <v/>
      </c>
      <c r="S512" s="35">
        <f>IF(N(MasterFees[[#This Row],[Total Units]])=0,"",MasterFees[[#This Row],[Fee as Printed]]/MasterFees[[#This Row],[Total Units]])</f>
        <v>55</v>
      </c>
      <c r="T512" s="36"/>
      <c r="U512" s="39" t="s">
        <v>1012</v>
      </c>
      <c r="V512" s="39" t="s">
        <v>1938</v>
      </c>
      <c r="W512" s="30"/>
      <c r="X512" s="73" t="s">
        <v>3748</v>
      </c>
      <c r="Y512" s="127" t="str">
        <f>_xlfn.XLOOKUP(MasterFees[[#This Row],[Provider / Payer]],Contracts[Contract Name],Contracts[Contract ID],"No contract")</f>
        <v>CON-01</v>
      </c>
      <c r="Z512" s="127" t="str">
        <f>_xlfn.XLOOKUP(MasterFees[[#This Row],[Provider / Payer]],Contracts[Contract Name],Contracts[Pricing Basis],"To confirm")</f>
        <v>To confirm</v>
      </c>
      <c r="AA512" s="127" t="str">
        <f>IF(MasterFees[[#This Row],[Pricing Basis]]="Fixed fee schedule","Yes","No")</f>
        <v>No</v>
      </c>
      <c r="AB512" s="127" t="str">
        <f>IF(OR(MasterFees[[#This Row],[Fee Basis]]="Add-on",MasterFees[[#This Row],[Fee Basis]]="Time band",MasterFees[[#This Row],[Fee Basis]]="Other"),MasterFees[[#This Row],[Fee Basis]],"Base")</f>
        <v>Base</v>
      </c>
      <c r="AC512" s="141" t="str">
        <f>IF(MasterFees[[#This Row],[Fixed Fee?]]="Yes",MasterFees[[#This Row],[Fee Excl. GST]],"")</f>
        <v/>
      </c>
    </row>
    <row r="513" spans="1:29" x14ac:dyDescent="0.2">
      <c r="A513" s="67" t="s">
        <v>2225</v>
      </c>
      <c r="B513" s="31">
        <f>IF(MasterFees[[#This Row],[RVG Code]]="","",_xlfn.XLOOKUP(MasterFees[[#This Row],[RVG Code]],RVGCodes[Code],RVGCodes[Base Units],"Code not found"))</f>
        <v>6</v>
      </c>
      <c r="C51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51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13" s="125" t="s">
        <v>2577</v>
      </c>
      <c r="F513" s="48" t="s">
        <v>2569</v>
      </c>
      <c r="G513" s="30" t="s">
        <v>843</v>
      </c>
      <c r="H513" s="37" t="s">
        <v>1095</v>
      </c>
      <c r="I513" s="37"/>
      <c r="J513" s="37" t="s">
        <v>1096</v>
      </c>
      <c r="K513" s="32">
        <v>5.8</v>
      </c>
      <c r="L513" s="32">
        <v>6.1</v>
      </c>
      <c r="M513" s="32">
        <v>1</v>
      </c>
      <c r="N513" s="32">
        <v>12.9</v>
      </c>
      <c r="O513" s="33">
        <v>711.15</v>
      </c>
      <c r="P513" s="38" t="s">
        <v>1014</v>
      </c>
      <c r="Q513" s="34" t="str">
        <f>IF(MasterFees[[#This Row],[GST Basis]]="Excl",MasterFees[[#This Row],[Fee as Printed]],IF(MasterFees[[#This Row],[GST Basis]]="Incl",MasterFees[[#This Row],[Fee as Printed]]/(1+GST_Rate),""))</f>
        <v/>
      </c>
      <c r="R513" s="34" t="str">
        <f>IF(MasterFees[[#This Row],[GST Basis]]="Incl",MasterFees[[#This Row],[Fee as Printed]],IF(MasterFees[[#This Row],[GST Basis]]="Excl",MasterFees[[#This Row],[Fee as Printed]]*(1+GST_Rate),""))</f>
        <v/>
      </c>
      <c r="S513" s="35">
        <f>IF(N(MasterFees[[#This Row],[Total Units]])=0,"",MasterFees[[#This Row],[Fee as Printed]]/MasterFees[[#This Row],[Total Units]])</f>
        <v>55.127906976744185</v>
      </c>
      <c r="T513" s="36"/>
      <c r="U513" s="39" t="s">
        <v>1012</v>
      </c>
      <c r="V513" s="39" t="s">
        <v>1946</v>
      </c>
      <c r="W513" s="30"/>
      <c r="X513" s="73" t="s">
        <v>3758</v>
      </c>
      <c r="Y513" s="127" t="str">
        <f>_xlfn.XLOOKUP(MasterFees[[#This Row],[Provider / Payer]],Contracts[Contract Name],Contracts[Contract ID],"No contract")</f>
        <v>CON-01</v>
      </c>
      <c r="Z513" s="127" t="str">
        <f>_xlfn.XLOOKUP(MasterFees[[#This Row],[Provider / Payer]],Contracts[Contract Name],Contracts[Pricing Basis],"To confirm")</f>
        <v>To confirm</v>
      </c>
      <c r="AA513" s="127" t="str">
        <f>IF(MasterFees[[#This Row],[Pricing Basis]]="Fixed fee schedule","Yes","No")</f>
        <v>No</v>
      </c>
      <c r="AB513" s="127" t="str">
        <f>IF(OR(MasterFees[[#This Row],[Fee Basis]]="Add-on",MasterFees[[#This Row],[Fee Basis]]="Time band",MasterFees[[#This Row],[Fee Basis]]="Other"),MasterFees[[#This Row],[Fee Basis]],"Base")</f>
        <v>Base</v>
      </c>
      <c r="AC513" s="141" t="str">
        <f>IF(MasterFees[[#This Row],[Fixed Fee?]]="Yes",MasterFees[[#This Row],[Fee Excl. GST]],"")</f>
        <v/>
      </c>
    </row>
    <row r="514" spans="1:29" x14ac:dyDescent="0.2">
      <c r="A514" s="67" t="s">
        <v>2223</v>
      </c>
      <c r="B514" s="31">
        <f>IF(MasterFees[[#This Row],[RVG Code]]="","",_xlfn.XLOOKUP(MasterFees[[#This Row],[RVG Code]],RVGCodes[Code],RVGCodes[Base Units],"Code not found"))</f>
        <v>5</v>
      </c>
      <c r="C51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51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14" s="125" t="s">
        <v>2603</v>
      </c>
      <c r="F514" s="48" t="s">
        <v>2567</v>
      </c>
      <c r="G514" s="30" t="s">
        <v>847</v>
      </c>
      <c r="H514" s="37" t="s">
        <v>1095</v>
      </c>
      <c r="I514" s="37"/>
      <c r="J514" s="37" t="s">
        <v>1096</v>
      </c>
      <c r="K514" s="32">
        <v>5</v>
      </c>
      <c r="L514" s="32">
        <v>6.5</v>
      </c>
      <c r="M514" s="32">
        <v>0</v>
      </c>
      <c r="N514" s="32">
        <v>11.5</v>
      </c>
      <c r="O514" s="33">
        <v>632.5</v>
      </c>
      <c r="P514" s="38" t="s">
        <v>1014</v>
      </c>
      <c r="Q514" s="34" t="str">
        <f>IF(MasterFees[[#This Row],[GST Basis]]="Excl",MasterFees[[#This Row],[Fee as Printed]],IF(MasterFees[[#This Row],[GST Basis]]="Incl",MasterFees[[#This Row],[Fee as Printed]]/(1+GST_Rate),""))</f>
        <v/>
      </c>
      <c r="R514" s="34" t="str">
        <f>IF(MasterFees[[#This Row],[GST Basis]]="Incl",MasterFees[[#This Row],[Fee as Printed]],IF(MasterFees[[#This Row],[GST Basis]]="Excl",MasterFees[[#This Row],[Fee as Printed]]*(1+GST_Rate),""))</f>
        <v/>
      </c>
      <c r="S514" s="35">
        <f>IF(N(MasterFees[[#This Row],[Total Units]])=0,"",MasterFees[[#This Row],[Fee as Printed]]/MasterFees[[#This Row],[Total Units]])</f>
        <v>55</v>
      </c>
      <c r="T514" s="36"/>
      <c r="U514" s="39" t="s">
        <v>1012</v>
      </c>
      <c r="V514" s="39" t="s">
        <v>1950</v>
      </c>
      <c r="W514" s="30"/>
      <c r="X514" s="73" t="s">
        <v>3763</v>
      </c>
      <c r="Y514" s="127" t="str">
        <f>_xlfn.XLOOKUP(MasterFees[[#This Row],[Provider / Payer]],Contracts[Contract Name],Contracts[Contract ID],"No contract")</f>
        <v>CON-01</v>
      </c>
      <c r="Z514" s="127" t="str">
        <f>_xlfn.XLOOKUP(MasterFees[[#This Row],[Provider / Payer]],Contracts[Contract Name],Contracts[Pricing Basis],"To confirm")</f>
        <v>To confirm</v>
      </c>
      <c r="AA514" s="127" t="str">
        <f>IF(MasterFees[[#This Row],[Pricing Basis]]="Fixed fee schedule","Yes","No")</f>
        <v>No</v>
      </c>
      <c r="AB514" s="127" t="str">
        <f>IF(OR(MasterFees[[#This Row],[Fee Basis]]="Add-on",MasterFees[[#This Row],[Fee Basis]]="Time band",MasterFees[[#This Row],[Fee Basis]]="Other"),MasterFees[[#This Row],[Fee Basis]],"Base")</f>
        <v>Base</v>
      </c>
      <c r="AC514" s="141" t="str">
        <f>IF(MasterFees[[#This Row],[Fixed Fee?]]="Yes",MasterFees[[#This Row],[Fee Excl. GST]],"")</f>
        <v/>
      </c>
    </row>
    <row r="515" spans="1:29" x14ac:dyDescent="0.2">
      <c r="A515" s="67" t="s">
        <v>2225</v>
      </c>
      <c r="B515" s="31">
        <f>IF(MasterFees[[#This Row],[RVG Code]]="","",_xlfn.XLOOKUP(MasterFees[[#This Row],[RVG Code]],RVGCodes[Code],RVGCodes[Base Units],"Code not found"))</f>
        <v>6</v>
      </c>
      <c r="C51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51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15" s="125" t="s">
        <v>2577</v>
      </c>
      <c r="F515" s="48" t="s">
        <v>2567</v>
      </c>
      <c r="G515" s="30" t="s">
        <v>863</v>
      </c>
      <c r="H515" s="37" t="s">
        <v>1095</v>
      </c>
      <c r="I515" s="37"/>
      <c r="J515" s="37" t="s">
        <v>1096</v>
      </c>
      <c r="K515" s="32">
        <v>5.8</v>
      </c>
      <c r="L515" s="32">
        <v>5.0999999999999996</v>
      </c>
      <c r="M515" s="32">
        <v>0.7</v>
      </c>
      <c r="N515" s="32">
        <v>11.6</v>
      </c>
      <c r="O515" s="33">
        <v>638</v>
      </c>
      <c r="P515" s="38" t="s">
        <v>1014</v>
      </c>
      <c r="Q515" s="34" t="str">
        <f>IF(MasterFees[[#This Row],[GST Basis]]="Excl",MasterFees[[#This Row],[Fee as Printed]],IF(MasterFees[[#This Row],[GST Basis]]="Incl",MasterFees[[#This Row],[Fee as Printed]]/(1+GST_Rate),""))</f>
        <v/>
      </c>
      <c r="R515" s="34" t="str">
        <f>IF(MasterFees[[#This Row],[GST Basis]]="Incl",MasterFees[[#This Row],[Fee as Printed]],IF(MasterFees[[#This Row],[GST Basis]]="Excl",MasterFees[[#This Row],[Fee as Printed]]*(1+GST_Rate),""))</f>
        <v/>
      </c>
      <c r="S515" s="35">
        <f>IF(N(MasterFees[[#This Row],[Total Units]])=0,"",MasterFees[[#This Row],[Fee as Printed]]/MasterFees[[#This Row],[Total Units]])</f>
        <v>55</v>
      </c>
      <c r="T515" s="36"/>
      <c r="U515" s="39" t="s">
        <v>1012</v>
      </c>
      <c r="V515" s="39" t="s">
        <v>1966</v>
      </c>
      <c r="W515" s="30"/>
      <c r="X515" s="73" t="s">
        <v>3781</v>
      </c>
      <c r="Y515" s="127" t="str">
        <f>_xlfn.XLOOKUP(MasterFees[[#This Row],[Provider / Payer]],Contracts[Contract Name],Contracts[Contract ID],"No contract")</f>
        <v>CON-01</v>
      </c>
      <c r="Z515" s="127" t="str">
        <f>_xlfn.XLOOKUP(MasterFees[[#This Row],[Provider / Payer]],Contracts[Contract Name],Contracts[Pricing Basis],"To confirm")</f>
        <v>To confirm</v>
      </c>
      <c r="AA515" s="127" t="str">
        <f>IF(MasterFees[[#This Row],[Pricing Basis]]="Fixed fee schedule","Yes","No")</f>
        <v>No</v>
      </c>
      <c r="AB515" s="127" t="str">
        <f>IF(OR(MasterFees[[#This Row],[Fee Basis]]="Add-on",MasterFees[[#This Row],[Fee Basis]]="Time band",MasterFees[[#This Row],[Fee Basis]]="Other"),MasterFees[[#This Row],[Fee Basis]],"Base")</f>
        <v>Base</v>
      </c>
      <c r="AC515" s="141" t="str">
        <f>IF(MasterFees[[#This Row],[Fixed Fee?]]="Yes",MasterFees[[#This Row],[Fee Excl. GST]],"")</f>
        <v/>
      </c>
    </row>
    <row r="516" spans="1:29" x14ac:dyDescent="0.2">
      <c r="A516" s="67" t="s">
        <v>2225</v>
      </c>
      <c r="B516" s="31">
        <f>IF(MasterFees[[#This Row],[RVG Code]]="","",_xlfn.XLOOKUP(MasterFees[[#This Row],[RVG Code]],RVGCodes[Code],RVGCodes[Base Units],"Code not found"))</f>
        <v>6</v>
      </c>
      <c r="C51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51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16" s="125" t="s">
        <v>2577</v>
      </c>
      <c r="F516" s="48" t="s">
        <v>2567</v>
      </c>
      <c r="G516" s="30" t="s">
        <v>864</v>
      </c>
      <c r="H516" s="37" t="s">
        <v>1095</v>
      </c>
      <c r="I516" s="37"/>
      <c r="J516" s="37" t="s">
        <v>1096</v>
      </c>
      <c r="K516" s="32">
        <v>5.9</v>
      </c>
      <c r="L516" s="32">
        <v>6.9</v>
      </c>
      <c r="M516" s="32">
        <v>0.8</v>
      </c>
      <c r="N516" s="32">
        <v>13.6</v>
      </c>
      <c r="O516" s="33">
        <v>749.1</v>
      </c>
      <c r="P516" s="38" t="s">
        <v>1014</v>
      </c>
      <c r="Q516" s="34" t="str">
        <f>IF(MasterFees[[#This Row],[GST Basis]]="Excl",MasterFees[[#This Row],[Fee as Printed]],IF(MasterFees[[#This Row],[GST Basis]]="Incl",MasterFees[[#This Row],[Fee as Printed]]/(1+GST_Rate),""))</f>
        <v/>
      </c>
      <c r="R516" s="34" t="str">
        <f>IF(MasterFees[[#This Row],[GST Basis]]="Incl",MasterFees[[#This Row],[Fee as Printed]],IF(MasterFees[[#This Row],[GST Basis]]="Excl",MasterFees[[#This Row],[Fee as Printed]]*(1+GST_Rate),""))</f>
        <v/>
      </c>
      <c r="S516" s="35">
        <f>IF(N(MasterFees[[#This Row],[Total Units]])=0,"",MasterFees[[#This Row],[Fee as Printed]]/MasterFees[[#This Row],[Total Units]])</f>
        <v>55.080882352941181</v>
      </c>
      <c r="T516" s="36"/>
      <c r="U516" s="39" t="s">
        <v>1012</v>
      </c>
      <c r="V516" s="39" t="s">
        <v>1967</v>
      </c>
      <c r="W516" s="30"/>
      <c r="X516" s="73" t="s">
        <v>3782</v>
      </c>
      <c r="Y516" s="127" t="str">
        <f>_xlfn.XLOOKUP(MasterFees[[#This Row],[Provider / Payer]],Contracts[Contract Name],Contracts[Contract ID],"No contract")</f>
        <v>CON-01</v>
      </c>
      <c r="Z516" s="127" t="str">
        <f>_xlfn.XLOOKUP(MasterFees[[#This Row],[Provider / Payer]],Contracts[Contract Name],Contracts[Pricing Basis],"To confirm")</f>
        <v>To confirm</v>
      </c>
      <c r="AA516" s="127" t="str">
        <f>IF(MasterFees[[#This Row],[Pricing Basis]]="Fixed fee schedule","Yes","No")</f>
        <v>No</v>
      </c>
      <c r="AB516" s="127" t="str">
        <f>IF(OR(MasterFees[[#This Row],[Fee Basis]]="Add-on",MasterFees[[#This Row],[Fee Basis]]="Time band",MasterFees[[#This Row],[Fee Basis]]="Other"),MasterFees[[#This Row],[Fee Basis]],"Base")</f>
        <v>Base</v>
      </c>
      <c r="AC516" s="141" t="str">
        <f>IF(MasterFees[[#This Row],[Fixed Fee?]]="Yes",MasterFees[[#This Row],[Fee Excl. GST]],"")</f>
        <v/>
      </c>
    </row>
    <row r="517" spans="1:29" x14ac:dyDescent="0.2">
      <c r="A517" s="67" t="s">
        <v>2223</v>
      </c>
      <c r="B517" s="31">
        <f>IF(MasterFees[[#This Row],[RVG Code]]="","",_xlfn.XLOOKUP(MasterFees[[#This Row],[RVG Code]],RVGCodes[Code],RVGCodes[Base Units],"Code not found"))</f>
        <v>5</v>
      </c>
      <c r="C51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51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17" s="125" t="s">
        <v>2603</v>
      </c>
      <c r="F517" s="48" t="s">
        <v>2629</v>
      </c>
      <c r="G517" s="30" t="s">
        <v>2224</v>
      </c>
      <c r="H517" s="37" t="s">
        <v>2630</v>
      </c>
      <c r="I517" s="37" t="s">
        <v>2223</v>
      </c>
      <c r="J517" s="37" t="s">
        <v>1096</v>
      </c>
      <c r="K517" s="32">
        <v>5</v>
      </c>
      <c r="L517" s="32"/>
      <c r="M517" s="32"/>
      <c r="N517" s="32">
        <v>5</v>
      </c>
      <c r="O517" s="33"/>
      <c r="P517" s="38"/>
      <c r="Q517" s="34" t="str">
        <f>IF(MasterFees[[#This Row],[GST Basis]]="Excl",MasterFees[[#This Row],[Fee as Printed]],IF(MasterFees[[#This Row],[GST Basis]]="Incl",MasterFees[[#This Row],[Fee as Printed]]/(1+GST_Rate),""))</f>
        <v/>
      </c>
      <c r="R517" s="34" t="str">
        <f>IF(MasterFees[[#This Row],[GST Basis]]="Incl",MasterFees[[#This Row],[Fee as Printed]],IF(MasterFees[[#This Row],[GST Basis]]="Excl",MasterFees[[#This Row],[Fee as Printed]]*(1+GST_Rate),""))</f>
        <v/>
      </c>
      <c r="S517" s="35">
        <f>IF(N(MasterFees[[#This Row],[Total Units]])=0,"",MasterFees[[#This Row],[Fee as Printed]]/MasterFees[[#This Row],[Total Units]])</f>
        <v>0</v>
      </c>
      <c r="T517" s="36"/>
      <c r="U517" s="39" t="s">
        <v>1016</v>
      </c>
      <c r="V517" s="39" t="s">
        <v>2642</v>
      </c>
      <c r="W517" s="30" t="s">
        <v>2643</v>
      </c>
      <c r="X517" s="73" t="s">
        <v>3886</v>
      </c>
      <c r="Y517" s="127" t="str">
        <f>_xlfn.XLOOKUP(MasterFees[[#This Row],[Provider / Payer]],Contracts[Contract Name],Contracts[Contract ID],"No contract")</f>
        <v>CON-10</v>
      </c>
      <c r="Z517" s="127" t="str">
        <f>_xlfn.XLOOKUP(MasterFees[[#This Row],[Provider / Payer]],Contracts[Contract Name],Contracts[Pricing Basis],"To confirm")</f>
        <v>Reference – units only</v>
      </c>
      <c r="AA517" s="127" t="str">
        <f>IF(MasterFees[[#This Row],[Pricing Basis]]="Fixed fee schedule","Yes","No")</f>
        <v>No</v>
      </c>
      <c r="AB517" s="127" t="str">
        <f>IF(OR(MasterFees[[#This Row],[Fee Basis]]="Add-on",MasterFees[[#This Row],[Fee Basis]]="Time band",MasterFees[[#This Row],[Fee Basis]]="Other"),MasterFees[[#This Row],[Fee Basis]],"Base")</f>
        <v>Base</v>
      </c>
      <c r="AC517" s="141" t="str">
        <f>IF(MasterFees[[#This Row],[Fixed Fee?]]="Yes",MasterFees[[#This Row],[Fee Excl. GST]],"")</f>
        <v/>
      </c>
    </row>
    <row r="518" spans="1:29" x14ac:dyDescent="0.2">
      <c r="A518" s="67" t="s">
        <v>2225</v>
      </c>
      <c r="B518" s="31">
        <f>IF(MasterFees[[#This Row],[RVG Code]]="","",_xlfn.XLOOKUP(MasterFees[[#This Row],[RVG Code]],RVGCodes[Code],RVGCodes[Base Units],"Code not found"))</f>
        <v>6</v>
      </c>
      <c r="C51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51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18" s="125" t="s">
        <v>2577</v>
      </c>
      <c r="F518" s="48" t="s">
        <v>2567</v>
      </c>
      <c r="G518" s="30" t="s">
        <v>892</v>
      </c>
      <c r="H518" s="37" t="s">
        <v>1095</v>
      </c>
      <c r="I518" s="37"/>
      <c r="J518" s="37" t="s">
        <v>1096</v>
      </c>
      <c r="K518" s="32">
        <v>6</v>
      </c>
      <c r="L518" s="32">
        <v>4</v>
      </c>
      <c r="M518" s="32">
        <v>2</v>
      </c>
      <c r="N518" s="32">
        <v>12</v>
      </c>
      <c r="O518" s="33">
        <v>660</v>
      </c>
      <c r="P518" s="38" t="s">
        <v>1014</v>
      </c>
      <c r="Q518" s="34" t="str">
        <f>IF(MasterFees[[#This Row],[GST Basis]]="Excl",MasterFees[[#This Row],[Fee as Printed]],IF(MasterFees[[#This Row],[GST Basis]]="Incl",MasterFees[[#This Row],[Fee as Printed]]/(1+GST_Rate),""))</f>
        <v/>
      </c>
      <c r="R518" s="34" t="str">
        <f>IF(MasterFees[[#This Row],[GST Basis]]="Incl",MasterFees[[#This Row],[Fee as Printed]],IF(MasterFees[[#This Row],[GST Basis]]="Excl",MasterFees[[#This Row],[Fee as Printed]]*(1+GST_Rate),""))</f>
        <v/>
      </c>
      <c r="S518" s="35">
        <f>IF(N(MasterFees[[#This Row],[Total Units]])=0,"",MasterFees[[#This Row],[Fee as Printed]]/MasterFees[[#This Row],[Total Units]])</f>
        <v>55</v>
      </c>
      <c r="T518" s="36"/>
      <c r="U518" s="39" t="s">
        <v>1012</v>
      </c>
      <c r="V518" s="39" t="s">
        <v>1995</v>
      </c>
      <c r="W518" s="30"/>
      <c r="X518" s="73" t="s">
        <v>3818</v>
      </c>
      <c r="Y518" s="127" t="str">
        <f>_xlfn.XLOOKUP(MasterFees[[#This Row],[Provider / Payer]],Contracts[Contract Name],Contracts[Contract ID],"No contract")</f>
        <v>CON-01</v>
      </c>
      <c r="Z518" s="127" t="str">
        <f>_xlfn.XLOOKUP(MasterFees[[#This Row],[Provider / Payer]],Contracts[Contract Name],Contracts[Pricing Basis],"To confirm")</f>
        <v>To confirm</v>
      </c>
      <c r="AA518" s="127" t="str">
        <f>IF(MasterFees[[#This Row],[Pricing Basis]]="Fixed fee schedule","Yes","No")</f>
        <v>No</v>
      </c>
      <c r="AB518" s="127" t="str">
        <f>IF(OR(MasterFees[[#This Row],[Fee Basis]]="Add-on",MasterFees[[#This Row],[Fee Basis]]="Time band",MasterFees[[#This Row],[Fee Basis]]="Other"),MasterFees[[#This Row],[Fee Basis]],"Base")</f>
        <v>Base</v>
      </c>
      <c r="AC518" s="141" t="str">
        <f>IF(MasterFees[[#This Row],[Fixed Fee?]]="Yes",MasterFees[[#This Row],[Fee Excl. GST]],"")</f>
        <v/>
      </c>
    </row>
    <row r="519" spans="1:29" x14ac:dyDescent="0.2">
      <c r="A519" s="67" t="s">
        <v>2225</v>
      </c>
      <c r="B519" s="31">
        <f>IF(MasterFees[[#This Row],[RVG Code]]="","",_xlfn.XLOOKUP(MasterFees[[#This Row],[RVG Code]],RVGCodes[Code],RVGCodes[Base Units],"Code not found"))</f>
        <v>6</v>
      </c>
      <c r="C51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51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19" s="125" t="s">
        <v>2577</v>
      </c>
      <c r="F519" s="48" t="s">
        <v>2567</v>
      </c>
      <c r="G519" s="30" t="s">
        <v>898</v>
      </c>
      <c r="H519" s="37" t="s">
        <v>1095</v>
      </c>
      <c r="I519" s="37"/>
      <c r="J519" s="37" t="s">
        <v>1096</v>
      </c>
      <c r="K519" s="32">
        <v>6</v>
      </c>
      <c r="L519" s="32">
        <v>4.8</v>
      </c>
      <c r="M519" s="32">
        <v>0.6</v>
      </c>
      <c r="N519" s="32">
        <v>11.4</v>
      </c>
      <c r="O519" s="33">
        <v>627</v>
      </c>
      <c r="P519" s="38" t="s">
        <v>1014</v>
      </c>
      <c r="Q519" s="34" t="str">
        <f>IF(MasterFees[[#This Row],[GST Basis]]="Excl",MasterFees[[#This Row],[Fee as Printed]],IF(MasterFees[[#This Row],[GST Basis]]="Incl",MasterFees[[#This Row],[Fee as Printed]]/(1+GST_Rate),""))</f>
        <v/>
      </c>
      <c r="R519" s="34" t="str">
        <f>IF(MasterFees[[#This Row],[GST Basis]]="Incl",MasterFees[[#This Row],[Fee as Printed]],IF(MasterFees[[#This Row],[GST Basis]]="Excl",MasterFees[[#This Row],[Fee as Printed]]*(1+GST_Rate),""))</f>
        <v/>
      </c>
      <c r="S519" s="35">
        <f>IF(N(MasterFees[[#This Row],[Total Units]])=0,"",MasterFees[[#This Row],[Fee as Printed]]/MasterFees[[#This Row],[Total Units]])</f>
        <v>55</v>
      </c>
      <c r="T519" s="36"/>
      <c r="U519" s="39" t="s">
        <v>1012</v>
      </c>
      <c r="V519" s="39" t="s">
        <v>2001</v>
      </c>
      <c r="W519" s="30"/>
      <c r="X519" s="73" t="s">
        <v>3824</v>
      </c>
      <c r="Y519" s="127" t="str">
        <f>_xlfn.XLOOKUP(MasterFees[[#This Row],[Provider / Payer]],Contracts[Contract Name],Contracts[Contract ID],"No contract")</f>
        <v>CON-01</v>
      </c>
      <c r="Z519" s="127" t="str">
        <f>_xlfn.XLOOKUP(MasterFees[[#This Row],[Provider / Payer]],Contracts[Contract Name],Contracts[Pricing Basis],"To confirm")</f>
        <v>To confirm</v>
      </c>
      <c r="AA519" s="127" t="str">
        <f>IF(MasterFees[[#This Row],[Pricing Basis]]="Fixed fee schedule","Yes","No")</f>
        <v>No</v>
      </c>
      <c r="AB519" s="127" t="str">
        <f>IF(OR(MasterFees[[#This Row],[Fee Basis]]="Add-on",MasterFees[[#This Row],[Fee Basis]]="Time band",MasterFees[[#This Row],[Fee Basis]]="Other"),MasterFees[[#This Row],[Fee Basis]],"Base")</f>
        <v>Base</v>
      </c>
      <c r="AC519" s="141" t="str">
        <f>IF(MasterFees[[#This Row],[Fixed Fee?]]="Yes",MasterFees[[#This Row],[Fee Excl. GST]],"")</f>
        <v/>
      </c>
    </row>
    <row r="520" spans="1:29" x14ac:dyDescent="0.2">
      <c r="A520" s="67" t="s">
        <v>2220</v>
      </c>
      <c r="B520" s="31">
        <f>IF(MasterFees[[#This Row],[RVG Code]]="","",_xlfn.XLOOKUP(MasterFees[[#This Row],[RVG Code]],RVGCodes[Code],RVGCodes[Base Units],"Code not found"))</f>
        <v>4</v>
      </c>
      <c r="C52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52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20" s="125" t="s">
        <v>2591</v>
      </c>
      <c r="F520" s="48" t="s">
        <v>2567</v>
      </c>
      <c r="G520" s="30" t="s">
        <v>909</v>
      </c>
      <c r="H520" s="37" t="s">
        <v>1095</v>
      </c>
      <c r="I520" s="37"/>
      <c r="J520" s="37" t="s">
        <v>1096</v>
      </c>
      <c r="K520" s="32">
        <v>4</v>
      </c>
      <c r="L520" s="32">
        <v>2</v>
      </c>
      <c r="M520" s="32">
        <v>0.2</v>
      </c>
      <c r="N520" s="32">
        <v>6.2</v>
      </c>
      <c r="O520" s="33">
        <v>338.8</v>
      </c>
      <c r="P520" s="38" t="s">
        <v>1014</v>
      </c>
      <c r="Q520" s="34" t="str">
        <f>IF(MasterFees[[#This Row],[GST Basis]]="Excl",MasterFees[[#This Row],[Fee as Printed]],IF(MasterFees[[#This Row],[GST Basis]]="Incl",MasterFees[[#This Row],[Fee as Printed]]/(1+GST_Rate),""))</f>
        <v/>
      </c>
      <c r="R520" s="34" t="str">
        <f>IF(MasterFees[[#This Row],[GST Basis]]="Incl",MasterFees[[#This Row],[Fee as Printed]],IF(MasterFees[[#This Row],[GST Basis]]="Excl",MasterFees[[#This Row],[Fee as Printed]]*(1+GST_Rate),""))</f>
        <v/>
      </c>
      <c r="S520" s="35">
        <f>IF(N(MasterFees[[#This Row],[Total Units]])=0,"",MasterFees[[#This Row],[Fee as Printed]]/MasterFees[[#This Row],[Total Units]])</f>
        <v>54.645161290322584</v>
      </c>
      <c r="T520" s="36"/>
      <c r="U520" s="39" t="s">
        <v>1012</v>
      </c>
      <c r="V520" s="39" t="s">
        <v>2012</v>
      </c>
      <c r="W520" s="30"/>
      <c r="X520" s="73" t="s">
        <v>3838</v>
      </c>
      <c r="Y520" s="127" t="str">
        <f>_xlfn.XLOOKUP(MasterFees[[#This Row],[Provider / Payer]],Contracts[Contract Name],Contracts[Contract ID],"No contract")</f>
        <v>CON-01</v>
      </c>
      <c r="Z520" s="127" t="str">
        <f>_xlfn.XLOOKUP(MasterFees[[#This Row],[Provider / Payer]],Contracts[Contract Name],Contracts[Pricing Basis],"To confirm")</f>
        <v>To confirm</v>
      </c>
      <c r="AA520" s="127" t="str">
        <f>IF(MasterFees[[#This Row],[Pricing Basis]]="Fixed fee schedule","Yes","No")</f>
        <v>No</v>
      </c>
      <c r="AB520" s="127" t="str">
        <f>IF(OR(MasterFees[[#This Row],[Fee Basis]]="Add-on",MasterFees[[#This Row],[Fee Basis]]="Time band",MasterFees[[#This Row],[Fee Basis]]="Other"),MasterFees[[#This Row],[Fee Basis]],"Base")</f>
        <v>Base</v>
      </c>
      <c r="AC520" s="141" t="str">
        <f>IF(MasterFees[[#This Row],[Fixed Fee?]]="Yes",MasterFees[[#This Row],[Fee Excl. GST]],"")</f>
        <v/>
      </c>
    </row>
    <row r="521" spans="1:29" x14ac:dyDescent="0.2">
      <c r="A521" s="67" t="s">
        <v>2223</v>
      </c>
      <c r="B521" s="31">
        <f>IF(MasterFees[[#This Row],[RVG Code]]="","",_xlfn.XLOOKUP(MasterFees[[#This Row],[RVG Code]],RVGCodes[Code],RVGCodes[Base Units],"Code not found"))</f>
        <v>5</v>
      </c>
      <c r="C52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52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21" s="125" t="s">
        <v>2603</v>
      </c>
      <c r="F521" s="48" t="s">
        <v>2567</v>
      </c>
      <c r="G521" s="30" t="s">
        <v>911</v>
      </c>
      <c r="H521" s="37" t="s">
        <v>1095</v>
      </c>
      <c r="I521" s="37"/>
      <c r="J521" s="37" t="s">
        <v>1096</v>
      </c>
      <c r="K521" s="32">
        <v>0</v>
      </c>
      <c r="L521" s="32">
        <v>2</v>
      </c>
      <c r="M521" s="32">
        <v>0</v>
      </c>
      <c r="N521" s="32">
        <v>2</v>
      </c>
      <c r="O521" s="33">
        <v>110</v>
      </c>
      <c r="P521" s="38" t="s">
        <v>1014</v>
      </c>
      <c r="Q521" s="34" t="str">
        <f>IF(MasterFees[[#This Row],[GST Basis]]="Excl",MasterFees[[#This Row],[Fee as Printed]],IF(MasterFees[[#This Row],[GST Basis]]="Incl",MasterFees[[#This Row],[Fee as Printed]]/(1+GST_Rate),""))</f>
        <v/>
      </c>
      <c r="R521" s="34" t="str">
        <f>IF(MasterFees[[#This Row],[GST Basis]]="Incl",MasterFees[[#This Row],[Fee as Printed]],IF(MasterFees[[#This Row],[GST Basis]]="Excl",MasterFees[[#This Row],[Fee as Printed]]*(1+GST_Rate),""))</f>
        <v/>
      </c>
      <c r="S521" s="35">
        <f>IF(N(MasterFees[[#This Row],[Total Units]])=0,"",MasterFees[[#This Row],[Fee as Printed]]/MasterFees[[#This Row],[Total Units]])</f>
        <v>55</v>
      </c>
      <c r="T521" s="36"/>
      <c r="U521" s="39" t="s">
        <v>1012</v>
      </c>
      <c r="V521" s="39" t="s">
        <v>2014</v>
      </c>
      <c r="W521" s="30"/>
      <c r="X521" s="73" t="s">
        <v>3841</v>
      </c>
      <c r="Y521" s="127" t="str">
        <f>_xlfn.XLOOKUP(MasterFees[[#This Row],[Provider / Payer]],Contracts[Contract Name],Contracts[Contract ID],"No contract")</f>
        <v>CON-01</v>
      </c>
      <c r="Z521" s="127" t="str">
        <f>_xlfn.XLOOKUP(MasterFees[[#This Row],[Provider / Payer]],Contracts[Contract Name],Contracts[Pricing Basis],"To confirm")</f>
        <v>To confirm</v>
      </c>
      <c r="AA521" s="127" t="str">
        <f>IF(MasterFees[[#This Row],[Pricing Basis]]="Fixed fee schedule","Yes","No")</f>
        <v>No</v>
      </c>
      <c r="AB521" s="127" t="str">
        <f>IF(OR(MasterFees[[#This Row],[Fee Basis]]="Add-on",MasterFees[[#This Row],[Fee Basis]]="Time band",MasterFees[[#This Row],[Fee Basis]]="Other"),MasterFees[[#This Row],[Fee Basis]],"Base")</f>
        <v>Base</v>
      </c>
      <c r="AC521" s="141" t="str">
        <f>IF(MasterFees[[#This Row],[Fixed Fee?]]="Yes",MasterFees[[#This Row],[Fee Excl. GST]],"")</f>
        <v/>
      </c>
    </row>
    <row r="522" spans="1:29" x14ac:dyDescent="0.2">
      <c r="A522" s="67" t="s">
        <v>2223</v>
      </c>
      <c r="B522" s="31">
        <f>IF(MasterFees[[#This Row],[RVG Code]]="","",_xlfn.XLOOKUP(MasterFees[[#This Row],[RVG Code]],RVGCodes[Code],RVGCodes[Base Units],"Code not found"))</f>
        <v>5</v>
      </c>
      <c r="C52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52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22" s="125" t="s">
        <v>2603</v>
      </c>
      <c r="F522" s="48" t="s">
        <v>2567</v>
      </c>
      <c r="G522" s="30" t="s">
        <v>946</v>
      </c>
      <c r="H522" s="37" t="s">
        <v>1095</v>
      </c>
      <c r="I522" s="37"/>
      <c r="J522" s="37" t="s">
        <v>1096</v>
      </c>
      <c r="K522" s="32">
        <v>3</v>
      </c>
      <c r="L522" s="32">
        <v>4.5999999999999996</v>
      </c>
      <c r="M522" s="32">
        <v>0.4</v>
      </c>
      <c r="N522" s="32">
        <v>8</v>
      </c>
      <c r="O522" s="33">
        <v>442.2</v>
      </c>
      <c r="P522" s="38" t="s">
        <v>1014</v>
      </c>
      <c r="Q522" s="34" t="str">
        <f>IF(MasterFees[[#This Row],[GST Basis]]="Excl",MasterFees[[#This Row],[Fee as Printed]],IF(MasterFees[[#This Row],[GST Basis]]="Incl",MasterFees[[#This Row],[Fee as Printed]]/(1+GST_Rate),""))</f>
        <v/>
      </c>
      <c r="R522" s="34" t="str">
        <f>IF(MasterFees[[#This Row],[GST Basis]]="Incl",MasterFees[[#This Row],[Fee as Printed]],IF(MasterFees[[#This Row],[GST Basis]]="Excl",MasterFees[[#This Row],[Fee as Printed]]*(1+GST_Rate),""))</f>
        <v/>
      </c>
      <c r="S522" s="35">
        <f>IF(N(MasterFees[[#This Row],[Total Units]])=0,"",MasterFees[[#This Row],[Fee as Printed]]/MasterFees[[#This Row],[Total Units]])</f>
        <v>55.274999999999999</v>
      </c>
      <c r="T522" s="36"/>
      <c r="U522" s="39" t="s">
        <v>1012</v>
      </c>
      <c r="V522" s="39" t="s">
        <v>2049</v>
      </c>
      <c r="W522" s="30"/>
      <c r="X522" s="73" t="s">
        <v>3884</v>
      </c>
      <c r="Y522" s="127" t="str">
        <f>_xlfn.XLOOKUP(MasterFees[[#This Row],[Provider / Payer]],Contracts[Contract Name],Contracts[Contract ID],"No contract")</f>
        <v>CON-01</v>
      </c>
      <c r="Z522" s="127" t="str">
        <f>_xlfn.XLOOKUP(MasterFees[[#This Row],[Provider / Payer]],Contracts[Contract Name],Contracts[Pricing Basis],"To confirm")</f>
        <v>To confirm</v>
      </c>
      <c r="AA522" s="127" t="str">
        <f>IF(MasterFees[[#This Row],[Pricing Basis]]="Fixed fee schedule","Yes","No")</f>
        <v>No</v>
      </c>
      <c r="AB522" s="127" t="str">
        <f>IF(OR(MasterFees[[#This Row],[Fee Basis]]="Add-on",MasterFees[[#This Row],[Fee Basis]]="Time band",MasterFees[[#This Row],[Fee Basis]]="Other"),MasterFees[[#This Row],[Fee Basis]],"Base")</f>
        <v>Base</v>
      </c>
      <c r="AC522" s="141" t="str">
        <f>IF(MasterFees[[#This Row],[Fixed Fee?]]="Yes",MasterFees[[#This Row],[Fee Excl. GST]],"")</f>
        <v/>
      </c>
    </row>
    <row r="523" spans="1:29" x14ac:dyDescent="0.2">
      <c r="A523" s="67" t="s">
        <v>2223</v>
      </c>
      <c r="B523" s="31">
        <f>IF(MasterFees[[#This Row],[RVG Code]]="","",_xlfn.XLOOKUP(MasterFees[[#This Row],[RVG Code]],RVGCodes[Code],RVGCodes[Base Units],"Code not found"))</f>
        <v>5</v>
      </c>
      <c r="C52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03 - Upper Limb</v>
      </c>
      <c r="D52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23" s="125" t="s">
        <v>2603</v>
      </c>
      <c r="F523" s="48" t="s">
        <v>2567</v>
      </c>
      <c r="G523" s="30" t="s">
        <v>947</v>
      </c>
      <c r="H523" s="37" t="s">
        <v>1095</v>
      </c>
      <c r="I523" s="37"/>
      <c r="J523" s="37" t="s">
        <v>1096</v>
      </c>
      <c r="K523" s="32">
        <v>5</v>
      </c>
      <c r="L523" s="32">
        <v>3</v>
      </c>
      <c r="M523" s="32">
        <v>0</v>
      </c>
      <c r="N523" s="32">
        <v>8</v>
      </c>
      <c r="O523" s="33">
        <v>440</v>
      </c>
      <c r="P523" s="38" t="s">
        <v>1014</v>
      </c>
      <c r="Q523" s="34" t="str">
        <f>IF(MasterFees[[#This Row],[GST Basis]]="Excl",MasterFees[[#This Row],[Fee as Printed]],IF(MasterFees[[#This Row],[GST Basis]]="Incl",MasterFees[[#This Row],[Fee as Printed]]/(1+GST_Rate),""))</f>
        <v/>
      </c>
      <c r="R523" s="34" t="str">
        <f>IF(MasterFees[[#This Row],[GST Basis]]="Incl",MasterFees[[#This Row],[Fee as Printed]],IF(MasterFees[[#This Row],[GST Basis]]="Excl",MasterFees[[#This Row],[Fee as Printed]]*(1+GST_Rate),""))</f>
        <v/>
      </c>
      <c r="S523" s="35">
        <f>IF(N(MasterFees[[#This Row],[Total Units]])=0,"",MasterFees[[#This Row],[Fee as Printed]]/MasterFees[[#This Row],[Total Units]])</f>
        <v>55</v>
      </c>
      <c r="T523" s="36"/>
      <c r="U523" s="39" t="s">
        <v>1012</v>
      </c>
      <c r="V523" s="39" t="s">
        <v>2050</v>
      </c>
      <c r="W523" s="30"/>
      <c r="X523" s="73" t="s">
        <v>3885</v>
      </c>
      <c r="Y523" s="127" t="str">
        <f>_xlfn.XLOOKUP(MasterFees[[#This Row],[Provider / Payer]],Contracts[Contract Name],Contracts[Contract ID],"No contract")</f>
        <v>CON-01</v>
      </c>
      <c r="Z523" s="127" t="str">
        <f>_xlfn.XLOOKUP(MasterFees[[#This Row],[Provider / Payer]],Contracts[Contract Name],Contracts[Pricing Basis],"To confirm")</f>
        <v>To confirm</v>
      </c>
      <c r="AA523" s="127" t="str">
        <f>IF(MasterFees[[#This Row],[Pricing Basis]]="Fixed fee schedule","Yes","No")</f>
        <v>No</v>
      </c>
      <c r="AB523" s="127" t="str">
        <f>IF(OR(MasterFees[[#This Row],[Fee Basis]]="Add-on",MasterFees[[#This Row],[Fee Basis]]="Time band",MasterFees[[#This Row],[Fee Basis]]="Other"),MasterFees[[#This Row],[Fee Basis]],"Base")</f>
        <v>Base</v>
      </c>
      <c r="AC523" s="141" t="str">
        <f>IF(MasterFees[[#This Row],[Fixed Fee?]]="Yes",MasterFees[[#This Row],[Fee Excl. GST]],"")</f>
        <v/>
      </c>
    </row>
    <row r="524" spans="1:29" x14ac:dyDescent="0.2">
      <c r="A524" s="67" t="s">
        <v>2233</v>
      </c>
      <c r="B524" s="31">
        <f>IF(MasterFees[[#This Row],[RVG Code]]="","",_xlfn.XLOOKUP(MasterFees[[#This Row],[RVG Code]],RVGCodes[Code],RVGCodes[Base Units],"Code not found"))</f>
        <v>4</v>
      </c>
      <c r="C52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2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24" s="125" t="s">
        <v>2611</v>
      </c>
      <c r="F524" s="48" t="s">
        <v>2569</v>
      </c>
      <c r="G524" s="30" t="s">
        <v>314</v>
      </c>
      <c r="H524" s="37" t="s">
        <v>1095</v>
      </c>
      <c r="I524" s="37"/>
      <c r="J524" s="37" t="s">
        <v>1096</v>
      </c>
      <c r="K524" s="32">
        <v>2</v>
      </c>
      <c r="L524" s="32">
        <v>2.2999999999999998</v>
      </c>
      <c r="M524" s="32">
        <v>0.5</v>
      </c>
      <c r="N524" s="32">
        <v>4.8</v>
      </c>
      <c r="O524" s="33">
        <v>261.25</v>
      </c>
      <c r="P524" s="38" t="s">
        <v>1014</v>
      </c>
      <c r="Q524" s="34" t="str">
        <f>IF(MasterFees[[#This Row],[GST Basis]]="Excl",MasterFees[[#This Row],[Fee as Printed]],IF(MasterFees[[#This Row],[GST Basis]]="Incl",MasterFees[[#This Row],[Fee as Printed]]/(1+GST_Rate),""))</f>
        <v/>
      </c>
      <c r="R524" s="34" t="str">
        <f>IF(MasterFees[[#This Row],[GST Basis]]="Incl",MasterFees[[#This Row],[Fee as Printed]],IF(MasterFees[[#This Row],[GST Basis]]="Excl",MasterFees[[#This Row],[Fee as Printed]]*(1+GST_Rate),""))</f>
        <v/>
      </c>
      <c r="S524" s="35">
        <f>IF(N(MasterFees[[#This Row],[Total Units]])=0,"",MasterFees[[#This Row],[Fee as Printed]]/MasterFees[[#This Row],[Total Units]])</f>
        <v>54.427083333333336</v>
      </c>
      <c r="T524" s="36"/>
      <c r="U524" s="39" t="s">
        <v>1012</v>
      </c>
      <c r="V524" s="39" t="s">
        <v>1408</v>
      </c>
      <c r="W524" s="30"/>
      <c r="X524" s="73" t="s">
        <v>3199</v>
      </c>
      <c r="Y524" s="127" t="str">
        <f>_xlfn.XLOOKUP(MasterFees[[#This Row],[Provider / Payer]],Contracts[Contract Name],Contracts[Contract ID],"No contract")</f>
        <v>CON-01</v>
      </c>
      <c r="Z524" s="127" t="str">
        <f>_xlfn.XLOOKUP(MasterFees[[#This Row],[Provider / Payer]],Contracts[Contract Name],Contracts[Pricing Basis],"To confirm")</f>
        <v>To confirm</v>
      </c>
      <c r="AA524" s="127" t="str">
        <f>IF(MasterFees[[#This Row],[Pricing Basis]]="Fixed fee schedule","Yes","No")</f>
        <v>No</v>
      </c>
      <c r="AB524" s="127" t="str">
        <f>IF(OR(MasterFees[[#This Row],[Fee Basis]]="Add-on",MasterFees[[#This Row],[Fee Basis]]="Time band",MasterFees[[#This Row],[Fee Basis]]="Other"),MasterFees[[#This Row],[Fee Basis]],"Base")</f>
        <v>Base</v>
      </c>
      <c r="AC524" s="141" t="str">
        <f>IF(MasterFees[[#This Row],[Fixed Fee?]]="Yes",MasterFees[[#This Row],[Fee Excl. GST]],"")</f>
        <v/>
      </c>
    </row>
    <row r="525" spans="1:29" x14ac:dyDescent="0.2">
      <c r="A525" s="67" t="s">
        <v>2233</v>
      </c>
      <c r="B525" s="31">
        <f>IF(MasterFees[[#This Row],[RVG Code]]="","",_xlfn.XLOOKUP(MasterFees[[#This Row],[RVG Code]],RVGCodes[Code],RVGCodes[Base Units],"Code not found"))</f>
        <v>4</v>
      </c>
      <c r="C52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2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25" s="125" t="s">
        <v>2611</v>
      </c>
      <c r="F525" s="48" t="s">
        <v>2567</v>
      </c>
      <c r="G525" s="30" t="s">
        <v>316</v>
      </c>
      <c r="H525" s="37" t="s">
        <v>1095</v>
      </c>
      <c r="I525" s="37"/>
      <c r="J525" s="37" t="s">
        <v>1096</v>
      </c>
      <c r="K525" s="32">
        <v>6</v>
      </c>
      <c r="L525" s="32">
        <v>4</v>
      </c>
      <c r="M525" s="32">
        <v>2</v>
      </c>
      <c r="N525" s="32">
        <v>12</v>
      </c>
      <c r="O525" s="33">
        <v>660</v>
      </c>
      <c r="P525" s="38" t="s">
        <v>1014</v>
      </c>
      <c r="Q525" s="34" t="str">
        <f>IF(MasterFees[[#This Row],[GST Basis]]="Excl",MasterFees[[#This Row],[Fee as Printed]],IF(MasterFees[[#This Row],[GST Basis]]="Incl",MasterFees[[#This Row],[Fee as Printed]]/(1+GST_Rate),""))</f>
        <v/>
      </c>
      <c r="R525" s="34" t="str">
        <f>IF(MasterFees[[#This Row],[GST Basis]]="Incl",MasterFees[[#This Row],[Fee as Printed]],IF(MasterFees[[#This Row],[GST Basis]]="Excl",MasterFees[[#This Row],[Fee as Printed]]*(1+GST_Rate),""))</f>
        <v/>
      </c>
      <c r="S525" s="35">
        <f>IF(N(MasterFees[[#This Row],[Total Units]])=0,"",MasterFees[[#This Row],[Fee as Printed]]/MasterFees[[#This Row],[Total Units]])</f>
        <v>55</v>
      </c>
      <c r="T525" s="36"/>
      <c r="U525" s="39" t="s">
        <v>1012</v>
      </c>
      <c r="V525" s="39" t="s">
        <v>1410</v>
      </c>
      <c r="W525" s="30"/>
      <c r="X525" s="73" t="s">
        <v>3201</v>
      </c>
      <c r="Y525" s="127" t="str">
        <f>_xlfn.XLOOKUP(MasterFees[[#This Row],[Provider / Payer]],Contracts[Contract Name],Contracts[Contract ID],"No contract")</f>
        <v>CON-01</v>
      </c>
      <c r="Z525" s="127" t="str">
        <f>_xlfn.XLOOKUP(MasterFees[[#This Row],[Provider / Payer]],Contracts[Contract Name],Contracts[Pricing Basis],"To confirm")</f>
        <v>To confirm</v>
      </c>
      <c r="AA525" s="127" t="str">
        <f>IF(MasterFees[[#This Row],[Pricing Basis]]="Fixed fee schedule","Yes","No")</f>
        <v>No</v>
      </c>
      <c r="AB525" s="127" t="str">
        <f>IF(OR(MasterFees[[#This Row],[Fee Basis]]="Add-on",MasterFees[[#This Row],[Fee Basis]]="Time band",MasterFees[[#This Row],[Fee Basis]]="Other"),MasterFees[[#This Row],[Fee Basis]],"Base")</f>
        <v>Base</v>
      </c>
      <c r="AC525" s="141" t="str">
        <f>IF(MasterFees[[#This Row],[Fixed Fee?]]="Yes",MasterFees[[#This Row],[Fee Excl. GST]],"")</f>
        <v/>
      </c>
    </row>
    <row r="526" spans="1:29" x14ac:dyDescent="0.2">
      <c r="A526" s="67" t="s">
        <v>2233</v>
      </c>
      <c r="B526" s="31">
        <f>IF(MasterFees[[#This Row],[RVG Code]]="","",_xlfn.XLOOKUP(MasterFees[[#This Row],[RVG Code]],RVGCodes[Code],RVGCodes[Base Units],"Code not found"))</f>
        <v>4</v>
      </c>
      <c r="C52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2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526" s="125" t="s">
        <v>2611</v>
      </c>
      <c r="F526" s="48" t="s">
        <v>2629</v>
      </c>
      <c r="G526" s="30" t="s">
        <v>2234</v>
      </c>
      <c r="H526" s="37" t="s">
        <v>2630</v>
      </c>
      <c r="I526" s="37" t="s">
        <v>2233</v>
      </c>
      <c r="J526" s="37" t="s">
        <v>1096</v>
      </c>
      <c r="K526" s="32">
        <v>4</v>
      </c>
      <c r="L526" s="32"/>
      <c r="M526" s="32"/>
      <c r="N526" s="32">
        <v>4</v>
      </c>
      <c r="O526" s="33"/>
      <c r="P526" s="38"/>
      <c r="Q526" s="34" t="str">
        <f>IF(MasterFees[[#This Row],[GST Basis]]="Excl",MasterFees[[#This Row],[Fee as Printed]],IF(MasterFees[[#This Row],[GST Basis]]="Incl",MasterFees[[#This Row],[Fee as Printed]]/(1+GST_Rate),""))</f>
        <v/>
      </c>
      <c r="R526" s="34" t="str">
        <f>IF(MasterFees[[#This Row],[GST Basis]]="Incl",MasterFees[[#This Row],[Fee as Printed]],IF(MasterFees[[#This Row],[GST Basis]]="Excl",MasterFees[[#This Row],[Fee as Printed]]*(1+GST_Rate),""))</f>
        <v/>
      </c>
      <c r="S526" s="35">
        <f>IF(N(MasterFees[[#This Row],[Total Units]])=0,"",MasterFees[[#This Row],[Fee as Printed]]/MasterFees[[#This Row],[Total Units]])</f>
        <v>0</v>
      </c>
      <c r="T526" s="36"/>
      <c r="U526" s="39" t="s">
        <v>1016</v>
      </c>
      <c r="V526" s="39" t="s">
        <v>2671</v>
      </c>
      <c r="W526" s="30" t="s">
        <v>2672</v>
      </c>
      <c r="X526" s="73" t="s">
        <v>3202</v>
      </c>
      <c r="Y526" s="127" t="str">
        <f>_xlfn.XLOOKUP(MasterFees[[#This Row],[Provider / Payer]],Contracts[Contract Name],Contracts[Contract ID],"No contract")</f>
        <v>CON-10</v>
      </c>
      <c r="Z526" s="127" t="str">
        <f>_xlfn.XLOOKUP(MasterFees[[#This Row],[Provider / Payer]],Contracts[Contract Name],Contracts[Pricing Basis],"To confirm")</f>
        <v>Reference – units only</v>
      </c>
      <c r="AA526" s="127" t="str">
        <f>IF(MasterFees[[#This Row],[Pricing Basis]]="Fixed fee schedule","Yes","No")</f>
        <v>No</v>
      </c>
      <c r="AB526" s="127" t="str">
        <f>IF(OR(MasterFees[[#This Row],[Fee Basis]]="Add-on",MasterFees[[#This Row],[Fee Basis]]="Time band",MasterFees[[#This Row],[Fee Basis]]="Other"),MasterFees[[#This Row],[Fee Basis]],"Base")</f>
        <v>Base</v>
      </c>
      <c r="AC526" s="141" t="str">
        <f>IF(MasterFees[[#This Row],[Fixed Fee?]]="Yes",MasterFees[[#This Row],[Fee Excl. GST]],"")</f>
        <v/>
      </c>
    </row>
    <row r="527" spans="1:29" x14ac:dyDescent="0.2">
      <c r="A527" s="67" t="s">
        <v>2237</v>
      </c>
      <c r="B527" s="31">
        <f>IF(MasterFees[[#This Row],[RVG Code]]="","",_xlfn.XLOOKUP(MasterFees[[#This Row],[RVG Code]],RVGCodes[Code],RVGCodes[Base Units],"Code not found"))</f>
        <v>4</v>
      </c>
      <c r="C52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2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27" s="125" t="s">
        <v>2589</v>
      </c>
      <c r="F527" s="48" t="s">
        <v>2567</v>
      </c>
      <c r="G527" s="30" t="s">
        <v>4048</v>
      </c>
      <c r="H527" s="37" t="s">
        <v>4069</v>
      </c>
      <c r="I527" s="37"/>
      <c r="J527" s="37" t="s">
        <v>1024</v>
      </c>
      <c r="K527" s="32"/>
      <c r="L527" s="32"/>
      <c r="M527" s="32"/>
      <c r="N527" s="32"/>
      <c r="O527" s="33">
        <v>2415</v>
      </c>
      <c r="P527" s="38" t="s">
        <v>4043</v>
      </c>
      <c r="Q527" s="34">
        <f>IF(MasterFees[[#This Row],[GST Basis]]="Excl",MasterFees[[#This Row],[Fee as Printed]],IF(MasterFees[[#This Row],[GST Basis]]="Incl",MasterFees[[#This Row],[Fee as Printed]]/(1+GST_Rate),""))</f>
        <v>2100</v>
      </c>
      <c r="R527" s="34">
        <f>IF(MasterFees[[#This Row],[GST Basis]]="Incl",MasterFees[[#This Row],[Fee as Printed]],IF(MasterFees[[#This Row],[GST Basis]]="Excl",MasterFees[[#This Row],[Fee as Printed]]*(1+GST_Rate),""))</f>
        <v>2415</v>
      </c>
      <c r="S527" s="35" t="str">
        <f>IF(N(MasterFees[[#This Row],[Total Units]])=0,"",MasterFees[[#This Row],[Fee as Printed]]/MasterFees[[#This Row],[Total Units]])</f>
        <v/>
      </c>
      <c r="T527" s="36">
        <v>46174</v>
      </c>
      <c r="U527" s="39" t="s">
        <v>4025</v>
      </c>
      <c r="V527" s="39" t="s">
        <v>4070</v>
      </c>
      <c r="W527" s="30" t="s">
        <v>4080</v>
      </c>
      <c r="X527" s="77" t="s">
        <v>4086</v>
      </c>
      <c r="Y527" s="127" t="str">
        <f>_xlfn.XLOOKUP(MasterFees[[#This Row],[Provider / Payer]],Contracts[Contract Name],Contracts[Contract ID],"No contract")</f>
        <v>CON-08</v>
      </c>
      <c r="Z527" s="127" t="str">
        <f>_xlfn.XLOOKUP(MasterFees[[#This Row],[Provider / Payer]],Contracts[Contract Name],Contracts[Pricing Basis],"To confirm")</f>
        <v>Fixed fee schedule</v>
      </c>
      <c r="AA527" s="127" t="str">
        <f>IF(MasterFees[[#This Row],[Pricing Basis]]="Fixed fee schedule","Yes","No")</f>
        <v>Yes</v>
      </c>
      <c r="AB527" s="127" t="str">
        <f>IF(OR(MasterFees[[#This Row],[Fee Basis]]="Add-on",MasterFees[[#This Row],[Fee Basis]]="Time band",MasterFees[[#This Row],[Fee Basis]]="Other"),MasterFees[[#This Row],[Fee Basis]],"Base")</f>
        <v>Base</v>
      </c>
      <c r="AC527" s="141">
        <f>IF(MasterFees[[#This Row],[Fixed Fee?]]="Yes",MasterFees[[#This Row],[Fee Excl. GST]],"")</f>
        <v>2100</v>
      </c>
    </row>
    <row r="528" spans="1:29" x14ac:dyDescent="0.2">
      <c r="A528" s="67" t="s">
        <v>2237</v>
      </c>
      <c r="B528" s="31">
        <f>IF(MasterFees[[#This Row],[RVG Code]]="","",_xlfn.XLOOKUP(MasterFees[[#This Row],[RVG Code]],RVGCodes[Code],RVGCodes[Base Units],"Code not found"))</f>
        <v>4</v>
      </c>
      <c r="C52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2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28" s="125" t="s">
        <v>2589</v>
      </c>
      <c r="F528" s="48" t="s">
        <v>2569</v>
      </c>
      <c r="G528" s="30" t="s">
        <v>72</v>
      </c>
      <c r="H528" s="37" t="s">
        <v>1095</v>
      </c>
      <c r="I528" s="37"/>
      <c r="J528" s="37" t="s">
        <v>1096</v>
      </c>
      <c r="K528" s="32">
        <v>4.5</v>
      </c>
      <c r="L528" s="32">
        <v>6.5</v>
      </c>
      <c r="M528" s="32">
        <v>0.8</v>
      </c>
      <c r="N528" s="32">
        <v>11.8</v>
      </c>
      <c r="O528" s="33">
        <v>646.79999999999995</v>
      </c>
      <c r="P528" s="38" t="s">
        <v>1014</v>
      </c>
      <c r="Q528" s="34" t="str">
        <f>IF(MasterFees[[#This Row],[GST Basis]]="Excl",MasterFees[[#This Row],[Fee as Printed]],IF(MasterFees[[#This Row],[GST Basis]]="Incl",MasterFees[[#This Row],[Fee as Printed]]/(1+GST_Rate),""))</f>
        <v/>
      </c>
      <c r="R528" s="34" t="str">
        <f>IF(MasterFees[[#This Row],[GST Basis]]="Incl",MasterFees[[#This Row],[Fee as Printed]],IF(MasterFees[[#This Row],[GST Basis]]="Excl",MasterFees[[#This Row],[Fee as Printed]]*(1+GST_Rate),""))</f>
        <v/>
      </c>
      <c r="S528" s="35">
        <f>IF(N(MasterFees[[#This Row],[Total Units]])=0,"",MasterFees[[#This Row],[Fee as Printed]]/MasterFees[[#This Row],[Total Units]])</f>
        <v>54.813559322033889</v>
      </c>
      <c r="T528" s="36"/>
      <c r="U528" s="39" t="s">
        <v>1012</v>
      </c>
      <c r="V528" s="39" t="s">
        <v>1161</v>
      </c>
      <c r="W528" s="30"/>
      <c r="X528" s="73" t="s">
        <v>2944</v>
      </c>
      <c r="Y528" s="127" t="str">
        <f>_xlfn.XLOOKUP(MasterFees[[#This Row],[Provider / Payer]],Contracts[Contract Name],Contracts[Contract ID],"No contract")</f>
        <v>CON-01</v>
      </c>
      <c r="Z528" s="127" t="str">
        <f>_xlfn.XLOOKUP(MasterFees[[#This Row],[Provider / Payer]],Contracts[Contract Name],Contracts[Pricing Basis],"To confirm")</f>
        <v>To confirm</v>
      </c>
      <c r="AA528" s="127" t="str">
        <f>IF(MasterFees[[#This Row],[Pricing Basis]]="Fixed fee schedule","Yes","No")</f>
        <v>No</v>
      </c>
      <c r="AB528" s="127" t="str">
        <f>IF(OR(MasterFees[[#This Row],[Fee Basis]]="Add-on",MasterFees[[#This Row],[Fee Basis]]="Time band",MasterFees[[#This Row],[Fee Basis]]="Other"),MasterFees[[#This Row],[Fee Basis]],"Base")</f>
        <v>Base</v>
      </c>
      <c r="AC528" s="141" t="str">
        <f>IF(MasterFees[[#This Row],[Fixed Fee?]]="Yes",MasterFees[[#This Row],[Fee Excl. GST]],"")</f>
        <v/>
      </c>
    </row>
    <row r="529" spans="1:29" x14ac:dyDescent="0.2">
      <c r="A529" s="67" t="s">
        <v>2237</v>
      </c>
      <c r="B529" s="31">
        <f>IF(MasterFees[[#This Row],[RVG Code]]="","",_xlfn.XLOOKUP(MasterFees[[#This Row],[RVG Code]],RVGCodes[Code],RVGCodes[Base Units],"Code not found"))</f>
        <v>4</v>
      </c>
      <c r="C52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2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29" s="125" t="s">
        <v>2589</v>
      </c>
      <c r="F529" s="48" t="s">
        <v>2569</v>
      </c>
      <c r="G529" s="30" t="s">
        <v>74</v>
      </c>
      <c r="H529" s="37" t="s">
        <v>1095</v>
      </c>
      <c r="I529" s="37"/>
      <c r="J529" s="37" t="s">
        <v>1096</v>
      </c>
      <c r="K529" s="32">
        <v>6</v>
      </c>
      <c r="L529" s="32">
        <v>17.3</v>
      </c>
      <c r="M529" s="32">
        <v>1.5</v>
      </c>
      <c r="N529" s="32">
        <v>24.8</v>
      </c>
      <c r="O529" s="33">
        <v>1361.25</v>
      </c>
      <c r="P529" s="38" t="s">
        <v>1014</v>
      </c>
      <c r="Q529" s="34" t="str">
        <f>IF(MasterFees[[#This Row],[GST Basis]]="Excl",MasterFees[[#This Row],[Fee as Printed]],IF(MasterFees[[#This Row],[GST Basis]]="Incl",MasterFees[[#This Row],[Fee as Printed]]/(1+GST_Rate),""))</f>
        <v/>
      </c>
      <c r="R529" s="34" t="str">
        <f>IF(MasterFees[[#This Row],[GST Basis]]="Incl",MasterFees[[#This Row],[Fee as Printed]],IF(MasterFees[[#This Row],[GST Basis]]="Excl",MasterFees[[#This Row],[Fee as Printed]]*(1+GST_Rate),""))</f>
        <v/>
      </c>
      <c r="S529" s="35">
        <f>IF(N(MasterFees[[#This Row],[Total Units]])=0,"",MasterFees[[#This Row],[Fee as Printed]]/MasterFees[[#This Row],[Total Units]])</f>
        <v>54.889112903225808</v>
      </c>
      <c r="T529" s="36"/>
      <c r="U529" s="39" t="s">
        <v>1012</v>
      </c>
      <c r="V529" s="39" t="s">
        <v>1163</v>
      </c>
      <c r="W529" s="30"/>
      <c r="X529" s="73" t="s">
        <v>2946</v>
      </c>
      <c r="Y529" s="127" t="str">
        <f>_xlfn.XLOOKUP(MasterFees[[#This Row],[Provider / Payer]],Contracts[Contract Name],Contracts[Contract ID],"No contract")</f>
        <v>CON-01</v>
      </c>
      <c r="Z529" s="127" t="str">
        <f>_xlfn.XLOOKUP(MasterFees[[#This Row],[Provider / Payer]],Contracts[Contract Name],Contracts[Pricing Basis],"To confirm")</f>
        <v>To confirm</v>
      </c>
      <c r="AA529" s="127" t="str">
        <f>IF(MasterFees[[#This Row],[Pricing Basis]]="Fixed fee schedule","Yes","No")</f>
        <v>No</v>
      </c>
      <c r="AB529" s="127" t="str">
        <f>IF(OR(MasterFees[[#This Row],[Fee Basis]]="Add-on",MasterFees[[#This Row],[Fee Basis]]="Time band",MasterFees[[#This Row],[Fee Basis]]="Other"),MasterFees[[#This Row],[Fee Basis]],"Base")</f>
        <v>Base</v>
      </c>
      <c r="AC529" s="141" t="str">
        <f>IF(MasterFees[[#This Row],[Fixed Fee?]]="Yes",MasterFees[[#This Row],[Fee Excl. GST]],"")</f>
        <v/>
      </c>
    </row>
    <row r="530" spans="1:29" x14ac:dyDescent="0.2">
      <c r="A530" s="67" t="s">
        <v>2237</v>
      </c>
      <c r="B530" s="31">
        <f>IF(MasterFees[[#This Row],[RVG Code]]="","",_xlfn.XLOOKUP(MasterFees[[#This Row],[RVG Code]],RVGCodes[Code],RVGCodes[Base Units],"Code not found"))</f>
        <v>4</v>
      </c>
      <c r="C53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3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30" s="125" t="s">
        <v>2589</v>
      </c>
      <c r="F530" s="48" t="s">
        <v>2567</v>
      </c>
      <c r="G530" s="30" t="s">
        <v>75</v>
      </c>
      <c r="H530" s="37" t="s">
        <v>1095</v>
      </c>
      <c r="I530" s="37"/>
      <c r="J530" s="37" t="s">
        <v>1096</v>
      </c>
      <c r="K530" s="32">
        <v>5.7</v>
      </c>
      <c r="L530" s="32">
        <v>14.8</v>
      </c>
      <c r="M530" s="32">
        <v>1.3</v>
      </c>
      <c r="N530" s="32">
        <v>21.8</v>
      </c>
      <c r="O530" s="33">
        <v>1200.0999999999999</v>
      </c>
      <c r="P530" s="38" t="s">
        <v>1014</v>
      </c>
      <c r="Q530" s="34" t="str">
        <f>IF(MasterFees[[#This Row],[GST Basis]]="Excl",MasterFees[[#This Row],[Fee as Printed]],IF(MasterFees[[#This Row],[GST Basis]]="Incl",MasterFees[[#This Row],[Fee as Printed]]/(1+GST_Rate),""))</f>
        <v/>
      </c>
      <c r="R530" s="34" t="str">
        <f>IF(MasterFees[[#This Row],[GST Basis]]="Incl",MasterFees[[#This Row],[Fee as Printed]],IF(MasterFees[[#This Row],[GST Basis]]="Excl",MasterFees[[#This Row],[Fee as Printed]]*(1+GST_Rate),""))</f>
        <v/>
      </c>
      <c r="S530" s="35">
        <f>IF(N(MasterFees[[#This Row],[Total Units]])=0,"",MasterFees[[#This Row],[Fee as Printed]]/MasterFees[[#This Row],[Total Units]])</f>
        <v>55.050458715596321</v>
      </c>
      <c r="T530" s="36"/>
      <c r="U530" s="39" t="s">
        <v>1012</v>
      </c>
      <c r="V530" s="39" t="s">
        <v>1164</v>
      </c>
      <c r="W530" s="30"/>
      <c r="X530" s="73" t="s">
        <v>2947</v>
      </c>
      <c r="Y530" s="127" t="str">
        <f>_xlfn.XLOOKUP(MasterFees[[#This Row],[Provider / Payer]],Contracts[Contract Name],Contracts[Contract ID],"No contract")</f>
        <v>CON-01</v>
      </c>
      <c r="Z530" s="127" t="str">
        <f>_xlfn.XLOOKUP(MasterFees[[#This Row],[Provider / Payer]],Contracts[Contract Name],Contracts[Pricing Basis],"To confirm")</f>
        <v>To confirm</v>
      </c>
      <c r="AA530" s="127" t="str">
        <f>IF(MasterFees[[#This Row],[Pricing Basis]]="Fixed fee schedule","Yes","No")</f>
        <v>No</v>
      </c>
      <c r="AB530" s="127" t="str">
        <f>IF(OR(MasterFees[[#This Row],[Fee Basis]]="Add-on",MasterFees[[#This Row],[Fee Basis]]="Time band",MasterFees[[#This Row],[Fee Basis]]="Other"),MasterFees[[#This Row],[Fee Basis]],"Base")</f>
        <v>Base</v>
      </c>
      <c r="AC530" s="141" t="str">
        <f>IF(MasterFees[[#This Row],[Fixed Fee?]]="Yes",MasterFees[[#This Row],[Fee Excl. GST]],"")</f>
        <v/>
      </c>
    </row>
    <row r="531" spans="1:29" x14ac:dyDescent="0.2">
      <c r="A531" s="67" t="s">
        <v>2244</v>
      </c>
      <c r="B531" s="31">
        <f>IF(MasterFees[[#This Row],[RVG Code]]="","",_xlfn.XLOOKUP(MasterFees[[#This Row],[RVG Code]],RVGCodes[Code],RVGCodes[Base Units],"Code not found"))</f>
        <v>8</v>
      </c>
      <c r="C53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3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31" s="125" t="s">
        <v>2590</v>
      </c>
      <c r="F531" s="48" t="s">
        <v>2567</v>
      </c>
      <c r="G531" s="30" t="s">
        <v>76</v>
      </c>
      <c r="H531" s="37" t="s">
        <v>1095</v>
      </c>
      <c r="I531" s="37"/>
      <c r="J531" s="37" t="s">
        <v>1096</v>
      </c>
      <c r="K531" s="32">
        <v>0</v>
      </c>
      <c r="L531" s="32">
        <v>0</v>
      </c>
      <c r="M531" s="32">
        <v>0</v>
      </c>
      <c r="N531" s="32">
        <v>0</v>
      </c>
      <c r="O531" s="33">
        <v>0</v>
      </c>
      <c r="P531" s="38" t="s">
        <v>1014</v>
      </c>
      <c r="Q531" s="34" t="str">
        <f>IF(MasterFees[[#This Row],[GST Basis]]="Excl",MasterFees[[#This Row],[Fee as Printed]],IF(MasterFees[[#This Row],[GST Basis]]="Incl",MasterFees[[#This Row],[Fee as Printed]]/(1+GST_Rate),""))</f>
        <v/>
      </c>
      <c r="R531" s="34" t="str">
        <f>IF(MasterFees[[#This Row],[GST Basis]]="Incl",MasterFees[[#This Row],[Fee as Printed]],IF(MasterFees[[#This Row],[GST Basis]]="Excl",MasterFees[[#This Row],[Fee as Printed]]*(1+GST_Rate),""))</f>
        <v/>
      </c>
      <c r="S531" s="35" t="str">
        <f>IF(N(MasterFees[[#This Row],[Total Units]])=0,"",MasterFees[[#This Row],[Fee as Printed]]/MasterFees[[#This Row],[Total Units]])</f>
        <v/>
      </c>
      <c r="T531" s="36"/>
      <c r="U531" s="39" t="s">
        <v>1012</v>
      </c>
      <c r="V531" s="39" t="s">
        <v>1165</v>
      </c>
      <c r="W531" s="30"/>
      <c r="X531" s="73" t="s">
        <v>2948</v>
      </c>
      <c r="Y531" s="127" t="str">
        <f>_xlfn.XLOOKUP(MasterFees[[#This Row],[Provider / Payer]],Contracts[Contract Name],Contracts[Contract ID],"No contract")</f>
        <v>CON-01</v>
      </c>
      <c r="Z531" s="127" t="str">
        <f>_xlfn.XLOOKUP(MasterFees[[#This Row],[Provider / Payer]],Contracts[Contract Name],Contracts[Pricing Basis],"To confirm")</f>
        <v>To confirm</v>
      </c>
      <c r="AA531" s="127" t="str">
        <f>IF(MasterFees[[#This Row],[Pricing Basis]]="Fixed fee schedule","Yes","No")</f>
        <v>No</v>
      </c>
      <c r="AB531" s="127" t="str">
        <f>IF(OR(MasterFees[[#This Row],[Fee Basis]]="Add-on",MasterFees[[#This Row],[Fee Basis]]="Time band",MasterFees[[#This Row],[Fee Basis]]="Other"),MasterFees[[#This Row],[Fee Basis]],"Base")</f>
        <v>Base</v>
      </c>
      <c r="AC531" s="141" t="str">
        <f>IF(MasterFees[[#This Row],[Fixed Fee?]]="Yes",MasterFees[[#This Row],[Fee Excl. GST]],"")</f>
        <v/>
      </c>
    </row>
    <row r="532" spans="1:29" x14ac:dyDescent="0.2">
      <c r="A532" s="67" t="s">
        <v>2237</v>
      </c>
      <c r="B532" s="31">
        <f>IF(MasterFees[[#This Row],[RVG Code]]="","",_xlfn.XLOOKUP(MasterFees[[#This Row],[RVG Code]],RVGCodes[Code],RVGCodes[Base Units],"Code not found"))</f>
        <v>4</v>
      </c>
      <c r="C53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3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32" s="125" t="s">
        <v>2589</v>
      </c>
      <c r="F532" s="48" t="s">
        <v>2569</v>
      </c>
      <c r="G532" s="30" t="s">
        <v>77</v>
      </c>
      <c r="H532" s="37" t="s">
        <v>1095</v>
      </c>
      <c r="I532" s="37"/>
      <c r="J532" s="37" t="s">
        <v>1096</v>
      </c>
      <c r="K532" s="32">
        <v>5.7</v>
      </c>
      <c r="L532" s="32">
        <v>14.4</v>
      </c>
      <c r="M532" s="32">
        <v>1</v>
      </c>
      <c r="N532" s="32">
        <v>21</v>
      </c>
      <c r="O532" s="33">
        <v>1154.45</v>
      </c>
      <c r="P532" s="38" t="s">
        <v>1014</v>
      </c>
      <c r="Q532" s="34" t="str">
        <f>IF(MasterFees[[#This Row],[GST Basis]]="Excl",MasterFees[[#This Row],[Fee as Printed]],IF(MasterFees[[#This Row],[GST Basis]]="Incl",MasterFees[[#This Row],[Fee as Printed]]/(1+GST_Rate),""))</f>
        <v/>
      </c>
      <c r="R532" s="34" t="str">
        <f>IF(MasterFees[[#This Row],[GST Basis]]="Incl",MasterFees[[#This Row],[Fee as Printed]],IF(MasterFees[[#This Row],[GST Basis]]="Excl",MasterFees[[#This Row],[Fee as Printed]]*(1+GST_Rate),""))</f>
        <v/>
      </c>
      <c r="S532" s="35">
        <f>IF(N(MasterFees[[#This Row],[Total Units]])=0,"",MasterFees[[#This Row],[Fee as Printed]]/MasterFees[[#This Row],[Total Units]])</f>
        <v>54.973809523809528</v>
      </c>
      <c r="T532" s="36"/>
      <c r="U532" s="39" t="s">
        <v>1012</v>
      </c>
      <c r="V532" s="39" t="s">
        <v>1166</v>
      </c>
      <c r="W532" s="30"/>
      <c r="X532" s="73" t="s">
        <v>2949</v>
      </c>
      <c r="Y532" s="127" t="str">
        <f>_xlfn.XLOOKUP(MasterFees[[#This Row],[Provider / Payer]],Contracts[Contract Name],Contracts[Contract ID],"No contract")</f>
        <v>CON-01</v>
      </c>
      <c r="Z532" s="127" t="str">
        <f>_xlfn.XLOOKUP(MasterFees[[#This Row],[Provider / Payer]],Contracts[Contract Name],Contracts[Pricing Basis],"To confirm")</f>
        <v>To confirm</v>
      </c>
      <c r="AA532" s="127" t="str">
        <f>IF(MasterFees[[#This Row],[Pricing Basis]]="Fixed fee schedule","Yes","No")</f>
        <v>No</v>
      </c>
      <c r="AB532" s="127" t="str">
        <f>IF(OR(MasterFees[[#This Row],[Fee Basis]]="Add-on",MasterFees[[#This Row],[Fee Basis]]="Time band",MasterFees[[#This Row],[Fee Basis]]="Other"),MasterFees[[#This Row],[Fee Basis]],"Base")</f>
        <v>Base</v>
      </c>
      <c r="AC532" s="141" t="str">
        <f>IF(MasterFees[[#This Row],[Fixed Fee?]]="Yes",MasterFees[[#This Row],[Fee Excl. GST]],"")</f>
        <v/>
      </c>
    </row>
    <row r="533" spans="1:29" x14ac:dyDescent="0.2">
      <c r="A533" s="67" t="s">
        <v>2237</v>
      </c>
      <c r="B533" s="31">
        <f>IF(MasterFees[[#This Row],[RVG Code]]="","",_xlfn.XLOOKUP(MasterFees[[#This Row],[RVG Code]],RVGCodes[Code],RVGCodes[Base Units],"Code not found"))</f>
        <v>4</v>
      </c>
      <c r="C53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3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33" s="125" t="s">
        <v>2589</v>
      </c>
      <c r="F533" s="48" t="s">
        <v>2569</v>
      </c>
      <c r="G533" s="30" t="s">
        <v>79</v>
      </c>
      <c r="H533" s="37" t="s">
        <v>1095</v>
      </c>
      <c r="I533" s="37"/>
      <c r="J533" s="37" t="s">
        <v>1096</v>
      </c>
      <c r="K533" s="32">
        <v>6.1</v>
      </c>
      <c r="L533" s="32">
        <v>17.7</v>
      </c>
      <c r="M533" s="32">
        <v>0.1</v>
      </c>
      <c r="N533" s="32">
        <v>23.9</v>
      </c>
      <c r="O533" s="33">
        <v>1313.4</v>
      </c>
      <c r="P533" s="38" t="s">
        <v>1014</v>
      </c>
      <c r="Q533" s="34" t="str">
        <f>IF(MasterFees[[#This Row],[GST Basis]]="Excl",MasterFees[[#This Row],[Fee as Printed]],IF(MasterFees[[#This Row],[GST Basis]]="Incl",MasterFees[[#This Row],[Fee as Printed]]/(1+GST_Rate),""))</f>
        <v/>
      </c>
      <c r="R533" s="34" t="str">
        <f>IF(MasterFees[[#This Row],[GST Basis]]="Incl",MasterFees[[#This Row],[Fee as Printed]],IF(MasterFees[[#This Row],[GST Basis]]="Excl",MasterFees[[#This Row],[Fee as Printed]]*(1+GST_Rate),""))</f>
        <v/>
      </c>
      <c r="S533" s="35">
        <f>IF(N(MasterFees[[#This Row],[Total Units]])=0,"",MasterFees[[#This Row],[Fee as Printed]]/MasterFees[[#This Row],[Total Units]])</f>
        <v>54.953974895397494</v>
      </c>
      <c r="T533" s="36"/>
      <c r="U533" s="39" t="s">
        <v>1012</v>
      </c>
      <c r="V533" s="39" t="s">
        <v>1168</v>
      </c>
      <c r="W533" s="30"/>
      <c r="X533" s="73" t="s">
        <v>2951</v>
      </c>
      <c r="Y533" s="127" t="str">
        <f>_xlfn.XLOOKUP(MasterFees[[#This Row],[Provider / Payer]],Contracts[Contract Name],Contracts[Contract ID],"No contract")</f>
        <v>CON-01</v>
      </c>
      <c r="Z533" s="127" t="str">
        <f>_xlfn.XLOOKUP(MasterFees[[#This Row],[Provider / Payer]],Contracts[Contract Name],Contracts[Pricing Basis],"To confirm")</f>
        <v>To confirm</v>
      </c>
      <c r="AA533" s="127" t="str">
        <f>IF(MasterFees[[#This Row],[Pricing Basis]]="Fixed fee schedule","Yes","No")</f>
        <v>No</v>
      </c>
      <c r="AB533" s="127" t="str">
        <f>IF(OR(MasterFees[[#This Row],[Fee Basis]]="Add-on",MasterFees[[#This Row],[Fee Basis]]="Time band",MasterFees[[#This Row],[Fee Basis]]="Other"),MasterFees[[#This Row],[Fee Basis]],"Base")</f>
        <v>Base</v>
      </c>
      <c r="AC533" s="141" t="str">
        <f>IF(MasterFees[[#This Row],[Fixed Fee?]]="Yes",MasterFees[[#This Row],[Fee Excl. GST]],"")</f>
        <v/>
      </c>
    </row>
    <row r="534" spans="1:29" x14ac:dyDescent="0.2">
      <c r="A534" s="67" t="s">
        <v>2237</v>
      </c>
      <c r="B534" s="31">
        <f>IF(MasterFees[[#This Row],[RVG Code]]="","",_xlfn.XLOOKUP(MasterFees[[#This Row],[RVG Code]],RVGCodes[Code],RVGCodes[Base Units],"Code not found"))</f>
        <v>4</v>
      </c>
      <c r="C53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3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34" s="125" t="s">
        <v>2589</v>
      </c>
      <c r="F534" s="48" t="s">
        <v>2569</v>
      </c>
      <c r="G534" s="30" t="s">
        <v>81</v>
      </c>
      <c r="H534" s="37" t="s">
        <v>1095</v>
      </c>
      <c r="I534" s="37"/>
      <c r="J534" s="37" t="s">
        <v>1096</v>
      </c>
      <c r="K534" s="32">
        <v>5.7</v>
      </c>
      <c r="L534" s="32">
        <v>10.9</v>
      </c>
      <c r="M534" s="32">
        <v>0.5</v>
      </c>
      <c r="N534" s="32">
        <v>17.100000000000001</v>
      </c>
      <c r="O534" s="33">
        <v>939.95</v>
      </c>
      <c r="P534" s="38" t="s">
        <v>1014</v>
      </c>
      <c r="Q534" s="34" t="str">
        <f>IF(MasterFees[[#This Row],[GST Basis]]="Excl",MasterFees[[#This Row],[Fee as Printed]],IF(MasterFees[[#This Row],[GST Basis]]="Incl",MasterFees[[#This Row],[Fee as Printed]]/(1+GST_Rate),""))</f>
        <v/>
      </c>
      <c r="R534" s="34" t="str">
        <f>IF(MasterFees[[#This Row],[GST Basis]]="Incl",MasterFees[[#This Row],[Fee as Printed]],IF(MasterFees[[#This Row],[GST Basis]]="Excl",MasterFees[[#This Row],[Fee as Printed]]*(1+GST_Rate),""))</f>
        <v/>
      </c>
      <c r="S534" s="35">
        <f>IF(N(MasterFees[[#This Row],[Total Units]])=0,"",MasterFees[[#This Row],[Fee as Printed]]/MasterFees[[#This Row],[Total Units]])</f>
        <v>54.967836257309941</v>
      </c>
      <c r="T534" s="36"/>
      <c r="U534" s="39" t="s">
        <v>1012</v>
      </c>
      <c r="V534" s="39" t="s">
        <v>1170</v>
      </c>
      <c r="W534" s="30"/>
      <c r="X534" s="73" t="s">
        <v>2953</v>
      </c>
      <c r="Y534" s="127" t="str">
        <f>_xlfn.XLOOKUP(MasterFees[[#This Row],[Provider / Payer]],Contracts[Contract Name],Contracts[Contract ID],"No contract")</f>
        <v>CON-01</v>
      </c>
      <c r="Z534" s="127" t="str">
        <f>_xlfn.XLOOKUP(MasterFees[[#This Row],[Provider / Payer]],Contracts[Contract Name],Contracts[Pricing Basis],"To confirm")</f>
        <v>To confirm</v>
      </c>
      <c r="AA534" s="127" t="str">
        <f>IF(MasterFees[[#This Row],[Pricing Basis]]="Fixed fee schedule","Yes","No")</f>
        <v>No</v>
      </c>
      <c r="AB534" s="127" t="str">
        <f>IF(OR(MasterFees[[#This Row],[Fee Basis]]="Add-on",MasterFees[[#This Row],[Fee Basis]]="Time band",MasterFees[[#This Row],[Fee Basis]]="Other"),MasterFees[[#This Row],[Fee Basis]],"Base")</f>
        <v>Base</v>
      </c>
      <c r="AC534" s="141" t="str">
        <f>IF(MasterFees[[#This Row],[Fixed Fee?]]="Yes",MasterFees[[#This Row],[Fee Excl. GST]],"")</f>
        <v/>
      </c>
    </row>
    <row r="535" spans="1:29" x14ac:dyDescent="0.2">
      <c r="A535" s="67" t="s">
        <v>2237</v>
      </c>
      <c r="B535" s="31">
        <f>IF(MasterFees[[#This Row],[RVG Code]]="","",_xlfn.XLOOKUP(MasterFees[[#This Row],[RVG Code]],RVGCodes[Code],RVGCodes[Base Units],"Code not found"))</f>
        <v>4</v>
      </c>
      <c r="C53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3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35" s="125" t="s">
        <v>2589</v>
      </c>
      <c r="F535" s="48" t="s">
        <v>2569</v>
      </c>
      <c r="G535" s="30" t="s">
        <v>82</v>
      </c>
      <c r="H535" s="37" t="s">
        <v>1095</v>
      </c>
      <c r="I535" s="37"/>
      <c r="J535" s="37" t="s">
        <v>1096</v>
      </c>
      <c r="K535" s="32">
        <v>6</v>
      </c>
      <c r="L535" s="32">
        <v>11</v>
      </c>
      <c r="M535" s="32">
        <v>3</v>
      </c>
      <c r="N535" s="32">
        <v>20</v>
      </c>
      <c r="O535" s="33">
        <v>1100</v>
      </c>
      <c r="P535" s="38" t="s">
        <v>1014</v>
      </c>
      <c r="Q535" s="34" t="str">
        <f>IF(MasterFees[[#This Row],[GST Basis]]="Excl",MasterFees[[#This Row],[Fee as Printed]],IF(MasterFees[[#This Row],[GST Basis]]="Incl",MasterFees[[#This Row],[Fee as Printed]]/(1+GST_Rate),""))</f>
        <v/>
      </c>
      <c r="R535" s="34" t="str">
        <f>IF(MasterFees[[#This Row],[GST Basis]]="Incl",MasterFees[[#This Row],[Fee as Printed]],IF(MasterFees[[#This Row],[GST Basis]]="Excl",MasterFees[[#This Row],[Fee as Printed]]*(1+GST_Rate),""))</f>
        <v/>
      </c>
      <c r="S535" s="35">
        <f>IF(N(MasterFees[[#This Row],[Total Units]])=0,"",MasterFees[[#This Row],[Fee as Printed]]/MasterFees[[#This Row],[Total Units]])</f>
        <v>55</v>
      </c>
      <c r="T535" s="36"/>
      <c r="U535" s="39" t="s">
        <v>1012</v>
      </c>
      <c r="V535" s="39" t="s">
        <v>1171</v>
      </c>
      <c r="W535" s="30"/>
      <c r="X535" s="73" t="s">
        <v>2954</v>
      </c>
      <c r="Y535" s="127" t="str">
        <f>_xlfn.XLOOKUP(MasterFees[[#This Row],[Provider / Payer]],Contracts[Contract Name],Contracts[Contract ID],"No contract")</f>
        <v>CON-01</v>
      </c>
      <c r="Z535" s="127" t="str">
        <f>_xlfn.XLOOKUP(MasterFees[[#This Row],[Provider / Payer]],Contracts[Contract Name],Contracts[Pricing Basis],"To confirm")</f>
        <v>To confirm</v>
      </c>
      <c r="AA535" s="127" t="str">
        <f>IF(MasterFees[[#This Row],[Pricing Basis]]="Fixed fee schedule","Yes","No")</f>
        <v>No</v>
      </c>
      <c r="AB535" s="127" t="str">
        <f>IF(OR(MasterFees[[#This Row],[Fee Basis]]="Add-on",MasterFees[[#This Row],[Fee Basis]]="Time band",MasterFees[[#This Row],[Fee Basis]]="Other"),MasterFees[[#This Row],[Fee Basis]],"Base")</f>
        <v>Base</v>
      </c>
      <c r="AC535" s="141" t="str">
        <f>IF(MasterFees[[#This Row],[Fixed Fee?]]="Yes",MasterFees[[#This Row],[Fee Excl. GST]],"")</f>
        <v/>
      </c>
    </row>
    <row r="536" spans="1:29" x14ac:dyDescent="0.2">
      <c r="A536" s="67" t="s">
        <v>2237</v>
      </c>
      <c r="B536" s="31">
        <f>IF(MasterFees[[#This Row],[RVG Code]]="","",_xlfn.XLOOKUP(MasterFees[[#This Row],[RVG Code]],RVGCodes[Code],RVGCodes[Base Units],"Code not found"))</f>
        <v>4</v>
      </c>
      <c r="C53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3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36" s="125" t="s">
        <v>2589</v>
      </c>
      <c r="F536" s="48" t="s">
        <v>2569</v>
      </c>
      <c r="G536" s="30" t="s">
        <v>78</v>
      </c>
      <c r="H536" s="37" t="s">
        <v>1095</v>
      </c>
      <c r="I536" s="37"/>
      <c r="J536" s="37" t="s">
        <v>1096</v>
      </c>
      <c r="K536" s="32">
        <v>5.7</v>
      </c>
      <c r="L536" s="32">
        <v>14.3</v>
      </c>
      <c r="M536" s="32">
        <v>0</v>
      </c>
      <c r="N536" s="32">
        <v>20</v>
      </c>
      <c r="O536" s="33">
        <v>1099.45</v>
      </c>
      <c r="P536" s="38" t="s">
        <v>1014</v>
      </c>
      <c r="Q536" s="34" t="str">
        <f>IF(MasterFees[[#This Row],[GST Basis]]="Excl",MasterFees[[#This Row],[Fee as Printed]],IF(MasterFees[[#This Row],[GST Basis]]="Incl",MasterFees[[#This Row],[Fee as Printed]]/(1+GST_Rate),""))</f>
        <v/>
      </c>
      <c r="R536" s="34" t="str">
        <f>IF(MasterFees[[#This Row],[GST Basis]]="Incl",MasterFees[[#This Row],[Fee as Printed]],IF(MasterFees[[#This Row],[GST Basis]]="Excl",MasterFees[[#This Row],[Fee as Printed]]*(1+GST_Rate),""))</f>
        <v/>
      </c>
      <c r="S536" s="35">
        <f>IF(N(MasterFees[[#This Row],[Total Units]])=0,"",MasterFees[[#This Row],[Fee as Printed]]/MasterFees[[#This Row],[Total Units]])</f>
        <v>54.972500000000004</v>
      </c>
      <c r="T536" s="36"/>
      <c r="U536" s="39" t="s">
        <v>1012</v>
      </c>
      <c r="V536" s="39" t="s">
        <v>1167</v>
      </c>
      <c r="W536" s="30"/>
      <c r="X536" s="73" t="s">
        <v>2950</v>
      </c>
      <c r="Y536" s="127" t="str">
        <f>_xlfn.XLOOKUP(MasterFees[[#This Row],[Provider / Payer]],Contracts[Contract Name],Contracts[Contract ID],"No contract")</f>
        <v>CON-01</v>
      </c>
      <c r="Z536" s="127" t="str">
        <f>_xlfn.XLOOKUP(MasterFees[[#This Row],[Provider / Payer]],Contracts[Contract Name],Contracts[Pricing Basis],"To confirm")</f>
        <v>To confirm</v>
      </c>
      <c r="AA536" s="127" t="str">
        <f>IF(MasterFees[[#This Row],[Pricing Basis]]="Fixed fee schedule","Yes","No")</f>
        <v>No</v>
      </c>
      <c r="AB536" s="127" t="str">
        <f>IF(OR(MasterFees[[#This Row],[Fee Basis]]="Add-on",MasterFees[[#This Row],[Fee Basis]]="Time band",MasterFees[[#This Row],[Fee Basis]]="Other"),MasterFees[[#This Row],[Fee Basis]],"Base")</f>
        <v>Base</v>
      </c>
      <c r="AC536" s="141" t="str">
        <f>IF(MasterFees[[#This Row],[Fixed Fee?]]="Yes",MasterFees[[#This Row],[Fee Excl. GST]],"")</f>
        <v/>
      </c>
    </row>
    <row r="537" spans="1:29" x14ac:dyDescent="0.2">
      <c r="A537" s="67" t="s">
        <v>2237</v>
      </c>
      <c r="B537" s="31">
        <f>IF(MasterFees[[#This Row],[RVG Code]]="","",_xlfn.XLOOKUP(MasterFees[[#This Row],[RVG Code]],RVGCodes[Code],RVGCodes[Base Units],"Code not found"))</f>
        <v>4</v>
      </c>
      <c r="C53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3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37" s="125" t="s">
        <v>2589</v>
      </c>
      <c r="F537" s="48" t="s">
        <v>2569</v>
      </c>
      <c r="G537" s="30" t="s">
        <v>83</v>
      </c>
      <c r="H537" s="37" t="s">
        <v>1095</v>
      </c>
      <c r="I537" s="37"/>
      <c r="J537" s="37" t="s">
        <v>1096</v>
      </c>
      <c r="K537" s="32">
        <v>6.8</v>
      </c>
      <c r="L537" s="32">
        <v>15.5</v>
      </c>
      <c r="M537" s="32">
        <v>1.8</v>
      </c>
      <c r="N537" s="32">
        <v>24</v>
      </c>
      <c r="O537" s="33">
        <v>1320</v>
      </c>
      <c r="P537" s="38" t="s">
        <v>1014</v>
      </c>
      <c r="Q537" s="34" t="str">
        <f>IF(MasterFees[[#This Row],[GST Basis]]="Excl",MasterFees[[#This Row],[Fee as Printed]],IF(MasterFees[[#This Row],[GST Basis]]="Incl",MasterFees[[#This Row],[Fee as Printed]]/(1+GST_Rate),""))</f>
        <v/>
      </c>
      <c r="R537" s="34" t="str">
        <f>IF(MasterFees[[#This Row],[GST Basis]]="Incl",MasterFees[[#This Row],[Fee as Printed]],IF(MasterFees[[#This Row],[GST Basis]]="Excl",MasterFees[[#This Row],[Fee as Printed]]*(1+GST_Rate),""))</f>
        <v/>
      </c>
      <c r="S537" s="35">
        <f>IF(N(MasterFees[[#This Row],[Total Units]])=0,"",MasterFees[[#This Row],[Fee as Printed]]/MasterFees[[#This Row],[Total Units]])</f>
        <v>55</v>
      </c>
      <c r="T537" s="36"/>
      <c r="U537" s="39" t="s">
        <v>1012</v>
      </c>
      <c r="V537" s="39" t="s">
        <v>1172</v>
      </c>
      <c r="W537" s="30"/>
      <c r="X537" s="73" t="s">
        <v>2955</v>
      </c>
      <c r="Y537" s="127" t="str">
        <f>_xlfn.XLOOKUP(MasterFees[[#This Row],[Provider / Payer]],Contracts[Contract Name],Contracts[Contract ID],"No contract")</f>
        <v>CON-01</v>
      </c>
      <c r="Z537" s="127" t="str">
        <f>_xlfn.XLOOKUP(MasterFees[[#This Row],[Provider / Payer]],Contracts[Contract Name],Contracts[Pricing Basis],"To confirm")</f>
        <v>To confirm</v>
      </c>
      <c r="AA537" s="127" t="str">
        <f>IF(MasterFees[[#This Row],[Pricing Basis]]="Fixed fee schedule","Yes","No")</f>
        <v>No</v>
      </c>
      <c r="AB537" s="127" t="str">
        <f>IF(OR(MasterFees[[#This Row],[Fee Basis]]="Add-on",MasterFees[[#This Row],[Fee Basis]]="Time band",MasterFees[[#This Row],[Fee Basis]]="Other"),MasterFees[[#This Row],[Fee Basis]],"Base")</f>
        <v>Base</v>
      </c>
      <c r="AC537" s="141" t="str">
        <f>IF(MasterFees[[#This Row],[Fixed Fee?]]="Yes",MasterFees[[#This Row],[Fee Excl. GST]],"")</f>
        <v/>
      </c>
    </row>
    <row r="538" spans="1:29" x14ac:dyDescent="0.2">
      <c r="A538" s="67" t="s">
        <v>2237</v>
      </c>
      <c r="B538" s="31">
        <f>IF(MasterFees[[#This Row],[RVG Code]]="","",_xlfn.XLOOKUP(MasterFees[[#This Row],[RVG Code]],RVGCodes[Code],RVGCodes[Base Units],"Code not found"))</f>
        <v>4</v>
      </c>
      <c r="C53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3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38" s="125" t="s">
        <v>2589</v>
      </c>
      <c r="F538" s="48" t="s">
        <v>2567</v>
      </c>
      <c r="G538" s="30" t="s">
        <v>97</v>
      </c>
      <c r="H538" s="37" t="s">
        <v>1095</v>
      </c>
      <c r="I538" s="37"/>
      <c r="J538" s="37" t="s">
        <v>1096</v>
      </c>
      <c r="K538" s="32">
        <v>5.6</v>
      </c>
      <c r="L538" s="32">
        <v>12.2</v>
      </c>
      <c r="M538" s="32">
        <v>1.3</v>
      </c>
      <c r="N538" s="32">
        <v>19.100000000000001</v>
      </c>
      <c r="O538" s="33">
        <v>1048.3</v>
      </c>
      <c r="P538" s="38" t="s">
        <v>1014</v>
      </c>
      <c r="Q538" s="34" t="str">
        <f>IF(MasterFees[[#This Row],[GST Basis]]="Excl",MasterFees[[#This Row],[Fee as Printed]],IF(MasterFees[[#This Row],[GST Basis]]="Incl",MasterFees[[#This Row],[Fee as Printed]]/(1+GST_Rate),""))</f>
        <v/>
      </c>
      <c r="R538" s="34" t="str">
        <f>IF(MasterFees[[#This Row],[GST Basis]]="Incl",MasterFees[[#This Row],[Fee as Printed]],IF(MasterFees[[#This Row],[GST Basis]]="Excl",MasterFees[[#This Row],[Fee as Printed]]*(1+GST_Rate),""))</f>
        <v/>
      </c>
      <c r="S538" s="35">
        <f>IF(N(MasterFees[[#This Row],[Total Units]])=0,"",MasterFees[[#This Row],[Fee as Printed]]/MasterFees[[#This Row],[Total Units]])</f>
        <v>54.884816753926692</v>
      </c>
      <c r="T538" s="36"/>
      <c r="U538" s="39" t="s">
        <v>1012</v>
      </c>
      <c r="V538" s="39" t="s">
        <v>1186</v>
      </c>
      <c r="W538" s="30"/>
      <c r="X538" s="73" t="s">
        <v>2969</v>
      </c>
      <c r="Y538" s="127" t="str">
        <f>_xlfn.XLOOKUP(MasterFees[[#This Row],[Provider / Payer]],Contracts[Contract Name],Contracts[Contract ID],"No contract")</f>
        <v>CON-01</v>
      </c>
      <c r="Z538" s="127" t="str">
        <f>_xlfn.XLOOKUP(MasterFees[[#This Row],[Provider / Payer]],Contracts[Contract Name],Contracts[Pricing Basis],"To confirm")</f>
        <v>To confirm</v>
      </c>
      <c r="AA538" s="127" t="str">
        <f>IF(MasterFees[[#This Row],[Pricing Basis]]="Fixed fee schedule","Yes","No")</f>
        <v>No</v>
      </c>
      <c r="AB538" s="127" t="str">
        <f>IF(OR(MasterFees[[#This Row],[Fee Basis]]="Add-on",MasterFees[[#This Row],[Fee Basis]]="Time band",MasterFees[[#This Row],[Fee Basis]]="Other"),MasterFees[[#This Row],[Fee Basis]],"Base")</f>
        <v>Base</v>
      </c>
      <c r="AC538" s="141" t="str">
        <f>IF(MasterFees[[#This Row],[Fixed Fee?]]="Yes",MasterFees[[#This Row],[Fee Excl. GST]],"")</f>
        <v/>
      </c>
    </row>
    <row r="539" spans="1:29" x14ac:dyDescent="0.2">
      <c r="A539" s="67" t="s">
        <v>2237</v>
      </c>
      <c r="B539" s="31">
        <f>IF(MasterFees[[#This Row],[RVG Code]]="","",_xlfn.XLOOKUP(MasterFees[[#This Row],[RVG Code]],RVGCodes[Code],RVGCodes[Base Units],"Code not found"))</f>
        <v>4</v>
      </c>
      <c r="C53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3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39" s="125" t="s">
        <v>2589</v>
      </c>
      <c r="F539" s="48" t="s">
        <v>2567</v>
      </c>
      <c r="G539" s="30" t="s">
        <v>98</v>
      </c>
      <c r="H539" s="37" t="s">
        <v>1095</v>
      </c>
      <c r="I539" s="37"/>
      <c r="J539" s="37" t="s">
        <v>1096</v>
      </c>
      <c r="K539" s="32">
        <v>5</v>
      </c>
      <c r="L539" s="32">
        <v>8.5</v>
      </c>
      <c r="M539" s="32">
        <v>2</v>
      </c>
      <c r="N539" s="32">
        <v>15.5</v>
      </c>
      <c r="O539" s="33">
        <v>852.5</v>
      </c>
      <c r="P539" s="38" t="s">
        <v>1014</v>
      </c>
      <c r="Q539" s="34" t="str">
        <f>IF(MasterFees[[#This Row],[GST Basis]]="Excl",MasterFees[[#This Row],[Fee as Printed]],IF(MasterFees[[#This Row],[GST Basis]]="Incl",MasterFees[[#This Row],[Fee as Printed]]/(1+GST_Rate),""))</f>
        <v/>
      </c>
      <c r="R539" s="34" t="str">
        <f>IF(MasterFees[[#This Row],[GST Basis]]="Incl",MasterFees[[#This Row],[Fee as Printed]],IF(MasterFees[[#This Row],[GST Basis]]="Excl",MasterFees[[#This Row],[Fee as Printed]]*(1+GST_Rate),""))</f>
        <v/>
      </c>
      <c r="S539" s="35">
        <f>IF(N(MasterFees[[#This Row],[Total Units]])=0,"",MasterFees[[#This Row],[Fee as Printed]]/MasterFees[[#This Row],[Total Units]])</f>
        <v>55</v>
      </c>
      <c r="T539" s="36"/>
      <c r="U539" s="39" t="s">
        <v>1012</v>
      </c>
      <c r="V539" s="39" t="s">
        <v>1187</v>
      </c>
      <c r="W539" s="30"/>
      <c r="X539" s="73" t="s">
        <v>2970</v>
      </c>
      <c r="Y539" s="127" t="str">
        <f>_xlfn.XLOOKUP(MasterFees[[#This Row],[Provider / Payer]],Contracts[Contract Name],Contracts[Contract ID],"No contract")</f>
        <v>CON-01</v>
      </c>
      <c r="Z539" s="127" t="str">
        <f>_xlfn.XLOOKUP(MasterFees[[#This Row],[Provider / Payer]],Contracts[Contract Name],Contracts[Pricing Basis],"To confirm")</f>
        <v>To confirm</v>
      </c>
      <c r="AA539" s="127" t="str">
        <f>IF(MasterFees[[#This Row],[Pricing Basis]]="Fixed fee schedule","Yes","No")</f>
        <v>No</v>
      </c>
      <c r="AB539" s="127" t="str">
        <f>IF(OR(MasterFees[[#This Row],[Fee Basis]]="Add-on",MasterFees[[#This Row],[Fee Basis]]="Time band",MasterFees[[#This Row],[Fee Basis]]="Other"),MasterFees[[#This Row],[Fee Basis]],"Base")</f>
        <v>Base</v>
      </c>
      <c r="AC539" s="141" t="str">
        <f>IF(MasterFees[[#This Row],[Fixed Fee?]]="Yes",MasterFees[[#This Row],[Fee Excl. GST]],"")</f>
        <v/>
      </c>
    </row>
    <row r="540" spans="1:29" x14ac:dyDescent="0.2">
      <c r="A540" s="67" t="s">
        <v>2237</v>
      </c>
      <c r="B540" s="31">
        <f>IF(MasterFees[[#This Row],[RVG Code]]="","",_xlfn.XLOOKUP(MasterFees[[#This Row],[RVG Code]],RVGCodes[Code],RVGCodes[Base Units],"Code not found"))</f>
        <v>4</v>
      </c>
      <c r="C54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4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40" s="125" t="s">
        <v>2589</v>
      </c>
      <c r="F540" s="48" t="s">
        <v>2567</v>
      </c>
      <c r="G540" s="30" t="s">
        <v>99</v>
      </c>
      <c r="H540" s="37" t="s">
        <v>1095</v>
      </c>
      <c r="I540" s="37"/>
      <c r="J540" s="37" t="s">
        <v>1096</v>
      </c>
      <c r="K540" s="32">
        <v>7</v>
      </c>
      <c r="L540" s="32">
        <v>8</v>
      </c>
      <c r="M540" s="32">
        <v>2</v>
      </c>
      <c r="N540" s="32">
        <v>17</v>
      </c>
      <c r="O540" s="33">
        <v>935</v>
      </c>
      <c r="P540" s="38" t="s">
        <v>1014</v>
      </c>
      <c r="Q540" s="34" t="str">
        <f>IF(MasterFees[[#This Row],[GST Basis]]="Excl",MasterFees[[#This Row],[Fee as Printed]],IF(MasterFees[[#This Row],[GST Basis]]="Incl",MasterFees[[#This Row],[Fee as Printed]]/(1+GST_Rate),""))</f>
        <v/>
      </c>
      <c r="R540" s="34" t="str">
        <f>IF(MasterFees[[#This Row],[GST Basis]]="Incl",MasterFees[[#This Row],[Fee as Printed]],IF(MasterFees[[#This Row],[GST Basis]]="Excl",MasterFees[[#This Row],[Fee as Printed]]*(1+GST_Rate),""))</f>
        <v/>
      </c>
      <c r="S540" s="35">
        <f>IF(N(MasterFees[[#This Row],[Total Units]])=0,"",MasterFees[[#This Row],[Fee as Printed]]/MasterFees[[#This Row],[Total Units]])</f>
        <v>55</v>
      </c>
      <c r="T540" s="36"/>
      <c r="U540" s="39" t="s">
        <v>1012</v>
      </c>
      <c r="V540" s="39" t="s">
        <v>1188</v>
      </c>
      <c r="W540" s="30"/>
      <c r="X540" s="73" t="s">
        <v>2971</v>
      </c>
      <c r="Y540" s="127" t="str">
        <f>_xlfn.XLOOKUP(MasterFees[[#This Row],[Provider / Payer]],Contracts[Contract Name],Contracts[Contract ID],"No contract")</f>
        <v>CON-01</v>
      </c>
      <c r="Z540" s="127" t="str">
        <f>_xlfn.XLOOKUP(MasterFees[[#This Row],[Provider / Payer]],Contracts[Contract Name],Contracts[Pricing Basis],"To confirm")</f>
        <v>To confirm</v>
      </c>
      <c r="AA540" s="127" t="str">
        <f>IF(MasterFees[[#This Row],[Pricing Basis]]="Fixed fee schedule","Yes","No")</f>
        <v>No</v>
      </c>
      <c r="AB540" s="127" t="str">
        <f>IF(OR(MasterFees[[#This Row],[Fee Basis]]="Add-on",MasterFees[[#This Row],[Fee Basis]]="Time band",MasterFees[[#This Row],[Fee Basis]]="Other"),MasterFees[[#This Row],[Fee Basis]],"Base")</f>
        <v>Base</v>
      </c>
      <c r="AC540" s="141" t="str">
        <f>IF(MasterFees[[#This Row],[Fixed Fee?]]="Yes",MasterFees[[#This Row],[Fee Excl. GST]],"")</f>
        <v/>
      </c>
    </row>
    <row r="541" spans="1:29" x14ac:dyDescent="0.2">
      <c r="A541" s="67" t="s">
        <v>2237</v>
      </c>
      <c r="B541" s="31">
        <f>IF(MasterFees[[#This Row],[RVG Code]]="","",_xlfn.XLOOKUP(MasterFees[[#This Row],[RVG Code]],RVGCodes[Code],RVGCodes[Base Units],"Code not found"))</f>
        <v>4</v>
      </c>
      <c r="C54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4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41" s="125" t="s">
        <v>2589</v>
      </c>
      <c r="F541" s="48" t="s">
        <v>2569</v>
      </c>
      <c r="G541" s="30" t="s">
        <v>102</v>
      </c>
      <c r="H541" s="37" t="s">
        <v>1095</v>
      </c>
      <c r="I541" s="37"/>
      <c r="J541" s="37" t="s">
        <v>1096</v>
      </c>
      <c r="K541" s="32">
        <v>5.6</v>
      </c>
      <c r="L541" s="32">
        <v>16.2</v>
      </c>
      <c r="M541" s="32">
        <v>1.8</v>
      </c>
      <c r="N541" s="32">
        <v>23.7</v>
      </c>
      <c r="O541" s="33">
        <v>1301.3</v>
      </c>
      <c r="P541" s="38" t="s">
        <v>1014</v>
      </c>
      <c r="Q541" s="34" t="str">
        <f>IF(MasterFees[[#This Row],[GST Basis]]="Excl",MasterFees[[#This Row],[Fee as Printed]],IF(MasterFees[[#This Row],[GST Basis]]="Incl",MasterFees[[#This Row],[Fee as Printed]]/(1+GST_Rate),""))</f>
        <v/>
      </c>
      <c r="R541" s="34" t="str">
        <f>IF(MasterFees[[#This Row],[GST Basis]]="Incl",MasterFees[[#This Row],[Fee as Printed]],IF(MasterFees[[#This Row],[GST Basis]]="Excl",MasterFees[[#This Row],[Fee as Printed]]*(1+GST_Rate),""))</f>
        <v/>
      </c>
      <c r="S541" s="35">
        <f>IF(N(MasterFees[[#This Row],[Total Units]])=0,"",MasterFees[[#This Row],[Fee as Printed]]/MasterFees[[#This Row],[Total Units]])</f>
        <v>54.907172995780591</v>
      </c>
      <c r="T541" s="36"/>
      <c r="U541" s="39" t="s">
        <v>1012</v>
      </c>
      <c r="V541" s="39" t="s">
        <v>1192</v>
      </c>
      <c r="W541" s="30"/>
      <c r="X541" s="73" t="s">
        <v>2975</v>
      </c>
      <c r="Y541" s="127" t="str">
        <f>_xlfn.XLOOKUP(MasterFees[[#This Row],[Provider / Payer]],Contracts[Contract Name],Contracts[Contract ID],"No contract")</f>
        <v>CON-01</v>
      </c>
      <c r="Z541" s="127" t="str">
        <f>_xlfn.XLOOKUP(MasterFees[[#This Row],[Provider / Payer]],Contracts[Contract Name],Contracts[Pricing Basis],"To confirm")</f>
        <v>To confirm</v>
      </c>
      <c r="AA541" s="127" t="str">
        <f>IF(MasterFees[[#This Row],[Pricing Basis]]="Fixed fee schedule","Yes","No")</f>
        <v>No</v>
      </c>
      <c r="AB541" s="127" t="str">
        <f>IF(OR(MasterFees[[#This Row],[Fee Basis]]="Add-on",MasterFees[[#This Row],[Fee Basis]]="Time band",MasterFees[[#This Row],[Fee Basis]]="Other"),MasterFees[[#This Row],[Fee Basis]],"Base")</f>
        <v>Base</v>
      </c>
      <c r="AC541" s="141" t="str">
        <f>IF(MasterFees[[#This Row],[Fixed Fee?]]="Yes",MasterFees[[#This Row],[Fee Excl. GST]],"")</f>
        <v/>
      </c>
    </row>
    <row r="542" spans="1:29" x14ac:dyDescent="0.2">
      <c r="A542" s="67" t="s">
        <v>2237</v>
      </c>
      <c r="B542" s="31">
        <f>IF(MasterFees[[#This Row],[RVG Code]]="","",_xlfn.XLOOKUP(MasterFees[[#This Row],[RVG Code]],RVGCodes[Code],RVGCodes[Base Units],"Code not found"))</f>
        <v>4</v>
      </c>
      <c r="C54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4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42" s="125" t="s">
        <v>2589</v>
      </c>
      <c r="F542" s="48" t="s">
        <v>2569</v>
      </c>
      <c r="G542" s="30" t="s">
        <v>102</v>
      </c>
      <c r="H542" s="37" t="s">
        <v>1095</v>
      </c>
      <c r="I542" s="37"/>
      <c r="J542" s="37" t="s">
        <v>1096</v>
      </c>
      <c r="K542" s="32">
        <v>5.6</v>
      </c>
      <c r="L542" s="32">
        <v>16.2</v>
      </c>
      <c r="M542" s="32">
        <v>1.8</v>
      </c>
      <c r="N542" s="32">
        <v>23.7</v>
      </c>
      <c r="O542" s="33">
        <v>1301.3</v>
      </c>
      <c r="P542" s="38" t="s">
        <v>1014</v>
      </c>
      <c r="Q542" s="34" t="str">
        <f>IF(MasterFees[[#This Row],[GST Basis]]="Excl",MasterFees[[#This Row],[Fee as Printed]],IF(MasterFees[[#This Row],[GST Basis]]="Incl",MasterFees[[#This Row],[Fee as Printed]]/(1+GST_Rate),""))</f>
        <v/>
      </c>
      <c r="R542" s="34" t="str">
        <f>IF(MasterFees[[#This Row],[GST Basis]]="Incl",MasterFees[[#This Row],[Fee as Printed]],IF(MasterFees[[#This Row],[GST Basis]]="Excl",MasterFees[[#This Row],[Fee as Printed]]*(1+GST_Rate),""))</f>
        <v/>
      </c>
      <c r="S542" s="35">
        <f>IF(N(MasterFees[[#This Row],[Total Units]])=0,"",MasterFees[[#This Row],[Fee as Printed]]/MasterFees[[#This Row],[Total Units]])</f>
        <v>54.907172995780591</v>
      </c>
      <c r="T542" s="36"/>
      <c r="U542" s="39" t="s">
        <v>1012</v>
      </c>
      <c r="V542" s="39" t="s">
        <v>1193</v>
      </c>
      <c r="W542" s="30"/>
      <c r="X542" s="73" t="s">
        <v>2976</v>
      </c>
      <c r="Y542" s="127" t="str">
        <f>_xlfn.XLOOKUP(MasterFees[[#This Row],[Provider / Payer]],Contracts[Contract Name],Contracts[Contract ID],"No contract")</f>
        <v>CON-01</v>
      </c>
      <c r="Z542" s="127" t="str">
        <f>_xlfn.XLOOKUP(MasterFees[[#This Row],[Provider / Payer]],Contracts[Contract Name],Contracts[Pricing Basis],"To confirm")</f>
        <v>To confirm</v>
      </c>
      <c r="AA542" s="127" t="str">
        <f>IF(MasterFees[[#This Row],[Pricing Basis]]="Fixed fee schedule","Yes","No")</f>
        <v>No</v>
      </c>
      <c r="AB542" s="127" t="str">
        <f>IF(OR(MasterFees[[#This Row],[Fee Basis]]="Add-on",MasterFees[[#This Row],[Fee Basis]]="Time band",MasterFees[[#This Row],[Fee Basis]]="Other"),MasterFees[[#This Row],[Fee Basis]],"Base")</f>
        <v>Base</v>
      </c>
      <c r="AC542" s="141" t="str">
        <f>IF(MasterFees[[#This Row],[Fixed Fee?]]="Yes",MasterFees[[#This Row],[Fee Excl. GST]],"")</f>
        <v/>
      </c>
    </row>
    <row r="543" spans="1:29" x14ac:dyDescent="0.2">
      <c r="A543" s="67" t="s">
        <v>2237</v>
      </c>
      <c r="B543" s="31">
        <f>IF(MasterFees[[#This Row],[RVG Code]]="","",_xlfn.XLOOKUP(MasterFees[[#This Row],[RVG Code]],RVGCodes[Code],RVGCodes[Base Units],"Code not found"))</f>
        <v>4</v>
      </c>
      <c r="C54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4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43" s="125" t="s">
        <v>2589</v>
      </c>
      <c r="F543" s="48" t="s">
        <v>2569</v>
      </c>
      <c r="G543" s="30" t="s">
        <v>103</v>
      </c>
      <c r="H543" s="37" t="s">
        <v>1095</v>
      </c>
      <c r="I543" s="37"/>
      <c r="J543" s="37" t="s">
        <v>1096</v>
      </c>
      <c r="K543" s="32">
        <v>6.1</v>
      </c>
      <c r="L543" s="32">
        <v>14.1</v>
      </c>
      <c r="M543" s="32">
        <v>2.1</v>
      </c>
      <c r="N543" s="32">
        <v>22.3</v>
      </c>
      <c r="O543" s="33">
        <v>1228.7</v>
      </c>
      <c r="P543" s="38" t="s">
        <v>1014</v>
      </c>
      <c r="Q543" s="34" t="str">
        <f>IF(MasterFees[[#This Row],[GST Basis]]="Excl",MasterFees[[#This Row],[Fee as Printed]],IF(MasterFees[[#This Row],[GST Basis]]="Incl",MasterFees[[#This Row],[Fee as Printed]]/(1+GST_Rate),""))</f>
        <v/>
      </c>
      <c r="R543" s="34" t="str">
        <f>IF(MasterFees[[#This Row],[GST Basis]]="Incl",MasterFees[[#This Row],[Fee as Printed]],IF(MasterFees[[#This Row],[GST Basis]]="Excl",MasterFees[[#This Row],[Fee as Printed]]*(1+GST_Rate),""))</f>
        <v/>
      </c>
      <c r="S543" s="35">
        <f>IF(N(MasterFees[[#This Row],[Total Units]])=0,"",MasterFees[[#This Row],[Fee as Printed]]/MasterFees[[#This Row],[Total Units]])</f>
        <v>55.098654708520179</v>
      </c>
      <c r="T543" s="36"/>
      <c r="U543" s="39" t="s">
        <v>1012</v>
      </c>
      <c r="V543" s="39" t="s">
        <v>1194</v>
      </c>
      <c r="W543" s="30"/>
      <c r="X543" s="73" t="s">
        <v>2977</v>
      </c>
      <c r="Y543" s="127" t="str">
        <f>_xlfn.XLOOKUP(MasterFees[[#This Row],[Provider / Payer]],Contracts[Contract Name],Contracts[Contract ID],"No contract")</f>
        <v>CON-01</v>
      </c>
      <c r="Z543" s="127" t="str">
        <f>_xlfn.XLOOKUP(MasterFees[[#This Row],[Provider / Payer]],Contracts[Contract Name],Contracts[Pricing Basis],"To confirm")</f>
        <v>To confirm</v>
      </c>
      <c r="AA543" s="127" t="str">
        <f>IF(MasterFees[[#This Row],[Pricing Basis]]="Fixed fee schedule","Yes","No")</f>
        <v>No</v>
      </c>
      <c r="AB543" s="127" t="str">
        <f>IF(OR(MasterFees[[#This Row],[Fee Basis]]="Add-on",MasterFees[[#This Row],[Fee Basis]]="Time band",MasterFees[[#This Row],[Fee Basis]]="Other"),MasterFees[[#This Row],[Fee Basis]],"Base")</f>
        <v>Base</v>
      </c>
      <c r="AC543" s="141" t="str">
        <f>IF(MasterFees[[#This Row],[Fixed Fee?]]="Yes",MasterFees[[#This Row],[Fee Excl. GST]],"")</f>
        <v/>
      </c>
    </row>
    <row r="544" spans="1:29" x14ac:dyDescent="0.2">
      <c r="A544" s="67" t="s">
        <v>2237</v>
      </c>
      <c r="B544" s="31">
        <f>IF(MasterFees[[#This Row],[RVG Code]]="","",_xlfn.XLOOKUP(MasterFees[[#This Row],[RVG Code]],RVGCodes[Code],RVGCodes[Base Units],"Code not found"))</f>
        <v>4</v>
      </c>
      <c r="C54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4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44" s="125" t="s">
        <v>2589</v>
      </c>
      <c r="F544" s="48" t="s">
        <v>2569</v>
      </c>
      <c r="G544" s="30" t="s">
        <v>104</v>
      </c>
      <c r="H544" s="37" t="s">
        <v>1095</v>
      </c>
      <c r="I544" s="37"/>
      <c r="J544" s="37" t="s">
        <v>1096</v>
      </c>
      <c r="K544" s="32">
        <v>6.4</v>
      </c>
      <c r="L544" s="32">
        <v>14</v>
      </c>
      <c r="M544" s="32">
        <v>2</v>
      </c>
      <c r="N544" s="32">
        <v>22.4</v>
      </c>
      <c r="O544" s="33">
        <v>1233.0999999999999</v>
      </c>
      <c r="P544" s="38" t="s">
        <v>1014</v>
      </c>
      <c r="Q544" s="34" t="str">
        <f>IF(MasterFees[[#This Row],[GST Basis]]="Excl",MasterFees[[#This Row],[Fee as Printed]],IF(MasterFees[[#This Row],[GST Basis]]="Incl",MasterFees[[#This Row],[Fee as Printed]]/(1+GST_Rate),""))</f>
        <v/>
      </c>
      <c r="R544" s="34" t="str">
        <f>IF(MasterFees[[#This Row],[GST Basis]]="Incl",MasterFees[[#This Row],[Fee as Printed]],IF(MasterFees[[#This Row],[GST Basis]]="Excl",MasterFees[[#This Row],[Fee as Printed]]*(1+GST_Rate),""))</f>
        <v/>
      </c>
      <c r="S544" s="35">
        <f>IF(N(MasterFees[[#This Row],[Total Units]])=0,"",MasterFees[[#This Row],[Fee as Printed]]/MasterFees[[#This Row],[Total Units]])</f>
        <v>55.049107142857139</v>
      </c>
      <c r="T544" s="36"/>
      <c r="U544" s="39" t="s">
        <v>1012</v>
      </c>
      <c r="V544" s="39" t="s">
        <v>1195</v>
      </c>
      <c r="W544" s="30"/>
      <c r="X544" s="73" t="s">
        <v>2978</v>
      </c>
      <c r="Y544" s="127" t="str">
        <f>_xlfn.XLOOKUP(MasterFees[[#This Row],[Provider / Payer]],Contracts[Contract Name],Contracts[Contract ID],"No contract")</f>
        <v>CON-01</v>
      </c>
      <c r="Z544" s="127" t="str">
        <f>_xlfn.XLOOKUP(MasterFees[[#This Row],[Provider / Payer]],Contracts[Contract Name],Contracts[Pricing Basis],"To confirm")</f>
        <v>To confirm</v>
      </c>
      <c r="AA544" s="127" t="str">
        <f>IF(MasterFees[[#This Row],[Pricing Basis]]="Fixed fee schedule","Yes","No")</f>
        <v>No</v>
      </c>
      <c r="AB544" s="127" t="str">
        <f>IF(OR(MasterFees[[#This Row],[Fee Basis]]="Add-on",MasterFees[[#This Row],[Fee Basis]]="Time band",MasterFees[[#This Row],[Fee Basis]]="Other"),MasterFees[[#This Row],[Fee Basis]],"Base")</f>
        <v>Base</v>
      </c>
      <c r="AC544" s="141" t="str">
        <f>IF(MasterFees[[#This Row],[Fixed Fee?]]="Yes",MasterFees[[#This Row],[Fee Excl. GST]],"")</f>
        <v/>
      </c>
    </row>
    <row r="545" spans="1:29" x14ac:dyDescent="0.2">
      <c r="A545" s="67" t="s">
        <v>2237</v>
      </c>
      <c r="B545" s="31">
        <f>IF(MasterFees[[#This Row],[RVG Code]]="","",_xlfn.XLOOKUP(MasterFees[[#This Row],[RVG Code]],RVGCodes[Code],RVGCodes[Base Units],"Code not found"))</f>
        <v>4</v>
      </c>
      <c r="C54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4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45" s="125" t="s">
        <v>2589</v>
      </c>
      <c r="F545" s="48" t="s">
        <v>2569</v>
      </c>
      <c r="G545" s="30" t="s">
        <v>105</v>
      </c>
      <c r="H545" s="37" t="s">
        <v>1095</v>
      </c>
      <c r="I545" s="37"/>
      <c r="J545" s="37" t="s">
        <v>1096</v>
      </c>
      <c r="K545" s="32">
        <v>6</v>
      </c>
      <c r="L545" s="32">
        <v>15</v>
      </c>
      <c r="M545" s="32">
        <v>2.1</v>
      </c>
      <c r="N545" s="32">
        <v>23.2</v>
      </c>
      <c r="O545" s="33">
        <v>1276.55</v>
      </c>
      <c r="P545" s="38" t="s">
        <v>1014</v>
      </c>
      <c r="Q545" s="34" t="str">
        <f>IF(MasterFees[[#This Row],[GST Basis]]="Excl",MasterFees[[#This Row],[Fee as Printed]],IF(MasterFees[[#This Row],[GST Basis]]="Incl",MasterFees[[#This Row],[Fee as Printed]]/(1+GST_Rate),""))</f>
        <v/>
      </c>
      <c r="R545" s="34" t="str">
        <f>IF(MasterFees[[#This Row],[GST Basis]]="Incl",MasterFees[[#This Row],[Fee as Printed]],IF(MasterFees[[#This Row],[GST Basis]]="Excl",MasterFees[[#This Row],[Fee as Printed]]*(1+GST_Rate),""))</f>
        <v/>
      </c>
      <c r="S545" s="35">
        <f>IF(N(MasterFees[[#This Row],[Total Units]])=0,"",MasterFees[[#This Row],[Fee as Printed]]/MasterFees[[#This Row],[Total Units]])</f>
        <v>55.023706896551722</v>
      </c>
      <c r="T545" s="36"/>
      <c r="U545" s="39" t="s">
        <v>1012</v>
      </c>
      <c r="V545" s="39" t="s">
        <v>1196</v>
      </c>
      <c r="W545" s="30"/>
      <c r="X545" s="73" t="s">
        <v>2979</v>
      </c>
      <c r="Y545" s="127" t="str">
        <f>_xlfn.XLOOKUP(MasterFees[[#This Row],[Provider / Payer]],Contracts[Contract Name],Contracts[Contract ID],"No contract")</f>
        <v>CON-01</v>
      </c>
      <c r="Z545" s="127" t="str">
        <f>_xlfn.XLOOKUP(MasterFees[[#This Row],[Provider / Payer]],Contracts[Contract Name],Contracts[Pricing Basis],"To confirm")</f>
        <v>To confirm</v>
      </c>
      <c r="AA545" s="127" t="str">
        <f>IF(MasterFees[[#This Row],[Pricing Basis]]="Fixed fee schedule","Yes","No")</f>
        <v>No</v>
      </c>
      <c r="AB545" s="127" t="str">
        <f>IF(OR(MasterFees[[#This Row],[Fee Basis]]="Add-on",MasterFees[[#This Row],[Fee Basis]]="Time band",MasterFees[[#This Row],[Fee Basis]]="Other"),MasterFees[[#This Row],[Fee Basis]],"Base")</f>
        <v>Base</v>
      </c>
      <c r="AC545" s="141" t="str">
        <f>IF(MasterFees[[#This Row],[Fixed Fee?]]="Yes",MasterFees[[#This Row],[Fee Excl. GST]],"")</f>
        <v/>
      </c>
    </row>
    <row r="546" spans="1:29" x14ac:dyDescent="0.2">
      <c r="A546" s="67" t="s">
        <v>2237</v>
      </c>
      <c r="B546" s="31">
        <f>IF(MasterFees[[#This Row],[RVG Code]]="","",_xlfn.XLOOKUP(MasterFees[[#This Row],[RVG Code]],RVGCodes[Code],RVGCodes[Base Units],"Code not found"))</f>
        <v>4</v>
      </c>
      <c r="C54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4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46" s="125" t="s">
        <v>2589</v>
      </c>
      <c r="F546" s="48" t="s">
        <v>2567</v>
      </c>
      <c r="G546" s="30" t="s">
        <v>106</v>
      </c>
      <c r="H546" s="37" t="s">
        <v>1095</v>
      </c>
      <c r="I546" s="37"/>
      <c r="J546" s="37" t="s">
        <v>1096</v>
      </c>
      <c r="K546" s="32">
        <v>5.8</v>
      </c>
      <c r="L546" s="32">
        <v>13.4</v>
      </c>
      <c r="M546" s="32">
        <v>1.6</v>
      </c>
      <c r="N546" s="32">
        <v>20.8</v>
      </c>
      <c r="O546" s="33">
        <v>1144</v>
      </c>
      <c r="P546" s="38" t="s">
        <v>1014</v>
      </c>
      <c r="Q546" s="34" t="str">
        <f>IF(MasterFees[[#This Row],[GST Basis]]="Excl",MasterFees[[#This Row],[Fee as Printed]],IF(MasterFees[[#This Row],[GST Basis]]="Incl",MasterFees[[#This Row],[Fee as Printed]]/(1+GST_Rate),""))</f>
        <v/>
      </c>
      <c r="R546" s="34" t="str">
        <f>IF(MasterFees[[#This Row],[GST Basis]]="Incl",MasterFees[[#This Row],[Fee as Printed]],IF(MasterFees[[#This Row],[GST Basis]]="Excl",MasterFees[[#This Row],[Fee as Printed]]*(1+GST_Rate),""))</f>
        <v/>
      </c>
      <c r="S546" s="35">
        <f>IF(N(MasterFees[[#This Row],[Total Units]])=0,"",MasterFees[[#This Row],[Fee as Printed]]/MasterFees[[#This Row],[Total Units]])</f>
        <v>55</v>
      </c>
      <c r="T546" s="36"/>
      <c r="U546" s="39" t="s">
        <v>1012</v>
      </c>
      <c r="V546" s="39" t="s">
        <v>1197</v>
      </c>
      <c r="W546" s="30"/>
      <c r="X546" s="73" t="s">
        <v>2980</v>
      </c>
      <c r="Y546" s="127" t="str">
        <f>_xlfn.XLOOKUP(MasterFees[[#This Row],[Provider / Payer]],Contracts[Contract Name],Contracts[Contract ID],"No contract")</f>
        <v>CON-01</v>
      </c>
      <c r="Z546" s="127" t="str">
        <f>_xlfn.XLOOKUP(MasterFees[[#This Row],[Provider / Payer]],Contracts[Contract Name],Contracts[Pricing Basis],"To confirm")</f>
        <v>To confirm</v>
      </c>
      <c r="AA546" s="127" t="str">
        <f>IF(MasterFees[[#This Row],[Pricing Basis]]="Fixed fee schedule","Yes","No")</f>
        <v>No</v>
      </c>
      <c r="AB546" s="127" t="str">
        <f>IF(OR(MasterFees[[#This Row],[Fee Basis]]="Add-on",MasterFees[[#This Row],[Fee Basis]]="Time band",MasterFees[[#This Row],[Fee Basis]]="Other"),MasterFees[[#This Row],[Fee Basis]],"Base")</f>
        <v>Base</v>
      </c>
      <c r="AC546" s="141" t="str">
        <f>IF(MasterFees[[#This Row],[Fixed Fee?]]="Yes",MasterFees[[#This Row],[Fee Excl. GST]],"")</f>
        <v/>
      </c>
    </row>
    <row r="547" spans="1:29" x14ac:dyDescent="0.2">
      <c r="A547" s="67" t="s">
        <v>2237</v>
      </c>
      <c r="B547" s="31">
        <f>IF(MasterFees[[#This Row],[RVG Code]]="","",_xlfn.XLOOKUP(MasterFees[[#This Row],[RVG Code]],RVGCodes[Code],RVGCodes[Base Units],"Code not found"))</f>
        <v>4</v>
      </c>
      <c r="C54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4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47" s="125" t="s">
        <v>2589</v>
      </c>
      <c r="F547" s="48" t="s">
        <v>2569</v>
      </c>
      <c r="G547" s="30" t="s">
        <v>107</v>
      </c>
      <c r="H547" s="37" t="s">
        <v>1095</v>
      </c>
      <c r="I547" s="37"/>
      <c r="J547" s="37" t="s">
        <v>1096</v>
      </c>
      <c r="K547" s="32">
        <v>6</v>
      </c>
      <c r="L547" s="32">
        <v>31</v>
      </c>
      <c r="M547" s="32">
        <v>1</v>
      </c>
      <c r="N547" s="32">
        <v>38</v>
      </c>
      <c r="O547" s="33">
        <v>2090</v>
      </c>
      <c r="P547" s="38" t="s">
        <v>1014</v>
      </c>
      <c r="Q547" s="34" t="str">
        <f>IF(MasterFees[[#This Row],[GST Basis]]="Excl",MasterFees[[#This Row],[Fee as Printed]],IF(MasterFees[[#This Row],[GST Basis]]="Incl",MasterFees[[#This Row],[Fee as Printed]]/(1+GST_Rate),""))</f>
        <v/>
      </c>
      <c r="R547" s="34" t="str">
        <f>IF(MasterFees[[#This Row],[GST Basis]]="Incl",MasterFees[[#This Row],[Fee as Printed]],IF(MasterFees[[#This Row],[GST Basis]]="Excl",MasterFees[[#This Row],[Fee as Printed]]*(1+GST_Rate),""))</f>
        <v/>
      </c>
      <c r="S547" s="35">
        <f>IF(N(MasterFees[[#This Row],[Total Units]])=0,"",MasterFees[[#This Row],[Fee as Printed]]/MasterFees[[#This Row],[Total Units]])</f>
        <v>55</v>
      </c>
      <c r="T547" s="36"/>
      <c r="U547" s="39" t="s">
        <v>1012</v>
      </c>
      <c r="V547" s="39" t="s">
        <v>1198</v>
      </c>
      <c r="W547" s="30"/>
      <c r="X547" s="73" t="s">
        <v>2981</v>
      </c>
      <c r="Y547" s="127" t="str">
        <f>_xlfn.XLOOKUP(MasterFees[[#This Row],[Provider / Payer]],Contracts[Contract Name],Contracts[Contract ID],"No contract")</f>
        <v>CON-01</v>
      </c>
      <c r="Z547" s="127" t="str">
        <f>_xlfn.XLOOKUP(MasterFees[[#This Row],[Provider / Payer]],Contracts[Contract Name],Contracts[Pricing Basis],"To confirm")</f>
        <v>To confirm</v>
      </c>
      <c r="AA547" s="127" t="str">
        <f>IF(MasterFees[[#This Row],[Pricing Basis]]="Fixed fee schedule","Yes","No")</f>
        <v>No</v>
      </c>
      <c r="AB547" s="127" t="str">
        <f>IF(OR(MasterFees[[#This Row],[Fee Basis]]="Add-on",MasterFees[[#This Row],[Fee Basis]]="Time band",MasterFees[[#This Row],[Fee Basis]]="Other"),MasterFees[[#This Row],[Fee Basis]],"Base")</f>
        <v>Base</v>
      </c>
      <c r="AC547" s="141" t="str">
        <f>IF(MasterFees[[#This Row],[Fixed Fee?]]="Yes",MasterFees[[#This Row],[Fee Excl. GST]],"")</f>
        <v/>
      </c>
    </row>
    <row r="548" spans="1:29" x14ac:dyDescent="0.2">
      <c r="A548" s="67" t="s">
        <v>2237</v>
      </c>
      <c r="B548" s="31">
        <f>IF(MasterFees[[#This Row],[RVG Code]]="","",_xlfn.XLOOKUP(MasterFees[[#This Row],[RVG Code]],RVGCodes[Code],RVGCodes[Base Units],"Code not found"))</f>
        <v>4</v>
      </c>
      <c r="C54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4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48" s="125" t="s">
        <v>2589</v>
      </c>
      <c r="F548" s="48" t="s">
        <v>2569</v>
      </c>
      <c r="G548" s="30" t="s">
        <v>139</v>
      </c>
      <c r="H548" s="37" t="s">
        <v>1095</v>
      </c>
      <c r="I548" s="37"/>
      <c r="J548" s="37" t="s">
        <v>1096</v>
      </c>
      <c r="K548" s="32">
        <v>2.2000000000000002</v>
      </c>
      <c r="L548" s="32">
        <v>2.6</v>
      </c>
      <c r="M548" s="32">
        <v>0.1</v>
      </c>
      <c r="N548" s="32">
        <v>4.9000000000000004</v>
      </c>
      <c r="O548" s="33">
        <v>269.5</v>
      </c>
      <c r="P548" s="38" t="s">
        <v>1014</v>
      </c>
      <c r="Q548" s="34" t="str">
        <f>IF(MasterFees[[#This Row],[GST Basis]]="Excl",MasterFees[[#This Row],[Fee as Printed]],IF(MasterFees[[#This Row],[GST Basis]]="Incl",MasterFees[[#This Row],[Fee as Printed]]/(1+GST_Rate),""))</f>
        <v/>
      </c>
      <c r="R548" s="34" t="str">
        <f>IF(MasterFees[[#This Row],[GST Basis]]="Incl",MasterFees[[#This Row],[Fee as Printed]],IF(MasterFees[[#This Row],[GST Basis]]="Excl",MasterFees[[#This Row],[Fee as Printed]]*(1+GST_Rate),""))</f>
        <v/>
      </c>
      <c r="S548" s="35">
        <f>IF(N(MasterFees[[#This Row],[Total Units]])=0,"",MasterFees[[#This Row],[Fee as Printed]]/MasterFees[[#This Row],[Total Units]])</f>
        <v>54.999999999999993</v>
      </c>
      <c r="T548" s="36"/>
      <c r="U548" s="39" t="s">
        <v>1012</v>
      </c>
      <c r="V548" s="39" t="s">
        <v>1231</v>
      </c>
      <c r="W548" s="30"/>
      <c r="X548" s="73" t="s">
        <v>3014</v>
      </c>
      <c r="Y548" s="127" t="str">
        <f>_xlfn.XLOOKUP(MasterFees[[#This Row],[Provider / Payer]],Contracts[Contract Name],Contracts[Contract ID],"No contract")</f>
        <v>CON-01</v>
      </c>
      <c r="Z548" s="127" t="str">
        <f>_xlfn.XLOOKUP(MasterFees[[#This Row],[Provider / Payer]],Contracts[Contract Name],Contracts[Pricing Basis],"To confirm")</f>
        <v>To confirm</v>
      </c>
      <c r="AA548" s="127" t="str">
        <f>IF(MasterFees[[#This Row],[Pricing Basis]]="Fixed fee schedule","Yes","No")</f>
        <v>No</v>
      </c>
      <c r="AB548" s="127" t="str">
        <f>IF(OR(MasterFees[[#This Row],[Fee Basis]]="Add-on",MasterFees[[#This Row],[Fee Basis]]="Time band",MasterFees[[#This Row],[Fee Basis]]="Other"),MasterFees[[#This Row],[Fee Basis]],"Base")</f>
        <v>Base</v>
      </c>
      <c r="AC548" s="141" t="str">
        <f>IF(MasterFees[[#This Row],[Fixed Fee?]]="Yes",MasterFees[[#This Row],[Fee Excl. GST]],"")</f>
        <v/>
      </c>
    </row>
    <row r="549" spans="1:29" x14ac:dyDescent="0.2">
      <c r="A549" s="67" t="s">
        <v>2237</v>
      </c>
      <c r="B549" s="31">
        <f>IF(MasterFees[[#This Row],[RVG Code]]="","",_xlfn.XLOOKUP(MasterFees[[#This Row],[RVG Code]],RVGCodes[Code],RVGCodes[Base Units],"Code not found"))</f>
        <v>4</v>
      </c>
      <c r="C54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4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49" s="125" t="s">
        <v>2589</v>
      </c>
      <c r="F549" s="48" t="s">
        <v>2569</v>
      </c>
      <c r="G549" s="30" t="s">
        <v>139</v>
      </c>
      <c r="H549" s="37" t="s">
        <v>1095</v>
      </c>
      <c r="I549" s="37"/>
      <c r="J549" s="37" t="s">
        <v>1096</v>
      </c>
      <c r="K549" s="32">
        <v>2.2000000000000002</v>
      </c>
      <c r="L549" s="32">
        <v>2.6</v>
      </c>
      <c r="M549" s="32">
        <v>0.1</v>
      </c>
      <c r="N549" s="32">
        <v>4.9000000000000004</v>
      </c>
      <c r="O549" s="33">
        <v>269.5</v>
      </c>
      <c r="P549" s="38" t="s">
        <v>1014</v>
      </c>
      <c r="Q549" s="34" t="str">
        <f>IF(MasterFees[[#This Row],[GST Basis]]="Excl",MasterFees[[#This Row],[Fee as Printed]],IF(MasterFees[[#This Row],[GST Basis]]="Incl",MasterFees[[#This Row],[Fee as Printed]]/(1+GST_Rate),""))</f>
        <v/>
      </c>
      <c r="R549" s="34" t="str">
        <f>IF(MasterFees[[#This Row],[GST Basis]]="Incl",MasterFees[[#This Row],[Fee as Printed]],IF(MasterFees[[#This Row],[GST Basis]]="Excl",MasterFees[[#This Row],[Fee as Printed]]*(1+GST_Rate),""))</f>
        <v/>
      </c>
      <c r="S549" s="35">
        <f>IF(N(MasterFees[[#This Row],[Total Units]])=0,"",MasterFees[[#This Row],[Fee as Printed]]/MasterFees[[#This Row],[Total Units]])</f>
        <v>54.999999999999993</v>
      </c>
      <c r="T549" s="36"/>
      <c r="U549" s="39" t="s">
        <v>1012</v>
      </c>
      <c r="V549" s="39" t="s">
        <v>1232</v>
      </c>
      <c r="W549" s="30"/>
      <c r="X549" s="73" t="s">
        <v>3015</v>
      </c>
      <c r="Y549" s="127" t="str">
        <f>_xlfn.XLOOKUP(MasterFees[[#This Row],[Provider / Payer]],Contracts[Contract Name],Contracts[Contract ID],"No contract")</f>
        <v>CON-01</v>
      </c>
      <c r="Z549" s="127" t="str">
        <f>_xlfn.XLOOKUP(MasterFees[[#This Row],[Provider / Payer]],Contracts[Contract Name],Contracts[Pricing Basis],"To confirm")</f>
        <v>To confirm</v>
      </c>
      <c r="AA549" s="127" t="str">
        <f>IF(MasterFees[[#This Row],[Pricing Basis]]="Fixed fee schedule","Yes","No")</f>
        <v>No</v>
      </c>
      <c r="AB549" s="127" t="str">
        <f>IF(OR(MasterFees[[#This Row],[Fee Basis]]="Add-on",MasterFees[[#This Row],[Fee Basis]]="Time band",MasterFees[[#This Row],[Fee Basis]]="Other"),MasterFees[[#This Row],[Fee Basis]],"Base")</f>
        <v>Base</v>
      </c>
      <c r="AC549" s="141" t="str">
        <f>IF(MasterFees[[#This Row],[Fixed Fee?]]="Yes",MasterFees[[#This Row],[Fee Excl. GST]],"")</f>
        <v/>
      </c>
    </row>
    <row r="550" spans="1:29" x14ac:dyDescent="0.2">
      <c r="A550" s="67" t="s">
        <v>2237</v>
      </c>
      <c r="B550" s="31">
        <f>IF(MasterFees[[#This Row],[RVG Code]]="","",_xlfn.XLOOKUP(MasterFees[[#This Row],[RVG Code]],RVGCodes[Code],RVGCodes[Base Units],"Code not found"))</f>
        <v>4</v>
      </c>
      <c r="C55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5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50" s="125" t="s">
        <v>2589</v>
      </c>
      <c r="F550" s="48" t="s">
        <v>2569</v>
      </c>
      <c r="G550" s="30" t="s">
        <v>4055</v>
      </c>
      <c r="H550" s="37" t="s">
        <v>4069</v>
      </c>
      <c r="I550" s="37"/>
      <c r="J550" s="37" t="s">
        <v>1024</v>
      </c>
      <c r="K550" s="32"/>
      <c r="L550" s="32"/>
      <c r="M550" s="32"/>
      <c r="N550" s="32"/>
      <c r="O550" s="33">
        <v>1495</v>
      </c>
      <c r="P550" s="38" t="s">
        <v>4043</v>
      </c>
      <c r="Q550" s="34">
        <f>IF(MasterFees[[#This Row],[GST Basis]]="Excl",MasterFees[[#This Row],[Fee as Printed]],IF(MasterFees[[#This Row],[GST Basis]]="Incl",MasterFees[[#This Row],[Fee as Printed]]/(1+GST_Rate),""))</f>
        <v>1300</v>
      </c>
      <c r="R550" s="34">
        <f>IF(MasterFees[[#This Row],[GST Basis]]="Incl",MasterFees[[#This Row],[Fee as Printed]],IF(MasterFees[[#This Row],[GST Basis]]="Excl",MasterFees[[#This Row],[Fee as Printed]]*(1+GST_Rate),""))</f>
        <v>1495</v>
      </c>
      <c r="S550" s="35" t="str">
        <f>IF(N(MasterFees[[#This Row],[Total Units]])=0,"",MasterFees[[#This Row],[Fee as Printed]]/MasterFees[[#This Row],[Total Units]])</f>
        <v/>
      </c>
      <c r="T550" s="36">
        <v>46174</v>
      </c>
      <c r="U550" s="39" t="s">
        <v>4025</v>
      </c>
      <c r="V550" s="39" t="s">
        <v>4070</v>
      </c>
      <c r="W550" s="30" t="s">
        <v>4077</v>
      </c>
      <c r="X550" s="77" t="s">
        <v>4087</v>
      </c>
      <c r="Y550" s="127" t="str">
        <f>_xlfn.XLOOKUP(MasterFees[[#This Row],[Provider / Payer]],Contracts[Contract Name],Contracts[Contract ID],"No contract")</f>
        <v>CON-08</v>
      </c>
      <c r="Z550" s="127" t="str">
        <f>_xlfn.XLOOKUP(MasterFees[[#This Row],[Provider / Payer]],Contracts[Contract Name],Contracts[Pricing Basis],"To confirm")</f>
        <v>Fixed fee schedule</v>
      </c>
      <c r="AA550" s="127" t="str">
        <f>IF(MasterFees[[#This Row],[Pricing Basis]]="Fixed fee schedule","Yes","No")</f>
        <v>Yes</v>
      </c>
      <c r="AB550" s="127" t="str">
        <f>IF(OR(MasterFees[[#This Row],[Fee Basis]]="Add-on",MasterFees[[#This Row],[Fee Basis]]="Time band",MasterFees[[#This Row],[Fee Basis]]="Other"),MasterFees[[#This Row],[Fee Basis]],"Base")</f>
        <v>Base</v>
      </c>
      <c r="AC550" s="141">
        <f>IF(MasterFees[[#This Row],[Fixed Fee?]]="Yes",MasterFees[[#This Row],[Fee Excl. GST]],"")</f>
        <v>1300</v>
      </c>
    </row>
    <row r="551" spans="1:29" x14ac:dyDescent="0.2">
      <c r="A551" s="67" t="s">
        <v>2237</v>
      </c>
      <c r="B551" s="31">
        <f>IF(MasterFees[[#This Row],[RVG Code]]="","",_xlfn.XLOOKUP(MasterFees[[#This Row],[RVG Code]],RVGCodes[Code],RVGCodes[Base Units],"Code not found"))</f>
        <v>4</v>
      </c>
      <c r="C55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5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51" s="125" t="s">
        <v>2589</v>
      </c>
      <c r="F551" s="48" t="s">
        <v>2569</v>
      </c>
      <c r="G551" s="30" t="s">
        <v>140</v>
      </c>
      <c r="H551" s="37" t="s">
        <v>1095</v>
      </c>
      <c r="I551" s="37"/>
      <c r="J551" s="37" t="s">
        <v>1096</v>
      </c>
      <c r="K551" s="32">
        <v>6</v>
      </c>
      <c r="L551" s="32">
        <v>8</v>
      </c>
      <c r="M551" s="32">
        <v>2</v>
      </c>
      <c r="N551" s="32">
        <v>16</v>
      </c>
      <c r="O551" s="33">
        <v>880</v>
      </c>
      <c r="P551" s="38" t="s">
        <v>1014</v>
      </c>
      <c r="Q551" s="34" t="str">
        <f>IF(MasterFees[[#This Row],[GST Basis]]="Excl",MasterFees[[#This Row],[Fee as Printed]],IF(MasterFees[[#This Row],[GST Basis]]="Incl",MasterFees[[#This Row],[Fee as Printed]]/(1+GST_Rate),""))</f>
        <v/>
      </c>
      <c r="R551" s="34" t="str">
        <f>IF(MasterFees[[#This Row],[GST Basis]]="Incl",MasterFees[[#This Row],[Fee as Printed]],IF(MasterFees[[#This Row],[GST Basis]]="Excl",MasterFees[[#This Row],[Fee as Printed]]*(1+GST_Rate),""))</f>
        <v/>
      </c>
      <c r="S551" s="35">
        <f>IF(N(MasterFees[[#This Row],[Total Units]])=0,"",MasterFees[[#This Row],[Fee as Printed]]/MasterFees[[#This Row],[Total Units]])</f>
        <v>55</v>
      </c>
      <c r="T551" s="36"/>
      <c r="U551" s="39" t="s">
        <v>1012</v>
      </c>
      <c r="V551" s="39" t="s">
        <v>1233</v>
      </c>
      <c r="W551" s="30"/>
      <c r="X551" s="73" t="s">
        <v>3016</v>
      </c>
      <c r="Y551" s="127" t="str">
        <f>_xlfn.XLOOKUP(MasterFees[[#This Row],[Provider / Payer]],Contracts[Contract Name],Contracts[Contract ID],"No contract")</f>
        <v>CON-01</v>
      </c>
      <c r="Z551" s="127" t="str">
        <f>_xlfn.XLOOKUP(MasterFees[[#This Row],[Provider / Payer]],Contracts[Contract Name],Contracts[Pricing Basis],"To confirm")</f>
        <v>To confirm</v>
      </c>
      <c r="AA551" s="127" t="str">
        <f>IF(MasterFees[[#This Row],[Pricing Basis]]="Fixed fee schedule","Yes","No")</f>
        <v>No</v>
      </c>
      <c r="AB551" s="127" t="str">
        <f>IF(OR(MasterFees[[#This Row],[Fee Basis]]="Add-on",MasterFees[[#This Row],[Fee Basis]]="Time band",MasterFees[[#This Row],[Fee Basis]]="Other"),MasterFees[[#This Row],[Fee Basis]],"Base")</f>
        <v>Base</v>
      </c>
      <c r="AC551" s="141" t="str">
        <f>IF(MasterFees[[#This Row],[Fixed Fee?]]="Yes",MasterFees[[#This Row],[Fee Excl. GST]],"")</f>
        <v/>
      </c>
    </row>
    <row r="552" spans="1:29" x14ac:dyDescent="0.2">
      <c r="A552" s="67" t="s">
        <v>2237</v>
      </c>
      <c r="B552" s="31">
        <f>IF(MasterFees[[#This Row],[RVG Code]]="","",_xlfn.XLOOKUP(MasterFees[[#This Row],[RVG Code]],RVGCodes[Code],RVGCodes[Base Units],"Code not found"))</f>
        <v>4</v>
      </c>
      <c r="C55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5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52" s="125" t="s">
        <v>2589</v>
      </c>
      <c r="F552" s="48" t="s">
        <v>2569</v>
      </c>
      <c r="G552" s="30" t="s">
        <v>141</v>
      </c>
      <c r="H552" s="37" t="s">
        <v>1095</v>
      </c>
      <c r="I552" s="37"/>
      <c r="J552" s="37" t="s">
        <v>1096</v>
      </c>
      <c r="K552" s="32">
        <v>7</v>
      </c>
      <c r="L552" s="32">
        <v>14</v>
      </c>
      <c r="M552" s="32">
        <v>2</v>
      </c>
      <c r="N552" s="32">
        <v>23</v>
      </c>
      <c r="O552" s="33">
        <v>1265</v>
      </c>
      <c r="P552" s="38" t="s">
        <v>1014</v>
      </c>
      <c r="Q552" s="34" t="str">
        <f>IF(MasterFees[[#This Row],[GST Basis]]="Excl",MasterFees[[#This Row],[Fee as Printed]],IF(MasterFees[[#This Row],[GST Basis]]="Incl",MasterFees[[#This Row],[Fee as Printed]]/(1+GST_Rate),""))</f>
        <v/>
      </c>
      <c r="R552" s="34" t="str">
        <f>IF(MasterFees[[#This Row],[GST Basis]]="Incl",MasterFees[[#This Row],[Fee as Printed]],IF(MasterFees[[#This Row],[GST Basis]]="Excl",MasterFees[[#This Row],[Fee as Printed]]*(1+GST_Rate),""))</f>
        <v/>
      </c>
      <c r="S552" s="35">
        <f>IF(N(MasterFees[[#This Row],[Total Units]])=0,"",MasterFees[[#This Row],[Fee as Printed]]/MasterFees[[#This Row],[Total Units]])</f>
        <v>55</v>
      </c>
      <c r="T552" s="36"/>
      <c r="U552" s="39" t="s">
        <v>1012</v>
      </c>
      <c r="V552" s="39" t="s">
        <v>1234</v>
      </c>
      <c r="W552" s="30"/>
      <c r="X552" s="73" t="s">
        <v>3017</v>
      </c>
      <c r="Y552" s="127" t="str">
        <f>_xlfn.XLOOKUP(MasterFees[[#This Row],[Provider / Payer]],Contracts[Contract Name],Contracts[Contract ID],"No contract")</f>
        <v>CON-01</v>
      </c>
      <c r="Z552" s="127" t="str">
        <f>_xlfn.XLOOKUP(MasterFees[[#This Row],[Provider / Payer]],Contracts[Contract Name],Contracts[Pricing Basis],"To confirm")</f>
        <v>To confirm</v>
      </c>
      <c r="AA552" s="127" t="str">
        <f>IF(MasterFees[[#This Row],[Pricing Basis]]="Fixed fee schedule","Yes","No")</f>
        <v>No</v>
      </c>
      <c r="AB552" s="127" t="str">
        <f>IF(OR(MasterFees[[#This Row],[Fee Basis]]="Add-on",MasterFees[[#This Row],[Fee Basis]]="Time band",MasterFees[[#This Row],[Fee Basis]]="Other"),MasterFees[[#This Row],[Fee Basis]],"Base")</f>
        <v>Base</v>
      </c>
      <c r="AC552" s="141" t="str">
        <f>IF(MasterFees[[#This Row],[Fixed Fee?]]="Yes",MasterFees[[#This Row],[Fee Excl. GST]],"")</f>
        <v/>
      </c>
    </row>
    <row r="553" spans="1:29" x14ac:dyDescent="0.2">
      <c r="A553" s="67" t="s">
        <v>2237</v>
      </c>
      <c r="B553" s="31">
        <f>IF(MasterFees[[#This Row],[RVG Code]]="","",_xlfn.XLOOKUP(MasterFees[[#This Row],[RVG Code]],RVGCodes[Code],RVGCodes[Base Units],"Code not found"))</f>
        <v>4</v>
      </c>
      <c r="C55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5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53" s="125" t="s">
        <v>2589</v>
      </c>
      <c r="F553" s="48" t="s">
        <v>2567</v>
      </c>
      <c r="G553" s="30" t="s">
        <v>4056</v>
      </c>
      <c r="H553" s="37" t="s">
        <v>4069</v>
      </c>
      <c r="I553" s="37"/>
      <c r="J553" s="37" t="s">
        <v>1024</v>
      </c>
      <c r="K553" s="32"/>
      <c r="L553" s="32"/>
      <c r="M553" s="32"/>
      <c r="N553" s="32"/>
      <c r="O553" s="33">
        <v>1725</v>
      </c>
      <c r="P553" s="38" t="s">
        <v>4043</v>
      </c>
      <c r="Q553" s="34">
        <f>IF(MasterFees[[#This Row],[GST Basis]]="Excl",MasterFees[[#This Row],[Fee as Printed]],IF(MasterFees[[#This Row],[GST Basis]]="Incl",MasterFees[[#This Row],[Fee as Printed]]/(1+GST_Rate),""))</f>
        <v>1500.0000000000002</v>
      </c>
      <c r="R553" s="34">
        <f>IF(MasterFees[[#This Row],[GST Basis]]="Incl",MasterFees[[#This Row],[Fee as Printed]],IF(MasterFees[[#This Row],[GST Basis]]="Excl",MasterFees[[#This Row],[Fee as Printed]]*(1+GST_Rate),""))</f>
        <v>1725</v>
      </c>
      <c r="S553" s="35" t="str">
        <f>IF(N(MasterFees[[#This Row],[Total Units]])=0,"",MasterFees[[#This Row],[Fee as Printed]]/MasterFees[[#This Row],[Total Units]])</f>
        <v/>
      </c>
      <c r="T553" s="36">
        <v>46174</v>
      </c>
      <c r="U553" s="39" t="s">
        <v>4025</v>
      </c>
      <c r="V553" s="39" t="s">
        <v>4070</v>
      </c>
      <c r="W553" s="30" t="s">
        <v>4079</v>
      </c>
      <c r="X553" s="77" t="s">
        <v>4088</v>
      </c>
      <c r="Y553" s="127" t="str">
        <f>_xlfn.XLOOKUP(MasterFees[[#This Row],[Provider / Payer]],Contracts[Contract Name],Contracts[Contract ID],"No contract")</f>
        <v>CON-08</v>
      </c>
      <c r="Z553" s="127" t="str">
        <f>_xlfn.XLOOKUP(MasterFees[[#This Row],[Provider / Payer]],Contracts[Contract Name],Contracts[Pricing Basis],"To confirm")</f>
        <v>Fixed fee schedule</v>
      </c>
      <c r="AA553" s="127" t="str">
        <f>IF(MasterFees[[#This Row],[Pricing Basis]]="Fixed fee schedule","Yes","No")</f>
        <v>Yes</v>
      </c>
      <c r="AB553" s="127" t="str">
        <f>IF(OR(MasterFees[[#This Row],[Fee Basis]]="Add-on",MasterFees[[#This Row],[Fee Basis]]="Time band",MasterFees[[#This Row],[Fee Basis]]="Other"),MasterFees[[#This Row],[Fee Basis]],"Base")</f>
        <v>Base</v>
      </c>
      <c r="AC553" s="141">
        <f>IF(MasterFees[[#This Row],[Fixed Fee?]]="Yes",MasterFees[[#This Row],[Fee Excl. GST]],"")</f>
        <v>1500.0000000000002</v>
      </c>
    </row>
    <row r="554" spans="1:29" x14ac:dyDescent="0.2">
      <c r="A554" s="67" t="s">
        <v>2237</v>
      </c>
      <c r="B554" s="31">
        <f>IF(MasterFees[[#This Row],[RVG Code]]="","",_xlfn.XLOOKUP(MasterFees[[#This Row],[RVG Code]],RVGCodes[Code],RVGCodes[Base Units],"Code not found"))</f>
        <v>4</v>
      </c>
      <c r="C55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5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54" s="125" t="s">
        <v>2589</v>
      </c>
      <c r="F554" s="48" t="s">
        <v>2569</v>
      </c>
      <c r="G554" s="30" t="s">
        <v>142</v>
      </c>
      <c r="H554" s="37" t="s">
        <v>1095</v>
      </c>
      <c r="I554" s="37"/>
      <c r="J554" s="37" t="s">
        <v>1096</v>
      </c>
      <c r="K554" s="32">
        <v>5.6</v>
      </c>
      <c r="L554" s="32">
        <v>12.4</v>
      </c>
      <c r="M554" s="32">
        <v>0.9</v>
      </c>
      <c r="N554" s="32">
        <v>18.899999999999999</v>
      </c>
      <c r="O554" s="33">
        <v>1038.4000000000001</v>
      </c>
      <c r="P554" s="38" t="s">
        <v>1014</v>
      </c>
      <c r="Q554" s="34" t="str">
        <f>IF(MasterFees[[#This Row],[GST Basis]]="Excl",MasterFees[[#This Row],[Fee as Printed]],IF(MasterFees[[#This Row],[GST Basis]]="Incl",MasterFees[[#This Row],[Fee as Printed]]/(1+GST_Rate),""))</f>
        <v/>
      </c>
      <c r="R554" s="34" t="str">
        <f>IF(MasterFees[[#This Row],[GST Basis]]="Incl",MasterFees[[#This Row],[Fee as Printed]],IF(MasterFees[[#This Row],[GST Basis]]="Excl",MasterFees[[#This Row],[Fee as Printed]]*(1+GST_Rate),""))</f>
        <v/>
      </c>
      <c r="S554" s="35">
        <f>IF(N(MasterFees[[#This Row],[Total Units]])=0,"",MasterFees[[#This Row],[Fee as Printed]]/MasterFees[[#This Row],[Total Units]])</f>
        <v>54.94179894179895</v>
      </c>
      <c r="T554" s="36"/>
      <c r="U554" s="39" t="s">
        <v>1012</v>
      </c>
      <c r="V554" s="39" t="s">
        <v>1235</v>
      </c>
      <c r="W554" s="30"/>
      <c r="X554" s="73" t="s">
        <v>3018</v>
      </c>
      <c r="Y554" s="127" t="str">
        <f>_xlfn.XLOOKUP(MasterFees[[#This Row],[Provider / Payer]],Contracts[Contract Name],Contracts[Contract ID],"No contract")</f>
        <v>CON-01</v>
      </c>
      <c r="Z554" s="127" t="str">
        <f>_xlfn.XLOOKUP(MasterFees[[#This Row],[Provider / Payer]],Contracts[Contract Name],Contracts[Pricing Basis],"To confirm")</f>
        <v>To confirm</v>
      </c>
      <c r="AA554" s="127" t="str">
        <f>IF(MasterFees[[#This Row],[Pricing Basis]]="Fixed fee schedule","Yes","No")</f>
        <v>No</v>
      </c>
      <c r="AB554" s="127" t="str">
        <f>IF(OR(MasterFees[[#This Row],[Fee Basis]]="Add-on",MasterFees[[#This Row],[Fee Basis]]="Time band",MasterFees[[#This Row],[Fee Basis]]="Other"),MasterFees[[#This Row],[Fee Basis]],"Base")</f>
        <v>Base</v>
      </c>
      <c r="AC554" s="141" t="str">
        <f>IF(MasterFees[[#This Row],[Fixed Fee?]]="Yes",MasterFees[[#This Row],[Fee Excl. GST]],"")</f>
        <v/>
      </c>
    </row>
    <row r="555" spans="1:29" x14ac:dyDescent="0.2">
      <c r="A555" s="67" t="s">
        <v>2237</v>
      </c>
      <c r="B555" s="31">
        <f>IF(MasterFees[[#This Row],[RVG Code]]="","",_xlfn.XLOOKUP(MasterFees[[#This Row],[RVG Code]],RVGCodes[Code],RVGCodes[Base Units],"Code not found"))</f>
        <v>4</v>
      </c>
      <c r="C55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5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55" s="125" t="s">
        <v>2589</v>
      </c>
      <c r="F555" s="48" t="s">
        <v>2569</v>
      </c>
      <c r="G555" s="30" t="s">
        <v>143</v>
      </c>
      <c r="H555" s="37" t="s">
        <v>1095</v>
      </c>
      <c r="I555" s="37"/>
      <c r="J555" s="37" t="s">
        <v>1096</v>
      </c>
      <c r="K555" s="32">
        <v>0</v>
      </c>
      <c r="L555" s="32">
        <v>0</v>
      </c>
      <c r="M555" s="32">
        <v>0</v>
      </c>
      <c r="N555" s="32">
        <v>0</v>
      </c>
      <c r="O555" s="33">
        <v>0</v>
      </c>
      <c r="P555" s="38" t="s">
        <v>1014</v>
      </c>
      <c r="Q555" s="34" t="str">
        <f>IF(MasterFees[[#This Row],[GST Basis]]="Excl",MasterFees[[#This Row],[Fee as Printed]],IF(MasterFees[[#This Row],[GST Basis]]="Incl",MasterFees[[#This Row],[Fee as Printed]]/(1+GST_Rate),""))</f>
        <v/>
      </c>
      <c r="R555" s="34" t="str">
        <f>IF(MasterFees[[#This Row],[GST Basis]]="Incl",MasterFees[[#This Row],[Fee as Printed]],IF(MasterFees[[#This Row],[GST Basis]]="Excl",MasterFees[[#This Row],[Fee as Printed]]*(1+GST_Rate),""))</f>
        <v/>
      </c>
      <c r="S555" s="35" t="str">
        <f>IF(N(MasterFees[[#This Row],[Total Units]])=0,"",MasterFees[[#This Row],[Fee as Printed]]/MasterFees[[#This Row],[Total Units]])</f>
        <v/>
      </c>
      <c r="T555" s="36"/>
      <c r="U555" s="39" t="s">
        <v>1012</v>
      </c>
      <c r="V555" s="39" t="s">
        <v>1236</v>
      </c>
      <c r="W555" s="30"/>
      <c r="X555" s="73" t="s">
        <v>3019</v>
      </c>
      <c r="Y555" s="127" t="str">
        <f>_xlfn.XLOOKUP(MasterFees[[#This Row],[Provider / Payer]],Contracts[Contract Name],Contracts[Contract ID],"No contract")</f>
        <v>CON-01</v>
      </c>
      <c r="Z555" s="127" t="str">
        <f>_xlfn.XLOOKUP(MasterFees[[#This Row],[Provider / Payer]],Contracts[Contract Name],Contracts[Pricing Basis],"To confirm")</f>
        <v>To confirm</v>
      </c>
      <c r="AA555" s="127" t="str">
        <f>IF(MasterFees[[#This Row],[Pricing Basis]]="Fixed fee schedule","Yes","No")</f>
        <v>No</v>
      </c>
      <c r="AB555" s="127" t="str">
        <f>IF(OR(MasterFees[[#This Row],[Fee Basis]]="Add-on",MasterFees[[#This Row],[Fee Basis]]="Time band",MasterFees[[#This Row],[Fee Basis]]="Other"),MasterFees[[#This Row],[Fee Basis]],"Base")</f>
        <v>Base</v>
      </c>
      <c r="AC555" s="141" t="str">
        <f>IF(MasterFees[[#This Row],[Fixed Fee?]]="Yes",MasterFees[[#This Row],[Fee Excl. GST]],"")</f>
        <v/>
      </c>
    </row>
    <row r="556" spans="1:29" x14ac:dyDescent="0.2">
      <c r="A556" s="67" t="s">
        <v>2237</v>
      </c>
      <c r="B556" s="31">
        <f>IF(MasterFees[[#This Row],[RVG Code]]="","",_xlfn.XLOOKUP(MasterFees[[#This Row],[RVG Code]],RVGCodes[Code],RVGCodes[Base Units],"Code not found"))</f>
        <v>4</v>
      </c>
      <c r="C55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5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56" s="125" t="s">
        <v>2589</v>
      </c>
      <c r="F556" s="48" t="s">
        <v>2569</v>
      </c>
      <c r="G556" s="30" t="s">
        <v>4047</v>
      </c>
      <c r="H556" s="37" t="s">
        <v>4069</v>
      </c>
      <c r="I556" s="37"/>
      <c r="J556" s="37" t="s">
        <v>1024</v>
      </c>
      <c r="K556" s="32"/>
      <c r="L556" s="32"/>
      <c r="M556" s="32"/>
      <c r="N556" s="32"/>
      <c r="O556" s="33">
        <v>3105</v>
      </c>
      <c r="P556" s="38" t="s">
        <v>4043</v>
      </c>
      <c r="Q556" s="34">
        <f>IF(MasterFees[[#This Row],[GST Basis]]="Excl",MasterFees[[#This Row],[Fee as Printed]],IF(MasterFees[[#This Row],[GST Basis]]="Incl",MasterFees[[#This Row],[Fee as Printed]]/(1+GST_Rate),""))</f>
        <v>2700</v>
      </c>
      <c r="R556" s="34">
        <f>IF(MasterFees[[#This Row],[GST Basis]]="Incl",MasterFees[[#This Row],[Fee as Printed]],IF(MasterFees[[#This Row],[GST Basis]]="Excl",MasterFees[[#This Row],[Fee as Printed]]*(1+GST_Rate),""))</f>
        <v>3105</v>
      </c>
      <c r="S556" s="35" t="str">
        <f>IF(N(MasterFees[[#This Row],[Total Units]])=0,"",MasterFees[[#This Row],[Fee as Printed]]/MasterFees[[#This Row],[Total Units]])</f>
        <v/>
      </c>
      <c r="T556" s="36">
        <v>46174</v>
      </c>
      <c r="U556" s="39" t="s">
        <v>4025</v>
      </c>
      <c r="V556" s="39" t="s">
        <v>4070</v>
      </c>
      <c r="W556" s="30" t="s">
        <v>4078</v>
      </c>
      <c r="X556" s="77" t="s">
        <v>4090</v>
      </c>
      <c r="Y556" s="127" t="str">
        <f>_xlfn.XLOOKUP(MasterFees[[#This Row],[Provider / Payer]],Contracts[Contract Name],Contracts[Contract ID],"No contract")</f>
        <v>CON-08</v>
      </c>
      <c r="Z556" s="127" t="str">
        <f>_xlfn.XLOOKUP(MasterFees[[#This Row],[Provider / Payer]],Contracts[Contract Name],Contracts[Pricing Basis],"To confirm")</f>
        <v>Fixed fee schedule</v>
      </c>
      <c r="AA556" s="127" t="str">
        <f>IF(MasterFees[[#This Row],[Pricing Basis]]="Fixed fee schedule","Yes","No")</f>
        <v>Yes</v>
      </c>
      <c r="AB556" s="127" t="str">
        <f>IF(OR(MasterFees[[#This Row],[Fee Basis]]="Add-on",MasterFees[[#This Row],[Fee Basis]]="Time band",MasterFees[[#This Row],[Fee Basis]]="Other"),MasterFees[[#This Row],[Fee Basis]],"Base")</f>
        <v>Base</v>
      </c>
      <c r="AC556" s="141">
        <f>IF(MasterFees[[#This Row],[Fixed Fee?]]="Yes",MasterFees[[#This Row],[Fee Excl. GST]],"")</f>
        <v>2700</v>
      </c>
    </row>
    <row r="557" spans="1:29" x14ac:dyDescent="0.2">
      <c r="A557" s="67" t="s">
        <v>2237</v>
      </c>
      <c r="B557" s="31">
        <f>IF(MasterFees[[#This Row],[RVG Code]]="","",_xlfn.XLOOKUP(MasterFees[[#This Row],[RVG Code]],RVGCodes[Code],RVGCodes[Base Units],"Code not found"))</f>
        <v>4</v>
      </c>
      <c r="C55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5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57" s="125" t="s">
        <v>2589</v>
      </c>
      <c r="F557" s="48" t="s">
        <v>2569</v>
      </c>
      <c r="G557" s="30" t="s">
        <v>4046</v>
      </c>
      <c r="H557" s="37" t="s">
        <v>4069</v>
      </c>
      <c r="I557" s="37"/>
      <c r="J557" s="37" t="s">
        <v>1024</v>
      </c>
      <c r="K557" s="32"/>
      <c r="L557" s="32"/>
      <c r="M557" s="32"/>
      <c r="N557" s="32"/>
      <c r="O557" s="33">
        <v>2370</v>
      </c>
      <c r="P557" s="38" t="s">
        <v>4043</v>
      </c>
      <c r="Q557" s="34">
        <f>IF(MasterFees[[#This Row],[GST Basis]]="Excl",MasterFees[[#This Row],[Fee as Printed]],IF(MasterFees[[#This Row],[GST Basis]]="Incl",MasterFees[[#This Row],[Fee as Printed]]/(1+GST_Rate),""))</f>
        <v>2060.8695652173915</v>
      </c>
      <c r="R557" s="34">
        <f>IF(MasterFees[[#This Row],[GST Basis]]="Incl",MasterFees[[#This Row],[Fee as Printed]],IF(MasterFees[[#This Row],[GST Basis]]="Excl",MasterFees[[#This Row],[Fee as Printed]]*(1+GST_Rate),""))</f>
        <v>2370</v>
      </c>
      <c r="S557" s="35" t="str">
        <f>IF(N(MasterFees[[#This Row],[Total Units]])=0,"",MasterFees[[#This Row],[Fee as Printed]]/MasterFees[[#This Row],[Total Units]])</f>
        <v/>
      </c>
      <c r="T557" s="36">
        <v>46174</v>
      </c>
      <c r="U557" s="39" t="s">
        <v>4025</v>
      </c>
      <c r="V557" s="39" t="s">
        <v>4070</v>
      </c>
      <c r="W557" s="30" t="s">
        <v>4078</v>
      </c>
      <c r="X557" s="77" t="s">
        <v>4089</v>
      </c>
      <c r="Y557" s="127" t="str">
        <f>_xlfn.XLOOKUP(MasterFees[[#This Row],[Provider / Payer]],Contracts[Contract Name],Contracts[Contract ID],"No contract")</f>
        <v>CON-08</v>
      </c>
      <c r="Z557" s="127" t="str">
        <f>_xlfn.XLOOKUP(MasterFees[[#This Row],[Provider / Payer]],Contracts[Contract Name],Contracts[Pricing Basis],"To confirm")</f>
        <v>Fixed fee schedule</v>
      </c>
      <c r="AA557" s="127" t="str">
        <f>IF(MasterFees[[#This Row],[Pricing Basis]]="Fixed fee schedule","Yes","No")</f>
        <v>Yes</v>
      </c>
      <c r="AB557" s="127" t="str">
        <f>IF(OR(MasterFees[[#This Row],[Fee Basis]]="Add-on",MasterFees[[#This Row],[Fee Basis]]="Time band",MasterFees[[#This Row],[Fee Basis]]="Other"),MasterFees[[#This Row],[Fee Basis]],"Base")</f>
        <v>Base</v>
      </c>
      <c r="AC557" s="141">
        <f>IF(MasterFees[[#This Row],[Fixed Fee?]]="Yes",MasterFees[[#This Row],[Fee Excl. GST]],"")</f>
        <v>2060.8695652173915</v>
      </c>
    </row>
    <row r="558" spans="1:29" x14ac:dyDescent="0.2">
      <c r="A558" s="67" t="s">
        <v>2237</v>
      </c>
      <c r="B558" s="31">
        <f>IF(MasterFees[[#This Row],[RVG Code]]="","",_xlfn.XLOOKUP(MasterFees[[#This Row],[RVG Code]],RVGCodes[Code],RVGCodes[Base Units],"Code not found"))</f>
        <v>4</v>
      </c>
      <c r="C55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5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58" s="125" t="s">
        <v>2589</v>
      </c>
      <c r="F558" s="48" t="s">
        <v>2569</v>
      </c>
      <c r="G558" s="30" t="s">
        <v>162</v>
      </c>
      <c r="H558" s="37" t="s">
        <v>1095</v>
      </c>
      <c r="I558" s="37"/>
      <c r="J558" s="37" t="s">
        <v>1096</v>
      </c>
      <c r="K558" s="32">
        <v>5</v>
      </c>
      <c r="L558" s="32">
        <v>15</v>
      </c>
      <c r="M558" s="32">
        <v>0</v>
      </c>
      <c r="N558" s="32">
        <v>20</v>
      </c>
      <c r="O558" s="33">
        <v>1100</v>
      </c>
      <c r="P558" s="38" t="s">
        <v>1014</v>
      </c>
      <c r="Q558" s="34" t="str">
        <f>IF(MasterFees[[#This Row],[GST Basis]]="Excl",MasterFees[[#This Row],[Fee as Printed]],IF(MasterFees[[#This Row],[GST Basis]]="Incl",MasterFees[[#This Row],[Fee as Printed]]/(1+GST_Rate),""))</f>
        <v/>
      </c>
      <c r="R558" s="34" t="str">
        <f>IF(MasterFees[[#This Row],[GST Basis]]="Incl",MasterFees[[#This Row],[Fee as Printed]],IF(MasterFees[[#This Row],[GST Basis]]="Excl",MasterFees[[#This Row],[Fee as Printed]]*(1+GST_Rate),""))</f>
        <v/>
      </c>
      <c r="S558" s="35">
        <f>IF(N(MasterFees[[#This Row],[Total Units]])=0,"",MasterFees[[#This Row],[Fee as Printed]]/MasterFees[[#This Row],[Total Units]])</f>
        <v>55</v>
      </c>
      <c r="T558" s="36"/>
      <c r="U558" s="39" t="s">
        <v>1012</v>
      </c>
      <c r="V558" s="39" t="s">
        <v>1256</v>
      </c>
      <c r="W558" s="30"/>
      <c r="X558" s="73" t="s">
        <v>3040</v>
      </c>
      <c r="Y558" s="127" t="str">
        <f>_xlfn.XLOOKUP(MasterFees[[#This Row],[Provider / Payer]],Contracts[Contract Name],Contracts[Contract ID],"No contract")</f>
        <v>CON-01</v>
      </c>
      <c r="Z558" s="127" t="str">
        <f>_xlfn.XLOOKUP(MasterFees[[#This Row],[Provider / Payer]],Contracts[Contract Name],Contracts[Pricing Basis],"To confirm")</f>
        <v>To confirm</v>
      </c>
      <c r="AA558" s="127" t="str">
        <f>IF(MasterFees[[#This Row],[Pricing Basis]]="Fixed fee schedule","Yes","No")</f>
        <v>No</v>
      </c>
      <c r="AB558" s="127" t="str">
        <f>IF(OR(MasterFees[[#This Row],[Fee Basis]]="Add-on",MasterFees[[#This Row],[Fee Basis]]="Time band",MasterFees[[#This Row],[Fee Basis]]="Other"),MasterFees[[#This Row],[Fee Basis]],"Base")</f>
        <v>Base</v>
      </c>
      <c r="AC558" s="141" t="str">
        <f>IF(MasterFees[[#This Row],[Fixed Fee?]]="Yes",MasterFees[[#This Row],[Fee Excl. GST]],"")</f>
        <v/>
      </c>
    </row>
    <row r="559" spans="1:29" x14ac:dyDescent="0.2">
      <c r="A559" s="67" t="s">
        <v>2237</v>
      </c>
      <c r="B559" s="31">
        <f>IF(MasterFees[[#This Row],[RVG Code]]="","",_xlfn.XLOOKUP(MasterFees[[#This Row],[RVG Code]],RVGCodes[Code],RVGCodes[Base Units],"Code not found"))</f>
        <v>4</v>
      </c>
      <c r="C55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5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59" s="125" t="s">
        <v>2589</v>
      </c>
      <c r="F559" s="48" t="s">
        <v>2567</v>
      </c>
      <c r="G559" s="30" t="s">
        <v>218</v>
      </c>
      <c r="H559" s="37" t="s">
        <v>1095</v>
      </c>
      <c r="I559" s="37"/>
      <c r="J559" s="37" t="s">
        <v>1096</v>
      </c>
      <c r="K559" s="32">
        <v>4</v>
      </c>
      <c r="L559" s="32">
        <v>3</v>
      </c>
      <c r="M559" s="32">
        <v>0</v>
      </c>
      <c r="N559" s="32">
        <v>7</v>
      </c>
      <c r="O559" s="33">
        <v>385</v>
      </c>
      <c r="P559" s="38" t="s">
        <v>1014</v>
      </c>
      <c r="Q559" s="34" t="str">
        <f>IF(MasterFees[[#This Row],[GST Basis]]="Excl",MasterFees[[#This Row],[Fee as Printed]],IF(MasterFees[[#This Row],[GST Basis]]="Incl",MasterFees[[#This Row],[Fee as Printed]]/(1+GST_Rate),""))</f>
        <v/>
      </c>
      <c r="R559" s="34" t="str">
        <f>IF(MasterFees[[#This Row],[GST Basis]]="Incl",MasterFees[[#This Row],[Fee as Printed]],IF(MasterFees[[#This Row],[GST Basis]]="Excl",MasterFees[[#This Row],[Fee as Printed]]*(1+GST_Rate),""))</f>
        <v/>
      </c>
      <c r="S559" s="35">
        <f>IF(N(MasterFees[[#This Row],[Total Units]])=0,"",MasterFees[[#This Row],[Fee as Printed]]/MasterFees[[#This Row],[Total Units]])</f>
        <v>55</v>
      </c>
      <c r="T559" s="36"/>
      <c r="U559" s="39" t="s">
        <v>1012</v>
      </c>
      <c r="V559" s="39" t="s">
        <v>1312</v>
      </c>
      <c r="W559" s="30"/>
      <c r="X559" s="73" t="s">
        <v>3098</v>
      </c>
      <c r="Y559" s="127" t="str">
        <f>_xlfn.XLOOKUP(MasterFees[[#This Row],[Provider / Payer]],Contracts[Contract Name],Contracts[Contract ID],"No contract")</f>
        <v>CON-01</v>
      </c>
      <c r="Z559" s="127" t="str">
        <f>_xlfn.XLOOKUP(MasterFees[[#This Row],[Provider / Payer]],Contracts[Contract Name],Contracts[Pricing Basis],"To confirm")</f>
        <v>To confirm</v>
      </c>
      <c r="AA559" s="127" t="str">
        <f>IF(MasterFees[[#This Row],[Pricing Basis]]="Fixed fee schedule","Yes","No")</f>
        <v>No</v>
      </c>
      <c r="AB559" s="127" t="str">
        <f>IF(OR(MasterFees[[#This Row],[Fee Basis]]="Add-on",MasterFees[[#This Row],[Fee Basis]]="Time band",MasterFees[[#This Row],[Fee Basis]]="Other"),MasterFees[[#This Row],[Fee Basis]],"Base")</f>
        <v>Base</v>
      </c>
      <c r="AC559" s="141" t="str">
        <f>IF(MasterFees[[#This Row],[Fixed Fee?]]="Yes",MasterFees[[#This Row],[Fee Excl. GST]],"")</f>
        <v/>
      </c>
    </row>
    <row r="560" spans="1:29" x14ac:dyDescent="0.2">
      <c r="A560" s="67" t="s">
        <v>2237</v>
      </c>
      <c r="B560" s="31">
        <f>IF(MasterFees[[#This Row],[RVG Code]]="","",_xlfn.XLOOKUP(MasterFees[[#This Row],[RVG Code]],RVGCodes[Code],RVGCodes[Base Units],"Code not found"))</f>
        <v>4</v>
      </c>
      <c r="C56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6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60" s="125" t="s">
        <v>2589</v>
      </c>
      <c r="F560" s="48" t="s">
        <v>2569</v>
      </c>
      <c r="G560" s="30" t="s">
        <v>268</v>
      </c>
      <c r="H560" s="37" t="s">
        <v>1095</v>
      </c>
      <c r="I560" s="37"/>
      <c r="J560" s="37" t="s">
        <v>1096</v>
      </c>
      <c r="K560" s="32">
        <v>0</v>
      </c>
      <c r="L560" s="32">
        <v>0</v>
      </c>
      <c r="M560" s="32">
        <v>0</v>
      </c>
      <c r="N560" s="32">
        <v>0</v>
      </c>
      <c r="O560" s="33">
        <v>0</v>
      </c>
      <c r="P560" s="38" t="s">
        <v>1014</v>
      </c>
      <c r="Q560" s="34" t="str">
        <f>IF(MasterFees[[#This Row],[GST Basis]]="Excl",MasterFees[[#This Row],[Fee as Printed]],IF(MasterFees[[#This Row],[GST Basis]]="Incl",MasterFees[[#This Row],[Fee as Printed]]/(1+GST_Rate),""))</f>
        <v/>
      </c>
      <c r="R560" s="34" t="str">
        <f>IF(MasterFees[[#This Row],[GST Basis]]="Incl",MasterFees[[#This Row],[Fee as Printed]],IF(MasterFees[[#This Row],[GST Basis]]="Excl",MasterFees[[#This Row],[Fee as Printed]]*(1+GST_Rate),""))</f>
        <v/>
      </c>
      <c r="S560" s="35" t="str">
        <f>IF(N(MasterFees[[#This Row],[Total Units]])=0,"",MasterFees[[#This Row],[Fee as Printed]]/MasterFees[[#This Row],[Total Units]])</f>
        <v/>
      </c>
      <c r="T560" s="36"/>
      <c r="U560" s="39" t="s">
        <v>1012</v>
      </c>
      <c r="V560" s="39" t="s">
        <v>1362</v>
      </c>
      <c r="W560" s="30"/>
      <c r="X560" s="73" t="s">
        <v>3152</v>
      </c>
      <c r="Y560" s="127" t="str">
        <f>_xlfn.XLOOKUP(MasterFees[[#This Row],[Provider / Payer]],Contracts[Contract Name],Contracts[Contract ID],"No contract")</f>
        <v>CON-01</v>
      </c>
      <c r="Z560" s="127" t="str">
        <f>_xlfn.XLOOKUP(MasterFees[[#This Row],[Provider / Payer]],Contracts[Contract Name],Contracts[Pricing Basis],"To confirm")</f>
        <v>To confirm</v>
      </c>
      <c r="AA560" s="127" t="str">
        <f>IF(MasterFees[[#This Row],[Pricing Basis]]="Fixed fee schedule","Yes","No")</f>
        <v>No</v>
      </c>
      <c r="AB560" s="127" t="str">
        <f>IF(OR(MasterFees[[#This Row],[Fee Basis]]="Add-on",MasterFees[[#This Row],[Fee Basis]]="Time band",MasterFees[[#This Row],[Fee Basis]]="Other"),MasterFees[[#This Row],[Fee Basis]],"Base")</f>
        <v>Base</v>
      </c>
      <c r="AC560" s="141" t="str">
        <f>IF(MasterFees[[#This Row],[Fixed Fee?]]="Yes",MasterFees[[#This Row],[Fee Excl. GST]],"")</f>
        <v/>
      </c>
    </row>
    <row r="561" spans="1:29" x14ac:dyDescent="0.2">
      <c r="A561" s="67" t="s">
        <v>2237</v>
      </c>
      <c r="B561" s="31">
        <f>IF(MasterFees[[#This Row],[RVG Code]]="","",_xlfn.XLOOKUP(MasterFees[[#This Row],[RVG Code]],RVGCodes[Code],RVGCodes[Base Units],"Code not found"))</f>
        <v>4</v>
      </c>
      <c r="C56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6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61" s="125" t="s">
        <v>2589</v>
      </c>
      <c r="F561" s="48" t="s">
        <v>2569</v>
      </c>
      <c r="G561" s="30" t="s">
        <v>308</v>
      </c>
      <c r="H561" s="37" t="s">
        <v>1095</v>
      </c>
      <c r="I561" s="37"/>
      <c r="J561" s="37" t="s">
        <v>1096</v>
      </c>
      <c r="K561" s="32">
        <v>4</v>
      </c>
      <c r="L561" s="32">
        <v>2.9</v>
      </c>
      <c r="M561" s="32">
        <v>0.5</v>
      </c>
      <c r="N561" s="32">
        <v>7.4</v>
      </c>
      <c r="O561" s="33">
        <v>408.65</v>
      </c>
      <c r="P561" s="38" t="s">
        <v>1014</v>
      </c>
      <c r="Q561" s="34" t="str">
        <f>IF(MasterFees[[#This Row],[GST Basis]]="Excl",MasterFees[[#This Row],[Fee as Printed]],IF(MasterFees[[#This Row],[GST Basis]]="Incl",MasterFees[[#This Row],[Fee as Printed]]/(1+GST_Rate),""))</f>
        <v/>
      </c>
      <c r="R561" s="34" t="str">
        <f>IF(MasterFees[[#This Row],[GST Basis]]="Incl",MasterFees[[#This Row],[Fee as Printed]],IF(MasterFees[[#This Row],[GST Basis]]="Excl",MasterFees[[#This Row],[Fee as Printed]]*(1+GST_Rate),""))</f>
        <v/>
      </c>
      <c r="S561" s="35">
        <f>IF(N(MasterFees[[#This Row],[Total Units]])=0,"",MasterFees[[#This Row],[Fee as Printed]]/MasterFees[[#This Row],[Total Units]])</f>
        <v>55.222972972972968</v>
      </c>
      <c r="T561" s="36"/>
      <c r="U561" s="39" t="s">
        <v>1012</v>
      </c>
      <c r="V561" s="39" t="s">
        <v>1402</v>
      </c>
      <c r="W561" s="30"/>
      <c r="X561" s="73" t="s">
        <v>3193</v>
      </c>
      <c r="Y561" s="127" t="str">
        <f>_xlfn.XLOOKUP(MasterFees[[#This Row],[Provider / Payer]],Contracts[Contract Name],Contracts[Contract ID],"No contract")</f>
        <v>CON-01</v>
      </c>
      <c r="Z561" s="127" t="str">
        <f>_xlfn.XLOOKUP(MasterFees[[#This Row],[Provider / Payer]],Contracts[Contract Name],Contracts[Pricing Basis],"To confirm")</f>
        <v>To confirm</v>
      </c>
      <c r="AA561" s="127" t="str">
        <f>IF(MasterFees[[#This Row],[Pricing Basis]]="Fixed fee schedule","Yes","No")</f>
        <v>No</v>
      </c>
      <c r="AB561" s="127" t="str">
        <f>IF(OR(MasterFees[[#This Row],[Fee Basis]]="Add-on",MasterFees[[#This Row],[Fee Basis]]="Time band",MasterFees[[#This Row],[Fee Basis]]="Other"),MasterFees[[#This Row],[Fee Basis]],"Base")</f>
        <v>Base</v>
      </c>
      <c r="AC561" s="141" t="str">
        <f>IF(MasterFees[[#This Row],[Fixed Fee?]]="Yes",MasterFees[[#This Row],[Fee Excl. GST]],"")</f>
        <v/>
      </c>
    </row>
    <row r="562" spans="1:29" x14ac:dyDescent="0.2">
      <c r="A562" s="67" t="s">
        <v>2237</v>
      </c>
      <c r="B562" s="31">
        <f>IF(MasterFees[[#This Row],[RVG Code]]="","",_xlfn.XLOOKUP(MasterFees[[#This Row],[RVG Code]],RVGCodes[Code],RVGCodes[Base Units],"Code not found"))</f>
        <v>4</v>
      </c>
      <c r="C56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6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62" s="125" t="s">
        <v>2589</v>
      </c>
      <c r="F562" s="48" t="s">
        <v>2567</v>
      </c>
      <c r="G562" s="30" t="s">
        <v>361</v>
      </c>
      <c r="H562" s="37" t="s">
        <v>1095</v>
      </c>
      <c r="I562" s="37"/>
      <c r="J562" s="37" t="s">
        <v>1096</v>
      </c>
      <c r="K562" s="32">
        <v>5</v>
      </c>
      <c r="L562" s="32">
        <v>10</v>
      </c>
      <c r="M562" s="32">
        <v>0</v>
      </c>
      <c r="N562" s="32">
        <v>15</v>
      </c>
      <c r="O562" s="33">
        <v>825</v>
      </c>
      <c r="P562" s="38" t="s">
        <v>1014</v>
      </c>
      <c r="Q562" s="34" t="str">
        <f>IF(MasterFees[[#This Row],[GST Basis]]="Excl",MasterFees[[#This Row],[Fee as Printed]],IF(MasterFees[[#This Row],[GST Basis]]="Incl",MasterFees[[#This Row],[Fee as Printed]]/(1+GST_Rate),""))</f>
        <v/>
      </c>
      <c r="R562" s="34" t="str">
        <f>IF(MasterFees[[#This Row],[GST Basis]]="Incl",MasterFees[[#This Row],[Fee as Printed]],IF(MasterFees[[#This Row],[GST Basis]]="Excl",MasterFees[[#This Row],[Fee as Printed]]*(1+GST_Rate),""))</f>
        <v/>
      </c>
      <c r="S562" s="35">
        <f>IF(N(MasterFees[[#This Row],[Total Units]])=0,"",MasterFees[[#This Row],[Fee as Printed]]/MasterFees[[#This Row],[Total Units]])</f>
        <v>55</v>
      </c>
      <c r="T562" s="36"/>
      <c r="U562" s="39" t="s">
        <v>1012</v>
      </c>
      <c r="V562" s="39" t="s">
        <v>1456</v>
      </c>
      <c r="W562" s="30"/>
      <c r="X562" s="73" t="s">
        <v>3248</v>
      </c>
      <c r="Y562" s="127" t="str">
        <f>_xlfn.XLOOKUP(MasterFees[[#This Row],[Provider / Payer]],Contracts[Contract Name],Contracts[Contract ID],"No contract")</f>
        <v>CON-01</v>
      </c>
      <c r="Z562" s="127" t="str">
        <f>_xlfn.XLOOKUP(MasterFees[[#This Row],[Provider / Payer]],Contracts[Contract Name],Contracts[Pricing Basis],"To confirm")</f>
        <v>To confirm</v>
      </c>
      <c r="AA562" s="127" t="str">
        <f>IF(MasterFees[[#This Row],[Pricing Basis]]="Fixed fee schedule","Yes","No")</f>
        <v>No</v>
      </c>
      <c r="AB562" s="127" t="str">
        <f>IF(OR(MasterFees[[#This Row],[Fee Basis]]="Add-on",MasterFees[[#This Row],[Fee Basis]]="Time band",MasterFees[[#This Row],[Fee Basis]]="Other"),MasterFees[[#This Row],[Fee Basis]],"Base")</f>
        <v>Base</v>
      </c>
      <c r="AC562" s="141" t="str">
        <f>IF(MasterFees[[#This Row],[Fixed Fee?]]="Yes",MasterFees[[#This Row],[Fee Excl. GST]],"")</f>
        <v/>
      </c>
    </row>
    <row r="563" spans="1:29" x14ac:dyDescent="0.2">
      <c r="A563" s="67" t="s">
        <v>2237</v>
      </c>
      <c r="B563" s="31">
        <f>IF(MasterFees[[#This Row],[RVG Code]]="","",_xlfn.XLOOKUP(MasterFees[[#This Row],[RVG Code]],RVGCodes[Code],RVGCodes[Base Units],"Code not found"))</f>
        <v>4</v>
      </c>
      <c r="C56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6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63" s="125" t="s">
        <v>2589</v>
      </c>
      <c r="F563" s="48" t="s">
        <v>2567</v>
      </c>
      <c r="G563" s="30" t="s">
        <v>393</v>
      </c>
      <c r="H563" s="37" t="s">
        <v>1095</v>
      </c>
      <c r="I563" s="37"/>
      <c r="J563" s="37" t="s">
        <v>1096</v>
      </c>
      <c r="K563" s="32">
        <v>5.0999999999999996</v>
      </c>
      <c r="L563" s="32">
        <v>6.4</v>
      </c>
      <c r="M563" s="32">
        <v>1.2</v>
      </c>
      <c r="N563" s="32">
        <v>12.7</v>
      </c>
      <c r="O563" s="33">
        <v>696.85</v>
      </c>
      <c r="P563" s="38" t="s">
        <v>1014</v>
      </c>
      <c r="Q563" s="34" t="str">
        <f>IF(MasterFees[[#This Row],[GST Basis]]="Excl",MasterFees[[#This Row],[Fee as Printed]],IF(MasterFees[[#This Row],[GST Basis]]="Incl",MasterFees[[#This Row],[Fee as Printed]]/(1+GST_Rate),""))</f>
        <v/>
      </c>
      <c r="R563" s="34" t="str">
        <f>IF(MasterFees[[#This Row],[GST Basis]]="Incl",MasterFees[[#This Row],[Fee as Printed]],IF(MasterFees[[#This Row],[GST Basis]]="Excl",MasterFees[[#This Row],[Fee as Printed]]*(1+GST_Rate),""))</f>
        <v/>
      </c>
      <c r="S563" s="35">
        <f>IF(N(MasterFees[[#This Row],[Total Units]])=0,"",MasterFees[[#This Row],[Fee as Printed]]/MasterFees[[#This Row],[Total Units]])</f>
        <v>54.870078740157489</v>
      </c>
      <c r="T563" s="36"/>
      <c r="U563" s="39" t="s">
        <v>1012</v>
      </c>
      <c r="V563" s="39" t="s">
        <v>1488</v>
      </c>
      <c r="W563" s="30"/>
      <c r="X563" s="73" t="s">
        <v>3281</v>
      </c>
      <c r="Y563" s="127" t="str">
        <f>_xlfn.XLOOKUP(MasterFees[[#This Row],[Provider / Payer]],Contracts[Contract Name],Contracts[Contract ID],"No contract")</f>
        <v>CON-01</v>
      </c>
      <c r="Z563" s="127" t="str">
        <f>_xlfn.XLOOKUP(MasterFees[[#This Row],[Provider / Payer]],Contracts[Contract Name],Contracts[Pricing Basis],"To confirm")</f>
        <v>To confirm</v>
      </c>
      <c r="AA563" s="127" t="str">
        <f>IF(MasterFees[[#This Row],[Pricing Basis]]="Fixed fee schedule","Yes","No")</f>
        <v>No</v>
      </c>
      <c r="AB563" s="127" t="str">
        <f>IF(OR(MasterFees[[#This Row],[Fee Basis]]="Add-on",MasterFees[[#This Row],[Fee Basis]]="Time band",MasterFees[[#This Row],[Fee Basis]]="Other"),MasterFees[[#This Row],[Fee Basis]],"Base")</f>
        <v>Base</v>
      </c>
      <c r="AC563" s="141" t="str">
        <f>IF(MasterFees[[#This Row],[Fixed Fee?]]="Yes",MasterFees[[#This Row],[Fee Excl. GST]],"")</f>
        <v/>
      </c>
    </row>
    <row r="564" spans="1:29" x14ac:dyDescent="0.2">
      <c r="A564" s="67" t="s">
        <v>2237</v>
      </c>
      <c r="B564" s="31">
        <f>IF(MasterFees[[#This Row],[RVG Code]]="","",_xlfn.XLOOKUP(MasterFees[[#This Row],[RVG Code]],RVGCodes[Code],RVGCodes[Base Units],"Code not found"))</f>
        <v>4</v>
      </c>
      <c r="C56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6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64" s="125" t="s">
        <v>2589</v>
      </c>
      <c r="F564" s="48" t="s">
        <v>2569</v>
      </c>
      <c r="G564" s="30" t="s">
        <v>418</v>
      </c>
      <c r="H564" s="37" t="s">
        <v>1095</v>
      </c>
      <c r="I564" s="37"/>
      <c r="J564" s="37" t="s">
        <v>1096</v>
      </c>
      <c r="K564" s="32">
        <v>5</v>
      </c>
      <c r="L564" s="32">
        <v>6</v>
      </c>
      <c r="M564" s="32">
        <v>1</v>
      </c>
      <c r="N564" s="32">
        <v>12</v>
      </c>
      <c r="O564" s="33">
        <v>660</v>
      </c>
      <c r="P564" s="38" t="s">
        <v>1014</v>
      </c>
      <c r="Q564" s="34" t="str">
        <f>IF(MasterFees[[#This Row],[GST Basis]]="Excl",MasterFees[[#This Row],[Fee as Printed]],IF(MasterFees[[#This Row],[GST Basis]]="Incl",MasterFees[[#This Row],[Fee as Printed]]/(1+GST_Rate),""))</f>
        <v/>
      </c>
      <c r="R564" s="34" t="str">
        <f>IF(MasterFees[[#This Row],[GST Basis]]="Incl",MasterFees[[#This Row],[Fee as Printed]],IF(MasterFees[[#This Row],[GST Basis]]="Excl",MasterFees[[#This Row],[Fee as Printed]]*(1+GST_Rate),""))</f>
        <v/>
      </c>
      <c r="S564" s="35">
        <f>IF(N(MasterFees[[#This Row],[Total Units]])=0,"",MasterFees[[#This Row],[Fee as Printed]]/MasterFees[[#This Row],[Total Units]])</f>
        <v>55</v>
      </c>
      <c r="T564" s="36"/>
      <c r="U564" s="39" t="s">
        <v>1012</v>
      </c>
      <c r="V564" s="39" t="s">
        <v>1513</v>
      </c>
      <c r="W564" s="30"/>
      <c r="X564" s="73" t="s">
        <v>3306</v>
      </c>
      <c r="Y564" s="127" t="str">
        <f>_xlfn.XLOOKUP(MasterFees[[#This Row],[Provider / Payer]],Contracts[Contract Name],Contracts[Contract ID],"No contract")</f>
        <v>CON-01</v>
      </c>
      <c r="Z564" s="127" t="str">
        <f>_xlfn.XLOOKUP(MasterFees[[#This Row],[Provider / Payer]],Contracts[Contract Name],Contracts[Pricing Basis],"To confirm")</f>
        <v>To confirm</v>
      </c>
      <c r="AA564" s="127" t="str">
        <f>IF(MasterFees[[#This Row],[Pricing Basis]]="Fixed fee schedule","Yes","No")</f>
        <v>No</v>
      </c>
      <c r="AB564" s="127" t="str">
        <f>IF(OR(MasterFees[[#This Row],[Fee Basis]]="Add-on",MasterFees[[#This Row],[Fee Basis]]="Time band",MasterFees[[#This Row],[Fee Basis]]="Other"),MasterFees[[#This Row],[Fee Basis]],"Base")</f>
        <v>Base</v>
      </c>
      <c r="AC564" s="141" t="str">
        <f>IF(MasterFees[[#This Row],[Fixed Fee?]]="Yes",MasterFees[[#This Row],[Fee Excl. GST]],"")</f>
        <v/>
      </c>
    </row>
    <row r="565" spans="1:29" x14ac:dyDescent="0.2">
      <c r="A565" s="67" t="s">
        <v>2237</v>
      </c>
      <c r="B565" s="31">
        <f>IF(MasterFees[[#This Row],[RVG Code]]="","",_xlfn.XLOOKUP(MasterFees[[#This Row],[RVG Code]],RVGCodes[Code],RVGCodes[Base Units],"Code not found"))</f>
        <v>4</v>
      </c>
      <c r="C56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6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65" s="125" t="s">
        <v>2589</v>
      </c>
      <c r="F565" s="48" t="s">
        <v>2567</v>
      </c>
      <c r="G565" s="30" t="s">
        <v>526</v>
      </c>
      <c r="H565" s="37" t="s">
        <v>1095</v>
      </c>
      <c r="I565" s="37"/>
      <c r="J565" s="37" t="s">
        <v>1096</v>
      </c>
      <c r="K565" s="32">
        <v>5.3</v>
      </c>
      <c r="L565" s="32">
        <v>6</v>
      </c>
      <c r="M565" s="32">
        <v>0.5</v>
      </c>
      <c r="N565" s="32">
        <v>11.8</v>
      </c>
      <c r="O565" s="33">
        <v>646.25</v>
      </c>
      <c r="P565" s="38" t="s">
        <v>1014</v>
      </c>
      <c r="Q565" s="34" t="str">
        <f>IF(MasterFees[[#This Row],[GST Basis]]="Excl",MasterFees[[#This Row],[Fee as Printed]],IF(MasterFees[[#This Row],[GST Basis]]="Incl",MasterFees[[#This Row],[Fee as Printed]]/(1+GST_Rate),""))</f>
        <v/>
      </c>
      <c r="R565" s="34" t="str">
        <f>IF(MasterFees[[#This Row],[GST Basis]]="Incl",MasterFees[[#This Row],[Fee as Printed]],IF(MasterFees[[#This Row],[GST Basis]]="Excl",MasterFees[[#This Row],[Fee as Printed]]*(1+GST_Rate),""))</f>
        <v/>
      </c>
      <c r="S565" s="35">
        <f>IF(N(MasterFees[[#This Row],[Total Units]])=0,"",MasterFees[[#This Row],[Fee as Printed]]/MasterFees[[#This Row],[Total Units]])</f>
        <v>54.766949152542367</v>
      </c>
      <c r="T565" s="36"/>
      <c r="U565" s="39" t="s">
        <v>1012</v>
      </c>
      <c r="V565" s="39" t="s">
        <v>1621</v>
      </c>
      <c r="W565" s="30"/>
      <c r="X565" s="73" t="s">
        <v>3417</v>
      </c>
      <c r="Y565" s="127" t="str">
        <f>_xlfn.XLOOKUP(MasterFees[[#This Row],[Provider / Payer]],Contracts[Contract Name],Contracts[Contract ID],"No contract")</f>
        <v>CON-01</v>
      </c>
      <c r="Z565" s="127" t="str">
        <f>_xlfn.XLOOKUP(MasterFees[[#This Row],[Provider / Payer]],Contracts[Contract Name],Contracts[Pricing Basis],"To confirm")</f>
        <v>To confirm</v>
      </c>
      <c r="AA565" s="127" t="str">
        <f>IF(MasterFees[[#This Row],[Pricing Basis]]="Fixed fee schedule","Yes","No")</f>
        <v>No</v>
      </c>
      <c r="AB565" s="127" t="str">
        <f>IF(OR(MasterFees[[#This Row],[Fee Basis]]="Add-on",MasterFees[[#This Row],[Fee Basis]]="Time band",MasterFees[[#This Row],[Fee Basis]]="Other"),MasterFees[[#This Row],[Fee Basis]],"Base")</f>
        <v>Base</v>
      </c>
      <c r="AC565" s="141" t="str">
        <f>IF(MasterFees[[#This Row],[Fixed Fee?]]="Yes",MasterFees[[#This Row],[Fee Excl. GST]],"")</f>
        <v/>
      </c>
    </row>
    <row r="566" spans="1:29" x14ac:dyDescent="0.2">
      <c r="A566" s="67" t="s">
        <v>2237</v>
      </c>
      <c r="B566" s="31">
        <f>IF(MasterFees[[#This Row],[RVG Code]]="","",_xlfn.XLOOKUP(MasterFees[[#This Row],[RVG Code]],RVGCodes[Code],RVGCodes[Base Units],"Code not found"))</f>
        <v>4</v>
      </c>
      <c r="C56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6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66" s="125" t="s">
        <v>2589</v>
      </c>
      <c r="F566" s="48" t="s">
        <v>2569</v>
      </c>
      <c r="G566" s="30" t="s">
        <v>527</v>
      </c>
      <c r="H566" s="37" t="s">
        <v>1095</v>
      </c>
      <c r="I566" s="37"/>
      <c r="J566" s="37" t="s">
        <v>1096</v>
      </c>
      <c r="K566" s="32">
        <v>5</v>
      </c>
      <c r="L566" s="32">
        <v>5</v>
      </c>
      <c r="M566" s="32">
        <v>0</v>
      </c>
      <c r="N566" s="32">
        <v>10</v>
      </c>
      <c r="O566" s="33">
        <v>550</v>
      </c>
      <c r="P566" s="38" t="s">
        <v>1014</v>
      </c>
      <c r="Q566" s="34" t="str">
        <f>IF(MasterFees[[#This Row],[GST Basis]]="Excl",MasterFees[[#This Row],[Fee as Printed]],IF(MasterFees[[#This Row],[GST Basis]]="Incl",MasterFees[[#This Row],[Fee as Printed]]/(1+GST_Rate),""))</f>
        <v/>
      </c>
      <c r="R566" s="34" t="str">
        <f>IF(MasterFees[[#This Row],[GST Basis]]="Incl",MasterFees[[#This Row],[Fee as Printed]],IF(MasterFees[[#This Row],[GST Basis]]="Excl",MasterFees[[#This Row],[Fee as Printed]]*(1+GST_Rate),""))</f>
        <v/>
      </c>
      <c r="S566" s="35">
        <f>IF(N(MasterFees[[#This Row],[Total Units]])=0,"",MasterFees[[#This Row],[Fee as Printed]]/MasterFees[[#This Row],[Total Units]])</f>
        <v>55</v>
      </c>
      <c r="T566" s="36"/>
      <c r="U566" s="39" t="s">
        <v>1012</v>
      </c>
      <c r="V566" s="39" t="s">
        <v>1622</v>
      </c>
      <c r="W566" s="30"/>
      <c r="X566" s="73" t="s">
        <v>3418</v>
      </c>
      <c r="Y566" s="127" t="str">
        <f>_xlfn.XLOOKUP(MasterFees[[#This Row],[Provider / Payer]],Contracts[Contract Name],Contracts[Contract ID],"No contract")</f>
        <v>CON-01</v>
      </c>
      <c r="Z566" s="127" t="str">
        <f>_xlfn.XLOOKUP(MasterFees[[#This Row],[Provider / Payer]],Contracts[Contract Name],Contracts[Pricing Basis],"To confirm")</f>
        <v>To confirm</v>
      </c>
      <c r="AA566" s="127" t="str">
        <f>IF(MasterFees[[#This Row],[Pricing Basis]]="Fixed fee schedule","Yes","No")</f>
        <v>No</v>
      </c>
      <c r="AB566" s="127" t="str">
        <f>IF(OR(MasterFees[[#This Row],[Fee Basis]]="Add-on",MasterFees[[#This Row],[Fee Basis]]="Time band",MasterFees[[#This Row],[Fee Basis]]="Other"),MasterFees[[#This Row],[Fee Basis]],"Base")</f>
        <v>Base</v>
      </c>
      <c r="AC566" s="141" t="str">
        <f>IF(MasterFees[[#This Row],[Fixed Fee?]]="Yes",MasterFees[[#This Row],[Fee Excl. GST]],"")</f>
        <v/>
      </c>
    </row>
    <row r="567" spans="1:29" x14ac:dyDescent="0.2">
      <c r="A567" s="67" t="s">
        <v>2244</v>
      </c>
      <c r="B567" s="31">
        <f>IF(MasterFees[[#This Row],[RVG Code]]="","",_xlfn.XLOOKUP(MasterFees[[#This Row],[RVG Code]],RVGCodes[Code],RVGCodes[Base Units],"Code not found"))</f>
        <v>8</v>
      </c>
      <c r="C56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6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67" s="125" t="s">
        <v>2590</v>
      </c>
      <c r="F567" s="48" t="s">
        <v>2567</v>
      </c>
      <c r="G567" s="30" t="s">
        <v>528</v>
      </c>
      <c r="H567" s="37" t="s">
        <v>1095</v>
      </c>
      <c r="I567" s="37"/>
      <c r="J567" s="37" t="s">
        <v>1096</v>
      </c>
      <c r="K567" s="32">
        <v>8</v>
      </c>
      <c r="L567" s="32">
        <v>44</v>
      </c>
      <c r="M567" s="32">
        <v>2</v>
      </c>
      <c r="N567" s="32">
        <v>54</v>
      </c>
      <c r="O567" s="33">
        <v>2970</v>
      </c>
      <c r="P567" s="38" t="s">
        <v>1014</v>
      </c>
      <c r="Q567" s="34" t="str">
        <f>IF(MasterFees[[#This Row],[GST Basis]]="Excl",MasterFees[[#This Row],[Fee as Printed]],IF(MasterFees[[#This Row],[GST Basis]]="Incl",MasterFees[[#This Row],[Fee as Printed]]/(1+GST_Rate),""))</f>
        <v/>
      </c>
      <c r="R567" s="34" t="str">
        <f>IF(MasterFees[[#This Row],[GST Basis]]="Incl",MasterFees[[#This Row],[Fee as Printed]],IF(MasterFees[[#This Row],[GST Basis]]="Excl",MasterFees[[#This Row],[Fee as Printed]]*(1+GST_Rate),""))</f>
        <v/>
      </c>
      <c r="S567" s="35">
        <f>IF(N(MasterFees[[#This Row],[Total Units]])=0,"",MasterFees[[#This Row],[Fee as Printed]]/MasterFees[[#This Row],[Total Units]])</f>
        <v>55</v>
      </c>
      <c r="T567" s="36"/>
      <c r="U567" s="39" t="s">
        <v>1012</v>
      </c>
      <c r="V567" s="39" t="s">
        <v>1623</v>
      </c>
      <c r="W567" s="30"/>
      <c r="X567" s="73" t="s">
        <v>3419</v>
      </c>
      <c r="Y567" s="127" t="str">
        <f>_xlfn.XLOOKUP(MasterFees[[#This Row],[Provider / Payer]],Contracts[Contract Name],Contracts[Contract ID],"No contract")</f>
        <v>CON-01</v>
      </c>
      <c r="Z567" s="127" t="str">
        <f>_xlfn.XLOOKUP(MasterFees[[#This Row],[Provider / Payer]],Contracts[Contract Name],Contracts[Pricing Basis],"To confirm")</f>
        <v>To confirm</v>
      </c>
      <c r="AA567" s="127" t="str">
        <f>IF(MasterFees[[#This Row],[Pricing Basis]]="Fixed fee schedule","Yes","No")</f>
        <v>No</v>
      </c>
      <c r="AB567" s="127" t="str">
        <f>IF(OR(MasterFees[[#This Row],[Fee Basis]]="Add-on",MasterFees[[#This Row],[Fee Basis]]="Time band",MasterFees[[#This Row],[Fee Basis]]="Other"),MasterFees[[#This Row],[Fee Basis]],"Base")</f>
        <v>Base</v>
      </c>
      <c r="AC567" s="141" t="str">
        <f>IF(MasterFees[[#This Row],[Fixed Fee?]]="Yes",MasterFees[[#This Row],[Fee Excl. GST]],"")</f>
        <v/>
      </c>
    </row>
    <row r="568" spans="1:29" x14ac:dyDescent="0.2">
      <c r="A568" s="67" t="s">
        <v>2244</v>
      </c>
      <c r="B568" s="31">
        <f>IF(MasterFees[[#This Row],[RVG Code]]="","",_xlfn.XLOOKUP(MasterFees[[#This Row],[RVG Code]],RVGCodes[Code],RVGCodes[Base Units],"Code not found"))</f>
        <v>8</v>
      </c>
      <c r="C56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6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68" s="125" t="s">
        <v>2590</v>
      </c>
      <c r="F568" s="48" t="s">
        <v>2567</v>
      </c>
      <c r="G568" s="30" t="s">
        <v>529</v>
      </c>
      <c r="H568" s="37" t="s">
        <v>1095</v>
      </c>
      <c r="I568" s="37"/>
      <c r="J568" s="37" t="s">
        <v>1096</v>
      </c>
      <c r="K568" s="32">
        <v>5</v>
      </c>
      <c r="L568" s="32">
        <v>13</v>
      </c>
      <c r="M568" s="32">
        <v>0</v>
      </c>
      <c r="N568" s="32">
        <v>18</v>
      </c>
      <c r="O568" s="33">
        <v>990</v>
      </c>
      <c r="P568" s="38" t="s">
        <v>1014</v>
      </c>
      <c r="Q568" s="34" t="str">
        <f>IF(MasterFees[[#This Row],[GST Basis]]="Excl",MasterFees[[#This Row],[Fee as Printed]],IF(MasterFees[[#This Row],[GST Basis]]="Incl",MasterFees[[#This Row],[Fee as Printed]]/(1+GST_Rate),""))</f>
        <v/>
      </c>
      <c r="R568" s="34" t="str">
        <f>IF(MasterFees[[#This Row],[GST Basis]]="Incl",MasterFees[[#This Row],[Fee as Printed]],IF(MasterFees[[#This Row],[GST Basis]]="Excl",MasterFees[[#This Row],[Fee as Printed]]*(1+GST_Rate),""))</f>
        <v/>
      </c>
      <c r="S568" s="35">
        <f>IF(N(MasterFees[[#This Row],[Total Units]])=0,"",MasterFees[[#This Row],[Fee as Printed]]/MasterFees[[#This Row],[Total Units]])</f>
        <v>55</v>
      </c>
      <c r="T568" s="36"/>
      <c r="U568" s="39" t="s">
        <v>1012</v>
      </c>
      <c r="V568" s="39" t="s">
        <v>1624</v>
      </c>
      <c r="W568" s="30"/>
      <c r="X568" s="73" t="s">
        <v>3420</v>
      </c>
      <c r="Y568" s="127" t="str">
        <f>_xlfn.XLOOKUP(MasterFees[[#This Row],[Provider / Payer]],Contracts[Contract Name],Contracts[Contract ID],"No contract")</f>
        <v>CON-01</v>
      </c>
      <c r="Z568" s="127" t="str">
        <f>_xlfn.XLOOKUP(MasterFees[[#This Row],[Provider / Payer]],Contracts[Contract Name],Contracts[Pricing Basis],"To confirm")</f>
        <v>To confirm</v>
      </c>
      <c r="AA568" s="127" t="str">
        <f>IF(MasterFees[[#This Row],[Pricing Basis]]="Fixed fee schedule","Yes","No")</f>
        <v>No</v>
      </c>
      <c r="AB568" s="127" t="str">
        <f>IF(OR(MasterFees[[#This Row],[Fee Basis]]="Add-on",MasterFees[[#This Row],[Fee Basis]]="Time band",MasterFees[[#This Row],[Fee Basis]]="Other"),MasterFees[[#This Row],[Fee Basis]],"Base")</f>
        <v>Base</v>
      </c>
      <c r="AC568" s="141" t="str">
        <f>IF(MasterFees[[#This Row],[Fixed Fee?]]="Yes",MasterFees[[#This Row],[Fee Excl. GST]],"")</f>
        <v/>
      </c>
    </row>
    <row r="569" spans="1:29" x14ac:dyDescent="0.2">
      <c r="A569" s="67" t="s">
        <v>2237</v>
      </c>
      <c r="B569" s="31">
        <f>IF(MasterFees[[#This Row],[RVG Code]]="","",_xlfn.XLOOKUP(MasterFees[[#This Row],[RVG Code]],RVGCodes[Code],RVGCodes[Base Units],"Code not found"))</f>
        <v>4</v>
      </c>
      <c r="C56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6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69" s="125" t="s">
        <v>2589</v>
      </c>
      <c r="F569" s="48" t="s">
        <v>2569</v>
      </c>
      <c r="G569" s="30" t="s">
        <v>530</v>
      </c>
      <c r="H569" s="37" t="s">
        <v>1095</v>
      </c>
      <c r="I569" s="37"/>
      <c r="J569" s="37" t="s">
        <v>1096</v>
      </c>
      <c r="K569" s="32">
        <v>7</v>
      </c>
      <c r="L569" s="32">
        <v>8</v>
      </c>
      <c r="M569" s="32">
        <v>2</v>
      </c>
      <c r="N569" s="32">
        <v>17</v>
      </c>
      <c r="O569" s="33">
        <v>935</v>
      </c>
      <c r="P569" s="38" t="s">
        <v>1014</v>
      </c>
      <c r="Q569" s="34" t="str">
        <f>IF(MasterFees[[#This Row],[GST Basis]]="Excl",MasterFees[[#This Row],[Fee as Printed]],IF(MasterFees[[#This Row],[GST Basis]]="Incl",MasterFees[[#This Row],[Fee as Printed]]/(1+GST_Rate),""))</f>
        <v/>
      </c>
      <c r="R569" s="34" t="str">
        <f>IF(MasterFees[[#This Row],[GST Basis]]="Incl",MasterFees[[#This Row],[Fee as Printed]],IF(MasterFees[[#This Row],[GST Basis]]="Excl",MasterFees[[#This Row],[Fee as Printed]]*(1+GST_Rate),""))</f>
        <v/>
      </c>
      <c r="S569" s="35">
        <f>IF(N(MasterFees[[#This Row],[Total Units]])=0,"",MasterFees[[#This Row],[Fee as Printed]]/MasterFees[[#This Row],[Total Units]])</f>
        <v>55</v>
      </c>
      <c r="T569" s="36"/>
      <c r="U569" s="39" t="s">
        <v>1012</v>
      </c>
      <c r="V569" s="39" t="s">
        <v>1625</v>
      </c>
      <c r="W569" s="30"/>
      <c r="X569" s="73" t="s">
        <v>3422</v>
      </c>
      <c r="Y569" s="127" t="str">
        <f>_xlfn.XLOOKUP(MasterFees[[#This Row],[Provider / Payer]],Contracts[Contract Name],Contracts[Contract ID],"No contract")</f>
        <v>CON-01</v>
      </c>
      <c r="Z569" s="127" t="str">
        <f>_xlfn.XLOOKUP(MasterFees[[#This Row],[Provider / Payer]],Contracts[Contract Name],Contracts[Pricing Basis],"To confirm")</f>
        <v>To confirm</v>
      </c>
      <c r="AA569" s="127" t="str">
        <f>IF(MasterFees[[#This Row],[Pricing Basis]]="Fixed fee schedule","Yes","No")</f>
        <v>No</v>
      </c>
      <c r="AB569" s="127" t="str">
        <f>IF(OR(MasterFees[[#This Row],[Fee Basis]]="Add-on",MasterFees[[#This Row],[Fee Basis]]="Time band",MasterFees[[#This Row],[Fee Basis]]="Other"),MasterFees[[#This Row],[Fee Basis]],"Base")</f>
        <v>Base</v>
      </c>
      <c r="AC569" s="141" t="str">
        <f>IF(MasterFees[[#This Row],[Fixed Fee?]]="Yes",MasterFees[[#This Row],[Fee Excl. GST]],"")</f>
        <v/>
      </c>
    </row>
    <row r="570" spans="1:29" x14ac:dyDescent="0.2">
      <c r="A570" s="67" t="s">
        <v>2237</v>
      </c>
      <c r="B570" s="31">
        <f>IF(MasterFees[[#This Row],[RVG Code]]="","",_xlfn.XLOOKUP(MasterFees[[#This Row],[RVG Code]],RVGCodes[Code],RVGCodes[Base Units],"Code not found"))</f>
        <v>4</v>
      </c>
      <c r="C57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7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70" s="125" t="s">
        <v>2589</v>
      </c>
      <c r="F570" s="48" t="s">
        <v>2569</v>
      </c>
      <c r="G570" s="30" t="s">
        <v>531</v>
      </c>
      <c r="H570" s="37" t="s">
        <v>1095</v>
      </c>
      <c r="I570" s="37"/>
      <c r="J570" s="37" t="s">
        <v>1096</v>
      </c>
      <c r="K570" s="32">
        <v>5</v>
      </c>
      <c r="L570" s="32">
        <v>11</v>
      </c>
      <c r="M570" s="32">
        <v>0</v>
      </c>
      <c r="N570" s="32">
        <v>16</v>
      </c>
      <c r="O570" s="33">
        <v>880</v>
      </c>
      <c r="P570" s="38" t="s">
        <v>1014</v>
      </c>
      <c r="Q570" s="34" t="str">
        <f>IF(MasterFees[[#This Row],[GST Basis]]="Excl",MasterFees[[#This Row],[Fee as Printed]],IF(MasterFees[[#This Row],[GST Basis]]="Incl",MasterFees[[#This Row],[Fee as Printed]]/(1+GST_Rate),""))</f>
        <v/>
      </c>
      <c r="R570" s="34" t="str">
        <f>IF(MasterFees[[#This Row],[GST Basis]]="Incl",MasterFees[[#This Row],[Fee as Printed]],IF(MasterFees[[#This Row],[GST Basis]]="Excl",MasterFees[[#This Row],[Fee as Printed]]*(1+GST_Rate),""))</f>
        <v/>
      </c>
      <c r="S570" s="35">
        <f>IF(N(MasterFees[[#This Row],[Total Units]])=0,"",MasterFees[[#This Row],[Fee as Printed]]/MasterFees[[#This Row],[Total Units]])</f>
        <v>55</v>
      </c>
      <c r="T570" s="36"/>
      <c r="U570" s="39" t="s">
        <v>1012</v>
      </c>
      <c r="V570" s="39" t="s">
        <v>1626</v>
      </c>
      <c r="W570" s="30"/>
      <c r="X570" s="73" t="s">
        <v>3423</v>
      </c>
      <c r="Y570" s="127" t="str">
        <f>_xlfn.XLOOKUP(MasterFees[[#This Row],[Provider / Payer]],Contracts[Contract Name],Contracts[Contract ID],"No contract")</f>
        <v>CON-01</v>
      </c>
      <c r="Z570" s="127" t="str">
        <f>_xlfn.XLOOKUP(MasterFees[[#This Row],[Provider / Payer]],Contracts[Contract Name],Contracts[Pricing Basis],"To confirm")</f>
        <v>To confirm</v>
      </c>
      <c r="AA570" s="127" t="str">
        <f>IF(MasterFees[[#This Row],[Pricing Basis]]="Fixed fee schedule","Yes","No")</f>
        <v>No</v>
      </c>
      <c r="AB570" s="127" t="str">
        <f>IF(OR(MasterFees[[#This Row],[Fee Basis]]="Add-on",MasterFees[[#This Row],[Fee Basis]]="Time band",MasterFees[[#This Row],[Fee Basis]]="Other"),MasterFees[[#This Row],[Fee Basis]],"Base")</f>
        <v>Base</v>
      </c>
      <c r="AC570" s="141" t="str">
        <f>IF(MasterFees[[#This Row],[Fixed Fee?]]="Yes",MasterFees[[#This Row],[Fee Excl. GST]],"")</f>
        <v/>
      </c>
    </row>
    <row r="571" spans="1:29" x14ac:dyDescent="0.2">
      <c r="A571" s="67" t="s">
        <v>2242</v>
      </c>
      <c r="B571" s="31">
        <f>IF(MasterFees[[#This Row],[RVG Code]]="","",_xlfn.XLOOKUP(MasterFees[[#This Row],[RVG Code]],RVGCodes[Code],RVGCodes[Base Units],"Code not found"))</f>
        <v>6</v>
      </c>
      <c r="C57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7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71" s="125" t="s">
        <v>2620</v>
      </c>
      <c r="F571" s="48" t="s">
        <v>2567</v>
      </c>
      <c r="G571" s="30" t="s">
        <v>560</v>
      </c>
      <c r="H571" s="37" t="s">
        <v>1095</v>
      </c>
      <c r="I571" s="37"/>
      <c r="J571" s="37" t="s">
        <v>1096</v>
      </c>
      <c r="K571" s="32">
        <v>4</v>
      </c>
      <c r="L571" s="32">
        <v>5</v>
      </c>
      <c r="M571" s="32">
        <v>0</v>
      </c>
      <c r="N571" s="32">
        <v>9</v>
      </c>
      <c r="O571" s="33">
        <v>495</v>
      </c>
      <c r="P571" s="38" t="s">
        <v>1014</v>
      </c>
      <c r="Q571" s="34" t="str">
        <f>IF(MasterFees[[#This Row],[GST Basis]]="Excl",MasterFees[[#This Row],[Fee as Printed]],IF(MasterFees[[#This Row],[GST Basis]]="Incl",MasterFees[[#This Row],[Fee as Printed]]/(1+GST_Rate),""))</f>
        <v/>
      </c>
      <c r="R571" s="34" t="str">
        <f>IF(MasterFees[[#This Row],[GST Basis]]="Incl",MasterFees[[#This Row],[Fee as Printed]],IF(MasterFees[[#This Row],[GST Basis]]="Excl",MasterFees[[#This Row],[Fee as Printed]]*(1+GST_Rate),""))</f>
        <v/>
      </c>
      <c r="S571" s="35">
        <f>IF(N(MasterFees[[#This Row],[Total Units]])=0,"",MasterFees[[#This Row],[Fee as Printed]]/MasterFees[[#This Row],[Total Units]])</f>
        <v>55</v>
      </c>
      <c r="T571" s="36"/>
      <c r="U571" s="39" t="s">
        <v>1012</v>
      </c>
      <c r="V571" s="39" t="s">
        <v>1656</v>
      </c>
      <c r="W571" s="30"/>
      <c r="X571" s="73" t="s">
        <v>3453</v>
      </c>
      <c r="Y571" s="127" t="str">
        <f>_xlfn.XLOOKUP(MasterFees[[#This Row],[Provider / Payer]],Contracts[Contract Name],Contracts[Contract ID],"No contract")</f>
        <v>CON-01</v>
      </c>
      <c r="Z571" s="127" t="str">
        <f>_xlfn.XLOOKUP(MasterFees[[#This Row],[Provider / Payer]],Contracts[Contract Name],Contracts[Pricing Basis],"To confirm")</f>
        <v>To confirm</v>
      </c>
      <c r="AA571" s="127" t="str">
        <f>IF(MasterFees[[#This Row],[Pricing Basis]]="Fixed fee schedule","Yes","No")</f>
        <v>No</v>
      </c>
      <c r="AB571" s="127" t="str">
        <f>IF(OR(MasterFees[[#This Row],[Fee Basis]]="Add-on",MasterFees[[#This Row],[Fee Basis]]="Time band",MasterFees[[#This Row],[Fee Basis]]="Other"),MasterFees[[#This Row],[Fee Basis]],"Base")</f>
        <v>Base</v>
      </c>
      <c r="AC571" s="141" t="str">
        <f>IF(MasterFees[[#This Row],[Fixed Fee?]]="Yes",MasterFees[[#This Row],[Fee Excl. GST]],"")</f>
        <v/>
      </c>
    </row>
    <row r="572" spans="1:29" x14ac:dyDescent="0.2">
      <c r="A572" s="67" t="s">
        <v>2237</v>
      </c>
      <c r="B572" s="31">
        <f>IF(MasterFees[[#This Row],[RVG Code]]="","",_xlfn.XLOOKUP(MasterFees[[#This Row],[RVG Code]],RVGCodes[Code],RVGCodes[Base Units],"Code not found"))</f>
        <v>4</v>
      </c>
      <c r="C57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7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72" s="125" t="s">
        <v>2589</v>
      </c>
      <c r="F572" s="48" t="s">
        <v>2569</v>
      </c>
      <c r="G572" s="30" t="s">
        <v>561</v>
      </c>
      <c r="H572" s="37" t="s">
        <v>1095</v>
      </c>
      <c r="I572" s="37"/>
      <c r="J572" s="37" t="s">
        <v>1096</v>
      </c>
      <c r="K572" s="32">
        <v>4.8</v>
      </c>
      <c r="L572" s="32">
        <v>4.3</v>
      </c>
      <c r="M572" s="32">
        <v>0.6</v>
      </c>
      <c r="N572" s="32">
        <v>9.6</v>
      </c>
      <c r="O572" s="33">
        <v>528.54999999999995</v>
      </c>
      <c r="P572" s="38" t="s">
        <v>1014</v>
      </c>
      <c r="Q572" s="34" t="str">
        <f>IF(MasterFees[[#This Row],[GST Basis]]="Excl",MasterFees[[#This Row],[Fee as Printed]],IF(MasterFees[[#This Row],[GST Basis]]="Incl",MasterFees[[#This Row],[Fee as Printed]]/(1+GST_Rate),""))</f>
        <v/>
      </c>
      <c r="R572" s="34" t="str">
        <f>IF(MasterFees[[#This Row],[GST Basis]]="Incl",MasterFees[[#This Row],[Fee as Printed]],IF(MasterFees[[#This Row],[GST Basis]]="Excl",MasterFees[[#This Row],[Fee as Printed]]*(1+GST_Rate),""))</f>
        <v/>
      </c>
      <c r="S572" s="35">
        <f>IF(N(MasterFees[[#This Row],[Total Units]])=0,"",MasterFees[[#This Row],[Fee as Printed]]/MasterFees[[#This Row],[Total Units]])</f>
        <v>55.057291666666664</v>
      </c>
      <c r="T572" s="36"/>
      <c r="U572" s="39" t="s">
        <v>1012</v>
      </c>
      <c r="V572" s="39" t="s">
        <v>1657</v>
      </c>
      <c r="W572" s="30"/>
      <c r="X572" s="73" t="s">
        <v>3454</v>
      </c>
      <c r="Y572" s="127" t="str">
        <f>_xlfn.XLOOKUP(MasterFees[[#This Row],[Provider / Payer]],Contracts[Contract Name],Contracts[Contract ID],"No contract")</f>
        <v>CON-01</v>
      </c>
      <c r="Z572" s="127" t="str">
        <f>_xlfn.XLOOKUP(MasterFees[[#This Row],[Provider / Payer]],Contracts[Contract Name],Contracts[Pricing Basis],"To confirm")</f>
        <v>To confirm</v>
      </c>
      <c r="AA572" s="127" t="str">
        <f>IF(MasterFees[[#This Row],[Pricing Basis]]="Fixed fee schedule","Yes","No")</f>
        <v>No</v>
      </c>
      <c r="AB572" s="127" t="str">
        <f>IF(OR(MasterFees[[#This Row],[Fee Basis]]="Add-on",MasterFees[[#This Row],[Fee Basis]]="Time band",MasterFees[[#This Row],[Fee Basis]]="Other"),MasterFees[[#This Row],[Fee Basis]],"Base")</f>
        <v>Base</v>
      </c>
      <c r="AC572" s="141" t="str">
        <f>IF(MasterFees[[#This Row],[Fixed Fee?]]="Yes",MasterFees[[#This Row],[Fee Excl. GST]],"")</f>
        <v/>
      </c>
    </row>
    <row r="573" spans="1:29" x14ac:dyDescent="0.2">
      <c r="A573" s="67" t="s">
        <v>2237</v>
      </c>
      <c r="B573" s="31">
        <f>IF(MasterFees[[#This Row],[RVG Code]]="","",_xlfn.XLOOKUP(MasterFees[[#This Row],[RVG Code]],RVGCodes[Code],RVGCodes[Base Units],"Code not found"))</f>
        <v>4</v>
      </c>
      <c r="C57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7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73" s="125" t="s">
        <v>2589</v>
      </c>
      <c r="F573" s="48" t="s">
        <v>2569</v>
      </c>
      <c r="G573" s="30" t="s">
        <v>583</v>
      </c>
      <c r="H573" s="37" t="s">
        <v>1095</v>
      </c>
      <c r="I573" s="37"/>
      <c r="J573" s="37" t="s">
        <v>1096</v>
      </c>
      <c r="K573" s="32">
        <v>4</v>
      </c>
      <c r="L573" s="32">
        <v>20</v>
      </c>
      <c r="M573" s="32">
        <v>1</v>
      </c>
      <c r="N573" s="32">
        <v>25</v>
      </c>
      <c r="O573" s="33">
        <v>1375</v>
      </c>
      <c r="P573" s="38" t="s">
        <v>1014</v>
      </c>
      <c r="Q573" s="34" t="str">
        <f>IF(MasterFees[[#This Row],[GST Basis]]="Excl",MasterFees[[#This Row],[Fee as Printed]],IF(MasterFees[[#This Row],[GST Basis]]="Incl",MasterFees[[#This Row],[Fee as Printed]]/(1+GST_Rate),""))</f>
        <v/>
      </c>
      <c r="R573" s="34" t="str">
        <f>IF(MasterFees[[#This Row],[GST Basis]]="Incl",MasterFees[[#This Row],[Fee as Printed]],IF(MasterFees[[#This Row],[GST Basis]]="Excl",MasterFees[[#This Row],[Fee as Printed]]*(1+GST_Rate),""))</f>
        <v/>
      </c>
      <c r="S573" s="35">
        <f>IF(N(MasterFees[[#This Row],[Total Units]])=0,"",MasterFees[[#This Row],[Fee as Printed]]/MasterFees[[#This Row],[Total Units]])</f>
        <v>55</v>
      </c>
      <c r="T573" s="36"/>
      <c r="U573" s="39" t="s">
        <v>1012</v>
      </c>
      <c r="V573" s="39" t="s">
        <v>1679</v>
      </c>
      <c r="W573" s="30"/>
      <c r="X573" s="73" t="s">
        <v>3476</v>
      </c>
      <c r="Y573" s="127" t="str">
        <f>_xlfn.XLOOKUP(MasterFees[[#This Row],[Provider / Payer]],Contracts[Contract Name],Contracts[Contract ID],"No contract")</f>
        <v>CON-01</v>
      </c>
      <c r="Z573" s="127" t="str">
        <f>_xlfn.XLOOKUP(MasterFees[[#This Row],[Provider / Payer]],Contracts[Contract Name],Contracts[Pricing Basis],"To confirm")</f>
        <v>To confirm</v>
      </c>
      <c r="AA573" s="127" t="str">
        <f>IF(MasterFees[[#This Row],[Pricing Basis]]="Fixed fee schedule","Yes","No")</f>
        <v>No</v>
      </c>
      <c r="AB573" s="127" t="str">
        <f>IF(OR(MasterFees[[#This Row],[Fee Basis]]="Add-on",MasterFees[[#This Row],[Fee Basis]]="Time band",MasterFees[[#This Row],[Fee Basis]]="Other"),MasterFees[[#This Row],[Fee Basis]],"Base")</f>
        <v>Base</v>
      </c>
      <c r="AC573" s="141" t="str">
        <f>IF(MasterFees[[#This Row],[Fixed Fee?]]="Yes",MasterFees[[#This Row],[Fee Excl. GST]],"")</f>
        <v/>
      </c>
    </row>
    <row r="574" spans="1:29" x14ac:dyDescent="0.2">
      <c r="A574" s="67" t="s">
        <v>2242</v>
      </c>
      <c r="B574" s="31">
        <f>IF(MasterFees[[#This Row],[RVG Code]]="","",_xlfn.XLOOKUP(MasterFees[[#This Row],[RVG Code]],RVGCodes[Code],RVGCodes[Base Units],"Code not found"))</f>
        <v>6</v>
      </c>
      <c r="C57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7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74" s="125" t="s">
        <v>2620</v>
      </c>
      <c r="F574" s="48" t="s">
        <v>2567</v>
      </c>
      <c r="G574" s="30" t="s">
        <v>588</v>
      </c>
      <c r="H574" s="37" t="s">
        <v>1095</v>
      </c>
      <c r="I574" s="37"/>
      <c r="J574" s="37" t="s">
        <v>1096</v>
      </c>
      <c r="K574" s="32">
        <v>4.4000000000000004</v>
      </c>
      <c r="L574" s="32">
        <v>3.4</v>
      </c>
      <c r="M574" s="32">
        <v>0.1</v>
      </c>
      <c r="N574" s="32">
        <v>8</v>
      </c>
      <c r="O574" s="33">
        <v>439.45</v>
      </c>
      <c r="P574" s="38" t="s">
        <v>1014</v>
      </c>
      <c r="Q574" s="34" t="str">
        <f>IF(MasterFees[[#This Row],[GST Basis]]="Excl",MasterFees[[#This Row],[Fee as Printed]],IF(MasterFees[[#This Row],[GST Basis]]="Incl",MasterFees[[#This Row],[Fee as Printed]]/(1+GST_Rate),""))</f>
        <v/>
      </c>
      <c r="R574" s="34" t="str">
        <f>IF(MasterFees[[#This Row],[GST Basis]]="Incl",MasterFees[[#This Row],[Fee as Printed]],IF(MasterFees[[#This Row],[GST Basis]]="Excl",MasterFees[[#This Row],[Fee as Printed]]*(1+GST_Rate),""))</f>
        <v/>
      </c>
      <c r="S574" s="35">
        <f>IF(N(MasterFees[[#This Row],[Total Units]])=0,"",MasterFees[[#This Row],[Fee as Printed]]/MasterFees[[#This Row],[Total Units]])</f>
        <v>54.931249999999999</v>
      </c>
      <c r="T574" s="36"/>
      <c r="U574" s="39" t="s">
        <v>1012</v>
      </c>
      <c r="V574" s="39" t="s">
        <v>1684</v>
      </c>
      <c r="W574" s="30"/>
      <c r="X574" s="73" t="s">
        <v>3481</v>
      </c>
      <c r="Y574" s="127" t="str">
        <f>_xlfn.XLOOKUP(MasterFees[[#This Row],[Provider / Payer]],Contracts[Contract Name],Contracts[Contract ID],"No contract")</f>
        <v>CON-01</v>
      </c>
      <c r="Z574" s="127" t="str">
        <f>_xlfn.XLOOKUP(MasterFees[[#This Row],[Provider / Payer]],Contracts[Contract Name],Contracts[Pricing Basis],"To confirm")</f>
        <v>To confirm</v>
      </c>
      <c r="AA574" s="127" t="str">
        <f>IF(MasterFees[[#This Row],[Pricing Basis]]="Fixed fee schedule","Yes","No")</f>
        <v>No</v>
      </c>
      <c r="AB574" s="127" t="str">
        <f>IF(OR(MasterFees[[#This Row],[Fee Basis]]="Add-on",MasterFees[[#This Row],[Fee Basis]]="Time band",MasterFees[[#This Row],[Fee Basis]]="Other"),MasterFees[[#This Row],[Fee Basis]],"Base")</f>
        <v>Base</v>
      </c>
      <c r="AC574" s="141" t="str">
        <f>IF(MasterFees[[#This Row],[Fixed Fee?]]="Yes",MasterFees[[#This Row],[Fee Excl. GST]],"")</f>
        <v/>
      </c>
    </row>
    <row r="575" spans="1:29" x14ac:dyDescent="0.2">
      <c r="A575" s="67" t="s">
        <v>2242</v>
      </c>
      <c r="B575" s="31">
        <f>IF(MasterFees[[#This Row],[RVG Code]]="","",_xlfn.XLOOKUP(MasterFees[[#This Row],[RVG Code]],RVGCodes[Code],RVGCodes[Base Units],"Code not found"))</f>
        <v>6</v>
      </c>
      <c r="C57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7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75" s="125" t="s">
        <v>2620</v>
      </c>
      <c r="F575" s="48" t="s">
        <v>2567</v>
      </c>
      <c r="G575" s="30" t="s">
        <v>592</v>
      </c>
      <c r="H575" s="37" t="s">
        <v>1095</v>
      </c>
      <c r="I575" s="37"/>
      <c r="J575" s="37" t="s">
        <v>1096</v>
      </c>
      <c r="K575" s="32">
        <v>6</v>
      </c>
      <c r="L575" s="32">
        <v>11</v>
      </c>
      <c r="M575" s="32">
        <v>0</v>
      </c>
      <c r="N575" s="32">
        <v>17</v>
      </c>
      <c r="O575" s="33">
        <v>935</v>
      </c>
      <c r="P575" s="38" t="s">
        <v>1014</v>
      </c>
      <c r="Q575" s="34" t="str">
        <f>IF(MasterFees[[#This Row],[GST Basis]]="Excl",MasterFees[[#This Row],[Fee as Printed]],IF(MasterFees[[#This Row],[GST Basis]]="Incl",MasterFees[[#This Row],[Fee as Printed]]/(1+GST_Rate),""))</f>
        <v/>
      </c>
      <c r="R575" s="34" t="str">
        <f>IF(MasterFees[[#This Row],[GST Basis]]="Incl",MasterFees[[#This Row],[Fee as Printed]],IF(MasterFees[[#This Row],[GST Basis]]="Excl",MasterFees[[#This Row],[Fee as Printed]]*(1+GST_Rate),""))</f>
        <v/>
      </c>
      <c r="S575" s="35">
        <f>IF(N(MasterFees[[#This Row],[Total Units]])=0,"",MasterFees[[#This Row],[Fee as Printed]]/MasterFees[[#This Row],[Total Units]])</f>
        <v>55</v>
      </c>
      <c r="T575" s="36"/>
      <c r="U575" s="39" t="s">
        <v>1012</v>
      </c>
      <c r="V575" s="39" t="s">
        <v>1688</v>
      </c>
      <c r="W575" s="30"/>
      <c r="X575" s="73" t="s">
        <v>3485</v>
      </c>
      <c r="Y575" s="127" t="str">
        <f>_xlfn.XLOOKUP(MasterFees[[#This Row],[Provider / Payer]],Contracts[Contract Name],Contracts[Contract ID],"No contract")</f>
        <v>CON-01</v>
      </c>
      <c r="Z575" s="127" t="str">
        <f>_xlfn.XLOOKUP(MasterFees[[#This Row],[Provider / Payer]],Contracts[Contract Name],Contracts[Pricing Basis],"To confirm")</f>
        <v>To confirm</v>
      </c>
      <c r="AA575" s="127" t="str">
        <f>IF(MasterFees[[#This Row],[Pricing Basis]]="Fixed fee schedule","Yes","No")</f>
        <v>No</v>
      </c>
      <c r="AB575" s="127" t="str">
        <f>IF(OR(MasterFees[[#This Row],[Fee Basis]]="Add-on",MasterFees[[#This Row],[Fee Basis]]="Time band",MasterFees[[#This Row],[Fee Basis]]="Other"),MasterFees[[#This Row],[Fee Basis]],"Base")</f>
        <v>Base</v>
      </c>
      <c r="AC575" s="141" t="str">
        <f>IF(MasterFees[[#This Row],[Fixed Fee?]]="Yes",MasterFees[[#This Row],[Fee Excl. GST]],"")</f>
        <v/>
      </c>
    </row>
    <row r="576" spans="1:29" x14ac:dyDescent="0.2">
      <c r="A576" s="67" t="s">
        <v>2237</v>
      </c>
      <c r="B576" s="31">
        <f>IF(MasterFees[[#This Row],[RVG Code]]="","",_xlfn.XLOOKUP(MasterFees[[#This Row],[RVG Code]],RVGCodes[Code],RVGCodes[Base Units],"Code not found"))</f>
        <v>4</v>
      </c>
      <c r="C57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7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76" s="125" t="s">
        <v>2589</v>
      </c>
      <c r="F576" s="48" t="s">
        <v>2567</v>
      </c>
      <c r="G576" s="30" t="s">
        <v>625</v>
      </c>
      <c r="H576" s="37" t="s">
        <v>1095</v>
      </c>
      <c r="I576" s="37"/>
      <c r="J576" s="37" t="s">
        <v>1096</v>
      </c>
      <c r="K576" s="32">
        <v>0</v>
      </c>
      <c r="L576" s="32">
        <v>0</v>
      </c>
      <c r="M576" s="32">
        <v>0</v>
      </c>
      <c r="N576" s="32">
        <v>0</v>
      </c>
      <c r="O576" s="33">
        <v>0</v>
      </c>
      <c r="P576" s="38" t="s">
        <v>1014</v>
      </c>
      <c r="Q576" s="34" t="str">
        <f>IF(MasterFees[[#This Row],[GST Basis]]="Excl",MasterFees[[#This Row],[Fee as Printed]],IF(MasterFees[[#This Row],[GST Basis]]="Incl",MasterFees[[#This Row],[Fee as Printed]]/(1+GST_Rate),""))</f>
        <v/>
      </c>
      <c r="R576" s="34" t="str">
        <f>IF(MasterFees[[#This Row],[GST Basis]]="Incl",MasterFees[[#This Row],[Fee as Printed]],IF(MasterFees[[#This Row],[GST Basis]]="Excl",MasterFees[[#This Row],[Fee as Printed]]*(1+GST_Rate),""))</f>
        <v/>
      </c>
      <c r="S576" s="35" t="str">
        <f>IF(N(MasterFees[[#This Row],[Total Units]])=0,"",MasterFees[[#This Row],[Fee as Printed]]/MasterFees[[#This Row],[Total Units]])</f>
        <v/>
      </c>
      <c r="T576" s="36"/>
      <c r="U576" s="39" t="s">
        <v>1012</v>
      </c>
      <c r="V576" s="39" t="s">
        <v>1722</v>
      </c>
      <c r="W576" s="30"/>
      <c r="X576" s="73" t="s">
        <v>3519</v>
      </c>
      <c r="Y576" s="127" t="str">
        <f>_xlfn.XLOOKUP(MasterFees[[#This Row],[Provider / Payer]],Contracts[Contract Name],Contracts[Contract ID],"No contract")</f>
        <v>CON-01</v>
      </c>
      <c r="Z576" s="127" t="str">
        <f>_xlfn.XLOOKUP(MasterFees[[#This Row],[Provider / Payer]],Contracts[Contract Name],Contracts[Pricing Basis],"To confirm")</f>
        <v>To confirm</v>
      </c>
      <c r="AA576" s="127" t="str">
        <f>IF(MasterFees[[#This Row],[Pricing Basis]]="Fixed fee schedule","Yes","No")</f>
        <v>No</v>
      </c>
      <c r="AB576" s="127" t="str">
        <f>IF(OR(MasterFees[[#This Row],[Fee Basis]]="Add-on",MasterFees[[#This Row],[Fee Basis]]="Time band",MasterFees[[#This Row],[Fee Basis]]="Other"),MasterFees[[#This Row],[Fee Basis]],"Base")</f>
        <v>Base</v>
      </c>
      <c r="AC576" s="141" t="str">
        <f>IF(MasterFees[[#This Row],[Fixed Fee?]]="Yes",MasterFees[[#This Row],[Fee Excl. GST]],"")</f>
        <v/>
      </c>
    </row>
    <row r="577" spans="1:29" x14ac:dyDescent="0.2">
      <c r="A577" s="67" t="s">
        <v>2244</v>
      </c>
      <c r="B577" s="31">
        <f>IF(MasterFees[[#This Row],[RVG Code]]="","",_xlfn.XLOOKUP(MasterFees[[#This Row],[RVG Code]],RVGCodes[Code],RVGCodes[Base Units],"Code not found"))</f>
        <v>8</v>
      </c>
      <c r="C57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7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77" s="125" t="s">
        <v>2590</v>
      </c>
      <c r="F577" s="48" t="s">
        <v>2629</v>
      </c>
      <c r="G577" s="30" t="s">
        <v>2245</v>
      </c>
      <c r="H577" s="37" t="s">
        <v>2630</v>
      </c>
      <c r="I577" s="37" t="s">
        <v>2244</v>
      </c>
      <c r="J577" s="37" t="s">
        <v>1096</v>
      </c>
      <c r="K577" s="32">
        <v>8</v>
      </c>
      <c r="L577" s="32"/>
      <c r="M577" s="32"/>
      <c r="N577" s="32">
        <v>8</v>
      </c>
      <c r="O577" s="33"/>
      <c r="P577" s="38"/>
      <c r="Q577" s="34" t="str">
        <f>IF(MasterFees[[#This Row],[GST Basis]]="Excl",MasterFees[[#This Row],[Fee as Printed]],IF(MasterFees[[#This Row],[GST Basis]]="Incl",MasterFees[[#This Row],[Fee as Printed]]/(1+GST_Rate),""))</f>
        <v/>
      </c>
      <c r="R577" s="34" t="str">
        <f>IF(MasterFees[[#This Row],[GST Basis]]="Incl",MasterFees[[#This Row],[Fee as Printed]],IF(MasterFees[[#This Row],[GST Basis]]="Excl",MasterFees[[#This Row],[Fee as Printed]]*(1+GST_Rate),""))</f>
        <v/>
      </c>
      <c r="S577" s="35">
        <f>IF(N(MasterFees[[#This Row],[Total Units]])=0,"",MasterFees[[#This Row],[Fee as Printed]]/MasterFees[[#This Row],[Total Units]])</f>
        <v>0</v>
      </c>
      <c r="T577" s="36"/>
      <c r="U577" s="39" t="s">
        <v>1016</v>
      </c>
      <c r="V577" s="39" t="s">
        <v>2656</v>
      </c>
      <c r="W577" s="30" t="s">
        <v>2632</v>
      </c>
      <c r="X577" s="73" t="s">
        <v>3421</v>
      </c>
      <c r="Y577" s="127" t="str">
        <f>_xlfn.XLOOKUP(MasterFees[[#This Row],[Provider / Payer]],Contracts[Contract Name],Contracts[Contract ID],"No contract")</f>
        <v>CON-10</v>
      </c>
      <c r="Z577" s="127" t="str">
        <f>_xlfn.XLOOKUP(MasterFees[[#This Row],[Provider / Payer]],Contracts[Contract Name],Contracts[Pricing Basis],"To confirm")</f>
        <v>Reference – units only</v>
      </c>
      <c r="AA577" s="127" t="str">
        <f>IF(MasterFees[[#This Row],[Pricing Basis]]="Fixed fee schedule","Yes","No")</f>
        <v>No</v>
      </c>
      <c r="AB577" s="127" t="str">
        <f>IF(OR(MasterFees[[#This Row],[Fee Basis]]="Add-on",MasterFees[[#This Row],[Fee Basis]]="Time band",MasterFees[[#This Row],[Fee Basis]]="Other"),MasterFees[[#This Row],[Fee Basis]],"Base")</f>
        <v>Base</v>
      </c>
      <c r="AC577" s="141" t="str">
        <f>IF(MasterFees[[#This Row],[Fixed Fee?]]="Yes",MasterFees[[#This Row],[Fee Excl. GST]],"")</f>
        <v/>
      </c>
    </row>
    <row r="578" spans="1:29" x14ac:dyDescent="0.2">
      <c r="A578" s="67" t="s">
        <v>2237</v>
      </c>
      <c r="B578" s="31">
        <f>IF(MasterFees[[#This Row],[RVG Code]]="","",_xlfn.XLOOKUP(MasterFees[[#This Row],[RVG Code]],RVGCodes[Code],RVGCodes[Base Units],"Code not found"))</f>
        <v>4</v>
      </c>
      <c r="C57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7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78" s="125" t="s">
        <v>2589</v>
      </c>
      <c r="F578" s="48" t="s">
        <v>2569</v>
      </c>
      <c r="G578" s="30" t="s">
        <v>628</v>
      </c>
      <c r="H578" s="37" t="s">
        <v>1095</v>
      </c>
      <c r="I578" s="37"/>
      <c r="J578" s="37" t="s">
        <v>1096</v>
      </c>
      <c r="K578" s="32">
        <v>5.0999999999999996</v>
      </c>
      <c r="L578" s="32">
        <v>7.3</v>
      </c>
      <c r="M578" s="32">
        <v>1.9</v>
      </c>
      <c r="N578" s="32">
        <v>14.3</v>
      </c>
      <c r="O578" s="33">
        <v>783.75</v>
      </c>
      <c r="P578" s="38" t="s">
        <v>1014</v>
      </c>
      <c r="Q578" s="34" t="str">
        <f>IF(MasterFees[[#This Row],[GST Basis]]="Excl",MasterFees[[#This Row],[Fee as Printed]],IF(MasterFees[[#This Row],[GST Basis]]="Incl",MasterFees[[#This Row],[Fee as Printed]]/(1+GST_Rate),""))</f>
        <v/>
      </c>
      <c r="R578" s="34" t="str">
        <f>IF(MasterFees[[#This Row],[GST Basis]]="Incl",MasterFees[[#This Row],[Fee as Printed]],IF(MasterFees[[#This Row],[GST Basis]]="Excl",MasterFees[[#This Row],[Fee as Printed]]*(1+GST_Rate),""))</f>
        <v/>
      </c>
      <c r="S578" s="35">
        <f>IF(N(MasterFees[[#This Row],[Total Units]])=0,"",MasterFees[[#This Row],[Fee as Printed]]/MasterFees[[#This Row],[Total Units]])</f>
        <v>54.807692307692307</v>
      </c>
      <c r="T578" s="36"/>
      <c r="U578" s="39" t="s">
        <v>1012</v>
      </c>
      <c r="V578" s="39" t="s">
        <v>1725</v>
      </c>
      <c r="W578" s="30"/>
      <c r="X578" s="73" t="s">
        <v>3523</v>
      </c>
      <c r="Y578" s="127" t="str">
        <f>_xlfn.XLOOKUP(MasterFees[[#This Row],[Provider / Payer]],Contracts[Contract Name],Contracts[Contract ID],"No contract")</f>
        <v>CON-01</v>
      </c>
      <c r="Z578" s="127" t="str">
        <f>_xlfn.XLOOKUP(MasterFees[[#This Row],[Provider / Payer]],Contracts[Contract Name],Contracts[Pricing Basis],"To confirm")</f>
        <v>To confirm</v>
      </c>
      <c r="AA578" s="127" t="str">
        <f>IF(MasterFees[[#This Row],[Pricing Basis]]="Fixed fee schedule","Yes","No")</f>
        <v>No</v>
      </c>
      <c r="AB578" s="127" t="str">
        <f>IF(OR(MasterFees[[#This Row],[Fee Basis]]="Add-on",MasterFees[[#This Row],[Fee Basis]]="Time band",MasterFees[[#This Row],[Fee Basis]]="Other"),MasterFees[[#This Row],[Fee Basis]],"Base")</f>
        <v>Base</v>
      </c>
      <c r="AC578" s="141" t="str">
        <f>IF(MasterFees[[#This Row],[Fixed Fee?]]="Yes",MasterFees[[#This Row],[Fee Excl. GST]],"")</f>
        <v/>
      </c>
    </row>
    <row r="579" spans="1:29" x14ac:dyDescent="0.2">
      <c r="A579" s="67" t="s">
        <v>2237</v>
      </c>
      <c r="B579" s="31">
        <f>IF(MasterFees[[#This Row],[RVG Code]]="","",_xlfn.XLOOKUP(MasterFees[[#This Row],[RVG Code]],RVGCodes[Code],RVGCodes[Base Units],"Code not found"))</f>
        <v>4</v>
      </c>
      <c r="C57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7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79" s="125" t="s">
        <v>2589</v>
      </c>
      <c r="F579" s="48" t="s">
        <v>2567</v>
      </c>
      <c r="G579" s="30" t="s">
        <v>630</v>
      </c>
      <c r="H579" s="37" t="s">
        <v>1095</v>
      </c>
      <c r="I579" s="37"/>
      <c r="J579" s="37" t="s">
        <v>1096</v>
      </c>
      <c r="K579" s="32">
        <v>5.2</v>
      </c>
      <c r="L579" s="32">
        <v>12.6</v>
      </c>
      <c r="M579" s="32">
        <v>1.1000000000000001</v>
      </c>
      <c r="N579" s="32">
        <v>18.899999999999999</v>
      </c>
      <c r="O579" s="33">
        <v>1037.8499999999999</v>
      </c>
      <c r="P579" s="38" t="s">
        <v>1014</v>
      </c>
      <c r="Q579" s="34" t="str">
        <f>IF(MasterFees[[#This Row],[GST Basis]]="Excl",MasterFees[[#This Row],[Fee as Printed]],IF(MasterFees[[#This Row],[GST Basis]]="Incl",MasterFees[[#This Row],[Fee as Printed]]/(1+GST_Rate),""))</f>
        <v/>
      </c>
      <c r="R579" s="34" t="str">
        <f>IF(MasterFees[[#This Row],[GST Basis]]="Incl",MasterFees[[#This Row],[Fee as Printed]],IF(MasterFees[[#This Row],[GST Basis]]="Excl",MasterFees[[#This Row],[Fee as Printed]]*(1+GST_Rate),""))</f>
        <v/>
      </c>
      <c r="S579" s="35">
        <f>IF(N(MasterFees[[#This Row],[Total Units]])=0,"",MasterFees[[#This Row],[Fee as Printed]]/MasterFees[[#This Row],[Total Units]])</f>
        <v>54.912698412698411</v>
      </c>
      <c r="T579" s="36"/>
      <c r="U579" s="39" t="s">
        <v>1012</v>
      </c>
      <c r="V579" s="39" t="s">
        <v>1727</v>
      </c>
      <c r="W579" s="30"/>
      <c r="X579" s="73" t="s">
        <v>3525</v>
      </c>
      <c r="Y579" s="127" t="str">
        <f>_xlfn.XLOOKUP(MasterFees[[#This Row],[Provider / Payer]],Contracts[Contract Name],Contracts[Contract ID],"No contract")</f>
        <v>CON-01</v>
      </c>
      <c r="Z579" s="127" t="str">
        <f>_xlfn.XLOOKUP(MasterFees[[#This Row],[Provider / Payer]],Contracts[Contract Name],Contracts[Pricing Basis],"To confirm")</f>
        <v>To confirm</v>
      </c>
      <c r="AA579" s="127" t="str">
        <f>IF(MasterFees[[#This Row],[Pricing Basis]]="Fixed fee schedule","Yes","No")</f>
        <v>No</v>
      </c>
      <c r="AB579" s="127" t="str">
        <f>IF(OR(MasterFees[[#This Row],[Fee Basis]]="Add-on",MasterFees[[#This Row],[Fee Basis]]="Time band",MasterFees[[#This Row],[Fee Basis]]="Other"),MasterFees[[#This Row],[Fee Basis]],"Base")</f>
        <v>Base</v>
      </c>
      <c r="AC579" s="141" t="str">
        <f>IF(MasterFees[[#This Row],[Fixed Fee?]]="Yes",MasterFees[[#This Row],[Fee Excl. GST]],"")</f>
        <v/>
      </c>
    </row>
    <row r="580" spans="1:29" x14ac:dyDescent="0.2">
      <c r="A580" s="67" t="s">
        <v>2237</v>
      </c>
      <c r="B580" s="31">
        <f>IF(MasterFees[[#This Row],[RVG Code]]="","",_xlfn.XLOOKUP(MasterFees[[#This Row],[RVG Code]],RVGCodes[Code],RVGCodes[Base Units],"Code not found"))</f>
        <v>4</v>
      </c>
      <c r="C58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8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80" s="125" t="s">
        <v>2589</v>
      </c>
      <c r="F580" s="48" t="s">
        <v>2567</v>
      </c>
      <c r="G580" s="30" t="s">
        <v>630</v>
      </c>
      <c r="H580" s="37" t="s">
        <v>4069</v>
      </c>
      <c r="I580" s="37"/>
      <c r="J580" s="37" t="s">
        <v>1024</v>
      </c>
      <c r="K580" s="32"/>
      <c r="L580" s="32"/>
      <c r="M580" s="32"/>
      <c r="N580" s="32"/>
      <c r="O580" s="33">
        <v>2070</v>
      </c>
      <c r="P580" s="38" t="s">
        <v>4043</v>
      </c>
      <c r="Q580" s="34">
        <f>IF(MasterFees[[#This Row],[GST Basis]]="Excl",MasterFees[[#This Row],[Fee as Printed]],IF(MasterFees[[#This Row],[GST Basis]]="Incl",MasterFees[[#This Row],[Fee as Printed]]/(1+GST_Rate),""))</f>
        <v>1800.0000000000002</v>
      </c>
      <c r="R580" s="34">
        <f>IF(MasterFees[[#This Row],[GST Basis]]="Incl",MasterFees[[#This Row],[Fee as Printed]],IF(MasterFees[[#This Row],[GST Basis]]="Excl",MasterFees[[#This Row],[Fee as Printed]]*(1+GST_Rate),""))</f>
        <v>2070</v>
      </c>
      <c r="S580" s="35" t="str">
        <f>IF(N(MasterFees[[#This Row],[Total Units]])=0,"",MasterFees[[#This Row],[Fee as Printed]]/MasterFees[[#This Row],[Total Units]])</f>
        <v/>
      </c>
      <c r="T580" s="36">
        <v>46174</v>
      </c>
      <c r="U580" s="39" t="s">
        <v>4025</v>
      </c>
      <c r="V580" s="39" t="s">
        <v>4070</v>
      </c>
      <c r="W580" s="30" t="s">
        <v>4074</v>
      </c>
      <c r="X580" s="77" t="s">
        <v>4094</v>
      </c>
      <c r="Y580" s="127" t="str">
        <f>_xlfn.XLOOKUP(MasterFees[[#This Row],[Provider / Payer]],Contracts[Contract Name],Contracts[Contract ID],"No contract")</f>
        <v>CON-08</v>
      </c>
      <c r="Z580" s="127" t="str">
        <f>_xlfn.XLOOKUP(MasterFees[[#This Row],[Provider / Payer]],Contracts[Contract Name],Contracts[Pricing Basis],"To confirm")</f>
        <v>Fixed fee schedule</v>
      </c>
      <c r="AA580" s="127" t="str">
        <f>IF(MasterFees[[#This Row],[Pricing Basis]]="Fixed fee schedule","Yes","No")</f>
        <v>Yes</v>
      </c>
      <c r="AB580" s="127" t="str">
        <f>IF(OR(MasterFees[[#This Row],[Fee Basis]]="Add-on",MasterFees[[#This Row],[Fee Basis]]="Time band",MasterFees[[#This Row],[Fee Basis]]="Other"),MasterFees[[#This Row],[Fee Basis]],"Base")</f>
        <v>Base</v>
      </c>
      <c r="AC580" s="141">
        <f>IF(MasterFees[[#This Row],[Fixed Fee?]]="Yes",MasterFees[[#This Row],[Fee Excl. GST]],"")</f>
        <v>1800.0000000000002</v>
      </c>
    </row>
    <row r="581" spans="1:29" x14ac:dyDescent="0.2">
      <c r="A581" s="67" t="s">
        <v>2237</v>
      </c>
      <c r="B581" s="31">
        <f>IF(MasterFees[[#This Row],[RVG Code]]="","",_xlfn.XLOOKUP(MasterFees[[#This Row],[RVG Code]],RVGCodes[Code],RVGCodes[Base Units],"Code not found"))</f>
        <v>4</v>
      </c>
      <c r="C58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8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81" s="125" t="s">
        <v>2589</v>
      </c>
      <c r="F581" s="48" t="s">
        <v>2567</v>
      </c>
      <c r="G581" s="30" t="s">
        <v>638</v>
      </c>
      <c r="H581" s="37" t="s">
        <v>1095</v>
      </c>
      <c r="I581" s="37"/>
      <c r="J581" s="37" t="s">
        <v>1096</v>
      </c>
      <c r="K581" s="32">
        <v>4.5999999999999996</v>
      </c>
      <c r="L581" s="32">
        <v>4.4000000000000004</v>
      </c>
      <c r="M581" s="32">
        <v>0.6</v>
      </c>
      <c r="N581" s="32">
        <v>9.6</v>
      </c>
      <c r="O581" s="33">
        <v>528</v>
      </c>
      <c r="P581" s="38" t="s">
        <v>1014</v>
      </c>
      <c r="Q581" s="34" t="str">
        <f>IF(MasterFees[[#This Row],[GST Basis]]="Excl",MasterFees[[#This Row],[Fee as Printed]],IF(MasterFees[[#This Row],[GST Basis]]="Incl",MasterFees[[#This Row],[Fee as Printed]]/(1+GST_Rate),""))</f>
        <v/>
      </c>
      <c r="R581" s="34" t="str">
        <f>IF(MasterFees[[#This Row],[GST Basis]]="Incl",MasterFees[[#This Row],[Fee as Printed]],IF(MasterFees[[#This Row],[GST Basis]]="Excl",MasterFees[[#This Row],[Fee as Printed]]*(1+GST_Rate),""))</f>
        <v/>
      </c>
      <c r="S581" s="35">
        <f>IF(N(MasterFees[[#This Row],[Total Units]])=0,"",MasterFees[[#This Row],[Fee as Printed]]/MasterFees[[#This Row],[Total Units]])</f>
        <v>55</v>
      </c>
      <c r="T581" s="36"/>
      <c r="U581" s="39" t="s">
        <v>1012</v>
      </c>
      <c r="V581" s="39" t="s">
        <v>1735</v>
      </c>
      <c r="W581" s="30"/>
      <c r="X581" s="73" t="s">
        <v>3534</v>
      </c>
      <c r="Y581" s="127" t="str">
        <f>_xlfn.XLOOKUP(MasterFees[[#This Row],[Provider / Payer]],Contracts[Contract Name],Contracts[Contract ID],"No contract")</f>
        <v>CON-01</v>
      </c>
      <c r="Z581" s="127" t="str">
        <f>_xlfn.XLOOKUP(MasterFees[[#This Row],[Provider / Payer]],Contracts[Contract Name],Contracts[Pricing Basis],"To confirm")</f>
        <v>To confirm</v>
      </c>
      <c r="AA581" s="127" t="str">
        <f>IF(MasterFees[[#This Row],[Pricing Basis]]="Fixed fee schedule","Yes","No")</f>
        <v>No</v>
      </c>
      <c r="AB581" s="127" t="str">
        <f>IF(OR(MasterFees[[#This Row],[Fee Basis]]="Add-on",MasterFees[[#This Row],[Fee Basis]]="Time band",MasterFees[[#This Row],[Fee Basis]]="Other"),MasterFees[[#This Row],[Fee Basis]],"Base")</f>
        <v>Base</v>
      </c>
      <c r="AC581" s="141" t="str">
        <f>IF(MasterFees[[#This Row],[Fixed Fee?]]="Yes",MasterFees[[#This Row],[Fee Excl. GST]],"")</f>
        <v/>
      </c>
    </row>
    <row r="582" spans="1:29" x14ac:dyDescent="0.2">
      <c r="A582" s="67" t="s">
        <v>2237</v>
      </c>
      <c r="B582" s="31">
        <f>IF(MasterFees[[#This Row],[RVG Code]]="","",_xlfn.XLOOKUP(MasterFees[[#This Row],[RVG Code]],RVGCodes[Code],RVGCodes[Base Units],"Code not found"))</f>
        <v>4</v>
      </c>
      <c r="C58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8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82" s="125" t="s">
        <v>2589</v>
      </c>
      <c r="F582" s="48" t="s">
        <v>2629</v>
      </c>
      <c r="G582" s="30" t="s">
        <v>2238</v>
      </c>
      <c r="H582" s="37" t="s">
        <v>2630</v>
      </c>
      <c r="I582" s="37" t="s">
        <v>2237</v>
      </c>
      <c r="J582" s="37" t="s">
        <v>1096</v>
      </c>
      <c r="K582" s="32">
        <v>4</v>
      </c>
      <c r="L582" s="32"/>
      <c r="M582" s="32"/>
      <c r="N582" s="32">
        <v>4</v>
      </c>
      <c r="O582" s="33"/>
      <c r="P582" s="38"/>
      <c r="Q582" s="34" t="str">
        <f>IF(MasterFees[[#This Row],[GST Basis]]="Excl",MasterFees[[#This Row],[Fee as Printed]],IF(MasterFees[[#This Row],[GST Basis]]="Incl",MasterFees[[#This Row],[Fee as Printed]]/(1+GST_Rate),""))</f>
        <v/>
      </c>
      <c r="R582" s="34" t="str">
        <f>IF(MasterFees[[#This Row],[GST Basis]]="Incl",MasterFees[[#This Row],[Fee as Printed]],IF(MasterFees[[#This Row],[GST Basis]]="Excl",MasterFees[[#This Row],[Fee as Printed]]*(1+GST_Rate),""))</f>
        <v/>
      </c>
      <c r="S582" s="35">
        <f>IF(N(MasterFees[[#This Row],[Total Units]])=0,"",MasterFees[[#This Row],[Fee as Printed]]/MasterFees[[#This Row],[Total Units]])</f>
        <v>0</v>
      </c>
      <c r="T582" s="36"/>
      <c r="U582" s="39" t="s">
        <v>1016</v>
      </c>
      <c r="V582" s="39" t="s">
        <v>2656</v>
      </c>
      <c r="W582" s="30" t="s">
        <v>2658</v>
      </c>
      <c r="X582" s="73" t="s">
        <v>3785</v>
      </c>
      <c r="Y582" s="127" t="str">
        <f>_xlfn.XLOOKUP(MasterFees[[#This Row],[Provider / Payer]],Contracts[Contract Name],Contracts[Contract ID],"No contract")</f>
        <v>CON-10</v>
      </c>
      <c r="Z582" s="127" t="str">
        <f>_xlfn.XLOOKUP(MasterFees[[#This Row],[Provider / Payer]],Contracts[Contract Name],Contracts[Pricing Basis],"To confirm")</f>
        <v>Reference – units only</v>
      </c>
      <c r="AA582" s="127" t="str">
        <f>IF(MasterFees[[#This Row],[Pricing Basis]]="Fixed fee schedule","Yes","No")</f>
        <v>No</v>
      </c>
      <c r="AB582" s="127" t="str">
        <f>IF(OR(MasterFees[[#This Row],[Fee Basis]]="Add-on",MasterFees[[#This Row],[Fee Basis]]="Time band",MasterFees[[#This Row],[Fee Basis]]="Other"),MasterFees[[#This Row],[Fee Basis]],"Base")</f>
        <v>Base</v>
      </c>
      <c r="AC582" s="141" t="str">
        <f>IF(MasterFees[[#This Row],[Fixed Fee?]]="Yes",MasterFees[[#This Row],[Fee Excl. GST]],"")</f>
        <v/>
      </c>
    </row>
    <row r="583" spans="1:29" x14ac:dyDescent="0.2">
      <c r="A583" s="67" t="s">
        <v>2242</v>
      </c>
      <c r="B583" s="31">
        <f>IF(MasterFees[[#This Row],[RVG Code]]="","",_xlfn.XLOOKUP(MasterFees[[#This Row],[RVG Code]],RVGCodes[Code],RVGCodes[Base Units],"Code not found"))</f>
        <v>6</v>
      </c>
      <c r="C58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8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83" s="125" t="s">
        <v>2620</v>
      </c>
      <c r="F583" s="48" t="s">
        <v>2629</v>
      </c>
      <c r="G583" s="30" t="s">
        <v>2243</v>
      </c>
      <c r="H583" s="37" t="s">
        <v>2630</v>
      </c>
      <c r="I583" s="37" t="s">
        <v>2242</v>
      </c>
      <c r="J583" s="37" t="s">
        <v>1096</v>
      </c>
      <c r="K583" s="32">
        <v>6</v>
      </c>
      <c r="L583" s="32"/>
      <c r="M583" s="32"/>
      <c r="N583" s="32">
        <v>6</v>
      </c>
      <c r="O583" s="33"/>
      <c r="P583" s="38"/>
      <c r="Q583" s="34" t="str">
        <f>IF(MasterFees[[#This Row],[GST Basis]]="Excl",MasterFees[[#This Row],[Fee as Printed]],IF(MasterFees[[#This Row],[GST Basis]]="Incl",MasterFees[[#This Row],[Fee as Printed]]/(1+GST_Rate),""))</f>
        <v/>
      </c>
      <c r="R583" s="34" t="str">
        <f>IF(MasterFees[[#This Row],[GST Basis]]="Incl",MasterFees[[#This Row],[Fee as Printed]],IF(MasterFees[[#This Row],[GST Basis]]="Excl",MasterFees[[#This Row],[Fee as Printed]]*(1+GST_Rate),""))</f>
        <v/>
      </c>
      <c r="S583" s="35">
        <f>IF(N(MasterFees[[#This Row],[Total Units]])=0,"",MasterFees[[#This Row],[Fee as Printed]]/MasterFees[[#This Row],[Total Units]])</f>
        <v>0</v>
      </c>
      <c r="T583" s="36"/>
      <c r="U583" s="39" t="s">
        <v>1016</v>
      </c>
      <c r="V583" s="39" t="s">
        <v>2656</v>
      </c>
      <c r="W583" s="30" t="s">
        <v>2632</v>
      </c>
      <c r="X583" s="73" t="s">
        <v>3769</v>
      </c>
      <c r="Y583" s="127" t="str">
        <f>_xlfn.XLOOKUP(MasterFees[[#This Row],[Provider / Payer]],Contracts[Contract Name],Contracts[Contract ID],"No contract")</f>
        <v>CON-10</v>
      </c>
      <c r="Z583" s="127" t="str">
        <f>_xlfn.XLOOKUP(MasterFees[[#This Row],[Provider / Payer]],Contracts[Contract Name],Contracts[Pricing Basis],"To confirm")</f>
        <v>Reference – units only</v>
      </c>
      <c r="AA583" s="127" t="str">
        <f>IF(MasterFees[[#This Row],[Pricing Basis]]="Fixed fee schedule","Yes","No")</f>
        <v>No</v>
      </c>
      <c r="AB583" s="127" t="str">
        <f>IF(OR(MasterFees[[#This Row],[Fee Basis]]="Add-on",MasterFees[[#This Row],[Fee Basis]]="Time band",MasterFees[[#This Row],[Fee Basis]]="Other"),MasterFees[[#This Row],[Fee Basis]],"Base")</f>
        <v>Base</v>
      </c>
      <c r="AC583" s="141" t="str">
        <f>IF(MasterFees[[#This Row],[Fixed Fee?]]="Yes",MasterFees[[#This Row],[Fee Excl. GST]],"")</f>
        <v/>
      </c>
    </row>
    <row r="584" spans="1:29" x14ac:dyDescent="0.2">
      <c r="A584" s="67" t="s">
        <v>2237</v>
      </c>
      <c r="B584" s="31">
        <f>IF(MasterFees[[#This Row],[RVG Code]]="","",_xlfn.XLOOKUP(MasterFees[[#This Row],[RVG Code]],RVGCodes[Code],RVGCodes[Base Units],"Code not found"))</f>
        <v>4</v>
      </c>
      <c r="C58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8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84" s="125" t="s">
        <v>2589</v>
      </c>
      <c r="F584" s="48" t="s">
        <v>2569</v>
      </c>
      <c r="G584" s="30" t="s">
        <v>695</v>
      </c>
      <c r="H584" s="37" t="s">
        <v>1095</v>
      </c>
      <c r="I584" s="37"/>
      <c r="J584" s="37" t="s">
        <v>1096</v>
      </c>
      <c r="K584" s="32">
        <v>5</v>
      </c>
      <c r="L584" s="32">
        <v>16.7</v>
      </c>
      <c r="M584" s="32">
        <v>1</v>
      </c>
      <c r="N584" s="32">
        <v>22.7</v>
      </c>
      <c r="O584" s="33">
        <v>1246.3</v>
      </c>
      <c r="P584" s="38" t="s">
        <v>1014</v>
      </c>
      <c r="Q584" s="34" t="str">
        <f>IF(MasterFees[[#This Row],[GST Basis]]="Excl",MasterFees[[#This Row],[Fee as Printed]],IF(MasterFees[[#This Row],[GST Basis]]="Incl",MasterFees[[#This Row],[Fee as Printed]]/(1+GST_Rate),""))</f>
        <v/>
      </c>
      <c r="R584" s="34" t="str">
        <f>IF(MasterFees[[#This Row],[GST Basis]]="Incl",MasterFees[[#This Row],[Fee as Printed]],IF(MasterFees[[#This Row],[GST Basis]]="Excl",MasterFees[[#This Row],[Fee as Printed]]*(1+GST_Rate),""))</f>
        <v/>
      </c>
      <c r="S584" s="35">
        <f>IF(N(MasterFees[[#This Row],[Total Units]])=0,"",MasterFees[[#This Row],[Fee as Printed]]/MasterFees[[#This Row],[Total Units]])</f>
        <v>54.903083700440526</v>
      </c>
      <c r="T584" s="36"/>
      <c r="U584" s="39" t="s">
        <v>1012</v>
      </c>
      <c r="V584" s="39" t="s">
        <v>1792</v>
      </c>
      <c r="W584" s="30"/>
      <c r="X584" s="73" t="s">
        <v>3594</v>
      </c>
      <c r="Y584" s="127" t="str">
        <f>_xlfn.XLOOKUP(MasterFees[[#This Row],[Provider / Payer]],Contracts[Contract Name],Contracts[Contract ID],"No contract")</f>
        <v>CON-01</v>
      </c>
      <c r="Z584" s="127" t="str">
        <f>_xlfn.XLOOKUP(MasterFees[[#This Row],[Provider / Payer]],Contracts[Contract Name],Contracts[Pricing Basis],"To confirm")</f>
        <v>To confirm</v>
      </c>
      <c r="AA584" s="127" t="str">
        <f>IF(MasterFees[[#This Row],[Pricing Basis]]="Fixed fee schedule","Yes","No")</f>
        <v>No</v>
      </c>
      <c r="AB584" s="127" t="str">
        <f>IF(OR(MasterFees[[#This Row],[Fee Basis]]="Add-on",MasterFees[[#This Row],[Fee Basis]]="Time band",MasterFees[[#This Row],[Fee Basis]]="Other"),MasterFees[[#This Row],[Fee Basis]],"Base")</f>
        <v>Base</v>
      </c>
      <c r="AC584" s="141" t="str">
        <f>IF(MasterFees[[#This Row],[Fixed Fee?]]="Yes",MasterFees[[#This Row],[Fee Excl. GST]],"")</f>
        <v/>
      </c>
    </row>
    <row r="585" spans="1:29" x14ac:dyDescent="0.2">
      <c r="A585" s="67" t="s">
        <v>2237</v>
      </c>
      <c r="B585" s="31">
        <f>IF(MasterFees[[#This Row],[RVG Code]]="","",_xlfn.XLOOKUP(MasterFees[[#This Row],[RVG Code]],RVGCodes[Code],RVGCodes[Base Units],"Code not found"))</f>
        <v>4</v>
      </c>
      <c r="C58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8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85" s="125" t="s">
        <v>2589</v>
      </c>
      <c r="F585" s="48" t="s">
        <v>2567</v>
      </c>
      <c r="G585" s="30" t="s">
        <v>721</v>
      </c>
      <c r="H585" s="37" t="s">
        <v>1095</v>
      </c>
      <c r="I585" s="37"/>
      <c r="J585" s="37" t="s">
        <v>1096</v>
      </c>
      <c r="K585" s="32">
        <v>5.2</v>
      </c>
      <c r="L585" s="32">
        <v>6.2</v>
      </c>
      <c r="M585" s="32">
        <v>0.6</v>
      </c>
      <c r="N585" s="32">
        <v>12</v>
      </c>
      <c r="O585" s="33">
        <v>660</v>
      </c>
      <c r="P585" s="38" t="s">
        <v>1014</v>
      </c>
      <c r="Q585" s="34" t="str">
        <f>IF(MasterFees[[#This Row],[GST Basis]]="Excl",MasterFees[[#This Row],[Fee as Printed]],IF(MasterFees[[#This Row],[GST Basis]]="Incl",MasterFees[[#This Row],[Fee as Printed]]/(1+GST_Rate),""))</f>
        <v/>
      </c>
      <c r="R585" s="34" t="str">
        <f>IF(MasterFees[[#This Row],[GST Basis]]="Incl",MasterFees[[#This Row],[Fee as Printed]],IF(MasterFees[[#This Row],[GST Basis]]="Excl",MasterFees[[#This Row],[Fee as Printed]]*(1+GST_Rate),""))</f>
        <v/>
      </c>
      <c r="S585" s="35">
        <f>IF(N(MasterFees[[#This Row],[Total Units]])=0,"",MasterFees[[#This Row],[Fee as Printed]]/MasterFees[[#This Row],[Total Units]])</f>
        <v>55</v>
      </c>
      <c r="T585" s="36"/>
      <c r="U585" s="39" t="s">
        <v>1012</v>
      </c>
      <c r="V585" s="39" t="s">
        <v>1818</v>
      </c>
      <c r="W585" s="30"/>
      <c r="X585" s="73" t="s">
        <v>3621</v>
      </c>
      <c r="Y585" s="127" t="str">
        <f>_xlfn.XLOOKUP(MasterFees[[#This Row],[Provider / Payer]],Contracts[Contract Name],Contracts[Contract ID],"No contract")</f>
        <v>CON-01</v>
      </c>
      <c r="Z585" s="127" t="str">
        <f>_xlfn.XLOOKUP(MasterFees[[#This Row],[Provider / Payer]],Contracts[Contract Name],Contracts[Pricing Basis],"To confirm")</f>
        <v>To confirm</v>
      </c>
      <c r="AA585" s="127" t="str">
        <f>IF(MasterFees[[#This Row],[Pricing Basis]]="Fixed fee schedule","Yes","No")</f>
        <v>No</v>
      </c>
      <c r="AB585" s="127" t="str">
        <f>IF(OR(MasterFees[[#This Row],[Fee Basis]]="Add-on",MasterFees[[#This Row],[Fee Basis]]="Time band",MasterFees[[#This Row],[Fee Basis]]="Other"),MasterFees[[#This Row],[Fee Basis]],"Base")</f>
        <v>Base</v>
      </c>
      <c r="AC585" s="141" t="str">
        <f>IF(MasterFees[[#This Row],[Fixed Fee?]]="Yes",MasterFees[[#This Row],[Fee Excl. GST]],"")</f>
        <v/>
      </c>
    </row>
    <row r="586" spans="1:29" x14ac:dyDescent="0.2">
      <c r="A586" s="67" t="s">
        <v>2237</v>
      </c>
      <c r="B586" s="31">
        <f>IF(MasterFees[[#This Row],[RVG Code]]="","",_xlfn.XLOOKUP(MasterFees[[#This Row],[RVG Code]],RVGCodes[Code],RVGCodes[Base Units],"Code not found"))</f>
        <v>4</v>
      </c>
      <c r="C58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8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86" s="125" t="s">
        <v>2589</v>
      </c>
      <c r="F586" s="48" t="s">
        <v>2567</v>
      </c>
      <c r="G586" s="30" t="s">
        <v>728</v>
      </c>
      <c r="H586" s="37" t="s">
        <v>1095</v>
      </c>
      <c r="I586" s="37"/>
      <c r="J586" s="37" t="s">
        <v>1096</v>
      </c>
      <c r="K586" s="32">
        <v>0</v>
      </c>
      <c r="L586" s="32">
        <v>0</v>
      </c>
      <c r="M586" s="32">
        <v>0</v>
      </c>
      <c r="N586" s="32">
        <v>0</v>
      </c>
      <c r="O586" s="33">
        <v>0</v>
      </c>
      <c r="P586" s="38" t="s">
        <v>1014</v>
      </c>
      <c r="Q586" s="34" t="str">
        <f>IF(MasterFees[[#This Row],[GST Basis]]="Excl",MasterFees[[#This Row],[Fee as Printed]],IF(MasterFees[[#This Row],[GST Basis]]="Incl",MasterFees[[#This Row],[Fee as Printed]]/(1+GST_Rate),""))</f>
        <v/>
      </c>
      <c r="R586" s="34" t="str">
        <f>IF(MasterFees[[#This Row],[GST Basis]]="Incl",MasterFees[[#This Row],[Fee as Printed]],IF(MasterFees[[#This Row],[GST Basis]]="Excl",MasterFees[[#This Row],[Fee as Printed]]*(1+GST_Rate),""))</f>
        <v/>
      </c>
      <c r="S586" s="35" t="str">
        <f>IF(N(MasterFees[[#This Row],[Total Units]])=0,"",MasterFees[[#This Row],[Fee as Printed]]/MasterFees[[#This Row],[Total Units]])</f>
        <v/>
      </c>
      <c r="T586" s="36"/>
      <c r="U586" s="39" t="s">
        <v>1012</v>
      </c>
      <c r="V586" s="39" t="s">
        <v>1825</v>
      </c>
      <c r="W586" s="30"/>
      <c r="X586" s="73" t="s">
        <v>3628</v>
      </c>
      <c r="Y586" s="127" t="str">
        <f>_xlfn.XLOOKUP(MasterFees[[#This Row],[Provider / Payer]],Contracts[Contract Name],Contracts[Contract ID],"No contract")</f>
        <v>CON-01</v>
      </c>
      <c r="Z586" s="127" t="str">
        <f>_xlfn.XLOOKUP(MasterFees[[#This Row],[Provider / Payer]],Contracts[Contract Name],Contracts[Pricing Basis],"To confirm")</f>
        <v>To confirm</v>
      </c>
      <c r="AA586" s="127" t="str">
        <f>IF(MasterFees[[#This Row],[Pricing Basis]]="Fixed fee schedule","Yes","No")</f>
        <v>No</v>
      </c>
      <c r="AB586" s="127" t="str">
        <f>IF(OR(MasterFees[[#This Row],[Fee Basis]]="Add-on",MasterFees[[#This Row],[Fee Basis]]="Time band",MasterFees[[#This Row],[Fee Basis]]="Other"),MasterFees[[#This Row],[Fee Basis]],"Base")</f>
        <v>Base</v>
      </c>
      <c r="AC586" s="141" t="str">
        <f>IF(MasterFees[[#This Row],[Fixed Fee?]]="Yes",MasterFees[[#This Row],[Fee Excl. GST]],"")</f>
        <v/>
      </c>
    </row>
    <row r="587" spans="1:29" x14ac:dyDescent="0.2">
      <c r="A587" s="67" t="s">
        <v>2237</v>
      </c>
      <c r="B587" s="31">
        <f>IF(MasterFees[[#This Row],[RVG Code]]="","",_xlfn.XLOOKUP(MasterFees[[#This Row],[RVG Code]],RVGCodes[Code],RVGCodes[Base Units],"Code not found"))</f>
        <v>4</v>
      </c>
      <c r="C58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8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87" s="125" t="s">
        <v>2589</v>
      </c>
      <c r="F587" s="48" t="s">
        <v>2567</v>
      </c>
      <c r="G587" s="30" t="s">
        <v>4049</v>
      </c>
      <c r="H587" s="37" t="s">
        <v>4069</v>
      </c>
      <c r="I587" s="37"/>
      <c r="J587" s="37" t="s">
        <v>1024</v>
      </c>
      <c r="K587" s="32"/>
      <c r="L587" s="32"/>
      <c r="M587" s="32"/>
      <c r="N587" s="32"/>
      <c r="O587" s="33">
        <v>3105</v>
      </c>
      <c r="P587" s="38" t="s">
        <v>4043</v>
      </c>
      <c r="Q587" s="34">
        <f>IF(MasterFees[[#This Row],[GST Basis]]="Excl",MasterFees[[#This Row],[Fee as Printed]],IF(MasterFees[[#This Row],[GST Basis]]="Incl",MasterFees[[#This Row],[Fee as Printed]]/(1+GST_Rate),""))</f>
        <v>2700</v>
      </c>
      <c r="R587" s="34">
        <f>IF(MasterFees[[#This Row],[GST Basis]]="Incl",MasterFees[[#This Row],[Fee as Printed]],IF(MasterFees[[#This Row],[GST Basis]]="Excl",MasterFees[[#This Row],[Fee as Printed]]*(1+GST_Rate),""))</f>
        <v>3105</v>
      </c>
      <c r="S587" s="35" t="str">
        <f>IF(N(MasterFees[[#This Row],[Total Units]])=0,"",MasterFees[[#This Row],[Fee as Printed]]/MasterFees[[#This Row],[Total Units]])</f>
        <v/>
      </c>
      <c r="T587" s="36">
        <v>46174</v>
      </c>
      <c r="U587" s="39" t="s">
        <v>4025</v>
      </c>
      <c r="V587" s="39" t="s">
        <v>4070</v>
      </c>
      <c r="W587" s="30" t="s">
        <v>4072</v>
      </c>
      <c r="X587" s="77" t="s">
        <v>4096</v>
      </c>
      <c r="Y587" s="127" t="str">
        <f>_xlfn.XLOOKUP(MasterFees[[#This Row],[Provider / Payer]],Contracts[Contract Name],Contracts[Contract ID],"No contract")</f>
        <v>CON-08</v>
      </c>
      <c r="Z587" s="127" t="str">
        <f>_xlfn.XLOOKUP(MasterFees[[#This Row],[Provider / Payer]],Contracts[Contract Name],Contracts[Pricing Basis],"To confirm")</f>
        <v>Fixed fee schedule</v>
      </c>
      <c r="AA587" s="127" t="str">
        <f>IF(MasterFees[[#This Row],[Pricing Basis]]="Fixed fee schedule","Yes","No")</f>
        <v>Yes</v>
      </c>
      <c r="AB587" s="127" t="str">
        <f>IF(OR(MasterFees[[#This Row],[Fee Basis]]="Add-on",MasterFees[[#This Row],[Fee Basis]]="Time band",MasterFees[[#This Row],[Fee Basis]]="Other"),MasterFees[[#This Row],[Fee Basis]],"Base")</f>
        <v>Base</v>
      </c>
      <c r="AC587" s="141">
        <f>IF(MasterFees[[#This Row],[Fixed Fee?]]="Yes",MasterFees[[#This Row],[Fee Excl. GST]],"")</f>
        <v>2700</v>
      </c>
    </row>
    <row r="588" spans="1:29" x14ac:dyDescent="0.2">
      <c r="A588" s="67" t="s">
        <v>2237</v>
      </c>
      <c r="B588" s="31">
        <f>IF(MasterFees[[#This Row],[RVG Code]]="","",_xlfn.XLOOKUP(MasterFees[[#This Row],[RVG Code]],RVGCodes[Code],RVGCodes[Base Units],"Code not found"))</f>
        <v>4</v>
      </c>
      <c r="C58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8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88" s="125" t="s">
        <v>2589</v>
      </c>
      <c r="F588" s="48" t="s">
        <v>2567</v>
      </c>
      <c r="G588" s="30" t="s">
        <v>742</v>
      </c>
      <c r="H588" s="37" t="s">
        <v>1095</v>
      </c>
      <c r="I588" s="37"/>
      <c r="J588" s="37" t="s">
        <v>1096</v>
      </c>
      <c r="K588" s="32">
        <v>5</v>
      </c>
      <c r="L588" s="32">
        <v>6</v>
      </c>
      <c r="M588" s="32">
        <v>0</v>
      </c>
      <c r="N588" s="32">
        <v>11</v>
      </c>
      <c r="O588" s="33">
        <v>605</v>
      </c>
      <c r="P588" s="38" t="s">
        <v>1014</v>
      </c>
      <c r="Q588" s="34" t="str">
        <f>IF(MasterFees[[#This Row],[GST Basis]]="Excl",MasterFees[[#This Row],[Fee as Printed]],IF(MasterFees[[#This Row],[GST Basis]]="Incl",MasterFees[[#This Row],[Fee as Printed]]/(1+GST_Rate),""))</f>
        <v/>
      </c>
      <c r="R588" s="34" t="str">
        <f>IF(MasterFees[[#This Row],[GST Basis]]="Incl",MasterFees[[#This Row],[Fee as Printed]],IF(MasterFees[[#This Row],[GST Basis]]="Excl",MasterFees[[#This Row],[Fee as Printed]]*(1+GST_Rate),""))</f>
        <v/>
      </c>
      <c r="S588" s="35">
        <f>IF(N(MasterFees[[#This Row],[Total Units]])=0,"",MasterFees[[#This Row],[Fee as Printed]]/MasterFees[[#This Row],[Total Units]])</f>
        <v>55</v>
      </c>
      <c r="T588" s="36"/>
      <c r="U588" s="39" t="s">
        <v>1012</v>
      </c>
      <c r="V588" s="39" t="s">
        <v>1839</v>
      </c>
      <c r="W588" s="30"/>
      <c r="X588" s="73" t="s">
        <v>3642</v>
      </c>
      <c r="Y588" s="127" t="str">
        <f>_xlfn.XLOOKUP(MasterFees[[#This Row],[Provider / Payer]],Contracts[Contract Name],Contracts[Contract ID],"No contract")</f>
        <v>CON-01</v>
      </c>
      <c r="Z588" s="127" t="str">
        <f>_xlfn.XLOOKUP(MasterFees[[#This Row],[Provider / Payer]],Contracts[Contract Name],Contracts[Pricing Basis],"To confirm")</f>
        <v>To confirm</v>
      </c>
      <c r="AA588" s="127" t="str">
        <f>IF(MasterFees[[#This Row],[Pricing Basis]]="Fixed fee schedule","Yes","No")</f>
        <v>No</v>
      </c>
      <c r="AB588" s="127" t="str">
        <f>IF(OR(MasterFees[[#This Row],[Fee Basis]]="Add-on",MasterFees[[#This Row],[Fee Basis]]="Time band",MasterFees[[#This Row],[Fee Basis]]="Other"),MasterFees[[#This Row],[Fee Basis]],"Base")</f>
        <v>Base</v>
      </c>
      <c r="AC588" s="141" t="str">
        <f>IF(MasterFees[[#This Row],[Fixed Fee?]]="Yes",MasterFees[[#This Row],[Fee Excl. GST]],"")</f>
        <v/>
      </c>
    </row>
    <row r="589" spans="1:29" x14ac:dyDescent="0.2">
      <c r="A589" s="67" t="s">
        <v>2237</v>
      </c>
      <c r="B589" s="31">
        <f>IF(MasterFees[[#This Row],[RVG Code]]="","",_xlfn.XLOOKUP(MasterFees[[#This Row],[RVG Code]],RVGCodes[Code],RVGCodes[Base Units],"Code not found"))</f>
        <v>4</v>
      </c>
      <c r="C58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8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89" s="125" t="s">
        <v>2589</v>
      </c>
      <c r="F589" s="48" t="s">
        <v>2569</v>
      </c>
      <c r="G589" s="30" t="s">
        <v>751</v>
      </c>
      <c r="H589" s="37" t="s">
        <v>1095</v>
      </c>
      <c r="I589" s="37"/>
      <c r="J589" s="37" t="s">
        <v>1096</v>
      </c>
      <c r="K589" s="32">
        <v>6.4</v>
      </c>
      <c r="L589" s="32">
        <v>16.399999999999999</v>
      </c>
      <c r="M589" s="32">
        <v>2</v>
      </c>
      <c r="N589" s="32">
        <v>24.8</v>
      </c>
      <c r="O589" s="33">
        <v>1364</v>
      </c>
      <c r="P589" s="38" t="s">
        <v>1014</v>
      </c>
      <c r="Q589" s="34" t="str">
        <f>IF(MasterFees[[#This Row],[GST Basis]]="Excl",MasterFees[[#This Row],[Fee as Printed]],IF(MasterFees[[#This Row],[GST Basis]]="Incl",MasterFees[[#This Row],[Fee as Printed]]/(1+GST_Rate),""))</f>
        <v/>
      </c>
      <c r="R589" s="34" t="str">
        <f>IF(MasterFees[[#This Row],[GST Basis]]="Incl",MasterFees[[#This Row],[Fee as Printed]],IF(MasterFees[[#This Row],[GST Basis]]="Excl",MasterFees[[#This Row],[Fee as Printed]]*(1+GST_Rate),""))</f>
        <v/>
      </c>
      <c r="S589" s="35">
        <f>IF(N(MasterFees[[#This Row],[Total Units]])=0,"",MasterFees[[#This Row],[Fee as Printed]]/MasterFees[[#This Row],[Total Units]])</f>
        <v>55</v>
      </c>
      <c r="T589" s="36"/>
      <c r="U589" s="39" t="s">
        <v>1012</v>
      </c>
      <c r="V589" s="39" t="s">
        <v>1848</v>
      </c>
      <c r="W589" s="30"/>
      <c r="X589" s="73" t="s">
        <v>3653</v>
      </c>
      <c r="Y589" s="127" t="str">
        <f>_xlfn.XLOOKUP(MasterFees[[#This Row],[Provider / Payer]],Contracts[Contract Name],Contracts[Contract ID],"No contract")</f>
        <v>CON-01</v>
      </c>
      <c r="Z589" s="127" t="str">
        <f>_xlfn.XLOOKUP(MasterFees[[#This Row],[Provider / Payer]],Contracts[Contract Name],Contracts[Pricing Basis],"To confirm")</f>
        <v>To confirm</v>
      </c>
      <c r="AA589" s="127" t="str">
        <f>IF(MasterFees[[#This Row],[Pricing Basis]]="Fixed fee schedule","Yes","No")</f>
        <v>No</v>
      </c>
      <c r="AB589" s="127" t="str">
        <f>IF(OR(MasterFees[[#This Row],[Fee Basis]]="Add-on",MasterFees[[#This Row],[Fee Basis]]="Time band",MasterFees[[#This Row],[Fee Basis]]="Other"),MasterFees[[#This Row],[Fee Basis]],"Base")</f>
        <v>Base</v>
      </c>
      <c r="AC589" s="141" t="str">
        <f>IF(MasterFees[[#This Row],[Fixed Fee?]]="Yes",MasterFees[[#This Row],[Fee Excl. GST]],"")</f>
        <v/>
      </c>
    </row>
    <row r="590" spans="1:29" x14ac:dyDescent="0.2">
      <c r="A590" s="67" t="s">
        <v>2237</v>
      </c>
      <c r="B590" s="31">
        <f>IF(MasterFees[[#This Row],[RVG Code]]="","",_xlfn.XLOOKUP(MasterFees[[#This Row],[RVG Code]],RVGCodes[Code],RVGCodes[Base Units],"Code not found"))</f>
        <v>4</v>
      </c>
      <c r="C59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9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90" s="125" t="s">
        <v>2589</v>
      </c>
      <c r="F590" s="48" t="s">
        <v>2567</v>
      </c>
      <c r="G590" s="30" t="s">
        <v>766</v>
      </c>
      <c r="H590" s="37" t="s">
        <v>1095</v>
      </c>
      <c r="I590" s="37"/>
      <c r="J590" s="37" t="s">
        <v>1096</v>
      </c>
      <c r="K590" s="32">
        <v>0</v>
      </c>
      <c r="L590" s="32">
        <v>7</v>
      </c>
      <c r="M590" s="32">
        <v>0</v>
      </c>
      <c r="N590" s="32">
        <v>7</v>
      </c>
      <c r="O590" s="33">
        <v>385</v>
      </c>
      <c r="P590" s="38" t="s">
        <v>1014</v>
      </c>
      <c r="Q590" s="34" t="str">
        <f>IF(MasterFees[[#This Row],[GST Basis]]="Excl",MasterFees[[#This Row],[Fee as Printed]],IF(MasterFees[[#This Row],[GST Basis]]="Incl",MasterFees[[#This Row],[Fee as Printed]]/(1+GST_Rate),""))</f>
        <v/>
      </c>
      <c r="R590" s="34" t="str">
        <f>IF(MasterFees[[#This Row],[GST Basis]]="Incl",MasterFees[[#This Row],[Fee as Printed]],IF(MasterFees[[#This Row],[GST Basis]]="Excl",MasterFees[[#This Row],[Fee as Printed]]*(1+GST_Rate),""))</f>
        <v/>
      </c>
      <c r="S590" s="35">
        <f>IF(N(MasterFees[[#This Row],[Total Units]])=0,"",MasterFees[[#This Row],[Fee as Printed]]/MasterFees[[#This Row],[Total Units]])</f>
        <v>55</v>
      </c>
      <c r="T590" s="36"/>
      <c r="U590" s="39" t="s">
        <v>1012</v>
      </c>
      <c r="V590" s="39" t="s">
        <v>1864</v>
      </c>
      <c r="W590" s="30"/>
      <c r="X590" s="73" t="s">
        <v>3670</v>
      </c>
      <c r="Y590" s="127" t="str">
        <f>_xlfn.XLOOKUP(MasterFees[[#This Row],[Provider / Payer]],Contracts[Contract Name],Contracts[Contract ID],"No contract")</f>
        <v>CON-01</v>
      </c>
      <c r="Z590" s="127" t="str">
        <f>_xlfn.XLOOKUP(MasterFees[[#This Row],[Provider / Payer]],Contracts[Contract Name],Contracts[Pricing Basis],"To confirm")</f>
        <v>To confirm</v>
      </c>
      <c r="AA590" s="127" t="str">
        <f>IF(MasterFees[[#This Row],[Pricing Basis]]="Fixed fee schedule","Yes","No")</f>
        <v>No</v>
      </c>
      <c r="AB590" s="127" t="str">
        <f>IF(OR(MasterFees[[#This Row],[Fee Basis]]="Add-on",MasterFees[[#This Row],[Fee Basis]]="Time band",MasterFees[[#This Row],[Fee Basis]]="Other"),MasterFees[[#This Row],[Fee Basis]],"Base")</f>
        <v>Base</v>
      </c>
      <c r="AC590" s="141" t="str">
        <f>IF(MasterFees[[#This Row],[Fixed Fee?]]="Yes",MasterFees[[#This Row],[Fee Excl. GST]],"")</f>
        <v/>
      </c>
    </row>
    <row r="591" spans="1:29" x14ac:dyDescent="0.2">
      <c r="A591" s="67" t="s">
        <v>2237</v>
      </c>
      <c r="B591" s="31">
        <f>IF(MasterFees[[#This Row],[RVG Code]]="","",_xlfn.XLOOKUP(MasterFees[[#This Row],[RVG Code]],RVGCodes[Code],RVGCodes[Base Units],"Code not found"))</f>
        <v>4</v>
      </c>
      <c r="C59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9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91" s="125" t="s">
        <v>2589</v>
      </c>
      <c r="F591" s="48" t="s">
        <v>2569</v>
      </c>
      <c r="G591" s="30" t="s">
        <v>804</v>
      </c>
      <c r="H591" s="37" t="s">
        <v>1095</v>
      </c>
      <c r="I591" s="37"/>
      <c r="J591" s="37" t="s">
        <v>1096</v>
      </c>
      <c r="K591" s="32">
        <v>4.7</v>
      </c>
      <c r="L591" s="32">
        <v>6.7</v>
      </c>
      <c r="M591" s="32">
        <v>0.9</v>
      </c>
      <c r="N591" s="32">
        <v>12.3</v>
      </c>
      <c r="O591" s="33">
        <v>677.05</v>
      </c>
      <c r="P591" s="38" t="s">
        <v>1014</v>
      </c>
      <c r="Q591" s="34" t="str">
        <f>IF(MasterFees[[#This Row],[GST Basis]]="Excl",MasterFees[[#This Row],[Fee as Printed]],IF(MasterFees[[#This Row],[GST Basis]]="Incl",MasterFees[[#This Row],[Fee as Printed]]/(1+GST_Rate),""))</f>
        <v/>
      </c>
      <c r="R591" s="34" t="str">
        <f>IF(MasterFees[[#This Row],[GST Basis]]="Incl",MasterFees[[#This Row],[Fee as Printed]],IF(MasterFees[[#This Row],[GST Basis]]="Excl",MasterFees[[#This Row],[Fee as Printed]]*(1+GST_Rate),""))</f>
        <v/>
      </c>
      <c r="S591" s="35">
        <f>IF(N(MasterFees[[#This Row],[Total Units]])=0,"",MasterFees[[#This Row],[Fee as Printed]]/MasterFees[[#This Row],[Total Units]])</f>
        <v>55.044715447154466</v>
      </c>
      <c r="T591" s="36"/>
      <c r="U591" s="39" t="s">
        <v>1012</v>
      </c>
      <c r="V591" s="39" t="s">
        <v>1907</v>
      </c>
      <c r="W591" s="30"/>
      <c r="X591" s="73" t="s">
        <v>3714</v>
      </c>
      <c r="Y591" s="127" t="str">
        <f>_xlfn.XLOOKUP(MasterFees[[#This Row],[Provider / Payer]],Contracts[Contract Name],Contracts[Contract ID],"No contract")</f>
        <v>CON-01</v>
      </c>
      <c r="Z591" s="127" t="str">
        <f>_xlfn.XLOOKUP(MasterFees[[#This Row],[Provider / Payer]],Contracts[Contract Name],Contracts[Pricing Basis],"To confirm")</f>
        <v>To confirm</v>
      </c>
      <c r="AA591" s="127" t="str">
        <f>IF(MasterFees[[#This Row],[Pricing Basis]]="Fixed fee schedule","Yes","No")</f>
        <v>No</v>
      </c>
      <c r="AB591" s="127" t="str">
        <f>IF(OR(MasterFees[[#This Row],[Fee Basis]]="Add-on",MasterFees[[#This Row],[Fee Basis]]="Time band",MasterFees[[#This Row],[Fee Basis]]="Other"),MasterFees[[#This Row],[Fee Basis]],"Base")</f>
        <v>Base</v>
      </c>
      <c r="AC591" s="141" t="str">
        <f>IF(MasterFees[[#This Row],[Fixed Fee?]]="Yes",MasterFees[[#This Row],[Fee Excl. GST]],"")</f>
        <v/>
      </c>
    </row>
    <row r="592" spans="1:29" x14ac:dyDescent="0.2">
      <c r="A592" s="67" t="s">
        <v>2242</v>
      </c>
      <c r="B592" s="31">
        <f>IF(MasterFees[[#This Row],[RVG Code]]="","",_xlfn.XLOOKUP(MasterFees[[#This Row],[RVG Code]],RVGCodes[Code],RVGCodes[Base Units],"Code not found"))</f>
        <v>6</v>
      </c>
      <c r="C59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9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92" s="125" t="s">
        <v>2620</v>
      </c>
      <c r="F592" s="48" t="s">
        <v>2567</v>
      </c>
      <c r="G592" s="30" t="s">
        <v>805</v>
      </c>
      <c r="H592" s="37" t="s">
        <v>1095</v>
      </c>
      <c r="I592" s="37"/>
      <c r="J592" s="37" t="s">
        <v>1096</v>
      </c>
      <c r="K592" s="32">
        <v>6</v>
      </c>
      <c r="L592" s="32">
        <v>10.5</v>
      </c>
      <c r="M592" s="32">
        <v>0</v>
      </c>
      <c r="N592" s="32">
        <v>16.5</v>
      </c>
      <c r="O592" s="33">
        <v>907.5</v>
      </c>
      <c r="P592" s="38" t="s">
        <v>1014</v>
      </c>
      <c r="Q592" s="34" t="str">
        <f>IF(MasterFees[[#This Row],[GST Basis]]="Excl",MasterFees[[#This Row],[Fee as Printed]],IF(MasterFees[[#This Row],[GST Basis]]="Incl",MasterFees[[#This Row],[Fee as Printed]]/(1+GST_Rate),""))</f>
        <v/>
      </c>
      <c r="R592" s="34" t="str">
        <f>IF(MasterFees[[#This Row],[GST Basis]]="Incl",MasterFees[[#This Row],[Fee as Printed]],IF(MasterFees[[#This Row],[GST Basis]]="Excl",MasterFees[[#This Row],[Fee as Printed]]*(1+GST_Rate),""))</f>
        <v/>
      </c>
      <c r="S592" s="35">
        <f>IF(N(MasterFees[[#This Row],[Total Units]])=0,"",MasterFees[[#This Row],[Fee as Printed]]/MasterFees[[#This Row],[Total Units]])</f>
        <v>55</v>
      </c>
      <c r="T592" s="36"/>
      <c r="U592" s="39" t="s">
        <v>1012</v>
      </c>
      <c r="V592" s="39" t="s">
        <v>1908</v>
      </c>
      <c r="W592" s="30"/>
      <c r="X592" s="73" t="s">
        <v>3715</v>
      </c>
      <c r="Y592" s="127" t="str">
        <f>_xlfn.XLOOKUP(MasterFees[[#This Row],[Provider / Payer]],Contracts[Contract Name],Contracts[Contract ID],"No contract")</f>
        <v>CON-01</v>
      </c>
      <c r="Z592" s="127" t="str">
        <f>_xlfn.XLOOKUP(MasterFees[[#This Row],[Provider / Payer]],Contracts[Contract Name],Contracts[Pricing Basis],"To confirm")</f>
        <v>To confirm</v>
      </c>
      <c r="AA592" s="127" t="str">
        <f>IF(MasterFees[[#This Row],[Pricing Basis]]="Fixed fee schedule","Yes","No")</f>
        <v>No</v>
      </c>
      <c r="AB592" s="127" t="str">
        <f>IF(OR(MasterFees[[#This Row],[Fee Basis]]="Add-on",MasterFees[[#This Row],[Fee Basis]]="Time band",MasterFees[[#This Row],[Fee Basis]]="Other"),MasterFees[[#This Row],[Fee Basis]],"Base")</f>
        <v>Base</v>
      </c>
      <c r="AC592" s="141" t="str">
        <f>IF(MasterFees[[#This Row],[Fixed Fee?]]="Yes",MasterFees[[#This Row],[Fee Excl. GST]],"")</f>
        <v/>
      </c>
    </row>
    <row r="593" spans="1:29" x14ac:dyDescent="0.2">
      <c r="A593" s="67" t="s">
        <v>2242</v>
      </c>
      <c r="B593" s="31">
        <f>IF(MasterFees[[#This Row],[RVG Code]]="","",_xlfn.XLOOKUP(MasterFees[[#This Row],[RVG Code]],RVGCodes[Code],RVGCodes[Base Units],"Code not found"))</f>
        <v>6</v>
      </c>
      <c r="C59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9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93" s="125" t="s">
        <v>2620</v>
      </c>
      <c r="F593" s="48" t="s">
        <v>2567</v>
      </c>
      <c r="G593" s="30" t="s">
        <v>851</v>
      </c>
      <c r="H593" s="37" t="s">
        <v>1095</v>
      </c>
      <c r="I593" s="37"/>
      <c r="J593" s="37" t="s">
        <v>1096</v>
      </c>
      <c r="K593" s="32">
        <v>3.4</v>
      </c>
      <c r="L593" s="32">
        <v>3.6</v>
      </c>
      <c r="M593" s="32">
        <v>0.2</v>
      </c>
      <c r="N593" s="32">
        <v>7.2</v>
      </c>
      <c r="O593" s="33">
        <v>396</v>
      </c>
      <c r="P593" s="38" t="s">
        <v>1014</v>
      </c>
      <c r="Q593" s="34" t="str">
        <f>IF(MasterFees[[#This Row],[GST Basis]]="Excl",MasterFees[[#This Row],[Fee as Printed]],IF(MasterFees[[#This Row],[GST Basis]]="Incl",MasterFees[[#This Row],[Fee as Printed]]/(1+GST_Rate),""))</f>
        <v/>
      </c>
      <c r="R593" s="34" t="str">
        <f>IF(MasterFees[[#This Row],[GST Basis]]="Incl",MasterFees[[#This Row],[Fee as Printed]],IF(MasterFees[[#This Row],[GST Basis]]="Excl",MasterFees[[#This Row],[Fee as Printed]]*(1+GST_Rate),""))</f>
        <v/>
      </c>
      <c r="S593" s="35">
        <f>IF(N(MasterFees[[#This Row],[Total Units]])=0,"",MasterFees[[#This Row],[Fee as Printed]]/MasterFees[[#This Row],[Total Units]])</f>
        <v>55</v>
      </c>
      <c r="T593" s="36"/>
      <c r="U593" s="39" t="s">
        <v>1012</v>
      </c>
      <c r="V593" s="39" t="s">
        <v>1954</v>
      </c>
      <c r="W593" s="30"/>
      <c r="X593" s="73" t="s">
        <v>3768</v>
      </c>
      <c r="Y593" s="127" t="str">
        <f>_xlfn.XLOOKUP(MasterFees[[#This Row],[Provider / Payer]],Contracts[Contract Name],Contracts[Contract ID],"No contract")</f>
        <v>CON-01</v>
      </c>
      <c r="Z593" s="127" t="str">
        <f>_xlfn.XLOOKUP(MasterFees[[#This Row],[Provider / Payer]],Contracts[Contract Name],Contracts[Pricing Basis],"To confirm")</f>
        <v>To confirm</v>
      </c>
      <c r="AA593" s="127" t="str">
        <f>IF(MasterFees[[#This Row],[Pricing Basis]]="Fixed fee schedule","Yes","No")</f>
        <v>No</v>
      </c>
      <c r="AB593" s="127" t="str">
        <f>IF(OR(MasterFees[[#This Row],[Fee Basis]]="Add-on",MasterFees[[#This Row],[Fee Basis]]="Time band",MasterFees[[#This Row],[Fee Basis]]="Other"),MasterFees[[#This Row],[Fee Basis]],"Base")</f>
        <v>Base</v>
      </c>
      <c r="AC593" s="141" t="str">
        <f>IF(MasterFees[[#This Row],[Fixed Fee?]]="Yes",MasterFees[[#This Row],[Fee Excl. GST]],"")</f>
        <v/>
      </c>
    </row>
    <row r="594" spans="1:29" x14ac:dyDescent="0.2">
      <c r="A594" s="67" t="s">
        <v>2237</v>
      </c>
      <c r="B594" s="31">
        <f>IF(MasterFees[[#This Row],[RVG Code]]="","",_xlfn.XLOOKUP(MasterFees[[#This Row],[RVG Code]],RVGCodes[Code],RVGCodes[Base Units],"Code not found"))</f>
        <v>4</v>
      </c>
      <c r="C59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9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94" s="125" t="s">
        <v>2589</v>
      </c>
      <c r="F594" s="48" t="s">
        <v>2567</v>
      </c>
      <c r="G594" s="30" t="s">
        <v>866</v>
      </c>
      <c r="H594" s="37" t="s">
        <v>1095</v>
      </c>
      <c r="I594" s="37"/>
      <c r="J594" s="37" t="s">
        <v>1096</v>
      </c>
      <c r="K594" s="32">
        <v>0</v>
      </c>
      <c r="L594" s="32">
        <v>4</v>
      </c>
      <c r="M594" s="32">
        <v>0</v>
      </c>
      <c r="N594" s="32">
        <v>4</v>
      </c>
      <c r="O594" s="33">
        <v>220</v>
      </c>
      <c r="P594" s="38" t="s">
        <v>1014</v>
      </c>
      <c r="Q594" s="34" t="str">
        <f>IF(MasterFees[[#This Row],[GST Basis]]="Excl",MasterFees[[#This Row],[Fee as Printed]],IF(MasterFees[[#This Row],[GST Basis]]="Incl",MasterFees[[#This Row],[Fee as Printed]]/(1+GST_Rate),""))</f>
        <v/>
      </c>
      <c r="R594" s="34" t="str">
        <f>IF(MasterFees[[#This Row],[GST Basis]]="Incl",MasterFees[[#This Row],[Fee as Printed]],IF(MasterFees[[#This Row],[GST Basis]]="Excl",MasterFees[[#This Row],[Fee as Printed]]*(1+GST_Rate),""))</f>
        <v/>
      </c>
      <c r="S594" s="35">
        <f>IF(N(MasterFees[[#This Row],[Total Units]])=0,"",MasterFees[[#This Row],[Fee as Printed]]/MasterFees[[#This Row],[Total Units]])</f>
        <v>55</v>
      </c>
      <c r="T594" s="36"/>
      <c r="U594" s="39" t="s">
        <v>1012</v>
      </c>
      <c r="V594" s="39" t="s">
        <v>1969</v>
      </c>
      <c r="W594" s="30"/>
      <c r="X594" s="73" t="s">
        <v>3784</v>
      </c>
      <c r="Y594" s="127" t="str">
        <f>_xlfn.XLOOKUP(MasterFees[[#This Row],[Provider / Payer]],Contracts[Contract Name],Contracts[Contract ID],"No contract")</f>
        <v>CON-01</v>
      </c>
      <c r="Z594" s="127" t="str">
        <f>_xlfn.XLOOKUP(MasterFees[[#This Row],[Provider / Payer]],Contracts[Contract Name],Contracts[Pricing Basis],"To confirm")</f>
        <v>To confirm</v>
      </c>
      <c r="AA594" s="127" t="str">
        <f>IF(MasterFees[[#This Row],[Pricing Basis]]="Fixed fee schedule","Yes","No")</f>
        <v>No</v>
      </c>
      <c r="AB594" s="127" t="str">
        <f>IF(OR(MasterFees[[#This Row],[Fee Basis]]="Add-on",MasterFees[[#This Row],[Fee Basis]]="Time band",MasterFees[[#This Row],[Fee Basis]]="Other"),MasterFees[[#This Row],[Fee Basis]],"Base")</f>
        <v>Base</v>
      </c>
      <c r="AC594" s="141" t="str">
        <f>IF(MasterFees[[#This Row],[Fixed Fee?]]="Yes",MasterFees[[#This Row],[Fee Excl. GST]],"")</f>
        <v/>
      </c>
    </row>
    <row r="595" spans="1:29" x14ac:dyDescent="0.2">
      <c r="A595" s="67" t="s">
        <v>2237</v>
      </c>
      <c r="B595" s="31">
        <f>IF(MasterFees[[#This Row],[RVG Code]]="","",_xlfn.XLOOKUP(MasterFees[[#This Row],[RVG Code]],RVGCodes[Code],RVGCodes[Base Units],"Code not found"))</f>
        <v>4</v>
      </c>
      <c r="C59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9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Breast</v>
      </c>
      <c r="E595" s="125" t="s">
        <v>2589</v>
      </c>
      <c r="F595" s="48" t="s">
        <v>2629</v>
      </c>
      <c r="G595" s="30" t="s">
        <v>2240</v>
      </c>
      <c r="H595" s="37" t="s">
        <v>2630</v>
      </c>
      <c r="I595" s="37" t="s">
        <v>2237</v>
      </c>
      <c r="J595" s="37" t="s">
        <v>1096</v>
      </c>
      <c r="K595" s="32">
        <v>5</v>
      </c>
      <c r="L595" s="32"/>
      <c r="M595" s="32"/>
      <c r="N595" s="32">
        <v>5</v>
      </c>
      <c r="O595" s="33"/>
      <c r="P595" s="38"/>
      <c r="Q595" s="34" t="str">
        <f>IF(MasterFees[[#This Row],[GST Basis]]="Excl",MasterFees[[#This Row],[Fee as Printed]],IF(MasterFees[[#This Row],[GST Basis]]="Incl",MasterFees[[#This Row],[Fee as Printed]]/(1+GST_Rate),""))</f>
        <v/>
      </c>
      <c r="R595" s="34" t="str">
        <f>IF(MasterFees[[#This Row],[GST Basis]]="Incl",MasterFees[[#This Row],[Fee as Printed]],IF(MasterFees[[#This Row],[GST Basis]]="Excl",MasterFees[[#This Row],[Fee as Printed]]*(1+GST_Rate),""))</f>
        <v/>
      </c>
      <c r="S595" s="35">
        <f>IF(N(MasterFees[[#This Row],[Total Units]])=0,"",MasterFees[[#This Row],[Fee as Printed]]/MasterFees[[#This Row],[Total Units]])</f>
        <v>0</v>
      </c>
      <c r="T595" s="36"/>
      <c r="U595" s="39" t="s">
        <v>1016</v>
      </c>
      <c r="V595" s="39" t="s">
        <v>2656</v>
      </c>
      <c r="W595" s="30" t="s">
        <v>2657</v>
      </c>
      <c r="X595" s="73" t="s">
        <v>3786</v>
      </c>
      <c r="Y595" s="127" t="str">
        <f>_xlfn.XLOOKUP(MasterFees[[#This Row],[Provider / Payer]],Contracts[Contract Name],Contracts[Contract ID],"No contract")</f>
        <v>CON-10</v>
      </c>
      <c r="Z595" s="127" t="str">
        <f>_xlfn.XLOOKUP(MasterFees[[#This Row],[Provider / Payer]],Contracts[Contract Name],Contracts[Pricing Basis],"To confirm")</f>
        <v>Reference – units only</v>
      </c>
      <c r="AA595" s="127" t="str">
        <f>IF(MasterFees[[#This Row],[Pricing Basis]]="Fixed fee schedule","Yes","No")</f>
        <v>No</v>
      </c>
      <c r="AB595" s="127" t="str">
        <f>IF(OR(MasterFees[[#This Row],[Fee Basis]]="Add-on",MasterFees[[#This Row],[Fee Basis]]="Time band",MasterFees[[#This Row],[Fee Basis]]="Other"),MasterFees[[#This Row],[Fee Basis]],"Base")</f>
        <v>Base</v>
      </c>
      <c r="AC595" s="141" t="str">
        <f>IF(MasterFees[[#This Row],[Fixed Fee?]]="Yes",MasterFees[[#This Row],[Fee Excl. GST]],"")</f>
        <v/>
      </c>
    </row>
    <row r="596" spans="1:29" x14ac:dyDescent="0.2">
      <c r="A596" s="67" t="s">
        <v>2262</v>
      </c>
      <c r="B596" s="31">
        <f>IF(MasterFees[[#This Row],[RVG Code]]="","",_xlfn.XLOOKUP(MasterFees[[#This Row],[RVG Code]],RVGCodes[Code],RVGCodes[Base Units],"Code not found"))</f>
        <v>16</v>
      </c>
      <c r="C59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9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Cardiac</v>
      </c>
      <c r="E596" s="125" t="s">
        <v>2586</v>
      </c>
      <c r="F596" s="48" t="s">
        <v>2569</v>
      </c>
      <c r="G596" s="30" t="s">
        <v>56</v>
      </c>
      <c r="H596" s="37" t="s">
        <v>1095</v>
      </c>
      <c r="I596" s="37"/>
      <c r="J596" s="37" t="s">
        <v>1096</v>
      </c>
      <c r="K596" s="32">
        <v>17</v>
      </c>
      <c r="L596" s="32">
        <v>17.8</v>
      </c>
      <c r="M596" s="32">
        <v>3.3</v>
      </c>
      <c r="N596" s="32">
        <v>38</v>
      </c>
      <c r="O596" s="33">
        <v>2091.65</v>
      </c>
      <c r="P596" s="38" t="s">
        <v>1014</v>
      </c>
      <c r="Q596" s="34" t="str">
        <f>IF(MasterFees[[#This Row],[GST Basis]]="Excl",MasterFees[[#This Row],[Fee as Printed]],IF(MasterFees[[#This Row],[GST Basis]]="Incl",MasterFees[[#This Row],[Fee as Printed]]/(1+GST_Rate),""))</f>
        <v/>
      </c>
      <c r="R596" s="34" t="str">
        <f>IF(MasterFees[[#This Row],[GST Basis]]="Incl",MasterFees[[#This Row],[Fee as Printed]],IF(MasterFees[[#This Row],[GST Basis]]="Excl",MasterFees[[#This Row],[Fee as Printed]]*(1+GST_Rate),""))</f>
        <v/>
      </c>
      <c r="S596" s="35">
        <f>IF(N(MasterFees[[#This Row],[Total Units]])=0,"",MasterFees[[#This Row],[Fee as Printed]]/MasterFees[[#This Row],[Total Units]])</f>
        <v>55.043421052631579</v>
      </c>
      <c r="T596" s="36"/>
      <c r="U596" s="39" t="s">
        <v>1012</v>
      </c>
      <c r="V596" s="39" t="s">
        <v>1145</v>
      </c>
      <c r="W596" s="30"/>
      <c r="X596" s="73" t="s">
        <v>2927</v>
      </c>
      <c r="Y596" s="127" t="str">
        <f>_xlfn.XLOOKUP(MasterFees[[#This Row],[Provider / Payer]],Contracts[Contract Name],Contracts[Contract ID],"No contract")</f>
        <v>CON-01</v>
      </c>
      <c r="Z596" s="127" t="str">
        <f>_xlfn.XLOOKUP(MasterFees[[#This Row],[Provider / Payer]],Contracts[Contract Name],Contracts[Pricing Basis],"To confirm")</f>
        <v>To confirm</v>
      </c>
      <c r="AA596" s="127" t="str">
        <f>IF(MasterFees[[#This Row],[Pricing Basis]]="Fixed fee schedule","Yes","No")</f>
        <v>No</v>
      </c>
      <c r="AB596" s="127" t="str">
        <f>IF(OR(MasterFees[[#This Row],[Fee Basis]]="Add-on",MasterFees[[#This Row],[Fee Basis]]="Time band",MasterFees[[#This Row],[Fee Basis]]="Other"),MasterFees[[#This Row],[Fee Basis]],"Base")</f>
        <v>Base</v>
      </c>
      <c r="AC596" s="141" t="str">
        <f>IF(MasterFees[[#This Row],[Fixed Fee?]]="Yes",MasterFees[[#This Row],[Fee Excl. GST]],"")</f>
        <v/>
      </c>
    </row>
    <row r="597" spans="1:29" x14ac:dyDescent="0.2">
      <c r="A597" s="67" t="s">
        <v>2265</v>
      </c>
      <c r="B597" s="31">
        <f>IF(MasterFees[[#This Row],[RVG Code]]="","",_xlfn.XLOOKUP(MasterFees[[#This Row],[RVG Code]],RVGCodes[Code],RVGCodes[Base Units],"Code not found"))</f>
        <v>20</v>
      </c>
      <c r="C59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9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Cardiac</v>
      </c>
      <c r="E597" s="125" t="s">
        <v>2587</v>
      </c>
      <c r="F597" s="48" t="s">
        <v>2569</v>
      </c>
      <c r="G597" s="30" t="s">
        <v>64</v>
      </c>
      <c r="H597" s="37" t="s">
        <v>1095</v>
      </c>
      <c r="I597" s="37"/>
      <c r="J597" s="37" t="s">
        <v>1096</v>
      </c>
      <c r="K597" s="32">
        <v>21</v>
      </c>
      <c r="L597" s="32">
        <v>23.3</v>
      </c>
      <c r="M597" s="32">
        <v>3.8</v>
      </c>
      <c r="N597" s="32">
        <v>48</v>
      </c>
      <c r="O597" s="33">
        <v>2640</v>
      </c>
      <c r="P597" s="38" t="s">
        <v>1014</v>
      </c>
      <c r="Q597" s="34" t="str">
        <f>IF(MasterFees[[#This Row],[GST Basis]]="Excl",MasterFees[[#This Row],[Fee as Printed]],IF(MasterFees[[#This Row],[GST Basis]]="Incl",MasterFees[[#This Row],[Fee as Printed]]/(1+GST_Rate),""))</f>
        <v/>
      </c>
      <c r="R597" s="34" t="str">
        <f>IF(MasterFees[[#This Row],[GST Basis]]="Incl",MasterFees[[#This Row],[Fee as Printed]],IF(MasterFees[[#This Row],[GST Basis]]="Excl",MasterFees[[#This Row],[Fee as Printed]]*(1+GST_Rate),""))</f>
        <v/>
      </c>
      <c r="S597" s="35">
        <f>IF(N(MasterFees[[#This Row],[Total Units]])=0,"",MasterFees[[#This Row],[Fee as Printed]]/MasterFees[[#This Row],[Total Units]])</f>
        <v>55</v>
      </c>
      <c r="T597" s="36"/>
      <c r="U597" s="39" t="s">
        <v>1012</v>
      </c>
      <c r="V597" s="39" t="s">
        <v>1153</v>
      </c>
      <c r="W597" s="30"/>
      <c r="X597" s="73" t="s">
        <v>2935</v>
      </c>
      <c r="Y597" s="127" t="str">
        <f>_xlfn.XLOOKUP(MasterFees[[#This Row],[Provider / Payer]],Contracts[Contract Name],Contracts[Contract ID],"No contract")</f>
        <v>CON-01</v>
      </c>
      <c r="Z597" s="127" t="str">
        <f>_xlfn.XLOOKUP(MasterFees[[#This Row],[Provider / Payer]],Contracts[Contract Name],Contracts[Pricing Basis],"To confirm")</f>
        <v>To confirm</v>
      </c>
      <c r="AA597" s="127" t="str">
        <f>IF(MasterFees[[#This Row],[Pricing Basis]]="Fixed fee schedule","Yes","No")</f>
        <v>No</v>
      </c>
      <c r="AB597" s="127" t="str">
        <f>IF(OR(MasterFees[[#This Row],[Fee Basis]]="Add-on",MasterFees[[#This Row],[Fee Basis]]="Time band",MasterFees[[#This Row],[Fee Basis]]="Other"),MasterFees[[#This Row],[Fee Basis]],"Base")</f>
        <v>Base</v>
      </c>
      <c r="AC597" s="141" t="str">
        <f>IF(MasterFees[[#This Row],[Fixed Fee?]]="Yes",MasterFees[[#This Row],[Fee Excl. GST]],"")</f>
        <v/>
      </c>
    </row>
    <row r="598" spans="1:29" x14ac:dyDescent="0.2">
      <c r="A598" s="67" t="s">
        <v>2262</v>
      </c>
      <c r="B598" s="31">
        <f>IF(MasterFees[[#This Row],[RVG Code]]="","",_xlfn.XLOOKUP(MasterFees[[#This Row],[RVG Code]],RVGCodes[Code],RVGCodes[Base Units],"Code not found"))</f>
        <v>16</v>
      </c>
      <c r="C59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9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Cardiac</v>
      </c>
      <c r="E598" s="125" t="s">
        <v>2586</v>
      </c>
      <c r="F598" s="48" t="s">
        <v>2569</v>
      </c>
      <c r="G598" s="30" t="s">
        <v>150</v>
      </c>
      <c r="H598" s="37" t="s">
        <v>1095</v>
      </c>
      <c r="I598" s="37"/>
      <c r="J598" s="37" t="s">
        <v>1096</v>
      </c>
      <c r="K598" s="32">
        <v>17</v>
      </c>
      <c r="L598" s="32">
        <v>20.9</v>
      </c>
      <c r="M598" s="32">
        <v>3.1</v>
      </c>
      <c r="N598" s="32">
        <v>41</v>
      </c>
      <c r="O598" s="33">
        <v>2257.1999999999998</v>
      </c>
      <c r="P598" s="38" t="s">
        <v>1014</v>
      </c>
      <c r="Q598" s="34" t="str">
        <f>IF(MasterFees[[#This Row],[GST Basis]]="Excl",MasterFees[[#This Row],[Fee as Printed]],IF(MasterFees[[#This Row],[GST Basis]]="Incl",MasterFees[[#This Row],[Fee as Printed]]/(1+GST_Rate),""))</f>
        <v/>
      </c>
      <c r="R598" s="34" t="str">
        <f>IF(MasterFees[[#This Row],[GST Basis]]="Incl",MasterFees[[#This Row],[Fee as Printed]],IF(MasterFees[[#This Row],[GST Basis]]="Excl",MasterFees[[#This Row],[Fee as Printed]]*(1+GST_Rate),""))</f>
        <v/>
      </c>
      <c r="S598" s="35">
        <f>IF(N(MasterFees[[#This Row],[Total Units]])=0,"",MasterFees[[#This Row],[Fee as Printed]]/MasterFees[[#This Row],[Total Units]])</f>
        <v>55.05365853658536</v>
      </c>
      <c r="T598" s="36"/>
      <c r="U598" s="39" t="s">
        <v>1012</v>
      </c>
      <c r="V598" s="39" t="s">
        <v>1243</v>
      </c>
      <c r="W598" s="30"/>
      <c r="X598" s="73" t="s">
        <v>3026</v>
      </c>
      <c r="Y598" s="127" t="str">
        <f>_xlfn.XLOOKUP(MasterFees[[#This Row],[Provider / Payer]],Contracts[Contract Name],Contracts[Contract ID],"No contract")</f>
        <v>CON-01</v>
      </c>
      <c r="Z598" s="127" t="str">
        <f>_xlfn.XLOOKUP(MasterFees[[#This Row],[Provider / Payer]],Contracts[Contract Name],Contracts[Pricing Basis],"To confirm")</f>
        <v>To confirm</v>
      </c>
      <c r="AA598" s="127" t="str">
        <f>IF(MasterFees[[#This Row],[Pricing Basis]]="Fixed fee schedule","Yes","No")</f>
        <v>No</v>
      </c>
      <c r="AB598" s="127" t="str">
        <f>IF(OR(MasterFees[[#This Row],[Fee Basis]]="Add-on",MasterFees[[#This Row],[Fee Basis]]="Time band",MasterFees[[#This Row],[Fee Basis]]="Other"),MasterFees[[#This Row],[Fee Basis]],"Base")</f>
        <v>Base</v>
      </c>
      <c r="AC598" s="141" t="str">
        <f>IF(MasterFees[[#This Row],[Fixed Fee?]]="Yes",MasterFees[[#This Row],[Fee Excl. GST]],"")</f>
        <v/>
      </c>
    </row>
    <row r="599" spans="1:29" x14ac:dyDescent="0.2">
      <c r="A599" s="67" t="s">
        <v>2262</v>
      </c>
      <c r="B599" s="31">
        <f>IF(MasterFees[[#This Row],[RVG Code]]="","",_xlfn.XLOOKUP(MasterFees[[#This Row],[RVG Code]],RVGCodes[Code],RVGCodes[Base Units],"Code not found"))</f>
        <v>16</v>
      </c>
      <c r="C59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59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Cardiac</v>
      </c>
      <c r="E599" s="125" t="s">
        <v>2586</v>
      </c>
      <c r="F599" s="48" t="s">
        <v>2569</v>
      </c>
      <c r="G599" s="30" t="s">
        <v>215</v>
      </c>
      <c r="H599" s="37" t="s">
        <v>1095</v>
      </c>
      <c r="I599" s="37"/>
      <c r="J599" s="37" t="s">
        <v>1096</v>
      </c>
      <c r="K599" s="32">
        <v>17.3</v>
      </c>
      <c r="L599" s="32">
        <v>20</v>
      </c>
      <c r="M599" s="32">
        <v>2.7</v>
      </c>
      <c r="N599" s="32">
        <v>40</v>
      </c>
      <c r="O599" s="33">
        <v>2199.4499999999998</v>
      </c>
      <c r="P599" s="38" t="s">
        <v>1014</v>
      </c>
      <c r="Q599" s="34" t="str">
        <f>IF(MasterFees[[#This Row],[GST Basis]]="Excl",MasterFees[[#This Row],[Fee as Printed]],IF(MasterFees[[#This Row],[GST Basis]]="Incl",MasterFees[[#This Row],[Fee as Printed]]/(1+GST_Rate),""))</f>
        <v/>
      </c>
      <c r="R599" s="34" t="str">
        <f>IF(MasterFees[[#This Row],[GST Basis]]="Incl",MasterFees[[#This Row],[Fee as Printed]],IF(MasterFees[[#This Row],[GST Basis]]="Excl",MasterFees[[#This Row],[Fee as Printed]]*(1+GST_Rate),""))</f>
        <v/>
      </c>
      <c r="S599" s="35">
        <f>IF(N(MasterFees[[#This Row],[Total Units]])=0,"",MasterFees[[#This Row],[Fee as Printed]]/MasterFees[[#This Row],[Total Units]])</f>
        <v>54.986249999999998</v>
      </c>
      <c r="T599" s="36"/>
      <c r="U599" s="39" t="s">
        <v>1012</v>
      </c>
      <c r="V599" s="39" t="s">
        <v>1309</v>
      </c>
      <c r="W599" s="30"/>
      <c r="X599" s="73" t="s">
        <v>3095</v>
      </c>
      <c r="Y599" s="127" t="str">
        <f>_xlfn.XLOOKUP(MasterFees[[#This Row],[Provider / Payer]],Contracts[Contract Name],Contracts[Contract ID],"No contract")</f>
        <v>CON-01</v>
      </c>
      <c r="Z599" s="127" t="str">
        <f>_xlfn.XLOOKUP(MasterFees[[#This Row],[Provider / Payer]],Contracts[Contract Name],Contracts[Pricing Basis],"To confirm")</f>
        <v>To confirm</v>
      </c>
      <c r="AA599" s="127" t="str">
        <f>IF(MasterFees[[#This Row],[Pricing Basis]]="Fixed fee schedule","Yes","No")</f>
        <v>No</v>
      </c>
      <c r="AB599" s="127" t="str">
        <f>IF(OR(MasterFees[[#This Row],[Fee Basis]]="Add-on",MasterFees[[#This Row],[Fee Basis]]="Time band",MasterFees[[#This Row],[Fee Basis]]="Other"),MasterFees[[#This Row],[Fee Basis]],"Base")</f>
        <v>Base</v>
      </c>
      <c r="AC599" s="141" t="str">
        <f>IF(MasterFees[[#This Row],[Fixed Fee?]]="Yes",MasterFees[[#This Row],[Fee Excl. GST]],"")</f>
        <v/>
      </c>
    </row>
    <row r="600" spans="1:29" x14ac:dyDescent="0.2">
      <c r="A600" s="67" t="s">
        <v>2262</v>
      </c>
      <c r="B600" s="31">
        <f>IF(MasterFees[[#This Row],[RVG Code]]="","",_xlfn.XLOOKUP(MasterFees[[#This Row],[RVG Code]],RVGCodes[Code],RVGCodes[Base Units],"Code not found"))</f>
        <v>16</v>
      </c>
      <c r="C60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60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Cardiac</v>
      </c>
      <c r="E600" s="125" t="s">
        <v>2586</v>
      </c>
      <c r="F600" s="48" t="s">
        <v>2629</v>
      </c>
      <c r="G600" s="30" t="s">
        <v>2263</v>
      </c>
      <c r="H600" s="37" t="s">
        <v>2630</v>
      </c>
      <c r="I600" s="37" t="s">
        <v>2262</v>
      </c>
      <c r="J600" s="37" t="s">
        <v>1096</v>
      </c>
      <c r="K600" s="32">
        <v>16</v>
      </c>
      <c r="L600" s="32"/>
      <c r="M600" s="32"/>
      <c r="N600" s="32">
        <v>16</v>
      </c>
      <c r="O600" s="33"/>
      <c r="P600" s="38"/>
      <c r="Q600" s="34" t="str">
        <f>IF(MasterFees[[#This Row],[GST Basis]]="Excl",MasterFees[[#This Row],[Fee as Printed]],IF(MasterFees[[#This Row],[GST Basis]]="Incl",MasterFees[[#This Row],[Fee as Printed]]/(1+GST_Rate),""))</f>
        <v/>
      </c>
      <c r="R600" s="34" t="str">
        <f>IF(MasterFees[[#This Row],[GST Basis]]="Incl",MasterFees[[#This Row],[Fee as Printed]],IF(MasterFees[[#This Row],[GST Basis]]="Excl",MasterFees[[#This Row],[Fee as Printed]]*(1+GST_Rate),""))</f>
        <v/>
      </c>
      <c r="S600" s="35">
        <f>IF(N(MasterFees[[#This Row],[Total Units]])=0,"",MasterFees[[#This Row],[Fee as Printed]]/MasterFees[[#This Row],[Total Units]])</f>
        <v>0</v>
      </c>
      <c r="T600" s="36"/>
      <c r="U600" s="39" t="s">
        <v>1016</v>
      </c>
      <c r="V600" s="39" t="s">
        <v>2668</v>
      </c>
      <c r="W600" s="30" t="s">
        <v>2632</v>
      </c>
      <c r="X600" s="73" t="s">
        <v>3581</v>
      </c>
      <c r="Y600" s="127" t="str">
        <f>_xlfn.XLOOKUP(MasterFees[[#This Row],[Provider / Payer]],Contracts[Contract Name],Contracts[Contract ID],"No contract")</f>
        <v>CON-10</v>
      </c>
      <c r="Z600" s="127" t="str">
        <f>_xlfn.XLOOKUP(MasterFees[[#This Row],[Provider / Payer]],Contracts[Contract Name],Contracts[Pricing Basis],"To confirm")</f>
        <v>Reference – units only</v>
      </c>
      <c r="AA600" s="127" t="str">
        <f>IF(MasterFees[[#This Row],[Pricing Basis]]="Fixed fee schedule","Yes","No")</f>
        <v>No</v>
      </c>
      <c r="AB600" s="127" t="str">
        <f>IF(OR(MasterFees[[#This Row],[Fee Basis]]="Add-on",MasterFees[[#This Row],[Fee Basis]]="Time band",MasterFees[[#This Row],[Fee Basis]]="Other"),MasterFees[[#This Row],[Fee Basis]],"Base")</f>
        <v>Base</v>
      </c>
      <c r="AC600" s="141" t="str">
        <f>IF(MasterFees[[#This Row],[Fixed Fee?]]="Yes",MasterFees[[#This Row],[Fee Excl. GST]],"")</f>
        <v/>
      </c>
    </row>
    <row r="601" spans="1:29" x14ac:dyDescent="0.2">
      <c r="A601" s="67" t="s">
        <v>2262</v>
      </c>
      <c r="B601" s="31">
        <f>IF(MasterFees[[#This Row],[RVG Code]]="","",_xlfn.XLOOKUP(MasterFees[[#This Row],[RVG Code]],RVGCodes[Code],RVGCodes[Base Units],"Code not found"))</f>
        <v>16</v>
      </c>
      <c r="C60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60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Cardiac</v>
      </c>
      <c r="E601" s="125" t="s">
        <v>2586</v>
      </c>
      <c r="F601" s="48" t="s">
        <v>2567</v>
      </c>
      <c r="G601" s="30" t="s">
        <v>641</v>
      </c>
      <c r="H601" s="37" t="s">
        <v>1095</v>
      </c>
      <c r="I601" s="37"/>
      <c r="J601" s="37" t="s">
        <v>1096</v>
      </c>
      <c r="K601" s="32">
        <v>17.5</v>
      </c>
      <c r="L601" s="32">
        <v>21.2</v>
      </c>
      <c r="M601" s="32">
        <v>3.5</v>
      </c>
      <c r="N601" s="32">
        <v>42.1</v>
      </c>
      <c r="O601" s="33">
        <v>2314.4</v>
      </c>
      <c r="P601" s="38" t="s">
        <v>1014</v>
      </c>
      <c r="Q601" s="34" t="str">
        <f>IF(MasterFees[[#This Row],[GST Basis]]="Excl",MasterFees[[#This Row],[Fee as Printed]],IF(MasterFees[[#This Row],[GST Basis]]="Incl",MasterFees[[#This Row],[Fee as Printed]]/(1+GST_Rate),""))</f>
        <v/>
      </c>
      <c r="R601" s="34" t="str">
        <f>IF(MasterFees[[#This Row],[GST Basis]]="Incl",MasterFees[[#This Row],[Fee as Printed]],IF(MasterFees[[#This Row],[GST Basis]]="Excl",MasterFees[[#This Row],[Fee as Printed]]*(1+GST_Rate),""))</f>
        <v/>
      </c>
      <c r="S601" s="35">
        <f>IF(N(MasterFees[[#This Row],[Total Units]])=0,"",MasterFees[[#This Row],[Fee as Printed]]/MasterFees[[#This Row],[Total Units]])</f>
        <v>54.973871733966746</v>
      </c>
      <c r="T601" s="36"/>
      <c r="U601" s="39" t="s">
        <v>1012</v>
      </c>
      <c r="V601" s="39" t="s">
        <v>1738</v>
      </c>
      <c r="W601" s="30"/>
      <c r="X601" s="73" t="s">
        <v>3537</v>
      </c>
      <c r="Y601" s="127" t="str">
        <f>_xlfn.XLOOKUP(MasterFees[[#This Row],[Provider / Payer]],Contracts[Contract Name],Contracts[Contract ID],"No contract")</f>
        <v>CON-01</v>
      </c>
      <c r="Z601" s="127" t="str">
        <f>_xlfn.XLOOKUP(MasterFees[[#This Row],[Provider / Payer]],Contracts[Contract Name],Contracts[Pricing Basis],"To confirm")</f>
        <v>To confirm</v>
      </c>
      <c r="AA601" s="127" t="str">
        <f>IF(MasterFees[[#This Row],[Pricing Basis]]="Fixed fee schedule","Yes","No")</f>
        <v>No</v>
      </c>
      <c r="AB601" s="127" t="str">
        <f>IF(OR(MasterFees[[#This Row],[Fee Basis]]="Add-on",MasterFees[[#This Row],[Fee Basis]]="Time band",MasterFees[[#This Row],[Fee Basis]]="Other"),MasterFees[[#This Row],[Fee Basis]],"Base")</f>
        <v>Base</v>
      </c>
      <c r="AC601" s="141" t="str">
        <f>IF(MasterFees[[#This Row],[Fixed Fee?]]="Yes",MasterFees[[#This Row],[Fee Excl. GST]],"")</f>
        <v/>
      </c>
    </row>
    <row r="602" spans="1:29" x14ac:dyDescent="0.2">
      <c r="A602" s="67" t="s">
        <v>2262</v>
      </c>
      <c r="B602" s="31">
        <f>IF(MasterFees[[#This Row],[RVG Code]]="","",_xlfn.XLOOKUP(MasterFees[[#This Row],[RVG Code]],RVGCodes[Code],RVGCodes[Base Units],"Code not found"))</f>
        <v>16</v>
      </c>
      <c r="C60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60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Cardiac</v>
      </c>
      <c r="E602" s="125" t="s">
        <v>2586</v>
      </c>
      <c r="F602" s="48" t="s">
        <v>2569</v>
      </c>
      <c r="G602" s="30" t="s">
        <v>642</v>
      </c>
      <c r="H602" s="37" t="s">
        <v>1095</v>
      </c>
      <c r="I602" s="37"/>
      <c r="J602" s="37" t="s">
        <v>1096</v>
      </c>
      <c r="K602" s="32">
        <v>16.3</v>
      </c>
      <c r="L602" s="32">
        <v>19.3</v>
      </c>
      <c r="M602" s="32">
        <v>2.4</v>
      </c>
      <c r="N602" s="32">
        <v>38</v>
      </c>
      <c r="O602" s="33">
        <v>2088.9</v>
      </c>
      <c r="P602" s="38" t="s">
        <v>1014</v>
      </c>
      <c r="Q602" s="34" t="str">
        <f>IF(MasterFees[[#This Row],[GST Basis]]="Excl",MasterFees[[#This Row],[Fee as Printed]],IF(MasterFees[[#This Row],[GST Basis]]="Incl",MasterFees[[#This Row],[Fee as Printed]]/(1+GST_Rate),""))</f>
        <v/>
      </c>
      <c r="R602" s="34" t="str">
        <f>IF(MasterFees[[#This Row],[GST Basis]]="Incl",MasterFees[[#This Row],[Fee as Printed]],IF(MasterFees[[#This Row],[GST Basis]]="Excl",MasterFees[[#This Row],[Fee as Printed]]*(1+GST_Rate),""))</f>
        <v/>
      </c>
      <c r="S602" s="35">
        <f>IF(N(MasterFees[[#This Row],[Total Units]])=0,"",MasterFees[[#This Row],[Fee as Printed]]/MasterFees[[#This Row],[Total Units]])</f>
        <v>54.971052631578949</v>
      </c>
      <c r="T602" s="36"/>
      <c r="U602" s="39" t="s">
        <v>1012</v>
      </c>
      <c r="V602" s="39" t="s">
        <v>1739</v>
      </c>
      <c r="W602" s="30"/>
      <c r="X602" s="73" t="s">
        <v>3538</v>
      </c>
      <c r="Y602" s="127" t="str">
        <f>_xlfn.XLOOKUP(MasterFees[[#This Row],[Provider / Payer]],Contracts[Contract Name],Contracts[Contract ID],"No contract")</f>
        <v>CON-01</v>
      </c>
      <c r="Z602" s="127" t="str">
        <f>_xlfn.XLOOKUP(MasterFees[[#This Row],[Provider / Payer]],Contracts[Contract Name],Contracts[Pricing Basis],"To confirm")</f>
        <v>To confirm</v>
      </c>
      <c r="AA602" s="127" t="str">
        <f>IF(MasterFees[[#This Row],[Pricing Basis]]="Fixed fee schedule","Yes","No")</f>
        <v>No</v>
      </c>
      <c r="AB602" s="127" t="str">
        <f>IF(OR(MasterFees[[#This Row],[Fee Basis]]="Add-on",MasterFees[[#This Row],[Fee Basis]]="Time band",MasterFees[[#This Row],[Fee Basis]]="Other"),MasterFees[[#This Row],[Fee Basis]],"Base")</f>
        <v>Base</v>
      </c>
      <c r="AC602" s="141" t="str">
        <f>IF(MasterFees[[#This Row],[Fixed Fee?]]="Yes",MasterFees[[#This Row],[Fee Excl. GST]],"")</f>
        <v/>
      </c>
    </row>
    <row r="603" spans="1:29" x14ac:dyDescent="0.2">
      <c r="A603" s="67" t="s">
        <v>2265</v>
      </c>
      <c r="B603" s="31">
        <f>IF(MasterFees[[#This Row],[RVG Code]]="","",_xlfn.XLOOKUP(MasterFees[[#This Row],[RVG Code]],RVGCodes[Code],RVGCodes[Base Units],"Code not found"))</f>
        <v>20</v>
      </c>
      <c r="C60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60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Cardiac</v>
      </c>
      <c r="E603" s="125" t="s">
        <v>2587</v>
      </c>
      <c r="F603" s="48" t="s">
        <v>2629</v>
      </c>
      <c r="G603" s="30" t="s">
        <v>2266</v>
      </c>
      <c r="H603" s="37" t="s">
        <v>2630</v>
      </c>
      <c r="I603" s="37" t="s">
        <v>2265</v>
      </c>
      <c r="J603" s="37" t="s">
        <v>1096</v>
      </c>
      <c r="K603" s="32">
        <v>20</v>
      </c>
      <c r="L603" s="32"/>
      <c r="M603" s="32"/>
      <c r="N603" s="32">
        <v>20</v>
      </c>
      <c r="O603" s="33"/>
      <c r="P603" s="38"/>
      <c r="Q603" s="34" t="str">
        <f>IF(MasterFees[[#This Row],[GST Basis]]="Excl",MasterFees[[#This Row],[Fee as Printed]],IF(MasterFees[[#This Row],[GST Basis]]="Incl",MasterFees[[#This Row],[Fee as Printed]]/(1+GST_Rate),""))</f>
        <v/>
      </c>
      <c r="R603" s="34" t="str">
        <f>IF(MasterFees[[#This Row],[GST Basis]]="Incl",MasterFees[[#This Row],[Fee as Printed]],IF(MasterFees[[#This Row],[GST Basis]]="Excl",MasterFees[[#This Row],[Fee as Printed]]*(1+GST_Rate),""))</f>
        <v/>
      </c>
      <c r="S603" s="35">
        <f>IF(N(MasterFees[[#This Row],[Total Units]])=0,"",MasterFees[[#This Row],[Fee as Printed]]/MasterFees[[#This Row],[Total Units]])</f>
        <v>0</v>
      </c>
      <c r="T603" s="36"/>
      <c r="U603" s="39" t="s">
        <v>1016</v>
      </c>
      <c r="V603" s="39" t="s">
        <v>2668</v>
      </c>
      <c r="W603" s="30" t="s">
        <v>2632</v>
      </c>
      <c r="X603" s="73" t="s">
        <v>2936</v>
      </c>
      <c r="Y603" s="127" t="str">
        <f>_xlfn.XLOOKUP(MasterFees[[#This Row],[Provider / Payer]],Contracts[Contract Name],Contracts[Contract ID],"No contract")</f>
        <v>CON-10</v>
      </c>
      <c r="Z603" s="127" t="str">
        <f>_xlfn.XLOOKUP(MasterFees[[#This Row],[Provider / Payer]],Contracts[Contract Name],Contracts[Pricing Basis],"To confirm")</f>
        <v>Reference – units only</v>
      </c>
      <c r="AA603" s="127" t="str">
        <f>IF(MasterFees[[#This Row],[Pricing Basis]]="Fixed fee schedule","Yes","No")</f>
        <v>No</v>
      </c>
      <c r="AB603" s="127" t="str">
        <f>IF(OR(MasterFees[[#This Row],[Fee Basis]]="Add-on",MasterFees[[#This Row],[Fee Basis]]="Time band",MasterFees[[#This Row],[Fee Basis]]="Other"),MasterFees[[#This Row],[Fee Basis]],"Base")</f>
        <v>Base</v>
      </c>
      <c r="AC603" s="141" t="str">
        <f>IF(MasterFees[[#This Row],[Fixed Fee?]]="Yes",MasterFees[[#This Row],[Fee Excl. GST]],"")</f>
        <v/>
      </c>
    </row>
    <row r="604" spans="1:29" x14ac:dyDescent="0.2">
      <c r="A604" s="67" t="s">
        <v>2262</v>
      </c>
      <c r="B604" s="31">
        <f>IF(MasterFees[[#This Row],[RVG Code]]="","",_xlfn.XLOOKUP(MasterFees[[#This Row],[RVG Code]],RVGCodes[Code],RVGCodes[Base Units],"Code not found"))</f>
        <v>16</v>
      </c>
      <c r="C60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60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Cardiac</v>
      </c>
      <c r="E604" s="125" t="s">
        <v>2586</v>
      </c>
      <c r="F604" s="48" t="s">
        <v>2569</v>
      </c>
      <c r="G604" s="30" t="s">
        <v>649</v>
      </c>
      <c r="H604" s="37" t="s">
        <v>1095</v>
      </c>
      <c r="I604" s="37"/>
      <c r="J604" s="37" t="s">
        <v>1096</v>
      </c>
      <c r="K604" s="32">
        <v>18</v>
      </c>
      <c r="L604" s="32">
        <v>17.7</v>
      </c>
      <c r="M604" s="32">
        <v>3.3</v>
      </c>
      <c r="N604" s="32">
        <v>39</v>
      </c>
      <c r="O604" s="33">
        <v>2144.4499999999998</v>
      </c>
      <c r="P604" s="38" t="s">
        <v>1014</v>
      </c>
      <c r="Q604" s="34" t="str">
        <f>IF(MasterFees[[#This Row],[GST Basis]]="Excl",MasterFees[[#This Row],[Fee as Printed]],IF(MasterFees[[#This Row],[GST Basis]]="Incl",MasterFees[[#This Row],[Fee as Printed]]/(1+GST_Rate),""))</f>
        <v/>
      </c>
      <c r="R604" s="34" t="str">
        <f>IF(MasterFees[[#This Row],[GST Basis]]="Incl",MasterFees[[#This Row],[Fee as Printed]],IF(MasterFees[[#This Row],[GST Basis]]="Excl",MasterFees[[#This Row],[Fee as Printed]]*(1+GST_Rate),""))</f>
        <v/>
      </c>
      <c r="S604" s="35">
        <f>IF(N(MasterFees[[#This Row],[Total Units]])=0,"",MasterFees[[#This Row],[Fee as Printed]]/MasterFees[[#This Row],[Total Units]])</f>
        <v>54.985897435897428</v>
      </c>
      <c r="T604" s="36"/>
      <c r="U604" s="39" t="s">
        <v>1012</v>
      </c>
      <c r="V604" s="39" t="s">
        <v>1746</v>
      </c>
      <c r="W604" s="30"/>
      <c r="X604" s="73" t="s">
        <v>3546</v>
      </c>
      <c r="Y604" s="127" t="str">
        <f>_xlfn.XLOOKUP(MasterFees[[#This Row],[Provider / Payer]],Contracts[Contract Name],Contracts[Contract ID],"No contract")</f>
        <v>CON-01</v>
      </c>
      <c r="Z604" s="127" t="str">
        <f>_xlfn.XLOOKUP(MasterFees[[#This Row],[Provider / Payer]],Contracts[Contract Name],Contracts[Pricing Basis],"To confirm")</f>
        <v>To confirm</v>
      </c>
      <c r="AA604" s="127" t="str">
        <f>IF(MasterFees[[#This Row],[Pricing Basis]]="Fixed fee schedule","Yes","No")</f>
        <v>No</v>
      </c>
      <c r="AB604" s="127" t="str">
        <f>IF(OR(MasterFees[[#This Row],[Fee Basis]]="Add-on",MasterFees[[#This Row],[Fee Basis]]="Time band",MasterFees[[#This Row],[Fee Basis]]="Other"),MasterFees[[#This Row],[Fee Basis]],"Base")</f>
        <v>Base</v>
      </c>
      <c r="AC604" s="141" t="str">
        <f>IF(MasterFees[[#This Row],[Fixed Fee?]]="Yes",MasterFees[[#This Row],[Fee Excl. GST]],"")</f>
        <v/>
      </c>
    </row>
    <row r="605" spans="1:29" x14ac:dyDescent="0.2">
      <c r="A605" s="67" t="s">
        <v>2262</v>
      </c>
      <c r="B605" s="31">
        <f>IF(MasterFees[[#This Row],[RVG Code]]="","",_xlfn.XLOOKUP(MasterFees[[#This Row],[RVG Code]],RVGCodes[Code],RVGCodes[Base Units],"Code not found"))</f>
        <v>16</v>
      </c>
      <c r="C60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60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Cardiac</v>
      </c>
      <c r="E605" s="125" t="s">
        <v>2586</v>
      </c>
      <c r="F605" s="48" t="s">
        <v>2569</v>
      </c>
      <c r="G605" s="30" t="s">
        <v>655</v>
      </c>
      <c r="H605" s="37" t="s">
        <v>1095</v>
      </c>
      <c r="I605" s="37"/>
      <c r="J605" s="37" t="s">
        <v>1096</v>
      </c>
      <c r="K605" s="32">
        <v>16</v>
      </c>
      <c r="L605" s="32">
        <v>22</v>
      </c>
      <c r="M605" s="32">
        <v>2.9</v>
      </c>
      <c r="N605" s="32">
        <v>40.9</v>
      </c>
      <c r="O605" s="33">
        <v>2251.6999999999998</v>
      </c>
      <c r="P605" s="38" t="s">
        <v>1014</v>
      </c>
      <c r="Q605" s="34" t="str">
        <f>IF(MasterFees[[#This Row],[GST Basis]]="Excl",MasterFees[[#This Row],[Fee as Printed]],IF(MasterFees[[#This Row],[GST Basis]]="Incl",MasterFees[[#This Row],[Fee as Printed]]/(1+GST_Rate),""))</f>
        <v/>
      </c>
      <c r="R605" s="34" t="str">
        <f>IF(MasterFees[[#This Row],[GST Basis]]="Incl",MasterFees[[#This Row],[Fee as Printed]],IF(MasterFees[[#This Row],[GST Basis]]="Excl",MasterFees[[#This Row],[Fee as Printed]]*(1+GST_Rate),""))</f>
        <v/>
      </c>
      <c r="S605" s="35">
        <f>IF(N(MasterFees[[#This Row],[Total Units]])=0,"",MasterFees[[#This Row],[Fee as Printed]]/MasterFees[[#This Row],[Total Units]])</f>
        <v>55.053789731051339</v>
      </c>
      <c r="T605" s="36"/>
      <c r="U605" s="39" t="s">
        <v>1012</v>
      </c>
      <c r="V605" s="39" t="s">
        <v>1752</v>
      </c>
      <c r="W605" s="30"/>
      <c r="X605" s="73" t="s">
        <v>3552</v>
      </c>
      <c r="Y605" s="127" t="str">
        <f>_xlfn.XLOOKUP(MasterFees[[#This Row],[Provider / Payer]],Contracts[Contract Name],Contracts[Contract ID],"No contract")</f>
        <v>CON-01</v>
      </c>
      <c r="Z605" s="127" t="str">
        <f>_xlfn.XLOOKUP(MasterFees[[#This Row],[Provider / Payer]],Contracts[Contract Name],Contracts[Pricing Basis],"To confirm")</f>
        <v>To confirm</v>
      </c>
      <c r="AA605" s="127" t="str">
        <f>IF(MasterFees[[#This Row],[Pricing Basis]]="Fixed fee schedule","Yes","No")</f>
        <v>No</v>
      </c>
      <c r="AB605" s="127" t="str">
        <f>IF(OR(MasterFees[[#This Row],[Fee Basis]]="Add-on",MasterFees[[#This Row],[Fee Basis]]="Time band",MasterFees[[#This Row],[Fee Basis]]="Other"),MasterFees[[#This Row],[Fee Basis]],"Base")</f>
        <v>Base</v>
      </c>
      <c r="AC605" s="141" t="str">
        <f>IF(MasterFees[[#This Row],[Fixed Fee?]]="Yes",MasterFees[[#This Row],[Fee Excl. GST]],"")</f>
        <v/>
      </c>
    </row>
    <row r="606" spans="1:29" x14ac:dyDescent="0.2">
      <c r="A606" s="67" t="s">
        <v>2262</v>
      </c>
      <c r="B606" s="31">
        <f>IF(MasterFees[[#This Row],[RVG Code]]="","",_xlfn.XLOOKUP(MasterFees[[#This Row],[RVG Code]],RVGCodes[Code],RVGCodes[Base Units],"Code not found"))</f>
        <v>16</v>
      </c>
      <c r="C60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60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Cardiac</v>
      </c>
      <c r="E606" s="125" t="s">
        <v>2586</v>
      </c>
      <c r="F606" s="48" t="s">
        <v>2569</v>
      </c>
      <c r="G606" s="30" t="s">
        <v>682</v>
      </c>
      <c r="H606" s="37" t="s">
        <v>1095</v>
      </c>
      <c r="I606" s="37"/>
      <c r="J606" s="37" t="s">
        <v>1096</v>
      </c>
      <c r="K606" s="32">
        <v>16</v>
      </c>
      <c r="L606" s="32">
        <v>19</v>
      </c>
      <c r="M606" s="32">
        <v>3</v>
      </c>
      <c r="N606" s="32">
        <v>38</v>
      </c>
      <c r="O606" s="33">
        <v>2090</v>
      </c>
      <c r="P606" s="38" t="s">
        <v>1014</v>
      </c>
      <c r="Q606" s="34" t="str">
        <f>IF(MasterFees[[#This Row],[GST Basis]]="Excl",MasterFees[[#This Row],[Fee as Printed]],IF(MasterFees[[#This Row],[GST Basis]]="Incl",MasterFees[[#This Row],[Fee as Printed]]/(1+GST_Rate),""))</f>
        <v/>
      </c>
      <c r="R606" s="34" t="str">
        <f>IF(MasterFees[[#This Row],[GST Basis]]="Incl",MasterFees[[#This Row],[Fee as Printed]],IF(MasterFees[[#This Row],[GST Basis]]="Excl",MasterFees[[#This Row],[Fee as Printed]]*(1+GST_Rate),""))</f>
        <v/>
      </c>
      <c r="S606" s="35">
        <f>IF(N(MasterFees[[#This Row],[Total Units]])=0,"",MasterFees[[#This Row],[Fee as Printed]]/MasterFees[[#This Row],[Total Units]])</f>
        <v>55</v>
      </c>
      <c r="T606" s="36"/>
      <c r="U606" s="39" t="s">
        <v>1012</v>
      </c>
      <c r="V606" s="39" t="s">
        <v>1779</v>
      </c>
      <c r="W606" s="30"/>
      <c r="X606" s="73" t="s">
        <v>3580</v>
      </c>
      <c r="Y606" s="127" t="str">
        <f>_xlfn.XLOOKUP(MasterFees[[#This Row],[Provider / Payer]],Contracts[Contract Name],Contracts[Contract ID],"No contract")</f>
        <v>CON-01</v>
      </c>
      <c r="Z606" s="127" t="str">
        <f>_xlfn.XLOOKUP(MasterFees[[#This Row],[Provider / Payer]],Contracts[Contract Name],Contracts[Pricing Basis],"To confirm")</f>
        <v>To confirm</v>
      </c>
      <c r="AA606" s="127" t="str">
        <f>IF(MasterFees[[#This Row],[Pricing Basis]]="Fixed fee schedule","Yes","No")</f>
        <v>No</v>
      </c>
      <c r="AB606" s="127" t="str">
        <f>IF(OR(MasterFees[[#This Row],[Fee Basis]]="Add-on",MasterFees[[#This Row],[Fee Basis]]="Time band",MasterFees[[#This Row],[Fee Basis]]="Other"),MasterFees[[#This Row],[Fee Basis]],"Base")</f>
        <v>Base</v>
      </c>
      <c r="AC606" s="141" t="str">
        <f>IF(MasterFees[[#This Row],[Fixed Fee?]]="Yes",MasterFees[[#This Row],[Fee Excl. GST]],"")</f>
        <v/>
      </c>
    </row>
    <row r="607" spans="1:29" x14ac:dyDescent="0.2">
      <c r="A607" s="67" t="s">
        <v>2267</v>
      </c>
      <c r="B607" s="31">
        <f>IF(MasterFees[[#This Row],[RVG Code]]="","",_xlfn.XLOOKUP(MasterFees[[#This Row],[RVG Code]],RVGCodes[Code],RVGCodes[Base Units],"Code not found"))</f>
        <v>15</v>
      </c>
      <c r="C60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60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Cardiac</v>
      </c>
      <c r="E607" s="125" t="s">
        <v>2694</v>
      </c>
      <c r="F607" s="48" t="s">
        <v>2565</v>
      </c>
      <c r="G607" s="30" t="s">
        <v>2268</v>
      </c>
      <c r="H607" s="37" t="s">
        <v>2630</v>
      </c>
      <c r="I607" s="37" t="s">
        <v>2267</v>
      </c>
      <c r="J607" s="37" t="s">
        <v>1096</v>
      </c>
      <c r="K607" s="32">
        <v>15</v>
      </c>
      <c r="L607" s="32"/>
      <c r="M607" s="32"/>
      <c r="N607" s="32">
        <v>15</v>
      </c>
      <c r="O607" s="33"/>
      <c r="P607" s="38"/>
      <c r="Q607" s="34" t="str">
        <f>IF(MasterFees[[#This Row],[GST Basis]]="Excl",MasterFees[[#This Row],[Fee as Printed]],IF(MasterFees[[#This Row],[GST Basis]]="Incl",MasterFees[[#This Row],[Fee as Printed]]/(1+GST_Rate),""))</f>
        <v/>
      </c>
      <c r="R607" s="34" t="str">
        <f>IF(MasterFees[[#This Row],[GST Basis]]="Incl",MasterFees[[#This Row],[Fee as Printed]],IF(MasterFees[[#This Row],[GST Basis]]="Excl",MasterFees[[#This Row],[Fee as Printed]]*(1+GST_Rate),""))</f>
        <v/>
      </c>
      <c r="S607" s="35">
        <f>IF(N(MasterFees[[#This Row],[Total Units]])=0,"",MasterFees[[#This Row],[Fee as Printed]]/MasterFees[[#This Row],[Total Units]])</f>
        <v>0</v>
      </c>
      <c r="T607" s="36"/>
      <c r="U607" s="39" t="s">
        <v>1016</v>
      </c>
      <c r="V607" s="39" t="s">
        <v>2668</v>
      </c>
      <c r="W607" s="30" t="s">
        <v>2632</v>
      </c>
      <c r="X607" s="73" t="s">
        <v>3934</v>
      </c>
      <c r="Y607" s="127" t="str">
        <f>_xlfn.XLOOKUP(MasterFees[[#This Row],[Provider / Payer]],Contracts[Contract Name],Contracts[Contract ID],"No contract")</f>
        <v>CON-10</v>
      </c>
      <c r="Z607" s="127" t="str">
        <f>_xlfn.XLOOKUP(MasterFees[[#This Row],[Provider / Payer]],Contracts[Contract Name],Contracts[Pricing Basis],"To confirm")</f>
        <v>Reference – units only</v>
      </c>
      <c r="AA607" s="127" t="str">
        <f>IF(MasterFees[[#This Row],[Pricing Basis]]="Fixed fee schedule","Yes","No")</f>
        <v>No</v>
      </c>
      <c r="AB607" s="127" t="str">
        <f>IF(OR(MasterFees[[#This Row],[Fee Basis]]="Add-on",MasterFees[[#This Row],[Fee Basis]]="Time band",MasterFees[[#This Row],[Fee Basis]]="Other"),MasterFees[[#This Row],[Fee Basis]],"Base")</f>
        <v>Base</v>
      </c>
      <c r="AC607" s="141" t="str">
        <f>IF(MasterFees[[#This Row],[Fixed Fee?]]="Yes",MasterFees[[#This Row],[Fee Excl. GST]],"")</f>
        <v/>
      </c>
    </row>
    <row r="608" spans="1:29" x14ac:dyDescent="0.2">
      <c r="A608" s="67" t="s">
        <v>2260</v>
      </c>
      <c r="B608" s="31">
        <f>IF(MasterFees[[#This Row],[RVG Code]]="","",_xlfn.XLOOKUP(MasterFees[[#This Row],[RVG Code]],RVGCodes[Code],RVGCodes[Base Units],"Code not found"))</f>
        <v>8</v>
      </c>
      <c r="C60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60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Cardiac</v>
      </c>
      <c r="E608" s="125" t="s">
        <v>2693</v>
      </c>
      <c r="F608" s="48" t="s">
        <v>2565</v>
      </c>
      <c r="G608" s="30" t="s">
        <v>2261</v>
      </c>
      <c r="H608" s="37" t="s">
        <v>2630</v>
      </c>
      <c r="I608" s="37" t="s">
        <v>2260</v>
      </c>
      <c r="J608" s="37" t="s">
        <v>1096</v>
      </c>
      <c r="K608" s="32">
        <v>8</v>
      </c>
      <c r="L608" s="32"/>
      <c r="M608" s="32"/>
      <c r="N608" s="32">
        <v>8</v>
      </c>
      <c r="O608" s="33"/>
      <c r="P608" s="38"/>
      <c r="Q608" s="34" t="str">
        <f>IF(MasterFees[[#This Row],[GST Basis]]="Excl",MasterFees[[#This Row],[Fee as Printed]],IF(MasterFees[[#This Row],[GST Basis]]="Incl",MasterFees[[#This Row],[Fee as Printed]]/(1+GST_Rate),""))</f>
        <v/>
      </c>
      <c r="R608" s="34" t="str">
        <f>IF(MasterFees[[#This Row],[GST Basis]]="Incl",MasterFees[[#This Row],[Fee as Printed]],IF(MasterFees[[#This Row],[GST Basis]]="Excl",MasterFees[[#This Row],[Fee as Printed]]*(1+GST_Rate),""))</f>
        <v/>
      </c>
      <c r="S608" s="35">
        <f>IF(N(MasterFees[[#This Row],[Total Units]])=0,"",MasterFees[[#This Row],[Fee as Printed]]/MasterFees[[#This Row],[Total Units]])</f>
        <v>0</v>
      </c>
      <c r="T608" s="36"/>
      <c r="U608" s="39" t="s">
        <v>1016</v>
      </c>
      <c r="V608" s="39" t="s">
        <v>2668</v>
      </c>
      <c r="W608" s="30" t="s">
        <v>2632</v>
      </c>
      <c r="X608" s="73" t="s">
        <v>3933</v>
      </c>
      <c r="Y608" s="127" t="str">
        <f>_xlfn.XLOOKUP(MasterFees[[#This Row],[Provider / Payer]],Contracts[Contract Name],Contracts[Contract ID],"No contract")</f>
        <v>CON-10</v>
      </c>
      <c r="Z608" s="127" t="str">
        <f>_xlfn.XLOOKUP(MasterFees[[#This Row],[Provider / Payer]],Contracts[Contract Name],Contracts[Pricing Basis],"To confirm")</f>
        <v>Reference – units only</v>
      </c>
      <c r="AA608" s="127" t="str">
        <f>IF(MasterFees[[#This Row],[Pricing Basis]]="Fixed fee schedule","Yes","No")</f>
        <v>No</v>
      </c>
      <c r="AB608" s="127" t="str">
        <f>IF(OR(MasterFees[[#This Row],[Fee Basis]]="Add-on",MasterFees[[#This Row],[Fee Basis]]="Time band",MasterFees[[#This Row],[Fee Basis]]="Other"),MasterFees[[#This Row],[Fee Basis]],"Base")</f>
        <v>Base</v>
      </c>
      <c r="AC608" s="141" t="str">
        <f>IF(MasterFees[[#This Row],[Fixed Fee?]]="Yes",MasterFees[[#This Row],[Fee Excl. GST]],"")</f>
        <v/>
      </c>
    </row>
    <row r="609" spans="1:29" x14ac:dyDescent="0.2">
      <c r="A609" s="67" t="s">
        <v>2255</v>
      </c>
      <c r="B609" s="31">
        <f>IF(MasterFees[[#This Row],[RVG Code]]="","",_xlfn.XLOOKUP(MasterFees[[#This Row],[RVG Code]],RVGCodes[Code],RVGCodes[Base Units],"Code not found"))</f>
        <v>14</v>
      </c>
      <c r="C60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60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Thoracic</v>
      </c>
      <c r="E609" s="125" t="s">
        <v>2625</v>
      </c>
      <c r="F609" s="48" t="s">
        <v>2629</v>
      </c>
      <c r="G609" s="30" t="s">
        <v>2256</v>
      </c>
      <c r="H609" s="37" t="s">
        <v>2630</v>
      </c>
      <c r="I609" s="37" t="s">
        <v>2255</v>
      </c>
      <c r="J609" s="37" t="s">
        <v>1096</v>
      </c>
      <c r="K609" s="32">
        <v>14</v>
      </c>
      <c r="L609" s="32"/>
      <c r="M609" s="32"/>
      <c r="N609" s="32">
        <v>14</v>
      </c>
      <c r="O609" s="33"/>
      <c r="P609" s="38"/>
      <c r="Q609" s="34" t="str">
        <f>IF(MasterFees[[#This Row],[GST Basis]]="Excl",MasterFees[[#This Row],[Fee as Printed]],IF(MasterFees[[#This Row],[GST Basis]]="Incl",MasterFees[[#This Row],[Fee as Printed]]/(1+GST_Rate),""))</f>
        <v/>
      </c>
      <c r="R609" s="34" t="str">
        <f>IF(MasterFees[[#This Row],[GST Basis]]="Incl",MasterFees[[#This Row],[Fee as Printed]],IF(MasterFees[[#This Row],[GST Basis]]="Excl",MasterFees[[#This Row],[Fee as Printed]]*(1+GST_Rate),""))</f>
        <v/>
      </c>
      <c r="S609" s="35">
        <f>IF(N(MasterFees[[#This Row],[Total Units]])=0,"",MasterFees[[#This Row],[Fee as Printed]]/MasterFees[[#This Row],[Total Units]])</f>
        <v>0</v>
      </c>
      <c r="T609" s="36"/>
      <c r="U609" s="39" t="s">
        <v>1016</v>
      </c>
      <c r="V609" s="39" t="s">
        <v>2663</v>
      </c>
      <c r="W609" s="30" t="s">
        <v>2632</v>
      </c>
      <c r="X609" s="73" t="s">
        <v>3745</v>
      </c>
      <c r="Y609" s="127" t="str">
        <f>_xlfn.XLOOKUP(MasterFees[[#This Row],[Provider / Payer]],Contracts[Contract Name],Contracts[Contract ID],"No contract")</f>
        <v>CON-10</v>
      </c>
      <c r="Z609" s="127" t="str">
        <f>_xlfn.XLOOKUP(MasterFees[[#This Row],[Provider / Payer]],Contracts[Contract Name],Contracts[Pricing Basis],"To confirm")</f>
        <v>Reference – units only</v>
      </c>
      <c r="AA609" s="127" t="str">
        <f>IF(MasterFees[[#This Row],[Pricing Basis]]="Fixed fee schedule","Yes","No")</f>
        <v>No</v>
      </c>
      <c r="AB609" s="127" t="str">
        <f>IF(OR(MasterFees[[#This Row],[Fee Basis]]="Add-on",MasterFees[[#This Row],[Fee Basis]]="Time band",MasterFees[[#This Row],[Fee Basis]]="Other"),MasterFees[[#This Row],[Fee Basis]],"Base")</f>
        <v>Base</v>
      </c>
      <c r="AC609" s="141" t="str">
        <f>IF(MasterFees[[#This Row],[Fixed Fee?]]="Yes",MasterFees[[#This Row],[Fee Excl. GST]],"")</f>
        <v/>
      </c>
    </row>
    <row r="610" spans="1:29" x14ac:dyDescent="0.2">
      <c r="A610" s="67" t="s">
        <v>2251</v>
      </c>
      <c r="B610" s="31">
        <f>IF(MasterFees[[#This Row],[RVG Code]]="","",_xlfn.XLOOKUP(MasterFees[[#This Row],[RVG Code]],RVGCodes[Code],RVGCodes[Base Units],"Code not found"))</f>
        <v>8</v>
      </c>
      <c r="C61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61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Thoracic</v>
      </c>
      <c r="E610" s="125" t="s">
        <v>2622</v>
      </c>
      <c r="F610" s="48" t="s">
        <v>2567</v>
      </c>
      <c r="G610" s="30" t="s">
        <v>626</v>
      </c>
      <c r="H610" s="37" t="s">
        <v>1095</v>
      </c>
      <c r="I610" s="37"/>
      <c r="J610" s="37" t="s">
        <v>1096</v>
      </c>
      <c r="K610" s="32">
        <v>7.3</v>
      </c>
      <c r="L610" s="32">
        <v>4.3</v>
      </c>
      <c r="M610" s="32">
        <v>1.7</v>
      </c>
      <c r="N610" s="32">
        <v>13.3</v>
      </c>
      <c r="O610" s="33">
        <v>732.6</v>
      </c>
      <c r="P610" s="38" t="s">
        <v>1014</v>
      </c>
      <c r="Q610" s="34" t="str">
        <f>IF(MasterFees[[#This Row],[GST Basis]]="Excl",MasterFees[[#This Row],[Fee as Printed]],IF(MasterFees[[#This Row],[GST Basis]]="Incl",MasterFees[[#This Row],[Fee as Printed]]/(1+GST_Rate),""))</f>
        <v/>
      </c>
      <c r="R610" s="34" t="str">
        <f>IF(MasterFees[[#This Row],[GST Basis]]="Incl",MasterFees[[#This Row],[Fee as Printed]],IF(MasterFees[[#This Row],[GST Basis]]="Excl",MasterFees[[#This Row],[Fee as Printed]]*(1+GST_Rate),""))</f>
        <v/>
      </c>
      <c r="S610" s="35">
        <f>IF(N(MasterFees[[#This Row],[Total Units]])=0,"",MasterFees[[#This Row],[Fee as Printed]]/MasterFees[[#This Row],[Total Units]])</f>
        <v>55.082706766917291</v>
      </c>
      <c r="T610" s="36"/>
      <c r="U610" s="39" t="s">
        <v>1012</v>
      </c>
      <c r="V610" s="39" t="s">
        <v>1723</v>
      </c>
      <c r="W610" s="30"/>
      <c r="X610" s="73" t="s">
        <v>3520</v>
      </c>
      <c r="Y610" s="127" t="str">
        <f>_xlfn.XLOOKUP(MasterFees[[#This Row],[Provider / Payer]],Contracts[Contract Name],Contracts[Contract ID],"No contract")</f>
        <v>CON-01</v>
      </c>
      <c r="Z610" s="127" t="str">
        <f>_xlfn.XLOOKUP(MasterFees[[#This Row],[Provider / Payer]],Contracts[Contract Name],Contracts[Pricing Basis],"To confirm")</f>
        <v>To confirm</v>
      </c>
      <c r="AA610" s="127" t="str">
        <f>IF(MasterFees[[#This Row],[Pricing Basis]]="Fixed fee schedule","Yes","No")</f>
        <v>No</v>
      </c>
      <c r="AB610" s="127" t="str">
        <f>IF(OR(MasterFees[[#This Row],[Fee Basis]]="Add-on",MasterFees[[#This Row],[Fee Basis]]="Time band",MasterFees[[#This Row],[Fee Basis]]="Other"),MasterFees[[#This Row],[Fee Basis]],"Base")</f>
        <v>Base</v>
      </c>
      <c r="AC610" s="141" t="str">
        <f>IF(MasterFees[[#This Row],[Fixed Fee?]]="Yes",MasterFees[[#This Row],[Fee Excl. GST]],"")</f>
        <v/>
      </c>
    </row>
    <row r="611" spans="1:29" x14ac:dyDescent="0.2">
      <c r="A611" s="67" t="s">
        <v>2257</v>
      </c>
      <c r="B611" s="31">
        <f>IF(MasterFees[[#This Row],[RVG Code]]="","",_xlfn.XLOOKUP(MasterFees[[#This Row],[RVG Code]],RVGCodes[Code],RVGCodes[Base Units],"Code not found"))</f>
        <v>20</v>
      </c>
      <c r="C61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61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Thoracic</v>
      </c>
      <c r="E611" s="125" t="s">
        <v>2692</v>
      </c>
      <c r="F611" s="48" t="s">
        <v>2565</v>
      </c>
      <c r="G611" s="30" t="s">
        <v>2258</v>
      </c>
      <c r="H611" s="37" t="s">
        <v>2630</v>
      </c>
      <c r="I611" s="37" t="s">
        <v>2257</v>
      </c>
      <c r="J611" s="37" t="s">
        <v>1096</v>
      </c>
      <c r="K611" s="32">
        <v>20</v>
      </c>
      <c r="L611" s="32"/>
      <c r="M611" s="32"/>
      <c r="N611" s="32">
        <v>20</v>
      </c>
      <c r="O611" s="33"/>
      <c r="P611" s="38"/>
      <c r="Q611" s="34" t="str">
        <f>IF(MasterFees[[#This Row],[GST Basis]]="Excl",MasterFees[[#This Row],[Fee as Printed]],IF(MasterFees[[#This Row],[GST Basis]]="Incl",MasterFees[[#This Row],[Fee as Printed]]/(1+GST_Rate),""))</f>
        <v/>
      </c>
      <c r="R611" s="34" t="str">
        <f>IF(MasterFees[[#This Row],[GST Basis]]="Incl",MasterFees[[#This Row],[Fee as Printed]],IF(MasterFees[[#This Row],[GST Basis]]="Excl",MasterFees[[#This Row],[Fee as Printed]]*(1+GST_Rate),""))</f>
        <v/>
      </c>
      <c r="S611" s="35">
        <f>IF(N(MasterFees[[#This Row],[Total Units]])=0,"",MasterFees[[#This Row],[Fee as Printed]]/MasterFees[[#This Row],[Total Units]])</f>
        <v>0</v>
      </c>
      <c r="T611" s="36"/>
      <c r="U611" s="39" t="s">
        <v>1016</v>
      </c>
      <c r="V611" s="39" t="s">
        <v>2663</v>
      </c>
      <c r="W611" s="30" t="s">
        <v>2632</v>
      </c>
      <c r="X611" s="73" t="s">
        <v>3932</v>
      </c>
      <c r="Y611" s="127" t="str">
        <f>_xlfn.XLOOKUP(MasterFees[[#This Row],[Provider / Payer]],Contracts[Contract Name],Contracts[Contract ID],"No contract")</f>
        <v>CON-10</v>
      </c>
      <c r="Z611" s="127" t="str">
        <f>_xlfn.XLOOKUP(MasterFees[[#This Row],[Provider / Payer]],Contracts[Contract Name],Contracts[Pricing Basis],"To confirm")</f>
        <v>Reference – units only</v>
      </c>
      <c r="AA611" s="127" t="str">
        <f>IF(MasterFees[[#This Row],[Pricing Basis]]="Fixed fee schedule","Yes","No")</f>
        <v>No</v>
      </c>
      <c r="AB611" s="127" t="str">
        <f>IF(OR(MasterFees[[#This Row],[Fee Basis]]="Add-on",MasterFees[[#This Row],[Fee Basis]]="Time band",MasterFees[[#This Row],[Fee Basis]]="Other"),MasterFees[[#This Row],[Fee Basis]],"Base")</f>
        <v>Base</v>
      </c>
      <c r="AC611" s="141" t="str">
        <f>IF(MasterFees[[#This Row],[Fixed Fee?]]="Yes",MasterFees[[#This Row],[Fee Excl. GST]],"")</f>
        <v/>
      </c>
    </row>
    <row r="612" spans="1:29" x14ac:dyDescent="0.2">
      <c r="A612" s="67" t="s">
        <v>2247</v>
      </c>
      <c r="B612" s="31">
        <f>IF(MasterFees[[#This Row],[RVG Code]]="","",_xlfn.XLOOKUP(MasterFees[[#This Row],[RVG Code]],RVGCodes[Code],RVGCodes[Base Units],"Code not found"))</f>
        <v>6</v>
      </c>
      <c r="C61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61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Thoracic</v>
      </c>
      <c r="E612" s="125" t="s">
        <v>2690</v>
      </c>
      <c r="F612" s="48" t="s">
        <v>2565</v>
      </c>
      <c r="G612" s="30" t="s">
        <v>2248</v>
      </c>
      <c r="H612" s="37" t="s">
        <v>2630</v>
      </c>
      <c r="I612" s="37" t="s">
        <v>2247</v>
      </c>
      <c r="J612" s="37" t="s">
        <v>1096</v>
      </c>
      <c r="K612" s="32">
        <v>6</v>
      </c>
      <c r="L612" s="32"/>
      <c r="M612" s="32"/>
      <c r="N612" s="32">
        <v>6</v>
      </c>
      <c r="O612" s="33"/>
      <c r="P612" s="38"/>
      <c r="Q612" s="34" t="str">
        <f>IF(MasterFees[[#This Row],[GST Basis]]="Excl",MasterFees[[#This Row],[Fee as Printed]],IF(MasterFees[[#This Row],[GST Basis]]="Incl",MasterFees[[#This Row],[Fee as Printed]]/(1+GST_Rate),""))</f>
        <v/>
      </c>
      <c r="R612" s="34" t="str">
        <f>IF(MasterFees[[#This Row],[GST Basis]]="Incl",MasterFees[[#This Row],[Fee as Printed]],IF(MasterFees[[#This Row],[GST Basis]]="Excl",MasterFees[[#This Row],[Fee as Printed]]*(1+GST_Rate),""))</f>
        <v/>
      </c>
      <c r="S612" s="35">
        <f>IF(N(MasterFees[[#This Row],[Total Units]])=0,"",MasterFees[[#This Row],[Fee as Printed]]/MasterFees[[#This Row],[Total Units]])</f>
        <v>0</v>
      </c>
      <c r="T612" s="36"/>
      <c r="U612" s="39" t="s">
        <v>1016</v>
      </c>
      <c r="V612" s="39" t="s">
        <v>2663</v>
      </c>
      <c r="W612" s="30" t="s">
        <v>2632</v>
      </c>
      <c r="X612" s="73" t="s">
        <v>3930</v>
      </c>
      <c r="Y612" s="127" t="str">
        <f>_xlfn.XLOOKUP(MasterFees[[#This Row],[Provider / Payer]],Contracts[Contract Name],Contracts[Contract ID],"No contract")</f>
        <v>CON-10</v>
      </c>
      <c r="Z612" s="127" t="str">
        <f>_xlfn.XLOOKUP(MasterFees[[#This Row],[Provider / Payer]],Contracts[Contract Name],Contracts[Pricing Basis],"To confirm")</f>
        <v>Reference – units only</v>
      </c>
      <c r="AA612" s="127" t="str">
        <f>IF(MasterFees[[#This Row],[Pricing Basis]]="Fixed fee schedule","Yes","No")</f>
        <v>No</v>
      </c>
      <c r="AB612" s="127" t="str">
        <f>IF(OR(MasterFees[[#This Row],[Fee Basis]]="Add-on",MasterFees[[#This Row],[Fee Basis]]="Time band",MasterFees[[#This Row],[Fee Basis]]="Other"),MasterFees[[#This Row],[Fee Basis]],"Base")</f>
        <v>Base</v>
      </c>
      <c r="AC612" s="141" t="str">
        <f>IF(MasterFees[[#This Row],[Fixed Fee?]]="Yes",MasterFees[[#This Row],[Fee Excl. GST]],"")</f>
        <v/>
      </c>
    </row>
    <row r="613" spans="1:29" x14ac:dyDescent="0.2">
      <c r="A613" s="67" t="s">
        <v>2251</v>
      </c>
      <c r="B613" s="31">
        <f>IF(MasterFees[[#This Row],[RVG Code]]="","",_xlfn.XLOOKUP(MasterFees[[#This Row],[RVG Code]],RVGCodes[Code],RVGCodes[Base Units],"Code not found"))</f>
        <v>8</v>
      </c>
      <c r="C61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61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Thoracic</v>
      </c>
      <c r="E613" s="125" t="s">
        <v>2622</v>
      </c>
      <c r="F613" s="48" t="s">
        <v>2629</v>
      </c>
      <c r="G613" s="30" t="s">
        <v>2252</v>
      </c>
      <c r="H613" s="37" t="s">
        <v>2630</v>
      </c>
      <c r="I613" s="37" t="s">
        <v>2251</v>
      </c>
      <c r="J613" s="37" t="s">
        <v>1096</v>
      </c>
      <c r="K613" s="32">
        <v>8</v>
      </c>
      <c r="L613" s="32"/>
      <c r="M613" s="32"/>
      <c r="N613" s="32"/>
      <c r="O613" s="33"/>
      <c r="P613" s="38"/>
      <c r="Q613" s="34" t="str">
        <f>IF(MasterFees[[#This Row],[GST Basis]]="Excl",MasterFees[[#This Row],[Fee as Printed]],IF(MasterFees[[#This Row],[GST Basis]]="Incl",MasterFees[[#This Row],[Fee as Printed]]/(1+GST_Rate),""))</f>
        <v/>
      </c>
      <c r="R613" s="34" t="str">
        <f>IF(MasterFees[[#This Row],[GST Basis]]="Incl",MasterFees[[#This Row],[Fee as Printed]],IF(MasterFees[[#This Row],[GST Basis]]="Excl",MasterFees[[#This Row],[Fee as Printed]]*(1+GST_Rate),""))</f>
        <v/>
      </c>
      <c r="S613" s="35" t="str">
        <f>IF(N(MasterFees[[#This Row],[Total Units]])=0,"",MasterFees[[#This Row],[Fee as Printed]]/MasterFees[[#This Row],[Total Units]])</f>
        <v/>
      </c>
      <c r="T613" s="36"/>
      <c r="U613" s="39" t="s">
        <v>1016</v>
      </c>
      <c r="V613" s="39" t="s">
        <v>2663</v>
      </c>
      <c r="W613" s="30" t="s">
        <v>2667</v>
      </c>
      <c r="X613" s="73" t="s">
        <v>3521</v>
      </c>
      <c r="Y613" s="127" t="str">
        <f>_xlfn.XLOOKUP(MasterFees[[#This Row],[Provider / Payer]],Contracts[Contract Name],Contracts[Contract ID],"No contract")</f>
        <v>CON-10</v>
      </c>
      <c r="Z613" s="127" t="str">
        <f>_xlfn.XLOOKUP(MasterFees[[#This Row],[Provider / Payer]],Contracts[Contract Name],Contracts[Pricing Basis],"To confirm")</f>
        <v>Reference – units only</v>
      </c>
      <c r="AA613" s="127" t="str">
        <f>IF(MasterFees[[#This Row],[Pricing Basis]]="Fixed fee schedule","Yes","No")</f>
        <v>No</v>
      </c>
      <c r="AB613" s="127" t="str">
        <f>IF(OR(MasterFees[[#This Row],[Fee Basis]]="Add-on",MasterFees[[#This Row],[Fee Basis]]="Time band",MasterFees[[#This Row],[Fee Basis]]="Other"),MasterFees[[#This Row],[Fee Basis]],"Base")</f>
        <v>Base</v>
      </c>
      <c r="AC613" s="141" t="str">
        <f>IF(MasterFees[[#This Row],[Fixed Fee?]]="Yes",MasterFees[[#This Row],[Fee Excl. GST]],"")</f>
        <v/>
      </c>
    </row>
    <row r="614" spans="1:29" x14ac:dyDescent="0.2">
      <c r="A614" s="67" t="s">
        <v>2255</v>
      </c>
      <c r="B614" s="31">
        <f>IF(MasterFees[[#This Row],[RVG Code]]="","",_xlfn.XLOOKUP(MasterFees[[#This Row],[RVG Code]],RVGCodes[Code],RVGCodes[Base Units],"Code not found"))</f>
        <v>14</v>
      </c>
      <c r="C61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61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Thoracic</v>
      </c>
      <c r="E614" s="125" t="s">
        <v>2625</v>
      </c>
      <c r="F614" s="48" t="s">
        <v>2569</v>
      </c>
      <c r="G614" s="30" t="s">
        <v>832</v>
      </c>
      <c r="H614" s="37" t="s">
        <v>1095</v>
      </c>
      <c r="I614" s="37"/>
      <c r="J614" s="37" t="s">
        <v>1096</v>
      </c>
      <c r="K614" s="32">
        <v>14</v>
      </c>
      <c r="L614" s="32">
        <v>21</v>
      </c>
      <c r="M614" s="32">
        <v>1</v>
      </c>
      <c r="N614" s="32">
        <v>36</v>
      </c>
      <c r="O614" s="33">
        <v>1980</v>
      </c>
      <c r="P614" s="38" t="s">
        <v>1014</v>
      </c>
      <c r="Q614" s="34" t="str">
        <f>IF(MasterFees[[#This Row],[GST Basis]]="Excl",MasterFees[[#This Row],[Fee as Printed]],IF(MasterFees[[#This Row],[GST Basis]]="Incl",MasterFees[[#This Row],[Fee as Printed]]/(1+GST_Rate),""))</f>
        <v/>
      </c>
      <c r="R614" s="34" t="str">
        <f>IF(MasterFees[[#This Row],[GST Basis]]="Incl",MasterFees[[#This Row],[Fee as Printed]],IF(MasterFees[[#This Row],[GST Basis]]="Excl",MasterFees[[#This Row],[Fee as Printed]]*(1+GST_Rate),""))</f>
        <v/>
      </c>
      <c r="S614" s="35">
        <f>IF(N(MasterFees[[#This Row],[Total Units]])=0,"",MasterFees[[#This Row],[Fee as Printed]]/MasterFees[[#This Row],[Total Units]])</f>
        <v>55</v>
      </c>
      <c r="T614" s="36"/>
      <c r="U614" s="39" t="s">
        <v>1012</v>
      </c>
      <c r="V614" s="39" t="s">
        <v>1935</v>
      </c>
      <c r="W614" s="30"/>
      <c r="X614" s="73" t="s">
        <v>3744</v>
      </c>
      <c r="Y614" s="127" t="str">
        <f>_xlfn.XLOOKUP(MasterFees[[#This Row],[Provider / Payer]],Contracts[Contract Name],Contracts[Contract ID],"No contract")</f>
        <v>CON-01</v>
      </c>
      <c r="Z614" s="127" t="str">
        <f>_xlfn.XLOOKUP(MasterFees[[#This Row],[Provider / Payer]],Contracts[Contract Name],Contracts[Pricing Basis],"To confirm")</f>
        <v>To confirm</v>
      </c>
      <c r="AA614" s="127" t="str">
        <f>IF(MasterFees[[#This Row],[Pricing Basis]]="Fixed fee schedule","Yes","No")</f>
        <v>No</v>
      </c>
      <c r="AB614" s="127" t="str">
        <f>IF(OR(MasterFees[[#This Row],[Fee Basis]]="Add-on",MasterFees[[#This Row],[Fee Basis]]="Time band",MasterFees[[#This Row],[Fee Basis]]="Other"),MasterFees[[#This Row],[Fee Basis]],"Base")</f>
        <v>Base</v>
      </c>
      <c r="AC614" s="141" t="str">
        <f>IF(MasterFees[[#This Row],[Fixed Fee?]]="Yes",MasterFees[[#This Row],[Fee Excl. GST]],"")</f>
        <v/>
      </c>
    </row>
    <row r="615" spans="1:29" x14ac:dyDescent="0.2">
      <c r="A615" s="67" t="s">
        <v>2249</v>
      </c>
      <c r="B615" s="31">
        <f>IF(MasterFees[[#This Row],[RVG Code]]="","",_xlfn.XLOOKUP(MasterFees[[#This Row],[RVG Code]],RVGCodes[Code],RVGCodes[Base Units],"Code not found"))</f>
        <v>8</v>
      </c>
      <c r="C61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61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Thoracic</v>
      </c>
      <c r="E615" s="125" t="s">
        <v>2691</v>
      </c>
      <c r="F615" s="48" t="s">
        <v>2565</v>
      </c>
      <c r="G615" s="30" t="s">
        <v>2250</v>
      </c>
      <c r="H615" s="37" t="s">
        <v>2630</v>
      </c>
      <c r="I615" s="37" t="s">
        <v>2249</v>
      </c>
      <c r="J615" s="37" t="s">
        <v>1096</v>
      </c>
      <c r="K615" s="32">
        <v>8</v>
      </c>
      <c r="L615" s="32"/>
      <c r="M615" s="32"/>
      <c r="N615" s="32">
        <v>8</v>
      </c>
      <c r="O615" s="33"/>
      <c r="P615" s="38"/>
      <c r="Q615" s="34" t="str">
        <f>IF(MasterFees[[#This Row],[GST Basis]]="Excl",MasterFees[[#This Row],[Fee as Printed]],IF(MasterFees[[#This Row],[GST Basis]]="Incl",MasterFees[[#This Row],[Fee as Printed]]/(1+GST_Rate),""))</f>
        <v/>
      </c>
      <c r="R615" s="34" t="str">
        <f>IF(MasterFees[[#This Row],[GST Basis]]="Incl",MasterFees[[#This Row],[Fee as Printed]],IF(MasterFees[[#This Row],[GST Basis]]="Excl",MasterFees[[#This Row],[Fee as Printed]]*(1+GST_Rate),""))</f>
        <v/>
      </c>
      <c r="S615" s="35">
        <f>IF(N(MasterFees[[#This Row],[Total Units]])=0,"",MasterFees[[#This Row],[Fee as Printed]]/MasterFees[[#This Row],[Total Units]])</f>
        <v>0</v>
      </c>
      <c r="T615" s="36"/>
      <c r="U615" s="39" t="s">
        <v>1016</v>
      </c>
      <c r="V615" s="39" t="s">
        <v>2663</v>
      </c>
      <c r="W615" s="30" t="s">
        <v>2632</v>
      </c>
      <c r="X615" s="73" t="s">
        <v>3931</v>
      </c>
      <c r="Y615" s="127" t="str">
        <f>_xlfn.XLOOKUP(MasterFees[[#This Row],[Provider / Payer]],Contracts[Contract Name],Contracts[Contract ID],"No contract")</f>
        <v>CON-10</v>
      </c>
      <c r="Z615" s="127" t="str">
        <f>_xlfn.XLOOKUP(MasterFees[[#This Row],[Provider / Payer]],Contracts[Contract Name],Contracts[Pricing Basis],"To confirm")</f>
        <v>Reference – units only</v>
      </c>
      <c r="AA615" s="127" t="str">
        <f>IF(MasterFees[[#This Row],[Pricing Basis]]="Fixed fee schedule","Yes","No")</f>
        <v>No</v>
      </c>
      <c r="AB615" s="127" t="str">
        <f>IF(OR(MasterFees[[#This Row],[Fee Basis]]="Add-on",MasterFees[[#This Row],[Fee Basis]]="Time band",MasterFees[[#This Row],[Fee Basis]]="Other"),MasterFees[[#This Row],[Fee Basis]],"Base")</f>
        <v>Base</v>
      </c>
      <c r="AC615" s="141" t="str">
        <f>IF(MasterFees[[#This Row],[Fixed Fee?]]="Yes",MasterFees[[#This Row],[Fee Excl. GST]],"")</f>
        <v/>
      </c>
    </row>
    <row r="616" spans="1:29" x14ac:dyDescent="0.2">
      <c r="A616" s="67" t="s">
        <v>2274</v>
      </c>
      <c r="B616" s="31">
        <f>IF(MasterFees[[#This Row],[RVG Code]]="","",_xlfn.XLOOKUP(MasterFees[[#This Row],[RVG Code]],RVGCodes[Code],RVGCodes[Base Units],"Code not found"))</f>
        <v>6</v>
      </c>
      <c r="C61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61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TOE Use</v>
      </c>
      <c r="E616" s="125" t="s">
        <v>2697</v>
      </c>
      <c r="F616" s="48" t="s">
        <v>2565</v>
      </c>
      <c r="G616" s="30" t="s">
        <v>2275</v>
      </c>
      <c r="H616" s="37" t="s">
        <v>2630</v>
      </c>
      <c r="I616" s="37" t="s">
        <v>2274</v>
      </c>
      <c r="J616" s="37" t="s">
        <v>1096</v>
      </c>
      <c r="K616" s="32">
        <v>6</v>
      </c>
      <c r="L616" s="32"/>
      <c r="M616" s="32"/>
      <c r="N616" s="32">
        <v>6</v>
      </c>
      <c r="O616" s="33"/>
      <c r="P616" s="38"/>
      <c r="Q616" s="34" t="str">
        <f>IF(MasterFees[[#This Row],[GST Basis]]="Excl",MasterFees[[#This Row],[Fee as Printed]],IF(MasterFees[[#This Row],[GST Basis]]="Incl",MasterFees[[#This Row],[Fee as Printed]]/(1+GST_Rate),""))</f>
        <v/>
      </c>
      <c r="R616" s="34" t="str">
        <f>IF(MasterFees[[#This Row],[GST Basis]]="Incl",MasterFees[[#This Row],[Fee as Printed]],IF(MasterFees[[#This Row],[GST Basis]]="Excl",MasterFees[[#This Row],[Fee as Printed]]*(1+GST_Rate),""))</f>
        <v/>
      </c>
      <c r="S616" s="35">
        <f>IF(N(MasterFees[[#This Row],[Total Units]])=0,"",MasterFees[[#This Row],[Fee as Printed]]/MasterFees[[#This Row],[Total Units]])</f>
        <v>0</v>
      </c>
      <c r="T616" s="36"/>
      <c r="U616" s="39" t="s">
        <v>1016</v>
      </c>
      <c r="V616" s="39" t="s">
        <v>2696</v>
      </c>
      <c r="W616" s="30" t="s">
        <v>2698</v>
      </c>
      <c r="X616" s="73" t="s">
        <v>3936</v>
      </c>
      <c r="Y616" s="127" t="str">
        <f>_xlfn.XLOOKUP(MasterFees[[#This Row],[Provider / Payer]],Contracts[Contract Name],Contracts[Contract ID],"No contract")</f>
        <v>CON-10</v>
      </c>
      <c r="Z616" s="127" t="str">
        <f>_xlfn.XLOOKUP(MasterFees[[#This Row],[Provider / Payer]],Contracts[Contract Name],Contracts[Pricing Basis],"To confirm")</f>
        <v>Reference – units only</v>
      </c>
      <c r="AA616" s="127" t="str">
        <f>IF(MasterFees[[#This Row],[Pricing Basis]]="Fixed fee schedule","Yes","No")</f>
        <v>No</v>
      </c>
      <c r="AB616" s="127" t="str">
        <f>IF(OR(MasterFees[[#This Row],[Fee Basis]]="Add-on",MasterFees[[#This Row],[Fee Basis]]="Time band",MasterFees[[#This Row],[Fee Basis]]="Other"),MasterFees[[#This Row],[Fee Basis]],"Base")</f>
        <v>Base</v>
      </c>
      <c r="AC616" s="141" t="str">
        <f>IF(MasterFees[[#This Row],[Fixed Fee?]]="Yes",MasterFees[[#This Row],[Fee Excl. GST]],"")</f>
        <v/>
      </c>
    </row>
    <row r="617" spans="1:29" x14ac:dyDescent="0.2">
      <c r="A617" s="67" t="s">
        <v>2271</v>
      </c>
      <c r="B617" s="31">
        <f>IF(MasterFees[[#This Row],[RVG Code]]="","",_xlfn.XLOOKUP(MasterFees[[#This Row],[RVG Code]],RVGCodes[Code],RVGCodes[Base Units],"Code not found"))</f>
        <v>2</v>
      </c>
      <c r="C61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04 - Thorax</v>
      </c>
      <c r="D61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TOE Use</v>
      </c>
      <c r="E617" s="125" t="s">
        <v>2695</v>
      </c>
      <c r="F617" s="48" t="s">
        <v>2565</v>
      </c>
      <c r="G617" s="30" t="s">
        <v>2272</v>
      </c>
      <c r="H617" s="37" t="s">
        <v>2630</v>
      </c>
      <c r="I617" s="37" t="s">
        <v>2271</v>
      </c>
      <c r="J617" s="37" t="s">
        <v>1096</v>
      </c>
      <c r="K617" s="32">
        <v>2</v>
      </c>
      <c r="L617" s="32"/>
      <c r="M617" s="32"/>
      <c r="N617" s="32">
        <v>2</v>
      </c>
      <c r="O617" s="33"/>
      <c r="P617" s="38"/>
      <c r="Q617" s="34" t="str">
        <f>IF(MasterFees[[#This Row],[GST Basis]]="Excl",MasterFees[[#This Row],[Fee as Printed]],IF(MasterFees[[#This Row],[GST Basis]]="Incl",MasterFees[[#This Row],[Fee as Printed]]/(1+GST_Rate),""))</f>
        <v/>
      </c>
      <c r="R617" s="34" t="str">
        <f>IF(MasterFees[[#This Row],[GST Basis]]="Incl",MasterFees[[#This Row],[Fee as Printed]],IF(MasterFees[[#This Row],[GST Basis]]="Excl",MasterFees[[#This Row],[Fee as Printed]]*(1+GST_Rate),""))</f>
        <v/>
      </c>
      <c r="S617" s="35">
        <f>IF(N(MasterFees[[#This Row],[Total Units]])=0,"",MasterFees[[#This Row],[Fee as Printed]]/MasterFees[[#This Row],[Total Units]])</f>
        <v>0</v>
      </c>
      <c r="T617" s="36"/>
      <c r="U617" s="39" t="s">
        <v>1016</v>
      </c>
      <c r="V617" s="39" t="s">
        <v>2696</v>
      </c>
      <c r="W617" s="30" t="s">
        <v>2632</v>
      </c>
      <c r="X617" s="73" t="s">
        <v>3935</v>
      </c>
      <c r="Y617" s="127" t="str">
        <f>_xlfn.XLOOKUP(MasterFees[[#This Row],[Provider / Payer]],Contracts[Contract Name],Contracts[Contract ID],"No contract")</f>
        <v>CON-10</v>
      </c>
      <c r="Z617" s="127" t="str">
        <f>_xlfn.XLOOKUP(MasterFees[[#This Row],[Provider / Payer]],Contracts[Contract Name],Contracts[Pricing Basis],"To confirm")</f>
        <v>Reference – units only</v>
      </c>
      <c r="AA617" s="127" t="str">
        <f>IF(MasterFees[[#This Row],[Pricing Basis]]="Fixed fee schedule","Yes","No")</f>
        <v>No</v>
      </c>
      <c r="AB617" s="127" t="str">
        <f>IF(OR(MasterFees[[#This Row],[Fee Basis]]="Add-on",MasterFees[[#This Row],[Fee Basis]]="Time band",MasterFees[[#This Row],[Fee Basis]]="Other"),MasterFees[[#This Row],[Fee Basis]],"Base")</f>
        <v>Base</v>
      </c>
      <c r="AC617" s="141" t="str">
        <f>IF(MasterFees[[#This Row],[Fixed Fee?]]="Yes",MasterFees[[#This Row],[Fee Excl. GST]],"")</f>
        <v/>
      </c>
    </row>
    <row r="618" spans="1:29" x14ac:dyDescent="0.2">
      <c r="A618" s="67" t="s">
        <v>2279</v>
      </c>
      <c r="B618" s="31">
        <f>IF(MasterFees[[#This Row],[RVG Code]]="","",_xlfn.XLOOKUP(MasterFees[[#This Row],[RVG Code]],RVGCodes[Code],RVGCodes[Base Units],"Code not found"))</f>
        <v>8</v>
      </c>
      <c r="C61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1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18" s="125" t="s">
        <v>2699</v>
      </c>
      <c r="F618" s="48" t="s">
        <v>2565</v>
      </c>
      <c r="G618" s="30" t="s">
        <v>2280</v>
      </c>
      <c r="H618" s="37" t="s">
        <v>2630</v>
      </c>
      <c r="I618" s="37" t="s">
        <v>2279</v>
      </c>
      <c r="J618" s="37" t="s">
        <v>1096</v>
      </c>
      <c r="K618" s="32">
        <v>8</v>
      </c>
      <c r="L618" s="32"/>
      <c r="M618" s="32"/>
      <c r="N618" s="32">
        <v>8</v>
      </c>
      <c r="O618" s="33"/>
      <c r="P618" s="38"/>
      <c r="Q618" s="34" t="str">
        <f>IF(MasterFees[[#This Row],[GST Basis]]="Excl",MasterFees[[#This Row],[Fee as Printed]],IF(MasterFees[[#This Row],[GST Basis]]="Incl",MasterFees[[#This Row],[Fee as Printed]]/(1+GST_Rate),""))</f>
        <v/>
      </c>
      <c r="R618" s="34" t="str">
        <f>IF(MasterFees[[#This Row],[GST Basis]]="Incl",MasterFees[[#This Row],[Fee as Printed]],IF(MasterFees[[#This Row],[GST Basis]]="Excl",MasterFees[[#This Row],[Fee as Printed]]*(1+GST_Rate),""))</f>
        <v/>
      </c>
      <c r="S618" s="35">
        <f>IF(N(MasterFees[[#This Row],[Total Units]])=0,"",MasterFees[[#This Row],[Fee as Printed]]/MasterFees[[#This Row],[Total Units]])</f>
        <v>0</v>
      </c>
      <c r="T618" s="36"/>
      <c r="U618" s="39" t="s">
        <v>1016</v>
      </c>
      <c r="V618" s="39" t="s">
        <v>2700</v>
      </c>
      <c r="W618" s="30" t="s">
        <v>2655</v>
      </c>
      <c r="X618" s="73" t="s">
        <v>3937</v>
      </c>
      <c r="Y618" s="127" t="str">
        <f>_xlfn.XLOOKUP(MasterFees[[#This Row],[Provider / Payer]],Contracts[Contract Name],Contracts[Contract ID],"No contract")</f>
        <v>CON-10</v>
      </c>
      <c r="Z618" s="127" t="str">
        <f>_xlfn.XLOOKUP(MasterFees[[#This Row],[Provider / Payer]],Contracts[Contract Name],Contracts[Pricing Basis],"To confirm")</f>
        <v>Reference – units only</v>
      </c>
      <c r="AA618" s="127" t="str">
        <f>IF(MasterFees[[#This Row],[Pricing Basis]]="Fixed fee schedule","Yes","No")</f>
        <v>No</v>
      </c>
      <c r="AB618" s="127" t="str">
        <f>IF(OR(MasterFees[[#This Row],[Fee Basis]]="Add-on",MasterFees[[#This Row],[Fee Basis]]="Time band",MasterFees[[#This Row],[Fee Basis]]="Other"),MasterFees[[#This Row],[Fee Basis]],"Base")</f>
        <v>Base</v>
      </c>
      <c r="AC618" s="141" t="str">
        <f>IF(MasterFees[[#This Row],[Fixed Fee?]]="Yes",MasterFees[[#This Row],[Fee Excl. GST]],"")</f>
        <v/>
      </c>
    </row>
    <row r="619" spans="1:29" x14ac:dyDescent="0.2">
      <c r="A619" s="67" t="s">
        <v>2283</v>
      </c>
      <c r="B619" s="31">
        <f>IF(MasterFees[[#This Row],[RVG Code]]="","",_xlfn.XLOOKUP(MasterFees[[#This Row],[RVG Code]],RVGCodes[Code],RVGCodes[Base Units],"Code not found"))</f>
        <v>8</v>
      </c>
      <c r="C61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1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Cervical</v>
      </c>
      <c r="E619" s="125" t="s">
        <v>2583</v>
      </c>
      <c r="F619" s="48" t="s">
        <v>2569</v>
      </c>
      <c r="G619" s="30" t="s">
        <v>53</v>
      </c>
      <c r="H619" s="37" t="s">
        <v>1095</v>
      </c>
      <c r="I619" s="37"/>
      <c r="J619" s="37" t="s">
        <v>1096</v>
      </c>
      <c r="K619" s="32">
        <v>8.1</v>
      </c>
      <c r="L619" s="32">
        <v>12.9</v>
      </c>
      <c r="M619" s="32">
        <v>0.7</v>
      </c>
      <c r="N619" s="32">
        <v>21.7</v>
      </c>
      <c r="O619" s="33">
        <v>1190.75</v>
      </c>
      <c r="P619" s="38" t="s">
        <v>1014</v>
      </c>
      <c r="Q619" s="34" t="str">
        <f>IF(MasterFees[[#This Row],[GST Basis]]="Excl",MasterFees[[#This Row],[Fee as Printed]],IF(MasterFees[[#This Row],[GST Basis]]="Incl",MasterFees[[#This Row],[Fee as Printed]]/(1+GST_Rate),""))</f>
        <v/>
      </c>
      <c r="R619" s="34" t="str">
        <f>IF(MasterFees[[#This Row],[GST Basis]]="Incl",MasterFees[[#This Row],[Fee as Printed]],IF(MasterFees[[#This Row],[GST Basis]]="Excl",MasterFees[[#This Row],[Fee as Printed]]*(1+GST_Rate),""))</f>
        <v/>
      </c>
      <c r="S619" s="35">
        <f>IF(N(MasterFees[[#This Row],[Total Units]])=0,"",MasterFees[[#This Row],[Fee as Printed]]/MasterFees[[#This Row],[Total Units]])</f>
        <v>54.873271889400925</v>
      </c>
      <c r="T619" s="36"/>
      <c r="U619" s="39" t="s">
        <v>1012</v>
      </c>
      <c r="V619" s="39" t="s">
        <v>1142</v>
      </c>
      <c r="W619" s="30"/>
      <c r="X619" s="73" t="s">
        <v>2924</v>
      </c>
      <c r="Y619" s="127" t="str">
        <f>_xlfn.XLOOKUP(MasterFees[[#This Row],[Provider / Payer]],Contracts[Contract Name],Contracts[Contract ID],"No contract")</f>
        <v>CON-01</v>
      </c>
      <c r="Z619" s="127" t="str">
        <f>_xlfn.XLOOKUP(MasterFees[[#This Row],[Provider / Payer]],Contracts[Contract Name],Contracts[Pricing Basis],"To confirm")</f>
        <v>To confirm</v>
      </c>
      <c r="AA619" s="127" t="str">
        <f>IF(MasterFees[[#This Row],[Pricing Basis]]="Fixed fee schedule","Yes","No")</f>
        <v>No</v>
      </c>
      <c r="AB619" s="127" t="str">
        <f>IF(OR(MasterFees[[#This Row],[Fee Basis]]="Add-on",MasterFees[[#This Row],[Fee Basis]]="Time band",MasterFees[[#This Row],[Fee Basis]]="Other"),MasterFees[[#This Row],[Fee Basis]],"Base")</f>
        <v>Base</v>
      </c>
      <c r="AC619" s="141" t="str">
        <f>IF(MasterFees[[#This Row],[Fixed Fee?]]="Yes",MasterFees[[#This Row],[Fee Excl. GST]],"")</f>
        <v/>
      </c>
    </row>
    <row r="620" spans="1:29" x14ac:dyDescent="0.2">
      <c r="A620" s="67" t="s">
        <v>2283</v>
      </c>
      <c r="B620" s="31">
        <f>IF(MasterFees[[#This Row],[RVG Code]]="","",_xlfn.XLOOKUP(MasterFees[[#This Row],[RVG Code]],RVGCodes[Code],RVGCodes[Base Units],"Code not found"))</f>
        <v>8</v>
      </c>
      <c r="C62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2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Cervical</v>
      </c>
      <c r="E620" s="125" t="s">
        <v>2583</v>
      </c>
      <c r="F620" s="48" t="s">
        <v>2629</v>
      </c>
      <c r="G620" s="30" t="s">
        <v>2284</v>
      </c>
      <c r="H620" s="37" t="s">
        <v>2630</v>
      </c>
      <c r="I620" s="37" t="s">
        <v>2283</v>
      </c>
      <c r="J620" s="37" t="s">
        <v>1096</v>
      </c>
      <c r="K620" s="32">
        <v>8</v>
      </c>
      <c r="L620" s="32"/>
      <c r="M620" s="32"/>
      <c r="N620" s="32">
        <v>8</v>
      </c>
      <c r="O620" s="33"/>
      <c r="P620" s="38"/>
      <c r="Q620" s="34" t="str">
        <f>IF(MasterFees[[#This Row],[GST Basis]]="Excl",MasterFees[[#This Row],[Fee as Printed]],IF(MasterFees[[#This Row],[GST Basis]]="Incl",MasterFees[[#This Row],[Fee as Printed]]/(1+GST_Rate),""))</f>
        <v/>
      </c>
      <c r="R620" s="34" t="str">
        <f>IF(MasterFees[[#This Row],[GST Basis]]="Incl",MasterFees[[#This Row],[Fee as Printed]],IF(MasterFees[[#This Row],[GST Basis]]="Excl",MasterFees[[#This Row],[Fee as Printed]]*(1+GST_Rate),""))</f>
        <v/>
      </c>
      <c r="S620" s="35">
        <f>IF(N(MasterFees[[#This Row],[Total Units]])=0,"",MasterFees[[#This Row],[Fee as Printed]]/MasterFees[[#This Row],[Total Units]])</f>
        <v>0</v>
      </c>
      <c r="T620" s="36"/>
      <c r="U620" s="39" t="s">
        <v>1016</v>
      </c>
      <c r="V620" s="39" t="s">
        <v>2673</v>
      </c>
      <c r="W620" s="30" t="s">
        <v>2655</v>
      </c>
      <c r="X620" s="73" t="s">
        <v>3119</v>
      </c>
      <c r="Y620" s="127" t="str">
        <f>_xlfn.XLOOKUP(MasterFees[[#This Row],[Provider / Payer]],Contracts[Contract Name],Contracts[Contract ID],"No contract")</f>
        <v>CON-10</v>
      </c>
      <c r="Z620" s="127" t="str">
        <f>_xlfn.XLOOKUP(MasterFees[[#This Row],[Provider / Payer]],Contracts[Contract Name],Contracts[Pricing Basis],"To confirm")</f>
        <v>Reference – units only</v>
      </c>
      <c r="AA620" s="127" t="str">
        <f>IF(MasterFees[[#This Row],[Pricing Basis]]="Fixed fee schedule","Yes","No")</f>
        <v>No</v>
      </c>
      <c r="AB620" s="127" t="str">
        <f>IF(OR(MasterFees[[#This Row],[Fee Basis]]="Add-on",MasterFees[[#This Row],[Fee Basis]]="Time band",MasterFees[[#This Row],[Fee Basis]]="Other"),MasterFees[[#This Row],[Fee Basis]],"Base")</f>
        <v>Base</v>
      </c>
      <c r="AC620" s="141" t="str">
        <f>IF(MasterFees[[#This Row],[Fixed Fee?]]="Yes",MasterFees[[#This Row],[Fee Excl. GST]],"")</f>
        <v/>
      </c>
    </row>
    <row r="621" spans="1:29" x14ac:dyDescent="0.2">
      <c r="A621" s="67" t="s">
        <v>2283</v>
      </c>
      <c r="B621" s="31">
        <f>IF(MasterFees[[#This Row],[RVG Code]]="","",_xlfn.XLOOKUP(MasterFees[[#This Row],[RVG Code]],RVGCodes[Code],RVGCodes[Base Units],"Code not found"))</f>
        <v>8</v>
      </c>
      <c r="C62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2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Cervical</v>
      </c>
      <c r="E621" s="125" t="s">
        <v>2583</v>
      </c>
      <c r="F621" s="48" t="s">
        <v>2569</v>
      </c>
      <c r="G621" s="30" t="s">
        <v>148</v>
      </c>
      <c r="H621" s="37" t="s">
        <v>1095</v>
      </c>
      <c r="I621" s="37"/>
      <c r="J621" s="37" t="s">
        <v>1096</v>
      </c>
      <c r="K621" s="32">
        <v>8</v>
      </c>
      <c r="L621" s="32">
        <v>9.5</v>
      </c>
      <c r="M621" s="32">
        <v>0</v>
      </c>
      <c r="N621" s="32">
        <v>17.5</v>
      </c>
      <c r="O621" s="33">
        <v>962.5</v>
      </c>
      <c r="P621" s="38" t="s">
        <v>1014</v>
      </c>
      <c r="Q621" s="34" t="str">
        <f>IF(MasterFees[[#This Row],[GST Basis]]="Excl",MasterFees[[#This Row],[Fee as Printed]],IF(MasterFees[[#This Row],[GST Basis]]="Incl",MasterFees[[#This Row],[Fee as Printed]]/(1+GST_Rate),""))</f>
        <v/>
      </c>
      <c r="R621" s="34" t="str">
        <f>IF(MasterFees[[#This Row],[GST Basis]]="Incl",MasterFees[[#This Row],[Fee as Printed]],IF(MasterFees[[#This Row],[GST Basis]]="Excl",MasterFees[[#This Row],[Fee as Printed]]*(1+GST_Rate),""))</f>
        <v/>
      </c>
      <c r="S621" s="35">
        <f>IF(N(MasterFees[[#This Row],[Total Units]])=0,"",MasterFees[[#This Row],[Fee as Printed]]/MasterFees[[#This Row],[Total Units]])</f>
        <v>55</v>
      </c>
      <c r="T621" s="36"/>
      <c r="U621" s="39" t="s">
        <v>1012</v>
      </c>
      <c r="V621" s="39" t="s">
        <v>1241</v>
      </c>
      <c r="W621" s="30"/>
      <c r="X621" s="73" t="s">
        <v>3024</v>
      </c>
      <c r="Y621" s="127" t="str">
        <f>_xlfn.XLOOKUP(MasterFees[[#This Row],[Provider / Payer]],Contracts[Contract Name],Contracts[Contract ID],"No contract")</f>
        <v>CON-01</v>
      </c>
      <c r="Z621" s="127" t="str">
        <f>_xlfn.XLOOKUP(MasterFees[[#This Row],[Provider / Payer]],Contracts[Contract Name],Contracts[Pricing Basis],"To confirm")</f>
        <v>To confirm</v>
      </c>
      <c r="AA621" s="127" t="str">
        <f>IF(MasterFees[[#This Row],[Pricing Basis]]="Fixed fee schedule","Yes","No")</f>
        <v>No</v>
      </c>
      <c r="AB621" s="127" t="str">
        <f>IF(OR(MasterFees[[#This Row],[Fee Basis]]="Add-on",MasterFees[[#This Row],[Fee Basis]]="Time band",MasterFees[[#This Row],[Fee Basis]]="Other"),MasterFees[[#This Row],[Fee Basis]],"Base")</f>
        <v>Base</v>
      </c>
      <c r="AC621" s="141" t="str">
        <f>IF(MasterFees[[#This Row],[Fixed Fee?]]="Yes",MasterFees[[#This Row],[Fee Excl. GST]],"")</f>
        <v/>
      </c>
    </row>
    <row r="622" spans="1:29" x14ac:dyDescent="0.2">
      <c r="A622" s="67" t="s">
        <v>2283</v>
      </c>
      <c r="B622" s="31">
        <f>IF(MasterFees[[#This Row],[RVG Code]]="","",_xlfn.XLOOKUP(MasterFees[[#This Row],[RVG Code]],RVGCodes[Code],RVGCodes[Base Units],"Code not found"))</f>
        <v>8</v>
      </c>
      <c r="C62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2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Cervical</v>
      </c>
      <c r="E622" s="125" t="s">
        <v>2583</v>
      </c>
      <c r="F622" s="48" t="s">
        <v>2569</v>
      </c>
      <c r="G622" s="30" t="s">
        <v>149</v>
      </c>
      <c r="H622" s="37" t="s">
        <v>1095</v>
      </c>
      <c r="I622" s="37"/>
      <c r="J622" s="37" t="s">
        <v>1096</v>
      </c>
      <c r="K622" s="32">
        <v>8.1999999999999993</v>
      </c>
      <c r="L622" s="32">
        <v>14</v>
      </c>
      <c r="M622" s="32">
        <v>1</v>
      </c>
      <c r="N622" s="32">
        <v>23.2</v>
      </c>
      <c r="O622" s="33">
        <v>1275.45</v>
      </c>
      <c r="P622" s="38" t="s">
        <v>1014</v>
      </c>
      <c r="Q622" s="34" t="str">
        <f>IF(MasterFees[[#This Row],[GST Basis]]="Excl",MasterFees[[#This Row],[Fee as Printed]],IF(MasterFees[[#This Row],[GST Basis]]="Incl",MasterFees[[#This Row],[Fee as Printed]]/(1+GST_Rate),""))</f>
        <v/>
      </c>
      <c r="R622" s="34" t="str">
        <f>IF(MasterFees[[#This Row],[GST Basis]]="Incl",MasterFees[[#This Row],[Fee as Printed]],IF(MasterFees[[#This Row],[GST Basis]]="Excl",MasterFees[[#This Row],[Fee as Printed]]*(1+GST_Rate),""))</f>
        <v/>
      </c>
      <c r="S622" s="35">
        <f>IF(N(MasterFees[[#This Row],[Total Units]])=0,"",MasterFees[[#This Row],[Fee as Printed]]/MasterFees[[#This Row],[Total Units]])</f>
        <v>54.976293103448278</v>
      </c>
      <c r="T622" s="36"/>
      <c r="U622" s="39" t="s">
        <v>1012</v>
      </c>
      <c r="V622" s="39" t="s">
        <v>1242</v>
      </c>
      <c r="W622" s="30"/>
      <c r="X622" s="73" t="s">
        <v>3025</v>
      </c>
      <c r="Y622" s="127" t="str">
        <f>_xlfn.XLOOKUP(MasterFees[[#This Row],[Provider / Payer]],Contracts[Contract Name],Contracts[Contract ID],"No contract")</f>
        <v>CON-01</v>
      </c>
      <c r="Z622" s="127" t="str">
        <f>_xlfn.XLOOKUP(MasterFees[[#This Row],[Provider / Payer]],Contracts[Contract Name],Contracts[Pricing Basis],"To confirm")</f>
        <v>To confirm</v>
      </c>
      <c r="AA622" s="127" t="str">
        <f>IF(MasterFees[[#This Row],[Pricing Basis]]="Fixed fee schedule","Yes","No")</f>
        <v>No</v>
      </c>
      <c r="AB622" s="127" t="str">
        <f>IF(OR(MasterFees[[#This Row],[Fee Basis]]="Add-on",MasterFees[[#This Row],[Fee Basis]]="Time band",MasterFees[[#This Row],[Fee Basis]]="Other"),MasterFees[[#This Row],[Fee Basis]],"Base")</f>
        <v>Base</v>
      </c>
      <c r="AC622" s="141" t="str">
        <f>IF(MasterFees[[#This Row],[Fixed Fee?]]="Yes",MasterFees[[#This Row],[Fee Excl. GST]],"")</f>
        <v/>
      </c>
    </row>
    <row r="623" spans="1:29" x14ac:dyDescent="0.2">
      <c r="A623" s="67" t="s">
        <v>2285</v>
      </c>
      <c r="B623" s="31">
        <f>IF(MasterFees[[#This Row],[RVG Code]]="","",_xlfn.XLOOKUP(MasterFees[[#This Row],[RVG Code]],RVGCodes[Code],RVGCodes[Base Units],"Code not found"))</f>
        <v>10</v>
      </c>
      <c r="C62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2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Cervical</v>
      </c>
      <c r="E623" s="125" t="s">
        <v>2597</v>
      </c>
      <c r="F623" s="48" t="s">
        <v>2569</v>
      </c>
      <c r="G623" s="30" t="s">
        <v>164</v>
      </c>
      <c r="H623" s="37" t="s">
        <v>1095</v>
      </c>
      <c r="I623" s="37"/>
      <c r="J623" s="37" t="s">
        <v>1096</v>
      </c>
      <c r="K623" s="32">
        <v>10</v>
      </c>
      <c r="L623" s="32">
        <v>12</v>
      </c>
      <c r="M623" s="32">
        <v>4</v>
      </c>
      <c r="N623" s="32">
        <v>26</v>
      </c>
      <c r="O623" s="33">
        <v>1430</v>
      </c>
      <c r="P623" s="38" t="s">
        <v>1014</v>
      </c>
      <c r="Q623" s="34" t="str">
        <f>IF(MasterFees[[#This Row],[GST Basis]]="Excl",MasterFees[[#This Row],[Fee as Printed]],IF(MasterFees[[#This Row],[GST Basis]]="Incl",MasterFees[[#This Row],[Fee as Printed]]/(1+GST_Rate),""))</f>
        <v/>
      </c>
      <c r="R623" s="34" t="str">
        <f>IF(MasterFees[[#This Row],[GST Basis]]="Incl",MasterFees[[#This Row],[Fee as Printed]],IF(MasterFees[[#This Row],[GST Basis]]="Excl",MasterFees[[#This Row],[Fee as Printed]]*(1+GST_Rate),""))</f>
        <v/>
      </c>
      <c r="S623" s="35">
        <f>IF(N(MasterFees[[#This Row],[Total Units]])=0,"",MasterFees[[#This Row],[Fee as Printed]]/MasterFees[[#This Row],[Total Units]])</f>
        <v>55</v>
      </c>
      <c r="T623" s="36"/>
      <c r="U623" s="39" t="s">
        <v>1012</v>
      </c>
      <c r="V623" s="39" t="s">
        <v>1258</v>
      </c>
      <c r="W623" s="30"/>
      <c r="X623" s="73" t="s">
        <v>3042</v>
      </c>
      <c r="Y623" s="127" t="str">
        <f>_xlfn.XLOOKUP(MasterFees[[#This Row],[Provider / Payer]],Contracts[Contract Name],Contracts[Contract ID],"No contract")</f>
        <v>CON-01</v>
      </c>
      <c r="Z623" s="127" t="str">
        <f>_xlfn.XLOOKUP(MasterFees[[#This Row],[Provider / Payer]],Contracts[Contract Name],Contracts[Pricing Basis],"To confirm")</f>
        <v>To confirm</v>
      </c>
      <c r="AA623" s="127" t="str">
        <f>IF(MasterFees[[#This Row],[Pricing Basis]]="Fixed fee schedule","Yes","No")</f>
        <v>No</v>
      </c>
      <c r="AB623" s="127" t="str">
        <f>IF(OR(MasterFees[[#This Row],[Fee Basis]]="Add-on",MasterFees[[#This Row],[Fee Basis]]="Time band",MasterFees[[#This Row],[Fee Basis]]="Other"),MasterFees[[#This Row],[Fee Basis]],"Base")</f>
        <v>Base</v>
      </c>
      <c r="AC623" s="141" t="str">
        <f>IF(MasterFees[[#This Row],[Fixed Fee?]]="Yes",MasterFees[[#This Row],[Fee Excl. GST]],"")</f>
        <v/>
      </c>
    </row>
    <row r="624" spans="1:29" x14ac:dyDescent="0.2">
      <c r="A624" s="67" t="s">
        <v>2285</v>
      </c>
      <c r="B624" s="31">
        <f>IF(MasterFees[[#This Row],[RVG Code]]="","",_xlfn.XLOOKUP(MasterFees[[#This Row],[RVG Code]],RVGCodes[Code],RVGCodes[Base Units],"Code not found"))</f>
        <v>10</v>
      </c>
      <c r="C62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2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Cervical</v>
      </c>
      <c r="E624" s="125" t="s">
        <v>2597</v>
      </c>
      <c r="F624" s="48" t="s">
        <v>2569</v>
      </c>
      <c r="G624" s="30" t="s">
        <v>165</v>
      </c>
      <c r="H624" s="37" t="s">
        <v>1095</v>
      </c>
      <c r="I624" s="37"/>
      <c r="J624" s="37" t="s">
        <v>1096</v>
      </c>
      <c r="K624" s="32">
        <v>0</v>
      </c>
      <c r="L624" s="32">
        <v>0</v>
      </c>
      <c r="M624" s="32">
        <v>0</v>
      </c>
      <c r="N624" s="32">
        <v>0</v>
      </c>
      <c r="O624" s="33">
        <v>0</v>
      </c>
      <c r="P624" s="38" t="s">
        <v>1014</v>
      </c>
      <c r="Q624" s="34" t="str">
        <f>IF(MasterFees[[#This Row],[GST Basis]]="Excl",MasterFees[[#This Row],[Fee as Printed]],IF(MasterFees[[#This Row],[GST Basis]]="Incl",MasterFees[[#This Row],[Fee as Printed]]/(1+GST_Rate),""))</f>
        <v/>
      </c>
      <c r="R624" s="34" t="str">
        <f>IF(MasterFees[[#This Row],[GST Basis]]="Incl",MasterFees[[#This Row],[Fee as Printed]],IF(MasterFees[[#This Row],[GST Basis]]="Excl",MasterFees[[#This Row],[Fee as Printed]]*(1+GST_Rate),""))</f>
        <v/>
      </c>
      <c r="S624" s="35" t="str">
        <f>IF(N(MasterFees[[#This Row],[Total Units]])=0,"",MasterFees[[#This Row],[Fee as Printed]]/MasterFees[[#This Row],[Total Units]])</f>
        <v/>
      </c>
      <c r="T624" s="36"/>
      <c r="U624" s="39" t="s">
        <v>1012</v>
      </c>
      <c r="V624" s="39" t="s">
        <v>1259</v>
      </c>
      <c r="W624" s="30"/>
      <c r="X624" s="73" t="s">
        <v>3043</v>
      </c>
      <c r="Y624" s="127" t="str">
        <f>_xlfn.XLOOKUP(MasterFees[[#This Row],[Provider / Payer]],Contracts[Contract Name],Contracts[Contract ID],"No contract")</f>
        <v>CON-01</v>
      </c>
      <c r="Z624" s="127" t="str">
        <f>_xlfn.XLOOKUP(MasterFees[[#This Row],[Provider / Payer]],Contracts[Contract Name],Contracts[Pricing Basis],"To confirm")</f>
        <v>To confirm</v>
      </c>
      <c r="AA624" s="127" t="str">
        <f>IF(MasterFees[[#This Row],[Pricing Basis]]="Fixed fee schedule","Yes","No")</f>
        <v>No</v>
      </c>
      <c r="AB624" s="127" t="str">
        <f>IF(OR(MasterFees[[#This Row],[Fee Basis]]="Add-on",MasterFees[[#This Row],[Fee Basis]]="Time band",MasterFees[[#This Row],[Fee Basis]]="Other"),MasterFees[[#This Row],[Fee Basis]],"Base")</f>
        <v>Base</v>
      </c>
      <c r="AC624" s="141" t="str">
        <f>IF(MasterFees[[#This Row],[Fixed Fee?]]="Yes",MasterFees[[#This Row],[Fee Excl. GST]],"")</f>
        <v/>
      </c>
    </row>
    <row r="625" spans="1:29" x14ac:dyDescent="0.2">
      <c r="A625" s="67" t="s">
        <v>2283</v>
      </c>
      <c r="B625" s="31">
        <f>IF(MasterFees[[#This Row],[RVG Code]]="","",_xlfn.XLOOKUP(MasterFees[[#This Row],[RVG Code]],RVGCodes[Code],RVGCodes[Base Units],"Code not found"))</f>
        <v>8</v>
      </c>
      <c r="C62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2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Cervical</v>
      </c>
      <c r="E625" s="125" t="s">
        <v>2583</v>
      </c>
      <c r="F625" s="48" t="s">
        <v>2567</v>
      </c>
      <c r="G625" s="30" t="s">
        <v>235</v>
      </c>
      <c r="H625" s="37" t="s">
        <v>1095</v>
      </c>
      <c r="I625" s="37"/>
      <c r="J625" s="37" t="s">
        <v>1096</v>
      </c>
      <c r="K625" s="32">
        <v>4</v>
      </c>
      <c r="L625" s="32">
        <v>6</v>
      </c>
      <c r="M625" s="32">
        <v>0</v>
      </c>
      <c r="N625" s="32">
        <v>10</v>
      </c>
      <c r="O625" s="33">
        <v>550</v>
      </c>
      <c r="P625" s="38" t="s">
        <v>1014</v>
      </c>
      <c r="Q625" s="34" t="str">
        <f>IF(MasterFees[[#This Row],[GST Basis]]="Excl",MasterFees[[#This Row],[Fee as Printed]],IF(MasterFees[[#This Row],[GST Basis]]="Incl",MasterFees[[#This Row],[Fee as Printed]]/(1+GST_Rate),""))</f>
        <v/>
      </c>
      <c r="R625" s="34" t="str">
        <f>IF(MasterFees[[#This Row],[GST Basis]]="Incl",MasterFees[[#This Row],[Fee as Printed]],IF(MasterFees[[#This Row],[GST Basis]]="Excl",MasterFees[[#This Row],[Fee as Printed]]*(1+GST_Rate),""))</f>
        <v/>
      </c>
      <c r="S625" s="35">
        <f>IF(N(MasterFees[[#This Row],[Total Units]])=0,"",MasterFees[[#This Row],[Fee as Printed]]/MasterFees[[#This Row],[Total Units]])</f>
        <v>55</v>
      </c>
      <c r="T625" s="36"/>
      <c r="U625" s="39" t="s">
        <v>1012</v>
      </c>
      <c r="V625" s="39" t="s">
        <v>1329</v>
      </c>
      <c r="W625" s="30"/>
      <c r="X625" s="73" t="s">
        <v>3118</v>
      </c>
      <c r="Y625" s="127" t="str">
        <f>_xlfn.XLOOKUP(MasterFees[[#This Row],[Provider / Payer]],Contracts[Contract Name],Contracts[Contract ID],"No contract")</f>
        <v>CON-01</v>
      </c>
      <c r="Z625" s="127" t="str">
        <f>_xlfn.XLOOKUP(MasterFees[[#This Row],[Provider / Payer]],Contracts[Contract Name],Contracts[Pricing Basis],"To confirm")</f>
        <v>To confirm</v>
      </c>
      <c r="AA625" s="127" t="str">
        <f>IF(MasterFees[[#This Row],[Pricing Basis]]="Fixed fee schedule","Yes","No")</f>
        <v>No</v>
      </c>
      <c r="AB625" s="127" t="str">
        <f>IF(OR(MasterFees[[#This Row],[Fee Basis]]="Add-on",MasterFees[[#This Row],[Fee Basis]]="Time band",MasterFees[[#This Row],[Fee Basis]]="Other"),MasterFees[[#This Row],[Fee Basis]],"Base")</f>
        <v>Base</v>
      </c>
      <c r="AC625" s="141" t="str">
        <f>IF(MasterFees[[#This Row],[Fixed Fee?]]="Yes",MasterFees[[#This Row],[Fee Excl. GST]],"")</f>
        <v/>
      </c>
    </row>
    <row r="626" spans="1:29" x14ac:dyDescent="0.2">
      <c r="A626" s="67" t="s">
        <v>2287</v>
      </c>
      <c r="B626" s="31">
        <f>IF(MasterFees[[#This Row],[RVG Code]]="","",_xlfn.XLOOKUP(MasterFees[[#This Row],[RVG Code]],RVGCodes[Code],RVGCodes[Base Units],"Code not found"))</f>
        <v>12</v>
      </c>
      <c r="C62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2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Cervical</v>
      </c>
      <c r="E626" s="125" t="s">
        <v>2701</v>
      </c>
      <c r="F626" s="48" t="s">
        <v>2565</v>
      </c>
      <c r="G626" s="30" t="s">
        <v>2288</v>
      </c>
      <c r="H626" s="37" t="s">
        <v>2630</v>
      </c>
      <c r="I626" s="37" t="s">
        <v>2287</v>
      </c>
      <c r="J626" s="37" t="s">
        <v>1096</v>
      </c>
      <c r="K626" s="32">
        <v>12</v>
      </c>
      <c r="L626" s="32"/>
      <c r="M626" s="32"/>
      <c r="N626" s="32">
        <v>12</v>
      </c>
      <c r="O626" s="33"/>
      <c r="P626" s="38"/>
      <c r="Q626" s="34" t="str">
        <f>IF(MasterFees[[#This Row],[GST Basis]]="Excl",MasterFees[[#This Row],[Fee as Printed]],IF(MasterFees[[#This Row],[GST Basis]]="Incl",MasterFees[[#This Row],[Fee as Printed]]/(1+GST_Rate),""))</f>
        <v/>
      </c>
      <c r="R626" s="34" t="str">
        <f>IF(MasterFees[[#This Row],[GST Basis]]="Incl",MasterFees[[#This Row],[Fee as Printed]],IF(MasterFees[[#This Row],[GST Basis]]="Excl",MasterFees[[#This Row],[Fee as Printed]]*(1+GST_Rate),""))</f>
        <v/>
      </c>
      <c r="S626" s="35">
        <f>IF(N(MasterFees[[#This Row],[Total Units]])=0,"",MasterFees[[#This Row],[Fee as Printed]]/MasterFees[[#This Row],[Total Units]])</f>
        <v>0</v>
      </c>
      <c r="T626" s="36"/>
      <c r="U626" s="39" t="s">
        <v>1016</v>
      </c>
      <c r="V626" s="39" t="s">
        <v>2673</v>
      </c>
      <c r="W626" s="30" t="s">
        <v>2655</v>
      </c>
      <c r="X626" s="73" t="s">
        <v>3938</v>
      </c>
      <c r="Y626" s="127" t="str">
        <f>_xlfn.XLOOKUP(MasterFees[[#This Row],[Provider / Payer]],Contracts[Contract Name],Contracts[Contract ID],"No contract")</f>
        <v>CON-10</v>
      </c>
      <c r="Z626" s="127" t="str">
        <f>_xlfn.XLOOKUP(MasterFees[[#This Row],[Provider / Payer]],Contracts[Contract Name],Contracts[Pricing Basis],"To confirm")</f>
        <v>Reference – units only</v>
      </c>
      <c r="AA626" s="127" t="str">
        <f>IF(MasterFees[[#This Row],[Pricing Basis]]="Fixed fee schedule","Yes","No")</f>
        <v>No</v>
      </c>
      <c r="AB626" s="127" t="str">
        <f>IF(OR(MasterFees[[#This Row],[Fee Basis]]="Add-on",MasterFees[[#This Row],[Fee Basis]]="Time band",MasterFees[[#This Row],[Fee Basis]]="Other"),MasterFees[[#This Row],[Fee Basis]],"Base")</f>
        <v>Base</v>
      </c>
      <c r="AC626" s="141" t="str">
        <f>IF(MasterFees[[#This Row],[Fixed Fee?]]="Yes",MasterFees[[#This Row],[Fee Excl. GST]],"")</f>
        <v/>
      </c>
    </row>
    <row r="627" spans="1:29" x14ac:dyDescent="0.2">
      <c r="A627" s="67" t="s">
        <v>2285</v>
      </c>
      <c r="B627" s="31">
        <f>IF(MasterFees[[#This Row],[RVG Code]]="","",_xlfn.XLOOKUP(MasterFees[[#This Row],[RVG Code]],RVGCodes[Code],RVGCodes[Base Units],"Code not found"))</f>
        <v>10</v>
      </c>
      <c r="C62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2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Cervical</v>
      </c>
      <c r="E627" s="125" t="s">
        <v>2597</v>
      </c>
      <c r="F627" s="48" t="s">
        <v>2629</v>
      </c>
      <c r="G627" s="30" t="s">
        <v>2286</v>
      </c>
      <c r="H627" s="37" t="s">
        <v>2630</v>
      </c>
      <c r="I627" s="37" t="s">
        <v>2285</v>
      </c>
      <c r="J627" s="37" t="s">
        <v>1096</v>
      </c>
      <c r="K627" s="32">
        <v>10</v>
      </c>
      <c r="L627" s="32"/>
      <c r="M627" s="32"/>
      <c r="N627" s="32">
        <v>10</v>
      </c>
      <c r="O627" s="33"/>
      <c r="P627" s="38"/>
      <c r="Q627" s="34" t="str">
        <f>IF(MasterFees[[#This Row],[GST Basis]]="Excl",MasterFees[[#This Row],[Fee as Printed]],IF(MasterFees[[#This Row],[GST Basis]]="Incl",MasterFees[[#This Row],[Fee as Printed]]/(1+GST_Rate),""))</f>
        <v/>
      </c>
      <c r="R627" s="34" t="str">
        <f>IF(MasterFees[[#This Row],[GST Basis]]="Incl",MasterFees[[#This Row],[Fee as Printed]],IF(MasterFees[[#This Row],[GST Basis]]="Excl",MasterFees[[#This Row],[Fee as Printed]]*(1+GST_Rate),""))</f>
        <v/>
      </c>
      <c r="S627" s="35">
        <f>IF(N(MasterFees[[#This Row],[Total Units]])=0,"",MasterFees[[#This Row],[Fee as Printed]]/MasterFees[[#This Row],[Total Units]])</f>
        <v>0</v>
      </c>
      <c r="T627" s="36"/>
      <c r="U627" s="39" t="s">
        <v>1016</v>
      </c>
      <c r="V627" s="39" t="s">
        <v>2673</v>
      </c>
      <c r="W627" s="30" t="s">
        <v>2655</v>
      </c>
      <c r="X627" s="73" t="s">
        <v>3044</v>
      </c>
      <c r="Y627" s="127" t="str">
        <f>_xlfn.XLOOKUP(MasterFees[[#This Row],[Provider / Payer]],Contracts[Contract Name],Contracts[Contract ID],"No contract")</f>
        <v>CON-10</v>
      </c>
      <c r="Z627" s="127" t="str">
        <f>_xlfn.XLOOKUP(MasterFees[[#This Row],[Provider / Payer]],Contracts[Contract Name],Contracts[Pricing Basis],"To confirm")</f>
        <v>Reference – units only</v>
      </c>
      <c r="AA627" s="127" t="str">
        <f>IF(MasterFees[[#This Row],[Pricing Basis]]="Fixed fee schedule","Yes","No")</f>
        <v>No</v>
      </c>
      <c r="AB627" s="127" t="str">
        <f>IF(OR(MasterFees[[#This Row],[Fee Basis]]="Add-on",MasterFees[[#This Row],[Fee Basis]]="Time band",MasterFees[[#This Row],[Fee Basis]]="Other"),MasterFees[[#This Row],[Fee Basis]],"Base")</f>
        <v>Base</v>
      </c>
      <c r="AC627" s="141" t="str">
        <f>IF(MasterFees[[#This Row],[Fixed Fee?]]="Yes",MasterFees[[#This Row],[Fee Excl. GST]],"")</f>
        <v/>
      </c>
    </row>
    <row r="628" spans="1:29" x14ac:dyDescent="0.2">
      <c r="A628" s="67" t="s">
        <v>2304</v>
      </c>
      <c r="B628" s="31">
        <f>IF(MasterFees[[#This Row],[RVG Code]]="","",_xlfn.XLOOKUP(MasterFees[[#This Row],[RVG Code]],RVGCodes[Code],RVGCodes[Base Units],"Code not found"))</f>
        <v>12</v>
      </c>
      <c r="C62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2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Lumbar</v>
      </c>
      <c r="E628" s="125" t="s">
        <v>2578</v>
      </c>
      <c r="F628" s="48" t="s">
        <v>2567</v>
      </c>
      <c r="G628" s="30" t="s">
        <v>39</v>
      </c>
      <c r="H628" s="37" t="s">
        <v>1095</v>
      </c>
      <c r="I628" s="37"/>
      <c r="J628" s="37" t="s">
        <v>1096</v>
      </c>
      <c r="K628" s="32">
        <v>12</v>
      </c>
      <c r="L628" s="32">
        <v>7</v>
      </c>
      <c r="M628" s="32">
        <v>2</v>
      </c>
      <c r="N628" s="32">
        <v>21</v>
      </c>
      <c r="O628" s="33">
        <v>1155</v>
      </c>
      <c r="P628" s="38" t="s">
        <v>1014</v>
      </c>
      <c r="Q628" s="34" t="str">
        <f>IF(MasterFees[[#This Row],[GST Basis]]="Excl",MasterFees[[#This Row],[Fee as Printed]],IF(MasterFees[[#This Row],[GST Basis]]="Incl",MasterFees[[#This Row],[Fee as Printed]]/(1+GST_Rate),""))</f>
        <v/>
      </c>
      <c r="R628" s="34" t="str">
        <f>IF(MasterFees[[#This Row],[GST Basis]]="Incl",MasterFees[[#This Row],[Fee as Printed]],IF(MasterFees[[#This Row],[GST Basis]]="Excl",MasterFees[[#This Row],[Fee as Printed]]*(1+GST_Rate),""))</f>
        <v/>
      </c>
      <c r="S628" s="35">
        <f>IF(N(MasterFees[[#This Row],[Total Units]])=0,"",MasterFees[[#This Row],[Fee as Printed]]/MasterFees[[#This Row],[Total Units]])</f>
        <v>55</v>
      </c>
      <c r="T628" s="36"/>
      <c r="U628" s="39" t="s">
        <v>1012</v>
      </c>
      <c r="V628" s="39" t="s">
        <v>1128</v>
      </c>
      <c r="W628" s="30"/>
      <c r="X628" s="73" t="s">
        <v>2910</v>
      </c>
      <c r="Y628" s="127" t="str">
        <f>_xlfn.XLOOKUP(MasterFees[[#This Row],[Provider / Payer]],Contracts[Contract Name],Contracts[Contract ID],"No contract")</f>
        <v>CON-01</v>
      </c>
      <c r="Z628" s="127" t="str">
        <f>_xlfn.XLOOKUP(MasterFees[[#This Row],[Provider / Payer]],Contracts[Contract Name],Contracts[Pricing Basis],"To confirm")</f>
        <v>To confirm</v>
      </c>
      <c r="AA628" s="127" t="str">
        <f>IF(MasterFees[[#This Row],[Pricing Basis]]="Fixed fee schedule","Yes","No")</f>
        <v>No</v>
      </c>
      <c r="AB628" s="127" t="str">
        <f>IF(OR(MasterFees[[#This Row],[Fee Basis]]="Add-on",MasterFees[[#This Row],[Fee Basis]]="Time band",MasterFees[[#This Row],[Fee Basis]]="Other"),MasterFees[[#This Row],[Fee Basis]],"Base")</f>
        <v>Base</v>
      </c>
      <c r="AC628" s="141" t="str">
        <f>IF(MasterFees[[#This Row],[Fixed Fee?]]="Yes",MasterFees[[#This Row],[Fee Excl. GST]],"")</f>
        <v/>
      </c>
    </row>
    <row r="629" spans="1:29" x14ac:dyDescent="0.2">
      <c r="A629" s="67" t="s">
        <v>2300</v>
      </c>
      <c r="B629" s="31">
        <f>IF(MasterFees[[#This Row],[RVG Code]]="","",_xlfn.XLOOKUP(MasterFees[[#This Row],[RVG Code]],RVGCodes[Code],RVGCodes[Base Units],"Code not found"))</f>
        <v>10</v>
      </c>
      <c r="C62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2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Lumbar</v>
      </c>
      <c r="E629" s="125" t="s">
        <v>2706</v>
      </c>
      <c r="F629" s="48" t="s">
        <v>2565</v>
      </c>
      <c r="G629" s="30" t="s">
        <v>2301</v>
      </c>
      <c r="H629" s="37" t="s">
        <v>2630</v>
      </c>
      <c r="I629" s="37" t="s">
        <v>2300</v>
      </c>
      <c r="J629" s="37" t="s">
        <v>1096</v>
      </c>
      <c r="K629" s="32">
        <v>10</v>
      </c>
      <c r="L629" s="32"/>
      <c r="M629" s="32"/>
      <c r="N629" s="32">
        <v>10</v>
      </c>
      <c r="O629" s="33"/>
      <c r="P629" s="38"/>
      <c r="Q629" s="34" t="str">
        <f>IF(MasterFees[[#This Row],[GST Basis]]="Excl",MasterFees[[#This Row],[Fee as Printed]],IF(MasterFees[[#This Row],[GST Basis]]="Incl",MasterFees[[#This Row],[Fee as Printed]]/(1+GST_Rate),""))</f>
        <v/>
      </c>
      <c r="R629" s="34" t="str">
        <f>IF(MasterFees[[#This Row],[GST Basis]]="Incl",MasterFees[[#This Row],[Fee as Printed]],IF(MasterFees[[#This Row],[GST Basis]]="Excl",MasterFees[[#This Row],[Fee as Printed]]*(1+GST_Rate),""))</f>
        <v/>
      </c>
      <c r="S629" s="35">
        <f>IF(N(MasterFees[[#This Row],[Total Units]])=0,"",MasterFees[[#This Row],[Fee as Printed]]/MasterFees[[#This Row],[Total Units]])</f>
        <v>0</v>
      </c>
      <c r="T629" s="36"/>
      <c r="U629" s="39" t="s">
        <v>1016</v>
      </c>
      <c r="V629" s="39" t="s">
        <v>2654</v>
      </c>
      <c r="W629" s="30" t="s">
        <v>2655</v>
      </c>
      <c r="X629" s="73" t="s">
        <v>3942</v>
      </c>
      <c r="Y629" s="127" t="str">
        <f>_xlfn.XLOOKUP(MasterFees[[#This Row],[Provider / Payer]],Contracts[Contract Name],Contracts[Contract ID],"No contract")</f>
        <v>CON-10</v>
      </c>
      <c r="Z629" s="127" t="str">
        <f>_xlfn.XLOOKUP(MasterFees[[#This Row],[Provider / Payer]],Contracts[Contract Name],Contracts[Pricing Basis],"To confirm")</f>
        <v>Reference – units only</v>
      </c>
      <c r="AA629" s="127" t="str">
        <f>IF(MasterFees[[#This Row],[Pricing Basis]]="Fixed fee schedule","Yes","No")</f>
        <v>No</v>
      </c>
      <c r="AB629" s="127" t="str">
        <f>IF(OR(MasterFees[[#This Row],[Fee Basis]]="Add-on",MasterFees[[#This Row],[Fee Basis]]="Time band",MasterFees[[#This Row],[Fee Basis]]="Other"),MasterFees[[#This Row],[Fee Basis]],"Base")</f>
        <v>Base</v>
      </c>
      <c r="AC629" s="141" t="str">
        <f>IF(MasterFees[[#This Row],[Fixed Fee?]]="Yes",MasterFees[[#This Row],[Fee Excl. GST]],"")</f>
        <v/>
      </c>
    </row>
    <row r="630" spans="1:29" x14ac:dyDescent="0.2">
      <c r="A630" s="67" t="s">
        <v>2298</v>
      </c>
      <c r="B630" s="31">
        <f>IF(MasterFees[[#This Row],[RVG Code]]="","",_xlfn.XLOOKUP(MasterFees[[#This Row],[RVG Code]],RVGCodes[Code],RVGCodes[Base Units],"Code not found"))</f>
        <v>8</v>
      </c>
      <c r="C63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3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Lumbar</v>
      </c>
      <c r="E630" s="125" t="s">
        <v>2584</v>
      </c>
      <c r="F630" s="48" t="s">
        <v>2629</v>
      </c>
      <c r="G630" s="30" t="s">
        <v>2299</v>
      </c>
      <c r="H630" s="37" t="s">
        <v>2630</v>
      </c>
      <c r="I630" s="37" t="s">
        <v>2298</v>
      </c>
      <c r="J630" s="37" t="s">
        <v>1096</v>
      </c>
      <c r="K630" s="32">
        <v>8</v>
      </c>
      <c r="L630" s="32"/>
      <c r="M630" s="32"/>
      <c r="N630" s="32">
        <v>8</v>
      </c>
      <c r="O630" s="33"/>
      <c r="P630" s="38"/>
      <c r="Q630" s="34" t="str">
        <f>IF(MasterFees[[#This Row],[GST Basis]]="Excl",MasterFees[[#This Row],[Fee as Printed]],IF(MasterFees[[#This Row],[GST Basis]]="Incl",MasterFees[[#This Row],[Fee as Printed]]/(1+GST_Rate),""))</f>
        <v/>
      </c>
      <c r="R630" s="34" t="str">
        <f>IF(MasterFees[[#This Row],[GST Basis]]="Incl",MasterFees[[#This Row],[Fee as Printed]],IF(MasterFees[[#This Row],[GST Basis]]="Excl",MasterFees[[#This Row],[Fee as Printed]]*(1+GST_Rate),""))</f>
        <v/>
      </c>
      <c r="S630" s="35">
        <f>IF(N(MasterFees[[#This Row],[Total Units]])=0,"",MasterFees[[#This Row],[Fee as Printed]]/MasterFees[[#This Row],[Total Units]])</f>
        <v>0</v>
      </c>
      <c r="T630" s="36"/>
      <c r="U630" s="39" t="s">
        <v>1016</v>
      </c>
      <c r="V630" s="39" t="s">
        <v>2654</v>
      </c>
      <c r="W630" s="30" t="s">
        <v>2655</v>
      </c>
      <c r="X630" s="73" t="s">
        <v>3400</v>
      </c>
      <c r="Y630" s="127" t="str">
        <f>_xlfn.XLOOKUP(MasterFees[[#This Row],[Provider / Payer]],Contracts[Contract Name],Contracts[Contract ID],"No contract")</f>
        <v>CON-10</v>
      </c>
      <c r="Z630" s="127" t="str">
        <f>_xlfn.XLOOKUP(MasterFees[[#This Row],[Provider / Payer]],Contracts[Contract Name],Contracts[Pricing Basis],"To confirm")</f>
        <v>Reference – units only</v>
      </c>
      <c r="AA630" s="127" t="str">
        <f>IF(MasterFees[[#This Row],[Pricing Basis]]="Fixed fee schedule","Yes","No")</f>
        <v>No</v>
      </c>
      <c r="AB630" s="127" t="str">
        <f>IF(OR(MasterFees[[#This Row],[Fee Basis]]="Add-on",MasterFees[[#This Row],[Fee Basis]]="Time band",MasterFees[[#This Row],[Fee Basis]]="Other"),MasterFees[[#This Row],[Fee Basis]],"Base")</f>
        <v>Base</v>
      </c>
      <c r="AC630" s="141" t="str">
        <f>IF(MasterFees[[#This Row],[Fixed Fee?]]="Yes",MasterFees[[#This Row],[Fee Excl. GST]],"")</f>
        <v/>
      </c>
    </row>
    <row r="631" spans="1:29" x14ac:dyDescent="0.2">
      <c r="A631" s="67" t="s">
        <v>2298</v>
      </c>
      <c r="B631" s="31">
        <f>IF(MasterFees[[#This Row],[RVG Code]]="","",_xlfn.XLOOKUP(MasterFees[[#This Row],[RVG Code]],RVGCodes[Code],RVGCodes[Base Units],"Code not found"))</f>
        <v>8</v>
      </c>
      <c r="C63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3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Lumbar</v>
      </c>
      <c r="E631" s="125" t="s">
        <v>2584</v>
      </c>
      <c r="F631" s="48" t="s">
        <v>2569</v>
      </c>
      <c r="G631" s="30" t="s">
        <v>54</v>
      </c>
      <c r="H631" s="37" t="s">
        <v>1095</v>
      </c>
      <c r="I631" s="37"/>
      <c r="J631" s="37" t="s">
        <v>1096</v>
      </c>
      <c r="K631" s="32">
        <v>10.9</v>
      </c>
      <c r="L631" s="32">
        <v>10.199999999999999</v>
      </c>
      <c r="M631" s="32">
        <v>0.9</v>
      </c>
      <c r="N631" s="32">
        <v>22</v>
      </c>
      <c r="O631" s="33">
        <v>1207.25</v>
      </c>
      <c r="P631" s="38" t="s">
        <v>1014</v>
      </c>
      <c r="Q631" s="34" t="str">
        <f>IF(MasterFees[[#This Row],[GST Basis]]="Excl",MasterFees[[#This Row],[Fee as Printed]],IF(MasterFees[[#This Row],[GST Basis]]="Incl",MasterFees[[#This Row],[Fee as Printed]]/(1+GST_Rate),""))</f>
        <v/>
      </c>
      <c r="R631" s="34" t="str">
        <f>IF(MasterFees[[#This Row],[GST Basis]]="Incl",MasterFees[[#This Row],[Fee as Printed]],IF(MasterFees[[#This Row],[GST Basis]]="Excl",MasterFees[[#This Row],[Fee as Printed]]*(1+GST_Rate),""))</f>
        <v/>
      </c>
      <c r="S631" s="35">
        <f>IF(N(MasterFees[[#This Row],[Total Units]])=0,"",MasterFees[[#This Row],[Fee as Printed]]/MasterFees[[#This Row],[Total Units]])</f>
        <v>54.875</v>
      </c>
      <c r="T631" s="36"/>
      <c r="U631" s="39" t="s">
        <v>1012</v>
      </c>
      <c r="V631" s="39" t="s">
        <v>1143</v>
      </c>
      <c r="W631" s="30"/>
      <c r="X631" s="73" t="s">
        <v>2925</v>
      </c>
      <c r="Y631" s="127" t="str">
        <f>_xlfn.XLOOKUP(MasterFees[[#This Row],[Provider / Payer]],Contracts[Contract Name],Contracts[Contract ID],"No contract")</f>
        <v>CON-01</v>
      </c>
      <c r="Z631" s="127" t="str">
        <f>_xlfn.XLOOKUP(MasterFees[[#This Row],[Provider / Payer]],Contracts[Contract Name],Contracts[Pricing Basis],"To confirm")</f>
        <v>To confirm</v>
      </c>
      <c r="AA631" s="127" t="str">
        <f>IF(MasterFees[[#This Row],[Pricing Basis]]="Fixed fee schedule","Yes","No")</f>
        <v>No</v>
      </c>
      <c r="AB631" s="127" t="str">
        <f>IF(OR(MasterFees[[#This Row],[Fee Basis]]="Add-on",MasterFees[[#This Row],[Fee Basis]]="Time band",MasterFees[[#This Row],[Fee Basis]]="Other"),MasterFees[[#This Row],[Fee Basis]],"Base")</f>
        <v>Base</v>
      </c>
      <c r="AC631" s="141" t="str">
        <f>IF(MasterFees[[#This Row],[Fixed Fee?]]="Yes",MasterFees[[#This Row],[Fee Excl. GST]],"")</f>
        <v/>
      </c>
    </row>
    <row r="632" spans="1:29" x14ac:dyDescent="0.2">
      <c r="A632" s="67" t="s">
        <v>2308</v>
      </c>
      <c r="B632" s="31">
        <f>IF(MasterFees[[#This Row],[RVG Code]]="","",_xlfn.XLOOKUP(MasterFees[[#This Row],[RVG Code]],RVGCodes[Code],RVGCodes[Base Units],"Code not found"))</f>
        <v>18</v>
      </c>
      <c r="C63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3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Lumbar</v>
      </c>
      <c r="E632" s="125" t="s">
        <v>2708</v>
      </c>
      <c r="F632" s="48" t="s">
        <v>2565</v>
      </c>
      <c r="G632" s="30" t="s">
        <v>2309</v>
      </c>
      <c r="H632" s="37" t="s">
        <v>2630</v>
      </c>
      <c r="I632" s="37" t="s">
        <v>2308</v>
      </c>
      <c r="J632" s="37" t="s">
        <v>1096</v>
      </c>
      <c r="K632" s="32">
        <v>18</v>
      </c>
      <c r="L632" s="32"/>
      <c r="M632" s="32"/>
      <c r="N632" s="32">
        <v>18</v>
      </c>
      <c r="O632" s="33"/>
      <c r="P632" s="38"/>
      <c r="Q632" s="34" t="str">
        <f>IF(MasterFees[[#This Row],[GST Basis]]="Excl",MasterFees[[#This Row],[Fee as Printed]],IF(MasterFees[[#This Row],[GST Basis]]="Incl",MasterFees[[#This Row],[Fee as Printed]]/(1+GST_Rate),""))</f>
        <v/>
      </c>
      <c r="R632" s="34" t="str">
        <f>IF(MasterFees[[#This Row],[GST Basis]]="Incl",MasterFees[[#This Row],[Fee as Printed]],IF(MasterFees[[#This Row],[GST Basis]]="Excl",MasterFees[[#This Row],[Fee as Printed]]*(1+GST_Rate),""))</f>
        <v/>
      </c>
      <c r="S632" s="35">
        <f>IF(N(MasterFees[[#This Row],[Total Units]])=0,"",MasterFees[[#This Row],[Fee as Printed]]/MasterFees[[#This Row],[Total Units]])</f>
        <v>0</v>
      </c>
      <c r="T632" s="36"/>
      <c r="U632" s="39" t="s">
        <v>1016</v>
      </c>
      <c r="V632" s="39" t="s">
        <v>2654</v>
      </c>
      <c r="W632" s="30" t="s">
        <v>2655</v>
      </c>
      <c r="X632" s="73" t="s">
        <v>3944</v>
      </c>
      <c r="Y632" s="127" t="str">
        <f>_xlfn.XLOOKUP(MasterFees[[#This Row],[Provider / Payer]],Contracts[Contract Name],Contracts[Contract ID],"No contract")</f>
        <v>CON-10</v>
      </c>
      <c r="Z632" s="127" t="str">
        <f>_xlfn.XLOOKUP(MasterFees[[#This Row],[Provider / Payer]],Contracts[Contract Name],Contracts[Pricing Basis],"To confirm")</f>
        <v>Reference – units only</v>
      </c>
      <c r="AA632" s="127" t="str">
        <f>IF(MasterFees[[#This Row],[Pricing Basis]]="Fixed fee schedule","Yes","No")</f>
        <v>No</v>
      </c>
      <c r="AB632" s="127" t="str">
        <f>IF(OR(MasterFees[[#This Row],[Fee Basis]]="Add-on",MasterFees[[#This Row],[Fee Basis]]="Time band",MasterFees[[#This Row],[Fee Basis]]="Other"),MasterFees[[#This Row],[Fee Basis]],"Base")</f>
        <v>Base</v>
      </c>
      <c r="AC632" s="141" t="str">
        <f>IF(MasterFees[[#This Row],[Fixed Fee?]]="Yes",MasterFees[[#This Row],[Fee Excl. GST]],"")</f>
        <v/>
      </c>
    </row>
    <row r="633" spans="1:29" x14ac:dyDescent="0.2">
      <c r="A633" s="67" t="s">
        <v>2294</v>
      </c>
      <c r="B633" s="31">
        <f>IF(MasterFees[[#This Row],[RVG Code]]="","",_xlfn.XLOOKUP(MasterFees[[#This Row],[RVG Code]],RVGCodes[Code],RVGCodes[Base Units],"Code not found"))</f>
        <v>8</v>
      </c>
      <c r="C63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3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Lumbar</v>
      </c>
      <c r="E633" s="125" t="s">
        <v>2608</v>
      </c>
      <c r="F633" s="48" t="s">
        <v>2569</v>
      </c>
      <c r="G633" s="30" t="s">
        <v>257</v>
      </c>
      <c r="H633" s="37" t="s">
        <v>1095</v>
      </c>
      <c r="I633" s="37"/>
      <c r="J633" s="37" t="s">
        <v>1096</v>
      </c>
      <c r="K633" s="32">
        <v>7.5</v>
      </c>
      <c r="L633" s="32">
        <v>3.9</v>
      </c>
      <c r="M633" s="32">
        <v>0.5</v>
      </c>
      <c r="N633" s="32">
        <v>11.9</v>
      </c>
      <c r="O633" s="33">
        <v>652.29999999999995</v>
      </c>
      <c r="P633" s="38" t="s">
        <v>1014</v>
      </c>
      <c r="Q633" s="34" t="str">
        <f>IF(MasterFees[[#This Row],[GST Basis]]="Excl",MasterFees[[#This Row],[Fee as Printed]],IF(MasterFees[[#This Row],[GST Basis]]="Incl",MasterFees[[#This Row],[Fee as Printed]]/(1+GST_Rate),""))</f>
        <v/>
      </c>
      <c r="R633" s="34" t="str">
        <f>IF(MasterFees[[#This Row],[GST Basis]]="Incl",MasterFees[[#This Row],[Fee as Printed]],IF(MasterFees[[#This Row],[GST Basis]]="Excl",MasterFees[[#This Row],[Fee as Printed]]*(1+GST_Rate),""))</f>
        <v/>
      </c>
      <c r="S633" s="35">
        <f>IF(N(MasterFees[[#This Row],[Total Units]])=0,"",MasterFees[[#This Row],[Fee as Printed]]/MasterFees[[#This Row],[Total Units]])</f>
        <v>54.815126050420162</v>
      </c>
      <c r="T633" s="36"/>
      <c r="U633" s="39" t="s">
        <v>1012</v>
      </c>
      <c r="V633" s="39" t="s">
        <v>1351</v>
      </c>
      <c r="W633" s="30"/>
      <c r="X633" s="73" t="s">
        <v>3141</v>
      </c>
      <c r="Y633" s="127" t="str">
        <f>_xlfn.XLOOKUP(MasterFees[[#This Row],[Provider / Payer]],Contracts[Contract Name],Contracts[Contract ID],"No contract")</f>
        <v>CON-01</v>
      </c>
      <c r="Z633" s="127" t="str">
        <f>_xlfn.XLOOKUP(MasterFees[[#This Row],[Provider / Payer]],Contracts[Contract Name],Contracts[Pricing Basis],"To confirm")</f>
        <v>To confirm</v>
      </c>
      <c r="AA633" s="127" t="str">
        <f>IF(MasterFees[[#This Row],[Pricing Basis]]="Fixed fee schedule","Yes","No")</f>
        <v>No</v>
      </c>
      <c r="AB633" s="127" t="str">
        <f>IF(OR(MasterFees[[#This Row],[Fee Basis]]="Add-on",MasterFees[[#This Row],[Fee Basis]]="Time band",MasterFees[[#This Row],[Fee Basis]]="Other"),MasterFees[[#This Row],[Fee Basis]],"Base")</f>
        <v>Base</v>
      </c>
      <c r="AC633" s="141" t="str">
        <f>IF(MasterFees[[#This Row],[Fixed Fee?]]="Yes",MasterFees[[#This Row],[Fee Excl. GST]],"")</f>
        <v/>
      </c>
    </row>
    <row r="634" spans="1:29" x14ac:dyDescent="0.2">
      <c r="A634" s="67" t="s">
        <v>2294</v>
      </c>
      <c r="B634" s="31">
        <f>IF(MasterFees[[#This Row],[RVG Code]]="","",_xlfn.XLOOKUP(MasterFees[[#This Row],[RVG Code]],RVGCodes[Code],RVGCodes[Base Units],"Code not found"))</f>
        <v>8</v>
      </c>
      <c r="C63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3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Lumbar</v>
      </c>
      <c r="E634" s="125" t="s">
        <v>2608</v>
      </c>
      <c r="F634" s="48" t="s">
        <v>2569</v>
      </c>
      <c r="G634" s="30" t="s">
        <v>258</v>
      </c>
      <c r="H634" s="37" t="s">
        <v>1095</v>
      </c>
      <c r="I634" s="37"/>
      <c r="J634" s="37" t="s">
        <v>1096</v>
      </c>
      <c r="K634" s="32">
        <v>8</v>
      </c>
      <c r="L634" s="32">
        <v>6.9</v>
      </c>
      <c r="M634" s="32">
        <v>1.1000000000000001</v>
      </c>
      <c r="N634" s="32">
        <v>15.9</v>
      </c>
      <c r="O634" s="33">
        <v>875.6</v>
      </c>
      <c r="P634" s="38" t="s">
        <v>1014</v>
      </c>
      <c r="Q634" s="34" t="str">
        <f>IF(MasterFees[[#This Row],[GST Basis]]="Excl",MasterFees[[#This Row],[Fee as Printed]],IF(MasterFees[[#This Row],[GST Basis]]="Incl",MasterFees[[#This Row],[Fee as Printed]]/(1+GST_Rate),""))</f>
        <v/>
      </c>
      <c r="R634" s="34" t="str">
        <f>IF(MasterFees[[#This Row],[GST Basis]]="Incl",MasterFees[[#This Row],[Fee as Printed]],IF(MasterFees[[#This Row],[GST Basis]]="Excl",MasterFees[[#This Row],[Fee as Printed]]*(1+GST_Rate),""))</f>
        <v/>
      </c>
      <c r="S634" s="35">
        <f>IF(N(MasterFees[[#This Row],[Total Units]])=0,"",MasterFees[[#This Row],[Fee as Printed]]/MasterFees[[#This Row],[Total Units]])</f>
        <v>55.069182389937104</v>
      </c>
      <c r="T634" s="36"/>
      <c r="U634" s="39" t="s">
        <v>1012</v>
      </c>
      <c r="V634" s="39" t="s">
        <v>1352</v>
      </c>
      <c r="W634" s="30"/>
      <c r="X634" s="73" t="s">
        <v>3142</v>
      </c>
      <c r="Y634" s="127" t="str">
        <f>_xlfn.XLOOKUP(MasterFees[[#This Row],[Provider / Payer]],Contracts[Contract Name],Contracts[Contract ID],"No contract")</f>
        <v>CON-01</v>
      </c>
      <c r="Z634" s="127" t="str">
        <f>_xlfn.XLOOKUP(MasterFees[[#This Row],[Provider / Payer]],Contracts[Contract Name],Contracts[Pricing Basis],"To confirm")</f>
        <v>To confirm</v>
      </c>
      <c r="AA634" s="127" t="str">
        <f>IF(MasterFees[[#This Row],[Pricing Basis]]="Fixed fee schedule","Yes","No")</f>
        <v>No</v>
      </c>
      <c r="AB634" s="127" t="str">
        <f>IF(OR(MasterFees[[#This Row],[Fee Basis]]="Add-on",MasterFees[[#This Row],[Fee Basis]]="Time band",MasterFees[[#This Row],[Fee Basis]]="Other"),MasterFees[[#This Row],[Fee Basis]],"Base")</f>
        <v>Base</v>
      </c>
      <c r="AC634" s="141" t="str">
        <f>IF(MasterFees[[#This Row],[Fixed Fee?]]="Yes",MasterFees[[#This Row],[Fee Excl. GST]],"")</f>
        <v/>
      </c>
    </row>
    <row r="635" spans="1:29" x14ac:dyDescent="0.2">
      <c r="A635" s="67" t="s">
        <v>2294</v>
      </c>
      <c r="B635" s="31">
        <f>IF(MasterFees[[#This Row],[RVG Code]]="","",_xlfn.XLOOKUP(MasterFees[[#This Row],[RVG Code]],RVGCodes[Code],RVGCodes[Base Units],"Code not found"))</f>
        <v>8</v>
      </c>
      <c r="C63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3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Lumbar</v>
      </c>
      <c r="E635" s="125" t="s">
        <v>2608</v>
      </c>
      <c r="F635" s="48" t="s">
        <v>2629</v>
      </c>
      <c r="G635" s="30" t="s">
        <v>2295</v>
      </c>
      <c r="H635" s="37" t="s">
        <v>2630</v>
      </c>
      <c r="I635" s="37" t="s">
        <v>2294</v>
      </c>
      <c r="J635" s="37" t="s">
        <v>1096</v>
      </c>
      <c r="K635" s="32">
        <v>8</v>
      </c>
      <c r="L635" s="32"/>
      <c r="M635" s="32"/>
      <c r="N635" s="32">
        <v>8</v>
      </c>
      <c r="O635" s="33"/>
      <c r="P635" s="38"/>
      <c r="Q635" s="34" t="str">
        <f>IF(MasterFees[[#This Row],[GST Basis]]="Excl",MasterFees[[#This Row],[Fee as Printed]],IF(MasterFees[[#This Row],[GST Basis]]="Incl",MasterFees[[#This Row],[Fee as Printed]]/(1+GST_Rate),""))</f>
        <v/>
      </c>
      <c r="R635" s="34" t="str">
        <f>IF(MasterFees[[#This Row],[GST Basis]]="Incl",MasterFees[[#This Row],[Fee as Printed]],IF(MasterFees[[#This Row],[GST Basis]]="Excl",MasterFees[[#This Row],[Fee as Printed]]*(1+GST_Rate),""))</f>
        <v/>
      </c>
      <c r="S635" s="35">
        <f>IF(N(MasterFees[[#This Row],[Total Units]])=0,"",MasterFees[[#This Row],[Fee as Printed]]/MasterFees[[#This Row],[Total Units]])</f>
        <v>0</v>
      </c>
      <c r="T635" s="36"/>
      <c r="U635" s="39" t="s">
        <v>1016</v>
      </c>
      <c r="V635" s="39" t="s">
        <v>2654</v>
      </c>
      <c r="W635" s="30" t="s">
        <v>2655</v>
      </c>
      <c r="X635" s="73" t="s">
        <v>3796</v>
      </c>
      <c r="Y635" s="127" t="str">
        <f>_xlfn.XLOOKUP(MasterFees[[#This Row],[Provider / Payer]],Contracts[Contract Name],Contracts[Contract ID],"No contract")</f>
        <v>CON-10</v>
      </c>
      <c r="Z635" s="127" t="str">
        <f>_xlfn.XLOOKUP(MasterFees[[#This Row],[Provider / Payer]],Contracts[Contract Name],Contracts[Pricing Basis],"To confirm")</f>
        <v>Reference – units only</v>
      </c>
      <c r="AA635" s="127" t="str">
        <f>IF(MasterFees[[#This Row],[Pricing Basis]]="Fixed fee schedule","Yes","No")</f>
        <v>No</v>
      </c>
      <c r="AB635" s="127" t="str">
        <f>IF(OR(MasterFees[[#This Row],[Fee Basis]]="Add-on",MasterFees[[#This Row],[Fee Basis]]="Time band",MasterFees[[#This Row],[Fee Basis]]="Other"),MasterFees[[#This Row],[Fee Basis]],"Base")</f>
        <v>Base</v>
      </c>
      <c r="AC635" s="141" t="str">
        <f>IF(MasterFees[[#This Row],[Fixed Fee?]]="Yes",MasterFees[[#This Row],[Fee Excl. GST]],"")</f>
        <v/>
      </c>
    </row>
    <row r="636" spans="1:29" x14ac:dyDescent="0.2">
      <c r="A636" s="67" t="s">
        <v>2298</v>
      </c>
      <c r="B636" s="31">
        <f>IF(MasterFees[[#This Row],[RVG Code]]="","",_xlfn.XLOOKUP(MasterFees[[#This Row],[RVG Code]],RVGCodes[Code],RVGCodes[Base Units],"Code not found"))</f>
        <v>8</v>
      </c>
      <c r="C63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3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Lumbar</v>
      </c>
      <c r="E636" s="125" t="s">
        <v>2584</v>
      </c>
      <c r="F636" s="48" t="s">
        <v>2567</v>
      </c>
      <c r="G636" s="30" t="s">
        <v>277</v>
      </c>
      <c r="H636" s="37" t="s">
        <v>1095</v>
      </c>
      <c r="I636" s="37"/>
      <c r="J636" s="37" t="s">
        <v>1096</v>
      </c>
      <c r="K636" s="32">
        <v>6</v>
      </c>
      <c r="L636" s="32">
        <v>8</v>
      </c>
      <c r="M636" s="32">
        <v>0</v>
      </c>
      <c r="N636" s="32">
        <v>14</v>
      </c>
      <c r="O636" s="33">
        <v>770</v>
      </c>
      <c r="P636" s="38" t="s">
        <v>1014</v>
      </c>
      <c r="Q636" s="34" t="str">
        <f>IF(MasterFees[[#This Row],[GST Basis]]="Excl",MasterFees[[#This Row],[Fee as Printed]],IF(MasterFees[[#This Row],[GST Basis]]="Incl",MasterFees[[#This Row],[Fee as Printed]]/(1+GST_Rate),""))</f>
        <v/>
      </c>
      <c r="R636" s="34" t="str">
        <f>IF(MasterFees[[#This Row],[GST Basis]]="Incl",MasterFees[[#This Row],[Fee as Printed]],IF(MasterFees[[#This Row],[GST Basis]]="Excl",MasterFees[[#This Row],[Fee as Printed]]*(1+GST_Rate),""))</f>
        <v/>
      </c>
      <c r="S636" s="35">
        <f>IF(N(MasterFees[[#This Row],[Total Units]])=0,"",MasterFees[[#This Row],[Fee as Printed]]/MasterFees[[#This Row],[Total Units]])</f>
        <v>55</v>
      </c>
      <c r="T636" s="36"/>
      <c r="U636" s="39" t="s">
        <v>1012</v>
      </c>
      <c r="V636" s="39" t="s">
        <v>1371</v>
      </c>
      <c r="W636" s="30"/>
      <c r="X636" s="73" t="s">
        <v>3162</v>
      </c>
      <c r="Y636" s="127" t="str">
        <f>_xlfn.XLOOKUP(MasterFees[[#This Row],[Provider / Payer]],Contracts[Contract Name],Contracts[Contract ID],"No contract")</f>
        <v>CON-01</v>
      </c>
      <c r="Z636" s="127" t="str">
        <f>_xlfn.XLOOKUP(MasterFees[[#This Row],[Provider / Payer]],Contracts[Contract Name],Contracts[Pricing Basis],"To confirm")</f>
        <v>To confirm</v>
      </c>
      <c r="AA636" s="127" t="str">
        <f>IF(MasterFees[[#This Row],[Pricing Basis]]="Fixed fee schedule","Yes","No")</f>
        <v>No</v>
      </c>
      <c r="AB636" s="127" t="str">
        <f>IF(OR(MasterFees[[#This Row],[Fee Basis]]="Add-on",MasterFees[[#This Row],[Fee Basis]]="Time band",MasterFees[[#This Row],[Fee Basis]]="Other"),MasterFees[[#This Row],[Fee Basis]],"Base")</f>
        <v>Base</v>
      </c>
      <c r="AC636" s="141" t="str">
        <f>IF(MasterFees[[#This Row],[Fixed Fee?]]="Yes",MasterFees[[#This Row],[Fee Excl. GST]],"")</f>
        <v/>
      </c>
    </row>
    <row r="637" spans="1:29" x14ac:dyDescent="0.2">
      <c r="A637" s="67" t="s">
        <v>2304</v>
      </c>
      <c r="B637" s="31">
        <f>IF(MasterFees[[#This Row],[RVG Code]]="","",_xlfn.XLOOKUP(MasterFees[[#This Row],[RVG Code]],RVGCodes[Code],RVGCodes[Base Units],"Code not found"))</f>
        <v>12</v>
      </c>
      <c r="C63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3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Lumbar</v>
      </c>
      <c r="E637" s="125" t="s">
        <v>2578</v>
      </c>
      <c r="F637" s="48" t="s">
        <v>2567</v>
      </c>
      <c r="G637" s="30" t="s">
        <v>379</v>
      </c>
      <c r="H637" s="37" t="s">
        <v>1095</v>
      </c>
      <c r="I637" s="37"/>
      <c r="J637" s="37" t="s">
        <v>1096</v>
      </c>
      <c r="K637" s="32">
        <v>12</v>
      </c>
      <c r="L637" s="32">
        <v>20</v>
      </c>
      <c r="M637" s="32">
        <v>0</v>
      </c>
      <c r="N637" s="32">
        <v>32</v>
      </c>
      <c r="O637" s="33">
        <v>1760</v>
      </c>
      <c r="P637" s="38" t="s">
        <v>1014</v>
      </c>
      <c r="Q637" s="34" t="str">
        <f>IF(MasterFees[[#This Row],[GST Basis]]="Excl",MasterFees[[#This Row],[Fee as Printed]],IF(MasterFees[[#This Row],[GST Basis]]="Incl",MasterFees[[#This Row],[Fee as Printed]]/(1+GST_Rate),""))</f>
        <v/>
      </c>
      <c r="R637" s="34" t="str">
        <f>IF(MasterFees[[#This Row],[GST Basis]]="Incl",MasterFees[[#This Row],[Fee as Printed]],IF(MasterFees[[#This Row],[GST Basis]]="Excl",MasterFees[[#This Row],[Fee as Printed]]*(1+GST_Rate),""))</f>
        <v/>
      </c>
      <c r="S637" s="35">
        <f>IF(N(MasterFees[[#This Row],[Total Units]])=0,"",MasterFees[[#This Row],[Fee as Printed]]/MasterFees[[#This Row],[Total Units]])</f>
        <v>55</v>
      </c>
      <c r="T637" s="36"/>
      <c r="U637" s="39" t="s">
        <v>1012</v>
      </c>
      <c r="V637" s="39" t="s">
        <v>1474</v>
      </c>
      <c r="W637" s="30"/>
      <c r="X637" s="73" t="s">
        <v>3266</v>
      </c>
      <c r="Y637" s="127" t="str">
        <f>_xlfn.XLOOKUP(MasterFees[[#This Row],[Provider / Payer]],Contracts[Contract Name],Contracts[Contract ID],"No contract")</f>
        <v>CON-01</v>
      </c>
      <c r="Z637" s="127" t="str">
        <f>_xlfn.XLOOKUP(MasterFees[[#This Row],[Provider / Payer]],Contracts[Contract Name],Contracts[Pricing Basis],"To confirm")</f>
        <v>To confirm</v>
      </c>
      <c r="AA637" s="127" t="str">
        <f>IF(MasterFees[[#This Row],[Pricing Basis]]="Fixed fee schedule","Yes","No")</f>
        <v>No</v>
      </c>
      <c r="AB637" s="127" t="str">
        <f>IF(OR(MasterFees[[#This Row],[Fee Basis]]="Add-on",MasterFees[[#This Row],[Fee Basis]]="Time band",MasterFees[[#This Row],[Fee Basis]]="Other"),MasterFees[[#This Row],[Fee Basis]],"Base")</f>
        <v>Base</v>
      </c>
      <c r="AC637" s="141" t="str">
        <f>IF(MasterFees[[#This Row],[Fixed Fee?]]="Yes",MasterFees[[#This Row],[Fee Excl. GST]],"")</f>
        <v/>
      </c>
    </row>
    <row r="638" spans="1:29" x14ac:dyDescent="0.2">
      <c r="A638" s="67" t="s">
        <v>2294</v>
      </c>
      <c r="B638" s="31">
        <f>IF(MasterFees[[#This Row],[RVG Code]]="","",_xlfn.XLOOKUP(MasterFees[[#This Row],[RVG Code]],RVGCodes[Code],RVGCodes[Base Units],"Code not found"))</f>
        <v>8</v>
      </c>
      <c r="C63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3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Lumbar</v>
      </c>
      <c r="E638" s="125" t="s">
        <v>2608</v>
      </c>
      <c r="F638" s="48" t="s">
        <v>2567</v>
      </c>
      <c r="G638" s="30" t="s">
        <v>444</v>
      </c>
      <c r="H638" s="37" t="s">
        <v>1095</v>
      </c>
      <c r="I638" s="37"/>
      <c r="J638" s="37" t="s">
        <v>1096</v>
      </c>
      <c r="K638" s="32">
        <v>8</v>
      </c>
      <c r="L638" s="32">
        <v>9</v>
      </c>
      <c r="M638" s="32">
        <v>0.5</v>
      </c>
      <c r="N638" s="32">
        <v>17.5</v>
      </c>
      <c r="O638" s="33">
        <v>962.5</v>
      </c>
      <c r="P638" s="38" t="s">
        <v>1014</v>
      </c>
      <c r="Q638" s="34" t="str">
        <f>IF(MasterFees[[#This Row],[GST Basis]]="Excl",MasterFees[[#This Row],[Fee as Printed]],IF(MasterFees[[#This Row],[GST Basis]]="Incl",MasterFees[[#This Row],[Fee as Printed]]/(1+GST_Rate),""))</f>
        <v/>
      </c>
      <c r="R638" s="34" t="str">
        <f>IF(MasterFees[[#This Row],[GST Basis]]="Incl",MasterFees[[#This Row],[Fee as Printed]],IF(MasterFees[[#This Row],[GST Basis]]="Excl",MasterFees[[#This Row],[Fee as Printed]]*(1+GST_Rate),""))</f>
        <v/>
      </c>
      <c r="S638" s="35">
        <f>IF(N(MasterFees[[#This Row],[Total Units]])=0,"",MasterFees[[#This Row],[Fee as Printed]]/MasterFees[[#This Row],[Total Units]])</f>
        <v>55</v>
      </c>
      <c r="T638" s="36"/>
      <c r="U638" s="39" t="s">
        <v>1012</v>
      </c>
      <c r="V638" s="39" t="s">
        <v>1539</v>
      </c>
      <c r="W638" s="30"/>
      <c r="X638" s="73" t="s">
        <v>3332</v>
      </c>
      <c r="Y638" s="127" t="str">
        <f>_xlfn.XLOOKUP(MasterFees[[#This Row],[Provider / Payer]],Contracts[Contract Name],Contracts[Contract ID],"No contract")</f>
        <v>CON-01</v>
      </c>
      <c r="Z638" s="127" t="str">
        <f>_xlfn.XLOOKUP(MasterFees[[#This Row],[Provider / Payer]],Contracts[Contract Name],Contracts[Pricing Basis],"To confirm")</f>
        <v>To confirm</v>
      </c>
      <c r="AA638" s="127" t="str">
        <f>IF(MasterFees[[#This Row],[Pricing Basis]]="Fixed fee schedule","Yes","No")</f>
        <v>No</v>
      </c>
      <c r="AB638" s="127" t="str">
        <f>IF(OR(MasterFees[[#This Row],[Fee Basis]]="Add-on",MasterFees[[#This Row],[Fee Basis]]="Time band",MasterFees[[#This Row],[Fee Basis]]="Other"),MasterFees[[#This Row],[Fee Basis]],"Base")</f>
        <v>Base</v>
      </c>
      <c r="AC638" s="141" t="str">
        <f>IF(MasterFees[[#This Row],[Fixed Fee?]]="Yes",MasterFees[[#This Row],[Fee Excl. GST]],"")</f>
        <v/>
      </c>
    </row>
    <row r="639" spans="1:29" x14ac:dyDescent="0.2">
      <c r="A639" s="67" t="s">
        <v>2294</v>
      </c>
      <c r="B639" s="31">
        <f>IF(MasterFees[[#This Row],[RVG Code]]="","",_xlfn.XLOOKUP(MasterFees[[#This Row],[RVG Code]],RVGCodes[Code],RVGCodes[Base Units],"Code not found"))</f>
        <v>8</v>
      </c>
      <c r="C63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3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Lumbar</v>
      </c>
      <c r="E639" s="125" t="s">
        <v>2608</v>
      </c>
      <c r="F639" s="48" t="s">
        <v>2569</v>
      </c>
      <c r="G639" s="30" t="s">
        <v>450</v>
      </c>
      <c r="H639" s="37" t="s">
        <v>1095</v>
      </c>
      <c r="I639" s="37"/>
      <c r="J639" s="37" t="s">
        <v>1096</v>
      </c>
      <c r="K639" s="32">
        <v>8</v>
      </c>
      <c r="L639" s="32">
        <v>7</v>
      </c>
      <c r="M639" s="32">
        <v>0</v>
      </c>
      <c r="N639" s="32">
        <v>15</v>
      </c>
      <c r="O639" s="33">
        <v>825</v>
      </c>
      <c r="P639" s="38" t="s">
        <v>1014</v>
      </c>
      <c r="Q639" s="34" t="str">
        <f>IF(MasterFees[[#This Row],[GST Basis]]="Excl",MasterFees[[#This Row],[Fee as Printed]],IF(MasterFees[[#This Row],[GST Basis]]="Incl",MasterFees[[#This Row],[Fee as Printed]]/(1+GST_Rate),""))</f>
        <v/>
      </c>
      <c r="R639" s="34" t="str">
        <f>IF(MasterFees[[#This Row],[GST Basis]]="Incl",MasterFees[[#This Row],[Fee as Printed]],IF(MasterFees[[#This Row],[GST Basis]]="Excl",MasterFees[[#This Row],[Fee as Printed]]*(1+GST_Rate),""))</f>
        <v/>
      </c>
      <c r="S639" s="35">
        <f>IF(N(MasterFees[[#This Row],[Total Units]])=0,"",MasterFees[[#This Row],[Fee as Printed]]/MasterFees[[#This Row],[Total Units]])</f>
        <v>55</v>
      </c>
      <c r="T639" s="36"/>
      <c r="U639" s="39" t="s">
        <v>1012</v>
      </c>
      <c r="V639" s="39" t="s">
        <v>1545</v>
      </c>
      <c r="W639" s="30"/>
      <c r="X639" s="73" t="s">
        <v>3338</v>
      </c>
      <c r="Y639" s="127" t="str">
        <f>_xlfn.XLOOKUP(MasterFees[[#This Row],[Provider / Payer]],Contracts[Contract Name],Contracts[Contract ID],"No contract")</f>
        <v>CON-01</v>
      </c>
      <c r="Z639" s="127" t="str">
        <f>_xlfn.XLOOKUP(MasterFees[[#This Row],[Provider / Payer]],Contracts[Contract Name],Contracts[Pricing Basis],"To confirm")</f>
        <v>To confirm</v>
      </c>
      <c r="AA639" s="127" t="str">
        <f>IF(MasterFees[[#This Row],[Pricing Basis]]="Fixed fee schedule","Yes","No")</f>
        <v>No</v>
      </c>
      <c r="AB639" s="127" t="str">
        <f>IF(OR(MasterFees[[#This Row],[Fee Basis]]="Add-on",MasterFees[[#This Row],[Fee Basis]]="Time band",MasterFees[[#This Row],[Fee Basis]]="Other"),MasterFees[[#This Row],[Fee Basis]],"Base")</f>
        <v>Base</v>
      </c>
      <c r="AC639" s="141" t="str">
        <f>IF(MasterFees[[#This Row],[Fixed Fee?]]="Yes",MasterFees[[#This Row],[Fee Excl. GST]],"")</f>
        <v/>
      </c>
    </row>
    <row r="640" spans="1:29" x14ac:dyDescent="0.2">
      <c r="A640" s="67" t="s">
        <v>2294</v>
      </c>
      <c r="B640" s="31">
        <f>IF(MasterFees[[#This Row],[RVG Code]]="","",_xlfn.XLOOKUP(MasterFees[[#This Row],[RVG Code]],RVGCodes[Code],RVGCodes[Base Units],"Code not found"))</f>
        <v>8</v>
      </c>
      <c r="C64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4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Lumbar</v>
      </c>
      <c r="E640" s="125" t="s">
        <v>2608</v>
      </c>
      <c r="F640" s="48" t="s">
        <v>2569</v>
      </c>
      <c r="G640" s="30" t="s">
        <v>451</v>
      </c>
      <c r="H640" s="37" t="s">
        <v>1095</v>
      </c>
      <c r="I640" s="37"/>
      <c r="J640" s="37" t="s">
        <v>1096</v>
      </c>
      <c r="K640" s="32">
        <v>8</v>
      </c>
      <c r="L640" s="32">
        <v>11</v>
      </c>
      <c r="M640" s="32">
        <v>0</v>
      </c>
      <c r="N640" s="32">
        <v>19</v>
      </c>
      <c r="O640" s="33">
        <v>1045</v>
      </c>
      <c r="P640" s="38" t="s">
        <v>1014</v>
      </c>
      <c r="Q640" s="34" t="str">
        <f>IF(MasterFees[[#This Row],[GST Basis]]="Excl",MasterFees[[#This Row],[Fee as Printed]],IF(MasterFees[[#This Row],[GST Basis]]="Incl",MasterFees[[#This Row],[Fee as Printed]]/(1+GST_Rate),""))</f>
        <v/>
      </c>
      <c r="R640" s="34" t="str">
        <f>IF(MasterFees[[#This Row],[GST Basis]]="Incl",MasterFees[[#This Row],[Fee as Printed]],IF(MasterFees[[#This Row],[GST Basis]]="Excl",MasterFees[[#This Row],[Fee as Printed]]*(1+GST_Rate),""))</f>
        <v/>
      </c>
      <c r="S640" s="35">
        <f>IF(N(MasterFees[[#This Row],[Total Units]])=0,"",MasterFees[[#This Row],[Fee as Printed]]/MasterFees[[#This Row],[Total Units]])</f>
        <v>55</v>
      </c>
      <c r="T640" s="36"/>
      <c r="U640" s="39" t="s">
        <v>1012</v>
      </c>
      <c r="V640" s="39" t="s">
        <v>1546</v>
      </c>
      <c r="W640" s="30"/>
      <c r="X640" s="73" t="s">
        <v>3339</v>
      </c>
      <c r="Y640" s="127" t="str">
        <f>_xlfn.XLOOKUP(MasterFees[[#This Row],[Provider / Payer]],Contracts[Contract Name],Contracts[Contract ID],"No contract")</f>
        <v>CON-01</v>
      </c>
      <c r="Z640" s="127" t="str">
        <f>_xlfn.XLOOKUP(MasterFees[[#This Row],[Provider / Payer]],Contracts[Contract Name],Contracts[Pricing Basis],"To confirm")</f>
        <v>To confirm</v>
      </c>
      <c r="AA640" s="127" t="str">
        <f>IF(MasterFees[[#This Row],[Pricing Basis]]="Fixed fee schedule","Yes","No")</f>
        <v>No</v>
      </c>
      <c r="AB640" s="127" t="str">
        <f>IF(OR(MasterFees[[#This Row],[Fee Basis]]="Add-on",MasterFees[[#This Row],[Fee Basis]]="Time band",MasterFees[[#This Row],[Fee Basis]]="Other"),MasterFees[[#This Row],[Fee Basis]],"Base")</f>
        <v>Base</v>
      </c>
      <c r="AC640" s="141" t="str">
        <f>IF(MasterFees[[#This Row],[Fixed Fee?]]="Yes",MasterFees[[#This Row],[Fee Excl. GST]],"")</f>
        <v/>
      </c>
    </row>
    <row r="641" spans="1:29" x14ac:dyDescent="0.2">
      <c r="A641" s="67" t="s">
        <v>2298</v>
      </c>
      <c r="B641" s="31">
        <f>IF(MasterFees[[#This Row],[RVG Code]]="","",_xlfn.XLOOKUP(MasterFees[[#This Row],[RVG Code]],RVGCodes[Code],RVGCodes[Base Units],"Code not found"))</f>
        <v>8</v>
      </c>
      <c r="C64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4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Lumbar</v>
      </c>
      <c r="E641" s="125" t="s">
        <v>2584</v>
      </c>
      <c r="F641" s="48" t="s">
        <v>2569</v>
      </c>
      <c r="G641" s="30" t="s">
        <v>452</v>
      </c>
      <c r="H641" s="37" t="s">
        <v>1095</v>
      </c>
      <c r="I641" s="37"/>
      <c r="J641" s="37" t="s">
        <v>1096</v>
      </c>
      <c r="K641" s="32">
        <v>8.9</v>
      </c>
      <c r="L641" s="32">
        <v>9.4</v>
      </c>
      <c r="M641" s="32">
        <v>0.6</v>
      </c>
      <c r="N641" s="32">
        <v>18.899999999999999</v>
      </c>
      <c r="O641" s="33">
        <v>1037.8499999999999</v>
      </c>
      <c r="P641" s="38" t="s">
        <v>1014</v>
      </c>
      <c r="Q641" s="34" t="str">
        <f>IF(MasterFees[[#This Row],[GST Basis]]="Excl",MasterFees[[#This Row],[Fee as Printed]],IF(MasterFees[[#This Row],[GST Basis]]="Incl",MasterFees[[#This Row],[Fee as Printed]]/(1+GST_Rate),""))</f>
        <v/>
      </c>
      <c r="R641" s="34" t="str">
        <f>IF(MasterFees[[#This Row],[GST Basis]]="Incl",MasterFees[[#This Row],[Fee as Printed]],IF(MasterFees[[#This Row],[GST Basis]]="Excl",MasterFees[[#This Row],[Fee as Printed]]*(1+GST_Rate),""))</f>
        <v/>
      </c>
      <c r="S641" s="35">
        <f>IF(N(MasterFees[[#This Row],[Total Units]])=0,"",MasterFees[[#This Row],[Fee as Printed]]/MasterFees[[#This Row],[Total Units]])</f>
        <v>54.912698412698411</v>
      </c>
      <c r="T641" s="36"/>
      <c r="U641" s="39" t="s">
        <v>1012</v>
      </c>
      <c r="V641" s="39" t="s">
        <v>1547</v>
      </c>
      <c r="W641" s="30"/>
      <c r="X641" s="73" t="s">
        <v>3340</v>
      </c>
      <c r="Y641" s="127" t="str">
        <f>_xlfn.XLOOKUP(MasterFees[[#This Row],[Provider / Payer]],Contracts[Contract Name],Contracts[Contract ID],"No contract")</f>
        <v>CON-01</v>
      </c>
      <c r="Z641" s="127" t="str">
        <f>_xlfn.XLOOKUP(MasterFees[[#This Row],[Provider / Payer]],Contracts[Contract Name],Contracts[Pricing Basis],"To confirm")</f>
        <v>To confirm</v>
      </c>
      <c r="AA641" s="127" t="str">
        <f>IF(MasterFees[[#This Row],[Pricing Basis]]="Fixed fee schedule","Yes","No")</f>
        <v>No</v>
      </c>
      <c r="AB641" s="127" t="str">
        <f>IF(OR(MasterFees[[#This Row],[Fee Basis]]="Add-on",MasterFees[[#This Row],[Fee Basis]]="Time band",MasterFees[[#This Row],[Fee Basis]]="Other"),MasterFees[[#This Row],[Fee Basis]],"Base")</f>
        <v>Base</v>
      </c>
      <c r="AC641" s="141" t="str">
        <f>IF(MasterFees[[#This Row],[Fixed Fee?]]="Yes",MasterFees[[#This Row],[Fee Excl. GST]],"")</f>
        <v/>
      </c>
    </row>
    <row r="642" spans="1:29" x14ac:dyDescent="0.2">
      <c r="A642" s="67" t="s">
        <v>2294</v>
      </c>
      <c r="B642" s="31">
        <f>IF(MasterFees[[#This Row],[RVG Code]]="","",_xlfn.XLOOKUP(MasterFees[[#This Row],[RVG Code]],RVGCodes[Code],RVGCodes[Base Units],"Code not found"))</f>
        <v>8</v>
      </c>
      <c r="C64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4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Lumbar</v>
      </c>
      <c r="E642" s="125" t="s">
        <v>2608</v>
      </c>
      <c r="F642" s="48" t="s">
        <v>2569</v>
      </c>
      <c r="G642" s="30" t="s">
        <v>453</v>
      </c>
      <c r="H642" s="37" t="s">
        <v>1095</v>
      </c>
      <c r="I642" s="37"/>
      <c r="J642" s="37" t="s">
        <v>1096</v>
      </c>
      <c r="K642" s="32">
        <v>8</v>
      </c>
      <c r="L642" s="32">
        <v>7.2</v>
      </c>
      <c r="M642" s="32">
        <v>0.8</v>
      </c>
      <c r="N642" s="32">
        <v>16</v>
      </c>
      <c r="O642" s="33">
        <v>880</v>
      </c>
      <c r="P642" s="38" t="s">
        <v>1014</v>
      </c>
      <c r="Q642" s="34" t="str">
        <f>IF(MasterFees[[#This Row],[GST Basis]]="Excl",MasterFees[[#This Row],[Fee as Printed]],IF(MasterFees[[#This Row],[GST Basis]]="Incl",MasterFees[[#This Row],[Fee as Printed]]/(1+GST_Rate),""))</f>
        <v/>
      </c>
      <c r="R642" s="34" t="str">
        <f>IF(MasterFees[[#This Row],[GST Basis]]="Incl",MasterFees[[#This Row],[Fee as Printed]],IF(MasterFees[[#This Row],[GST Basis]]="Excl",MasterFees[[#This Row],[Fee as Printed]]*(1+GST_Rate),""))</f>
        <v/>
      </c>
      <c r="S642" s="35">
        <f>IF(N(MasterFees[[#This Row],[Total Units]])=0,"",MasterFees[[#This Row],[Fee as Printed]]/MasterFees[[#This Row],[Total Units]])</f>
        <v>55</v>
      </c>
      <c r="T642" s="36"/>
      <c r="U642" s="39" t="s">
        <v>1012</v>
      </c>
      <c r="V642" s="39" t="s">
        <v>1548</v>
      </c>
      <c r="W642" s="30"/>
      <c r="X642" s="73" t="s">
        <v>3341</v>
      </c>
      <c r="Y642" s="127" t="str">
        <f>_xlfn.XLOOKUP(MasterFees[[#This Row],[Provider / Payer]],Contracts[Contract Name],Contracts[Contract ID],"No contract")</f>
        <v>CON-01</v>
      </c>
      <c r="Z642" s="127" t="str">
        <f>_xlfn.XLOOKUP(MasterFees[[#This Row],[Provider / Payer]],Contracts[Contract Name],Contracts[Pricing Basis],"To confirm")</f>
        <v>To confirm</v>
      </c>
      <c r="AA642" s="127" t="str">
        <f>IF(MasterFees[[#This Row],[Pricing Basis]]="Fixed fee schedule","Yes","No")</f>
        <v>No</v>
      </c>
      <c r="AB642" s="127" t="str">
        <f>IF(OR(MasterFees[[#This Row],[Fee Basis]]="Add-on",MasterFees[[#This Row],[Fee Basis]]="Time band",MasterFees[[#This Row],[Fee Basis]]="Other"),MasterFees[[#This Row],[Fee Basis]],"Base")</f>
        <v>Base</v>
      </c>
      <c r="AC642" s="141" t="str">
        <f>IF(MasterFees[[#This Row],[Fixed Fee?]]="Yes",MasterFees[[#This Row],[Fee Excl. GST]],"")</f>
        <v/>
      </c>
    </row>
    <row r="643" spans="1:29" x14ac:dyDescent="0.2">
      <c r="A643" s="67" t="s">
        <v>2294</v>
      </c>
      <c r="B643" s="31">
        <f>IF(MasterFees[[#This Row],[RVG Code]]="","",_xlfn.XLOOKUP(MasterFees[[#This Row],[RVG Code]],RVGCodes[Code],RVGCodes[Base Units],"Code not found"))</f>
        <v>8</v>
      </c>
      <c r="C64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4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Lumbar</v>
      </c>
      <c r="E643" s="125" t="s">
        <v>2608</v>
      </c>
      <c r="F643" s="48" t="s">
        <v>2569</v>
      </c>
      <c r="G643" s="30" t="s">
        <v>457</v>
      </c>
      <c r="H643" s="37" t="s">
        <v>1095</v>
      </c>
      <c r="I643" s="37"/>
      <c r="J643" s="37" t="s">
        <v>1096</v>
      </c>
      <c r="K643" s="32">
        <v>8</v>
      </c>
      <c r="L643" s="32">
        <v>9.3000000000000007</v>
      </c>
      <c r="M643" s="32">
        <v>1.1000000000000001</v>
      </c>
      <c r="N643" s="32">
        <v>18.399999999999999</v>
      </c>
      <c r="O643" s="33">
        <v>1011.45</v>
      </c>
      <c r="P643" s="38" t="s">
        <v>1014</v>
      </c>
      <c r="Q643" s="34" t="str">
        <f>IF(MasterFees[[#This Row],[GST Basis]]="Excl",MasterFees[[#This Row],[Fee as Printed]],IF(MasterFees[[#This Row],[GST Basis]]="Incl",MasterFees[[#This Row],[Fee as Printed]]/(1+GST_Rate),""))</f>
        <v/>
      </c>
      <c r="R643" s="34" t="str">
        <f>IF(MasterFees[[#This Row],[GST Basis]]="Incl",MasterFees[[#This Row],[Fee as Printed]],IF(MasterFees[[#This Row],[GST Basis]]="Excl",MasterFees[[#This Row],[Fee as Printed]]*(1+GST_Rate),""))</f>
        <v/>
      </c>
      <c r="S643" s="35">
        <f>IF(N(MasterFees[[#This Row],[Total Units]])=0,"",MasterFees[[#This Row],[Fee as Printed]]/MasterFees[[#This Row],[Total Units]])</f>
        <v>54.970108695652179</v>
      </c>
      <c r="T643" s="36"/>
      <c r="U643" s="39" t="s">
        <v>1012</v>
      </c>
      <c r="V643" s="39" t="s">
        <v>1552</v>
      </c>
      <c r="W643" s="30"/>
      <c r="X643" s="73" t="s">
        <v>3345</v>
      </c>
      <c r="Y643" s="127" t="str">
        <f>_xlfn.XLOOKUP(MasterFees[[#This Row],[Provider / Payer]],Contracts[Contract Name],Contracts[Contract ID],"No contract")</f>
        <v>CON-01</v>
      </c>
      <c r="Z643" s="127" t="str">
        <f>_xlfn.XLOOKUP(MasterFees[[#This Row],[Provider / Payer]],Contracts[Contract Name],Contracts[Pricing Basis],"To confirm")</f>
        <v>To confirm</v>
      </c>
      <c r="AA643" s="127" t="str">
        <f>IF(MasterFees[[#This Row],[Pricing Basis]]="Fixed fee schedule","Yes","No")</f>
        <v>No</v>
      </c>
      <c r="AB643" s="127" t="str">
        <f>IF(OR(MasterFees[[#This Row],[Fee Basis]]="Add-on",MasterFees[[#This Row],[Fee Basis]]="Time band",MasterFees[[#This Row],[Fee Basis]]="Other"),MasterFees[[#This Row],[Fee Basis]],"Base")</f>
        <v>Base</v>
      </c>
      <c r="AC643" s="141" t="str">
        <f>IF(MasterFees[[#This Row],[Fixed Fee?]]="Yes",MasterFees[[#This Row],[Fee Excl. GST]],"")</f>
        <v/>
      </c>
    </row>
    <row r="644" spans="1:29" x14ac:dyDescent="0.2">
      <c r="A644" s="67" t="s">
        <v>2298</v>
      </c>
      <c r="B644" s="31">
        <f>IF(MasterFees[[#This Row],[RVG Code]]="","",_xlfn.XLOOKUP(MasterFees[[#This Row],[RVG Code]],RVGCodes[Code],RVGCodes[Base Units],"Code not found"))</f>
        <v>8</v>
      </c>
      <c r="C64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4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Lumbar</v>
      </c>
      <c r="E644" s="125" t="s">
        <v>2584</v>
      </c>
      <c r="F644" s="48" t="s">
        <v>2567</v>
      </c>
      <c r="G644" s="30" t="s">
        <v>510</v>
      </c>
      <c r="H644" s="37" t="s">
        <v>1095</v>
      </c>
      <c r="I644" s="37"/>
      <c r="J644" s="37" t="s">
        <v>1096</v>
      </c>
      <c r="K644" s="32">
        <v>6</v>
      </c>
      <c r="L644" s="32">
        <v>7.3</v>
      </c>
      <c r="M644" s="32">
        <v>0.2</v>
      </c>
      <c r="N644" s="32">
        <v>13.5</v>
      </c>
      <c r="O644" s="33">
        <v>742.5</v>
      </c>
      <c r="P644" s="38" t="s">
        <v>1014</v>
      </c>
      <c r="Q644" s="34" t="str">
        <f>IF(MasterFees[[#This Row],[GST Basis]]="Excl",MasterFees[[#This Row],[Fee as Printed]],IF(MasterFees[[#This Row],[GST Basis]]="Incl",MasterFees[[#This Row],[Fee as Printed]]/(1+GST_Rate),""))</f>
        <v/>
      </c>
      <c r="R644" s="34" t="str">
        <f>IF(MasterFees[[#This Row],[GST Basis]]="Incl",MasterFees[[#This Row],[Fee as Printed]],IF(MasterFees[[#This Row],[GST Basis]]="Excl",MasterFees[[#This Row],[Fee as Printed]]*(1+GST_Rate),""))</f>
        <v/>
      </c>
      <c r="S644" s="35">
        <f>IF(N(MasterFees[[#This Row],[Total Units]])=0,"",MasterFees[[#This Row],[Fee as Printed]]/MasterFees[[#This Row],[Total Units]])</f>
        <v>55</v>
      </c>
      <c r="T644" s="36"/>
      <c r="U644" s="39" t="s">
        <v>1012</v>
      </c>
      <c r="V644" s="39" t="s">
        <v>1605</v>
      </c>
      <c r="W644" s="30"/>
      <c r="X644" s="73" t="s">
        <v>3399</v>
      </c>
      <c r="Y644" s="127" t="str">
        <f>_xlfn.XLOOKUP(MasterFees[[#This Row],[Provider / Payer]],Contracts[Contract Name],Contracts[Contract ID],"No contract")</f>
        <v>CON-01</v>
      </c>
      <c r="Z644" s="127" t="str">
        <f>_xlfn.XLOOKUP(MasterFees[[#This Row],[Provider / Payer]],Contracts[Contract Name],Contracts[Pricing Basis],"To confirm")</f>
        <v>To confirm</v>
      </c>
      <c r="AA644" s="127" t="str">
        <f>IF(MasterFees[[#This Row],[Pricing Basis]]="Fixed fee schedule","Yes","No")</f>
        <v>No</v>
      </c>
      <c r="AB644" s="127" t="str">
        <f>IF(OR(MasterFees[[#This Row],[Fee Basis]]="Add-on",MasterFees[[#This Row],[Fee Basis]]="Time band",MasterFees[[#This Row],[Fee Basis]]="Other"),MasterFees[[#This Row],[Fee Basis]],"Base")</f>
        <v>Base</v>
      </c>
      <c r="AC644" s="141" t="str">
        <f>IF(MasterFees[[#This Row],[Fixed Fee?]]="Yes",MasterFees[[#This Row],[Fee Excl. GST]],"")</f>
        <v/>
      </c>
    </row>
    <row r="645" spans="1:29" x14ac:dyDescent="0.2">
      <c r="A645" s="67" t="s">
        <v>2294</v>
      </c>
      <c r="B645" s="31">
        <f>IF(MasterFees[[#This Row],[RVG Code]]="","",_xlfn.XLOOKUP(MasterFees[[#This Row],[RVG Code]],RVGCodes[Code],RVGCodes[Base Units],"Code not found"))</f>
        <v>8</v>
      </c>
      <c r="C64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4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Lumbar</v>
      </c>
      <c r="E645" s="125" t="s">
        <v>2608</v>
      </c>
      <c r="F645" s="48" t="s">
        <v>2569</v>
      </c>
      <c r="G645" s="30" t="s">
        <v>573</v>
      </c>
      <c r="H645" s="37" t="s">
        <v>1095</v>
      </c>
      <c r="I645" s="37"/>
      <c r="J645" s="37" t="s">
        <v>1096</v>
      </c>
      <c r="K645" s="32">
        <v>8</v>
      </c>
      <c r="L645" s="32">
        <v>4</v>
      </c>
      <c r="M645" s="32">
        <v>1</v>
      </c>
      <c r="N645" s="32">
        <v>13</v>
      </c>
      <c r="O645" s="33">
        <v>715</v>
      </c>
      <c r="P645" s="38" t="s">
        <v>1014</v>
      </c>
      <c r="Q645" s="34" t="str">
        <f>IF(MasterFees[[#This Row],[GST Basis]]="Excl",MasterFees[[#This Row],[Fee as Printed]],IF(MasterFees[[#This Row],[GST Basis]]="Incl",MasterFees[[#This Row],[Fee as Printed]]/(1+GST_Rate),""))</f>
        <v/>
      </c>
      <c r="R645" s="34" t="str">
        <f>IF(MasterFees[[#This Row],[GST Basis]]="Incl",MasterFees[[#This Row],[Fee as Printed]],IF(MasterFees[[#This Row],[GST Basis]]="Excl",MasterFees[[#This Row],[Fee as Printed]]*(1+GST_Rate),""))</f>
        <v/>
      </c>
      <c r="S645" s="35">
        <f>IF(N(MasterFees[[#This Row],[Total Units]])=0,"",MasterFees[[#This Row],[Fee as Printed]]/MasterFees[[#This Row],[Total Units]])</f>
        <v>55</v>
      </c>
      <c r="T645" s="36"/>
      <c r="U645" s="39" t="s">
        <v>1012</v>
      </c>
      <c r="V645" s="39" t="s">
        <v>1669</v>
      </c>
      <c r="W645" s="30"/>
      <c r="X645" s="73" t="s">
        <v>3466</v>
      </c>
      <c r="Y645" s="127" t="str">
        <f>_xlfn.XLOOKUP(MasterFees[[#This Row],[Provider / Payer]],Contracts[Contract Name],Contracts[Contract ID],"No contract")</f>
        <v>CON-01</v>
      </c>
      <c r="Z645" s="127" t="str">
        <f>_xlfn.XLOOKUP(MasterFees[[#This Row],[Provider / Payer]],Contracts[Contract Name],Contracts[Pricing Basis],"To confirm")</f>
        <v>To confirm</v>
      </c>
      <c r="AA645" s="127" t="str">
        <f>IF(MasterFees[[#This Row],[Pricing Basis]]="Fixed fee schedule","Yes","No")</f>
        <v>No</v>
      </c>
      <c r="AB645" s="127" t="str">
        <f>IF(OR(MasterFees[[#This Row],[Fee Basis]]="Add-on",MasterFees[[#This Row],[Fee Basis]]="Time band",MasterFees[[#This Row],[Fee Basis]]="Other"),MasterFees[[#This Row],[Fee Basis]],"Base")</f>
        <v>Base</v>
      </c>
      <c r="AC645" s="141" t="str">
        <f>IF(MasterFees[[#This Row],[Fixed Fee?]]="Yes",MasterFees[[#This Row],[Fee Excl. GST]],"")</f>
        <v/>
      </c>
    </row>
    <row r="646" spans="1:29" x14ac:dyDescent="0.2">
      <c r="A646" s="67" t="s">
        <v>2294</v>
      </c>
      <c r="B646" s="31">
        <f>IF(MasterFees[[#This Row],[RVG Code]]="","",_xlfn.XLOOKUP(MasterFees[[#This Row],[RVG Code]],RVGCodes[Code],RVGCodes[Base Units],"Code not found"))</f>
        <v>8</v>
      </c>
      <c r="C64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4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Lumbar</v>
      </c>
      <c r="E646" s="125" t="s">
        <v>2608</v>
      </c>
      <c r="F646" s="48" t="s">
        <v>2569</v>
      </c>
      <c r="G646" s="30" t="s">
        <v>574</v>
      </c>
      <c r="H646" s="37" t="s">
        <v>1095</v>
      </c>
      <c r="I646" s="37"/>
      <c r="J646" s="37" t="s">
        <v>1096</v>
      </c>
      <c r="K646" s="32">
        <v>8</v>
      </c>
      <c r="L646" s="32">
        <v>6.7</v>
      </c>
      <c r="M646" s="32">
        <v>0.5</v>
      </c>
      <c r="N646" s="32">
        <v>15.1</v>
      </c>
      <c r="O646" s="33">
        <v>832.15</v>
      </c>
      <c r="P646" s="38" t="s">
        <v>1014</v>
      </c>
      <c r="Q646" s="34" t="str">
        <f>IF(MasterFees[[#This Row],[GST Basis]]="Excl",MasterFees[[#This Row],[Fee as Printed]],IF(MasterFees[[#This Row],[GST Basis]]="Incl",MasterFees[[#This Row],[Fee as Printed]]/(1+GST_Rate),""))</f>
        <v/>
      </c>
      <c r="R646" s="34" t="str">
        <f>IF(MasterFees[[#This Row],[GST Basis]]="Incl",MasterFees[[#This Row],[Fee as Printed]],IF(MasterFees[[#This Row],[GST Basis]]="Excl",MasterFees[[#This Row],[Fee as Printed]]*(1+GST_Rate),""))</f>
        <v/>
      </c>
      <c r="S646" s="35">
        <f>IF(N(MasterFees[[#This Row],[Total Units]])=0,"",MasterFees[[#This Row],[Fee as Printed]]/MasterFees[[#This Row],[Total Units]])</f>
        <v>55.109271523178805</v>
      </c>
      <c r="T646" s="36"/>
      <c r="U646" s="39" t="s">
        <v>1012</v>
      </c>
      <c r="V646" s="39" t="s">
        <v>1670</v>
      </c>
      <c r="W646" s="30"/>
      <c r="X646" s="73" t="s">
        <v>3467</v>
      </c>
      <c r="Y646" s="127" t="str">
        <f>_xlfn.XLOOKUP(MasterFees[[#This Row],[Provider / Payer]],Contracts[Contract Name],Contracts[Contract ID],"No contract")</f>
        <v>CON-01</v>
      </c>
      <c r="Z646" s="127" t="str">
        <f>_xlfn.XLOOKUP(MasterFees[[#This Row],[Provider / Payer]],Contracts[Contract Name],Contracts[Pricing Basis],"To confirm")</f>
        <v>To confirm</v>
      </c>
      <c r="AA646" s="127" t="str">
        <f>IF(MasterFees[[#This Row],[Pricing Basis]]="Fixed fee schedule","Yes","No")</f>
        <v>No</v>
      </c>
      <c r="AB646" s="127" t="str">
        <f>IF(OR(MasterFees[[#This Row],[Fee Basis]]="Add-on",MasterFees[[#This Row],[Fee Basis]]="Time band",MasterFees[[#This Row],[Fee Basis]]="Other"),MasterFees[[#This Row],[Fee Basis]],"Base")</f>
        <v>Base</v>
      </c>
      <c r="AC646" s="141" t="str">
        <f>IF(MasterFees[[#This Row],[Fixed Fee?]]="Yes",MasterFees[[#This Row],[Fee Excl. GST]],"")</f>
        <v/>
      </c>
    </row>
    <row r="647" spans="1:29" x14ac:dyDescent="0.2">
      <c r="A647" s="67" t="s">
        <v>2294</v>
      </c>
      <c r="B647" s="31">
        <f>IF(MasterFees[[#This Row],[RVG Code]]="","",_xlfn.XLOOKUP(MasterFees[[#This Row],[RVG Code]],RVGCodes[Code],RVGCodes[Base Units],"Code not found"))</f>
        <v>8</v>
      </c>
      <c r="C64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4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Lumbar</v>
      </c>
      <c r="E647" s="125" t="s">
        <v>2608</v>
      </c>
      <c r="F647" s="48" t="s">
        <v>2569</v>
      </c>
      <c r="G647" s="30" t="s">
        <v>575</v>
      </c>
      <c r="H647" s="37" t="s">
        <v>1095</v>
      </c>
      <c r="I647" s="37"/>
      <c r="J647" s="37" t="s">
        <v>1096</v>
      </c>
      <c r="K647" s="32">
        <v>8</v>
      </c>
      <c r="L647" s="32">
        <v>5.7</v>
      </c>
      <c r="M647" s="32">
        <v>0.4</v>
      </c>
      <c r="N647" s="32">
        <v>14.1</v>
      </c>
      <c r="O647" s="33">
        <v>775.5</v>
      </c>
      <c r="P647" s="38" t="s">
        <v>1014</v>
      </c>
      <c r="Q647" s="34" t="str">
        <f>IF(MasterFees[[#This Row],[GST Basis]]="Excl",MasterFees[[#This Row],[Fee as Printed]],IF(MasterFees[[#This Row],[GST Basis]]="Incl",MasterFees[[#This Row],[Fee as Printed]]/(1+GST_Rate),""))</f>
        <v/>
      </c>
      <c r="R647" s="34" t="str">
        <f>IF(MasterFees[[#This Row],[GST Basis]]="Incl",MasterFees[[#This Row],[Fee as Printed]],IF(MasterFees[[#This Row],[GST Basis]]="Excl",MasterFees[[#This Row],[Fee as Printed]]*(1+GST_Rate),""))</f>
        <v/>
      </c>
      <c r="S647" s="35">
        <f>IF(N(MasterFees[[#This Row],[Total Units]])=0,"",MasterFees[[#This Row],[Fee as Printed]]/MasterFees[[#This Row],[Total Units]])</f>
        <v>55</v>
      </c>
      <c r="T647" s="36"/>
      <c r="U647" s="39" t="s">
        <v>1012</v>
      </c>
      <c r="V647" s="39" t="s">
        <v>1671</v>
      </c>
      <c r="W647" s="30"/>
      <c r="X647" s="73" t="s">
        <v>3468</v>
      </c>
      <c r="Y647" s="127" t="str">
        <f>_xlfn.XLOOKUP(MasterFees[[#This Row],[Provider / Payer]],Contracts[Contract Name],Contracts[Contract ID],"No contract")</f>
        <v>CON-01</v>
      </c>
      <c r="Z647" s="127" t="str">
        <f>_xlfn.XLOOKUP(MasterFees[[#This Row],[Provider / Payer]],Contracts[Contract Name],Contracts[Pricing Basis],"To confirm")</f>
        <v>To confirm</v>
      </c>
      <c r="AA647" s="127" t="str">
        <f>IF(MasterFees[[#This Row],[Pricing Basis]]="Fixed fee schedule","Yes","No")</f>
        <v>No</v>
      </c>
      <c r="AB647" s="127" t="str">
        <f>IF(OR(MasterFees[[#This Row],[Fee Basis]]="Add-on",MasterFees[[#This Row],[Fee Basis]]="Time band",MasterFees[[#This Row],[Fee Basis]]="Other"),MasterFees[[#This Row],[Fee Basis]],"Base")</f>
        <v>Base</v>
      </c>
      <c r="AC647" s="141" t="str">
        <f>IF(MasterFees[[#This Row],[Fixed Fee?]]="Yes",MasterFees[[#This Row],[Fee Excl. GST]],"")</f>
        <v/>
      </c>
    </row>
    <row r="648" spans="1:29" x14ac:dyDescent="0.2">
      <c r="A648" s="67" t="s">
        <v>2294</v>
      </c>
      <c r="B648" s="31">
        <f>IF(MasterFees[[#This Row],[RVG Code]]="","",_xlfn.XLOOKUP(MasterFees[[#This Row],[RVG Code]],RVGCodes[Code],RVGCodes[Base Units],"Code not found"))</f>
        <v>8</v>
      </c>
      <c r="C64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4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Lumbar</v>
      </c>
      <c r="E648" s="125" t="s">
        <v>2608</v>
      </c>
      <c r="F648" s="48" t="s">
        <v>2569</v>
      </c>
      <c r="G648" s="30" t="s">
        <v>620</v>
      </c>
      <c r="H648" s="37" t="s">
        <v>1095</v>
      </c>
      <c r="I648" s="37"/>
      <c r="J648" s="37" t="s">
        <v>1096</v>
      </c>
      <c r="K648" s="32">
        <v>8.1999999999999993</v>
      </c>
      <c r="L648" s="32">
        <v>7.8</v>
      </c>
      <c r="M648" s="32">
        <v>1.5</v>
      </c>
      <c r="N648" s="32">
        <v>17.399999999999999</v>
      </c>
      <c r="O648" s="33">
        <v>955.35</v>
      </c>
      <c r="P648" s="38" t="s">
        <v>1014</v>
      </c>
      <c r="Q648" s="34" t="str">
        <f>IF(MasterFees[[#This Row],[GST Basis]]="Excl",MasterFees[[#This Row],[Fee as Printed]],IF(MasterFees[[#This Row],[GST Basis]]="Incl",MasterFees[[#This Row],[Fee as Printed]]/(1+GST_Rate),""))</f>
        <v/>
      </c>
      <c r="R648" s="34" t="str">
        <f>IF(MasterFees[[#This Row],[GST Basis]]="Incl",MasterFees[[#This Row],[Fee as Printed]],IF(MasterFees[[#This Row],[GST Basis]]="Excl",MasterFees[[#This Row],[Fee as Printed]]*(1+GST_Rate),""))</f>
        <v/>
      </c>
      <c r="S648" s="35">
        <f>IF(N(MasterFees[[#This Row],[Total Units]])=0,"",MasterFees[[#This Row],[Fee as Printed]]/MasterFees[[#This Row],[Total Units]])</f>
        <v>54.90517241379311</v>
      </c>
      <c r="T648" s="36"/>
      <c r="U648" s="39" t="s">
        <v>1012</v>
      </c>
      <c r="V648" s="39" t="s">
        <v>1717</v>
      </c>
      <c r="W648" s="30"/>
      <c r="X648" s="73" t="s">
        <v>3514</v>
      </c>
      <c r="Y648" s="127" t="str">
        <f>_xlfn.XLOOKUP(MasterFees[[#This Row],[Provider / Payer]],Contracts[Contract Name],Contracts[Contract ID],"No contract")</f>
        <v>CON-01</v>
      </c>
      <c r="Z648" s="127" t="str">
        <f>_xlfn.XLOOKUP(MasterFees[[#This Row],[Provider / Payer]],Contracts[Contract Name],Contracts[Pricing Basis],"To confirm")</f>
        <v>To confirm</v>
      </c>
      <c r="AA648" s="127" t="str">
        <f>IF(MasterFees[[#This Row],[Pricing Basis]]="Fixed fee schedule","Yes","No")</f>
        <v>No</v>
      </c>
      <c r="AB648" s="127" t="str">
        <f>IF(OR(MasterFees[[#This Row],[Fee Basis]]="Add-on",MasterFees[[#This Row],[Fee Basis]]="Time band",MasterFees[[#This Row],[Fee Basis]]="Other"),MasterFees[[#This Row],[Fee Basis]],"Base")</f>
        <v>Base</v>
      </c>
      <c r="AC648" s="141" t="str">
        <f>IF(MasterFees[[#This Row],[Fixed Fee?]]="Yes",MasterFees[[#This Row],[Fee Excl. GST]],"")</f>
        <v/>
      </c>
    </row>
    <row r="649" spans="1:29" x14ac:dyDescent="0.2">
      <c r="A649" s="67" t="s">
        <v>2294</v>
      </c>
      <c r="B649" s="31">
        <f>IF(MasterFees[[#This Row],[RVG Code]]="","",_xlfn.XLOOKUP(MasterFees[[#This Row],[RVG Code]],RVGCodes[Code],RVGCodes[Base Units],"Code not found"))</f>
        <v>8</v>
      </c>
      <c r="C64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4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Lumbar</v>
      </c>
      <c r="E649" s="125" t="s">
        <v>2608</v>
      </c>
      <c r="F649" s="48" t="s">
        <v>2569</v>
      </c>
      <c r="G649" s="30" t="s">
        <v>621</v>
      </c>
      <c r="H649" s="37" t="s">
        <v>1095</v>
      </c>
      <c r="I649" s="37"/>
      <c r="J649" s="37" t="s">
        <v>1096</v>
      </c>
      <c r="K649" s="32">
        <v>8</v>
      </c>
      <c r="L649" s="32">
        <v>7.1</v>
      </c>
      <c r="M649" s="32">
        <v>0.8</v>
      </c>
      <c r="N649" s="32">
        <v>15.9</v>
      </c>
      <c r="O649" s="33">
        <v>872.85</v>
      </c>
      <c r="P649" s="38" t="s">
        <v>1014</v>
      </c>
      <c r="Q649" s="34" t="str">
        <f>IF(MasterFees[[#This Row],[GST Basis]]="Excl",MasterFees[[#This Row],[Fee as Printed]],IF(MasterFees[[#This Row],[GST Basis]]="Incl",MasterFees[[#This Row],[Fee as Printed]]/(1+GST_Rate),""))</f>
        <v/>
      </c>
      <c r="R649" s="34" t="str">
        <f>IF(MasterFees[[#This Row],[GST Basis]]="Incl",MasterFees[[#This Row],[Fee as Printed]],IF(MasterFees[[#This Row],[GST Basis]]="Excl",MasterFees[[#This Row],[Fee as Printed]]*(1+GST_Rate),""))</f>
        <v/>
      </c>
      <c r="S649" s="35">
        <f>IF(N(MasterFees[[#This Row],[Total Units]])=0,"",MasterFees[[#This Row],[Fee as Printed]]/MasterFees[[#This Row],[Total Units]])</f>
        <v>54.89622641509434</v>
      </c>
      <c r="T649" s="36"/>
      <c r="U649" s="39" t="s">
        <v>1012</v>
      </c>
      <c r="V649" s="39" t="s">
        <v>1718</v>
      </c>
      <c r="W649" s="30"/>
      <c r="X649" s="73" t="s">
        <v>3515</v>
      </c>
      <c r="Y649" s="127" t="str">
        <f>_xlfn.XLOOKUP(MasterFees[[#This Row],[Provider / Payer]],Contracts[Contract Name],Contracts[Contract ID],"No contract")</f>
        <v>CON-01</v>
      </c>
      <c r="Z649" s="127" t="str">
        <f>_xlfn.XLOOKUP(MasterFees[[#This Row],[Provider / Payer]],Contracts[Contract Name],Contracts[Pricing Basis],"To confirm")</f>
        <v>To confirm</v>
      </c>
      <c r="AA649" s="127" t="str">
        <f>IF(MasterFees[[#This Row],[Pricing Basis]]="Fixed fee schedule","Yes","No")</f>
        <v>No</v>
      </c>
      <c r="AB649" s="127" t="str">
        <f>IF(OR(MasterFees[[#This Row],[Fee Basis]]="Add-on",MasterFees[[#This Row],[Fee Basis]]="Time band",MasterFees[[#This Row],[Fee Basis]]="Other"),MasterFees[[#This Row],[Fee Basis]],"Base")</f>
        <v>Base</v>
      </c>
      <c r="AC649" s="141" t="str">
        <f>IF(MasterFees[[#This Row],[Fixed Fee?]]="Yes",MasterFees[[#This Row],[Fee Excl. GST]],"")</f>
        <v/>
      </c>
    </row>
    <row r="650" spans="1:29" x14ac:dyDescent="0.2">
      <c r="A650" s="67" t="s">
        <v>2302</v>
      </c>
      <c r="B650" s="31">
        <f>IF(MasterFees[[#This Row],[RVG Code]]="","",_xlfn.XLOOKUP(MasterFees[[#This Row],[RVG Code]],RVGCodes[Code],RVGCodes[Base Units],"Code not found"))</f>
        <v>10</v>
      </c>
      <c r="C65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5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Lumbar</v>
      </c>
      <c r="E650" s="125" t="s">
        <v>2621</v>
      </c>
      <c r="F650" s="48" t="s">
        <v>2567</v>
      </c>
      <c r="G650" s="30" t="s">
        <v>622</v>
      </c>
      <c r="H650" s="37" t="s">
        <v>1095</v>
      </c>
      <c r="I650" s="37"/>
      <c r="J650" s="37" t="s">
        <v>1096</v>
      </c>
      <c r="K650" s="32">
        <v>9.6</v>
      </c>
      <c r="L650" s="32">
        <v>21.6</v>
      </c>
      <c r="M650" s="32">
        <v>0.9</v>
      </c>
      <c r="N650" s="32">
        <v>32.200000000000003</v>
      </c>
      <c r="O650" s="33">
        <v>1768.25</v>
      </c>
      <c r="P650" s="38" t="s">
        <v>1014</v>
      </c>
      <c r="Q650" s="34" t="str">
        <f>IF(MasterFees[[#This Row],[GST Basis]]="Excl",MasterFees[[#This Row],[Fee as Printed]],IF(MasterFees[[#This Row],[GST Basis]]="Incl",MasterFees[[#This Row],[Fee as Printed]]/(1+GST_Rate),""))</f>
        <v/>
      </c>
      <c r="R650" s="34" t="str">
        <f>IF(MasterFees[[#This Row],[GST Basis]]="Incl",MasterFees[[#This Row],[Fee as Printed]],IF(MasterFees[[#This Row],[GST Basis]]="Excl",MasterFees[[#This Row],[Fee as Printed]]*(1+GST_Rate),""))</f>
        <v/>
      </c>
      <c r="S650" s="35">
        <f>IF(N(MasterFees[[#This Row],[Total Units]])=0,"",MasterFees[[#This Row],[Fee as Printed]]/MasterFees[[#This Row],[Total Units]])</f>
        <v>54.91459627329192</v>
      </c>
      <c r="T650" s="36"/>
      <c r="U650" s="39" t="s">
        <v>1012</v>
      </c>
      <c r="V650" s="39" t="s">
        <v>1719</v>
      </c>
      <c r="W650" s="30"/>
      <c r="X650" s="73" t="s">
        <v>3516</v>
      </c>
      <c r="Y650" s="127" t="str">
        <f>_xlfn.XLOOKUP(MasterFees[[#This Row],[Provider / Payer]],Contracts[Contract Name],Contracts[Contract ID],"No contract")</f>
        <v>CON-01</v>
      </c>
      <c r="Z650" s="127" t="str">
        <f>_xlfn.XLOOKUP(MasterFees[[#This Row],[Provider / Payer]],Contracts[Contract Name],Contracts[Pricing Basis],"To confirm")</f>
        <v>To confirm</v>
      </c>
      <c r="AA650" s="127" t="str">
        <f>IF(MasterFees[[#This Row],[Pricing Basis]]="Fixed fee schedule","Yes","No")</f>
        <v>No</v>
      </c>
      <c r="AB650" s="127" t="str">
        <f>IF(OR(MasterFees[[#This Row],[Fee Basis]]="Add-on",MasterFees[[#This Row],[Fee Basis]]="Time band",MasterFees[[#This Row],[Fee Basis]]="Other"),MasterFees[[#This Row],[Fee Basis]],"Base")</f>
        <v>Base</v>
      </c>
      <c r="AC650" s="141" t="str">
        <f>IF(MasterFees[[#This Row],[Fixed Fee?]]="Yes",MasterFees[[#This Row],[Fee Excl. GST]],"")</f>
        <v/>
      </c>
    </row>
    <row r="651" spans="1:29" x14ac:dyDescent="0.2">
      <c r="A651" s="67" t="s">
        <v>2294</v>
      </c>
      <c r="B651" s="31">
        <f>IF(MasterFees[[#This Row],[RVG Code]]="","",_xlfn.XLOOKUP(MasterFees[[#This Row],[RVG Code]],RVGCodes[Code],RVGCodes[Base Units],"Code not found"))</f>
        <v>8</v>
      </c>
      <c r="C65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5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Lumbar</v>
      </c>
      <c r="E651" s="125" t="s">
        <v>2608</v>
      </c>
      <c r="F651" s="48" t="s">
        <v>2569</v>
      </c>
      <c r="G651" s="30" t="s">
        <v>623</v>
      </c>
      <c r="H651" s="37" t="s">
        <v>1095</v>
      </c>
      <c r="I651" s="37"/>
      <c r="J651" s="37" t="s">
        <v>1096</v>
      </c>
      <c r="K651" s="32">
        <v>8.9</v>
      </c>
      <c r="L651" s="32">
        <v>11</v>
      </c>
      <c r="M651" s="32">
        <v>1.4</v>
      </c>
      <c r="N651" s="32">
        <v>21.3</v>
      </c>
      <c r="O651" s="33">
        <v>1172.05</v>
      </c>
      <c r="P651" s="38" t="s">
        <v>1014</v>
      </c>
      <c r="Q651" s="34" t="str">
        <f>IF(MasterFees[[#This Row],[GST Basis]]="Excl",MasterFees[[#This Row],[Fee as Printed]],IF(MasterFees[[#This Row],[GST Basis]]="Incl",MasterFees[[#This Row],[Fee as Printed]]/(1+GST_Rate),""))</f>
        <v/>
      </c>
      <c r="R651" s="34" t="str">
        <f>IF(MasterFees[[#This Row],[GST Basis]]="Incl",MasterFees[[#This Row],[Fee as Printed]],IF(MasterFees[[#This Row],[GST Basis]]="Excl",MasterFees[[#This Row],[Fee as Printed]]*(1+GST_Rate),""))</f>
        <v/>
      </c>
      <c r="S651" s="35">
        <f>IF(N(MasterFees[[#This Row],[Total Units]])=0,"",MasterFees[[#This Row],[Fee as Printed]]/MasterFees[[#This Row],[Total Units]])</f>
        <v>55.025821596244128</v>
      </c>
      <c r="T651" s="36"/>
      <c r="U651" s="39" t="s">
        <v>1012</v>
      </c>
      <c r="V651" s="39" t="s">
        <v>1720</v>
      </c>
      <c r="W651" s="30"/>
      <c r="X651" s="73" t="s">
        <v>3517</v>
      </c>
      <c r="Y651" s="127" t="str">
        <f>_xlfn.XLOOKUP(MasterFees[[#This Row],[Provider / Payer]],Contracts[Contract Name],Contracts[Contract ID],"No contract")</f>
        <v>CON-01</v>
      </c>
      <c r="Z651" s="127" t="str">
        <f>_xlfn.XLOOKUP(MasterFees[[#This Row],[Provider / Payer]],Contracts[Contract Name],Contracts[Pricing Basis],"To confirm")</f>
        <v>To confirm</v>
      </c>
      <c r="AA651" s="127" t="str">
        <f>IF(MasterFees[[#This Row],[Pricing Basis]]="Fixed fee schedule","Yes","No")</f>
        <v>No</v>
      </c>
      <c r="AB651" s="127" t="str">
        <f>IF(OR(MasterFees[[#This Row],[Fee Basis]]="Add-on",MasterFees[[#This Row],[Fee Basis]]="Time band",MasterFees[[#This Row],[Fee Basis]]="Other"),MasterFees[[#This Row],[Fee Basis]],"Base")</f>
        <v>Base</v>
      </c>
      <c r="AC651" s="141" t="str">
        <f>IF(MasterFees[[#This Row],[Fixed Fee?]]="Yes",MasterFees[[#This Row],[Fee Excl. GST]],"")</f>
        <v/>
      </c>
    </row>
    <row r="652" spans="1:29" x14ac:dyDescent="0.2">
      <c r="A652" s="67" t="s">
        <v>2302</v>
      </c>
      <c r="B652" s="31">
        <f>IF(MasterFees[[#This Row],[RVG Code]]="","",_xlfn.XLOOKUP(MasterFees[[#This Row],[RVG Code]],RVGCodes[Code],RVGCodes[Base Units],"Code not found"))</f>
        <v>10</v>
      </c>
      <c r="C65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5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Lumbar</v>
      </c>
      <c r="E652" s="125" t="s">
        <v>2621</v>
      </c>
      <c r="F652" s="48" t="s">
        <v>2567</v>
      </c>
      <c r="G652" s="30" t="s">
        <v>624</v>
      </c>
      <c r="H652" s="37" t="s">
        <v>1095</v>
      </c>
      <c r="I652" s="37"/>
      <c r="J652" s="37" t="s">
        <v>1096</v>
      </c>
      <c r="K652" s="32">
        <v>10</v>
      </c>
      <c r="L652" s="32">
        <v>24</v>
      </c>
      <c r="M652" s="32">
        <v>0.5</v>
      </c>
      <c r="N652" s="32">
        <v>34.5</v>
      </c>
      <c r="O652" s="33">
        <v>1897.5</v>
      </c>
      <c r="P652" s="38" t="s">
        <v>1014</v>
      </c>
      <c r="Q652" s="34" t="str">
        <f>IF(MasterFees[[#This Row],[GST Basis]]="Excl",MasterFees[[#This Row],[Fee as Printed]],IF(MasterFees[[#This Row],[GST Basis]]="Incl",MasterFees[[#This Row],[Fee as Printed]]/(1+GST_Rate),""))</f>
        <v/>
      </c>
      <c r="R652" s="34" t="str">
        <f>IF(MasterFees[[#This Row],[GST Basis]]="Incl",MasterFees[[#This Row],[Fee as Printed]],IF(MasterFees[[#This Row],[GST Basis]]="Excl",MasterFees[[#This Row],[Fee as Printed]]*(1+GST_Rate),""))</f>
        <v/>
      </c>
      <c r="S652" s="35">
        <f>IF(N(MasterFees[[#This Row],[Total Units]])=0,"",MasterFees[[#This Row],[Fee as Printed]]/MasterFees[[#This Row],[Total Units]])</f>
        <v>55</v>
      </c>
      <c r="T652" s="36"/>
      <c r="U652" s="39" t="s">
        <v>1012</v>
      </c>
      <c r="V652" s="39" t="s">
        <v>1721</v>
      </c>
      <c r="W652" s="30"/>
      <c r="X652" s="73" t="s">
        <v>3518</v>
      </c>
      <c r="Y652" s="127" t="str">
        <f>_xlfn.XLOOKUP(MasterFees[[#This Row],[Provider / Payer]],Contracts[Contract Name],Contracts[Contract ID],"No contract")</f>
        <v>CON-01</v>
      </c>
      <c r="Z652" s="127" t="str">
        <f>_xlfn.XLOOKUP(MasterFees[[#This Row],[Provider / Payer]],Contracts[Contract Name],Contracts[Pricing Basis],"To confirm")</f>
        <v>To confirm</v>
      </c>
      <c r="AA652" s="127" t="str">
        <f>IF(MasterFees[[#This Row],[Pricing Basis]]="Fixed fee schedule","Yes","No")</f>
        <v>No</v>
      </c>
      <c r="AB652" s="127" t="str">
        <f>IF(OR(MasterFees[[#This Row],[Fee Basis]]="Add-on",MasterFees[[#This Row],[Fee Basis]]="Time band",MasterFees[[#This Row],[Fee Basis]]="Other"),MasterFees[[#This Row],[Fee Basis]],"Base")</f>
        <v>Base</v>
      </c>
      <c r="AC652" s="141" t="str">
        <f>IF(MasterFees[[#This Row],[Fixed Fee?]]="Yes",MasterFees[[#This Row],[Fee Excl. GST]],"")</f>
        <v/>
      </c>
    </row>
    <row r="653" spans="1:29" x14ac:dyDescent="0.2">
      <c r="A653" s="67" t="s">
        <v>2294</v>
      </c>
      <c r="B653" s="31">
        <f>IF(MasterFees[[#This Row],[RVG Code]]="","",_xlfn.XLOOKUP(MasterFees[[#This Row],[RVG Code]],RVGCodes[Code],RVGCodes[Base Units],"Code not found"))</f>
        <v>8</v>
      </c>
      <c r="C65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5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Lumbar</v>
      </c>
      <c r="E653" s="125" t="s">
        <v>2608</v>
      </c>
      <c r="F653" s="48" t="s">
        <v>2569</v>
      </c>
      <c r="G653" s="30" t="s">
        <v>637</v>
      </c>
      <c r="H653" s="37" t="s">
        <v>1095</v>
      </c>
      <c r="I653" s="37"/>
      <c r="J653" s="37" t="s">
        <v>1096</v>
      </c>
      <c r="K653" s="32">
        <v>8</v>
      </c>
      <c r="L653" s="32">
        <v>6</v>
      </c>
      <c r="M653" s="32">
        <v>1</v>
      </c>
      <c r="N653" s="32">
        <v>15</v>
      </c>
      <c r="O653" s="33">
        <v>825</v>
      </c>
      <c r="P653" s="38" t="s">
        <v>1014</v>
      </c>
      <c r="Q653" s="34" t="str">
        <f>IF(MasterFees[[#This Row],[GST Basis]]="Excl",MasterFees[[#This Row],[Fee as Printed]],IF(MasterFees[[#This Row],[GST Basis]]="Incl",MasterFees[[#This Row],[Fee as Printed]]/(1+GST_Rate),""))</f>
        <v/>
      </c>
      <c r="R653" s="34" t="str">
        <f>IF(MasterFees[[#This Row],[GST Basis]]="Incl",MasterFees[[#This Row],[Fee as Printed]],IF(MasterFees[[#This Row],[GST Basis]]="Excl",MasterFees[[#This Row],[Fee as Printed]]*(1+GST_Rate),""))</f>
        <v/>
      </c>
      <c r="S653" s="35">
        <f>IF(N(MasterFees[[#This Row],[Total Units]])=0,"",MasterFees[[#This Row],[Fee as Printed]]/MasterFees[[#This Row],[Total Units]])</f>
        <v>55</v>
      </c>
      <c r="T653" s="36"/>
      <c r="U653" s="39" t="s">
        <v>1012</v>
      </c>
      <c r="V653" s="39" t="s">
        <v>1734</v>
      </c>
      <c r="W653" s="30"/>
      <c r="X653" s="73" t="s">
        <v>3533</v>
      </c>
      <c r="Y653" s="127" t="str">
        <f>_xlfn.XLOOKUP(MasterFees[[#This Row],[Provider / Payer]],Contracts[Contract Name],Contracts[Contract ID],"No contract")</f>
        <v>CON-01</v>
      </c>
      <c r="Z653" s="127" t="str">
        <f>_xlfn.XLOOKUP(MasterFees[[#This Row],[Provider / Payer]],Contracts[Contract Name],Contracts[Pricing Basis],"To confirm")</f>
        <v>To confirm</v>
      </c>
      <c r="AA653" s="127" t="str">
        <f>IF(MasterFees[[#This Row],[Pricing Basis]]="Fixed fee schedule","Yes","No")</f>
        <v>No</v>
      </c>
      <c r="AB653" s="127" t="str">
        <f>IF(OR(MasterFees[[#This Row],[Fee Basis]]="Add-on",MasterFees[[#This Row],[Fee Basis]]="Time band",MasterFees[[#This Row],[Fee Basis]]="Other"),MasterFees[[#This Row],[Fee Basis]],"Base")</f>
        <v>Base</v>
      </c>
      <c r="AC653" s="141" t="str">
        <f>IF(MasterFees[[#This Row],[Fixed Fee?]]="Yes",MasterFees[[#This Row],[Fee Excl. GST]],"")</f>
        <v/>
      </c>
    </row>
    <row r="654" spans="1:29" x14ac:dyDescent="0.2">
      <c r="A654" s="67" t="s">
        <v>2296</v>
      </c>
      <c r="B654" s="31">
        <f>IF(MasterFees[[#This Row],[RVG Code]]="","",_xlfn.XLOOKUP(MasterFees[[#This Row],[RVG Code]],RVGCodes[Code],RVGCodes[Base Units],"Code not found"))</f>
        <v>8</v>
      </c>
      <c r="C65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5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Lumbar</v>
      </c>
      <c r="E654" s="125" t="s">
        <v>2705</v>
      </c>
      <c r="F654" s="48" t="s">
        <v>2565</v>
      </c>
      <c r="G654" s="30" t="s">
        <v>2297</v>
      </c>
      <c r="H654" s="37" t="s">
        <v>2630</v>
      </c>
      <c r="I654" s="37" t="s">
        <v>2296</v>
      </c>
      <c r="J654" s="37" t="s">
        <v>1096</v>
      </c>
      <c r="K654" s="32">
        <v>8</v>
      </c>
      <c r="L654" s="32"/>
      <c r="M654" s="32"/>
      <c r="N654" s="32">
        <v>8</v>
      </c>
      <c r="O654" s="33"/>
      <c r="P654" s="38"/>
      <c r="Q654" s="34" t="str">
        <f>IF(MasterFees[[#This Row],[GST Basis]]="Excl",MasterFees[[#This Row],[Fee as Printed]],IF(MasterFees[[#This Row],[GST Basis]]="Incl",MasterFees[[#This Row],[Fee as Printed]]/(1+GST_Rate),""))</f>
        <v/>
      </c>
      <c r="R654" s="34" t="str">
        <f>IF(MasterFees[[#This Row],[GST Basis]]="Incl",MasterFees[[#This Row],[Fee as Printed]],IF(MasterFees[[#This Row],[GST Basis]]="Excl",MasterFees[[#This Row],[Fee as Printed]]*(1+GST_Rate),""))</f>
        <v/>
      </c>
      <c r="S654" s="35">
        <f>IF(N(MasterFees[[#This Row],[Total Units]])=0,"",MasterFees[[#This Row],[Fee as Printed]]/MasterFees[[#This Row],[Total Units]])</f>
        <v>0</v>
      </c>
      <c r="T654" s="36"/>
      <c r="U654" s="39" t="s">
        <v>1016</v>
      </c>
      <c r="V654" s="39" t="s">
        <v>2654</v>
      </c>
      <c r="W654" s="30" t="s">
        <v>2655</v>
      </c>
      <c r="X654" s="73" t="s">
        <v>3941</v>
      </c>
      <c r="Y654" s="127" t="str">
        <f>_xlfn.XLOOKUP(MasterFees[[#This Row],[Provider / Payer]],Contracts[Contract Name],Contracts[Contract ID],"No contract")</f>
        <v>CON-10</v>
      </c>
      <c r="Z654" s="127" t="str">
        <f>_xlfn.XLOOKUP(MasterFees[[#This Row],[Provider / Payer]],Contracts[Contract Name],Contracts[Pricing Basis],"To confirm")</f>
        <v>Reference – units only</v>
      </c>
      <c r="AA654" s="127" t="str">
        <f>IF(MasterFees[[#This Row],[Pricing Basis]]="Fixed fee schedule","Yes","No")</f>
        <v>No</v>
      </c>
      <c r="AB654" s="127" t="str">
        <f>IF(OR(MasterFees[[#This Row],[Fee Basis]]="Add-on",MasterFees[[#This Row],[Fee Basis]]="Time band",MasterFees[[#This Row],[Fee Basis]]="Other"),MasterFees[[#This Row],[Fee Basis]],"Base")</f>
        <v>Base</v>
      </c>
      <c r="AC654" s="141" t="str">
        <f>IF(MasterFees[[#This Row],[Fixed Fee?]]="Yes",MasterFees[[#This Row],[Fee Excl. GST]],"")</f>
        <v/>
      </c>
    </row>
    <row r="655" spans="1:29" x14ac:dyDescent="0.2">
      <c r="A655" s="67" t="s">
        <v>2302</v>
      </c>
      <c r="B655" s="31">
        <f>IF(MasterFees[[#This Row],[RVG Code]]="","",_xlfn.XLOOKUP(MasterFees[[#This Row],[RVG Code]],RVGCodes[Code],RVGCodes[Base Units],"Code not found"))</f>
        <v>10</v>
      </c>
      <c r="C65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5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Lumbar</v>
      </c>
      <c r="E655" s="125" t="s">
        <v>2621</v>
      </c>
      <c r="F655" s="48" t="s">
        <v>2629</v>
      </c>
      <c r="G655" s="30" t="s">
        <v>2303</v>
      </c>
      <c r="H655" s="37" t="s">
        <v>2630</v>
      </c>
      <c r="I655" s="37" t="s">
        <v>2302</v>
      </c>
      <c r="J655" s="37" t="s">
        <v>1096</v>
      </c>
      <c r="K655" s="32">
        <v>10</v>
      </c>
      <c r="L655" s="32"/>
      <c r="M655" s="32"/>
      <c r="N655" s="32">
        <v>10</v>
      </c>
      <c r="O655" s="33"/>
      <c r="P655" s="38"/>
      <c r="Q655" s="34" t="str">
        <f>IF(MasterFees[[#This Row],[GST Basis]]="Excl",MasterFees[[#This Row],[Fee as Printed]],IF(MasterFees[[#This Row],[GST Basis]]="Incl",MasterFees[[#This Row],[Fee as Printed]]/(1+GST_Rate),""))</f>
        <v/>
      </c>
      <c r="R655" s="34" t="str">
        <f>IF(MasterFees[[#This Row],[GST Basis]]="Incl",MasterFees[[#This Row],[Fee as Printed]],IF(MasterFees[[#This Row],[GST Basis]]="Excl",MasterFees[[#This Row],[Fee as Printed]]*(1+GST_Rate),""))</f>
        <v/>
      </c>
      <c r="S655" s="35">
        <f>IF(N(MasterFees[[#This Row],[Total Units]])=0,"",MasterFees[[#This Row],[Fee as Printed]]/MasterFees[[#This Row],[Total Units]])</f>
        <v>0</v>
      </c>
      <c r="T655" s="36"/>
      <c r="U655" s="39" t="s">
        <v>1016</v>
      </c>
      <c r="V655" s="39" t="s">
        <v>2654</v>
      </c>
      <c r="W655" s="30" t="s">
        <v>2655</v>
      </c>
      <c r="X655" s="73" t="s">
        <v>3798</v>
      </c>
      <c r="Y655" s="127" t="str">
        <f>_xlfn.XLOOKUP(MasterFees[[#This Row],[Provider / Payer]],Contracts[Contract Name],Contracts[Contract ID],"No contract")</f>
        <v>CON-10</v>
      </c>
      <c r="Z655" s="127" t="str">
        <f>_xlfn.XLOOKUP(MasterFees[[#This Row],[Provider / Payer]],Contracts[Contract Name],Contracts[Pricing Basis],"To confirm")</f>
        <v>Reference – units only</v>
      </c>
      <c r="AA655" s="127" t="str">
        <f>IF(MasterFees[[#This Row],[Pricing Basis]]="Fixed fee schedule","Yes","No")</f>
        <v>No</v>
      </c>
      <c r="AB655" s="127" t="str">
        <f>IF(OR(MasterFees[[#This Row],[Fee Basis]]="Add-on",MasterFees[[#This Row],[Fee Basis]]="Time band",MasterFees[[#This Row],[Fee Basis]]="Other"),MasterFees[[#This Row],[Fee Basis]],"Base")</f>
        <v>Base</v>
      </c>
      <c r="AC655" s="141" t="str">
        <f>IF(MasterFees[[#This Row],[Fixed Fee?]]="Yes",MasterFees[[#This Row],[Fee Excl. GST]],"")</f>
        <v/>
      </c>
    </row>
    <row r="656" spans="1:29" x14ac:dyDescent="0.2">
      <c r="A656" s="67" t="s">
        <v>2306</v>
      </c>
      <c r="B656" s="31">
        <f>IF(MasterFees[[#This Row],[RVG Code]]="","",_xlfn.XLOOKUP(MasterFees[[#This Row],[RVG Code]],RVGCodes[Code],RVGCodes[Base Units],"Code not found"))</f>
        <v>14</v>
      </c>
      <c r="C65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5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Lumbar</v>
      </c>
      <c r="E656" s="125" t="s">
        <v>2707</v>
      </c>
      <c r="F656" s="48" t="s">
        <v>2565</v>
      </c>
      <c r="G656" s="30" t="s">
        <v>2307</v>
      </c>
      <c r="H656" s="37" t="s">
        <v>2630</v>
      </c>
      <c r="I656" s="37" t="s">
        <v>2306</v>
      </c>
      <c r="J656" s="37" t="s">
        <v>1096</v>
      </c>
      <c r="K656" s="32">
        <v>14</v>
      </c>
      <c r="L656" s="32"/>
      <c r="M656" s="32"/>
      <c r="N656" s="32">
        <v>14</v>
      </c>
      <c r="O656" s="33"/>
      <c r="P656" s="38"/>
      <c r="Q656" s="34" t="str">
        <f>IF(MasterFees[[#This Row],[GST Basis]]="Excl",MasterFees[[#This Row],[Fee as Printed]],IF(MasterFees[[#This Row],[GST Basis]]="Incl",MasterFees[[#This Row],[Fee as Printed]]/(1+GST_Rate),""))</f>
        <v/>
      </c>
      <c r="R656" s="34" t="str">
        <f>IF(MasterFees[[#This Row],[GST Basis]]="Incl",MasterFees[[#This Row],[Fee as Printed]],IF(MasterFees[[#This Row],[GST Basis]]="Excl",MasterFees[[#This Row],[Fee as Printed]]*(1+GST_Rate),""))</f>
        <v/>
      </c>
      <c r="S656" s="35">
        <f>IF(N(MasterFees[[#This Row],[Total Units]])=0,"",MasterFees[[#This Row],[Fee as Printed]]/MasterFees[[#This Row],[Total Units]])</f>
        <v>0</v>
      </c>
      <c r="T656" s="36"/>
      <c r="U656" s="39" t="s">
        <v>1016</v>
      </c>
      <c r="V656" s="39" t="s">
        <v>2654</v>
      </c>
      <c r="W656" s="30" t="s">
        <v>2655</v>
      </c>
      <c r="X656" s="73" t="s">
        <v>3943</v>
      </c>
      <c r="Y656" s="127" t="str">
        <f>_xlfn.XLOOKUP(MasterFees[[#This Row],[Provider / Payer]],Contracts[Contract Name],Contracts[Contract ID],"No contract")</f>
        <v>CON-10</v>
      </c>
      <c r="Z656" s="127" t="str">
        <f>_xlfn.XLOOKUP(MasterFees[[#This Row],[Provider / Payer]],Contracts[Contract Name],Contracts[Pricing Basis],"To confirm")</f>
        <v>Reference – units only</v>
      </c>
      <c r="AA656" s="127" t="str">
        <f>IF(MasterFees[[#This Row],[Pricing Basis]]="Fixed fee schedule","Yes","No")</f>
        <v>No</v>
      </c>
      <c r="AB656" s="127" t="str">
        <f>IF(OR(MasterFees[[#This Row],[Fee Basis]]="Add-on",MasterFees[[#This Row],[Fee Basis]]="Time band",MasterFees[[#This Row],[Fee Basis]]="Other"),MasterFees[[#This Row],[Fee Basis]],"Base")</f>
        <v>Base</v>
      </c>
      <c r="AC656" s="141" t="str">
        <f>IF(MasterFees[[#This Row],[Fixed Fee?]]="Yes",MasterFees[[#This Row],[Fee Excl. GST]],"")</f>
        <v/>
      </c>
    </row>
    <row r="657" spans="1:29" x14ac:dyDescent="0.2">
      <c r="A657" s="67" t="s">
        <v>2304</v>
      </c>
      <c r="B657" s="31">
        <f>IF(MasterFees[[#This Row],[RVG Code]]="","",_xlfn.XLOOKUP(MasterFees[[#This Row],[RVG Code]],RVGCodes[Code],RVGCodes[Base Units],"Code not found"))</f>
        <v>12</v>
      </c>
      <c r="C65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5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Lumbar</v>
      </c>
      <c r="E657" s="125" t="s">
        <v>2578</v>
      </c>
      <c r="F657" s="48" t="s">
        <v>2629</v>
      </c>
      <c r="G657" s="30" t="s">
        <v>2305</v>
      </c>
      <c r="H657" s="37" t="s">
        <v>2630</v>
      </c>
      <c r="I657" s="37" t="s">
        <v>2304</v>
      </c>
      <c r="J657" s="37" t="s">
        <v>1096</v>
      </c>
      <c r="K657" s="32">
        <v>12</v>
      </c>
      <c r="L657" s="32"/>
      <c r="M657" s="32"/>
      <c r="N657" s="32">
        <v>12</v>
      </c>
      <c r="O657" s="33"/>
      <c r="P657" s="38"/>
      <c r="Q657" s="34" t="str">
        <f>IF(MasterFees[[#This Row],[GST Basis]]="Excl",MasterFees[[#This Row],[Fee as Printed]],IF(MasterFees[[#This Row],[GST Basis]]="Incl",MasterFees[[#This Row],[Fee as Printed]]/(1+GST_Rate),""))</f>
        <v/>
      </c>
      <c r="R657" s="34" t="str">
        <f>IF(MasterFees[[#This Row],[GST Basis]]="Incl",MasterFees[[#This Row],[Fee as Printed]],IF(MasterFees[[#This Row],[GST Basis]]="Excl",MasterFees[[#This Row],[Fee as Printed]]*(1+GST_Rate),""))</f>
        <v/>
      </c>
      <c r="S657" s="35">
        <f>IF(N(MasterFees[[#This Row],[Total Units]])=0,"",MasterFees[[#This Row],[Fee as Printed]]/MasterFees[[#This Row],[Total Units]])</f>
        <v>0</v>
      </c>
      <c r="T657" s="36"/>
      <c r="U657" s="39" t="s">
        <v>1016</v>
      </c>
      <c r="V657" s="39" t="s">
        <v>2654</v>
      </c>
      <c r="W657" s="30" t="s">
        <v>2655</v>
      </c>
      <c r="X657" s="73" t="s">
        <v>3267</v>
      </c>
      <c r="Y657" s="127" t="str">
        <f>_xlfn.XLOOKUP(MasterFees[[#This Row],[Provider / Payer]],Contracts[Contract Name],Contracts[Contract ID],"No contract")</f>
        <v>CON-10</v>
      </c>
      <c r="Z657" s="127" t="str">
        <f>_xlfn.XLOOKUP(MasterFees[[#This Row],[Provider / Payer]],Contracts[Contract Name],Contracts[Pricing Basis],"To confirm")</f>
        <v>Reference – units only</v>
      </c>
      <c r="AA657" s="127" t="str">
        <f>IF(MasterFees[[#This Row],[Pricing Basis]]="Fixed fee schedule","Yes","No")</f>
        <v>No</v>
      </c>
      <c r="AB657" s="127" t="str">
        <f>IF(OR(MasterFees[[#This Row],[Fee Basis]]="Add-on",MasterFees[[#This Row],[Fee Basis]]="Time band",MasterFees[[#This Row],[Fee Basis]]="Other"),MasterFees[[#This Row],[Fee Basis]],"Base")</f>
        <v>Base</v>
      </c>
      <c r="AC657" s="141" t="str">
        <f>IF(MasterFees[[#This Row],[Fixed Fee?]]="Yes",MasterFees[[#This Row],[Fee Excl. GST]],"")</f>
        <v/>
      </c>
    </row>
    <row r="658" spans="1:29" x14ac:dyDescent="0.2">
      <c r="A658" s="67" t="s">
        <v>2294</v>
      </c>
      <c r="B658" s="31">
        <f>IF(MasterFees[[#This Row],[RVG Code]]="","",_xlfn.XLOOKUP(MasterFees[[#This Row],[RVG Code]],RVGCodes[Code],RVGCodes[Base Units],"Code not found"))</f>
        <v>8</v>
      </c>
      <c r="C65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5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Lumbar</v>
      </c>
      <c r="E658" s="125" t="s">
        <v>2608</v>
      </c>
      <c r="F658" s="48" t="s">
        <v>2567</v>
      </c>
      <c r="G658" s="30" t="s">
        <v>754</v>
      </c>
      <c r="H658" s="37" t="s">
        <v>1095</v>
      </c>
      <c r="I658" s="37"/>
      <c r="J658" s="37" t="s">
        <v>1096</v>
      </c>
      <c r="K658" s="32">
        <v>8.6</v>
      </c>
      <c r="L658" s="32">
        <v>7.6</v>
      </c>
      <c r="M658" s="32">
        <v>0.4</v>
      </c>
      <c r="N658" s="32">
        <v>16.600000000000001</v>
      </c>
      <c r="O658" s="33">
        <v>913</v>
      </c>
      <c r="P658" s="38" t="s">
        <v>1014</v>
      </c>
      <c r="Q658" s="34" t="str">
        <f>IF(MasterFees[[#This Row],[GST Basis]]="Excl",MasterFees[[#This Row],[Fee as Printed]],IF(MasterFees[[#This Row],[GST Basis]]="Incl",MasterFees[[#This Row],[Fee as Printed]]/(1+GST_Rate),""))</f>
        <v/>
      </c>
      <c r="R658" s="34" t="str">
        <f>IF(MasterFees[[#This Row],[GST Basis]]="Incl",MasterFees[[#This Row],[Fee as Printed]],IF(MasterFees[[#This Row],[GST Basis]]="Excl",MasterFees[[#This Row],[Fee as Printed]]*(1+GST_Rate),""))</f>
        <v/>
      </c>
      <c r="S658" s="35">
        <f>IF(N(MasterFees[[#This Row],[Total Units]])=0,"",MasterFees[[#This Row],[Fee as Printed]]/MasterFees[[#This Row],[Total Units]])</f>
        <v>54.999999999999993</v>
      </c>
      <c r="T658" s="36"/>
      <c r="U658" s="39" t="s">
        <v>1012</v>
      </c>
      <c r="V658" s="39" t="s">
        <v>1851</v>
      </c>
      <c r="W658" s="30"/>
      <c r="X658" s="73" t="s">
        <v>3656</v>
      </c>
      <c r="Y658" s="127" t="str">
        <f>_xlfn.XLOOKUP(MasterFees[[#This Row],[Provider / Payer]],Contracts[Contract Name],Contracts[Contract ID],"No contract")</f>
        <v>CON-01</v>
      </c>
      <c r="Z658" s="127" t="str">
        <f>_xlfn.XLOOKUP(MasterFees[[#This Row],[Provider / Payer]],Contracts[Contract Name],Contracts[Pricing Basis],"To confirm")</f>
        <v>To confirm</v>
      </c>
      <c r="AA658" s="127" t="str">
        <f>IF(MasterFees[[#This Row],[Pricing Basis]]="Fixed fee schedule","Yes","No")</f>
        <v>No</v>
      </c>
      <c r="AB658" s="127" t="str">
        <f>IF(OR(MasterFees[[#This Row],[Fee Basis]]="Add-on",MasterFees[[#This Row],[Fee Basis]]="Time band",MasterFees[[#This Row],[Fee Basis]]="Other"),MasterFees[[#This Row],[Fee Basis]],"Base")</f>
        <v>Base</v>
      </c>
      <c r="AC658" s="141" t="str">
        <f>IF(MasterFees[[#This Row],[Fixed Fee?]]="Yes",MasterFees[[#This Row],[Fee Excl. GST]],"")</f>
        <v/>
      </c>
    </row>
    <row r="659" spans="1:29" x14ac:dyDescent="0.2">
      <c r="A659" s="67" t="s">
        <v>2294</v>
      </c>
      <c r="B659" s="31">
        <f>IF(MasterFees[[#This Row],[RVG Code]]="","",_xlfn.XLOOKUP(MasterFees[[#This Row],[RVG Code]],RVGCodes[Code],RVGCodes[Base Units],"Code not found"))</f>
        <v>8</v>
      </c>
      <c r="C65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5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Lumbar</v>
      </c>
      <c r="E659" s="125" t="s">
        <v>2608</v>
      </c>
      <c r="F659" s="48" t="s">
        <v>2569</v>
      </c>
      <c r="G659" s="30" t="s">
        <v>802</v>
      </c>
      <c r="H659" s="37" t="s">
        <v>1095</v>
      </c>
      <c r="I659" s="37"/>
      <c r="J659" s="37" t="s">
        <v>1096</v>
      </c>
      <c r="K659" s="32">
        <v>8</v>
      </c>
      <c r="L659" s="32">
        <v>9</v>
      </c>
      <c r="M659" s="32">
        <v>0</v>
      </c>
      <c r="N659" s="32">
        <v>17</v>
      </c>
      <c r="O659" s="33">
        <v>935</v>
      </c>
      <c r="P659" s="38" t="s">
        <v>1014</v>
      </c>
      <c r="Q659" s="34" t="str">
        <f>IF(MasterFees[[#This Row],[GST Basis]]="Excl",MasterFees[[#This Row],[Fee as Printed]],IF(MasterFees[[#This Row],[GST Basis]]="Incl",MasterFees[[#This Row],[Fee as Printed]]/(1+GST_Rate),""))</f>
        <v/>
      </c>
      <c r="R659" s="34" t="str">
        <f>IF(MasterFees[[#This Row],[GST Basis]]="Incl",MasterFees[[#This Row],[Fee as Printed]],IF(MasterFees[[#This Row],[GST Basis]]="Excl",MasterFees[[#This Row],[Fee as Printed]]*(1+GST_Rate),""))</f>
        <v/>
      </c>
      <c r="S659" s="35">
        <f>IF(N(MasterFees[[#This Row],[Total Units]])=0,"",MasterFees[[#This Row],[Fee as Printed]]/MasterFees[[#This Row],[Total Units]])</f>
        <v>55</v>
      </c>
      <c r="T659" s="36"/>
      <c r="U659" s="39" t="s">
        <v>1012</v>
      </c>
      <c r="V659" s="39" t="s">
        <v>1905</v>
      </c>
      <c r="W659" s="30"/>
      <c r="X659" s="73" t="s">
        <v>3712</v>
      </c>
      <c r="Y659" s="127" t="str">
        <f>_xlfn.XLOOKUP(MasterFees[[#This Row],[Provider / Payer]],Contracts[Contract Name],Contracts[Contract ID],"No contract")</f>
        <v>CON-01</v>
      </c>
      <c r="Z659" s="127" t="str">
        <f>_xlfn.XLOOKUP(MasterFees[[#This Row],[Provider / Payer]],Contracts[Contract Name],Contracts[Pricing Basis],"To confirm")</f>
        <v>To confirm</v>
      </c>
      <c r="AA659" s="127" t="str">
        <f>IF(MasterFees[[#This Row],[Pricing Basis]]="Fixed fee schedule","Yes","No")</f>
        <v>No</v>
      </c>
      <c r="AB659" s="127" t="str">
        <f>IF(OR(MasterFees[[#This Row],[Fee Basis]]="Add-on",MasterFees[[#This Row],[Fee Basis]]="Time band",MasterFees[[#This Row],[Fee Basis]]="Other"),MasterFees[[#This Row],[Fee Basis]],"Base")</f>
        <v>Base</v>
      </c>
      <c r="AC659" s="141" t="str">
        <f>IF(MasterFees[[#This Row],[Fixed Fee?]]="Yes",MasterFees[[#This Row],[Fee Excl. GST]],"")</f>
        <v/>
      </c>
    </row>
    <row r="660" spans="1:29" x14ac:dyDescent="0.2">
      <c r="A660" s="67" t="s">
        <v>2302</v>
      </c>
      <c r="B660" s="31">
        <f>IF(MasterFees[[#This Row],[RVG Code]]="","",_xlfn.XLOOKUP(MasterFees[[#This Row],[RVG Code]],RVGCodes[Code],RVGCodes[Base Units],"Code not found"))</f>
        <v>10</v>
      </c>
      <c r="C66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6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Lumbar</v>
      </c>
      <c r="E660" s="125" t="s">
        <v>2621</v>
      </c>
      <c r="F660" s="48" t="s">
        <v>2567</v>
      </c>
      <c r="G660" s="30" t="s">
        <v>846</v>
      </c>
      <c r="H660" s="37" t="s">
        <v>1095</v>
      </c>
      <c r="I660" s="37"/>
      <c r="J660" s="37" t="s">
        <v>1096</v>
      </c>
      <c r="K660" s="32">
        <v>10</v>
      </c>
      <c r="L660" s="32">
        <v>12</v>
      </c>
      <c r="M660" s="32">
        <v>1</v>
      </c>
      <c r="N660" s="32">
        <v>23</v>
      </c>
      <c r="O660" s="33">
        <v>1265</v>
      </c>
      <c r="P660" s="38" t="s">
        <v>1014</v>
      </c>
      <c r="Q660" s="34" t="str">
        <f>IF(MasterFees[[#This Row],[GST Basis]]="Excl",MasterFees[[#This Row],[Fee as Printed]],IF(MasterFees[[#This Row],[GST Basis]]="Incl",MasterFees[[#This Row],[Fee as Printed]]/(1+GST_Rate),""))</f>
        <v/>
      </c>
      <c r="R660" s="34" t="str">
        <f>IF(MasterFees[[#This Row],[GST Basis]]="Incl",MasterFees[[#This Row],[Fee as Printed]],IF(MasterFees[[#This Row],[GST Basis]]="Excl",MasterFees[[#This Row],[Fee as Printed]]*(1+GST_Rate),""))</f>
        <v/>
      </c>
      <c r="S660" s="35">
        <f>IF(N(MasterFees[[#This Row],[Total Units]])=0,"",MasterFees[[#This Row],[Fee as Printed]]/MasterFees[[#This Row],[Total Units]])</f>
        <v>55</v>
      </c>
      <c r="T660" s="36"/>
      <c r="U660" s="39" t="s">
        <v>1012</v>
      </c>
      <c r="V660" s="39" t="s">
        <v>1949</v>
      </c>
      <c r="W660" s="30"/>
      <c r="X660" s="73" t="s">
        <v>3762</v>
      </c>
      <c r="Y660" s="127" t="str">
        <f>_xlfn.XLOOKUP(MasterFees[[#This Row],[Provider / Payer]],Contracts[Contract Name],Contracts[Contract ID],"No contract")</f>
        <v>CON-01</v>
      </c>
      <c r="Z660" s="127" t="str">
        <f>_xlfn.XLOOKUP(MasterFees[[#This Row],[Provider / Payer]],Contracts[Contract Name],Contracts[Pricing Basis],"To confirm")</f>
        <v>To confirm</v>
      </c>
      <c r="AA660" s="127" t="str">
        <f>IF(MasterFees[[#This Row],[Pricing Basis]]="Fixed fee schedule","Yes","No")</f>
        <v>No</v>
      </c>
      <c r="AB660" s="127" t="str">
        <f>IF(OR(MasterFees[[#This Row],[Fee Basis]]="Add-on",MasterFees[[#This Row],[Fee Basis]]="Time band",MasterFees[[#This Row],[Fee Basis]]="Other"),MasterFees[[#This Row],[Fee Basis]],"Base")</f>
        <v>Base</v>
      </c>
      <c r="AC660" s="141" t="str">
        <f>IF(MasterFees[[#This Row],[Fixed Fee?]]="Yes",MasterFees[[#This Row],[Fee Excl. GST]],"")</f>
        <v/>
      </c>
    </row>
    <row r="661" spans="1:29" x14ac:dyDescent="0.2">
      <c r="A661" s="67" t="s">
        <v>2302</v>
      </c>
      <c r="B661" s="31">
        <f>IF(MasterFees[[#This Row],[RVG Code]]="","",_xlfn.XLOOKUP(MasterFees[[#This Row],[RVG Code]],RVGCodes[Code],RVGCodes[Base Units],"Code not found"))</f>
        <v>10</v>
      </c>
      <c r="C66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6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Lumbar</v>
      </c>
      <c r="E661" s="125" t="s">
        <v>2621</v>
      </c>
      <c r="F661" s="48" t="s">
        <v>2567</v>
      </c>
      <c r="G661" s="30" t="s">
        <v>868</v>
      </c>
      <c r="H661" s="37" t="s">
        <v>1095</v>
      </c>
      <c r="I661" s="37"/>
      <c r="J661" s="37" t="s">
        <v>1096</v>
      </c>
      <c r="K661" s="32">
        <v>9</v>
      </c>
      <c r="L661" s="32">
        <v>6.5</v>
      </c>
      <c r="M661" s="32">
        <v>2.5</v>
      </c>
      <c r="N661" s="32">
        <v>18</v>
      </c>
      <c r="O661" s="33">
        <v>990</v>
      </c>
      <c r="P661" s="38" t="s">
        <v>1014</v>
      </c>
      <c r="Q661" s="34" t="str">
        <f>IF(MasterFees[[#This Row],[GST Basis]]="Excl",MasterFees[[#This Row],[Fee as Printed]],IF(MasterFees[[#This Row],[GST Basis]]="Incl",MasterFees[[#This Row],[Fee as Printed]]/(1+GST_Rate),""))</f>
        <v/>
      </c>
      <c r="R661" s="34" t="str">
        <f>IF(MasterFees[[#This Row],[GST Basis]]="Incl",MasterFees[[#This Row],[Fee as Printed]],IF(MasterFees[[#This Row],[GST Basis]]="Excl",MasterFees[[#This Row],[Fee as Printed]]*(1+GST_Rate),""))</f>
        <v/>
      </c>
      <c r="S661" s="35">
        <f>IF(N(MasterFees[[#This Row],[Total Units]])=0,"",MasterFees[[#This Row],[Fee as Printed]]/MasterFees[[#This Row],[Total Units]])</f>
        <v>55</v>
      </c>
      <c r="T661" s="36"/>
      <c r="U661" s="39" t="s">
        <v>1012</v>
      </c>
      <c r="V661" s="39" t="s">
        <v>1971</v>
      </c>
      <c r="W661" s="30"/>
      <c r="X661" s="73" t="s">
        <v>3788</v>
      </c>
      <c r="Y661" s="127" t="str">
        <f>_xlfn.XLOOKUP(MasterFees[[#This Row],[Provider / Payer]],Contracts[Contract Name],Contracts[Contract ID],"No contract")</f>
        <v>CON-01</v>
      </c>
      <c r="Z661" s="127" t="str">
        <f>_xlfn.XLOOKUP(MasterFees[[#This Row],[Provider / Payer]],Contracts[Contract Name],Contracts[Pricing Basis],"To confirm")</f>
        <v>To confirm</v>
      </c>
      <c r="AA661" s="127" t="str">
        <f>IF(MasterFees[[#This Row],[Pricing Basis]]="Fixed fee schedule","Yes","No")</f>
        <v>No</v>
      </c>
      <c r="AB661" s="127" t="str">
        <f>IF(OR(MasterFees[[#This Row],[Fee Basis]]="Add-on",MasterFees[[#This Row],[Fee Basis]]="Time band",MasterFees[[#This Row],[Fee Basis]]="Other"),MasterFees[[#This Row],[Fee Basis]],"Base")</f>
        <v>Base</v>
      </c>
      <c r="AC661" s="141" t="str">
        <f>IF(MasterFees[[#This Row],[Fixed Fee?]]="Yes",MasterFees[[#This Row],[Fee Excl. GST]],"")</f>
        <v/>
      </c>
    </row>
    <row r="662" spans="1:29" x14ac:dyDescent="0.2">
      <c r="A662" s="67" t="s">
        <v>2294</v>
      </c>
      <c r="B662" s="31">
        <f>IF(MasterFees[[#This Row],[RVG Code]]="","",_xlfn.XLOOKUP(MasterFees[[#This Row],[RVG Code]],RVGCodes[Code],RVGCodes[Base Units],"Code not found"))</f>
        <v>8</v>
      </c>
      <c r="C66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6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Lumbar</v>
      </c>
      <c r="E662" s="125" t="s">
        <v>2608</v>
      </c>
      <c r="F662" s="48" t="s">
        <v>2569</v>
      </c>
      <c r="G662" s="30" t="s">
        <v>875</v>
      </c>
      <c r="H662" s="37" t="s">
        <v>1095</v>
      </c>
      <c r="I662" s="37"/>
      <c r="J662" s="37" t="s">
        <v>1096</v>
      </c>
      <c r="K662" s="32">
        <v>8</v>
      </c>
      <c r="L662" s="32">
        <v>7.3</v>
      </c>
      <c r="M662" s="32">
        <v>1.3</v>
      </c>
      <c r="N662" s="32">
        <v>16.600000000000001</v>
      </c>
      <c r="O662" s="33">
        <v>911.9</v>
      </c>
      <c r="P662" s="38" t="s">
        <v>1014</v>
      </c>
      <c r="Q662" s="34" t="str">
        <f>IF(MasterFees[[#This Row],[GST Basis]]="Excl",MasterFees[[#This Row],[Fee as Printed]],IF(MasterFees[[#This Row],[GST Basis]]="Incl",MasterFees[[#This Row],[Fee as Printed]]/(1+GST_Rate),""))</f>
        <v/>
      </c>
      <c r="R662" s="34" t="str">
        <f>IF(MasterFees[[#This Row],[GST Basis]]="Incl",MasterFees[[#This Row],[Fee as Printed]],IF(MasterFees[[#This Row],[GST Basis]]="Excl",MasterFees[[#This Row],[Fee as Printed]]*(1+GST_Rate),""))</f>
        <v/>
      </c>
      <c r="S662" s="35">
        <f>IF(N(MasterFees[[#This Row],[Total Units]])=0,"",MasterFees[[#This Row],[Fee as Printed]]/MasterFees[[#This Row],[Total Units]])</f>
        <v>54.933734939759027</v>
      </c>
      <c r="T662" s="36"/>
      <c r="U662" s="39" t="s">
        <v>1012</v>
      </c>
      <c r="V662" s="39" t="s">
        <v>1978</v>
      </c>
      <c r="W662" s="30"/>
      <c r="X662" s="73" t="s">
        <v>3795</v>
      </c>
      <c r="Y662" s="127" t="str">
        <f>_xlfn.XLOOKUP(MasterFees[[#This Row],[Provider / Payer]],Contracts[Contract Name],Contracts[Contract ID],"No contract")</f>
        <v>CON-01</v>
      </c>
      <c r="Z662" s="127" t="str">
        <f>_xlfn.XLOOKUP(MasterFees[[#This Row],[Provider / Payer]],Contracts[Contract Name],Contracts[Pricing Basis],"To confirm")</f>
        <v>To confirm</v>
      </c>
      <c r="AA662" s="127" t="str">
        <f>IF(MasterFees[[#This Row],[Pricing Basis]]="Fixed fee schedule","Yes","No")</f>
        <v>No</v>
      </c>
      <c r="AB662" s="127" t="str">
        <f>IF(OR(MasterFees[[#This Row],[Fee Basis]]="Add-on",MasterFees[[#This Row],[Fee Basis]]="Time band",MasterFees[[#This Row],[Fee Basis]]="Other"),MasterFees[[#This Row],[Fee Basis]],"Base")</f>
        <v>Base</v>
      </c>
      <c r="AC662" s="141" t="str">
        <f>IF(MasterFees[[#This Row],[Fixed Fee?]]="Yes",MasterFees[[#This Row],[Fee Excl. GST]],"")</f>
        <v/>
      </c>
    </row>
    <row r="663" spans="1:29" x14ac:dyDescent="0.2">
      <c r="A663" s="67" t="s">
        <v>2302</v>
      </c>
      <c r="B663" s="31">
        <f>IF(MasterFees[[#This Row],[RVG Code]]="","",_xlfn.XLOOKUP(MasterFees[[#This Row],[RVG Code]],RVGCodes[Code],RVGCodes[Base Units],"Code not found"))</f>
        <v>10</v>
      </c>
      <c r="C66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6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Lumbar</v>
      </c>
      <c r="E663" s="125" t="s">
        <v>2621</v>
      </c>
      <c r="F663" s="48" t="s">
        <v>2567</v>
      </c>
      <c r="G663" s="30" t="s">
        <v>876</v>
      </c>
      <c r="H663" s="37" t="s">
        <v>1095</v>
      </c>
      <c r="I663" s="37"/>
      <c r="J663" s="37" t="s">
        <v>1096</v>
      </c>
      <c r="K663" s="32">
        <v>6.7</v>
      </c>
      <c r="L663" s="32">
        <v>15.8</v>
      </c>
      <c r="M663" s="32">
        <v>1.2</v>
      </c>
      <c r="N663" s="32">
        <v>23.7</v>
      </c>
      <c r="O663" s="33">
        <v>1300.75</v>
      </c>
      <c r="P663" s="38" t="s">
        <v>1014</v>
      </c>
      <c r="Q663" s="34" t="str">
        <f>IF(MasterFees[[#This Row],[GST Basis]]="Excl",MasterFees[[#This Row],[Fee as Printed]],IF(MasterFees[[#This Row],[GST Basis]]="Incl",MasterFees[[#This Row],[Fee as Printed]]/(1+GST_Rate),""))</f>
        <v/>
      </c>
      <c r="R663" s="34" t="str">
        <f>IF(MasterFees[[#This Row],[GST Basis]]="Incl",MasterFees[[#This Row],[Fee as Printed]],IF(MasterFees[[#This Row],[GST Basis]]="Excl",MasterFees[[#This Row],[Fee as Printed]]*(1+GST_Rate),""))</f>
        <v/>
      </c>
      <c r="S663" s="35">
        <f>IF(N(MasterFees[[#This Row],[Total Units]])=0,"",MasterFees[[#This Row],[Fee as Printed]]/MasterFees[[#This Row],[Total Units]])</f>
        <v>54.883966244725741</v>
      </c>
      <c r="T663" s="36"/>
      <c r="U663" s="39" t="s">
        <v>1012</v>
      </c>
      <c r="V663" s="39" t="s">
        <v>1979</v>
      </c>
      <c r="W663" s="30"/>
      <c r="X663" s="73" t="s">
        <v>3797</v>
      </c>
      <c r="Y663" s="127" t="str">
        <f>_xlfn.XLOOKUP(MasterFees[[#This Row],[Provider / Payer]],Contracts[Contract Name],Contracts[Contract ID],"No contract")</f>
        <v>CON-01</v>
      </c>
      <c r="Z663" s="127" t="str">
        <f>_xlfn.XLOOKUP(MasterFees[[#This Row],[Provider / Payer]],Contracts[Contract Name],Contracts[Pricing Basis],"To confirm")</f>
        <v>To confirm</v>
      </c>
      <c r="AA663" s="127" t="str">
        <f>IF(MasterFees[[#This Row],[Pricing Basis]]="Fixed fee schedule","Yes","No")</f>
        <v>No</v>
      </c>
      <c r="AB663" s="127" t="str">
        <f>IF(OR(MasterFees[[#This Row],[Fee Basis]]="Add-on",MasterFees[[#This Row],[Fee Basis]]="Time band",MasterFees[[#This Row],[Fee Basis]]="Other"),MasterFees[[#This Row],[Fee Basis]],"Base")</f>
        <v>Base</v>
      </c>
      <c r="AC663" s="141" t="str">
        <f>IF(MasterFees[[#This Row],[Fixed Fee?]]="Yes",MasterFees[[#This Row],[Fee Excl. GST]],"")</f>
        <v/>
      </c>
    </row>
    <row r="664" spans="1:29" x14ac:dyDescent="0.2">
      <c r="A664" s="67" t="s">
        <v>2291</v>
      </c>
      <c r="B664" s="31">
        <f>IF(MasterFees[[#This Row],[RVG Code]]="","",_xlfn.XLOOKUP(MasterFees[[#This Row],[RVG Code]],RVGCodes[Code],RVGCodes[Base Units],"Code not found"))</f>
        <v>20</v>
      </c>
      <c r="C66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6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Thoracic</v>
      </c>
      <c r="E664" s="125" t="s">
        <v>2704</v>
      </c>
      <c r="F664" s="48" t="s">
        <v>2565</v>
      </c>
      <c r="G664" s="30" t="s">
        <v>2292</v>
      </c>
      <c r="H664" s="37" t="s">
        <v>2630</v>
      </c>
      <c r="I664" s="37" t="s">
        <v>2291</v>
      </c>
      <c r="J664" s="37" t="s">
        <v>1096</v>
      </c>
      <c r="K664" s="32">
        <v>20</v>
      </c>
      <c r="L664" s="32"/>
      <c r="M664" s="32"/>
      <c r="N664" s="32">
        <v>20</v>
      </c>
      <c r="O664" s="33"/>
      <c r="P664" s="38"/>
      <c r="Q664" s="34" t="str">
        <f>IF(MasterFees[[#This Row],[GST Basis]]="Excl",MasterFees[[#This Row],[Fee as Printed]],IF(MasterFees[[#This Row],[GST Basis]]="Incl",MasterFees[[#This Row],[Fee as Printed]]/(1+GST_Rate),""))</f>
        <v/>
      </c>
      <c r="R664" s="34" t="str">
        <f>IF(MasterFees[[#This Row],[GST Basis]]="Incl",MasterFees[[#This Row],[Fee as Printed]],IF(MasterFees[[#This Row],[GST Basis]]="Excl",MasterFees[[#This Row],[Fee as Printed]]*(1+GST_Rate),""))</f>
        <v/>
      </c>
      <c r="S664" s="35">
        <f>IF(N(MasterFees[[#This Row],[Total Units]])=0,"",MasterFees[[#This Row],[Fee as Printed]]/MasterFees[[#This Row],[Total Units]])</f>
        <v>0</v>
      </c>
      <c r="T664" s="36"/>
      <c r="U664" s="39" t="s">
        <v>1016</v>
      </c>
      <c r="V664" s="39" t="s">
        <v>2703</v>
      </c>
      <c r="W664" s="30" t="s">
        <v>2655</v>
      </c>
      <c r="X664" s="73" t="s">
        <v>3940</v>
      </c>
      <c r="Y664" s="127" t="str">
        <f>_xlfn.XLOOKUP(MasterFees[[#This Row],[Provider / Payer]],Contracts[Contract Name],Contracts[Contract ID],"No contract")</f>
        <v>CON-10</v>
      </c>
      <c r="Z664" s="127" t="str">
        <f>_xlfn.XLOOKUP(MasterFees[[#This Row],[Provider / Payer]],Contracts[Contract Name],Contracts[Pricing Basis],"To confirm")</f>
        <v>Reference – units only</v>
      </c>
      <c r="AA664" s="127" t="str">
        <f>IF(MasterFees[[#This Row],[Pricing Basis]]="Fixed fee schedule","Yes","No")</f>
        <v>No</v>
      </c>
      <c r="AB664" s="127" t="str">
        <f>IF(OR(MasterFees[[#This Row],[Fee Basis]]="Add-on",MasterFees[[#This Row],[Fee Basis]]="Time band",MasterFees[[#This Row],[Fee Basis]]="Other"),MasterFees[[#This Row],[Fee Basis]],"Base")</f>
        <v>Base</v>
      </c>
      <c r="AC664" s="141" t="str">
        <f>IF(MasterFees[[#This Row],[Fixed Fee?]]="Yes",MasterFees[[#This Row],[Fee Excl. GST]],"")</f>
        <v/>
      </c>
    </row>
    <row r="665" spans="1:29" x14ac:dyDescent="0.2">
      <c r="A665" s="67" t="s">
        <v>2289</v>
      </c>
      <c r="B665" s="31">
        <f>IF(MasterFees[[#This Row],[RVG Code]]="","",_xlfn.XLOOKUP(MasterFees[[#This Row],[RVG Code]],RVGCodes[Code],RVGCodes[Base Units],"Code not found"))</f>
        <v>16</v>
      </c>
      <c r="C66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05 - Spine</v>
      </c>
      <c r="D66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Thoracic</v>
      </c>
      <c r="E665" s="125" t="s">
        <v>2702</v>
      </c>
      <c r="F665" s="48" t="s">
        <v>2565</v>
      </c>
      <c r="G665" s="30" t="s">
        <v>2290</v>
      </c>
      <c r="H665" s="37" t="s">
        <v>2630</v>
      </c>
      <c r="I665" s="37" t="s">
        <v>2289</v>
      </c>
      <c r="J665" s="37" t="s">
        <v>1096</v>
      </c>
      <c r="K665" s="32">
        <v>16</v>
      </c>
      <c r="L665" s="32"/>
      <c r="M665" s="32"/>
      <c r="N665" s="32">
        <v>16</v>
      </c>
      <c r="O665" s="33"/>
      <c r="P665" s="38"/>
      <c r="Q665" s="34" t="str">
        <f>IF(MasterFees[[#This Row],[GST Basis]]="Excl",MasterFees[[#This Row],[Fee as Printed]],IF(MasterFees[[#This Row],[GST Basis]]="Incl",MasterFees[[#This Row],[Fee as Printed]]/(1+GST_Rate),""))</f>
        <v/>
      </c>
      <c r="R665" s="34" t="str">
        <f>IF(MasterFees[[#This Row],[GST Basis]]="Incl",MasterFees[[#This Row],[Fee as Printed]],IF(MasterFees[[#This Row],[GST Basis]]="Excl",MasterFees[[#This Row],[Fee as Printed]]*(1+GST_Rate),""))</f>
        <v/>
      </c>
      <c r="S665" s="35">
        <f>IF(N(MasterFees[[#This Row],[Total Units]])=0,"",MasterFees[[#This Row],[Fee as Printed]]/MasterFees[[#This Row],[Total Units]])</f>
        <v>0</v>
      </c>
      <c r="T665" s="36"/>
      <c r="U665" s="39" t="s">
        <v>1016</v>
      </c>
      <c r="V665" s="39" t="s">
        <v>2703</v>
      </c>
      <c r="W665" s="30" t="s">
        <v>2655</v>
      </c>
      <c r="X665" s="73" t="s">
        <v>3939</v>
      </c>
      <c r="Y665" s="127" t="str">
        <f>_xlfn.XLOOKUP(MasterFees[[#This Row],[Provider / Payer]],Contracts[Contract Name],Contracts[Contract ID],"No contract")</f>
        <v>CON-10</v>
      </c>
      <c r="Z665" s="127" t="str">
        <f>_xlfn.XLOOKUP(MasterFees[[#This Row],[Provider / Payer]],Contracts[Contract Name],Contracts[Pricing Basis],"To confirm")</f>
        <v>Reference – units only</v>
      </c>
      <c r="AA665" s="127" t="str">
        <f>IF(MasterFees[[#This Row],[Pricing Basis]]="Fixed fee schedule","Yes","No")</f>
        <v>No</v>
      </c>
      <c r="AB665" s="127" t="str">
        <f>IF(OR(MasterFees[[#This Row],[Fee Basis]]="Add-on",MasterFees[[#This Row],[Fee Basis]]="Time band",MasterFees[[#This Row],[Fee Basis]]="Other"),MasterFees[[#This Row],[Fee Basis]],"Base")</f>
        <v>Base</v>
      </c>
      <c r="AC665" s="141" t="str">
        <f>IF(MasterFees[[#This Row],[Fixed Fee?]]="Yes",MasterFees[[#This Row],[Fee Excl. GST]],"")</f>
        <v/>
      </c>
    </row>
    <row r="666" spans="1:29" x14ac:dyDescent="0.2">
      <c r="A666" s="67" t="s">
        <v>2320</v>
      </c>
      <c r="B666" s="31">
        <f>IF(MasterFees[[#This Row],[RVG Code]]="","",_xlfn.XLOOKUP(MasterFees[[#This Row],[RVG Code]],RVGCodes[Code],RVGCodes[Base Units],"Code not found"))</f>
        <v>6</v>
      </c>
      <c r="C66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66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66" s="125" t="s">
        <v>2573</v>
      </c>
      <c r="F666" s="48" t="s">
        <v>2569</v>
      </c>
      <c r="G666" s="30" t="s">
        <v>16</v>
      </c>
      <c r="H666" s="37" t="s">
        <v>1095</v>
      </c>
      <c r="I666" s="37"/>
      <c r="J666" s="37" t="s">
        <v>1096</v>
      </c>
      <c r="K666" s="32">
        <v>6.2</v>
      </c>
      <c r="L666" s="32">
        <v>7.2</v>
      </c>
      <c r="M666" s="32">
        <v>0.5</v>
      </c>
      <c r="N666" s="32">
        <v>13.9</v>
      </c>
      <c r="O666" s="33">
        <v>761.75</v>
      </c>
      <c r="P666" s="38" t="s">
        <v>1014</v>
      </c>
      <c r="Q666" s="34" t="str">
        <f>IF(MasterFees[[#This Row],[GST Basis]]="Excl",MasterFees[[#This Row],[Fee as Printed]],IF(MasterFees[[#This Row],[GST Basis]]="Incl",MasterFees[[#This Row],[Fee as Printed]]/(1+GST_Rate),""))</f>
        <v/>
      </c>
      <c r="R666" s="34" t="str">
        <f>IF(MasterFees[[#This Row],[GST Basis]]="Incl",MasterFees[[#This Row],[Fee as Printed]],IF(MasterFees[[#This Row],[GST Basis]]="Excl",MasterFees[[#This Row],[Fee as Printed]]*(1+GST_Rate),""))</f>
        <v/>
      </c>
      <c r="S666" s="35">
        <f>IF(N(MasterFees[[#This Row],[Total Units]])=0,"",MasterFees[[#This Row],[Fee as Printed]]/MasterFees[[#This Row],[Total Units]])</f>
        <v>54.802158273381295</v>
      </c>
      <c r="T666" s="36"/>
      <c r="U666" s="39" t="s">
        <v>1012</v>
      </c>
      <c r="V666" s="39" t="s">
        <v>1105</v>
      </c>
      <c r="W666" s="30"/>
      <c r="X666" s="73" t="s">
        <v>2887</v>
      </c>
      <c r="Y666" s="127" t="str">
        <f>_xlfn.XLOOKUP(MasterFees[[#This Row],[Provider / Payer]],Contracts[Contract Name],Contracts[Contract ID],"No contract")</f>
        <v>CON-01</v>
      </c>
      <c r="Z666" s="127" t="str">
        <f>_xlfn.XLOOKUP(MasterFees[[#This Row],[Provider / Payer]],Contracts[Contract Name],Contracts[Pricing Basis],"To confirm")</f>
        <v>To confirm</v>
      </c>
      <c r="AA666" s="127" t="str">
        <f>IF(MasterFees[[#This Row],[Pricing Basis]]="Fixed fee schedule","Yes","No")</f>
        <v>No</v>
      </c>
      <c r="AB666" s="127" t="str">
        <f>IF(OR(MasterFees[[#This Row],[Fee Basis]]="Add-on",MasterFees[[#This Row],[Fee Basis]]="Time band",MasterFees[[#This Row],[Fee Basis]]="Other"),MasterFees[[#This Row],[Fee Basis]],"Base")</f>
        <v>Base</v>
      </c>
      <c r="AC666" s="141" t="str">
        <f>IF(MasterFees[[#This Row],[Fixed Fee?]]="Yes",MasterFees[[#This Row],[Fee Excl. GST]],"")</f>
        <v/>
      </c>
    </row>
    <row r="667" spans="1:29" x14ac:dyDescent="0.2">
      <c r="A667" s="67" t="s">
        <v>2312</v>
      </c>
      <c r="B667" s="31">
        <f>IF(MasterFees[[#This Row],[RVG Code]]="","",_xlfn.XLOOKUP(MasterFees[[#This Row],[RVG Code]],RVGCodes[Code],RVGCodes[Base Units],"Code not found"))</f>
        <v>4</v>
      </c>
      <c r="C66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66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67" s="125" t="s">
        <v>2574</v>
      </c>
      <c r="F667" s="48" t="s">
        <v>2567</v>
      </c>
      <c r="G667" s="30" t="s">
        <v>17</v>
      </c>
      <c r="H667" s="37" t="s">
        <v>1095</v>
      </c>
      <c r="I667" s="37"/>
      <c r="J667" s="37" t="s">
        <v>1096</v>
      </c>
      <c r="K667" s="32">
        <v>3.5</v>
      </c>
      <c r="L667" s="32">
        <v>5.2</v>
      </c>
      <c r="M667" s="32">
        <v>0.2</v>
      </c>
      <c r="N667" s="32">
        <v>8.8000000000000007</v>
      </c>
      <c r="O667" s="33">
        <v>485.1</v>
      </c>
      <c r="P667" s="38" t="s">
        <v>1014</v>
      </c>
      <c r="Q667" s="34" t="str">
        <f>IF(MasterFees[[#This Row],[GST Basis]]="Excl",MasterFees[[#This Row],[Fee as Printed]],IF(MasterFees[[#This Row],[GST Basis]]="Incl",MasterFees[[#This Row],[Fee as Printed]]/(1+GST_Rate),""))</f>
        <v/>
      </c>
      <c r="R667" s="34" t="str">
        <f>IF(MasterFees[[#This Row],[GST Basis]]="Incl",MasterFees[[#This Row],[Fee as Printed]],IF(MasterFees[[#This Row],[GST Basis]]="Excl",MasterFees[[#This Row],[Fee as Printed]]*(1+GST_Rate),""))</f>
        <v/>
      </c>
      <c r="S667" s="35">
        <f>IF(N(MasterFees[[#This Row],[Total Units]])=0,"",MasterFees[[#This Row],[Fee as Printed]]/MasterFees[[#This Row],[Total Units]])</f>
        <v>55.125</v>
      </c>
      <c r="T667" s="36"/>
      <c r="U667" s="39" t="s">
        <v>1012</v>
      </c>
      <c r="V667" s="39" t="s">
        <v>1106</v>
      </c>
      <c r="W667" s="30"/>
      <c r="X667" s="73" t="s">
        <v>2888</v>
      </c>
      <c r="Y667" s="127" t="str">
        <f>_xlfn.XLOOKUP(MasterFees[[#This Row],[Provider / Payer]],Contracts[Contract Name],Contracts[Contract ID],"No contract")</f>
        <v>CON-01</v>
      </c>
      <c r="Z667" s="127" t="str">
        <f>_xlfn.XLOOKUP(MasterFees[[#This Row],[Provider / Payer]],Contracts[Contract Name],Contracts[Pricing Basis],"To confirm")</f>
        <v>To confirm</v>
      </c>
      <c r="AA667" s="127" t="str">
        <f>IF(MasterFees[[#This Row],[Pricing Basis]]="Fixed fee schedule","Yes","No")</f>
        <v>No</v>
      </c>
      <c r="AB667" s="127" t="str">
        <f>IF(OR(MasterFees[[#This Row],[Fee Basis]]="Add-on",MasterFees[[#This Row],[Fee Basis]]="Time band",MasterFees[[#This Row],[Fee Basis]]="Other"),MasterFees[[#This Row],[Fee Basis]],"Base")</f>
        <v>Base</v>
      </c>
      <c r="AC667" s="141" t="str">
        <f>IF(MasterFees[[#This Row],[Fixed Fee?]]="Yes",MasterFees[[#This Row],[Fee Excl. GST]],"")</f>
        <v/>
      </c>
    </row>
    <row r="668" spans="1:29" x14ac:dyDescent="0.2">
      <c r="A668" s="67" t="s">
        <v>2312</v>
      </c>
      <c r="B668" s="31">
        <f>IF(MasterFees[[#This Row],[RVG Code]]="","",_xlfn.XLOOKUP(MasterFees[[#This Row],[RVG Code]],RVGCodes[Code],RVGCodes[Base Units],"Code not found"))</f>
        <v>4</v>
      </c>
      <c r="C66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66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68" s="125" t="s">
        <v>2574</v>
      </c>
      <c r="F668" s="48" t="s">
        <v>2567</v>
      </c>
      <c r="G668" s="30" t="s">
        <v>18</v>
      </c>
      <c r="H668" s="37" t="s">
        <v>1095</v>
      </c>
      <c r="I668" s="37"/>
      <c r="J668" s="37" t="s">
        <v>1096</v>
      </c>
      <c r="K668" s="32">
        <v>8</v>
      </c>
      <c r="L668" s="32">
        <v>14</v>
      </c>
      <c r="M668" s="32">
        <v>0</v>
      </c>
      <c r="N668" s="32">
        <v>22</v>
      </c>
      <c r="O668" s="33">
        <v>1210</v>
      </c>
      <c r="P668" s="38" t="s">
        <v>1014</v>
      </c>
      <c r="Q668" s="34" t="str">
        <f>IF(MasterFees[[#This Row],[GST Basis]]="Excl",MasterFees[[#This Row],[Fee as Printed]],IF(MasterFees[[#This Row],[GST Basis]]="Incl",MasterFees[[#This Row],[Fee as Printed]]/(1+GST_Rate),""))</f>
        <v/>
      </c>
      <c r="R668" s="34" t="str">
        <f>IF(MasterFees[[#This Row],[GST Basis]]="Incl",MasterFees[[#This Row],[Fee as Printed]],IF(MasterFees[[#This Row],[GST Basis]]="Excl",MasterFees[[#This Row],[Fee as Printed]]*(1+GST_Rate),""))</f>
        <v/>
      </c>
      <c r="S668" s="35">
        <f>IF(N(MasterFees[[#This Row],[Total Units]])=0,"",MasterFees[[#This Row],[Fee as Printed]]/MasterFees[[#This Row],[Total Units]])</f>
        <v>55</v>
      </c>
      <c r="T668" s="36"/>
      <c r="U668" s="39" t="s">
        <v>1012</v>
      </c>
      <c r="V668" s="39" t="s">
        <v>1107</v>
      </c>
      <c r="W668" s="30"/>
      <c r="X668" s="73" t="s">
        <v>2889</v>
      </c>
      <c r="Y668" s="127" t="str">
        <f>_xlfn.XLOOKUP(MasterFees[[#This Row],[Provider / Payer]],Contracts[Contract Name],Contracts[Contract ID],"No contract")</f>
        <v>CON-01</v>
      </c>
      <c r="Z668" s="127" t="str">
        <f>_xlfn.XLOOKUP(MasterFees[[#This Row],[Provider / Payer]],Contracts[Contract Name],Contracts[Pricing Basis],"To confirm")</f>
        <v>To confirm</v>
      </c>
      <c r="AA668" s="127" t="str">
        <f>IF(MasterFees[[#This Row],[Pricing Basis]]="Fixed fee schedule","Yes","No")</f>
        <v>No</v>
      </c>
      <c r="AB668" s="127" t="str">
        <f>IF(OR(MasterFees[[#This Row],[Fee Basis]]="Add-on",MasterFees[[#This Row],[Fee Basis]]="Time band",MasterFees[[#This Row],[Fee Basis]]="Other"),MasterFees[[#This Row],[Fee Basis]],"Base")</f>
        <v>Base</v>
      </c>
      <c r="AC668" s="141" t="str">
        <f>IF(MasterFees[[#This Row],[Fixed Fee?]]="Yes",MasterFees[[#This Row],[Fee Excl. GST]],"")</f>
        <v/>
      </c>
    </row>
    <row r="669" spans="1:29" x14ac:dyDescent="0.2">
      <c r="A669" s="67" t="s">
        <v>2324</v>
      </c>
      <c r="B669" s="31">
        <f>IF(MasterFees[[#This Row],[RVG Code]]="","",_xlfn.XLOOKUP(MasterFees[[#This Row],[RVG Code]],RVGCodes[Code],RVGCodes[Base Units],"Code not found"))</f>
        <v>8</v>
      </c>
      <c r="C66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66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69" s="125" t="s">
        <v>2575</v>
      </c>
      <c r="F669" s="48" t="s">
        <v>2569</v>
      </c>
      <c r="G669" s="30" t="s">
        <v>19</v>
      </c>
      <c r="H669" s="37" t="s">
        <v>1095</v>
      </c>
      <c r="I669" s="37"/>
      <c r="J669" s="37" t="s">
        <v>1096</v>
      </c>
      <c r="K669" s="32">
        <v>7</v>
      </c>
      <c r="L669" s="32">
        <v>13</v>
      </c>
      <c r="M669" s="32">
        <v>1.2</v>
      </c>
      <c r="N669" s="32">
        <v>21.2</v>
      </c>
      <c r="O669" s="33">
        <v>1166</v>
      </c>
      <c r="P669" s="38" t="s">
        <v>1014</v>
      </c>
      <c r="Q669" s="34" t="str">
        <f>IF(MasterFees[[#This Row],[GST Basis]]="Excl",MasterFees[[#This Row],[Fee as Printed]],IF(MasterFees[[#This Row],[GST Basis]]="Incl",MasterFees[[#This Row],[Fee as Printed]]/(1+GST_Rate),""))</f>
        <v/>
      </c>
      <c r="R669" s="34" t="str">
        <f>IF(MasterFees[[#This Row],[GST Basis]]="Incl",MasterFees[[#This Row],[Fee as Printed]],IF(MasterFees[[#This Row],[GST Basis]]="Excl",MasterFees[[#This Row],[Fee as Printed]]*(1+GST_Rate),""))</f>
        <v/>
      </c>
      <c r="S669" s="35">
        <f>IF(N(MasterFees[[#This Row],[Total Units]])=0,"",MasterFees[[#This Row],[Fee as Printed]]/MasterFees[[#This Row],[Total Units]])</f>
        <v>55</v>
      </c>
      <c r="T669" s="36"/>
      <c r="U669" s="39" t="s">
        <v>1012</v>
      </c>
      <c r="V669" s="39" t="s">
        <v>1108</v>
      </c>
      <c r="W669" s="30"/>
      <c r="X669" s="73" t="s">
        <v>2890</v>
      </c>
      <c r="Y669" s="127" t="str">
        <f>_xlfn.XLOOKUP(MasterFees[[#This Row],[Provider / Payer]],Contracts[Contract Name],Contracts[Contract ID],"No contract")</f>
        <v>CON-01</v>
      </c>
      <c r="Z669" s="127" t="str">
        <f>_xlfn.XLOOKUP(MasterFees[[#This Row],[Provider / Payer]],Contracts[Contract Name],Contracts[Pricing Basis],"To confirm")</f>
        <v>To confirm</v>
      </c>
      <c r="AA669" s="127" t="str">
        <f>IF(MasterFees[[#This Row],[Pricing Basis]]="Fixed fee schedule","Yes","No")</f>
        <v>No</v>
      </c>
      <c r="AB669" s="127" t="str">
        <f>IF(OR(MasterFees[[#This Row],[Fee Basis]]="Add-on",MasterFees[[#This Row],[Fee Basis]]="Time band",MasterFees[[#This Row],[Fee Basis]]="Other"),MasterFees[[#This Row],[Fee Basis]],"Base")</f>
        <v>Base</v>
      </c>
      <c r="AC669" s="141" t="str">
        <f>IF(MasterFees[[#This Row],[Fixed Fee?]]="Yes",MasterFees[[#This Row],[Fee Excl. GST]],"")</f>
        <v/>
      </c>
    </row>
    <row r="670" spans="1:29" x14ac:dyDescent="0.2">
      <c r="A670" s="67" t="s">
        <v>2324</v>
      </c>
      <c r="B670" s="31">
        <f>IF(MasterFees[[#This Row],[RVG Code]]="","",_xlfn.XLOOKUP(MasterFees[[#This Row],[RVG Code]],RVGCodes[Code],RVGCodes[Base Units],"Code not found"))</f>
        <v>8</v>
      </c>
      <c r="C67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67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70" s="125" t="s">
        <v>2575</v>
      </c>
      <c r="F670" s="48" t="s">
        <v>2569</v>
      </c>
      <c r="G670" s="30" t="s">
        <v>20</v>
      </c>
      <c r="H670" s="37" t="s">
        <v>1095</v>
      </c>
      <c r="I670" s="37"/>
      <c r="J670" s="37" t="s">
        <v>1096</v>
      </c>
      <c r="K670" s="32">
        <v>7.3</v>
      </c>
      <c r="L670" s="32">
        <v>12.1</v>
      </c>
      <c r="M670" s="32">
        <v>0.8</v>
      </c>
      <c r="N670" s="32">
        <v>20.100000000000001</v>
      </c>
      <c r="O670" s="33">
        <v>1104.4000000000001</v>
      </c>
      <c r="P670" s="38" t="s">
        <v>1014</v>
      </c>
      <c r="Q670" s="34" t="str">
        <f>IF(MasterFees[[#This Row],[GST Basis]]="Excl",MasterFees[[#This Row],[Fee as Printed]],IF(MasterFees[[#This Row],[GST Basis]]="Incl",MasterFees[[#This Row],[Fee as Printed]]/(1+GST_Rate),""))</f>
        <v/>
      </c>
      <c r="R670" s="34" t="str">
        <f>IF(MasterFees[[#This Row],[GST Basis]]="Incl",MasterFees[[#This Row],[Fee as Printed]],IF(MasterFees[[#This Row],[GST Basis]]="Excl",MasterFees[[#This Row],[Fee as Printed]]*(1+GST_Rate),""))</f>
        <v/>
      </c>
      <c r="S670" s="35">
        <f>IF(N(MasterFees[[#This Row],[Total Units]])=0,"",MasterFees[[#This Row],[Fee as Printed]]/MasterFees[[#This Row],[Total Units]])</f>
        <v>54.945273631840799</v>
      </c>
      <c r="T670" s="36"/>
      <c r="U670" s="39" t="s">
        <v>1012</v>
      </c>
      <c r="V670" s="39" t="s">
        <v>1109</v>
      </c>
      <c r="W670" s="30"/>
      <c r="X670" s="73" t="s">
        <v>2891</v>
      </c>
      <c r="Y670" s="127" t="str">
        <f>_xlfn.XLOOKUP(MasterFees[[#This Row],[Provider / Payer]],Contracts[Contract Name],Contracts[Contract ID],"No contract")</f>
        <v>CON-01</v>
      </c>
      <c r="Z670" s="127" t="str">
        <f>_xlfn.XLOOKUP(MasterFees[[#This Row],[Provider / Payer]],Contracts[Contract Name],Contracts[Pricing Basis],"To confirm")</f>
        <v>To confirm</v>
      </c>
      <c r="AA670" s="127" t="str">
        <f>IF(MasterFees[[#This Row],[Pricing Basis]]="Fixed fee schedule","Yes","No")</f>
        <v>No</v>
      </c>
      <c r="AB670" s="127" t="str">
        <f>IF(OR(MasterFees[[#This Row],[Fee Basis]]="Add-on",MasterFees[[#This Row],[Fee Basis]]="Time band",MasterFees[[#This Row],[Fee Basis]]="Other"),MasterFees[[#This Row],[Fee Basis]],"Base")</f>
        <v>Base</v>
      </c>
      <c r="AC670" s="141" t="str">
        <f>IF(MasterFees[[#This Row],[Fixed Fee?]]="Yes",MasterFees[[#This Row],[Fee Excl. GST]],"")</f>
        <v/>
      </c>
    </row>
    <row r="671" spans="1:29" x14ac:dyDescent="0.2">
      <c r="A671" s="67" t="s">
        <v>2324</v>
      </c>
      <c r="B671" s="31">
        <f>IF(MasterFees[[#This Row],[RVG Code]]="","",_xlfn.XLOOKUP(MasterFees[[#This Row],[RVG Code]],RVGCodes[Code],RVGCodes[Base Units],"Code not found"))</f>
        <v>8</v>
      </c>
      <c r="C67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67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71" s="125" t="s">
        <v>2575</v>
      </c>
      <c r="F671" s="48" t="s">
        <v>2569</v>
      </c>
      <c r="G671" s="30" t="s">
        <v>21</v>
      </c>
      <c r="H671" s="37" t="s">
        <v>1095</v>
      </c>
      <c r="I671" s="37"/>
      <c r="J671" s="37" t="s">
        <v>1096</v>
      </c>
      <c r="K671" s="32">
        <v>0</v>
      </c>
      <c r="L671" s="32">
        <v>13</v>
      </c>
      <c r="M671" s="32">
        <v>0</v>
      </c>
      <c r="N671" s="32">
        <v>13</v>
      </c>
      <c r="O671" s="33">
        <v>715</v>
      </c>
      <c r="P671" s="38" t="s">
        <v>1014</v>
      </c>
      <c r="Q671" s="34" t="str">
        <f>IF(MasterFees[[#This Row],[GST Basis]]="Excl",MasterFees[[#This Row],[Fee as Printed]],IF(MasterFees[[#This Row],[GST Basis]]="Incl",MasterFees[[#This Row],[Fee as Printed]]/(1+GST_Rate),""))</f>
        <v/>
      </c>
      <c r="R671" s="34" t="str">
        <f>IF(MasterFees[[#This Row],[GST Basis]]="Incl",MasterFees[[#This Row],[Fee as Printed]],IF(MasterFees[[#This Row],[GST Basis]]="Excl",MasterFees[[#This Row],[Fee as Printed]]*(1+GST_Rate),""))</f>
        <v/>
      </c>
      <c r="S671" s="35">
        <f>IF(N(MasterFees[[#This Row],[Total Units]])=0,"",MasterFees[[#This Row],[Fee as Printed]]/MasterFees[[#This Row],[Total Units]])</f>
        <v>55</v>
      </c>
      <c r="T671" s="36"/>
      <c r="U671" s="39" t="s">
        <v>1012</v>
      </c>
      <c r="V671" s="39" t="s">
        <v>1110</v>
      </c>
      <c r="W671" s="30"/>
      <c r="X671" s="73" t="s">
        <v>2892</v>
      </c>
      <c r="Y671" s="127" t="str">
        <f>_xlfn.XLOOKUP(MasterFees[[#This Row],[Provider / Payer]],Contracts[Contract Name],Contracts[Contract ID],"No contract")</f>
        <v>CON-01</v>
      </c>
      <c r="Z671" s="127" t="str">
        <f>_xlfn.XLOOKUP(MasterFees[[#This Row],[Provider / Payer]],Contracts[Contract Name],Contracts[Pricing Basis],"To confirm")</f>
        <v>To confirm</v>
      </c>
      <c r="AA671" s="127" t="str">
        <f>IF(MasterFees[[#This Row],[Pricing Basis]]="Fixed fee schedule","Yes","No")</f>
        <v>No</v>
      </c>
      <c r="AB671" s="127" t="str">
        <f>IF(OR(MasterFees[[#This Row],[Fee Basis]]="Add-on",MasterFees[[#This Row],[Fee Basis]]="Time band",MasterFees[[#This Row],[Fee Basis]]="Other"),MasterFees[[#This Row],[Fee Basis]],"Base")</f>
        <v>Base</v>
      </c>
      <c r="AC671" s="141" t="str">
        <f>IF(MasterFees[[#This Row],[Fixed Fee?]]="Yes",MasterFees[[#This Row],[Fee Excl. GST]],"")</f>
        <v/>
      </c>
    </row>
    <row r="672" spans="1:29" x14ac:dyDescent="0.2">
      <c r="A672" s="67" t="s">
        <v>2324</v>
      </c>
      <c r="B672" s="31">
        <f>IF(MasterFees[[#This Row],[RVG Code]]="","",_xlfn.XLOOKUP(MasterFees[[#This Row],[RVG Code]],RVGCodes[Code],RVGCodes[Base Units],"Code not found"))</f>
        <v>8</v>
      </c>
      <c r="C67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67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72" s="125" t="s">
        <v>2575</v>
      </c>
      <c r="F672" s="48" t="s">
        <v>2569</v>
      </c>
      <c r="G672" s="30" t="s">
        <v>22</v>
      </c>
      <c r="H672" s="37" t="s">
        <v>1095</v>
      </c>
      <c r="I672" s="37"/>
      <c r="J672" s="37" t="s">
        <v>1096</v>
      </c>
      <c r="K672" s="32">
        <v>8</v>
      </c>
      <c r="L672" s="32">
        <v>20</v>
      </c>
      <c r="M672" s="32">
        <v>2</v>
      </c>
      <c r="N672" s="32">
        <v>30</v>
      </c>
      <c r="O672" s="33">
        <v>1650</v>
      </c>
      <c r="P672" s="38" t="s">
        <v>1014</v>
      </c>
      <c r="Q672" s="34" t="str">
        <f>IF(MasterFees[[#This Row],[GST Basis]]="Excl",MasterFees[[#This Row],[Fee as Printed]],IF(MasterFees[[#This Row],[GST Basis]]="Incl",MasterFees[[#This Row],[Fee as Printed]]/(1+GST_Rate),""))</f>
        <v/>
      </c>
      <c r="R672" s="34" t="str">
        <f>IF(MasterFees[[#This Row],[GST Basis]]="Incl",MasterFees[[#This Row],[Fee as Printed]],IF(MasterFees[[#This Row],[GST Basis]]="Excl",MasterFees[[#This Row],[Fee as Printed]]*(1+GST_Rate),""))</f>
        <v/>
      </c>
      <c r="S672" s="35">
        <f>IF(N(MasterFees[[#This Row],[Total Units]])=0,"",MasterFees[[#This Row],[Fee as Printed]]/MasterFees[[#This Row],[Total Units]])</f>
        <v>55</v>
      </c>
      <c r="T672" s="36"/>
      <c r="U672" s="39" t="s">
        <v>1012</v>
      </c>
      <c r="V672" s="39" t="s">
        <v>1111</v>
      </c>
      <c r="W672" s="30"/>
      <c r="X672" s="73" t="s">
        <v>2893</v>
      </c>
      <c r="Y672" s="127" t="str">
        <f>_xlfn.XLOOKUP(MasterFees[[#This Row],[Provider / Payer]],Contracts[Contract Name],Contracts[Contract ID],"No contract")</f>
        <v>CON-01</v>
      </c>
      <c r="Z672" s="127" t="str">
        <f>_xlfn.XLOOKUP(MasterFees[[#This Row],[Provider / Payer]],Contracts[Contract Name],Contracts[Pricing Basis],"To confirm")</f>
        <v>To confirm</v>
      </c>
      <c r="AA672" s="127" t="str">
        <f>IF(MasterFees[[#This Row],[Pricing Basis]]="Fixed fee schedule","Yes","No")</f>
        <v>No</v>
      </c>
      <c r="AB672" s="127" t="str">
        <f>IF(OR(MasterFees[[#This Row],[Fee Basis]]="Add-on",MasterFees[[#This Row],[Fee Basis]]="Time band",MasterFees[[#This Row],[Fee Basis]]="Other"),MasterFees[[#This Row],[Fee Basis]],"Base")</f>
        <v>Base</v>
      </c>
      <c r="AC672" s="141" t="str">
        <f>IF(MasterFees[[#This Row],[Fixed Fee?]]="Yes",MasterFees[[#This Row],[Fee Excl. GST]],"")</f>
        <v/>
      </c>
    </row>
    <row r="673" spans="1:29" x14ac:dyDescent="0.2">
      <c r="A673" s="67" t="s">
        <v>2324</v>
      </c>
      <c r="B673" s="31">
        <f>IF(MasterFees[[#This Row],[RVG Code]]="","",_xlfn.XLOOKUP(MasterFees[[#This Row],[RVG Code]],RVGCodes[Code],RVGCodes[Base Units],"Code not found"))</f>
        <v>8</v>
      </c>
      <c r="C67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67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73" s="125" t="s">
        <v>2575</v>
      </c>
      <c r="F673" s="48" t="s">
        <v>2569</v>
      </c>
      <c r="G673" s="30" t="s">
        <v>23</v>
      </c>
      <c r="H673" s="37" t="s">
        <v>1095</v>
      </c>
      <c r="I673" s="37"/>
      <c r="J673" s="37" t="s">
        <v>1096</v>
      </c>
      <c r="K673" s="32">
        <v>8</v>
      </c>
      <c r="L673" s="32">
        <v>26</v>
      </c>
      <c r="M673" s="32">
        <v>2</v>
      </c>
      <c r="N673" s="32">
        <v>36</v>
      </c>
      <c r="O673" s="33">
        <v>1980</v>
      </c>
      <c r="P673" s="38" t="s">
        <v>1014</v>
      </c>
      <c r="Q673" s="34" t="str">
        <f>IF(MasterFees[[#This Row],[GST Basis]]="Excl",MasterFees[[#This Row],[Fee as Printed]],IF(MasterFees[[#This Row],[GST Basis]]="Incl",MasterFees[[#This Row],[Fee as Printed]]/(1+GST_Rate),""))</f>
        <v/>
      </c>
      <c r="R673" s="34" t="str">
        <f>IF(MasterFees[[#This Row],[GST Basis]]="Incl",MasterFees[[#This Row],[Fee as Printed]],IF(MasterFees[[#This Row],[GST Basis]]="Excl",MasterFees[[#This Row],[Fee as Printed]]*(1+GST_Rate),""))</f>
        <v/>
      </c>
      <c r="S673" s="35">
        <f>IF(N(MasterFees[[#This Row],[Total Units]])=0,"",MasterFees[[#This Row],[Fee as Printed]]/MasterFees[[#This Row],[Total Units]])</f>
        <v>55</v>
      </c>
      <c r="T673" s="36"/>
      <c r="U673" s="39" t="s">
        <v>1012</v>
      </c>
      <c r="V673" s="39" t="s">
        <v>1112</v>
      </c>
      <c r="W673" s="30"/>
      <c r="X673" s="73" t="s">
        <v>2894</v>
      </c>
      <c r="Y673" s="127" t="str">
        <f>_xlfn.XLOOKUP(MasterFees[[#This Row],[Provider / Payer]],Contracts[Contract Name],Contracts[Contract ID],"No contract")</f>
        <v>CON-01</v>
      </c>
      <c r="Z673" s="127" t="str">
        <f>_xlfn.XLOOKUP(MasterFees[[#This Row],[Provider / Payer]],Contracts[Contract Name],Contracts[Pricing Basis],"To confirm")</f>
        <v>To confirm</v>
      </c>
      <c r="AA673" s="127" t="str">
        <f>IF(MasterFees[[#This Row],[Pricing Basis]]="Fixed fee schedule","Yes","No")</f>
        <v>No</v>
      </c>
      <c r="AB673" s="127" t="str">
        <f>IF(OR(MasterFees[[#This Row],[Fee Basis]]="Add-on",MasterFees[[#This Row],[Fee Basis]]="Time band",MasterFees[[#This Row],[Fee Basis]]="Other"),MasterFees[[#This Row],[Fee Basis]],"Base")</f>
        <v>Base</v>
      </c>
      <c r="AC673" s="141" t="str">
        <f>IF(MasterFees[[#This Row],[Fixed Fee?]]="Yes",MasterFees[[#This Row],[Fee Excl. GST]],"")</f>
        <v/>
      </c>
    </row>
    <row r="674" spans="1:29" x14ac:dyDescent="0.2">
      <c r="A674" s="67" t="s">
        <v>2324</v>
      </c>
      <c r="B674" s="31">
        <f>IF(MasterFees[[#This Row],[RVG Code]]="","",_xlfn.XLOOKUP(MasterFees[[#This Row],[RVG Code]],RVGCodes[Code],RVGCodes[Base Units],"Code not found"))</f>
        <v>8</v>
      </c>
      <c r="C67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67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74" s="125" t="s">
        <v>2575</v>
      </c>
      <c r="F674" s="48" t="s">
        <v>2569</v>
      </c>
      <c r="G674" s="30" t="s">
        <v>24</v>
      </c>
      <c r="H674" s="37" t="s">
        <v>1095</v>
      </c>
      <c r="I674" s="37"/>
      <c r="J674" s="37" t="s">
        <v>1096</v>
      </c>
      <c r="K674" s="32">
        <v>7.5</v>
      </c>
      <c r="L674" s="32">
        <v>14.4</v>
      </c>
      <c r="M674" s="32">
        <v>0.9</v>
      </c>
      <c r="N674" s="32">
        <v>22.8</v>
      </c>
      <c r="O674" s="33">
        <v>1254</v>
      </c>
      <c r="P674" s="38" t="s">
        <v>1014</v>
      </c>
      <c r="Q674" s="34" t="str">
        <f>IF(MasterFees[[#This Row],[GST Basis]]="Excl",MasterFees[[#This Row],[Fee as Printed]],IF(MasterFees[[#This Row],[GST Basis]]="Incl",MasterFees[[#This Row],[Fee as Printed]]/(1+GST_Rate),""))</f>
        <v/>
      </c>
      <c r="R674" s="34" t="str">
        <f>IF(MasterFees[[#This Row],[GST Basis]]="Incl",MasterFees[[#This Row],[Fee as Printed]],IF(MasterFees[[#This Row],[GST Basis]]="Excl",MasterFees[[#This Row],[Fee as Printed]]*(1+GST_Rate),""))</f>
        <v/>
      </c>
      <c r="S674" s="35">
        <f>IF(N(MasterFees[[#This Row],[Total Units]])=0,"",MasterFees[[#This Row],[Fee as Printed]]/MasterFees[[#This Row],[Total Units]])</f>
        <v>55</v>
      </c>
      <c r="T674" s="36"/>
      <c r="U674" s="39" t="s">
        <v>1012</v>
      </c>
      <c r="V674" s="39" t="s">
        <v>1113</v>
      </c>
      <c r="W674" s="30"/>
      <c r="X674" s="73" t="s">
        <v>2895</v>
      </c>
      <c r="Y674" s="127" t="str">
        <f>_xlfn.XLOOKUP(MasterFees[[#This Row],[Provider / Payer]],Contracts[Contract Name],Contracts[Contract ID],"No contract")</f>
        <v>CON-01</v>
      </c>
      <c r="Z674" s="127" t="str">
        <f>_xlfn.XLOOKUP(MasterFees[[#This Row],[Provider / Payer]],Contracts[Contract Name],Contracts[Pricing Basis],"To confirm")</f>
        <v>To confirm</v>
      </c>
      <c r="AA674" s="127" t="str">
        <f>IF(MasterFees[[#This Row],[Pricing Basis]]="Fixed fee schedule","Yes","No")</f>
        <v>No</v>
      </c>
      <c r="AB674" s="127" t="str">
        <f>IF(OR(MasterFees[[#This Row],[Fee Basis]]="Add-on",MasterFees[[#This Row],[Fee Basis]]="Time band",MasterFees[[#This Row],[Fee Basis]]="Other"),MasterFees[[#This Row],[Fee Basis]],"Base")</f>
        <v>Base</v>
      </c>
      <c r="AC674" s="141" t="str">
        <f>IF(MasterFees[[#This Row],[Fixed Fee?]]="Yes",MasterFees[[#This Row],[Fee Excl. GST]],"")</f>
        <v/>
      </c>
    </row>
    <row r="675" spans="1:29" x14ac:dyDescent="0.2">
      <c r="A675" s="67" t="s">
        <v>2324</v>
      </c>
      <c r="B675" s="31">
        <f>IF(MasterFees[[#This Row],[RVG Code]]="","",_xlfn.XLOOKUP(MasterFees[[#This Row],[RVG Code]],RVGCodes[Code],RVGCodes[Base Units],"Code not found"))</f>
        <v>8</v>
      </c>
      <c r="C67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67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75" s="125" t="s">
        <v>2575</v>
      </c>
      <c r="F675" s="48" t="s">
        <v>2569</v>
      </c>
      <c r="G675" s="30" t="s">
        <v>4045</v>
      </c>
      <c r="H675" s="37" t="s">
        <v>4069</v>
      </c>
      <c r="I675" s="37"/>
      <c r="J675" s="37" t="s">
        <v>1024</v>
      </c>
      <c r="K675" s="32"/>
      <c r="L675" s="32"/>
      <c r="M675" s="32"/>
      <c r="N675" s="32"/>
      <c r="O675" s="33">
        <v>3220</v>
      </c>
      <c r="P675" s="38" t="s">
        <v>4043</v>
      </c>
      <c r="Q675" s="34">
        <f>IF(MasterFees[[#This Row],[GST Basis]]="Excl",MasterFees[[#This Row],[Fee as Printed]],IF(MasterFees[[#This Row],[GST Basis]]="Incl",MasterFees[[#This Row],[Fee as Printed]]/(1+GST_Rate),""))</f>
        <v>2800</v>
      </c>
      <c r="R675" s="34">
        <f>IF(MasterFees[[#This Row],[GST Basis]]="Incl",MasterFees[[#This Row],[Fee as Printed]],IF(MasterFees[[#This Row],[GST Basis]]="Excl",MasterFees[[#This Row],[Fee as Printed]]*(1+GST_Rate),""))</f>
        <v>3220</v>
      </c>
      <c r="S675" s="35" t="str">
        <f>IF(N(MasterFees[[#This Row],[Total Units]])=0,"",MasterFees[[#This Row],[Fee as Printed]]/MasterFees[[#This Row],[Total Units]])</f>
        <v/>
      </c>
      <c r="T675" s="36">
        <v>46174</v>
      </c>
      <c r="U675" s="39" t="s">
        <v>4025</v>
      </c>
      <c r="V675" s="39" t="s">
        <v>4070</v>
      </c>
      <c r="W675" s="30" t="s">
        <v>4078</v>
      </c>
      <c r="X675" s="77" t="s">
        <v>4083</v>
      </c>
      <c r="Y675" s="127" t="str">
        <f>_xlfn.XLOOKUP(MasterFees[[#This Row],[Provider / Payer]],Contracts[Contract Name],Contracts[Contract ID],"No contract")</f>
        <v>CON-08</v>
      </c>
      <c r="Z675" s="127" t="str">
        <f>_xlfn.XLOOKUP(MasterFees[[#This Row],[Provider / Payer]],Contracts[Contract Name],Contracts[Pricing Basis],"To confirm")</f>
        <v>Fixed fee schedule</v>
      </c>
      <c r="AA675" s="127" t="str">
        <f>IF(MasterFees[[#This Row],[Pricing Basis]]="Fixed fee schedule","Yes","No")</f>
        <v>Yes</v>
      </c>
      <c r="AB675" s="127" t="str">
        <f>IF(OR(MasterFees[[#This Row],[Fee Basis]]="Add-on",MasterFees[[#This Row],[Fee Basis]]="Time band",MasterFees[[#This Row],[Fee Basis]]="Other"),MasterFees[[#This Row],[Fee Basis]],"Base")</f>
        <v>Base</v>
      </c>
      <c r="AC675" s="141">
        <f>IF(MasterFees[[#This Row],[Fixed Fee?]]="Yes",MasterFees[[#This Row],[Fee Excl. GST]],"")</f>
        <v>2800</v>
      </c>
    </row>
    <row r="676" spans="1:29" x14ac:dyDescent="0.2">
      <c r="A676" s="67" t="s">
        <v>2324</v>
      </c>
      <c r="B676" s="31">
        <f>IF(MasterFees[[#This Row],[RVG Code]]="","",_xlfn.XLOOKUP(MasterFees[[#This Row],[RVG Code]],RVGCodes[Code],RVGCodes[Base Units],"Code not found"))</f>
        <v>8</v>
      </c>
      <c r="C67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67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76" s="125" t="s">
        <v>2575</v>
      </c>
      <c r="F676" s="48" t="s">
        <v>2569</v>
      </c>
      <c r="G676" s="30" t="s">
        <v>25</v>
      </c>
      <c r="H676" s="37" t="s">
        <v>1095</v>
      </c>
      <c r="I676" s="37"/>
      <c r="J676" s="37" t="s">
        <v>1096</v>
      </c>
      <c r="K676" s="32">
        <v>8.5</v>
      </c>
      <c r="L676" s="32">
        <v>20</v>
      </c>
      <c r="M676" s="32">
        <v>2</v>
      </c>
      <c r="N676" s="32">
        <v>30.5</v>
      </c>
      <c r="O676" s="33">
        <v>1677.5</v>
      </c>
      <c r="P676" s="38" t="s">
        <v>1014</v>
      </c>
      <c r="Q676" s="34" t="str">
        <f>IF(MasterFees[[#This Row],[GST Basis]]="Excl",MasterFees[[#This Row],[Fee as Printed]],IF(MasterFees[[#This Row],[GST Basis]]="Incl",MasterFees[[#This Row],[Fee as Printed]]/(1+GST_Rate),""))</f>
        <v/>
      </c>
      <c r="R676" s="34" t="str">
        <f>IF(MasterFees[[#This Row],[GST Basis]]="Incl",MasterFees[[#This Row],[Fee as Printed]],IF(MasterFees[[#This Row],[GST Basis]]="Excl",MasterFees[[#This Row],[Fee as Printed]]*(1+GST_Rate),""))</f>
        <v/>
      </c>
      <c r="S676" s="35">
        <f>IF(N(MasterFees[[#This Row],[Total Units]])=0,"",MasterFees[[#This Row],[Fee as Printed]]/MasterFees[[#This Row],[Total Units]])</f>
        <v>55</v>
      </c>
      <c r="T676" s="36"/>
      <c r="U676" s="39" t="s">
        <v>1012</v>
      </c>
      <c r="V676" s="39" t="s">
        <v>1114</v>
      </c>
      <c r="W676" s="30"/>
      <c r="X676" s="73" t="s">
        <v>2896</v>
      </c>
      <c r="Y676" s="127" t="str">
        <f>_xlfn.XLOOKUP(MasterFees[[#This Row],[Provider / Payer]],Contracts[Contract Name],Contracts[Contract ID],"No contract")</f>
        <v>CON-01</v>
      </c>
      <c r="Z676" s="127" t="str">
        <f>_xlfn.XLOOKUP(MasterFees[[#This Row],[Provider / Payer]],Contracts[Contract Name],Contracts[Pricing Basis],"To confirm")</f>
        <v>To confirm</v>
      </c>
      <c r="AA676" s="127" t="str">
        <f>IF(MasterFees[[#This Row],[Pricing Basis]]="Fixed fee schedule","Yes","No")</f>
        <v>No</v>
      </c>
      <c r="AB676" s="127" t="str">
        <f>IF(OR(MasterFees[[#This Row],[Fee Basis]]="Add-on",MasterFees[[#This Row],[Fee Basis]]="Time band",MasterFees[[#This Row],[Fee Basis]]="Other"),MasterFees[[#This Row],[Fee Basis]],"Base")</f>
        <v>Base</v>
      </c>
      <c r="AC676" s="141" t="str">
        <f>IF(MasterFees[[#This Row],[Fixed Fee?]]="Yes",MasterFees[[#This Row],[Fee Excl. GST]],"")</f>
        <v/>
      </c>
    </row>
    <row r="677" spans="1:29" x14ac:dyDescent="0.2">
      <c r="A677" s="67" t="s">
        <v>2324</v>
      </c>
      <c r="B677" s="31">
        <f>IF(MasterFees[[#This Row],[RVG Code]]="","",_xlfn.XLOOKUP(MasterFees[[#This Row],[RVG Code]],RVGCodes[Code],RVGCodes[Base Units],"Code not found"))</f>
        <v>8</v>
      </c>
      <c r="C67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67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77" s="125" t="s">
        <v>2575</v>
      </c>
      <c r="F677" s="48" t="s">
        <v>2569</v>
      </c>
      <c r="G677" s="30" t="s">
        <v>4042</v>
      </c>
      <c r="H677" s="37" t="s">
        <v>4069</v>
      </c>
      <c r="I677" s="37"/>
      <c r="J677" s="37" t="s">
        <v>1024</v>
      </c>
      <c r="K677" s="32"/>
      <c r="L677" s="32"/>
      <c r="M677" s="32"/>
      <c r="N677" s="32"/>
      <c r="O677" s="33">
        <v>2415</v>
      </c>
      <c r="P677" s="38" t="s">
        <v>4043</v>
      </c>
      <c r="Q677" s="34">
        <f>IF(MasterFees[[#This Row],[GST Basis]]="Excl",MasterFees[[#This Row],[Fee as Printed]],IF(MasterFees[[#This Row],[GST Basis]]="Incl",MasterFees[[#This Row],[Fee as Printed]]/(1+GST_Rate),""))</f>
        <v>2100</v>
      </c>
      <c r="R677" s="34">
        <f>IF(MasterFees[[#This Row],[GST Basis]]="Incl",MasterFees[[#This Row],[Fee as Printed]],IF(MasterFees[[#This Row],[GST Basis]]="Excl",MasterFees[[#This Row],[Fee as Printed]]*(1+GST_Rate),""))</f>
        <v>2415</v>
      </c>
      <c r="S677" s="35" t="str">
        <f>IF(N(MasterFees[[#This Row],[Total Units]])=0,"",MasterFees[[#This Row],[Fee as Printed]]/MasterFees[[#This Row],[Total Units]])</f>
        <v/>
      </c>
      <c r="T677" s="36">
        <v>46174</v>
      </c>
      <c r="U677" s="39" t="s">
        <v>4025</v>
      </c>
      <c r="V677" s="39" t="s">
        <v>4070</v>
      </c>
      <c r="W677" s="30" t="s">
        <v>4078</v>
      </c>
      <c r="X677" s="77" t="s">
        <v>4082</v>
      </c>
      <c r="Y677" s="127" t="str">
        <f>_xlfn.XLOOKUP(MasterFees[[#This Row],[Provider / Payer]],Contracts[Contract Name],Contracts[Contract ID],"No contract")</f>
        <v>CON-08</v>
      </c>
      <c r="Z677" s="127" t="str">
        <f>_xlfn.XLOOKUP(MasterFees[[#This Row],[Provider / Payer]],Contracts[Contract Name],Contracts[Pricing Basis],"To confirm")</f>
        <v>Fixed fee schedule</v>
      </c>
      <c r="AA677" s="127" t="str">
        <f>IF(MasterFees[[#This Row],[Pricing Basis]]="Fixed fee schedule","Yes","No")</f>
        <v>Yes</v>
      </c>
      <c r="AB677" s="127" t="str">
        <f>IF(OR(MasterFees[[#This Row],[Fee Basis]]="Add-on",MasterFees[[#This Row],[Fee Basis]]="Time band",MasterFees[[#This Row],[Fee Basis]]="Other"),MasterFees[[#This Row],[Fee Basis]],"Base")</f>
        <v>Base</v>
      </c>
      <c r="AC677" s="141">
        <f>IF(MasterFees[[#This Row],[Fixed Fee?]]="Yes",MasterFees[[#This Row],[Fee Excl. GST]],"")</f>
        <v>2100</v>
      </c>
    </row>
    <row r="678" spans="1:29" x14ac:dyDescent="0.2">
      <c r="A678" s="67" t="s">
        <v>2324</v>
      </c>
      <c r="B678" s="31">
        <f>IF(MasterFees[[#This Row],[RVG Code]]="","",_xlfn.XLOOKUP(MasterFees[[#This Row],[RVG Code]],RVGCodes[Code],RVGCodes[Base Units],"Code not found"))</f>
        <v>8</v>
      </c>
      <c r="C67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67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78" s="125" t="s">
        <v>2575</v>
      </c>
      <c r="F678" s="48" t="s">
        <v>2569</v>
      </c>
      <c r="G678" s="30" t="s">
        <v>26</v>
      </c>
      <c r="H678" s="37" t="s">
        <v>1095</v>
      </c>
      <c r="I678" s="37"/>
      <c r="J678" s="37" t="s">
        <v>1096</v>
      </c>
      <c r="K678" s="32">
        <v>0</v>
      </c>
      <c r="L678" s="32">
        <v>0</v>
      </c>
      <c r="M678" s="32">
        <v>0</v>
      </c>
      <c r="N678" s="32">
        <v>0</v>
      </c>
      <c r="O678" s="33">
        <v>0</v>
      </c>
      <c r="P678" s="38" t="s">
        <v>1014</v>
      </c>
      <c r="Q678" s="34" t="str">
        <f>IF(MasterFees[[#This Row],[GST Basis]]="Excl",MasterFees[[#This Row],[Fee as Printed]],IF(MasterFees[[#This Row],[GST Basis]]="Incl",MasterFees[[#This Row],[Fee as Printed]]/(1+GST_Rate),""))</f>
        <v/>
      </c>
      <c r="R678" s="34" t="str">
        <f>IF(MasterFees[[#This Row],[GST Basis]]="Incl",MasterFees[[#This Row],[Fee as Printed]],IF(MasterFees[[#This Row],[GST Basis]]="Excl",MasterFees[[#This Row],[Fee as Printed]]*(1+GST_Rate),""))</f>
        <v/>
      </c>
      <c r="S678" s="35" t="str">
        <f>IF(N(MasterFees[[#This Row],[Total Units]])=0,"",MasterFees[[#This Row],[Fee as Printed]]/MasterFees[[#This Row],[Total Units]])</f>
        <v/>
      </c>
      <c r="T678" s="36"/>
      <c r="U678" s="39" t="s">
        <v>1012</v>
      </c>
      <c r="V678" s="39" t="s">
        <v>1115</v>
      </c>
      <c r="W678" s="30"/>
      <c r="X678" s="73" t="s">
        <v>2897</v>
      </c>
      <c r="Y678" s="127" t="str">
        <f>_xlfn.XLOOKUP(MasterFees[[#This Row],[Provider / Payer]],Contracts[Contract Name],Contracts[Contract ID],"No contract")</f>
        <v>CON-01</v>
      </c>
      <c r="Z678" s="127" t="str">
        <f>_xlfn.XLOOKUP(MasterFees[[#This Row],[Provider / Payer]],Contracts[Contract Name],Contracts[Pricing Basis],"To confirm")</f>
        <v>To confirm</v>
      </c>
      <c r="AA678" s="127" t="str">
        <f>IF(MasterFees[[#This Row],[Pricing Basis]]="Fixed fee schedule","Yes","No")</f>
        <v>No</v>
      </c>
      <c r="AB678" s="127" t="str">
        <f>IF(OR(MasterFees[[#This Row],[Fee Basis]]="Add-on",MasterFees[[#This Row],[Fee Basis]]="Time band",MasterFees[[#This Row],[Fee Basis]]="Other"),MasterFees[[#This Row],[Fee Basis]],"Base")</f>
        <v>Base</v>
      </c>
      <c r="AC678" s="141" t="str">
        <f>IF(MasterFees[[#This Row],[Fixed Fee?]]="Yes",MasterFees[[#This Row],[Fee Excl. GST]],"")</f>
        <v/>
      </c>
    </row>
    <row r="679" spans="1:29" x14ac:dyDescent="0.2">
      <c r="A679" s="67" t="s">
        <v>2324</v>
      </c>
      <c r="B679" s="31">
        <f>IF(MasterFees[[#This Row],[RVG Code]]="","",_xlfn.XLOOKUP(MasterFees[[#This Row],[RVG Code]],RVGCodes[Code],RVGCodes[Base Units],"Code not found"))</f>
        <v>8</v>
      </c>
      <c r="C67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67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79" s="125" t="s">
        <v>2575</v>
      </c>
      <c r="F679" s="48" t="s">
        <v>2569</v>
      </c>
      <c r="G679" s="30" t="s">
        <v>73</v>
      </c>
      <c r="H679" s="37" t="s">
        <v>1095</v>
      </c>
      <c r="I679" s="37"/>
      <c r="J679" s="37" t="s">
        <v>1096</v>
      </c>
      <c r="K679" s="32">
        <v>7</v>
      </c>
      <c r="L679" s="32">
        <v>29</v>
      </c>
      <c r="M679" s="32">
        <v>2</v>
      </c>
      <c r="N679" s="32">
        <v>38</v>
      </c>
      <c r="O679" s="33">
        <v>2090</v>
      </c>
      <c r="P679" s="38" t="s">
        <v>1014</v>
      </c>
      <c r="Q679" s="34" t="str">
        <f>IF(MasterFees[[#This Row],[GST Basis]]="Excl",MasterFees[[#This Row],[Fee as Printed]],IF(MasterFees[[#This Row],[GST Basis]]="Incl",MasterFees[[#This Row],[Fee as Printed]]/(1+GST_Rate),""))</f>
        <v/>
      </c>
      <c r="R679" s="34" t="str">
        <f>IF(MasterFees[[#This Row],[GST Basis]]="Incl",MasterFees[[#This Row],[Fee as Printed]],IF(MasterFees[[#This Row],[GST Basis]]="Excl",MasterFees[[#This Row],[Fee as Printed]]*(1+GST_Rate),""))</f>
        <v/>
      </c>
      <c r="S679" s="35">
        <f>IF(N(MasterFees[[#This Row],[Total Units]])=0,"",MasterFees[[#This Row],[Fee as Printed]]/MasterFees[[#This Row],[Total Units]])</f>
        <v>55</v>
      </c>
      <c r="T679" s="36"/>
      <c r="U679" s="39" t="s">
        <v>1012</v>
      </c>
      <c r="V679" s="39" t="s">
        <v>1162</v>
      </c>
      <c r="W679" s="30"/>
      <c r="X679" s="73" t="s">
        <v>2945</v>
      </c>
      <c r="Y679" s="127" t="str">
        <f>_xlfn.XLOOKUP(MasterFees[[#This Row],[Provider / Payer]],Contracts[Contract Name],Contracts[Contract ID],"No contract")</f>
        <v>CON-01</v>
      </c>
      <c r="Z679" s="127" t="str">
        <f>_xlfn.XLOOKUP(MasterFees[[#This Row],[Provider / Payer]],Contracts[Contract Name],Contracts[Pricing Basis],"To confirm")</f>
        <v>To confirm</v>
      </c>
      <c r="AA679" s="127" t="str">
        <f>IF(MasterFees[[#This Row],[Pricing Basis]]="Fixed fee schedule","Yes","No")</f>
        <v>No</v>
      </c>
      <c r="AB679" s="127" t="str">
        <f>IF(OR(MasterFees[[#This Row],[Fee Basis]]="Add-on",MasterFees[[#This Row],[Fee Basis]]="Time band",MasterFees[[#This Row],[Fee Basis]]="Other"),MasterFees[[#This Row],[Fee Basis]],"Base")</f>
        <v>Base</v>
      </c>
      <c r="AC679" s="141" t="str">
        <f>IF(MasterFees[[#This Row],[Fixed Fee?]]="Yes",MasterFees[[#This Row],[Fee Excl. GST]],"")</f>
        <v/>
      </c>
    </row>
    <row r="680" spans="1:29" x14ac:dyDescent="0.2">
      <c r="A680" s="67" t="s">
        <v>2324</v>
      </c>
      <c r="B680" s="31">
        <f>IF(MasterFees[[#This Row],[RVG Code]]="","",_xlfn.XLOOKUP(MasterFees[[#This Row],[RVG Code]],RVGCodes[Code],RVGCodes[Base Units],"Code not found"))</f>
        <v>8</v>
      </c>
      <c r="C68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68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80" s="125" t="s">
        <v>2575</v>
      </c>
      <c r="F680" s="48" t="s">
        <v>2569</v>
      </c>
      <c r="G680" s="30" t="s">
        <v>80</v>
      </c>
      <c r="H680" s="37" t="s">
        <v>1095</v>
      </c>
      <c r="I680" s="37"/>
      <c r="J680" s="37" t="s">
        <v>1096</v>
      </c>
      <c r="K680" s="32">
        <v>8.3000000000000007</v>
      </c>
      <c r="L680" s="32">
        <v>22.3</v>
      </c>
      <c r="M680" s="32">
        <v>1.3</v>
      </c>
      <c r="N680" s="32">
        <v>31.9</v>
      </c>
      <c r="O680" s="33">
        <v>1751.75</v>
      </c>
      <c r="P680" s="38" t="s">
        <v>1014</v>
      </c>
      <c r="Q680" s="34" t="str">
        <f>IF(MasterFees[[#This Row],[GST Basis]]="Excl",MasterFees[[#This Row],[Fee as Printed]],IF(MasterFees[[#This Row],[GST Basis]]="Incl",MasterFees[[#This Row],[Fee as Printed]]/(1+GST_Rate),""))</f>
        <v/>
      </c>
      <c r="R680" s="34" t="str">
        <f>IF(MasterFees[[#This Row],[GST Basis]]="Incl",MasterFees[[#This Row],[Fee as Printed]],IF(MasterFees[[#This Row],[GST Basis]]="Excl",MasterFees[[#This Row],[Fee as Printed]]*(1+GST_Rate),""))</f>
        <v/>
      </c>
      <c r="S680" s="35">
        <f>IF(N(MasterFees[[#This Row],[Total Units]])=0,"",MasterFees[[#This Row],[Fee as Printed]]/MasterFees[[#This Row],[Total Units]])</f>
        <v>54.913793103448278</v>
      </c>
      <c r="T680" s="36"/>
      <c r="U680" s="39" t="s">
        <v>1012</v>
      </c>
      <c r="V680" s="39" t="s">
        <v>1169</v>
      </c>
      <c r="W680" s="30"/>
      <c r="X680" s="73" t="s">
        <v>2952</v>
      </c>
      <c r="Y680" s="127" t="str">
        <f>_xlfn.XLOOKUP(MasterFees[[#This Row],[Provider / Payer]],Contracts[Contract Name],Contracts[Contract ID],"No contract")</f>
        <v>CON-01</v>
      </c>
      <c r="Z680" s="127" t="str">
        <f>_xlfn.XLOOKUP(MasterFees[[#This Row],[Provider / Payer]],Contracts[Contract Name],Contracts[Pricing Basis],"To confirm")</f>
        <v>To confirm</v>
      </c>
      <c r="AA680" s="127" t="str">
        <f>IF(MasterFees[[#This Row],[Pricing Basis]]="Fixed fee schedule","Yes","No")</f>
        <v>No</v>
      </c>
      <c r="AB680" s="127" t="str">
        <f>IF(OR(MasterFees[[#This Row],[Fee Basis]]="Add-on",MasterFees[[#This Row],[Fee Basis]]="Time band",MasterFees[[#This Row],[Fee Basis]]="Other"),MasterFees[[#This Row],[Fee Basis]],"Base")</f>
        <v>Base</v>
      </c>
      <c r="AC680" s="141" t="str">
        <f>IF(MasterFees[[#This Row],[Fixed Fee?]]="Yes",MasterFees[[#This Row],[Fee Excl. GST]],"")</f>
        <v/>
      </c>
    </row>
    <row r="681" spans="1:29" x14ac:dyDescent="0.2">
      <c r="A681" s="67" t="s">
        <v>2324</v>
      </c>
      <c r="B681" s="31">
        <f>IF(MasterFees[[#This Row],[RVG Code]]="","",_xlfn.XLOOKUP(MasterFees[[#This Row],[RVG Code]],RVGCodes[Code],RVGCodes[Base Units],"Code not found"))</f>
        <v>8</v>
      </c>
      <c r="C68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68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81" s="125" t="s">
        <v>2575</v>
      </c>
      <c r="F681" s="48" t="s">
        <v>2567</v>
      </c>
      <c r="G681" s="30" t="s">
        <v>93</v>
      </c>
      <c r="H681" s="37" t="s">
        <v>1095</v>
      </c>
      <c r="I681" s="37"/>
      <c r="J681" s="37" t="s">
        <v>1096</v>
      </c>
      <c r="K681" s="32">
        <v>6</v>
      </c>
      <c r="L681" s="32">
        <v>6</v>
      </c>
      <c r="M681" s="32">
        <v>2</v>
      </c>
      <c r="N681" s="32">
        <v>14</v>
      </c>
      <c r="O681" s="33">
        <v>770</v>
      </c>
      <c r="P681" s="38" t="s">
        <v>1014</v>
      </c>
      <c r="Q681" s="34" t="str">
        <f>IF(MasterFees[[#This Row],[GST Basis]]="Excl",MasterFees[[#This Row],[Fee as Printed]],IF(MasterFees[[#This Row],[GST Basis]]="Incl",MasterFees[[#This Row],[Fee as Printed]]/(1+GST_Rate),""))</f>
        <v/>
      </c>
      <c r="R681" s="34" t="str">
        <f>IF(MasterFees[[#This Row],[GST Basis]]="Incl",MasterFees[[#This Row],[Fee as Printed]],IF(MasterFees[[#This Row],[GST Basis]]="Excl",MasterFees[[#This Row],[Fee as Printed]]*(1+GST_Rate),""))</f>
        <v/>
      </c>
      <c r="S681" s="35">
        <f>IF(N(MasterFees[[#This Row],[Total Units]])=0,"",MasterFees[[#This Row],[Fee as Printed]]/MasterFees[[#This Row],[Total Units]])</f>
        <v>55</v>
      </c>
      <c r="T681" s="36"/>
      <c r="U681" s="39" t="s">
        <v>1012</v>
      </c>
      <c r="V681" s="39" t="s">
        <v>1182</v>
      </c>
      <c r="W681" s="30"/>
      <c r="X681" s="73" t="s">
        <v>2965</v>
      </c>
      <c r="Y681" s="127" t="str">
        <f>_xlfn.XLOOKUP(MasterFees[[#This Row],[Provider / Payer]],Contracts[Contract Name],Contracts[Contract ID],"No contract")</f>
        <v>CON-01</v>
      </c>
      <c r="Z681" s="127" t="str">
        <f>_xlfn.XLOOKUP(MasterFees[[#This Row],[Provider / Payer]],Contracts[Contract Name],Contracts[Pricing Basis],"To confirm")</f>
        <v>To confirm</v>
      </c>
      <c r="AA681" s="127" t="str">
        <f>IF(MasterFees[[#This Row],[Pricing Basis]]="Fixed fee schedule","Yes","No")</f>
        <v>No</v>
      </c>
      <c r="AB681" s="127" t="str">
        <f>IF(OR(MasterFees[[#This Row],[Fee Basis]]="Add-on",MasterFees[[#This Row],[Fee Basis]]="Time band",MasterFees[[#This Row],[Fee Basis]]="Other"),MasterFees[[#This Row],[Fee Basis]],"Base")</f>
        <v>Base</v>
      </c>
      <c r="AC681" s="141" t="str">
        <f>IF(MasterFees[[#This Row],[Fixed Fee?]]="Yes",MasterFees[[#This Row],[Fee Excl. GST]],"")</f>
        <v/>
      </c>
    </row>
    <row r="682" spans="1:29" x14ac:dyDescent="0.2">
      <c r="A682" s="67" t="s">
        <v>2320</v>
      </c>
      <c r="B682" s="31">
        <f>IF(MasterFees[[#This Row],[RVG Code]]="","",_xlfn.XLOOKUP(MasterFees[[#This Row],[RVG Code]],RVGCodes[Code],RVGCodes[Base Units],"Code not found"))</f>
        <v>6</v>
      </c>
      <c r="C68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68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82" s="125" t="s">
        <v>2573</v>
      </c>
      <c r="F682" s="48" t="s">
        <v>2567</v>
      </c>
      <c r="G682" s="30" t="s">
        <v>131</v>
      </c>
      <c r="H682" s="37" t="s">
        <v>1095</v>
      </c>
      <c r="I682" s="37"/>
      <c r="J682" s="37" t="s">
        <v>1096</v>
      </c>
      <c r="K682" s="32">
        <v>5.5</v>
      </c>
      <c r="L682" s="32">
        <v>5</v>
      </c>
      <c r="M682" s="32">
        <v>0</v>
      </c>
      <c r="N682" s="32">
        <v>10.5</v>
      </c>
      <c r="O682" s="33">
        <v>577.5</v>
      </c>
      <c r="P682" s="38" t="s">
        <v>1014</v>
      </c>
      <c r="Q682" s="34" t="str">
        <f>IF(MasterFees[[#This Row],[GST Basis]]="Excl",MasterFees[[#This Row],[Fee as Printed]],IF(MasterFees[[#This Row],[GST Basis]]="Incl",MasterFees[[#This Row],[Fee as Printed]]/(1+GST_Rate),""))</f>
        <v/>
      </c>
      <c r="R682" s="34" t="str">
        <f>IF(MasterFees[[#This Row],[GST Basis]]="Incl",MasterFees[[#This Row],[Fee as Printed]],IF(MasterFees[[#This Row],[GST Basis]]="Excl",MasterFees[[#This Row],[Fee as Printed]]*(1+GST_Rate),""))</f>
        <v/>
      </c>
      <c r="S682" s="35">
        <f>IF(N(MasterFees[[#This Row],[Total Units]])=0,"",MasterFees[[#This Row],[Fee as Printed]]/MasterFees[[#This Row],[Total Units]])</f>
        <v>55</v>
      </c>
      <c r="T682" s="36"/>
      <c r="U682" s="39" t="s">
        <v>1012</v>
      </c>
      <c r="V682" s="39" t="s">
        <v>1223</v>
      </c>
      <c r="W682" s="30"/>
      <c r="X682" s="73" t="s">
        <v>3006</v>
      </c>
      <c r="Y682" s="127" t="str">
        <f>_xlfn.XLOOKUP(MasterFees[[#This Row],[Provider / Payer]],Contracts[Contract Name],Contracts[Contract ID],"No contract")</f>
        <v>CON-01</v>
      </c>
      <c r="Z682" s="127" t="str">
        <f>_xlfn.XLOOKUP(MasterFees[[#This Row],[Provider / Payer]],Contracts[Contract Name],Contracts[Pricing Basis],"To confirm")</f>
        <v>To confirm</v>
      </c>
      <c r="AA682" s="127" t="str">
        <f>IF(MasterFees[[#This Row],[Pricing Basis]]="Fixed fee schedule","Yes","No")</f>
        <v>No</v>
      </c>
      <c r="AB682" s="127" t="str">
        <f>IF(OR(MasterFees[[#This Row],[Fee Basis]]="Add-on",MasterFees[[#This Row],[Fee Basis]]="Time band",MasterFees[[#This Row],[Fee Basis]]="Other"),MasterFees[[#This Row],[Fee Basis]],"Base")</f>
        <v>Base</v>
      </c>
      <c r="AC682" s="141" t="str">
        <f>IF(MasterFees[[#This Row],[Fixed Fee?]]="Yes",MasterFees[[#This Row],[Fee Excl. GST]],"")</f>
        <v/>
      </c>
    </row>
    <row r="683" spans="1:29" x14ac:dyDescent="0.2">
      <c r="A683" s="67" t="s">
        <v>2324</v>
      </c>
      <c r="B683" s="31">
        <f>IF(MasterFees[[#This Row],[RVG Code]]="","",_xlfn.XLOOKUP(MasterFees[[#This Row],[RVG Code]],RVGCodes[Code],RVGCodes[Base Units],"Code not found"))</f>
        <v>8</v>
      </c>
      <c r="C68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68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83" s="125" t="s">
        <v>2575</v>
      </c>
      <c r="F683" s="48" t="s">
        <v>2567</v>
      </c>
      <c r="G683" s="30" t="s">
        <v>4053</v>
      </c>
      <c r="H683" s="37" t="s">
        <v>4069</v>
      </c>
      <c r="I683" s="37"/>
      <c r="J683" s="37" t="s">
        <v>1024</v>
      </c>
      <c r="K683" s="32"/>
      <c r="L683" s="32"/>
      <c r="M683" s="32"/>
      <c r="N683" s="32"/>
      <c r="O683" s="33">
        <v>4830</v>
      </c>
      <c r="P683" s="38" t="s">
        <v>4043</v>
      </c>
      <c r="Q683" s="34">
        <f>IF(MasterFees[[#This Row],[GST Basis]]="Excl",MasterFees[[#This Row],[Fee as Printed]],IF(MasterFees[[#This Row],[GST Basis]]="Incl",MasterFees[[#This Row],[Fee as Printed]]/(1+GST_Rate),""))</f>
        <v>4200</v>
      </c>
      <c r="R683" s="34">
        <f>IF(MasterFees[[#This Row],[GST Basis]]="Incl",MasterFees[[#This Row],[Fee as Printed]],IF(MasterFees[[#This Row],[GST Basis]]="Excl",MasterFees[[#This Row],[Fee as Printed]]*(1+GST_Rate),""))</f>
        <v>4830</v>
      </c>
      <c r="S683" s="35" t="str">
        <f>IF(N(MasterFees[[#This Row],[Total Units]])=0,"",MasterFees[[#This Row],[Fee as Printed]]/MasterFees[[#This Row],[Total Units]])</f>
        <v/>
      </c>
      <c r="T683" s="36">
        <v>46174</v>
      </c>
      <c r="U683" s="39" t="s">
        <v>4025</v>
      </c>
      <c r="V683" s="39" t="s">
        <v>4070</v>
      </c>
      <c r="W683" s="30" t="s">
        <v>4081</v>
      </c>
      <c r="X683" s="77" t="s">
        <v>4085</v>
      </c>
      <c r="Y683" s="127" t="str">
        <f>_xlfn.XLOOKUP(MasterFees[[#This Row],[Provider / Payer]],Contracts[Contract Name],Contracts[Contract ID],"No contract")</f>
        <v>CON-08</v>
      </c>
      <c r="Z683" s="127" t="str">
        <f>_xlfn.XLOOKUP(MasterFees[[#This Row],[Provider / Payer]],Contracts[Contract Name],Contracts[Pricing Basis],"To confirm")</f>
        <v>Fixed fee schedule</v>
      </c>
      <c r="AA683" s="127" t="str">
        <f>IF(MasterFees[[#This Row],[Pricing Basis]]="Fixed fee schedule","Yes","No")</f>
        <v>Yes</v>
      </c>
      <c r="AB683" s="127" t="str">
        <f>IF(OR(MasterFees[[#This Row],[Fee Basis]]="Add-on",MasterFees[[#This Row],[Fee Basis]]="Time band",MasterFees[[#This Row],[Fee Basis]]="Other"),MasterFees[[#This Row],[Fee Basis]],"Base")</f>
        <v>Base</v>
      </c>
      <c r="AC683" s="141">
        <f>IF(MasterFees[[#This Row],[Fixed Fee?]]="Yes",MasterFees[[#This Row],[Fee Excl. GST]],"")</f>
        <v>4200</v>
      </c>
    </row>
    <row r="684" spans="1:29" x14ac:dyDescent="0.2">
      <c r="A684" s="67" t="s">
        <v>2324</v>
      </c>
      <c r="B684" s="31">
        <f>IF(MasterFees[[#This Row],[RVG Code]]="","",_xlfn.XLOOKUP(MasterFees[[#This Row],[RVG Code]],RVGCodes[Code],RVGCodes[Base Units],"Code not found"))</f>
        <v>8</v>
      </c>
      <c r="C68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68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84" s="125" t="s">
        <v>2575</v>
      </c>
      <c r="F684" s="48" t="s">
        <v>2567</v>
      </c>
      <c r="G684" s="30" t="s">
        <v>4051</v>
      </c>
      <c r="H684" s="37" t="s">
        <v>4069</v>
      </c>
      <c r="I684" s="37"/>
      <c r="J684" s="37" t="s">
        <v>1024</v>
      </c>
      <c r="K684" s="32"/>
      <c r="L684" s="32"/>
      <c r="M684" s="32"/>
      <c r="N684" s="32"/>
      <c r="O684" s="33">
        <v>3795</v>
      </c>
      <c r="P684" s="38" t="s">
        <v>4043</v>
      </c>
      <c r="Q684" s="34">
        <f>IF(MasterFees[[#This Row],[GST Basis]]="Excl",MasterFees[[#This Row],[Fee as Printed]],IF(MasterFees[[#This Row],[GST Basis]]="Incl",MasterFees[[#This Row],[Fee as Printed]]/(1+GST_Rate),""))</f>
        <v>3300.0000000000005</v>
      </c>
      <c r="R684" s="34">
        <f>IF(MasterFees[[#This Row],[GST Basis]]="Incl",MasterFees[[#This Row],[Fee as Printed]],IF(MasterFees[[#This Row],[GST Basis]]="Excl",MasterFees[[#This Row],[Fee as Printed]]*(1+GST_Rate),""))</f>
        <v>3795</v>
      </c>
      <c r="S684" s="35" t="str">
        <f>IF(N(MasterFees[[#This Row],[Total Units]])=0,"",MasterFees[[#This Row],[Fee as Printed]]/MasterFees[[#This Row],[Total Units]])</f>
        <v/>
      </c>
      <c r="T684" s="36">
        <v>46174</v>
      </c>
      <c r="U684" s="39" t="s">
        <v>4025</v>
      </c>
      <c r="V684" s="39" t="s">
        <v>4070</v>
      </c>
      <c r="W684" s="30" t="s">
        <v>4081</v>
      </c>
      <c r="X684" s="77" t="s">
        <v>4084</v>
      </c>
      <c r="Y684" s="127" t="str">
        <f>_xlfn.XLOOKUP(MasterFees[[#This Row],[Provider / Payer]],Contracts[Contract Name],Contracts[Contract ID],"No contract")</f>
        <v>CON-08</v>
      </c>
      <c r="Z684" s="127" t="str">
        <f>_xlfn.XLOOKUP(MasterFees[[#This Row],[Provider / Payer]],Contracts[Contract Name],Contracts[Pricing Basis],"To confirm")</f>
        <v>Fixed fee schedule</v>
      </c>
      <c r="AA684" s="127" t="str">
        <f>IF(MasterFees[[#This Row],[Pricing Basis]]="Fixed fee schedule","Yes","No")</f>
        <v>Yes</v>
      </c>
      <c r="AB684" s="127" t="str">
        <f>IF(OR(MasterFees[[#This Row],[Fee Basis]]="Add-on",MasterFees[[#This Row],[Fee Basis]]="Time band",MasterFees[[#This Row],[Fee Basis]]="Other"),MasterFees[[#This Row],[Fee Basis]],"Base")</f>
        <v>Base</v>
      </c>
      <c r="AC684" s="141">
        <f>IF(MasterFees[[#This Row],[Fixed Fee?]]="Yes",MasterFees[[#This Row],[Fee Excl. GST]],"")</f>
        <v>3300.0000000000005</v>
      </c>
    </row>
    <row r="685" spans="1:29" x14ac:dyDescent="0.2">
      <c r="A685" s="67" t="s">
        <v>2326</v>
      </c>
      <c r="B685" s="31">
        <f>IF(MasterFees[[#This Row],[RVG Code]]="","",_xlfn.XLOOKUP(MasterFees[[#This Row],[RVG Code]],RVGCodes[Code],RVGCodes[Base Units],"Code not found"))</f>
        <v>12</v>
      </c>
      <c r="C68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68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85" s="125" t="s">
        <v>2709</v>
      </c>
      <c r="F685" s="48" t="s">
        <v>2565</v>
      </c>
      <c r="G685" s="30" t="s">
        <v>2327</v>
      </c>
      <c r="H685" s="37" t="s">
        <v>2630</v>
      </c>
      <c r="I685" s="37" t="s">
        <v>2326</v>
      </c>
      <c r="J685" s="37" t="s">
        <v>1096</v>
      </c>
      <c r="K685" s="32">
        <v>12</v>
      </c>
      <c r="L685" s="32"/>
      <c r="M685" s="32"/>
      <c r="N685" s="32"/>
      <c r="O685" s="33"/>
      <c r="P685" s="38"/>
      <c r="Q685" s="34" t="str">
        <f>IF(MasterFees[[#This Row],[GST Basis]]="Excl",MasterFees[[#This Row],[Fee as Printed]],IF(MasterFees[[#This Row],[GST Basis]]="Incl",MasterFees[[#This Row],[Fee as Printed]]/(1+GST_Rate),""))</f>
        <v/>
      </c>
      <c r="R685" s="34" t="str">
        <f>IF(MasterFees[[#This Row],[GST Basis]]="Incl",MasterFees[[#This Row],[Fee as Printed]],IF(MasterFees[[#This Row],[GST Basis]]="Excl",MasterFees[[#This Row],[Fee as Printed]]*(1+GST_Rate),""))</f>
        <v/>
      </c>
      <c r="S685" s="35" t="str">
        <f>IF(N(MasterFees[[#This Row],[Total Units]])=0,"",MasterFees[[#This Row],[Fee as Printed]]/MasterFees[[#This Row],[Total Units]])</f>
        <v/>
      </c>
      <c r="T685" s="36"/>
      <c r="U685" s="39" t="s">
        <v>1016</v>
      </c>
      <c r="V685" s="39" t="s">
        <v>2634</v>
      </c>
      <c r="W685" s="30" t="s">
        <v>2641</v>
      </c>
      <c r="X685" s="73" t="s">
        <v>3945</v>
      </c>
      <c r="Y685" s="127" t="str">
        <f>_xlfn.XLOOKUP(MasterFees[[#This Row],[Provider / Payer]],Contracts[Contract Name],Contracts[Contract ID],"No contract")</f>
        <v>CON-10</v>
      </c>
      <c r="Z685" s="127" t="str">
        <f>_xlfn.XLOOKUP(MasterFees[[#This Row],[Provider / Payer]],Contracts[Contract Name],Contracts[Pricing Basis],"To confirm")</f>
        <v>Reference – units only</v>
      </c>
      <c r="AA685" s="127" t="str">
        <f>IF(MasterFees[[#This Row],[Pricing Basis]]="Fixed fee schedule","Yes","No")</f>
        <v>No</v>
      </c>
      <c r="AB685" s="127" t="str">
        <f>IF(OR(MasterFees[[#This Row],[Fee Basis]]="Add-on",MasterFees[[#This Row],[Fee Basis]]="Time band",MasterFees[[#This Row],[Fee Basis]]="Other"),MasterFees[[#This Row],[Fee Basis]],"Base")</f>
        <v>Base</v>
      </c>
      <c r="AC685" s="141" t="str">
        <f>IF(MasterFees[[#This Row],[Fixed Fee?]]="Yes",MasterFees[[#This Row],[Fee Excl. GST]],"")</f>
        <v/>
      </c>
    </row>
    <row r="686" spans="1:29" x14ac:dyDescent="0.2">
      <c r="A686" s="67" t="s">
        <v>2315</v>
      </c>
      <c r="B686" s="31">
        <f>IF(MasterFees[[#This Row],[RVG Code]]="","",_xlfn.XLOOKUP(MasterFees[[#This Row],[RVG Code]],RVGCodes[Code],RVGCodes[Base Units],"Code not found"))</f>
        <v>5</v>
      </c>
      <c r="C68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68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86" s="125" t="s">
        <v>2607</v>
      </c>
      <c r="F686" s="48" t="s">
        <v>2569</v>
      </c>
      <c r="G686" s="30" t="s">
        <v>248</v>
      </c>
      <c r="H686" s="37" t="s">
        <v>1095</v>
      </c>
      <c r="I686" s="37"/>
      <c r="J686" s="37" t="s">
        <v>1096</v>
      </c>
      <c r="K686" s="32">
        <v>5</v>
      </c>
      <c r="L686" s="32">
        <v>5.0999999999999996</v>
      </c>
      <c r="M686" s="32">
        <v>0.6</v>
      </c>
      <c r="N686" s="32">
        <v>10.7</v>
      </c>
      <c r="O686" s="33">
        <v>589.6</v>
      </c>
      <c r="P686" s="38" t="s">
        <v>1014</v>
      </c>
      <c r="Q686" s="34" t="str">
        <f>IF(MasterFees[[#This Row],[GST Basis]]="Excl",MasterFees[[#This Row],[Fee as Printed]],IF(MasterFees[[#This Row],[GST Basis]]="Incl",MasterFees[[#This Row],[Fee as Printed]]/(1+GST_Rate),""))</f>
        <v/>
      </c>
      <c r="R686" s="34" t="str">
        <f>IF(MasterFees[[#This Row],[GST Basis]]="Incl",MasterFees[[#This Row],[Fee as Printed]],IF(MasterFees[[#This Row],[GST Basis]]="Excl",MasterFees[[#This Row],[Fee as Printed]]*(1+GST_Rate),""))</f>
        <v/>
      </c>
      <c r="S686" s="35">
        <f>IF(N(MasterFees[[#This Row],[Total Units]])=0,"",MasterFees[[#This Row],[Fee as Printed]]/MasterFees[[#This Row],[Total Units]])</f>
        <v>55.10280373831776</v>
      </c>
      <c r="T686" s="36"/>
      <c r="U686" s="39" t="s">
        <v>1012</v>
      </c>
      <c r="V686" s="39" t="s">
        <v>1342</v>
      </c>
      <c r="W686" s="30"/>
      <c r="X686" s="73" t="s">
        <v>3132</v>
      </c>
      <c r="Y686" s="127" t="str">
        <f>_xlfn.XLOOKUP(MasterFees[[#This Row],[Provider / Payer]],Contracts[Contract Name],Contracts[Contract ID],"No contract")</f>
        <v>CON-01</v>
      </c>
      <c r="Z686" s="127" t="str">
        <f>_xlfn.XLOOKUP(MasterFees[[#This Row],[Provider / Payer]],Contracts[Contract Name],Contracts[Pricing Basis],"To confirm")</f>
        <v>To confirm</v>
      </c>
      <c r="AA686" s="127" t="str">
        <f>IF(MasterFees[[#This Row],[Pricing Basis]]="Fixed fee schedule","Yes","No")</f>
        <v>No</v>
      </c>
      <c r="AB686" s="127" t="str">
        <f>IF(OR(MasterFees[[#This Row],[Fee Basis]]="Add-on",MasterFees[[#This Row],[Fee Basis]]="Time band",MasterFees[[#This Row],[Fee Basis]]="Other"),MasterFees[[#This Row],[Fee Basis]],"Base")</f>
        <v>Base</v>
      </c>
      <c r="AC686" s="141" t="str">
        <f>IF(MasterFees[[#This Row],[Fixed Fee?]]="Yes",MasterFees[[#This Row],[Fee Excl. GST]],"")</f>
        <v/>
      </c>
    </row>
    <row r="687" spans="1:29" x14ac:dyDescent="0.2">
      <c r="A687" s="67" t="s">
        <v>2315</v>
      </c>
      <c r="B687" s="31">
        <f>IF(MasterFees[[#This Row],[RVG Code]]="","",_xlfn.XLOOKUP(MasterFees[[#This Row],[RVG Code]],RVGCodes[Code],RVGCodes[Base Units],"Code not found"))</f>
        <v>5</v>
      </c>
      <c r="C68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68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87" s="125" t="s">
        <v>2607</v>
      </c>
      <c r="F687" s="48" t="s">
        <v>2569</v>
      </c>
      <c r="G687" s="30" t="s">
        <v>254</v>
      </c>
      <c r="H687" s="37" t="s">
        <v>1095</v>
      </c>
      <c r="I687" s="37"/>
      <c r="J687" s="37" t="s">
        <v>1096</v>
      </c>
      <c r="K687" s="32">
        <v>4.8</v>
      </c>
      <c r="L687" s="32">
        <v>3.7</v>
      </c>
      <c r="M687" s="32">
        <v>0.4</v>
      </c>
      <c r="N687" s="32">
        <v>8.9</v>
      </c>
      <c r="O687" s="33">
        <v>487.3</v>
      </c>
      <c r="P687" s="38" t="s">
        <v>1014</v>
      </c>
      <c r="Q687" s="34" t="str">
        <f>IF(MasterFees[[#This Row],[GST Basis]]="Excl",MasterFees[[#This Row],[Fee as Printed]],IF(MasterFees[[#This Row],[GST Basis]]="Incl",MasterFees[[#This Row],[Fee as Printed]]/(1+GST_Rate),""))</f>
        <v/>
      </c>
      <c r="R687" s="34" t="str">
        <f>IF(MasterFees[[#This Row],[GST Basis]]="Incl",MasterFees[[#This Row],[Fee as Printed]],IF(MasterFees[[#This Row],[GST Basis]]="Excl",MasterFees[[#This Row],[Fee as Printed]]*(1+GST_Rate),""))</f>
        <v/>
      </c>
      <c r="S687" s="35">
        <f>IF(N(MasterFees[[#This Row],[Total Units]])=0,"",MasterFees[[#This Row],[Fee as Printed]]/MasterFees[[#This Row],[Total Units]])</f>
        <v>54.752808988764045</v>
      </c>
      <c r="T687" s="36"/>
      <c r="U687" s="39" t="s">
        <v>1012</v>
      </c>
      <c r="V687" s="39" t="s">
        <v>1348</v>
      </c>
      <c r="W687" s="30"/>
      <c r="X687" s="73" t="s">
        <v>3138</v>
      </c>
      <c r="Y687" s="127" t="str">
        <f>_xlfn.XLOOKUP(MasterFees[[#This Row],[Provider / Payer]],Contracts[Contract Name],Contracts[Contract ID],"No contract")</f>
        <v>CON-01</v>
      </c>
      <c r="Z687" s="127" t="str">
        <f>_xlfn.XLOOKUP(MasterFees[[#This Row],[Provider / Payer]],Contracts[Contract Name],Contracts[Pricing Basis],"To confirm")</f>
        <v>To confirm</v>
      </c>
      <c r="AA687" s="127" t="str">
        <f>IF(MasterFees[[#This Row],[Pricing Basis]]="Fixed fee schedule","Yes","No")</f>
        <v>No</v>
      </c>
      <c r="AB687" s="127" t="str">
        <f>IF(OR(MasterFees[[#This Row],[Fee Basis]]="Add-on",MasterFees[[#This Row],[Fee Basis]]="Time band",MasterFees[[#This Row],[Fee Basis]]="Other"),MasterFees[[#This Row],[Fee Basis]],"Base")</f>
        <v>Base</v>
      </c>
      <c r="AC687" s="141" t="str">
        <f>IF(MasterFees[[#This Row],[Fixed Fee?]]="Yes",MasterFees[[#This Row],[Fee Excl. GST]],"")</f>
        <v/>
      </c>
    </row>
    <row r="688" spans="1:29" x14ac:dyDescent="0.2">
      <c r="A688" s="67" t="s">
        <v>2324</v>
      </c>
      <c r="B688" s="31">
        <f>IF(MasterFees[[#This Row],[RVG Code]]="","",_xlfn.XLOOKUP(MasterFees[[#This Row],[RVG Code]],RVGCodes[Code],RVGCodes[Base Units],"Code not found"))</f>
        <v>8</v>
      </c>
      <c r="C68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68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88" s="125" t="s">
        <v>2575</v>
      </c>
      <c r="F688" s="48" t="s">
        <v>2567</v>
      </c>
      <c r="G688" s="30" t="s">
        <v>255</v>
      </c>
      <c r="H688" s="37" t="s">
        <v>1095</v>
      </c>
      <c r="I688" s="37"/>
      <c r="J688" s="37" t="s">
        <v>1096</v>
      </c>
      <c r="K688" s="32">
        <v>5</v>
      </c>
      <c r="L688" s="32">
        <v>2</v>
      </c>
      <c r="M688" s="32">
        <v>0</v>
      </c>
      <c r="N688" s="32">
        <v>7</v>
      </c>
      <c r="O688" s="33">
        <v>385</v>
      </c>
      <c r="P688" s="38" t="s">
        <v>1014</v>
      </c>
      <c r="Q688" s="34" t="str">
        <f>IF(MasterFees[[#This Row],[GST Basis]]="Excl",MasterFees[[#This Row],[Fee as Printed]],IF(MasterFees[[#This Row],[GST Basis]]="Incl",MasterFees[[#This Row],[Fee as Printed]]/(1+GST_Rate),""))</f>
        <v/>
      </c>
      <c r="R688" s="34" t="str">
        <f>IF(MasterFees[[#This Row],[GST Basis]]="Incl",MasterFees[[#This Row],[Fee as Printed]],IF(MasterFees[[#This Row],[GST Basis]]="Excl",MasterFees[[#This Row],[Fee as Printed]]*(1+GST_Rate),""))</f>
        <v/>
      </c>
      <c r="S688" s="35">
        <f>IF(N(MasterFees[[#This Row],[Total Units]])=0,"",MasterFees[[#This Row],[Fee as Printed]]/MasterFees[[#This Row],[Total Units]])</f>
        <v>55</v>
      </c>
      <c r="T688" s="36"/>
      <c r="U688" s="39" t="s">
        <v>1012</v>
      </c>
      <c r="V688" s="39" t="s">
        <v>1349</v>
      </c>
      <c r="W688" s="30"/>
      <c r="X688" s="73" t="s">
        <v>3139</v>
      </c>
      <c r="Y688" s="127" t="str">
        <f>_xlfn.XLOOKUP(MasterFees[[#This Row],[Provider / Payer]],Contracts[Contract Name],Contracts[Contract ID],"No contract")</f>
        <v>CON-01</v>
      </c>
      <c r="Z688" s="127" t="str">
        <f>_xlfn.XLOOKUP(MasterFees[[#This Row],[Provider / Payer]],Contracts[Contract Name],Contracts[Pricing Basis],"To confirm")</f>
        <v>To confirm</v>
      </c>
      <c r="AA688" s="127" t="str">
        <f>IF(MasterFees[[#This Row],[Pricing Basis]]="Fixed fee schedule","Yes","No")</f>
        <v>No</v>
      </c>
      <c r="AB688" s="127" t="str">
        <f>IF(OR(MasterFees[[#This Row],[Fee Basis]]="Add-on",MasterFees[[#This Row],[Fee Basis]]="Time band",MasterFees[[#This Row],[Fee Basis]]="Other"),MasterFees[[#This Row],[Fee Basis]],"Base")</f>
        <v>Base</v>
      </c>
      <c r="AC688" s="141" t="str">
        <f>IF(MasterFees[[#This Row],[Fixed Fee?]]="Yes",MasterFees[[#This Row],[Fee Excl. GST]],"")</f>
        <v/>
      </c>
    </row>
    <row r="689" spans="1:29" x14ac:dyDescent="0.2">
      <c r="A689" s="67" t="s">
        <v>2315</v>
      </c>
      <c r="B689" s="31">
        <f>IF(MasterFees[[#This Row],[RVG Code]]="","",_xlfn.XLOOKUP(MasterFees[[#This Row],[RVG Code]],RVGCodes[Code],RVGCodes[Base Units],"Code not found"))</f>
        <v>5</v>
      </c>
      <c r="C68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68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89" s="125" t="s">
        <v>2607</v>
      </c>
      <c r="F689" s="48" t="s">
        <v>2569</v>
      </c>
      <c r="G689" s="30" t="s">
        <v>282</v>
      </c>
      <c r="H689" s="37" t="s">
        <v>1095</v>
      </c>
      <c r="I689" s="37"/>
      <c r="J689" s="37" t="s">
        <v>1096</v>
      </c>
      <c r="K689" s="32">
        <v>4.2</v>
      </c>
      <c r="L689" s="32">
        <v>3</v>
      </c>
      <c r="M689" s="32">
        <v>0.3</v>
      </c>
      <c r="N689" s="32">
        <v>7.6</v>
      </c>
      <c r="O689" s="33">
        <v>415.8</v>
      </c>
      <c r="P689" s="38" t="s">
        <v>1014</v>
      </c>
      <c r="Q689" s="34" t="str">
        <f>IF(MasterFees[[#This Row],[GST Basis]]="Excl",MasterFees[[#This Row],[Fee as Printed]],IF(MasterFees[[#This Row],[GST Basis]]="Incl",MasterFees[[#This Row],[Fee as Printed]]/(1+GST_Rate),""))</f>
        <v/>
      </c>
      <c r="R689" s="34" t="str">
        <f>IF(MasterFees[[#This Row],[GST Basis]]="Incl",MasterFees[[#This Row],[Fee as Printed]],IF(MasterFees[[#This Row],[GST Basis]]="Excl",MasterFees[[#This Row],[Fee as Printed]]*(1+GST_Rate),""))</f>
        <v/>
      </c>
      <c r="S689" s="35">
        <f>IF(N(MasterFees[[#This Row],[Total Units]])=0,"",MasterFees[[#This Row],[Fee as Printed]]/MasterFees[[#This Row],[Total Units]])</f>
        <v>54.71052631578948</v>
      </c>
      <c r="T689" s="36"/>
      <c r="U689" s="39" t="s">
        <v>1012</v>
      </c>
      <c r="V689" s="39" t="s">
        <v>1376</v>
      </c>
      <c r="W689" s="30"/>
      <c r="X689" s="73" t="s">
        <v>3167</v>
      </c>
      <c r="Y689" s="127" t="str">
        <f>_xlfn.XLOOKUP(MasterFees[[#This Row],[Provider / Payer]],Contracts[Contract Name],Contracts[Contract ID],"No contract")</f>
        <v>CON-01</v>
      </c>
      <c r="Z689" s="127" t="str">
        <f>_xlfn.XLOOKUP(MasterFees[[#This Row],[Provider / Payer]],Contracts[Contract Name],Contracts[Pricing Basis],"To confirm")</f>
        <v>To confirm</v>
      </c>
      <c r="AA689" s="127" t="str">
        <f>IF(MasterFees[[#This Row],[Pricing Basis]]="Fixed fee schedule","Yes","No")</f>
        <v>No</v>
      </c>
      <c r="AB689" s="127" t="str">
        <f>IF(OR(MasterFees[[#This Row],[Fee Basis]]="Add-on",MasterFees[[#This Row],[Fee Basis]]="Time band",MasterFees[[#This Row],[Fee Basis]]="Other"),MasterFees[[#This Row],[Fee Basis]],"Base")</f>
        <v>Base</v>
      </c>
      <c r="AC689" s="141" t="str">
        <f>IF(MasterFees[[#This Row],[Fixed Fee?]]="Yes",MasterFees[[#This Row],[Fee Excl. GST]],"")</f>
        <v/>
      </c>
    </row>
    <row r="690" spans="1:29" x14ac:dyDescent="0.2">
      <c r="A690" s="67" t="s">
        <v>2324</v>
      </c>
      <c r="B690" s="31">
        <f>IF(MasterFees[[#This Row],[RVG Code]]="","",_xlfn.XLOOKUP(MasterFees[[#This Row],[RVG Code]],RVGCodes[Code],RVGCodes[Base Units],"Code not found"))</f>
        <v>8</v>
      </c>
      <c r="C69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69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90" s="125" t="s">
        <v>2575</v>
      </c>
      <c r="F690" s="48" t="s">
        <v>2569</v>
      </c>
      <c r="G690" s="30" t="s">
        <v>329</v>
      </c>
      <c r="H690" s="37" t="s">
        <v>1095</v>
      </c>
      <c r="I690" s="37"/>
      <c r="J690" s="37" t="s">
        <v>1096</v>
      </c>
      <c r="K690" s="32">
        <v>8.1</v>
      </c>
      <c r="L690" s="32">
        <v>24.6</v>
      </c>
      <c r="M690" s="32">
        <v>2</v>
      </c>
      <c r="N690" s="32">
        <v>34.700000000000003</v>
      </c>
      <c r="O690" s="33">
        <v>1909.05</v>
      </c>
      <c r="P690" s="38" t="s">
        <v>1014</v>
      </c>
      <c r="Q690" s="34" t="str">
        <f>IF(MasterFees[[#This Row],[GST Basis]]="Excl",MasterFees[[#This Row],[Fee as Printed]],IF(MasterFees[[#This Row],[GST Basis]]="Incl",MasterFees[[#This Row],[Fee as Printed]]/(1+GST_Rate),""))</f>
        <v/>
      </c>
      <c r="R690" s="34" t="str">
        <f>IF(MasterFees[[#This Row],[GST Basis]]="Incl",MasterFees[[#This Row],[Fee as Printed]],IF(MasterFees[[#This Row],[GST Basis]]="Excl",MasterFees[[#This Row],[Fee as Printed]]*(1+GST_Rate),""))</f>
        <v/>
      </c>
      <c r="S690" s="35">
        <f>IF(N(MasterFees[[#This Row],[Total Units]])=0,"",MasterFees[[#This Row],[Fee as Printed]]/MasterFees[[#This Row],[Total Units]])</f>
        <v>55.015850144092212</v>
      </c>
      <c r="T690" s="36"/>
      <c r="U690" s="39" t="s">
        <v>1012</v>
      </c>
      <c r="V690" s="39" t="s">
        <v>1423</v>
      </c>
      <c r="W690" s="30"/>
      <c r="X690" s="73" t="s">
        <v>3215</v>
      </c>
      <c r="Y690" s="127" t="str">
        <f>_xlfn.XLOOKUP(MasterFees[[#This Row],[Provider / Payer]],Contracts[Contract Name],Contracts[Contract ID],"No contract")</f>
        <v>CON-01</v>
      </c>
      <c r="Z690" s="127" t="str">
        <f>_xlfn.XLOOKUP(MasterFees[[#This Row],[Provider / Payer]],Contracts[Contract Name],Contracts[Pricing Basis],"To confirm")</f>
        <v>To confirm</v>
      </c>
      <c r="AA690" s="127" t="str">
        <f>IF(MasterFees[[#This Row],[Pricing Basis]]="Fixed fee schedule","Yes","No")</f>
        <v>No</v>
      </c>
      <c r="AB690" s="127" t="str">
        <f>IF(OR(MasterFees[[#This Row],[Fee Basis]]="Add-on",MasterFees[[#This Row],[Fee Basis]]="Time band",MasterFees[[#This Row],[Fee Basis]]="Other"),MasterFees[[#This Row],[Fee Basis]],"Base")</f>
        <v>Base</v>
      </c>
      <c r="AC690" s="141" t="str">
        <f>IF(MasterFees[[#This Row],[Fixed Fee?]]="Yes",MasterFees[[#This Row],[Fee Excl. GST]],"")</f>
        <v/>
      </c>
    </row>
    <row r="691" spans="1:29" x14ac:dyDescent="0.2">
      <c r="A691" s="67" t="s">
        <v>2320</v>
      </c>
      <c r="B691" s="31">
        <f>IF(MasterFees[[#This Row],[RVG Code]]="","",_xlfn.XLOOKUP(MasterFees[[#This Row],[RVG Code]],RVGCodes[Code],RVGCodes[Base Units],"Code not found"))</f>
        <v>6</v>
      </c>
      <c r="C69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69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91" s="125" t="s">
        <v>2573</v>
      </c>
      <c r="F691" s="48" t="s">
        <v>2629</v>
      </c>
      <c r="G691" s="30" t="s">
        <v>2321</v>
      </c>
      <c r="H691" s="37" t="s">
        <v>2630</v>
      </c>
      <c r="I691" s="37" t="s">
        <v>2320</v>
      </c>
      <c r="J691" s="37" t="s">
        <v>1096</v>
      </c>
      <c r="K691" s="32">
        <v>6</v>
      </c>
      <c r="L691" s="32"/>
      <c r="M691" s="32"/>
      <c r="N691" s="32"/>
      <c r="O691" s="33"/>
      <c r="P691" s="38"/>
      <c r="Q691" s="34" t="str">
        <f>IF(MasterFees[[#This Row],[GST Basis]]="Excl",MasterFees[[#This Row],[Fee as Printed]],IF(MasterFees[[#This Row],[GST Basis]]="Incl",MasterFees[[#This Row],[Fee as Printed]]/(1+GST_Rate),""))</f>
        <v/>
      </c>
      <c r="R691" s="34" t="str">
        <f>IF(MasterFees[[#This Row],[GST Basis]]="Incl",MasterFees[[#This Row],[Fee as Printed]],IF(MasterFees[[#This Row],[GST Basis]]="Excl",MasterFees[[#This Row],[Fee as Printed]]*(1+GST_Rate),""))</f>
        <v/>
      </c>
      <c r="S691" s="35" t="str">
        <f>IF(N(MasterFees[[#This Row],[Total Units]])=0,"",MasterFees[[#This Row],[Fee as Printed]]/MasterFees[[#This Row],[Total Units]])</f>
        <v/>
      </c>
      <c r="T691" s="36"/>
      <c r="U691" s="39" t="s">
        <v>1016</v>
      </c>
      <c r="V691" s="39" t="s">
        <v>2634</v>
      </c>
      <c r="W691" s="30" t="s">
        <v>2639</v>
      </c>
      <c r="X691" s="73" t="s">
        <v>3902</v>
      </c>
      <c r="Y691" s="127" t="str">
        <f>_xlfn.XLOOKUP(MasterFees[[#This Row],[Provider / Payer]],Contracts[Contract Name],Contracts[Contract ID],"No contract")</f>
        <v>CON-10</v>
      </c>
      <c r="Z691" s="127" t="str">
        <f>_xlfn.XLOOKUP(MasterFees[[#This Row],[Provider / Payer]],Contracts[Contract Name],Contracts[Pricing Basis],"To confirm")</f>
        <v>Reference – units only</v>
      </c>
      <c r="AA691" s="127" t="str">
        <f>IF(MasterFees[[#This Row],[Pricing Basis]]="Fixed fee schedule","Yes","No")</f>
        <v>No</v>
      </c>
      <c r="AB691" s="127" t="str">
        <f>IF(OR(MasterFees[[#This Row],[Fee Basis]]="Add-on",MasterFees[[#This Row],[Fee Basis]]="Time band",MasterFees[[#This Row],[Fee Basis]]="Other"),MasterFees[[#This Row],[Fee Basis]],"Base")</f>
        <v>Base</v>
      </c>
      <c r="AC691" s="141" t="str">
        <f>IF(MasterFees[[#This Row],[Fixed Fee?]]="Yes",MasterFees[[#This Row],[Fee Excl. GST]],"")</f>
        <v/>
      </c>
    </row>
    <row r="692" spans="1:29" x14ac:dyDescent="0.2">
      <c r="A692" s="67" t="s">
        <v>2320</v>
      </c>
      <c r="B692" s="31">
        <f>IF(MasterFees[[#This Row],[RVG Code]]="","",_xlfn.XLOOKUP(MasterFees[[#This Row],[RVG Code]],RVGCodes[Code],RVGCodes[Base Units],"Code not found"))</f>
        <v>6</v>
      </c>
      <c r="C69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69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92" s="125" t="s">
        <v>2573</v>
      </c>
      <c r="F692" s="48" t="s">
        <v>2569</v>
      </c>
      <c r="G692" s="30" t="s">
        <v>421</v>
      </c>
      <c r="H692" s="37" t="s">
        <v>1095</v>
      </c>
      <c r="I692" s="37"/>
      <c r="J692" s="37" t="s">
        <v>1096</v>
      </c>
      <c r="K692" s="32">
        <v>6.4</v>
      </c>
      <c r="L692" s="32">
        <v>8</v>
      </c>
      <c r="M692" s="32">
        <v>0.7</v>
      </c>
      <c r="N692" s="32">
        <v>15.2</v>
      </c>
      <c r="O692" s="33">
        <v>833.8</v>
      </c>
      <c r="P692" s="38" t="s">
        <v>1014</v>
      </c>
      <c r="Q692" s="34" t="str">
        <f>IF(MasterFees[[#This Row],[GST Basis]]="Excl",MasterFees[[#This Row],[Fee as Printed]],IF(MasterFees[[#This Row],[GST Basis]]="Incl",MasterFees[[#This Row],[Fee as Printed]]/(1+GST_Rate),""))</f>
        <v/>
      </c>
      <c r="R692" s="34" t="str">
        <f>IF(MasterFees[[#This Row],[GST Basis]]="Incl",MasterFees[[#This Row],[Fee as Printed]],IF(MasterFees[[#This Row],[GST Basis]]="Excl",MasterFees[[#This Row],[Fee as Printed]]*(1+GST_Rate),""))</f>
        <v/>
      </c>
      <c r="S692" s="35">
        <f>IF(N(MasterFees[[#This Row],[Total Units]])=0,"",MasterFees[[#This Row],[Fee as Printed]]/MasterFees[[#This Row],[Total Units]])</f>
        <v>54.85526315789474</v>
      </c>
      <c r="T692" s="36"/>
      <c r="U692" s="39" t="s">
        <v>1012</v>
      </c>
      <c r="V692" s="39" t="s">
        <v>1516</v>
      </c>
      <c r="W692" s="30"/>
      <c r="X692" s="73" t="s">
        <v>3309</v>
      </c>
      <c r="Y692" s="127" t="str">
        <f>_xlfn.XLOOKUP(MasterFees[[#This Row],[Provider / Payer]],Contracts[Contract Name],Contracts[Contract ID],"No contract")</f>
        <v>CON-01</v>
      </c>
      <c r="Z692" s="127" t="str">
        <f>_xlfn.XLOOKUP(MasterFees[[#This Row],[Provider / Payer]],Contracts[Contract Name],Contracts[Pricing Basis],"To confirm")</f>
        <v>To confirm</v>
      </c>
      <c r="AA692" s="127" t="str">
        <f>IF(MasterFees[[#This Row],[Pricing Basis]]="Fixed fee schedule","Yes","No")</f>
        <v>No</v>
      </c>
      <c r="AB692" s="127" t="str">
        <f>IF(OR(MasterFees[[#This Row],[Fee Basis]]="Add-on",MasterFees[[#This Row],[Fee Basis]]="Time band",MasterFees[[#This Row],[Fee Basis]]="Other"),MasterFees[[#This Row],[Fee Basis]],"Base")</f>
        <v>Base</v>
      </c>
      <c r="AC692" s="141" t="str">
        <f>IF(MasterFees[[#This Row],[Fixed Fee?]]="Yes",MasterFees[[#This Row],[Fee Excl. GST]],"")</f>
        <v/>
      </c>
    </row>
    <row r="693" spans="1:29" x14ac:dyDescent="0.2">
      <c r="A693" s="67" t="s">
        <v>2320</v>
      </c>
      <c r="B693" s="31">
        <f>IF(MasterFees[[#This Row],[RVG Code]]="","",_xlfn.XLOOKUP(MasterFees[[#This Row],[RVG Code]],RVGCodes[Code],RVGCodes[Base Units],"Code not found"))</f>
        <v>6</v>
      </c>
      <c r="C69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69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93" s="125" t="s">
        <v>2573</v>
      </c>
      <c r="F693" s="48" t="s">
        <v>2569</v>
      </c>
      <c r="G693" s="30" t="s">
        <v>422</v>
      </c>
      <c r="H693" s="37" t="s">
        <v>1095</v>
      </c>
      <c r="I693" s="37"/>
      <c r="J693" s="37" t="s">
        <v>1096</v>
      </c>
      <c r="K693" s="32">
        <v>0</v>
      </c>
      <c r="L693" s="32">
        <v>9</v>
      </c>
      <c r="M693" s="32">
        <v>0</v>
      </c>
      <c r="N693" s="32">
        <v>9</v>
      </c>
      <c r="O693" s="33">
        <v>495</v>
      </c>
      <c r="P693" s="38" t="s">
        <v>1014</v>
      </c>
      <c r="Q693" s="34" t="str">
        <f>IF(MasterFees[[#This Row],[GST Basis]]="Excl",MasterFees[[#This Row],[Fee as Printed]],IF(MasterFees[[#This Row],[GST Basis]]="Incl",MasterFees[[#This Row],[Fee as Printed]]/(1+GST_Rate),""))</f>
        <v/>
      </c>
      <c r="R693" s="34" t="str">
        <f>IF(MasterFees[[#This Row],[GST Basis]]="Incl",MasterFees[[#This Row],[Fee as Printed]],IF(MasterFees[[#This Row],[GST Basis]]="Excl",MasterFees[[#This Row],[Fee as Printed]]*(1+GST_Rate),""))</f>
        <v/>
      </c>
      <c r="S693" s="35">
        <f>IF(N(MasterFees[[#This Row],[Total Units]])=0,"",MasterFees[[#This Row],[Fee as Printed]]/MasterFees[[#This Row],[Total Units]])</f>
        <v>55</v>
      </c>
      <c r="T693" s="36"/>
      <c r="U693" s="39" t="s">
        <v>1012</v>
      </c>
      <c r="V693" s="39" t="s">
        <v>1517</v>
      </c>
      <c r="W693" s="30"/>
      <c r="X693" s="73" t="s">
        <v>3310</v>
      </c>
      <c r="Y693" s="127" t="str">
        <f>_xlfn.XLOOKUP(MasterFees[[#This Row],[Provider / Payer]],Contracts[Contract Name],Contracts[Contract ID],"No contract")</f>
        <v>CON-01</v>
      </c>
      <c r="Z693" s="127" t="str">
        <f>_xlfn.XLOOKUP(MasterFees[[#This Row],[Provider / Payer]],Contracts[Contract Name],Contracts[Pricing Basis],"To confirm")</f>
        <v>To confirm</v>
      </c>
      <c r="AA693" s="127" t="str">
        <f>IF(MasterFees[[#This Row],[Pricing Basis]]="Fixed fee schedule","Yes","No")</f>
        <v>No</v>
      </c>
      <c r="AB693" s="127" t="str">
        <f>IF(OR(MasterFees[[#This Row],[Fee Basis]]="Add-on",MasterFees[[#This Row],[Fee Basis]]="Time band",MasterFees[[#This Row],[Fee Basis]]="Other"),MasterFees[[#This Row],[Fee Basis]],"Base")</f>
        <v>Base</v>
      </c>
      <c r="AC693" s="141" t="str">
        <f>IF(MasterFees[[#This Row],[Fixed Fee?]]="Yes",MasterFees[[#This Row],[Fee Excl. GST]],"")</f>
        <v/>
      </c>
    </row>
    <row r="694" spans="1:29" x14ac:dyDescent="0.2">
      <c r="A694" s="67" t="s">
        <v>2320</v>
      </c>
      <c r="B694" s="31">
        <f>IF(MasterFees[[#This Row],[RVG Code]]="","",_xlfn.XLOOKUP(MasterFees[[#This Row],[RVG Code]],RVGCodes[Code],RVGCodes[Base Units],"Code not found"))</f>
        <v>6</v>
      </c>
      <c r="C69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69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94" s="125" t="s">
        <v>2573</v>
      </c>
      <c r="F694" s="48" t="s">
        <v>2569</v>
      </c>
      <c r="G694" s="30" t="s">
        <v>423</v>
      </c>
      <c r="H694" s="37" t="s">
        <v>1095</v>
      </c>
      <c r="I694" s="37"/>
      <c r="J694" s="37" t="s">
        <v>1096</v>
      </c>
      <c r="K694" s="32">
        <v>6</v>
      </c>
      <c r="L694" s="32">
        <v>8</v>
      </c>
      <c r="M694" s="32">
        <v>0</v>
      </c>
      <c r="N694" s="32">
        <v>14</v>
      </c>
      <c r="O694" s="33">
        <v>770</v>
      </c>
      <c r="P694" s="38" t="s">
        <v>1014</v>
      </c>
      <c r="Q694" s="34" t="str">
        <f>IF(MasterFees[[#This Row],[GST Basis]]="Excl",MasterFees[[#This Row],[Fee as Printed]],IF(MasterFees[[#This Row],[GST Basis]]="Incl",MasterFees[[#This Row],[Fee as Printed]]/(1+GST_Rate),""))</f>
        <v/>
      </c>
      <c r="R694" s="34" t="str">
        <f>IF(MasterFees[[#This Row],[GST Basis]]="Incl",MasterFees[[#This Row],[Fee as Printed]],IF(MasterFees[[#This Row],[GST Basis]]="Excl",MasterFees[[#This Row],[Fee as Printed]]*(1+GST_Rate),""))</f>
        <v/>
      </c>
      <c r="S694" s="35">
        <f>IF(N(MasterFees[[#This Row],[Total Units]])=0,"",MasterFees[[#This Row],[Fee as Printed]]/MasterFees[[#This Row],[Total Units]])</f>
        <v>55</v>
      </c>
      <c r="T694" s="36"/>
      <c r="U694" s="39" t="s">
        <v>1012</v>
      </c>
      <c r="V694" s="39" t="s">
        <v>1518</v>
      </c>
      <c r="W694" s="30"/>
      <c r="X694" s="73" t="s">
        <v>3311</v>
      </c>
      <c r="Y694" s="127" t="str">
        <f>_xlfn.XLOOKUP(MasterFees[[#This Row],[Provider / Payer]],Contracts[Contract Name],Contracts[Contract ID],"No contract")</f>
        <v>CON-01</v>
      </c>
      <c r="Z694" s="127" t="str">
        <f>_xlfn.XLOOKUP(MasterFees[[#This Row],[Provider / Payer]],Contracts[Contract Name],Contracts[Pricing Basis],"To confirm")</f>
        <v>To confirm</v>
      </c>
      <c r="AA694" s="127" t="str">
        <f>IF(MasterFees[[#This Row],[Pricing Basis]]="Fixed fee schedule","Yes","No")</f>
        <v>No</v>
      </c>
      <c r="AB694" s="127" t="str">
        <f>IF(OR(MasterFees[[#This Row],[Fee Basis]]="Add-on",MasterFees[[#This Row],[Fee Basis]]="Time band",MasterFees[[#This Row],[Fee Basis]]="Other"),MasterFees[[#This Row],[Fee Basis]],"Base")</f>
        <v>Base</v>
      </c>
      <c r="AC694" s="141" t="str">
        <f>IF(MasterFees[[#This Row],[Fixed Fee?]]="Yes",MasterFees[[#This Row],[Fee Excl. GST]],"")</f>
        <v/>
      </c>
    </row>
    <row r="695" spans="1:29" x14ac:dyDescent="0.2">
      <c r="A695" s="67" t="s">
        <v>2318</v>
      </c>
      <c r="B695" s="31">
        <f>IF(MasterFees[[#This Row],[RVG Code]]="","",_xlfn.XLOOKUP(MasterFees[[#This Row],[RVG Code]],RVGCodes[Code],RVGCodes[Base Units],"Code not found"))</f>
        <v>6</v>
      </c>
      <c r="C69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69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95" s="125" t="s">
        <v>2615</v>
      </c>
      <c r="F695" s="48" t="s">
        <v>2569</v>
      </c>
      <c r="G695" s="30" t="s">
        <v>434</v>
      </c>
      <c r="H695" s="37" t="s">
        <v>1095</v>
      </c>
      <c r="I695" s="37"/>
      <c r="J695" s="37" t="s">
        <v>1096</v>
      </c>
      <c r="K695" s="32">
        <v>5.9</v>
      </c>
      <c r="L695" s="32">
        <v>7</v>
      </c>
      <c r="M695" s="32">
        <v>1.1000000000000001</v>
      </c>
      <c r="N695" s="32">
        <v>14</v>
      </c>
      <c r="O695" s="33">
        <v>767.25</v>
      </c>
      <c r="P695" s="38" t="s">
        <v>1014</v>
      </c>
      <c r="Q695" s="34" t="str">
        <f>IF(MasterFees[[#This Row],[GST Basis]]="Excl",MasterFees[[#This Row],[Fee as Printed]],IF(MasterFees[[#This Row],[GST Basis]]="Incl",MasterFees[[#This Row],[Fee as Printed]]/(1+GST_Rate),""))</f>
        <v/>
      </c>
      <c r="R695" s="34" t="str">
        <f>IF(MasterFees[[#This Row],[GST Basis]]="Incl",MasterFees[[#This Row],[Fee as Printed]],IF(MasterFees[[#This Row],[GST Basis]]="Excl",MasterFees[[#This Row],[Fee as Printed]]*(1+GST_Rate),""))</f>
        <v/>
      </c>
      <c r="S695" s="35">
        <f>IF(N(MasterFees[[#This Row],[Total Units]])=0,"",MasterFees[[#This Row],[Fee as Printed]]/MasterFees[[#This Row],[Total Units]])</f>
        <v>54.803571428571431</v>
      </c>
      <c r="T695" s="36"/>
      <c r="U695" s="39" t="s">
        <v>1012</v>
      </c>
      <c r="V695" s="39" t="s">
        <v>1529</v>
      </c>
      <c r="W695" s="30"/>
      <c r="X695" s="73" t="s">
        <v>3322</v>
      </c>
      <c r="Y695" s="127" t="str">
        <f>_xlfn.XLOOKUP(MasterFees[[#This Row],[Provider / Payer]],Contracts[Contract Name],Contracts[Contract ID],"No contract")</f>
        <v>CON-01</v>
      </c>
      <c r="Z695" s="127" t="str">
        <f>_xlfn.XLOOKUP(MasterFees[[#This Row],[Provider / Payer]],Contracts[Contract Name],Contracts[Pricing Basis],"To confirm")</f>
        <v>To confirm</v>
      </c>
      <c r="AA695" s="127" t="str">
        <f>IF(MasterFees[[#This Row],[Pricing Basis]]="Fixed fee schedule","Yes","No")</f>
        <v>No</v>
      </c>
      <c r="AB695" s="127" t="str">
        <f>IF(OR(MasterFees[[#This Row],[Fee Basis]]="Add-on",MasterFees[[#This Row],[Fee Basis]]="Time band",MasterFees[[#This Row],[Fee Basis]]="Other"),MasterFees[[#This Row],[Fee Basis]],"Base")</f>
        <v>Base</v>
      </c>
      <c r="AC695" s="141" t="str">
        <f>IF(MasterFees[[#This Row],[Fixed Fee?]]="Yes",MasterFees[[#This Row],[Fee Excl. GST]],"")</f>
        <v/>
      </c>
    </row>
    <row r="696" spans="1:29" x14ac:dyDescent="0.2">
      <c r="A696" s="67" t="s">
        <v>2315</v>
      </c>
      <c r="B696" s="31">
        <f>IF(MasterFees[[#This Row],[RVG Code]]="","",_xlfn.XLOOKUP(MasterFees[[#This Row],[RVG Code]],RVGCodes[Code],RVGCodes[Base Units],"Code not found"))</f>
        <v>5</v>
      </c>
      <c r="C69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69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96" s="125" t="s">
        <v>2607</v>
      </c>
      <c r="F696" s="48" t="s">
        <v>2569</v>
      </c>
      <c r="G696" s="30" t="s">
        <v>436</v>
      </c>
      <c r="H696" s="37" t="s">
        <v>1095</v>
      </c>
      <c r="I696" s="37"/>
      <c r="J696" s="37" t="s">
        <v>1096</v>
      </c>
      <c r="K696" s="32">
        <v>3.8</v>
      </c>
      <c r="L696" s="32">
        <v>4.0999999999999996</v>
      </c>
      <c r="M696" s="32">
        <v>0.8</v>
      </c>
      <c r="N696" s="32">
        <v>8.6999999999999993</v>
      </c>
      <c r="O696" s="33">
        <v>476.3</v>
      </c>
      <c r="P696" s="38" t="s">
        <v>1014</v>
      </c>
      <c r="Q696" s="34" t="str">
        <f>IF(MasterFees[[#This Row],[GST Basis]]="Excl",MasterFees[[#This Row],[Fee as Printed]],IF(MasterFees[[#This Row],[GST Basis]]="Incl",MasterFees[[#This Row],[Fee as Printed]]/(1+GST_Rate),""))</f>
        <v/>
      </c>
      <c r="R696" s="34" t="str">
        <f>IF(MasterFees[[#This Row],[GST Basis]]="Incl",MasterFees[[#This Row],[Fee as Printed]],IF(MasterFees[[#This Row],[GST Basis]]="Excl",MasterFees[[#This Row],[Fee as Printed]]*(1+GST_Rate),""))</f>
        <v/>
      </c>
      <c r="S696" s="35">
        <f>IF(N(MasterFees[[#This Row],[Total Units]])=0,"",MasterFees[[#This Row],[Fee as Printed]]/MasterFees[[#This Row],[Total Units]])</f>
        <v>54.747126436781613</v>
      </c>
      <c r="T696" s="36"/>
      <c r="U696" s="39" t="s">
        <v>1012</v>
      </c>
      <c r="V696" s="39" t="s">
        <v>1531</v>
      </c>
      <c r="W696" s="30"/>
      <c r="X696" s="73" t="s">
        <v>3324</v>
      </c>
      <c r="Y696" s="127" t="str">
        <f>_xlfn.XLOOKUP(MasterFees[[#This Row],[Provider / Payer]],Contracts[Contract Name],Contracts[Contract ID],"No contract")</f>
        <v>CON-01</v>
      </c>
      <c r="Z696" s="127" t="str">
        <f>_xlfn.XLOOKUP(MasterFees[[#This Row],[Provider / Payer]],Contracts[Contract Name],Contracts[Pricing Basis],"To confirm")</f>
        <v>To confirm</v>
      </c>
      <c r="AA696" s="127" t="str">
        <f>IF(MasterFees[[#This Row],[Pricing Basis]]="Fixed fee schedule","Yes","No")</f>
        <v>No</v>
      </c>
      <c r="AB696" s="127" t="str">
        <f>IF(OR(MasterFees[[#This Row],[Fee Basis]]="Add-on",MasterFees[[#This Row],[Fee Basis]]="Time band",MasterFees[[#This Row],[Fee Basis]]="Other"),MasterFees[[#This Row],[Fee Basis]],"Base")</f>
        <v>Base</v>
      </c>
      <c r="AC696" s="141" t="str">
        <f>IF(MasterFees[[#This Row],[Fixed Fee?]]="Yes",MasterFees[[#This Row],[Fee Excl. GST]],"")</f>
        <v/>
      </c>
    </row>
    <row r="697" spans="1:29" x14ac:dyDescent="0.2">
      <c r="A697" s="67" t="s">
        <v>2315</v>
      </c>
      <c r="B697" s="31">
        <f>IF(MasterFees[[#This Row],[RVG Code]]="","",_xlfn.XLOOKUP(MasterFees[[#This Row],[RVG Code]],RVGCodes[Code],RVGCodes[Base Units],"Code not found"))</f>
        <v>5</v>
      </c>
      <c r="C69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69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97" s="125" t="s">
        <v>2607</v>
      </c>
      <c r="F697" s="48" t="s">
        <v>2569</v>
      </c>
      <c r="G697" s="30" t="s">
        <v>458</v>
      </c>
      <c r="H697" s="37" t="s">
        <v>1095</v>
      </c>
      <c r="I697" s="37"/>
      <c r="J697" s="37" t="s">
        <v>1096</v>
      </c>
      <c r="K697" s="32">
        <v>5.0999999999999996</v>
      </c>
      <c r="L697" s="32">
        <v>4.5</v>
      </c>
      <c r="M697" s="32">
        <v>0.9</v>
      </c>
      <c r="N697" s="32">
        <v>10.4</v>
      </c>
      <c r="O697" s="33">
        <v>572</v>
      </c>
      <c r="P697" s="38" t="s">
        <v>1014</v>
      </c>
      <c r="Q697" s="34" t="str">
        <f>IF(MasterFees[[#This Row],[GST Basis]]="Excl",MasterFees[[#This Row],[Fee as Printed]],IF(MasterFees[[#This Row],[GST Basis]]="Incl",MasterFees[[#This Row],[Fee as Printed]]/(1+GST_Rate),""))</f>
        <v/>
      </c>
      <c r="R697" s="34" t="str">
        <f>IF(MasterFees[[#This Row],[GST Basis]]="Incl",MasterFees[[#This Row],[Fee as Printed]],IF(MasterFees[[#This Row],[GST Basis]]="Excl",MasterFees[[#This Row],[Fee as Printed]]*(1+GST_Rate),""))</f>
        <v/>
      </c>
      <c r="S697" s="35">
        <f>IF(N(MasterFees[[#This Row],[Total Units]])=0,"",MasterFees[[#This Row],[Fee as Printed]]/MasterFees[[#This Row],[Total Units]])</f>
        <v>55</v>
      </c>
      <c r="T697" s="36"/>
      <c r="U697" s="39" t="s">
        <v>1012</v>
      </c>
      <c r="V697" s="39" t="s">
        <v>1553</v>
      </c>
      <c r="W697" s="30"/>
      <c r="X697" s="73" t="s">
        <v>3346</v>
      </c>
      <c r="Y697" s="127" t="str">
        <f>_xlfn.XLOOKUP(MasterFees[[#This Row],[Provider / Payer]],Contracts[Contract Name],Contracts[Contract ID],"No contract")</f>
        <v>CON-01</v>
      </c>
      <c r="Z697" s="127" t="str">
        <f>_xlfn.XLOOKUP(MasterFees[[#This Row],[Provider / Payer]],Contracts[Contract Name],Contracts[Pricing Basis],"To confirm")</f>
        <v>To confirm</v>
      </c>
      <c r="AA697" s="127" t="str">
        <f>IF(MasterFees[[#This Row],[Pricing Basis]]="Fixed fee schedule","Yes","No")</f>
        <v>No</v>
      </c>
      <c r="AB697" s="127" t="str">
        <f>IF(OR(MasterFees[[#This Row],[Fee Basis]]="Add-on",MasterFees[[#This Row],[Fee Basis]]="Time band",MasterFees[[#This Row],[Fee Basis]]="Other"),MasterFees[[#This Row],[Fee Basis]],"Base")</f>
        <v>Base</v>
      </c>
      <c r="AC697" s="141" t="str">
        <f>IF(MasterFees[[#This Row],[Fixed Fee?]]="Yes",MasterFees[[#This Row],[Fee Excl. GST]],"")</f>
        <v/>
      </c>
    </row>
    <row r="698" spans="1:29" x14ac:dyDescent="0.2">
      <c r="A698" s="67" t="s">
        <v>2318</v>
      </c>
      <c r="B698" s="31">
        <f>IF(MasterFees[[#This Row],[RVG Code]]="","",_xlfn.XLOOKUP(MasterFees[[#This Row],[RVG Code]],RVGCodes[Code],RVGCodes[Base Units],"Code not found"))</f>
        <v>6</v>
      </c>
      <c r="C69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69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98" s="125" t="s">
        <v>2615</v>
      </c>
      <c r="F698" s="48" t="s">
        <v>2567</v>
      </c>
      <c r="G698" s="30" t="s">
        <v>461</v>
      </c>
      <c r="H698" s="37" t="s">
        <v>1095</v>
      </c>
      <c r="I698" s="37"/>
      <c r="J698" s="37" t="s">
        <v>1096</v>
      </c>
      <c r="K698" s="32">
        <v>6.4</v>
      </c>
      <c r="L698" s="32">
        <v>4.8</v>
      </c>
      <c r="M698" s="32">
        <v>0.9</v>
      </c>
      <c r="N698" s="32">
        <v>12.1</v>
      </c>
      <c r="O698" s="33">
        <v>666.05</v>
      </c>
      <c r="P698" s="38" t="s">
        <v>1014</v>
      </c>
      <c r="Q698" s="34" t="str">
        <f>IF(MasterFees[[#This Row],[GST Basis]]="Excl",MasterFees[[#This Row],[Fee as Printed]],IF(MasterFees[[#This Row],[GST Basis]]="Incl",MasterFees[[#This Row],[Fee as Printed]]/(1+GST_Rate),""))</f>
        <v/>
      </c>
      <c r="R698" s="34" t="str">
        <f>IF(MasterFees[[#This Row],[GST Basis]]="Incl",MasterFees[[#This Row],[Fee as Printed]],IF(MasterFees[[#This Row],[GST Basis]]="Excl",MasterFees[[#This Row],[Fee as Printed]]*(1+GST_Rate),""))</f>
        <v/>
      </c>
      <c r="S698" s="35">
        <f>IF(N(MasterFees[[#This Row],[Total Units]])=0,"",MasterFees[[#This Row],[Fee as Printed]]/MasterFees[[#This Row],[Total Units]])</f>
        <v>55.045454545454547</v>
      </c>
      <c r="T698" s="36"/>
      <c r="U698" s="39" t="s">
        <v>1012</v>
      </c>
      <c r="V698" s="39" t="s">
        <v>1556</v>
      </c>
      <c r="W698" s="30"/>
      <c r="X698" s="73" t="s">
        <v>3349</v>
      </c>
      <c r="Y698" s="127" t="str">
        <f>_xlfn.XLOOKUP(MasterFees[[#This Row],[Provider / Payer]],Contracts[Contract Name],Contracts[Contract ID],"No contract")</f>
        <v>CON-01</v>
      </c>
      <c r="Z698" s="127" t="str">
        <f>_xlfn.XLOOKUP(MasterFees[[#This Row],[Provider / Payer]],Contracts[Contract Name],Contracts[Pricing Basis],"To confirm")</f>
        <v>To confirm</v>
      </c>
      <c r="AA698" s="127" t="str">
        <f>IF(MasterFees[[#This Row],[Pricing Basis]]="Fixed fee schedule","Yes","No")</f>
        <v>No</v>
      </c>
      <c r="AB698" s="127" t="str">
        <f>IF(OR(MasterFees[[#This Row],[Fee Basis]]="Add-on",MasterFees[[#This Row],[Fee Basis]]="Time band",MasterFees[[#This Row],[Fee Basis]]="Other"),MasterFees[[#This Row],[Fee Basis]],"Base")</f>
        <v>Base</v>
      </c>
      <c r="AC698" s="141" t="str">
        <f>IF(MasterFees[[#This Row],[Fixed Fee?]]="Yes",MasterFees[[#This Row],[Fee Excl. GST]],"")</f>
        <v/>
      </c>
    </row>
    <row r="699" spans="1:29" x14ac:dyDescent="0.2">
      <c r="A699" s="67" t="s">
        <v>2318</v>
      </c>
      <c r="B699" s="31">
        <f>IF(MasterFees[[#This Row],[RVG Code]]="","",_xlfn.XLOOKUP(MasterFees[[#This Row],[RVG Code]],RVGCodes[Code],RVGCodes[Base Units],"Code not found"))</f>
        <v>6</v>
      </c>
      <c r="C69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69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699" s="125" t="s">
        <v>2615</v>
      </c>
      <c r="F699" s="48" t="s">
        <v>2569</v>
      </c>
      <c r="G699" s="30" t="s">
        <v>462</v>
      </c>
      <c r="H699" s="37" t="s">
        <v>1095</v>
      </c>
      <c r="I699" s="37"/>
      <c r="J699" s="37" t="s">
        <v>1096</v>
      </c>
      <c r="K699" s="32">
        <v>6</v>
      </c>
      <c r="L699" s="32">
        <v>6</v>
      </c>
      <c r="M699" s="32">
        <v>0.2</v>
      </c>
      <c r="N699" s="32">
        <v>12.2</v>
      </c>
      <c r="O699" s="33">
        <v>669.35</v>
      </c>
      <c r="P699" s="38" t="s">
        <v>1014</v>
      </c>
      <c r="Q699" s="34" t="str">
        <f>IF(MasterFees[[#This Row],[GST Basis]]="Excl",MasterFees[[#This Row],[Fee as Printed]],IF(MasterFees[[#This Row],[GST Basis]]="Incl",MasterFees[[#This Row],[Fee as Printed]]/(1+GST_Rate),""))</f>
        <v/>
      </c>
      <c r="R699" s="34" t="str">
        <f>IF(MasterFees[[#This Row],[GST Basis]]="Incl",MasterFees[[#This Row],[Fee as Printed]],IF(MasterFees[[#This Row],[GST Basis]]="Excl",MasterFees[[#This Row],[Fee as Printed]]*(1+GST_Rate),""))</f>
        <v/>
      </c>
      <c r="S699" s="35">
        <f>IF(N(MasterFees[[#This Row],[Total Units]])=0,"",MasterFees[[#This Row],[Fee as Printed]]/MasterFees[[#This Row],[Total Units]])</f>
        <v>54.864754098360663</v>
      </c>
      <c r="T699" s="36"/>
      <c r="U699" s="39" t="s">
        <v>1012</v>
      </c>
      <c r="V699" s="39" t="s">
        <v>1557</v>
      </c>
      <c r="W699" s="30"/>
      <c r="X699" s="73" t="s">
        <v>3350</v>
      </c>
      <c r="Y699" s="127" t="str">
        <f>_xlfn.XLOOKUP(MasterFees[[#This Row],[Provider / Payer]],Contracts[Contract Name],Contracts[Contract ID],"No contract")</f>
        <v>CON-01</v>
      </c>
      <c r="Z699" s="127" t="str">
        <f>_xlfn.XLOOKUP(MasterFees[[#This Row],[Provider / Payer]],Contracts[Contract Name],Contracts[Pricing Basis],"To confirm")</f>
        <v>To confirm</v>
      </c>
      <c r="AA699" s="127" t="str">
        <f>IF(MasterFees[[#This Row],[Pricing Basis]]="Fixed fee schedule","Yes","No")</f>
        <v>No</v>
      </c>
      <c r="AB699" s="127" t="str">
        <f>IF(OR(MasterFees[[#This Row],[Fee Basis]]="Add-on",MasterFees[[#This Row],[Fee Basis]]="Time band",MasterFees[[#This Row],[Fee Basis]]="Other"),MasterFees[[#This Row],[Fee Basis]],"Base")</f>
        <v>Base</v>
      </c>
      <c r="AC699" s="141" t="str">
        <f>IF(MasterFees[[#This Row],[Fixed Fee?]]="Yes",MasterFees[[#This Row],[Fee Excl. GST]],"")</f>
        <v/>
      </c>
    </row>
    <row r="700" spans="1:29" x14ac:dyDescent="0.2">
      <c r="A700" s="67" t="s">
        <v>2318</v>
      </c>
      <c r="B700" s="31">
        <f>IF(MasterFees[[#This Row],[RVG Code]]="","",_xlfn.XLOOKUP(MasterFees[[#This Row],[RVG Code]],RVGCodes[Code],RVGCodes[Base Units],"Code not found"))</f>
        <v>6</v>
      </c>
      <c r="C70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0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00" s="125" t="s">
        <v>2615</v>
      </c>
      <c r="F700" s="48" t="s">
        <v>2569</v>
      </c>
      <c r="G700" s="30" t="s">
        <v>463</v>
      </c>
      <c r="H700" s="37" t="s">
        <v>1095</v>
      </c>
      <c r="I700" s="37"/>
      <c r="J700" s="37" t="s">
        <v>1096</v>
      </c>
      <c r="K700" s="32">
        <v>5.7</v>
      </c>
      <c r="L700" s="32">
        <v>5.3</v>
      </c>
      <c r="M700" s="32">
        <v>0.7</v>
      </c>
      <c r="N700" s="32">
        <v>11.6</v>
      </c>
      <c r="O700" s="33">
        <v>636.35</v>
      </c>
      <c r="P700" s="38" t="s">
        <v>1014</v>
      </c>
      <c r="Q700" s="34" t="str">
        <f>IF(MasterFees[[#This Row],[GST Basis]]="Excl",MasterFees[[#This Row],[Fee as Printed]],IF(MasterFees[[#This Row],[GST Basis]]="Incl",MasterFees[[#This Row],[Fee as Printed]]/(1+GST_Rate),""))</f>
        <v/>
      </c>
      <c r="R700" s="34" t="str">
        <f>IF(MasterFees[[#This Row],[GST Basis]]="Incl",MasterFees[[#This Row],[Fee as Printed]],IF(MasterFees[[#This Row],[GST Basis]]="Excl",MasterFees[[#This Row],[Fee as Printed]]*(1+GST_Rate),""))</f>
        <v/>
      </c>
      <c r="S700" s="35">
        <f>IF(N(MasterFees[[#This Row],[Total Units]])=0,"",MasterFees[[#This Row],[Fee as Printed]]/MasterFees[[#This Row],[Total Units]])</f>
        <v>54.857758620689658</v>
      </c>
      <c r="T700" s="36"/>
      <c r="U700" s="39" t="s">
        <v>1012</v>
      </c>
      <c r="V700" s="39" t="s">
        <v>1558</v>
      </c>
      <c r="W700" s="30"/>
      <c r="X700" s="73" t="s">
        <v>3351</v>
      </c>
      <c r="Y700" s="127" t="str">
        <f>_xlfn.XLOOKUP(MasterFees[[#This Row],[Provider / Payer]],Contracts[Contract Name],Contracts[Contract ID],"No contract")</f>
        <v>CON-01</v>
      </c>
      <c r="Z700" s="127" t="str">
        <f>_xlfn.XLOOKUP(MasterFees[[#This Row],[Provider / Payer]],Contracts[Contract Name],Contracts[Pricing Basis],"To confirm")</f>
        <v>To confirm</v>
      </c>
      <c r="AA700" s="127" t="str">
        <f>IF(MasterFees[[#This Row],[Pricing Basis]]="Fixed fee schedule","Yes","No")</f>
        <v>No</v>
      </c>
      <c r="AB700" s="127" t="str">
        <f>IF(OR(MasterFees[[#This Row],[Fee Basis]]="Add-on",MasterFees[[#This Row],[Fee Basis]]="Time band",MasterFees[[#This Row],[Fee Basis]]="Other"),MasterFees[[#This Row],[Fee Basis]],"Base")</f>
        <v>Base</v>
      </c>
      <c r="AC700" s="141" t="str">
        <f>IF(MasterFees[[#This Row],[Fixed Fee?]]="Yes",MasterFees[[#This Row],[Fee Excl. GST]],"")</f>
        <v/>
      </c>
    </row>
    <row r="701" spans="1:29" x14ac:dyDescent="0.2">
      <c r="A701" s="67" t="s">
        <v>2320</v>
      </c>
      <c r="B701" s="31">
        <f>IF(MasterFees[[#This Row],[RVG Code]]="","",_xlfn.XLOOKUP(MasterFees[[#This Row],[RVG Code]],RVGCodes[Code],RVGCodes[Base Units],"Code not found"))</f>
        <v>6</v>
      </c>
      <c r="C70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0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01" s="125" t="s">
        <v>2573</v>
      </c>
      <c r="F701" s="48" t="s">
        <v>2569</v>
      </c>
      <c r="G701" s="30" t="s">
        <v>464</v>
      </c>
      <c r="H701" s="37" t="s">
        <v>1095</v>
      </c>
      <c r="I701" s="37"/>
      <c r="J701" s="37" t="s">
        <v>1096</v>
      </c>
      <c r="K701" s="32">
        <v>7.1</v>
      </c>
      <c r="L701" s="32">
        <v>8.1999999999999993</v>
      </c>
      <c r="M701" s="32">
        <v>0.6</v>
      </c>
      <c r="N701" s="32">
        <v>15.9</v>
      </c>
      <c r="O701" s="33">
        <v>873.95</v>
      </c>
      <c r="P701" s="38" t="s">
        <v>1014</v>
      </c>
      <c r="Q701" s="34" t="str">
        <f>IF(MasterFees[[#This Row],[GST Basis]]="Excl",MasterFees[[#This Row],[Fee as Printed]],IF(MasterFees[[#This Row],[GST Basis]]="Incl",MasterFees[[#This Row],[Fee as Printed]]/(1+GST_Rate),""))</f>
        <v/>
      </c>
      <c r="R701" s="34" t="str">
        <f>IF(MasterFees[[#This Row],[GST Basis]]="Incl",MasterFees[[#This Row],[Fee as Printed]],IF(MasterFees[[#This Row],[GST Basis]]="Excl",MasterFees[[#This Row],[Fee as Printed]]*(1+GST_Rate),""))</f>
        <v/>
      </c>
      <c r="S701" s="35">
        <f>IF(N(MasterFees[[#This Row],[Total Units]])=0,"",MasterFees[[#This Row],[Fee as Printed]]/MasterFees[[#This Row],[Total Units]])</f>
        <v>54.965408805031451</v>
      </c>
      <c r="T701" s="36"/>
      <c r="U701" s="39" t="s">
        <v>1012</v>
      </c>
      <c r="V701" s="39" t="s">
        <v>1559</v>
      </c>
      <c r="W701" s="30"/>
      <c r="X701" s="73" t="s">
        <v>3352</v>
      </c>
      <c r="Y701" s="127" t="str">
        <f>_xlfn.XLOOKUP(MasterFees[[#This Row],[Provider / Payer]],Contracts[Contract Name],Contracts[Contract ID],"No contract")</f>
        <v>CON-01</v>
      </c>
      <c r="Z701" s="127" t="str">
        <f>_xlfn.XLOOKUP(MasterFees[[#This Row],[Provider / Payer]],Contracts[Contract Name],Contracts[Pricing Basis],"To confirm")</f>
        <v>To confirm</v>
      </c>
      <c r="AA701" s="127" t="str">
        <f>IF(MasterFees[[#This Row],[Pricing Basis]]="Fixed fee schedule","Yes","No")</f>
        <v>No</v>
      </c>
      <c r="AB701" s="127" t="str">
        <f>IF(OR(MasterFees[[#This Row],[Fee Basis]]="Add-on",MasterFees[[#This Row],[Fee Basis]]="Time band",MasterFees[[#This Row],[Fee Basis]]="Other"),MasterFees[[#This Row],[Fee Basis]],"Base")</f>
        <v>Base</v>
      </c>
      <c r="AC701" s="141" t="str">
        <f>IF(MasterFees[[#This Row],[Fixed Fee?]]="Yes",MasterFees[[#This Row],[Fee Excl. GST]],"")</f>
        <v/>
      </c>
    </row>
    <row r="702" spans="1:29" x14ac:dyDescent="0.2">
      <c r="A702" s="67" t="s">
        <v>2318</v>
      </c>
      <c r="B702" s="31">
        <f>IF(MasterFees[[#This Row],[RVG Code]]="","",_xlfn.XLOOKUP(MasterFees[[#This Row],[RVG Code]],RVGCodes[Code],RVGCodes[Base Units],"Code not found"))</f>
        <v>6</v>
      </c>
      <c r="C70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0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02" s="125" t="s">
        <v>2615</v>
      </c>
      <c r="F702" s="48" t="s">
        <v>2569</v>
      </c>
      <c r="G702" s="30" t="s">
        <v>465</v>
      </c>
      <c r="H702" s="37" t="s">
        <v>1095</v>
      </c>
      <c r="I702" s="37"/>
      <c r="J702" s="37" t="s">
        <v>1096</v>
      </c>
      <c r="K702" s="32">
        <v>6</v>
      </c>
      <c r="L702" s="32">
        <v>5.8</v>
      </c>
      <c r="M702" s="32">
        <v>0.7</v>
      </c>
      <c r="N702" s="32">
        <v>12.4</v>
      </c>
      <c r="O702" s="33">
        <v>684.2</v>
      </c>
      <c r="P702" s="38" t="s">
        <v>1014</v>
      </c>
      <c r="Q702" s="34" t="str">
        <f>IF(MasterFees[[#This Row],[GST Basis]]="Excl",MasterFees[[#This Row],[Fee as Printed]],IF(MasterFees[[#This Row],[GST Basis]]="Incl",MasterFees[[#This Row],[Fee as Printed]]/(1+GST_Rate),""))</f>
        <v/>
      </c>
      <c r="R702" s="34" t="str">
        <f>IF(MasterFees[[#This Row],[GST Basis]]="Incl",MasterFees[[#This Row],[Fee as Printed]],IF(MasterFees[[#This Row],[GST Basis]]="Excl",MasterFees[[#This Row],[Fee as Printed]]*(1+GST_Rate),""))</f>
        <v/>
      </c>
      <c r="S702" s="35">
        <f>IF(N(MasterFees[[#This Row],[Total Units]])=0,"",MasterFees[[#This Row],[Fee as Printed]]/MasterFees[[#This Row],[Total Units]])</f>
        <v>55.177419354838712</v>
      </c>
      <c r="T702" s="36"/>
      <c r="U702" s="39" t="s">
        <v>1012</v>
      </c>
      <c r="V702" s="39" t="s">
        <v>1560</v>
      </c>
      <c r="W702" s="30"/>
      <c r="X702" s="73" t="s">
        <v>3353</v>
      </c>
      <c r="Y702" s="127" t="str">
        <f>_xlfn.XLOOKUP(MasterFees[[#This Row],[Provider / Payer]],Contracts[Contract Name],Contracts[Contract ID],"No contract")</f>
        <v>CON-01</v>
      </c>
      <c r="Z702" s="127" t="str">
        <f>_xlfn.XLOOKUP(MasterFees[[#This Row],[Provider / Payer]],Contracts[Contract Name],Contracts[Pricing Basis],"To confirm")</f>
        <v>To confirm</v>
      </c>
      <c r="AA702" s="127" t="str">
        <f>IF(MasterFees[[#This Row],[Pricing Basis]]="Fixed fee schedule","Yes","No")</f>
        <v>No</v>
      </c>
      <c r="AB702" s="127" t="str">
        <f>IF(OR(MasterFees[[#This Row],[Fee Basis]]="Add-on",MasterFees[[#This Row],[Fee Basis]]="Time band",MasterFees[[#This Row],[Fee Basis]]="Other"),MasterFees[[#This Row],[Fee Basis]],"Base")</f>
        <v>Base</v>
      </c>
      <c r="AC702" s="141" t="str">
        <f>IF(MasterFees[[#This Row],[Fixed Fee?]]="Yes",MasterFees[[#This Row],[Fee Excl. GST]],"")</f>
        <v/>
      </c>
    </row>
    <row r="703" spans="1:29" x14ac:dyDescent="0.2">
      <c r="A703" s="67" t="s">
        <v>2318</v>
      </c>
      <c r="B703" s="31">
        <f>IF(MasterFees[[#This Row],[RVG Code]]="","",_xlfn.XLOOKUP(MasterFees[[#This Row],[RVG Code]],RVGCodes[Code],RVGCodes[Base Units],"Code not found"))</f>
        <v>6</v>
      </c>
      <c r="C70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0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03" s="125" t="s">
        <v>2615</v>
      </c>
      <c r="F703" s="48" t="s">
        <v>2569</v>
      </c>
      <c r="G703" s="30" t="s">
        <v>467</v>
      </c>
      <c r="H703" s="37" t="s">
        <v>1095</v>
      </c>
      <c r="I703" s="37"/>
      <c r="J703" s="37" t="s">
        <v>1096</v>
      </c>
      <c r="K703" s="32">
        <v>6</v>
      </c>
      <c r="L703" s="32">
        <v>6</v>
      </c>
      <c r="M703" s="32">
        <v>0</v>
      </c>
      <c r="N703" s="32">
        <v>12</v>
      </c>
      <c r="O703" s="33">
        <v>660</v>
      </c>
      <c r="P703" s="38" t="s">
        <v>1014</v>
      </c>
      <c r="Q703" s="34" t="str">
        <f>IF(MasterFees[[#This Row],[GST Basis]]="Excl",MasterFees[[#This Row],[Fee as Printed]],IF(MasterFees[[#This Row],[GST Basis]]="Incl",MasterFees[[#This Row],[Fee as Printed]]/(1+GST_Rate),""))</f>
        <v/>
      </c>
      <c r="R703" s="34" t="str">
        <f>IF(MasterFees[[#This Row],[GST Basis]]="Incl",MasterFees[[#This Row],[Fee as Printed]],IF(MasterFees[[#This Row],[GST Basis]]="Excl",MasterFees[[#This Row],[Fee as Printed]]*(1+GST_Rate),""))</f>
        <v/>
      </c>
      <c r="S703" s="35">
        <f>IF(N(MasterFees[[#This Row],[Total Units]])=0,"",MasterFees[[#This Row],[Fee as Printed]]/MasterFees[[#This Row],[Total Units]])</f>
        <v>55</v>
      </c>
      <c r="T703" s="36"/>
      <c r="U703" s="39" t="s">
        <v>1012</v>
      </c>
      <c r="V703" s="39" t="s">
        <v>1562</v>
      </c>
      <c r="W703" s="30"/>
      <c r="X703" s="73" t="s">
        <v>3355</v>
      </c>
      <c r="Y703" s="127" t="str">
        <f>_xlfn.XLOOKUP(MasterFees[[#This Row],[Provider / Payer]],Contracts[Contract Name],Contracts[Contract ID],"No contract")</f>
        <v>CON-01</v>
      </c>
      <c r="Z703" s="127" t="str">
        <f>_xlfn.XLOOKUP(MasterFees[[#This Row],[Provider / Payer]],Contracts[Contract Name],Contracts[Pricing Basis],"To confirm")</f>
        <v>To confirm</v>
      </c>
      <c r="AA703" s="127" t="str">
        <f>IF(MasterFees[[#This Row],[Pricing Basis]]="Fixed fee schedule","Yes","No")</f>
        <v>No</v>
      </c>
      <c r="AB703" s="127" t="str">
        <f>IF(OR(MasterFees[[#This Row],[Fee Basis]]="Add-on",MasterFees[[#This Row],[Fee Basis]]="Time band",MasterFees[[#This Row],[Fee Basis]]="Other"),MasterFees[[#This Row],[Fee Basis]],"Base")</f>
        <v>Base</v>
      </c>
      <c r="AC703" s="141" t="str">
        <f>IF(MasterFees[[#This Row],[Fixed Fee?]]="Yes",MasterFees[[#This Row],[Fee Excl. GST]],"")</f>
        <v/>
      </c>
    </row>
    <row r="704" spans="1:29" x14ac:dyDescent="0.2">
      <c r="A704" s="67" t="s">
        <v>2318</v>
      </c>
      <c r="B704" s="31">
        <f>IF(MasterFees[[#This Row],[RVG Code]]="","",_xlfn.XLOOKUP(MasterFees[[#This Row],[RVG Code]],RVGCodes[Code],RVGCodes[Base Units],"Code not found"))</f>
        <v>6</v>
      </c>
      <c r="C70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0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04" s="125" t="s">
        <v>2615</v>
      </c>
      <c r="F704" s="48" t="s">
        <v>2569</v>
      </c>
      <c r="G704" s="30" t="s">
        <v>468</v>
      </c>
      <c r="H704" s="37" t="s">
        <v>1095</v>
      </c>
      <c r="I704" s="37"/>
      <c r="J704" s="37" t="s">
        <v>1096</v>
      </c>
      <c r="K704" s="32">
        <v>6</v>
      </c>
      <c r="L704" s="32">
        <v>6.6</v>
      </c>
      <c r="M704" s="32">
        <v>0.6</v>
      </c>
      <c r="N704" s="32">
        <v>13.2</v>
      </c>
      <c r="O704" s="33">
        <v>728.2</v>
      </c>
      <c r="P704" s="38" t="s">
        <v>1014</v>
      </c>
      <c r="Q704" s="34" t="str">
        <f>IF(MasterFees[[#This Row],[GST Basis]]="Excl",MasterFees[[#This Row],[Fee as Printed]],IF(MasterFees[[#This Row],[GST Basis]]="Incl",MasterFees[[#This Row],[Fee as Printed]]/(1+GST_Rate),""))</f>
        <v/>
      </c>
      <c r="R704" s="34" t="str">
        <f>IF(MasterFees[[#This Row],[GST Basis]]="Incl",MasterFees[[#This Row],[Fee as Printed]],IF(MasterFees[[#This Row],[GST Basis]]="Excl",MasterFees[[#This Row],[Fee as Printed]]*(1+GST_Rate),""))</f>
        <v/>
      </c>
      <c r="S704" s="35">
        <f>IF(N(MasterFees[[#This Row],[Total Units]])=0,"",MasterFees[[#This Row],[Fee as Printed]]/MasterFees[[#This Row],[Total Units]])</f>
        <v>55.166666666666671</v>
      </c>
      <c r="T704" s="36"/>
      <c r="U704" s="39" t="s">
        <v>1012</v>
      </c>
      <c r="V704" s="39" t="s">
        <v>1563</v>
      </c>
      <c r="W704" s="30"/>
      <c r="X704" s="73" t="s">
        <v>3356</v>
      </c>
      <c r="Y704" s="127" t="str">
        <f>_xlfn.XLOOKUP(MasterFees[[#This Row],[Provider / Payer]],Contracts[Contract Name],Contracts[Contract ID],"No contract")</f>
        <v>CON-01</v>
      </c>
      <c r="Z704" s="127" t="str">
        <f>_xlfn.XLOOKUP(MasterFees[[#This Row],[Provider / Payer]],Contracts[Contract Name],Contracts[Pricing Basis],"To confirm")</f>
        <v>To confirm</v>
      </c>
      <c r="AA704" s="127" t="str">
        <f>IF(MasterFees[[#This Row],[Pricing Basis]]="Fixed fee schedule","Yes","No")</f>
        <v>No</v>
      </c>
      <c r="AB704" s="127" t="str">
        <f>IF(OR(MasterFees[[#This Row],[Fee Basis]]="Add-on",MasterFees[[#This Row],[Fee Basis]]="Time band",MasterFees[[#This Row],[Fee Basis]]="Other"),MasterFees[[#This Row],[Fee Basis]],"Base")</f>
        <v>Base</v>
      </c>
      <c r="AC704" s="141" t="str">
        <f>IF(MasterFees[[#This Row],[Fixed Fee?]]="Yes",MasterFees[[#This Row],[Fee Excl. GST]],"")</f>
        <v/>
      </c>
    </row>
    <row r="705" spans="1:29" x14ac:dyDescent="0.2">
      <c r="A705" s="67" t="s">
        <v>2318</v>
      </c>
      <c r="B705" s="31">
        <f>IF(MasterFees[[#This Row],[RVG Code]]="","",_xlfn.XLOOKUP(MasterFees[[#This Row],[RVG Code]],RVGCodes[Code],RVGCodes[Base Units],"Code not found"))</f>
        <v>6</v>
      </c>
      <c r="C70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0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05" s="125" t="s">
        <v>2615</v>
      </c>
      <c r="F705" s="48" t="s">
        <v>2569</v>
      </c>
      <c r="G705" s="30" t="s">
        <v>469</v>
      </c>
      <c r="H705" s="37" t="s">
        <v>1095</v>
      </c>
      <c r="I705" s="37"/>
      <c r="J705" s="37" t="s">
        <v>1096</v>
      </c>
      <c r="K705" s="32">
        <v>6</v>
      </c>
      <c r="L705" s="32">
        <v>6.4</v>
      </c>
      <c r="M705" s="32">
        <v>0.6</v>
      </c>
      <c r="N705" s="32">
        <v>13</v>
      </c>
      <c r="O705" s="33">
        <v>712.8</v>
      </c>
      <c r="P705" s="38" t="s">
        <v>1014</v>
      </c>
      <c r="Q705" s="34" t="str">
        <f>IF(MasterFees[[#This Row],[GST Basis]]="Excl",MasterFees[[#This Row],[Fee as Printed]],IF(MasterFees[[#This Row],[GST Basis]]="Incl",MasterFees[[#This Row],[Fee as Printed]]/(1+GST_Rate),""))</f>
        <v/>
      </c>
      <c r="R705" s="34" t="str">
        <f>IF(MasterFees[[#This Row],[GST Basis]]="Incl",MasterFees[[#This Row],[Fee as Printed]],IF(MasterFees[[#This Row],[GST Basis]]="Excl",MasterFees[[#This Row],[Fee as Printed]]*(1+GST_Rate),""))</f>
        <v/>
      </c>
      <c r="S705" s="35">
        <f>IF(N(MasterFees[[#This Row],[Total Units]])=0,"",MasterFees[[#This Row],[Fee as Printed]]/MasterFees[[#This Row],[Total Units]])</f>
        <v>54.830769230769228</v>
      </c>
      <c r="T705" s="36"/>
      <c r="U705" s="39" t="s">
        <v>1012</v>
      </c>
      <c r="V705" s="39" t="s">
        <v>1564</v>
      </c>
      <c r="W705" s="30"/>
      <c r="X705" s="73" t="s">
        <v>3357</v>
      </c>
      <c r="Y705" s="127" t="str">
        <f>_xlfn.XLOOKUP(MasterFees[[#This Row],[Provider / Payer]],Contracts[Contract Name],Contracts[Contract ID],"No contract")</f>
        <v>CON-01</v>
      </c>
      <c r="Z705" s="127" t="str">
        <f>_xlfn.XLOOKUP(MasterFees[[#This Row],[Provider / Payer]],Contracts[Contract Name],Contracts[Pricing Basis],"To confirm")</f>
        <v>To confirm</v>
      </c>
      <c r="AA705" s="127" t="str">
        <f>IF(MasterFees[[#This Row],[Pricing Basis]]="Fixed fee schedule","Yes","No")</f>
        <v>No</v>
      </c>
      <c r="AB705" s="127" t="str">
        <f>IF(OR(MasterFees[[#This Row],[Fee Basis]]="Add-on",MasterFees[[#This Row],[Fee Basis]]="Time band",MasterFees[[#This Row],[Fee Basis]]="Other"),MasterFees[[#This Row],[Fee Basis]],"Base")</f>
        <v>Base</v>
      </c>
      <c r="AC705" s="141" t="str">
        <f>IF(MasterFees[[#This Row],[Fixed Fee?]]="Yes",MasterFees[[#This Row],[Fee Excl. GST]],"")</f>
        <v/>
      </c>
    </row>
    <row r="706" spans="1:29" x14ac:dyDescent="0.2">
      <c r="A706" s="67" t="s">
        <v>2318</v>
      </c>
      <c r="B706" s="31">
        <f>IF(MasterFees[[#This Row],[RVG Code]]="","",_xlfn.XLOOKUP(MasterFees[[#This Row],[RVG Code]],RVGCodes[Code],RVGCodes[Base Units],"Code not found"))</f>
        <v>6</v>
      </c>
      <c r="C70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0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06" s="125" t="s">
        <v>2615</v>
      </c>
      <c r="F706" s="48" t="s">
        <v>2569</v>
      </c>
      <c r="G706" s="30" t="s">
        <v>466</v>
      </c>
      <c r="H706" s="37" t="s">
        <v>1095</v>
      </c>
      <c r="I706" s="37"/>
      <c r="J706" s="37" t="s">
        <v>1096</v>
      </c>
      <c r="K706" s="32">
        <v>6.2</v>
      </c>
      <c r="L706" s="32">
        <v>5.6</v>
      </c>
      <c r="M706" s="32">
        <v>0.8</v>
      </c>
      <c r="N706" s="32">
        <v>12.6</v>
      </c>
      <c r="O706" s="33">
        <v>693</v>
      </c>
      <c r="P706" s="38" t="s">
        <v>1014</v>
      </c>
      <c r="Q706" s="34" t="str">
        <f>IF(MasterFees[[#This Row],[GST Basis]]="Excl",MasterFees[[#This Row],[Fee as Printed]],IF(MasterFees[[#This Row],[GST Basis]]="Incl",MasterFees[[#This Row],[Fee as Printed]]/(1+GST_Rate),""))</f>
        <v/>
      </c>
      <c r="R706" s="34" t="str">
        <f>IF(MasterFees[[#This Row],[GST Basis]]="Incl",MasterFees[[#This Row],[Fee as Printed]],IF(MasterFees[[#This Row],[GST Basis]]="Excl",MasterFees[[#This Row],[Fee as Printed]]*(1+GST_Rate),""))</f>
        <v/>
      </c>
      <c r="S706" s="35">
        <f>IF(N(MasterFees[[#This Row],[Total Units]])=0,"",MasterFees[[#This Row],[Fee as Printed]]/MasterFees[[#This Row],[Total Units]])</f>
        <v>55</v>
      </c>
      <c r="T706" s="36"/>
      <c r="U706" s="39" t="s">
        <v>1012</v>
      </c>
      <c r="V706" s="39" t="s">
        <v>1561</v>
      </c>
      <c r="W706" s="30"/>
      <c r="X706" s="73" t="s">
        <v>3354</v>
      </c>
      <c r="Y706" s="127" t="str">
        <f>_xlfn.XLOOKUP(MasterFees[[#This Row],[Provider / Payer]],Contracts[Contract Name],Contracts[Contract ID],"No contract")</f>
        <v>CON-01</v>
      </c>
      <c r="Z706" s="127" t="str">
        <f>_xlfn.XLOOKUP(MasterFees[[#This Row],[Provider / Payer]],Contracts[Contract Name],Contracts[Pricing Basis],"To confirm")</f>
        <v>To confirm</v>
      </c>
      <c r="AA706" s="127" t="str">
        <f>IF(MasterFees[[#This Row],[Pricing Basis]]="Fixed fee schedule","Yes","No")</f>
        <v>No</v>
      </c>
      <c r="AB706" s="127" t="str">
        <f>IF(OR(MasterFees[[#This Row],[Fee Basis]]="Add-on",MasterFees[[#This Row],[Fee Basis]]="Time band",MasterFees[[#This Row],[Fee Basis]]="Other"),MasterFees[[#This Row],[Fee Basis]],"Base")</f>
        <v>Base</v>
      </c>
      <c r="AC706" s="141" t="str">
        <f>IF(MasterFees[[#This Row],[Fixed Fee?]]="Yes",MasterFees[[#This Row],[Fee Excl. GST]],"")</f>
        <v/>
      </c>
    </row>
    <row r="707" spans="1:29" x14ac:dyDescent="0.2">
      <c r="A707" s="67" t="s">
        <v>2318</v>
      </c>
      <c r="B707" s="31">
        <f>IF(MasterFees[[#This Row],[RVG Code]]="","",_xlfn.XLOOKUP(MasterFees[[#This Row],[RVG Code]],RVGCodes[Code],RVGCodes[Base Units],"Code not found"))</f>
        <v>6</v>
      </c>
      <c r="C70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0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07" s="125" t="s">
        <v>2615</v>
      </c>
      <c r="F707" s="48" t="s">
        <v>2569</v>
      </c>
      <c r="G707" s="30" t="s">
        <v>470</v>
      </c>
      <c r="H707" s="37" t="s">
        <v>1095</v>
      </c>
      <c r="I707" s="37"/>
      <c r="J707" s="37" t="s">
        <v>1096</v>
      </c>
      <c r="K707" s="32">
        <v>8</v>
      </c>
      <c r="L707" s="32">
        <v>7</v>
      </c>
      <c r="M707" s="32">
        <v>3</v>
      </c>
      <c r="N707" s="32">
        <v>18</v>
      </c>
      <c r="O707" s="33">
        <v>990</v>
      </c>
      <c r="P707" s="38" t="s">
        <v>1014</v>
      </c>
      <c r="Q707" s="34" t="str">
        <f>IF(MasterFees[[#This Row],[GST Basis]]="Excl",MasterFees[[#This Row],[Fee as Printed]],IF(MasterFees[[#This Row],[GST Basis]]="Incl",MasterFees[[#This Row],[Fee as Printed]]/(1+GST_Rate),""))</f>
        <v/>
      </c>
      <c r="R707" s="34" t="str">
        <f>IF(MasterFees[[#This Row],[GST Basis]]="Incl",MasterFees[[#This Row],[Fee as Printed]],IF(MasterFees[[#This Row],[GST Basis]]="Excl",MasterFees[[#This Row],[Fee as Printed]]*(1+GST_Rate),""))</f>
        <v/>
      </c>
      <c r="S707" s="35">
        <f>IF(N(MasterFees[[#This Row],[Total Units]])=0,"",MasterFees[[#This Row],[Fee as Printed]]/MasterFees[[#This Row],[Total Units]])</f>
        <v>55</v>
      </c>
      <c r="T707" s="36"/>
      <c r="U707" s="39" t="s">
        <v>1012</v>
      </c>
      <c r="V707" s="39" t="s">
        <v>1565</v>
      </c>
      <c r="W707" s="30"/>
      <c r="X707" s="73" t="s">
        <v>3358</v>
      </c>
      <c r="Y707" s="127" t="str">
        <f>_xlfn.XLOOKUP(MasterFees[[#This Row],[Provider / Payer]],Contracts[Contract Name],Contracts[Contract ID],"No contract")</f>
        <v>CON-01</v>
      </c>
      <c r="Z707" s="127" t="str">
        <f>_xlfn.XLOOKUP(MasterFees[[#This Row],[Provider / Payer]],Contracts[Contract Name],Contracts[Pricing Basis],"To confirm")</f>
        <v>To confirm</v>
      </c>
      <c r="AA707" s="127" t="str">
        <f>IF(MasterFees[[#This Row],[Pricing Basis]]="Fixed fee schedule","Yes","No")</f>
        <v>No</v>
      </c>
      <c r="AB707" s="127" t="str">
        <f>IF(OR(MasterFees[[#This Row],[Fee Basis]]="Add-on",MasterFees[[#This Row],[Fee Basis]]="Time band",MasterFees[[#This Row],[Fee Basis]]="Other"),MasterFees[[#This Row],[Fee Basis]],"Base")</f>
        <v>Base</v>
      </c>
      <c r="AC707" s="141" t="str">
        <f>IF(MasterFees[[#This Row],[Fixed Fee?]]="Yes",MasterFees[[#This Row],[Fee Excl. GST]],"")</f>
        <v/>
      </c>
    </row>
    <row r="708" spans="1:29" x14ac:dyDescent="0.2">
      <c r="A708" s="67" t="s">
        <v>2320</v>
      </c>
      <c r="B708" s="31">
        <f>IF(MasterFees[[#This Row],[RVG Code]]="","",_xlfn.XLOOKUP(MasterFees[[#This Row],[RVG Code]],RVGCodes[Code],RVGCodes[Base Units],"Code not found"))</f>
        <v>6</v>
      </c>
      <c r="C70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0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08" s="125" t="s">
        <v>2573</v>
      </c>
      <c r="F708" s="48" t="s">
        <v>2567</v>
      </c>
      <c r="G708" s="30" t="s">
        <v>472</v>
      </c>
      <c r="H708" s="37" t="s">
        <v>1095</v>
      </c>
      <c r="I708" s="37"/>
      <c r="J708" s="37" t="s">
        <v>1096</v>
      </c>
      <c r="K708" s="32">
        <v>6.3</v>
      </c>
      <c r="L708" s="32">
        <v>12.5</v>
      </c>
      <c r="M708" s="32">
        <v>1.2</v>
      </c>
      <c r="N708" s="32">
        <v>20</v>
      </c>
      <c r="O708" s="33">
        <v>1099.45</v>
      </c>
      <c r="P708" s="38" t="s">
        <v>1014</v>
      </c>
      <c r="Q708" s="34" t="str">
        <f>IF(MasterFees[[#This Row],[GST Basis]]="Excl",MasterFees[[#This Row],[Fee as Printed]],IF(MasterFees[[#This Row],[GST Basis]]="Incl",MasterFees[[#This Row],[Fee as Printed]]/(1+GST_Rate),""))</f>
        <v/>
      </c>
      <c r="R708" s="34" t="str">
        <f>IF(MasterFees[[#This Row],[GST Basis]]="Incl",MasterFees[[#This Row],[Fee as Printed]],IF(MasterFees[[#This Row],[GST Basis]]="Excl",MasterFees[[#This Row],[Fee as Printed]]*(1+GST_Rate),""))</f>
        <v/>
      </c>
      <c r="S708" s="35">
        <f>IF(N(MasterFees[[#This Row],[Total Units]])=0,"",MasterFees[[#This Row],[Fee as Printed]]/MasterFees[[#This Row],[Total Units]])</f>
        <v>54.972500000000004</v>
      </c>
      <c r="T708" s="36"/>
      <c r="U708" s="39" t="s">
        <v>1012</v>
      </c>
      <c r="V708" s="39" t="s">
        <v>1567</v>
      </c>
      <c r="W708" s="30"/>
      <c r="X708" s="73" t="s">
        <v>3360</v>
      </c>
      <c r="Y708" s="127" t="str">
        <f>_xlfn.XLOOKUP(MasterFees[[#This Row],[Provider / Payer]],Contracts[Contract Name],Contracts[Contract ID],"No contract")</f>
        <v>CON-01</v>
      </c>
      <c r="Z708" s="127" t="str">
        <f>_xlfn.XLOOKUP(MasterFees[[#This Row],[Provider / Payer]],Contracts[Contract Name],Contracts[Pricing Basis],"To confirm")</f>
        <v>To confirm</v>
      </c>
      <c r="AA708" s="127" t="str">
        <f>IF(MasterFees[[#This Row],[Pricing Basis]]="Fixed fee schedule","Yes","No")</f>
        <v>No</v>
      </c>
      <c r="AB708" s="127" t="str">
        <f>IF(OR(MasterFees[[#This Row],[Fee Basis]]="Add-on",MasterFees[[#This Row],[Fee Basis]]="Time band",MasterFees[[#This Row],[Fee Basis]]="Other"),MasterFees[[#This Row],[Fee Basis]],"Base")</f>
        <v>Base</v>
      </c>
      <c r="AC708" s="141" t="str">
        <f>IF(MasterFees[[#This Row],[Fixed Fee?]]="Yes",MasterFees[[#This Row],[Fee Excl. GST]],"")</f>
        <v/>
      </c>
    </row>
    <row r="709" spans="1:29" x14ac:dyDescent="0.2">
      <c r="A709" s="67" t="s">
        <v>2320</v>
      </c>
      <c r="B709" s="31">
        <f>IF(MasterFees[[#This Row],[RVG Code]]="","",_xlfn.XLOOKUP(MasterFees[[#This Row],[RVG Code]],RVGCodes[Code],RVGCodes[Base Units],"Code not found"))</f>
        <v>6</v>
      </c>
      <c r="C70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0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09" s="125" t="s">
        <v>2573</v>
      </c>
      <c r="F709" s="48" t="s">
        <v>2567</v>
      </c>
      <c r="G709" s="30" t="s">
        <v>473</v>
      </c>
      <c r="H709" s="37" t="s">
        <v>1095</v>
      </c>
      <c r="I709" s="37"/>
      <c r="J709" s="37" t="s">
        <v>1096</v>
      </c>
      <c r="K709" s="32">
        <v>7</v>
      </c>
      <c r="L709" s="32">
        <v>8.6999999999999993</v>
      </c>
      <c r="M709" s="32">
        <v>0.3</v>
      </c>
      <c r="N709" s="32">
        <v>16</v>
      </c>
      <c r="O709" s="33">
        <v>879.45</v>
      </c>
      <c r="P709" s="38" t="s">
        <v>1014</v>
      </c>
      <c r="Q709" s="34" t="str">
        <f>IF(MasterFees[[#This Row],[GST Basis]]="Excl",MasterFees[[#This Row],[Fee as Printed]],IF(MasterFees[[#This Row],[GST Basis]]="Incl",MasterFees[[#This Row],[Fee as Printed]]/(1+GST_Rate),""))</f>
        <v/>
      </c>
      <c r="R709" s="34" t="str">
        <f>IF(MasterFees[[#This Row],[GST Basis]]="Incl",MasterFees[[#This Row],[Fee as Printed]],IF(MasterFees[[#This Row],[GST Basis]]="Excl",MasterFees[[#This Row],[Fee as Printed]]*(1+GST_Rate),""))</f>
        <v/>
      </c>
      <c r="S709" s="35">
        <f>IF(N(MasterFees[[#This Row],[Total Units]])=0,"",MasterFees[[#This Row],[Fee as Printed]]/MasterFees[[#This Row],[Total Units]])</f>
        <v>54.965625000000003</v>
      </c>
      <c r="T709" s="36"/>
      <c r="U709" s="39" t="s">
        <v>1012</v>
      </c>
      <c r="V709" s="39" t="s">
        <v>1568</v>
      </c>
      <c r="W709" s="30"/>
      <c r="X709" s="73" t="s">
        <v>3361</v>
      </c>
      <c r="Y709" s="127" t="str">
        <f>_xlfn.XLOOKUP(MasterFees[[#This Row],[Provider / Payer]],Contracts[Contract Name],Contracts[Contract ID],"No contract")</f>
        <v>CON-01</v>
      </c>
      <c r="Z709" s="127" t="str">
        <f>_xlfn.XLOOKUP(MasterFees[[#This Row],[Provider / Payer]],Contracts[Contract Name],Contracts[Pricing Basis],"To confirm")</f>
        <v>To confirm</v>
      </c>
      <c r="AA709" s="127" t="str">
        <f>IF(MasterFees[[#This Row],[Pricing Basis]]="Fixed fee schedule","Yes","No")</f>
        <v>No</v>
      </c>
      <c r="AB709" s="127" t="str">
        <f>IF(OR(MasterFees[[#This Row],[Fee Basis]]="Add-on",MasterFees[[#This Row],[Fee Basis]]="Time band",MasterFees[[#This Row],[Fee Basis]]="Other"),MasterFees[[#This Row],[Fee Basis]],"Base")</f>
        <v>Base</v>
      </c>
      <c r="AC709" s="141" t="str">
        <f>IF(MasterFees[[#This Row],[Fixed Fee?]]="Yes",MasterFees[[#This Row],[Fee Excl. GST]],"")</f>
        <v/>
      </c>
    </row>
    <row r="710" spans="1:29" x14ac:dyDescent="0.2">
      <c r="A710" s="67" t="s">
        <v>2320</v>
      </c>
      <c r="B710" s="31">
        <f>IF(MasterFees[[#This Row],[RVG Code]]="","",_xlfn.XLOOKUP(MasterFees[[#This Row],[RVG Code]],RVGCodes[Code],RVGCodes[Base Units],"Code not found"))</f>
        <v>6</v>
      </c>
      <c r="C71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1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10" s="125" t="s">
        <v>2573</v>
      </c>
      <c r="F710" s="48" t="s">
        <v>2569</v>
      </c>
      <c r="G710" s="30" t="s">
        <v>474</v>
      </c>
      <c r="H710" s="37" t="s">
        <v>1095</v>
      </c>
      <c r="I710" s="37"/>
      <c r="J710" s="37" t="s">
        <v>1096</v>
      </c>
      <c r="K710" s="32">
        <v>6.5</v>
      </c>
      <c r="L710" s="32">
        <v>7</v>
      </c>
      <c r="M710" s="32">
        <v>0</v>
      </c>
      <c r="N710" s="32">
        <v>13.5</v>
      </c>
      <c r="O710" s="33">
        <v>742.5</v>
      </c>
      <c r="P710" s="38" t="s">
        <v>1014</v>
      </c>
      <c r="Q710" s="34" t="str">
        <f>IF(MasterFees[[#This Row],[GST Basis]]="Excl",MasterFees[[#This Row],[Fee as Printed]],IF(MasterFees[[#This Row],[GST Basis]]="Incl",MasterFees[[#This Row],[Fee as Printed]]/(1+GST_Rate),""))</f>
        <v/>
      </c>
      <c r="R710" s="34" t="str">
        <f>IF(MasterFees[[#This Row],[GST Basis]]="Incl",MasterFees[[#This Row],[Fee as Printed]],IF(MasterFees[[#This Row],[GST Basis]]="Excl",MasterFees[[#This Row],[Fee as Printed]]*(1+GST_Rate),""))</f>
        <v/>
      </c>
      <c r="S710" s="35">
        <f>IF(N(MasterFees[[#This Row],[Total Units]])=0,"",MasterFees[[#This Row],[Fee as Printed]]/MasterFees[[#This Row],[Total Units]])</f>
        <v>55</v>
      </c>
      <c r="T710" s="36"/>
      <c r="U710" s="39" t="s">
        <v>1012</v>
      </c>
      <c r="V710" s="39" t="s">
        <v>1569</v>
      </c>
      <c r="W710" s="30"/>
      <c r="X710" s="73" t="s">
        <v>3362</v>
      </c>
      <c r="Y710" s="127" t="str">
        <f>_xlfn.XLOOKUP(MasterFees[[#This Row],[Provider / Payer]],Contracts[Contract Name],Contracts[Contract ID],"No contract")</f>
        <v>CON-01</v>
      </c>
      <c r="Z710" s="127" t="str">
        <f>_xlfn.XLOOKUP(MasterFees[[#This Row],[Provider / Payer]],Contracts[Contract Name],Contracts[Pricing Basis],"To confirm")</f>
        <v>To confirm</v>
      </c>
      <c r="AA710" s="127" t="str">
        <f>IF(MasterFees[[#This Row],[Pricing Basis]]="Fixed fee schedule","Yes","No")</f>
        <v>No</v>
      </c>
      <c r="AB710" s="127" t="str">
        <f>IF(OR(MasterFees[[#This Row],[Fee Basis]]="Add-on",MasterFees[[#This Row],[Fee Basis]]="Time band",MasterFees[[#This Row],[Fee Basis]]="Other"),MasterFees[[#This Row],[Fee Basis]],"Base")</f>
        <v>Base</v>
      </c>
      <c r="AC710" s="141" t="str">
        <f>IF(MasterFees[[#This Row],[Fixed Fee?]]="Yes",MasterFees[[#This Row],[Fee Excl. GST]],"")</f>
        <v/>
      </c>
    </row>
    <row r="711" spans="1:29" x14ac:dyDescent="0.2">
      <c r="A711" s="67" t="s">
        <v>2320</v>
      </c>
      <c r="B711" s="31">
        <f>IF(MasterFees[[#This Row],[RVG Code]]="","",_xlfn.XLOOKUP(MasterFees[[#This Row],[RVG Code]],RVGCodes[Code],RVGCodes[Base Units],"Code not found"))</f>
        <v>6</v>
      </c>
      <c r="C71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1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11" s="125" t="s">
        <v>2573</v>
      </c>
      <c r="F711" s="48" t="s">
        <v>2569</v>
      </c>
      <c r="G711" s="30" t="s">
        <v>475</v>
      </c>
      <c r="H711" s="37" t="s">
        <v>1095</v>
      </c>
      <c r="I711" s="37"/>
      <c r="J711" s="37" t="s">
        <v>1096</v>
      </c>
      <c r="K711" s="32">
        <v>8</v>
      </c>
      <c r="L711" s="32">
        <v>5</v>
      </c>
      <c r="M711" s="32">
        <v>0</v>
      </c>
      <c r="N711" s="32">
        <v>13</v>
      </c>
      <c r="O711" s="33">
        <v>715</v>
      </c>
      <c r="P711" s="38" t="s">
        <v>1014</v>
      </c>
      <c r="Q711" s="34" t="str">
        <f>IF(MasterFees[[#This Row],[GST Basis]]="Excl",MasterFees[[#This Row],[Fee as Printed]],IF(MasterFees[[#This Row],[GST Basis]]="Incl",MasterFees[[#This Row],[Fee as Printed]]/(1+GST_Rate),""))</f>
        <v/>
      </c>
      <c r="R711" s="34" t="str">
        <f>IF(MasterFees[[#This Row],[GST Basis]]="Incl",MasterFees[[#This Row],[Fee as Printed]],IF(MasterFees[[#This Row],[GST Basis]]="Excl",MasterFees[[#This Row],[Fee as Printed]]*(1+GST_Rate),""))</f>
        <v/>
      </c>
      <c r="S711" s="35">
        <f>IF(N(MasterFees[[#This Row],[Total Units]])=0,"",MasterFees[[#This Row],[Fee as Printed]]/MasterFees[[#This Row],[Total Units]])</f>
        <v>55</v>
      </c>
      <c r="T711" s="36"/>
      <c r="U711" s="39" t="s">
        <v>1012</v>
      </c>
      <c r="V711" s="39" t="s">
        <v>1570</v>
      </c>
      <c r="W711" s="30"/>
      <c r="X711" s="73" t="s">
        <v>3363</v>
      </c>
      <c r="Y711" s="127" t="str">
        <f>_xlfn.XLOOKUP(MasterFees[[#This Row],[Provider / Payer]],Contracts[Contract Name],Contracts[Contract ID],"No contract")</f>
        <v>CON-01</v>
      </c>
      <c r="Z711" s="127" t="str">
        <f>_xlfn.XLOOKUP(MasterFees[[#This Row],[Provider / Payer]],Contracts[Contract Name],Contracts[Pricing Basis],"To confirm")</f>
        <v>To confirm</v>
      </c>
      <c r="AA711" s="127" t="str">
        <f>IF(MasterFees[[#This Row],[Pricing Basis]]="Fixed fee schedule","Yes","No")</f>
        <v>No</v>
      </c>
      <c r="AB711" s="127" t="str">
        <f>IF(OR(MasterFees[[#This Row],[Fee Basis]]="Add-on",MasterFees[[#This Row],[Fee Basis]]="Time band",MasterFees[[#This Row],[Fee Basis]]="Other"),MasterFees[[#This Row],[Fee Basis]],"Base")</f>
        <v>Base</v>
      </c>
      <c r="AC711" s="141" t="str">
        <f>IF(MasterFees[[#This Row],[Fixed Fee?]]="Yes",MasterFees[[#This Row],[Fee Excl. GST]],"")</f>
        <v/>
      </c>
    </row>
    <row r="712" spans="1:29" x14ac:dyDescent="0.2">
      <c r="A712" s="67" t="s">
        <v>2315</v>
      </c>
      <c r="B712" s="31">
        <f>IF(MasterFees[[#This Row],[RVG Code]]="","",_xlfn.XLOOKUP(MasterFees[[#This Row],[RVG Code]],RVGCodes[Code],RVGCodes[Base Units],"Code not found"))</f>
        <v>5</v>
      </c>
      <c r="C71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1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12" s="125" t="s">
        <v>2607</v>
      </c>
      <c r="F712" s="48" t="s">
        <v>2569</v>
      </c>
      <c r="G712" s="30" t="s">
        <v>484</v>
      </c>
      <c r="H712" s="37" t="s">
        <v>1095</v>
      </c>
      <c r="I712" s="37"/>
      <c r="J712" s="37" t="s">
        <v>1096</v>
      </c>
      <c r="K712" s="32">
        <v>5.4</v>
      </c>
      <c r="L712" s="32">
        <v>4.4000000000000004</v>
      </c>
      <c r="M712" s="32">
        <v>0.7</v>
      </c>
      <c r="N712" s="32">
        <v>10.5</v>
      </c>
      <c r="O712" s="33">
        <v>576.95000000000005</v>
      </c>
      <c r="P712" s="38" t="s">
        <v>1014</v>
      </c>
      <c r="Q712" s="34" t="str">
        <f>IF(MasterFees[[#This Row],[GST Basis]]="Excl",MasterFees[[#This Row],[Fee as Printed]],IF(MasterFees[[#This Row],[GST Basis]]="Incl",MasterFees[[#This Row],[Fee as Printed]]/(1+GST_Rate),""))</f>
        <v/>
      </c>
      <c r="R712" s="34" t="str">
        <f>IF(MasterFees[[#This Row],[GST Basis]]="Incl",MasterFees[[#This Row],[Fee as Printed]],IF(MasterFees[[#This Row],[GST Basis]]="Excl",MasterFees[[#This Row],[Fee as Printed]]*(1+GST_Rate),""))</f>
        <v/>
      </c>
      <c r="S712" s="35">
        <f>IF(N(MasterFees[[#This Row],[Total Units]])=0,"",MasterFees[[#This Row],[Fee as Printed]]/MasterFees[[#This Row],[Total Units]])</f>
        <v>54.94761904761905</v>
      </c>
      <c r="T712" s="36"/>
      <c r="U712" s="39" t="s">
        <v>1012</v>
      </c>
      <c r="V712" s="39" t="s">
        <v>1579</v>
      </c>
      <c r="W712" s="30"/>
      <c r="X712" s="73" t="s">
        <v>3372</v>
      </c>
      <c r="Y712" s="127" t="str">
        <f>_xlfn.XLOOKUP(MasterFees[[#This Row],[Provider / Payer]],Contracts[Contract Name],Contracts[Contract ID],"No contract")</f>
        <v>CON-01</v>
      </c>
      <c r="Z712" s="127" t="str">
        <f>_xlfn.XLOOKUP(MasterFees[[#This Row],[Provider / Payer]],Contracts[Contract Name],Contracts[Pricing Basis],"To confirm")</f>
        <v>To confirm</v>
      </c>
      <c r="AA712" s="127" t="str">
        <f>IF(MasterFees[[#This Row],[Pricing Basis]]="Fixed fee schedule","Yes","No")</f>
        <v>No</v>
      </c>
      <c r="AB712" s="127" t="str">
        <f>IF(OR(MasterFees[[#This Row],[Fee Basis]]="Add-on",MasterFees[[#This Row],[Fee Basis]]="Time band",MasterFees[[#This Row],[Fee Basis]]="Other"),MasterFees[[#This Row],[Fee Basis]],"Base")</f>
        <v>Base</v>
      </c>
      <c r="AC712" s="141" t="str">
        <f>IF(MasterFees[[#This Row],[Fixed Fee?]]="Yes",MasterFees[[#This Row],[Fee Excl. GST]],"")</f>
        <v/>
      </c>
    </row>
    <row r="713" spans="1:29" x14ac:dyDescent="0.2">
      <c r="A713" s="67" t="s">
        <v>2320</v>
      </c>
      <c r="B713" s="31">
        <f>IF(MasterFees[[#This Row],[RVG Code]]="","",_xlfn.XLOOKUP(MasterFees[[#This Row],[RVG Code]],RVGCodes[Code],RVGCodes[Base Units],"Code not found"))</f>
        <v>6</v>
      </c>
      <c r="C71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1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13" s="125" t="s">
        <v>2573</v>
      </c>
      <c r="F713" s="48" t="s">
        <v>2569</v>
      </c>
      <c r="G713" s="30" t="s">
        <v>485</v>
      </c>
      <c r="H713" s="37" t="s">
        <v>1095</v>
      </c>
      <c r="I713" s="37"/>
      <c r="J713" s="37" t="s">
        <v>1096</v>
      </c>
      <c r="K713" s="32">
        <v>6.3</v>
      </c>
      <c r="L713" s="32">
        <v>8.6999999999999993</v>
      </c>
      <c r="M713" s="32">
        <v>0.4</v>
      </c>
      <c r="N713" s="32">
        <v>15.3</v>
      </c>
      <c r="O713" s="33">
        <v>842.05</v>
      </c>
      <c r="P713" s="38" t="s">
        <v>1014</v>
      </c>
      <c r="Q713" s="34" t="str">
        <f>IF(MasterFees[[#This Row],[GST Basis]]="Excl",MasterFees[[#This Row],[Fee as Printed]],IF(MasterFees[[#This Row],[GST Basis]]="Incl",MasterFees[[#This Row],[Fee as Printed]]/(1+GST_Rate),""))</f>
        <v/>
      </c>
      <c r="R713" s="34" t="str">
        <f>IF(MasterFees[[#This Row],[GST Basis]]="Incl",MasterFees[[#This Row],[Fee as Printed]],IF(MasterFees[[#This Row],[GST Basis]]="Excl",MasterFees[[#This Row],[Fee as Printed]]*(1+GST_Rate),""))</f>
        <v/>
      </c>
      <c r="S713" s="35">
        <f>IF(N(MasterFees[[#This Row],[Total Units]])=0,"",MasterFees[[#This Row],[Fee as Printed]]/MasterFees[[#This Row],[Total Units]])</f>
        <v>55.035947712418292</v>
      </c>
      <c r="T713" s="36"/>
      <c r="U713" s="39" t="s">
        <v>1012</v>
      </c>
      <c r="V713" s="39" t="s">
        <v>1580</v>
      </c>
      <c r="W713" s="30"/>
      <c r="X713" s="73" t="s">
        <v>3373</v>
      </c>
      <c r="Y713" s="127" t="str">
        <f>_xlfn.XLOOKUP(MasterFees[[#This Row],[Provider / Payer]],Contracts[Contract Name],Contracts[Contract ID],"No contract")</f>
        <v>CON-01</v>
      </c>
      <c r="Z713" s="127" t="str">
        <f>_xlfn.XLOOKUP(MasterFees[[#This Row],[Provider / Payer]],Contracts[Contract Name],Contracts[Pricing Basis],"To confirm")</f>
        <v>To confirm</v>
      </c>
      <c r="AA713" s="127" t="str">
        <f>IF(MasterFees[[#This Row],[Pricing Basis]]="Fixed fee schedule","Yes","No")</f>
        <v>No</v>
      </c>
      <c r="AB713" s="127" t="str">
        <f>IF(OR(MasterFees[[#This Row],[Fee Basis]]="Add-on",MasterFees[[#This Row],[Fee Basis]]="Time band",MasterFees[[#This Row],[Fee Basis]]="Other"),MasterFees[[#This Row],[Fee Basis]],"Base")</f>
        <v>Base</v>
      </c>
      <c r="AC713" s="141" t="str">
        <f>IF(MasterFees[[#This Row],[Fixed Fee?]]="Yes",MasterFees[[#This Row],[Fee Excl. GST]],"")</f>
        <v/>
      </c>
    </row>
    <row r="714" spans="1:29" x14ac:dyDescent="0.2">
      <c r="A714" s="67" t="s">
        <v>2320</v>
      </c>
      <c r="B714" s="31">
        <f>IF(MasterFees[[#This Row],[RVG Code]]="","",_xlfn.XLOOKUP(MasterFees[[#This Row],[RVG Code]],RVGCodes[Code],RVGCodes[Base Units],"Code not found"))</f>
        <v>6</v>
      </c>
      <c r="C71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1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14" s="125" t="s">
        <v>2573</v>
      </c>
      <c r="F714" s="48" t="s">
        <v>2569</v>
      </c>
      <c r="G714" s="30" t="s">
        <v>486</v>
      </c>
      <c r="H714" s="37" t="s">
        <v>1095</v>
      </c>
      <c r="I714" s="37"/>
      <c r="J714" s="37" t="s">
        <v>1096</v>
      </c>
      <c r="K714" s="32">
        <v>0</v>
      </c>
      <c r="L714" s="32">
        <v>0</v>
      </c>
      <c r="M714" s="32">
        <v>0</v>
      </c>
      <c r="N714" s="32">
        <v>0</v>
      </c>
      <c r="O714" s="33">
        <v>0</v>
      </c>
      <c r="P714" s="38" t="s">
        <v>1014</v>
      </c>
      <c r="Q714" s="34" t="str">
        <f>IF(MasterFees[[#This Row],[GST Basis]]="Excl",MasterFees[[#This Row],[Fee as Printed]],IF(MasterFees[[#This Row],[GST Basis]]="Incl",MasterFees[[#This Row],[Fee as Printed]]/(1+GST_Rate),""))</f>
        <v/>
      </c>
      <c r="R714" s="34" t="str">
        <f>IF(MasterFees[[#This Row],[GST Basis]]="Incl",MasterFees[[#This Row],[Fee as Printed]],IF(MasterFees[[#This Row],[GST Basis]]="Excl",MasterFees[[#This Row],[Fee as Printed]]*(1+GST_Rate),""))</f>
        <v/>
      </c>
      <c r="S714" s="35" t="str">
        <f>IF(N(MasterFees[[#This Row],[Total Units]])=0,"",MasterFees[[#This Row],[Fee as Printed]]/MasterFees[[#This Row],[Total Units]])</f>
        <v/>
      </c>
      <c r="T714" s="36"/>
      <c r="U714" s="39" t="s">
        <v>1012</v>
      </c>
      <c r="V714" s="39" t="s">
        <v>1581</v>
      </c>
      <c r="W714" s="30"/>
      <c r="X714" s="73" t="s">
        <v>3374</v>
      </c>
      <c r="Y714" s="127" t="str">
        <f>_xlfn.XLOOKUP(MasterFees[[#This Row],[Provider / Payer]],Contracts[Contract Name],Contracts[Contract ID],"No contract")</f>
        <v>CON-01</v>
      </c>
      <c r="Z714" s="127" t="str">
        <f>_xlfn.XLOOKUP(MasterFees[[#This Row],[Provider / Payer]],Contracts[Contract Name],Contracts[Pricing Basis],"To confirm")</f>
        <v>To confirm</v>
      </c>
      <c r="AA714" s="127" t="str">
        <f>IF(MasterFees[[#This Row],[Pricing Basis]]="Fixed fee schedule","Yes","No")</f>
        <v>No</v>
      </c>
      <c r="AB714" s="127" t="str">
        <f>IF(OR(MasterFees[[#This Row],[Fee Basis]]="Add-on",MasterFees[[#This Row],[Fee Basis]]="Time band",MasterFees[[#This Row],[Fee Basis]]="Other"),MasterFees[[#This Row],[Fee Basis]],"Base")</f>
        <v>Base</v>
      </c>
      <c r="AC714" s="141" t="str">
        <f>IF(MasterFees[[#This Row],[Fixed Fee?]]="Yes",MasterFees[[#This Row],[Fee Excl. GST]],"")</f>
        <v/>
      </c>
    </row>
    <row r="715" spans="1:29" x14ac:dyDescent="0.2">
      <c r="A715" s="67" t="s">
        <v>2315</v>
      </c>
      <c r="B715" s="31">
        <f>IF(MasterFees[[#This Row],[RVG Code]]="","",_xlfn.XLOOKUP(MasterFees[[#This Row],[RVG Code]],RVGCodes[Code],RVGCodes[Base Units],"Code not found"))</f>
        <v>5</v>
      </c>
      <c r="C71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1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15" s="125" t="s">
        <v>2607</v>
      </c>
      <c r="F715" s="48" t="s">
        <v>2569</v>
      </c>
      <c r="G715" s="30" t="s">
        <v>487</v>
      </c>
      <c r="H715" s="37" t="s">
        <v>1095</v>
      </c>
      <c r="I715" s="37"/>
      <c r="J715" s="37" t="s">
        <v>1096</v>
      </c>
      <c r="K715" s="32">
        <v>5.2</v>
      </c>
      <c r="L715" s="32">
        <v>4.7</v>
      </c>
      <c r="M715" s="32">
        <v>0.7</v>
      </c>
      <c r="N715" s="32">
        <v>10.5</v>
      </c>
      <c r="O715" s="33">
        <v>577.5</v>
      </c>
      <c r="P715" s="38" t="s">
        <v>1014</v>
      </c>
      <c r="Q715" s="34" t="str">
        <f>IF(MasterFees[[#This Row],[GST Basis]]="Excl",MasterFees[[#This Row],[Fee as Printed]],IF(MasterFees[[#This Row],[GST Basis]]="Incl",MasterFees[[#This Row],[Fee as Printed]]/(1+GST_Rate),""))</f>
        <v/>
      </c>
      <c r="R715" s="34" t="str">
        <f>IF(MasterFees[[#This Row],[GST Basis]]="Incl",MasterFees[[#This Row],[Fee as Printed]],IF(MasterFees[[#This Row],[GST Basis]]="Excl",MasterFees[[#This Row],[Fee as Printed]]*(1+GST_Rate),""))</f>
        <v/>
      </c>
      <c r="S715" s="35">
        <f>IF(N(MasterFees[[#This Row],[Total Units]])=0,"",MasterFees[[#This Row],[Fee as Printed]]/MasterFees[[#This Row],[Total Units]])</f>
        <v>55</v>
      </c>
      <c r="T715" s="36"/>
      <c r="U715" s="39" t="s">
        <v>1012</v>
      </c>
      <c r="V715" s="39" t="s">
        <v>1582</v>
      </c>
      <c r="W715" s="30"/>
      <c r="X715" s="73" t="s">
        <v>3375</v>
      </c>
      <c r="Y715" s="127" t="str">
        <f>_xlfn.XLOOKUP(MasterFees[[#This Row],[Provider / Payer]],Contracts[Contract Name],Contracts[Contract ID],"No contract")</f>
        <v>CON-01</v>
      </c>
      <c r="Z715" s="127" t="str">
        <f>_xlfn.XLOOKUP(MasterFees[[#This Row],[Provider / Payer]],Contracts[Contract Name],Contracts[Pricing Basis],"To confirm")</f>
        <v>To confirm</v>
      </c>
      <c r="AA715" s="127" t="str">
        <f>IF(MasterFees[[#This Row],[Pricing Basis]]="Fixed fee schedule","Yes","No")</f>
        <v>No</v>
      </c>
      <c r="AB715" s="127" t="str">
        <f>IF(OR(MasterFees[[#This Row],[Fee Basis]]="Add-on",MasterFees[[#This Row],[Fee Basis]]="Time band",MasterFees[[#This Row],[Fee Basis]]="Other"),MasterFees[[#This Row],[Fee Basis]],"Base")</f>
        <v>Base</v>
      </c>
      <c r="AC715" s="141" t="str">
        <f>IF(MasterFees[[#This Row],[Fixed Fee?]]="Yes",MasterFees[[#This Row],[Fee Excl. GST]],"")</f>
        <v/>
      </c>
    </row>
    <row r="716" spans="1:29" x14ac:dyDescent="0.2">
      <c r="A716" s="67" t="s">
        <v>2315</v>
      </c>
      <c r="B716" s="31">
        <f>IF(MasterFees[[#This Row],[RVG Code]]="","",_xlfn.XLOOKUP(MasterFees[[#This Row],[RVG Code]],RVGCodes[Code],RVGCodes[Base Units],"Code not found"))</f>
        <v>5</v>
      </c>
      <c r="C71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1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16" s="125" t="s">
        <v>2607</v>
      </c>
      <c r="F716" s="48" t="s">
        <v>2569</v>
      </c>
      <c r="G716" s="30" t="s">
        <v>488</v>
      </c>
      <c r="H716" s="37" t="s">
        <v>1095</v>
      </c>
      <c r="I716" s="37"/>
      <c r="J716" s="37" t="s">
        <v>1096</v>
      </c>
      <c r="K716" s="32">
        <v>5</v>
      </c>
      <c r="L716" s="32">
        <v>5.0999999999999996</v>
      </c>
      <c r="M716" s="32">
        <v>0.6</v>
      </c>
      <c r="N716" s="32">
        <v>10.7</v>
      </c>
      <c r="O716" s="33">
        <v>589.04999999999995</v>
      </c>
      <c r="P716" s="38" t="s">
        <v>1014</v>
      </c>
      <c r="Q716" s="34" t="str">
        <f>IF(MasterFees[[#This Row],[GST Basis]]="Excl",MasterFees[[#This Row],[Fee as Printed]],IF(MasterFees[[#This Row],[GST Basis]]="Incl",MasterFees[[#This Row],[Fee as Printed]]/(1+GST_Rate),""))</f>
        <v/>
      </c>
      <c r="R716" s="34" t="str">
        <f>IF(MasterFees[[#This Row],[GST Basis]]="Incl",MasterFees[[#This Row],[Fee as Printed]],IF(MasterFees[[#This Row],[GST Basis]]="Excl",MasterFees[[#This Row],[Fee as Printed]]*(1+GST_Rate),""))</f>
        <v/>
      </c>
      <c r="S716" s="35">
        <f>IF(N(MasterFees[[#This Row],[Total Units]])=0,"",MasterFees[[#This Row],[Fee as Printed]]/MasterFees[[#This Row],[Total Units]])</f>
        <v>55.05140186915888</v>
      </c>
      <c r="T716" s="36"/>
      <c r="U716" s="39" t="s">
        <v>1012</v>
      </c>
      <c r="V716" s="39" t="s">
        <v>1583</v>
      </c>
      <c r="W716" s="30"/>
      <c r="X716" s="73" t="s">
        <v>3376</v>
      </c>
      <c r="Y716" s="127" t="str">
        <f>_xlfn.XLOOKUP(MasterFees[[#This Row],[Provider / Payer]],Contracts[Contract Name],Contracts[Contract ID],"No contract")</f>
        <v>CON-01</v>
      </c>
      <c r="Z716" s="127" t="str">
        <f>_xlfn.XLOOKUP(MasterFees[[#This Row],[Provider / Payer]],Contracts[Contract Name],Contracts[Pricing Basis],"To confirm")</f>
        <v>To confirm</v>
      </c>
      <c r="AA716" s="127" t="str">
        <f>IF(MasterFees[[#This Row],[Pricing Basis]]="Fixed fee schedule","Yes","No")</f>
        <v>No</v>
      </c>
      <c r="AB716" s="127" t="str">
        <f>IF(OR(MasterFees[[#This Row],[Fee Basis]]="Add-on",MasterFees[[#This Row],[Fee Basis]]="Time band",MasterFees[[#This Row],[Fee Basis]]="Other"),MasterFees[[#This Row],[Fee Basis]],"Base")</f>
        <v>Base</v>
      </c>
      <c r="AC716" s="141" t="str">
        <f>IF(MasterFees[[#This Row],[Fixed Fee?]]="Yes",MasterFees[[#This Row],[Fee Excl. GST]],"")</f>
        <v/>
      </c>
    </row>
    <row r="717" spans="1:29" x14ac:dyDescent="0.2">
      <c r="A717" s="67" t="s">
        <v>2315</v>
      </c>
      <c r="B717" s="31">
        <f>IF(MasterFees[[#This Row],[RVG Code]]="","",_xlfn.XLOOKUP(MasterFees[[#This Row],[RVG Code]],RVGCodes[Code],RVGCodes[Base Units],"Code not found"))</f>
        <v>5</v>
      </c>
      <c r="C71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1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17" s="125" t="s">
        <v>2607</v>
      </c>
      <c r="F717" s="48" t="s">
        <v>2567</v>
      </c>
      <c r="G717" s="30" t="s">
        <v>489</v>
      </c>
      <c r="H717" s="37" t="s">
        <v>1095</v>
      </c>
      <c r="I717" s="37"/>
      <c r="J717" s="37" t="s">
        <v>1096</v>
      </c>
      <c r="K717" s="32">
        <v>4.8</v>
      </c>
      <c r="L717" s="32">
        <v>4.8</v>
      </c>
      <c r="M717" s="32">
        <v>0.4</v>
      </c>
      <c r="N717" s="32">
        <v>10</v>
      </c>
      <c r="O717" s="33">
        <v>550</v>
      </c>
      <c r="P717" s="38" t="s">
        <v>1014</v>
      </c>
      <c r="Q717" s="34" t="str">
        <f>IF(MasterFees[[#This Row],[GST Basis]]="Excl",MasterFees[[#This Row],[Fee as Printed]],IF(MasterFees[[#This Row],[GST Basis]]="Incl",MasterFees[[#This Row],[Fee as Printed]]/(1+GST_Rate),""))</f>
        <v/>
      </c>
      <c r="R717" s="34" t="str">
        <f>IF(MasterFees[[#This Row],[GST Basis]]="Incl",MasterFees[[#This Row],[Fee as Printed]],IF(MasterFees[[#This Row],[GST Basis]]="Excl",MasterFees[[#This Row],[Fee as Printed]]*(1+GST_Rate),""))</f>
        <v/>
      </c>
      <c r="S717" s="35">
        <f>IF(N(MasterFees[[#This Row],[Total Units]])=0,"",MasterFees[[#This Row],[Fee as Printed]]/MasterFees[[#This Row],[Total Units]])</f>
        <v>55</v>
      </c>
      <c r="T717" s="36"/>
      <c r="U717" s="39" t="s">
        <v>1012</v>
      </c>
      <c r="V717" s="39" t="s">
        <v>1584</v>
      </c>
      <c r="W717" s="30"/>
      <c r="X717" s="73" t="s">
        <v>3377</v>
      </c>
      <c r="Y717" s="127" t="str">
        <f>_xlfn.XLOOKUP(MasterFees[[#This Row],[Provider / Payer]],Contracts[Contract Name],Contracts[Contract ID],"No contract")</f>
        <v>CON-01</v>
      </c>
      <c r="Z717" s="127" t="str">
        <f>_xlfn.XLOOKUP(MasterFees[[#This Row],[Provider / Payer]],Contracts[Contract Name],Contracts[Pricing Basis],"To confirm")</f>
        <v>To confirm</v>
      </c>
      <c r="AA717" s="127" t="str">
        <f>IF(MasterFees[[#This Row],[Pricing Basis]]="Fixed fee schedule","Yes","No")</f>
        <v>No</v>
      </c>
      <c r="AB717" s="127" t="str">
        <f>IF(OR(MasterFees[[#This Row],[Fee Basis]]="Add-on",MasterFees[[#This Row],[Fee Basis]]="Time band",MasterFees[[#This Row],[Fee Basis]]="Other"),MasterFees[[#This Row],[Fee Basis]],"Base")</f>
        <v>Base</v>
      </c>
      <c r="AC717" s="141" t="str">
        <f>IF(MasterFees[[#This Row],[Fixed Fee?]]="Yes",MasterFees[[#This Row],[Fee Excl. GST]],"")</f>
        <v/>
      </c>
    </row>
    <row r="718" spans="1:29" x14ac:dyDescent="0.2">
      <c r="A718" s="67" t="s">
        <v>2315</v>
      </c>
      <c r="B718" s="31">
        <f>IF(MasterFees[[#This Row],[RVG Code]]="","",_xlfn.XLOOKUP(MasterFees[[#This Row],[RVG Code]],RVGCodes[Code],RVGCodes[Base Units],"Code not found"))</f>
        <v>5</v>
      </c>
      <c r="C71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1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18" s="125" t="s">
        <v>2607</v>
      </c>
      <c r="F718" s="48" t="s">
        <v>2569</v>
      </c>
      <c r="G718" s="30" t="s">
        <v>491</v>
      </c>
      <c r="H718" s="37" t="s">
        <v>1095</v>
      </c>
      <c r="I718" s="37"/>
      <c r="J718" s="37" t="s">
        <v>1096</v>
      </c>
      <c r="K718" s="32">
        <v>5</v>
      </c>
      <c r="L718" s="32">
        <v>6</v>
      </c>
      <c r="M718" s="32">
        <v>0</v>
      </c>
      <c r="N718" s="32">
        <v>11</v>
      </c>
      <c r="O718" s="33">
        <v>605</v>
      </c>
      <c r="P718" s="38" t="s">
        <v>1014</v>
      </c>
      <c r="Q718" s="34" t="str">
        <f>IF(MasterFees[[#This Row],[GST Basis]]="Excl",MasterFees[[#This Row],[Fee as Printed]],IF(MasterFees[[#This Row],[GST Basis]]="Incl",MasterFees[[#This Row],[Fee as Printed]]/(1+GST_Rate),""))</f>
        <v/>
      </c>
      <c r="R718" s="34" t="str">
        <f>IF(MasterFees[[#This Row],[GST Basis]]="Incl",MasterFees[[#This Row],[Fee as Printed]],IF(MasterFees[[#This Row],[GST Basis]]="Excl",MasterFees[[#This Row],[Fee as Printed]]*(1+GST_Rate),""))</f>
        <v/>
      </c>
      <c r="S718" s="35">
        <f>IF(N(MasterFees[[#This Row],[Total Units]])=0,"",MasterFees[[#This Row],[Fee as Printed]]/MasterFees[[#This Row],[Total Units]])</f>
        <v>55</v>
      </c>
      <c r="T718" s="36"/>
      <c r="U718" s="39" t="s">
        <v>1012</v>
      </c>
      <c r="V718" s="39" t="s">
        <v>1586</v>
      </c>
      <c r="W718" s="30"/>
      <c r="X718" s="73" t="s">
        <v>3380</v>
      </c>
      <c r="Y718" s="127" t="str">
        <f>_xlfn.XLOOKUP(MasterFees[[#This Row],[Provider / Payer]],Contracts[Contract Name],Contracts[Contract ID],"No contract")</f>
        <v>CON-01</v>
      </c>
      <c r="Z718" s="127" t="str">
        <f>_xlfn.XLOOKUP(MasterFees[[#This Row],[Provider / Payer]],Contracts[Contract Name],Contracts[Pricing Basis],"To confirm")</f>
        <v>To confirm</v>
      </c>
      <c r="AA718" s="127" t="str">
        <f>IF(MasterFees[[#This Row],[Pricing Basis]]="Fixed fee schedule","Yes","No")</f>
        <v>No</v>
      </c>
      <c r="AB718" s="127" t="str">
        <f>IF(OR(MasterFees[[#This Row],[Fee Basis]]="Add-on",MasterFees[[#This Row],[Fee Basis]]="Time band",MasterFees[[#This Row],[Fee Basis]]="Other"),MasterFees[[#This Row],[Fee Basis]],"Base")</f>
        <v>Base</v>
      </c>
      <c r="AC718" s="141" t="str">
        <f>IF(MasterFees[[#This Row],[Fixed Fee?]]="Yes",MasterFees[[#This Row],[Fee Excl. GST]],"")</f>
        <v/>
      </c>
    </row>
    <row r="719" spans="1:29" x14ac:dyDescent="0.2">
      <c r="A719" s="67" t="s">
        <v>2315</v>
      </c>
      <c r="B719" s="31">
        <f>IF(MasterFees[[#This Row],[RVG Code]]="","",_xlfn.XLOOKUP(MasterFees[[#This Row],[RVG Code]],RVGCodes[Code],RVGCodes[Base Units],"Code not found"))</f>
        <v>5</v>
      </c>
      <c r="C71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1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19" s="125" t="s">
        <v>2607</v>
      </c>
      <c r="F719" s="48" t="s">
        <v>2569</v>
      </c>
      <c r="G719" s="30" t="s">
        <v>492</v>
      </c>
      <c r="H719" s="37" t="s">
        <v>1095</v>
      </c>
      <c r="I719" s="37"/>
      <c r="J719" s="37" t="s">
        <v>1096</v>
      </c>
      <c r="K719" s="32">
        <v>5</v>
      </c>
      <c r="L719" s="32">
        <v>6</v>
      </c>
      <c r="M719" s="32">
        <v>0</v>
      </c>
      <c r="N719" s="32">
        <v>11</v>
      </c>
      <c r="O719" s="33">
        <v>605</v>
      </c>
      <c r="P719" s="38" t="s">
        <v>1014</v>
      </c>
      <c r="Q719" s="34" t="str">
        <f>IF(MasterFees[[#This Row],[GST Basis]]="Excl",MasterFees[[#This Row],[Fee as Printed]],IF(MasterFees[[#This Row],[GST Basis]]="Incl",MasterFees[[#This Row],[Fee as Printed]]/(1+GST_Rate),""))</f>
        <v/>
      </c>
      <c r="R719" s="34" t="str">
        <f>IF(MasterFees[[#This Row],[GST Basis]]="Incl",MasterFees[[#This Row],[Fee as Printed]],IF(MasterFees[[#This Row],[GST Basis]]="Excl",MasterFees[[#This Row],[Fee as Printed]]*(1+GST_Rate),""))</f>
        <v/>
      </c>
      <c r="S719" s="35">
        <f>IF(N(MasterFees[[#This Row],[Total Units]])=0,"",MasterFees[[#This Row],[Fee as Printed]]/MasterFees[[#This Row],[Total Units]])</f>
        <v>55</v>
      </c>
      <c r="T719" s="36"/>
      <c r="U719" s="39" t="s">
        <v>1012</v>
      </c>
      <c r="V719" s="39" t="s">
        <v>1587</v>
      </c>
      <c r="W719" s="30"/>
      <c r="X719" s="73" t="s">
        <v>3381</v>
      </c>
      <c r="Y719" s="127" t="str">
        <f>_xlfn.XLOOKUP(MasterFees[[#This Row],[Provider / Payer]],Contracts[Contract Name],Contracts[Contract ID],"No contract")</f>
        <v>CON-01</v>
      </c>
      <c r="Z719" s="127" t="str">
        <f>_xlfn.XLOOKUP(MasterFees[[#This Row],[Provider / Payer]],Contracts[Contract Name],Contracts[Pricing Basis],"To confirm")</f>
        <v>To confirm</v>
      </c>
      <c r="AA719" s="127" t="str">
        <f>IF(MasterFees[[#This Row],[Pricing Basis]]="Fixed fee schedule","Yes","No")</f>
        <v>No</v>
      </c>
      <c r="AB719" s="127" t="str">
        <f>IF(OR(MasterFees[[#This Row],[Fee Basis]]="Add-on",MasterFees[[#This Row],[Fee Basis]]="Time band",MasterFees[[#This Row],[Fee Basis]]="Other"),MasterFees[[#This Row],[Fee Basis]],"Base")</f>
        <v>Base</v>
      </c>
      <c r="AC719" s="141" t="str">
        <f>IF(MasterFees[[#This Row],[Fixed Fee?]]="Yes",MasterFees[[#This Row],[Fee Excl. GST]],"")</f>
        <v/>
      </c>
    </row>
    <row r="720" spans="1:29" x14ac:dyDescent="0.2">
      <c r="A720" s="67" t="s">
        <v>2320</v>
      </c>
      <c r="B720" s="31">
        <f>IF(MasterFees[[#This Row],[RVG Code]]="","",_xlfn.XLOOKUP(MasterFees[[#This Row],[RVG Code]],RVGCodes[Code],RVGCodes[Base Units],"Code not found"))</f>
        <v>6</v>
      </c>
      <c r="C72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2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20" s="125" t="s">
        <v>2573</v>
      </c>
      <c r="F720" s="48" t="s">
        <v>2569</v>
      </c>
      <c r="G720" s="30" t="s">
        <v>495</v>
      </c>
      <c r="H720" s="37" t="s">
        <v>1095</v>
      </c>
      <c r="I720" s="37"/>
      <c r="J720" s="37" t="s">
        <v>1096</v>
      </c>
      <c r="K720" s="32">
        <v>5.7</v>
      </c>
      <c r="L720" s="32">
        <v>5.0999999999999996</v>
      </c>
      <c r="M720" s="32">
        <v>0.5</v>
      </c>
      <c r="N720" s="32">
        <v>11.3</v>
      </c>
      <c r="O720" s="33">
        <v>619.29999999999995</v>
      </c>
      <c r="P720" s="38" t="s">
        <v>1014</v>
      </c>
      <c r="Q720" s="34" t="str">
        <f>IF(MasterFees[[#This Row],[GST Basis]]="Excl",MasterFees[[#This Row],[Fee as Printed]],IF(MasterFees[[#This Row],[GST Basis]]="Incl",MasterFees[[#This Row],[Fee as Printed]]/(1+GST_Rate),""))</f>
        <v/>
      </c>
      <c r="R720" s="34" t="str">
        <f>IF(MasterFees[[#This Row],[GST Basis]]="Incl",MasterFees[[#This Row],[Fee as Printed]],IF(MasterFees[[#This Row],[GST Basis]]="Excl",MasterFees[[#This Row],[Fee as Printed]]*(1+GST_Rate),""))</f>
        <v/>
      </c>
      <c r="S720" s="35">
        <f>IF(N(MasterFees[[#This Row],[Total Units]])=0,"",MasterFees[[#This Row],[Fee as Printed]]/MasterFees[[#This Row],[Total Units]])</f>
        <v>54.805309734513266</v>
      </c>
      <c r="T720" s="36"/>
      <c r="U720" s="39" t="s">
        <v>1012</v>
      </c>
      <c r="V720" s="39" t="s">
        <v>1590</v>
      </c>
      <c r="W720" s="30"/>
      <c r="X720" s="73" t="s">
        <v>3384</v>
      </c>
      <c r="Y720" s="127" t="str">
        <f>_xlfn.XLOOKUP(MasterFees[[#This Row],[Provider / Payer]],Contracts[Contract Name],Contracts[Contract ID],"No contract")</f>
        <v>CON-01</v>
      </c>
      <c r="Z720" s="127" t="str">
        <f>_xlfn.XLOOKUP(MasterFees[[#This Row],[Provider / Payer]],Contracts[Contract Name],Contracts[Pricing Basis],"To confirm")</f>
        <v>To confirm</v>
      </c>
      <c r="AA720" s="127" t="str">
        <f>IF(MasterFees[[#This Row],[Pricing Basis]]="Fixed fee schedule","Yes","No")</f>
        <v>No</v>
      </c>
      <c r="AB720" s="127" t="str">
        <f>IF(OR(MasterFees[[#This Row],[Fee Basis]]="Add-on",MasterFees[[#This Row],[Fee Basis]]="Time band",MasterFees[[#This Row],[Fee Basis]]="Other"),MasterFees[[#This Row],[Fee Basis]],"Base")</f>
        <v>Base</v>
      </c>
      <c r="AC720" s="141" t="str">
        <f>IF(MasterFees[[#This Row],[Fixed Fee?]]="Yes",MasterFees[[#This Row],[Fee Excl. GST]],"")</f>
        <v/>
      </c>
    </row>
    <row r="721" spans="1:29" x14ac:dyDescent="0.2">
      <c r="A721" s="67" t="s">
        <v>2320</v>
      </c>
      <c r="B721" s="31">
        <f>IF(MasterFees[[#This Row],[RVG Code]]="","",_xlfn.XLOOKUP(MasterFees[[#This Row],[RVG Code]],RVGCodes[Code],RVGCodes[Base Units],"Code not found"))</f>
        <v>6</v>
      </c>
      <c r="C72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2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21" s="125" t="s">
        <v>2573</v>
      </c>
      <c r="F721" s="48" t="s">
        <v>2569</v>
      </c>
      <c r="G721" s="30" t="s">
        <v>496</v>
      </c>
      <c r="H721" s="37" t="s">
        <v>1095</v>
      </c>
      <c r="I721" s="37"/>
      <c r="J721" s="37" t="s">
        <v>1096</v>
      </c>
      <c r="K721" s="32">
        <v>6.4</v>
      </c>
      <c r="L721" s="32">
        <v>5.0999999999999996</v>
      </c>
      <c r="M721" s="32">
        <v>0.7</v>
      </c>
      <c r="N721" s="32">
        <v>12.2</v>
      </c>
      <c r="O721" s="33">
        <v>673.2</v>
      </c>
      <c r="P721" s="38" t="s">
        <v>1014</v>
      </c>
      <c r="Q721" s="34" t="str">
        <f>IF(MasterFees[[#This Row],[GST Basis]]="Excl",MasterFees[[#This Row],[Fee as Printed]],IF(MasterFees[[#This Row],[GST Basis]]="Incl",MasterFees[[#This Row],[Fee as Printed]]/(1+GST_Rate),""))</f>
        <v/>
      </c>
      <c r="R721" s="34" t="str">
        <f>IF(MasterFees[[#This Row],[GST Basis]]="Incl",MasterFees[[#This Row],[Fee as Printed]],IF(MasterFees[[#This Row],[GST Basis]]="Excl",MasterFees[[#This Row],[Fee as Printed]]*(1+GST_Rate),""))</f>
        <v/>
      </c>
      <c r="S721" s="35">
        <f>IF(N(MasterFees[[#This Row],[Total Units]])=0,"",MasterFees[[#This Row],[Fee as Printed]]/MasterFees[[#This Row],[Total Units]])</f>
        <v>55.180327868852466</v>
      </c>
      <c r="T721" s="36"/>
      <c r="U721" s="39" t="s">
        <v>1012</v>
      </c>
      <c r="V721" s="39" t="s">
        <v>1591</v>
      </c>
      <c r="W721" s="30"/>
      <c r="X721" s="73" t="s">
        <v>3385</v>
      </c>
      <c r="Y721" s="127" t="str">
        <f>_xlfn.XLOOKUP(MasterFees[[#This Row],[Provider / Payer]],Contracts[Contract Name],Contracts[Contract ID],"No contract")</f>
        <v>CON-01</v>
      </c>
      <c r="Z721" s="127" t="str">
        <f>_xlfn.XLOOKUP(MasterFees[[#This Row],[Provider / Payer]],Contracts[Contract Name],Contracts[Pricing Basis],"To confirm")</f>
        <v>To confirm</v>
      </c>
      <c r="AA721" s="127" t="str">
        <f>IF(MasterFees[[#This Row],[Pricing Basis]]="Fixed fee schedule","Yes","No")</f>
        <v>No</v>
      </c>
      <c r="AB721" s="127" t="str">
        <f>IF(OR(MasterFees[[#This Row],[Fee Basis]]="Add-on",MasterFees[[#This Row],[Fee Basis]]="Time band",MasterFees[[#This Row],[Fee Basis]]="Other"),MasterFees[[#This Row],[Fee Basis]],"Base")</f>
        <v>Base</v>
      </c>
      <c r="AC721" s="141" t="str">
        <f>IF(MasterFees[[#This Row],[Fixed Fee?]]="Yes",MasterFees[[#This Row],[Fee Excl. GST]],"")</f>
        <v/>
      </c>
    </row>
    <row r="722" spans="1:29" x14ac:dyDescent="0.2">
      <c r="A722" s="67" t="s">
        <v>2320</v>
      </c>
      <c r="B722" s="31">
        <f>IF(MasterFees[[#This Row],[RVG Code]]="","",_xlfn.XLOOKUP(MasterFees[[#This Row],[RVG Code]],RVGCodes[Code],RVGCodes[Base Units],"Code not found"))</f>
        <v>6</v>
      </c>
      <c r="C72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2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22" s="125" t="s">
        <v>2573</v>
      </c>
      <c r="F722" s="48" t="s">
        <v>2569</v>
      </c>
      <c r="G722" s="30" t="s">
        <v>498</v>
      </c>
      <c r="H722" s="37" t="s">
        <v>1095</v>
      </c>
      <c r="I722" s="37"/>
      <c r="J722" s="37" t="s">
        <v>1096</v>
      </c>
      <c r="K722" s="32">
        <v>7.1</v>
      </c>
      <c r="L722" s="32">
        <v>4.7</v>
      </c>
      <c r="M722" s="32">
        <v>0.7</v>
      </c>
      <c r="N722" s="32">
        <v>12.5</v>
      </c>
      <c r="O722" s="33">
        <v>684.75</v>
      </c>
      <c r="P722" s="38" t="s">
        <v>1014</v>
      </c>
      <c r="Q722" s="34" t="str">
        <f>IF(MasterFees[[#This Row],[GST Basis]]="Excl",MasterFees[[#This Row],[Fee as Printed]],IF(MasterFees[[#This Row],[GST Basis]]="Incl",MasterFees[[#This Row],[Fee as Printed]]/(1+GST_Rate),""))</f>
        <v/>
      </c>
      <c r="R722" s="34" t="str">
        <f>IF(MasterFees[[#This Row],[GST Basis]]="Incl",MasterFees[[#This Row],[Fee as Printed]],IF(MasterFees[[#This Row],[GST Basis]]="Excl",MasterFees[[#This Row],[Fee as Printed]]*(1+GST_Rate),""))</f>
        <v/>
      </c>
      <c r="S722" s="35">
        <f>IF(N(MasterFees[[#This Row],[Total Units]])=0,"",MasterFees[[#This Row],[Fee as Printed]]/MasterFees[[#This Row],[Total Units]])</f>
        <v>54.78</v>
      </c>
      <c r="T722" s="36"/>
      <c r="U722" s="39" t="s">
        <v>1012</v>
      </c>
      <c r="V722" s="39" t="s">
        <v>1593</v>
      </c>
      <c r="W722" s="30"/>
      <c r="X722" s="73" t="s">
        <v>3387</v>
      </c>
      <c r="Y722" s="127" t="str">
        <f>_xlfn.XLOOKUP(MasterFees[[#This Row],[Provider / Payer]],Contracts[Contract Name],Contracts[Contract ID],"No contract")</f>
        <v>CON-01</v>
      </c>
      <c r="Z722" s="127" t="str">
        <f>_xlfn.XLOOKUP(MasterFees[[#This Row],[Provider / Payer]],Contracts[Contract Name],Contracts[Pricing Basis],"To confirm")</f>
        <v>To confirm</v>
      </c>
      <c r="AA722" s="127" t="str">
        <f>IF(MasterFees[[#This Row],[Pricing Basis]]="Fixed fee schedule","Yes","No")</f>
        <v>No</v>
      </c>
      <c r="AB722" s="127" t="str">
        <f>IF(OR(MasterFees[[#This Row],[Fee Basis]]="Add-on",MasterFees[[#This Row],[Fee Basis]]="Time band",MasterFees[[#This Row],[Fee Basis]]="Other"),MasterFees[[#This Row],[Fee Basis]],"Base")</f>
        <v>Base</v>
      </c>
      <c r="AC722" s="141" t="str">
        <f>IF(MasterFees[[#This Row],[Fixed Fee?]]="Yes",MasterFees[[#This Row],[Fee Excl. GST]],"")</f>
        <v/>
      </c>
    </row>
    <row r="723" spans="1:29" x14ac:dyDescent="0.2">
      <c r="A723" s="67" t="s">
        <v>2315</v>
      </c>
      <c r="B723" s="31">
        <f>IF(MasterFees[[#This Row],[RVG Code]]="","",_xlfn.XLOOKUP(MasterFees[[#This Row],[RVG Code]],RVGCodes[Code],RVGCodes[Base Units],"Code not found"))</f>
        <v>5</v>
      </c>
      <c r="C72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2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23" s="125" t="s">
        <v>2607</v>
      </c>
      <c r="F723" s="48" t="s">
        <v>2569</v>
      </c>
      <c r="G723" s="30" t="s">
        <v>499</v>
      </c>
      <c r="H723" s="37" t="s">
        <v>1095</v>
      </c>
      <c r="I723" s="37"/>
      <c r="J723" s="37" t="s">
        <v>1096</v>
      </c>
      <c r="K723" s="32">
        <v>5.3</v>
      </c>
      <c r="L723" s="32">
        <v>4.5</v>
      </c>
      <c r="M723" s="32">
        <v>0.7</v>
      </c>
      <c r="N723" s="32">
        <v>10.5</v>
      </c>
      <c r="O723" s="33">
        <v>576.95000000000005</v>
      </c>
      <c r="P723" s="38" t="s">
        <v>1014</v>
      </c>
      <c r="Q723" s="34" t="str">
        <f>IF(MasterFees[[#This Row],[GST Basis]]="Excl",MasterFees[[#This Row],[Fee as Printed]],IF(MasterFees[[#This Row],[GST Basis]]="Incl",MasterFees[[#This Row],[Fee as Printed]]/(1+GST_Rate),""))</f>
        <v/>
      </c>
      <c r="R723" s="34" t="str">
        <f>IF(MasterFees[[#This Row],[GST Basis]]="Incl",MasterFees[[#This Row],[Fee as Printed]],IF(MasterFees[[#This Row],[GST Basis]]="Excl",MasterFees[[#This Row],[Fee as Printed]]*(1+GST_Rate),""))</f>
        <v/>
      </c>
      <c r="S723" s="35">
        <f>IF(N(MasterFees[[#This Row],[Total Units]])=0,"",MasterFees[[#This Row],[Fee as Printed]]/MasterFees[[#This Row],[Total Units]])</f>
        <v>54.94761904761905</v>
      </c>
      <c r="T723" s="36"/>
      <c r="U723" s="39" t="s">
        <v>1012</v>
      </c>
      <c r="V723" s="39" t="s">
        <v>1594</v>
      </c>
      <c r="W723" s="30"/>
      <c r="X723" s="73" t="s">
        <v>3388</v>
      </c>
      <c r="Y723" s="127" t="str">
        <f>_xlfn.XLOOKUP(MasterFees[[#This Row],[Provider / Payer]],Contracts[Contract Name],Contracts[Contract ID],"No contract")</f>
        <v>CON-01</v>
      </c>
      <c r="Z723" s="127" t="str">
        <f>_xlfn.XLOOKUP(MasterFees[[#This Row],[Provider / Payer]],Contracts[Contract Name],Contracts[Pricing Basis],"To confirm")</f>
        <v>To confirm</v>
      </c>
      <c r="AA723" s="127" t="str">
        <f>IF(MasterFees[[#This Row],[Pricing Basis]]="Fixed fee schedule","Yes","No")</f>
        <v>No</v>
      </c>
      <c r="AB723" s="127" t="str">
        <f>IF(OR(MasterFees[[#This Row],[Fee Basis]]="Add-on",MasterFees[[#This Row],[Fee Basis]]="Time band",MasterFees[[#This Row],[Fee Basis]]="Other"),MasterFees[[#This Row],[Fee Basis]],"Base")</f>
        <v>Base</v>
      </c>
      <c r="AC723" s="141" t="str">
        <f>IF(MasterFees[[#This Row],[Fixed Fee?]]="Yes",MasterFees[[#This Row],[Fee Excl. GST]],"")</f>
        <v/>
      </c>
    </row>
    <row r="724" spans="1:29" x14ac:dyDescent="0.2">
      <c r="A724" s="67" t="s">
        <v>2315</v>
      </c>
      <c r="B724" s="31">
        <f>IF(MasterFees[[#This Row],[RVG Code]]="","",_xlfn.XLOOKUP(MasterFees[[#This Row],[RVG Code]],RVGCodes[Code],RVGCodes[Base Units],"Code not found"))</f>
        <v>5</v>
      </c>
      <c r="C72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2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24" s="125" t="s">
        <v>2607</v>
      </c>
      <c r="F724" s="48" t="s">
        <v>2569</v>
      </c>
      <c r="G724" s="30" t="s">
        <v>500</v>
      </c>
      <c r="H724" s="37" t="s">
        <v>1095</v>
      </c>
      <c r="I724" s="37"/>
      <c r="J724" s="37" t="s">
        <v>1096</v>
      </c>
      <c r="K724" s="32">
        <v>5.0999999999999996</v>
      </c>
      <c r="L724" s="32">
        <v>5</v>
      </c>
      <c r="M724" s="32">
        <v>0.6</v>
      </c>
      <c r="N724" s="32">
        <v>10.7</v>
      </c>
      <c r="O724" s="33">
        <v>590.70000000000005</v>
      </c>
      <c r="P724" s="38" t="s">
        <v>1014</v>
      </c>
      <c r="Q724" s="34" t="str">
        <f>IF(MasterFees[[#This Row],[GST Basis]]="Excl",MasterFees[[#This Row],[Fee as Printed]],IF(MasterFees[[#This Row],[GST Basis]]="Incl",MasterFees[[#This Row],[Fee as Printed]]/(1+GST_Rate),""))</f>
        <v/>
      </c>
      <c r="R724" s="34" t="str">
        <f>IF(MasterFees[[#This Row],[GST Basis]]="Incl",MasterFees[[#This Row],[Fee as Printed]],IF(MasterFees[[#This Row],[GST Basis]]="Excl",MasterFees[[#This Row],[Fee as Printed]]*(1+GST_Rate),""))</f>
        <v/>
      </c>
      <c r="S724" s="35">
        <f>IF(N(MasterFees[[#This Row],[Total Units]])=0,"",MasterFees[[#This Row],[Fee as Printed]]/MasterFees[[#This Row],[Total Units]])</f>
        <v>55.205607476635521</v>
      </c>
      <c r="T724" s="36"/>
      <c r="U724" s="39" t="s">
        <v>1012</v>
      </c>
      <c r="V724" s="39" t="s">
        <v>1595</v>
      </c>
      <c r="W724" s="30"/>
      <c r="X724" s="73" t="s">
        <v>3389</v>
      </c>
      <c r="Y724" s="127" t="str">
        <f>_xlfn.XLOOKUP(MasterFees[[#This Row],[Provider / Payer]],Contracts[Contract Name],Contracts[Contract ID],"No contract")</f>
        <v>CON-01</v>
      </c>
      <c r="Z724" s="127" t="str">
        <f>_xlfn.XLOOKUP(MasterFees[[#This Row],[Provider / Payer]],Contracts[Contract Name],Contracts[Pricing Basis],"To confirm")</f>
        <v>To confirm</v>
      </c>
      <c r="AA724" s="127" t="str">
        <f>IF(MasterFees[[#This Row],[Pricing Basis]]="Fixed fee schedule","Yes","No")</f>
        <v>No</v>
      </c>
      <c r="AB724" s="127" t="str">
        <f>IF(OR(MasterFees[[#This Row],[Fee Basis]]="Add-on",MasterFees[[#This Row],[Fee Basis]]="Time band",MasterFees[[#This Row],[Fee Basis]]="Other"),MasterFees[[#This Row],[Fee Basis]],"Base")</f>
        <v>Base</v>
      </c>
      <c r="AC724" s="141" t="str">
        <f>IF(MasterFees[[#This Row],[Fixed Fee?]]="Yes",MasterFees[[#This Row],[Fee Excl. GST]],"")</f>
        <v/>
      </c>
    </row>
    <row r="725" spans="1:29" x14ac:dyDescent="0.2">
      <c r="A725" s="67" t="s">
        <v>2315</v>
      </c>
      <c r="B725" s="31">
        <f>IF(MasterFees[[#This Row],[RVG Code]]="","",_xlfn.XLOOKUP(MasterFees[[#This Row],[RVG Code]],RVGCodes[Code],RVGCodes[Base Units],"Code not found"))</f>
        <v>5</v>
      </c>
      <c r="C72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2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25" s="125" t="s">
        <v>2607</v>
      </c>
      <c r="F725" s="48" t="s">
        <v>2569</v>
      </c>
      <c r="G725" s="30" t="s">
        <v>501</v>
      </c>
      <c r="H725" s="37" t="s">
        <v>1095</v>
      </c>
      <c r="I725" s="37"/>
      <c r="J725" s="37" t="s">
        <v>1096</v>
      </c>
      <c r="K725" s="32">
        <v>5.0999999999999996</v>
      </c>
      <c r="L725" s="32">
        <v>4.7</v>
      </c>
      <c r="M725" s="32">
        <v>0.3</v>
      </c>
      <c r="N725" s="32">
        <v>10</v>
      </c>
      <c r="O725" s="33">
        <v>549.45000000000005</v>
      </c>
      <c r="P725" s="38" t="s">
        <v>1014</v>
      </c>
      <c r="Q725" s="34" t="str">
        <f>IF(MasterFees[[#This Row],[GST Basis]]="Excl",MasterFees[[#This Row],[Fee as Printed]],IF(MasterFees[[#This Row],[GST Basis]]="Incl",MasterFees[[#This Row],[Fee as Printed]]/(1+GST_Rate),""))</f>
        <v/>
      </c>
      <c r="R725" s="34" t="str">
        <f>IF(MasterFees[[#This Row],[GST Basis]]="Incl",MasterFees[[#This Row],[Fee as Printed]],IF(MasterFees[[#This Row],[GST Basis]]="Excl",MasterFees[[#This Row],[Fee as Printed]]*(1+GST_Rate),""))</f>
        <v/>
      </c>
      <c r="S725" s="35">
        <f>IF(N(MasterFees[[#This Row],[Total Units]])=0,"",MasterFees[[#This Row],[Fee as Printed]]/MasterFees[[#This Row],[Total Units]])</f>
        <v>54.945000000000007</v>
      </c>
      <c r="T725" s="36"/>
      <c r="U725" s="39" t="s">
        <v>1012</v>
      </c>
      <c r="V725" s="39" t="s">
        <v>1596</v>
      </c>
      <c r="W725" s="30"/>
      <c r="X725" s="73" t="s">
        <v>3390</v>
      </c>
      <c r="Y725" s="127" t="str">
        <f>_xlfn.XLOOKUP(MasterFees[[#This Row],[Provider / Payer]],Contracts[Contract Name],Contracts[Contract ID],"No contract")</f>
        <v>CON-01</v>
      </c>
      <c r="Z725" s="127" t="str">
        <f>_xlfn.XLOOKUP(MasterFees[[#This Row],[Provider / Payer]],Contracts[Contract Name],Contracts[Pricing Basis],"To confirm")</f>
        <v>To confirm</v>
      </c>
      <c r="AA725" s="127" t="str">
        <f>IF(MasterFees[[#This Row],[Pricing Basis]]="Fixed fee schedule","Yes","No")</f>
        <v>No</v>
      </c>
      <c r="AB725" s="127" t="str">
        <f>IF(OR(MasterFees[[#This Row],[Fee Basis]]="Add-on",MasterFees[[#This Row],[Fee Basis]]="Time band",MasterFees[[#This Row],[Fee Basis]]="Other"),MasterFees[[#This Row],[Fee Basis]],"Base")</f>
        <v>Base</v>
      </c>
      <c r="AC725" s="141" t="str">
        <f>IF(MasterFees[[#This Row],[Fixed Fee?]]="Yes",MasterFees[[#This Row],[Fee Excl. GST]],"")</f>
        <v/>
      </c>
    </row>
    <row r="726" spans="1:29" x14ac:dyDescent="0.2">
      <c r="A726" s="67" t="s">
        <v>2320</v>
      </c>
      <c r="B726" s="31">
        <f>IF(MasterFees[[#This Row],[RVG Code]]="","",_xlfn.XLOOKUP(MasterFees[[#This Row],[RVG Code]],RVGCodes[Code],RVGCodes[Base Units],"Code not found"))</f>
        <v>6</v>
      </c>
      <c r="C72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2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26" s="125" t="s">
        <v>2573</v>
      </c>
      <c r="F726" s="48" t="s">
        <v>2569</v>
      </c>
      <c r="G726" s="30" t="s">
        <v>506</v>
      </c>
      <c r="H726" s="37" t="s">
        <v>1095</v>
      </c>
      <c r="I726" s="37"/>
      <c r="J726" s="37" t="s">
        <v>1096</v>
      </c>
      <c r="K726" s="32">
        <v>6.5</v>
      </c>
      <c r="L726" s="32">
        <v>6</v>
      </c>
      <c r="M726" s="32">
        <v>0</v>
      </c>
      <c r="N726" s="32">
        <v>12.5</v>
      </c>
      <c r="O726" s="33">
        <v>687.5</v>
      </c>
      <c r="P726" s="38" t="s">
        <v>1014</v>
      </c>
      <c r="Q726" s="34" t="str">
        <f>IF(MasterFees[[#This Row],[GST Basis]]="Excl",MasterFees[[#This Row],[Fee as Printed]],IF(MasterFees[[#This Row],[GST Basis]]="Incl",MasterFees[[#This Row],[Fee as Printed]]/(1+GST_Rate),""))</f>
        <v/>
      </c>
      <c r="R726" s="34" t="str">
        <f>IF(MasterFees[[#This Row],[GST Basis]]="Incl",MasterFees[[#This Row],[Fee as Printed]],IF(MasterFees[[#This Row],[GST Basis]]="Excl",MasterFees[[#This Row],[Fee as Printed]]*(1+GST_Rate),""))</f>
        <v/>
      </c>
      <c r="S726" s="35">
        <f>IF(N(MasterFees[[#This Row],[Total Units]])=0,"",MasterFees[[#This Row],[Fee as Printed]]/MasterFees[[#This Row],[Total Units]])</f>
        <v>55</v>
      </c>
      <c r="T726" s="36"/>
      <c r="U726" s="39" t="s">
        <v>1012</v>
      </c>
      <c r="V726" s="39" t="s">
        <v>1601</v>
      </c>
      <c r="W726" s="30"/>
      <c r="X726" s="73" t="s">
        <v>3395</v>
      </c>
      <c r="Y726" s="127" t="str">
        <f>_xlfn.XLOOKUP(MasterFees[[#This Row],[Provider / Payer]],Contracts[Contract Name],Contracts[Contract ID],"No contract")</f>
        <v>CON-01</v>
      </c>
      <c r="Z726" s="127" t="str">
        <f>_xlfn.XLOOKUP(MasterFees[[#This Row],[Provider / Payer]],Contracts[Contract Name],Contracts[Pricing Basis],"To confirm")</f>
        <v>To confirm</v>
      </c>
      <c r="AA726" s="127" t="str">
        <f>IF(MasterFees[[#This Row],[Pricing Basis]]="Fixed fee schedule","Yes","No")</f>
        <v>No</v>
      </c>
      <c r="AB726" s="127" t="str">
        <f>IF(OR(MasterFees[[#This Row],[Fee Basis]]="Add-on",MasterFees[[#This Row],[Fee Basis]]="Time band",MasterFees[[#This Row],[Fee Basis]]="Other"),MasterFees[[#This Row],[Fee Basis]],"Base")</f>
        <v>Base</v>
      </c>
      <c r="AC726" s="141" t="str">
        <f>IF(MasterFees[[#This Row],[Fixed Fee?]]="Yes",MasterFees[[#This Row],[Fee Excl. GST]],"")</f>
        <v/>
      </c>
    </row>
    <row r="727" spans="1:29" x14ac:dyDescent="0.2">
      <c r="A727" s="67" t="s">
        <v>2315</v>
      </c>
      <c r="B727" s="31">
        <f>IF(MasterFees[[#This Row],[RVG Code]]="","",_xlfn.XLOOKUP(MasterFees[[#This Row],[RVG Code]],RVGCodes[Code],RVGCodes[Base Units],"Code not found"))</f>
        <v>5</v>
      </c>
      <c r="C72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2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27" s="125" t="s">
        <v>2607</v>
      </c>
      <c r="F727" s="48" t="s">
        <v>2569</v>
      </c>
      <c r="G727" s="30" t="s">
        <v>512</v>
      </c>
      <c r="H727" s="37" t="s">
        <v>1095</v>
      </c>
      <c r="I727" s="37"/>
      <c r="J727" s="37" t="s">
        <v>1096</v>
      </c>
      <c r="K727" s="32">
        <v>4.5</v>
      </c>
      <c r="L727" s="32">
        <v>3.2</v>
      </c>
      <c r="M727" s="32">
        <v>0.4</v>
      </c>
      <c r="N727" s="32">
        <v>8.1</v>
      </c>
      <c r="O727" s="33">
        <v>444.4</v>
      </c>
      <c r="P727" s="38" t="s">
        <v>1014</v>
      </c>
      <c r="Q727" s="34" t="str">
        <f>IF(MasterFees[[#This Row],[GST Basis]]="Excl",MasterFees[[#This Row],[Fee as Printed]],IF(MasterFees[[#This Row],[GST Basis]]="Incl",MasterFees[[#This Row],[Fee as Printed]]/(1+GST_Rate),""))</f>
        <v/>
      </c>
      <c r="R727" s="34" t="str">
        <f>IF(MasterFees[[#This Row],[GST Basis]]="Incl",MasterFees[[#This Row],[Fee as Printed]],IF(MasterFees[[#This Row],[GST Basis]]="Excl",MasterFees[[#This Row],[Fee as Printed]]*(1+GST_Rate),""))</f>
        <v/>
      </c>
      <c r="S727" s="35">
        <f>IF(N(MasterFees[[#This Row],[Total Units]])=0,"",MasterFees[[#This Row],[Fee as Printed]]/MasterFees[[#This Row],[Total Units]])</f>
        <v>54.864197530864196</v>
      </c>
      <c r="T727" s="36"/>
      <c r="U727" s="39" t="s">
        <v>1012</v>
      </c>
      <c r="V727" s="39" t="s">
        <v>1607</v>
      </c>
      <c r="W727" s="30"/>
      <c r="X727" s="73" t="s">
        <v>3402</v>
      </c>
      <c r="Y727" s="127" t="str">
        <f>_xlfn.XLOOKUP(MasterFees[[#This Row],[Provider / Payer]],Contracts[Contract Name],Contracts[Contract ID],"No contract")</f>
        <v>CON-01</v>
      </c>
      <c r="Z727" s="127" t="str">
        <f>_xlfn.XLOOKUP(MasterFees[[#This Row],[Provider / Payer]],Contracts[Contract Name],Contracts[Pricing Basis],"To confirm")</f>
        <v>To confirm</v>
      </c>
      <c r="AA727" s="127" t="str">
        <f>IF(MasterFees[[#This Row],[Pricing Basis]]="Fixed fee schedule","Yes","No")</f>
        <v>No</v>
      </c>
      <c r="AB727" s="127" t="str">
        <f>IF(OR(MasterFees[[#This Row],[Fee Basis]]="Add-on",MasterFees[[#This Row],[Fee Basis]]="Time band",MasterFees[[#This Row],[Fee Basis]]="Other"),MasterFees[[#This Row],[Fee Basis]],"Base")</f>
        <v>Base</v>
      </c>
      <c r="AC727" s="141" t="str">
        <f>IF(MasterFees[[#This Row],[Fixed Fee?]]="Yes",MasterFees[[#This Row],[Fee Excl. GST]],"")</f>
        <v/>
      </c>
    </row>
    <row r="728" spans="1:29" x14ac:dyDescent="0.2">
      <c r="A728" s="67" t="s">
        <v>2320</v>
      </c>
      <c r="B728" s="31">
        <f>IF(MasterFees[[#This Row],[RVG Code]]="","",_xlfn.XLOOKUP(MasterFees[[#This Row],[RVG Code]],RVGCodes[Code],RVGCodes[Base Units],"Code not found"))</f>
        <v>6</v>
      </c>
      <c r="C72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2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28" s="125" t="s">
        <v>2573</v>
      </c>
      <c r="F728" s="48" t="s">
        <v>2569</v>
      </c>
      <c r="G728" s="30" t="s">
        <v>513</v>
      </c>
      <c r="H728" s="37" t="s">
        <v>1095</v>
      </c>
      <c r="I728" s="37"/>
      <c r="J728" s="37" t="s">
        <v>1096</v>
      </c>
      <c r="K728" s="32">
        <v>6.7</v>
      </c>
      <c r="L728" s="32">
        <v>8.6999999999999993</v>
      </c>
      <c r="M728" s="32">
        <v>0.4</v>
      </c>
      <c r="N728" s="32">
        <v>15.8</v>
      </c>
      <c r="O728" s="33">
        <v>867.35</v>
      </c>
      <c r="P728" s="38" t="s">
        <v>1014</v>
      </c>
      <c r="Q728" s="34" t="str">
        <f>IF(MasterFees[[#This Row],[GST Basis]]="Excl",MasterFees[[#This Row],[Fee as Printed]],IF(MasterFees[[#This Row],[GST Basis]]="Incl",MasterFees[[#This Row],[Fee as Printed]]/(1+GST_Rate),""))</f>
        <v/>
      </c>
      <c r="R728" s="34" t="str">
        <f>IF(MasterFees[[#This Row],[GST Basis]]="Incl",MasterFees[[#This Row],[Fee as Printed]],IF(MasterFees[[#This Row],[GST Basis]]="Excl",MasterFees[[#This Row],[Fee as Printed]]*(1+GST_Rate),""))</f>
        <v/>
      </c>
      <c r="S728" s="35">
        <f>IF(N(MasterFees[[#This Row],[Total Units]])=0,"",MasterFees[[#This Row],[Fee as Printed]]/MasterFees[[#This Row],[Total Units]])</f>
        <v>54.895569620253163</v>
      </c>
      <c r="T728" s="36"/>
      <c r="U728" s="39" t="s">
        <v>1012</v>
      </c>
      <c r="V728" s="39" t="s">
        <v>1608</v>
      </c>
      <c r="W728" s="30"/>
      <c r="X728" s="73" t="s">
        <v>3403</v>
      </c>
      <c r="Y728" s="127" t="str">
        <f>_xlfn.XLOOKUP(MasterFees[[#This Row],[Provider / Payer]],Contracts[Contract Name],Contracts[Contract ID],"No contract")</f>
        <v>CON-01</v>
      </c>
      <c r="Z728" s="127" t="str">
        <f>_xlfn.XLOOKUP(MasterFees[[#This Row],[Provider / Payer]],Contracts[Contract Name],Contracts[Pricing Basis],"To confirm")</f>
        <v>To confirm</v>
      </c>
      <c r="AA728" s="127" t="str">
        <f>IF(MasterFees[[#This Row],[Pricing Basis]]="Fixed fee schedule","Yes","No")</f>
        <v>No</v>
      </c>
      <c r="AB728" s="127" t="str">
        <f>IF(OR(MasterFees[[#This Row],[Fee Basis]]="Add-on",MasterFees[[#This Row],[Fee Basis]]="Time band",MasterFees[[#This Row],[Fee Basis]]="Other"),MasterFees[[#This Row],[Fee Basis]],"Base")</f>
        <v>Base</v>
      </c>
      <c r="AC728" s="141" t="str">
        <f>IF(MasterFees[[#This Row],[Fixed Fee?]]="Yes",MasterFees[[#This Row],[Fee Excl. GST]],"")</f>
        <v/>
      </c>
    </row>
    <row r="729" spans="1:29" x14ac:dyDescent="0.2">
      <c r="A729" s="67" t="s">
        <v>2315</v>
      </c>
      <c r="B729" s="31">
        <f>IF(MasterFees[[#This Row],[RVG Code]]="","",_xlfn.XLOOKUP(MasterFees[[#This Row],[RVG Code]],RVGCodes[Code],RVGCodes[Base Units],"Code not found"))</f>
        <v>5</v>
      </c>
      <c r="C72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2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29" s="125" t="s">
        <v>2607</v>
      </c>
      <c r="F729" s="48" t="s">
        <v>2567</v>
      </c>
      <c r="G729" s="30" t="s">
        <v>514</v>
      </c>
      <c r="H729" s="37" t="s">
        <v>1095</v>
      </c>
      <c r="I729" s="37"/>
      <c r="J729" s="37" t="s">
        <v>1096</v>
      </c>
      <c r="K729" s="32">
        <v>5.6</v>
      </c>
      <c r="L729" s="32">
        <v>4.2</v>
      </c>
      <c r="M729" s="32">
        <v>0.3</v>
      </c>
      <c r="N729" s="32">
        <v>10.1</v>
      </c>
      <c r="O729" s="33">
        <v>557.70000000000005</v>
      </c>
      <c r="P729" s="38" t="s">
        <v>1014</v>
      </c>
      <c r="Q729" s="34" t="str">
        <f>IF(MasterFees[[#This Row],[GST Basis]]="Excl",MasterFees[[#This Row],[Fee as Printed]],IF(MasterFees[[#This Row],[GST Basis]]="Incl",MasterFees[[#This Row],[Fee as Printed]]/(1+GST_Rate),""))</f>
        <v/>
      </c>
      <c r="R729" s="34" t="str">
        <f>IF(MasterFees[[#This Row],[GST Basis]]="Incl",MasterFees[[#This Row],[Fee as Printed]],IF(MasterFees[[#This Row],[GST Basis]]="Excl",MasterFees[[#This Row],[Fee as Printed]]*(1+GST_Rate),""))</f>
        <v/>
      </c>
      <c r="S729" s="35">
        <f>IF(N(MasterFees[[#This Row],[Total Units]])=0,"",MasterFees[[#This Row],[Fee as Printed]]/MasterFees[[#This Row],[Total Units]])</f>
        <v>55.217821782178227</v>
      </c>
      <c r="T729" s="36"/>
      <c r="U729" s="39" t="s">
        <v>1012</v>
      </c>
      <c r="V729" s="39" t="s">
        <v>1609</v>
      </c>
      <c r="W729" s="30"/>
      <c r="X729" s="73" t="s">
        <v>3404</v>
      </c>
      <c r="Y729" s="127" t="str">
        <f>_xlfn.XLOOKUP(MasterFees[[#This Row],[Provider / Payer]],Contracts[Contract Name],Contracts[Contract ID],"No contract")</f>
        <v>CON-01</v>
      </c>
      <c r="Z729" s="127" t="str">
        <f>_xlfn.XLOOKUP(MasterFees[[#This Row],[Provider / Payer]],Contracts[Contract Name],Contracts[Pricing Basis],"To confirm")</f>
        <v>To confirm</v>
      </c>
      <c r="AA729" s="127" t="str">
        <f>IF(MasterFees[[#This Row],[Pricing Basis]]="Fixed fee schedule","Yes","No")</f>
        <v>No</v>
      </c>
      <c r="AB729" s="127" t="str">
        <f>IF(OR(MasterFees[[#This Row],[Fee Basis]]="Add-on",MasterFees[[#This Row],[Fee Basis]]="Time band",MasterFees[[#This Row],[Fee Basis]]="Other"),MasterFees[[#This Row],[Fee Basis]],"Base")</f>
        <v>Base</v>
      </c>
      <c r="AC729" s="141" t="str">
        <f>IF(MasterFees[[#This Row],[Fixed Fee?]]="Yes",MasterFees[[#This Row],[Fee Excl. GST]],"")</f>
        <v/>
      </c>
    </row>
    <row r="730" spans="1:29" x14ac:dyDescent="0.2">
      <c r="A730" s="67" t="s">
        <v>2320</v>
      </c>
      <c r="B730" s="31">
        <f>IF(MasterFees[[#This Row],[RVG Code]]="","",_xlfn.XLOOKUP(MasterFees[[#This Row],[RVG Code]],RVGCodes[Code],RVGCodes[Base Units],"Code not found"))</f>
        <v>6</v>
      </c>
      <c r="C73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3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30" s="125" t="s">
        <v>2573</v>
      </c>
      <c r="F730" s="48" t="s">
        <v>2569</v>
      </c>
      <c r="G730" s="30" t="s">
        <v>515</v>
      </c>
      <c r="H730" s="37" t="s">
        <v>1095</v>
      </c>
      <c r="I730" s="37"/>
      <c r="J730" s="37" t="s">
        <v>1096</v>
      </c>
      <c r="K730" s="32">
        <v>8</v>
      </c>
      <c r="L730" s="32">
        <v>5</v>
      </c>
      <c r="M730" s="32">
        <v>0</v>
      </c>
      <c r="N730" s="32">
        <v>13</v>
      </c>
      <c r="O730" s="33">
        <v>715</v>
      </c>
      <c r="P730" s="38" t="s">
        <v>1014</v>
      </c>
      <c r="Q730" s="34" t="str">
        <f>IF(MasterFees[[#This Row],[GST Basis]]="Excl",MasterFees[[#This Row],[Fee as Printed]],IF(MasterFees[[#This Row],[GST Basis]]="Incl",MasterFees[[#This Row],[Fee as Printed]]/(1+GST_Rate),""))</f>
        <v/>
      </c>
      <c r="R730" s="34" t="str">
        <f>IF(MasterFees[[#This Row],[GST Basis]]="Incl",MasterFees[[#This Row],[Fee as Printed]],IF(MasterFees[[#This Row],[GST Basis]]="Excl",MasterFees[[#This Row],[Fee as Printed]]*(1+GST_Rate),""))</f>
        <v/>
      </c>
      <c r="S730" s="35">
        <f>IF(N(MasterFees[[#This Row],[Total Units]])=0,"",MasterFees[[#This Row],[Fee as Printed]]/MasterFees[[#This Row],[Total Units]])</f>
        <v>55</v>
      </c>
      <c r="T730" s="36"/>
      <c r="U730" s="39" t="s">
        <v>1012</v>
      </c>
      <c r="V730" s="39" t="s">
        <v>1610</v>
      </c>
      <c r="W730" s="30"/>
      <c r="X730" s="73" t="s">
        <v>3405</v>
      </c>
      <c r="Y730" s="127" t="str">
        <f>_xlfn.XLOOKUP(MasterFees[[#This Row],[Provider / Payer]],Contracts[Contract Name],Contracts[Contract ID],"No contract")</f>
        <v>CON-01</v>
      </c>
      <c r="Z730" s="127" t="str">
        <f>_xlfn.XLOOKUP(MasterFees[[#This Row],[Provider / Payer]],Contracts[Contract Name],Contracts[Pricing Basis],"To confirm")</f>
        <v>To confirm</v>
      </c>
      <c r="AA730" s="127" t="str">
        <f>IF(MasterFees[[#This Row],[Pricing Basis]]="Fixed fee schedule","Yes","No")</f>
        <v>No</v>
      </c>
      <c r="AB730" s="127" t="str">
        <f>IF(OR(MasterFees[[#This Row],[Fee Basis]]="Add-on",MasterFees[[#This Row],[Fee Basis]]="Time band",MasterFees[[#This Row],[Fee Basis]]="Other"),MasterFees[[#This Row],[Fee Basis]],"Base")</f>
        <v>Base</v>
      </c>
      <c r="AC730" s="141" t="str">
        <f>IF(MasterFees[[#This Row],[Fixed Fee?]]="Yes",MasterFees[[#This Row],[Fee Excl. GST]],"")</f>
        <v/>
      </c>
    </row>
    <row r="731" spans="1:29" x14ac:dyDescent="0.2">
      <c r="A731" s="67" t="s">
        <v>2315</v>
      </c>
      <c r="B731" s="31">
        <f>IF(MasterFees[[#This Row],[RVG Code]]="","",_xlfn.XLOOKUP(MasterFees[[#This Row],[RVG Code]],RVGCodes[Code],RVGCodes[Base Units],"Code not found"))</f>
        <v>5</v>
      </c>
      <c r="C73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3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31" s="125" t="s">
        <v>2607</v>
      </c>
      <c r="F731" s="48" t="s">
        <v>2567</v>
      </c>
      <c r="G731" s="30" t="s">
        <v>516</v>
      </c>
      <c r="H731" s="37" t="s">
        <v>1095</v>
      </c>
      <c r="I731" s="37"/>
      <c r="J731" s="37" t="s">
        <v>1096</v>
      </c>
      <c r="K731" s="32">
        <v>6</v>
      </c>
      <c r="L731" s="32">
        <v>3</v>
      </c>
      <c r="M731" s="32">
        <v>0</v>
      </c>
      <c r="N731" s="32">
        <v>9</v>
      </c>
      <c r="O731" s="33">
        <v>495</v>
      </c>
      <c r="P731" s="38" t="s">
        <v>1014</v>
      </c>
      <c r="Q731" s="34" t="str">
        <f>IF(MasterFees[[#This Row],[GST Basis]]="Excl",MasterFees[[#This Row],[Fee as Printed]],IF(MasterFees[[#This Row],[GST Basis]]="Incl",MasterFees[[#This Row],[Fee as Printed]]/(1+GST_Rate),""))</f>
        <v/>
      </c>
      <c r="R731" s="34" t="str">
        <f>IF(MasterFees[[#This Row],[GST Basis]]="Incl",MasterFees[[#This Row],[Fee as Printed]],IF(MasterFees[[#This Row],[GST Basis]]="Excl",MasterFees[[#This Row],[Fee as Printed]]*(1+GST_Rate),""))</f>
        <v/>
      </c>
      <c r="S731" s="35">
        <f>IF(N(MasterFees[[#This Row],[Total Units]])=0,"",MasterFees[[#This Row],[Fee as Printed]]/MasterFees[[#This Row],[Total Units]])</f>
        <v>55</v>
      </c>
      <c r="T731" s="36"/>
      <c r="U731" s="39" t="s">
        <v>1012</v>
      </c>
      <c r="V731" s="39" t="s">
        <v>1611</v>
      </c>
      <c r="W731" s="30"/>
      <c r="X731" s="73" t="s">
        <v>3406</v>
      </c>
      <c r="Y731" s="127" t="str">
        <f>_xlfn.XLOOKUP(MasterFees[[#This Row],[Provider / Payer]],Contracts[Contract Name],Contracts[Contract ID],"No contract")</f>
        <v>CON-01</v>
      </c>
      <c r="Z731" s="127" t="str">
        <f>_xlfn.XLOOKUP(MasterFees[[#This Row],[Provider / Payer]],Contracts[Contract Name],Contracts[Pricing Basis],"To confirm")</f>
        <v>To confirm</v>
      </c>
      <c r="AA731" s="127" t="str">
        <f>IF(MasterFees[[#This Row],[Pricing Basis]]="Fixed fee schedule","Yes","No")</f>
        <v>No</v>
      </c>
      <c r="AB731" s="127" t="str">
        <f>IF(OR(MasterFees[[#This Row],[Fee Basis]]="Add-on",MasterFees[[#This Row],[Fee Basis]]="Time band",MasterFees[[#This Row],[Fee Basis]]="Other"),MasterFees[[#This Row],[Fee Basis]],"Base")</f>
        <v>Base</v>
      </c>
      <c r="AC731" s="141" t="str">
        <f>IF(MasterFees[[#This Row],[Fixed Fee?]]="Yes",MasterFees[[#This Row],[Fee Excl. GST]],"")</f>
        <v/>
      </c>
    </row>
    <row r="732" spans="1:29" x14ac:dyDescent="0.2">
      <c r="A732" s="67" t="s">
        <v>2320</v>
      </c>
      <c r="B732" s="31">
        <f>IF(MasterFees[[#This Row],[RVG Code]]="","",_xlfn.XLOOKUP(MasterFees[[#This Row],[RVG Code]],RVGCodes[Code],RVGCodes[Base Units],"Code not found"))</f>
        <v>6</v>
      </c>
      <c r="C73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3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32" s="125" t="s">
        <v>2573</v>
      </c>
      <c r="F732" s="48" t="s">
        <v>2567</v>
      </c>
      <c r="G732" s="30" t="s">
        <v>517</v>
      </c>
      <c r="H732" s="37" t="s">
        <v>1095</v>
      </c>
      <c r="I732" s="37"/>
      <c r="J732" s="37" t="s">
        <v>1096</v>
      </c>
      <c r="K732" s="32">
        <v>6</v>
      </c>
      <c r="L732" s="32">
        <v>8</v>
      </c>
      <c r="M732" s="32">
        <v>1</v>
      </c>
      <c r="N732" s="32">
        <v>15</v>
      </c>
      <c r="O732" s="33">
        <v>825</v>
      </c>
      <c r="P732" s="38" t="s">
        <v>1014</v>
      </c>
      <c r="Q732" s="34" t="str">
        <f>IF(MasterFees[[#This Row],[GST Basis]]="Excl",MasterFees[[#This Row],[Fee as Printed]],IF(MasterFees[[#This Row],[GST Basis]]="Incl",MasterFees[[#This Row],[Fee as Printed]]/(1+GST_Rate),""))</f>
        <v/>
      </c>
      <c r="R732" s="34" t="str">
        <f>IF(MasterFees[[#This Row],[GST Basis]]="Incl",MasterFees[[#This Row],[Fee as Printed]],IF(MasterFees[[#This Row],[GST Basis]]="Excl",MasterFees[[#This Row],[Fee as Printed]]*(1+GST_Rate),""))</f>
        <v/>
      </c>
      <c r="S732" s="35">
        <f>IF(N(MasterFees[[#This Row],[Total Units]])=0,"",MasterFees[[#This Row],[Fee as Printed]]/MasterFees[[#This Row],[Total Units]])</f>
        <v>55</v>
      </c>
      <c r="T732" s="36"/>
      <c r="U732" s="39" t="s">
        <v>1012</v>
      </c>
      <c r="V732" s="39" t="s">
        <v>1612</v>
      </c>
      <c r="W732" s="30"/>
      <c r="X732" s="73" t="s">
        <v>3407</v>
      </c>
      <c r="Y732" s="127" t="str">
        <f>_xlfn.XLOOKUP(MasterFees[[#This Row],[Provider / Payer]],Contracts[Contract Name],Contracts[Contract ID],"No contract")</f>
        <v>CON-01</v>
      </c>
      <c r="Z732" s="127" t="str">
        <f>_xlfn.XLOOKUP(MasterFees[[#This Row],[Provider / Payer]],Contracts[Contract Name],Contracts[Pricing Basis],"To confirm")</f>
        <v>To confirm</v>
      </c>
      <c r="AA732" s="127" t="str">
        <f>IF(MasterFees[[#This Row],[Pricing Basis]]="Fixed fee schedule","Yes","No")</f>
        <v>No</v>
      </c>
      <c r="AB732" s="127" t="str">
        <f>IF(OR(MasterFees[[#This Row],[Fee Basis]]="Add-on",MasterFees[[#This Row],[Fee Basis]]="Time band",MasterFees[[#This Row],[Fee Basis]]="Other"),MasterFees[[#This Row],[Fee Basis]],"Base")</f>
        <v>Base</v>
      </c>
      <c r="AC732" s="141" t="str">
        <f>IF(MasterFees[[#This Row],[Fixed Fee?]]="Yes",MasterFees[[#This Row],[Fee Excl. GST]],"")</f>
        <v/>
      </c>
    </row>
    <row r="733" spans="1:29" x14ac:dyDescent="0.2">
      <c r="A733" s="67" t="s">
        <v>2324</v>
      </c>
      <c r="B733" s="31">
        <f>IF(MasterFees[[#This Row],[RVG Code]]="","",_xlfn.XLOOKUP(MasterFees[[#This Row],[RVG Code]],RVGCodes[Code],RVGCodes[Base Units],"Code not found"))</f>
        <v>8</v>
      </c>
      <c r="C73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3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33" s="125" t="s">
        <v>2575</v>
      </c>
      <c r="F733" s="48" t="s">
        <v>2567</v>
      </c>
      <c r="G733" s="30" t="s">
        <v>518</v>
      </c>
      <c r="H733" s="37" t="s">
        <v>1095</v>
      </c>
      <c r="I733" s="37"/>
      <c r="J733" s="37" t="s">
        <v>1096</v>
      </c>
      <c r="K733" s="32">
        <v>6.5</v>
      </c>
      <c r="L733" s="32">
        <v>7.6</v>
      </c>
      <c r="M733" s="32">
        <v>1.1000000000000001</v>
      </c>
      <c r="N733" s="32">
        <v>15.3</v>
      </c>
      <c r="O733" s="33">
        <v>839.3</v>
      </c>
      <c r="P733" s="38" t="s">
        <v>1014</v>
      </c>
      <c r="Q733" s="34" t="str">
        <f>IF(MasterFees[[#This Row],[GST Basis]]="Excl",MasterFees[[#This Row],[Fee as Printed]],IF(MasterFees[[#This Row],[GST Basis]]="Incl",MasterFees[[#This Row],[Fee as Printed]]/(1+GST_Rate),""))</f>
        <v/>
      </c>
      <c r="R733" s="34" t="str">
        <f>IF(MasterFees[[#This Row],[GST Basis]]="Incl",MasterFees[[#This Row],[Fee as Printed]],IF(MasterFees[[#This Row],[GST Basis]]="Excl",MasterFees[[#This Row],[Fee as Printed]]*(1+GST_Rate),""))</f>
        <v/>
      </c>
      <c r="S733" s="35">
        <f>IF(N(MasterFees[[#This Row],[Total Units]])=0,"",MasterFees[[#This Row],[Fee as Printed]]/MasterFees[[#This Row],[Total Units]])</f>
        <v>54.856209150326791</v>
      </c>
      <c r="T733" s="36"/>
      <c r="U733" s="39" t="s">
        <v>1012</v>
      </c>
      <c r="V733" s="39" t="s">
        <v>1613</v>
      </c>
      <c r="W733" s="30"/>
      <c r="X733" s="73" t="s">
        <v>3408</v>
      </c>
      <c r="Y733" s="127" t="str">
        <f>_xlfn.XLOOKUP(MasterFees[[#This Row],[Provider / Payer]],Contracts[Contract Name],Contracts[Contract ID],"No contract")</f>
        <v>CON-01</v>
      </c>
      <c r="Z733" s="127" t="str">
        <f>_xlfn.XLOOKUP(MasterFees[[#This Row],[Provider / Payer]],Contracts[Contract Name],Contracts[Pricing Basis],"To confirm")</f>
        <v>To confirm</v>
      </c>
      <c r="AA733" s="127" t="str">
        <f>IF(MasterFees[[#This Row],[Pricing Basis]]="Fixed fee schedule","Yes","No")</f>
        <v>No</v>
      </c>
      <c r="AB733" s="127" t="str">
        <f>IF(OR(MasterFees[[#This Row],[Fee Basis]]="Add-on",MasterFees[[#This Row],[Fee Basis]]="Time band",MasterFees[[#This Row],[Fee Basis]]="Other"),MasterFees[[#This Row],[Fee Basis]],"Base")</f>
        <v>Base</v>
      </c>
      <c r="AC733" s="141" t="str">
        <f>IF(MasterFees[[#This Row],[Fixed Fee?]]="Yes",MasterFees[[#This Row],[Fee Excl. GST]],"")</f>
        <v/>
      </c>
    </row>
    <row r="734" spans="1:29" x14ac:dyDescent="0.2">
      <c r="A734" s="67" t="s">
        <v>2318</v>
      </c>
      <c r="B734" s="31">
        <f>IF(MasterFees[[#This Row],[RVG Code]]="","",_xlfn.XLOOKUP(MasterFees[[#This Row],[RVG Code]],RVGCodes[Code],RVGCodes[Base Units],"Code not found"))</f>
        <v>6</v>
      </c>
      <c r="C73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3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34" s="125" t="s">
        <v>2615</v>
      </c>
      <c r="F734" s="48" t="s">
        <v>2567</v>
      </c>
      <c r="G734" s="30" t="s">
        <v>519</v>
      </c>
      <c r="H734" s="37" t="s">
        <v>1095</v>
      </c>
      <c r="I734" s="37"/>
      <c r="J734" s="37" t="s">
        <v>1096</v>
      </c>
      <c r="K734" s="32">
        <v>6</v>
      </c>
      <c r="L734" s="32">
        <v>6</v>
      </c>
      <c r="M734" s="32">
        <v>0</v>
      </c>
      <c r="N734" s="32">
        <v>12</v>
      </c>
      <c r="O734" s="33">
        <v>660</v>
      </c>
      <c r="P734" s="38" t="s">
        <v>1014</v>
      </c>
      <c r="Q734" s="34" t="str">
        <f>IF(MasterFees[[#This Row],[GST Basis]]="Excl",MasterFees[[#This Row],[Fee as Printed]],IF(MasterFees[[#This Row],[GST Basis]]="Incl",MasterFees[[#This Row],[Fee as Printed]]/(1+GST_Rate),""))</f>
        <v/>
      </c>
      <c r="R734" s="34" t="str">
        <f>IF(MasterFees[[#This Row],[GST Basis]]="Incl",MasterFees[[#This Row],[Fee as Printed]],IF(MasterFees[[#This Row],[GST Basis]]="Excl",MasterFees[[#This Row],[Fee as Printed]]*(1+GST_Rate),""))</f>
        <v/>
      </c>
      <c r="S734" s="35">
        <f>IF(N(MasterFees[[#This Row],[Total Units]])=0,"",MasterFees[[#This Row],[Fee as Printed]]/MasterFees[[#This Row],[Total Units]])</f>
        <v>55</v>
      </c>
      <c r="T734" s="36"/>
      <c r="U734" s="39" t="s">
        <v>1012</v>
      </c>
      <c r="V734" s="39" t="s">
        <v>1614</v>
      </c>
      <c r="W734" s="30"/>
      <c r="X734" s="73" t="s">
        <v>3409</v>
      </c>
      <c r="Y734" s="127" t="str">
        <f>_xlfn.XLOOKUP(MasterFees[[#This Row],[Provider / Payer]],Contracts[Contract Name],Contracts[Contract ID],"No contract")</f>
        <v>CON-01</v>
      </c>
      <c r="Z734" s="127" t="str">
        <f>_xlfn.XLOOKUP(MasterFees[[#This Row],[Provider / Payer]],Contracts[Contract Name],Contracts[Pricing Basis],"To confirm")</f>
        <v>To confirm</v>
      </c>
      <c r="AA734" s="127" t="str">
        <f>IF(MasterFees[[#This Row],[Pricing Basis]]="Fixed fee schedule","Yes","No")</f>
        <v>No</v>
      </c>
      <c r="AB734" s="127" t="str">
        <f>IF(OR(MasterFees[[#This Row],[Fee Basis]]="Add-on",MasterFees[[#This Row],[Fee Basis]]="Time band",MasterFees[[#This Row],[Fee Basis]]="Other"),MasterFees[[#This Row],[Fee Basis]],"Base")</f>
        <v>Base</v>
      </c>
      <c r="AC734" s="141" t="str">
        <f>IF(MasterFees[[#This Row],[Fixed Fee?]]="Yes",MasterFees[[#This Row],[Fee Excl. GST]],"")</f>
        <v/>
      </c>
    </row>
    <row r="735" spans="1:29" x14ac:dyDescent="0.2">
      <c r="A735" s="67" t="s">
        <v>2320</v>
      </c>
      <c r="B735" s="31">
        <f>IF(MasterFees[[#This Row],[RVG Code]]="","",_xlfn.XLOOKUP(MasterFees[[#This Row],[RVG Code]],RVGCodes[Code],RVGCodes[Base Units],"Code not found"))</f>
        <v>6</v>
      </c>
      <c r="C73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3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35" s="125" t="s">
        <v>2573</v>
      </c>
      <c r="F735" s="48" t="s">
        <v>2569</v>
      </c>
      <c r="G735" s="30" t="s">
        <v>522</v>
      </c>
      <c r="H735" s="37" t="s">
        <v>1095</v>
      </c>
      <c r="I735" s="37"/>
      <c r="J735" s="37" t="s">
        <v>1096</v>
      </c>
      <c r="K735" s="32">
        <v>6.1</v>
      </c>
      <c r="L735" s="32">
        <v>7.7</v>
      </c>
      <c r="M735" s="32">
        <v>0.5</v>
      </c>
      <c r="N735" s="32">
        <v>14.3</v>
      </c>
      <c r="O735" s="33">
        <v>785.4</v>
      </c>
      <c r="P735" s="38" t="s">
        <v>1014</v>
      </c>
      <c r="Q735" s="34" t="str">
        <f>IF(MasterFees[[#This Row],[GST Basis]]="Excl",MasterFees[[#This Row],[Fee as Printed]],IF(MasterFees[[#This Row],[GST Basis]]="Incl",MasterFees[[#This Row],[Fee as Printed]]/(1+GST_Rate),""))</f>
        <v/>
      </c>
      <c r="R735" s="34" t="str">
        <f>IF(MasterFees[[#This Row],[GST Basis]]="Incl",MasterFees[[#This Row],[Fee as Printed]],IF(MasterFees[[#This Row],[GST Basis]]="Excl",MasterFees[[#This Row],[Fee as Printed]]*(1+GST_Rate),""))</f>
        <v/>
      </c>
      <c r="S735" s="35">
        <f>IF(N(MasterFees[[#This Row],[Total Units]])=0,"",MasterFees[[#This Row],[Fee as Printed]]/MasterFees[[#This Row],[Total Units]])</f>
        <v>54.92307692307692</v>
      </c>
      <c r="T735" s="36"/>
      <c r="U735" s="39" t="s">
        <v>1012</v>
      </c>
      <c r="V735" s="39" t="s">
        <v>1617</v>
      </c>
      <c r="W735" s="30"/>
      <c r="X735" s="73" t="s">
        <v>3413</v>
      </c>
      <c r="Y735" s="127" t="str">
        <f>_xlfn.XLOOKUP(MasterFees[[#This Row],[Provider / Payer]],Contracts[Contract Name],Contracts[Contract ID],"No contract")</f>
        <v>CON-01</v>
      </c>
      <c r="Z735" s="127" t="str">
        <f>_xlfn.XLOOKUP(MasterFees[[#This Row],[Provider / Payer]],Contracts[Contract Name],Contracts[Pricing Basis],"To confirm")</f>
        <v>To confirm</v>
      </c>
      <c r="AA735" s="127" t="str">
        <f>IF(MasterFees[[#This Row],[Pricing Basis]]="Fixed fee schedule","Yes","No")</f>
        <v>No</v>
      </c>
      <c r="AB735" s="127" t="str">
        <f>IF(OR(MasterFees[[#This Row],[Fee Basis]]="Add-on",MasterFees[[#This Row],[Fee Basis]]="Time band",MasterFees[[#This Row],[Fee Basis]]="Other"),MasterFees[[#This Row],[Fee Basis]],"Base")</f>
        <v>Base</v>
      </c>
      <c r="AC735" s="141" t="str">
        <f>IF(MasterFees[[#This Row],[Fixed Fee?]]="Yes",MasterFees[[#This Row],[Fee Excl. GST]],"")</f>
        <v/>
      </c>
    </row>
    <row r="736" spans="1:29" x14ac:dyDescent="0.2">
      <c r="A736" s="67" t="s">
        <v>2315</v>
      </c>
      <c r="B736" s="31">
        <f>IF(MasterFees[[#This Row],[RVG Code]]="","",_xlfn.XLOOKUP(MasterFees[[#This Row],[RVG Code]],RVGCodes[Code],RVGCodes[Base Units],"Code not found"))</f>
        <v>5</v>
      </c>
      <c r="C73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3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36" s="125" t="s">
        <v>2607</v>
      </c>
      <c r="F736" s="48" t="s">
        <v>2569</v>
      </c>
      <c r="G736" s="30" t="s">
        <v>562</v>
      </c>
      <c r="H736" s="37" t="s">
        <v>1095</v>
      </c>
      <c r="I736" s="37"/>
      <c r="J736" s="37" t="s">
        <v>1096</v>
      </c>
      <c r="K736" s="32">
        <v>4.5</v>
      </c>
      <c r="L736" s="32">
        <v>4.8</v>
      </c>
      <c r="M736" s="32">
        <v>0.9</v>
      </c>
      <c r="N736" s="32">
        <v>10.199999999999999</v>
      </c>
      <c r="O736" s="33">
        <v>559.9</v>
      </c>
      <c r="P736" s="38" t="s">
        <v>1014</v>
      </c>
      <c r="Q736" s="34" t="str">
        <f>IF(MasterFees[[#This Row],[GST Basis]]="Excl",MasterFees[[#This Row],[Fee as Printed]],IF(MasterFees[[#This Row],[GST Basis]]="Incl",MasterFees[[#This Row],[Fee as Printed]]/(1+GST_Rate),""))</f>
        <v/>
      </c>
      <c r="R736" s="34" t="str">
        <f>IF(MasterFees[[#This Row],[GST Basis]]="Incl",MasterFees[[#This Row],[Fee as Printed]],IF(MasterFees[[#This Row],[GST Basis]]="Excl",MasterFees[[#This Row],[Fee as Printed]]*(1+GST_Rate),""))</f>
        <v/>
      </c>
      <c r="S736" s="35">
        <f>IF(N(MasterFees[[#This Row],[Total Units]])=0,"",MasterFees[[#This Row],[Fee as Printed]]/MasterFees[[#This Row],[Total Units]])</f>
        <v>54.892156862745097</v>
      </c>
      <c r="T736" s="36"/>
      <c r="U736" s="39" t="s">
        <v>1012</v>
      </c>
      <c r="V736" s="39" t="s">
        <v>1658</v>
      </c>
      <c r="W736" s="30"/>
      <c r="X736" s="73" t="s">
        <v>3455</v>
      </c>
      <c r="Y736" s="127" t="str">
        <f>_xlfn.XLOOKUP(MasterFees[[#This Row],[Provider / Payer]],Contracts[Contract Name],Contracts[Contract ID],"No contract")</f>
        <v>CON-01</v>
      </c>
      <c r="Z736" s="127" t="str">
        <f>_xlfn.XLOOKUP(MasterFees[[#This Row],[Provider / Payer]],Contracts[Contract Name],Contracts[Pricing Basis],"To confirm")</f>
        <v>To confirm</v>
      </c>
      <c r="AA736" s="127" t="str">
        <f>IF(MasterFees[[#This Row],[Pricing Basis]]="Fixed fee schedule","Yes","No")</f>
        <v>No</v>
      </c>
      <c r="AB736" s="127" t="str">
        <f>IF(OR(MasterFees[[#This Row],[Fee Basis]]="Add-on",MasterFees[[#This Row],[Fee Basis]]="Time band",MasterFees[[#This Row],[Fee Basis]]="Other"),MasterFees[[#This Row],[Fee Basis]],"Base")</f>
        <v>Base</v>
      </c>
      <c r="AC736" s="141" t="str">
        <f>IF(MasterFees[[#This Row],[Fixed Fee?]]="Yes",MasterFees[[#This Row],[Fee Excl. GST]],"")</f>
        <v/>
      </c>
    </row>
    <row r="737" spans="1:29" x14ac:dyDescent="0.2">
      <c r="A737" s="67" t="s">
        <v>2315</v>
      </c>
      <c r="B737" s="31">
        <f>IF(MasterFees[[#This Row],[RVG Code]]="","",_xlfn.XLOOKUP(MasterFees[[#This Row],[RVG Code]],RVGCodes[Code],RVGCodes[Base Units],"Code not found"))</f>
        <v>5</v>
      </c>
      <c r="C73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3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37" s="125" t="s">
        <v>2607</v>
      </c>
      <c r="F737" s="48" t="s">
        <v>2569</v>
      </c>
      <c r="G737" s="30" t="s">
        <v>578</v>
      </c>
      <c r="H737" s="37" t="s">
        <v>1095</v>
      </c>
      <c r="I737" s="37"/>
      <c r="J737" s="37" t="s">
        <v>1096</v>
      </c>
      <c r="K737" s="32">
        <v>5</v>
      </c>
      <c r="L737" s="32">
        <v>5</v>
      </c>
      <c r="M737" s="32">
        <v>0</v>
      </c>
      <c r="N737" s="32">
        <v>10</v>
      </c>
      <c r="O737" s="33">
        <v>550</v>
      </c>
      <c r="P737" s="38" t="s">
        <v>1014</v>
      </c>
      <c r="Q737" s="34" t="str">
        <f>IF(MasterFees[[#This Row],[GST Basis]]="Excl",MasterFees[[#This Row],[Fee as Printed]],IF(MasterFees[[#This Row],[GST Basis]]="Incl",MasterFees[[#This Row],[Fee as Printed]]/(1+GST_Rate),""))</f>
        <v/>
      </c>
      <c r="R737" s="34" t="str">
        <f>IF(MasterFees[[#This Row],[GST Basis]]="Incl",MasterFees[[#This Row],[Fee as Printed]],IF(MasterFees[[#This Row],[GST Basis]]="Excl",MasterFees[[#This Row],[Fee as Printed]]*(1+GST_Rate),""))</f>
        <v/>
      </c>
      <c r="S737" s="35">
        <f>IF(N(MasterFees[[#This Row],[Total Units]])=0,"",MasterFees[[#This Row],[Fee as Printed]]/MasterFees[[#This Row],[Total Units]])</f>
        <v>55</v>
      </c>
      <c r="T737" s="36"/>
      <c r="U737" s="39" t="s">
        <v>1012</v>
      </c>
      <c r="V737" s="39" t="s">
        <v>1674</v>
      </c>
      <c r="W737" s="30"/>
      <c r="X737" s="73" t="s">
        <v>3471</v>
      </c>
      <c r="Y737" s="127" t="str">
        <f>_xlfn.XLOOKUP(MasterFees[[#This Row],[Provider / Payer]],Contracts[Contract Name],Contracts[Contract ID],"No contract")</f>
        <v>CON-01</v>
      </c>
      <c r="Z737" s="127" t="str">
        <f>_xlfn.XLOOKUP(MasterFees[[#This Row],[Provider / Payer]],Contracts[Contract Name],Contracts[Pricing Basis],"To confirm")</f>
        <v>To confirm</v>
      </c>
      <c r="AA737" s="127" t="str">
        <f>IF(MasterFees[[#This Row],[Pricing Basis]]="Fixed fee schedule","Yes","No")</f>
        <v>No</v>
      </c>
      <c r="AB737" s="127" t="str">
        <f>IF(OR(MasterFees[[#This Row],[Fee Basis]]="Add-on",MasterFees[[#This Row],[Fee Basis]]="Time band",MasterFees[[#This Row],[Fee Basis]]="Other"),MasterFees[[#This Row],[Fee Basis]],"Base")</f>
        <v>Base</v>
      </c>
      <c r="AC737" s="141" t="str">
        <f>IF(MasterFees[[#This Row],[Fixed Fee?]]="Yes",MasterFees[[#This Row],[Fee Excl. GST]],"")</f>
        <v/>
      </c>
    </row>
    <row r="738" spans="1:29" x14ac:dyDescent="0.2">
      <c r="A738" s="67" t="s">
        <v>2315</v>
      </c>
      <c r="B738" s="31">
        <f>IF(MasterFees[[#This Row],[RVG Code]]="","",_xlfn.XLOOKUP(MasterFees[[#This Row],[RVG Code]],RVGCodes[Code],RVGCodes[Base Units],"Code not found"))</f>
        <v>5</v>
      </c>
      <c r="C73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3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38" s="125" t="s">
        <v>2607</v>
      </c>
      <c r="F738" s="48" t="s">
        <v>2569</v>
      </c>
      <c r="G738" s="30" t="s">
        <v>579</v>
      </c>
      <c r="H738" s="37" t="s">
        <v>1095</v>
      </c>
      <c r="I738" s="37"/>
      <c r="J738" s="37" t="s">
        <v>1096</v>
      </c>
      <c r="K738" s="32">
        <v>0</v>
      </c>
      <c r="L738" s="32">
        <v>0</v>
      </c>
      <c r="M738" s="32">
        <v>0</v>
      </c>
      <c r="N738" s="32">
        <v>0</v>
      </c>
      <c r="O738" s="33">
        <v>0</v>
      </c>
      <c r="P738" s="38" t="s">
        <v>1014</v>
      </c>
      <c r="Q738" s="34" t="str">
        <f>IF(MasterFees[[#This Row],[GST Basis]]="Excl",MasterFees[[#This Row],[Fee as Printed]],IF(MasterFees[[#This Row],[GST Basis]]="Incl",MasterFees[[#This Row],[Fee as Printed]]/(1+GST_Rate),""))</f>
        <v/>
      </c>
      <c r="R738" s="34" t="str">
        <f>IF(MasterFees[[#This Row],[GST Basis]]="Incl",MasterFees[[#This Row],[Fee as Printed]],IF(MasterFees[[#This Row],[GST Basis]]="Excl",MasterFees[[#This Row],[Fee as Printed]]*(1+GST_Rate),""))</f>
        <v/>
      </c>
      <c r="S738" s="35" t="str">
        <f>IF(N(MasterFees[[#This Row],[Total Units]])=0,"",MasterFees[[#This Row],[Fee as Printed]]/MasterFees[[#This Row],[Total Units]])</f>
        <v/>
      </c>
      <c r="T738" s="36"/>
      <c r="U738" s="39" t="s">
        <v>1012</v>
      </c>
      <c r="V738" s="39" t="s">
        <v>1675</v>
      </c>
      <c r="W738" s="30"/>
      <c r="X738" s="73" t="s">
        <v>3472</v>
      </c>
      <c r="Y738" s="127" t="str">
        <f>_xlfn.XLOOKUP(MasterFees[[#This Row],[Provider / Payer]],Contracts[Contract Name],Contracts[Contract ID],"No contract")</f>
        <v>CON-01</v>
      </c>
      <c r="Z738" s="127" t="str">
        <f>_xlfn.XLOOKUP(MasterFees[[#This Row],[Provider / Payer]],Contracts[Contract Name],Contracts[Pricing Basis],"To confirm")</f>
        <v>To confirm</v>
      </c>
      <c r="AA738" s="127" t="str">
        <f>IF(MasterFees[[#This Row],[Pricing Basis]]="Fixed fee schedule","Yes","No")</f>
        <v>No</v>
      </c>
      <c r="AB738" s="127" t="str">
        <f>IF(OR(MasterFees[[#This Row],[Fee Basis]]="Add-on",MasterFees[[#This Row],[Fee Basis]]="Time band",MasterFees[[#This Row],[Fee Basis]]="Other"),MasterFees[[#This Row],[Fee Basis]],"Base")</f>
        <v>Base</v>
      </c>
      <c r="AC738" s="141" t="str">
        <f>IF(MasterFees[[#This Row],[Fixed Fee?]]="Yes",MasterFees[[#This Row],[Fee Excl. GST]],"")</f>
        <v/>
      </c>
    </row>
    <row r="739" spans="1:29" x14ac:dyDescent="0.2">
      <c r="A739" s="67" t="s">
        <v>2315</v>
      </c>
      <c r="B739" s="31">
        <f>IF(MasterFees[[#This Row],[RVG Code]]="","",_xlfn.XLOOKUP(MasterFees[[#This Row],[RVG Code]],RVGCodes[Code],RVGCodes[Base Units],"Code not found"))</f>
        <v>5</v>
      </c>
      <c r="C73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3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39" s="125" t="s">
        <v>2607</v>
      </c>
      <c r="F739" s="48" t="s">
        <v>2569</v>
      </c>
      <c r="G739" s="30" t="s">
        <v>607</v>
      </c>
      <c r="H739" s="37" t="s">
        <v>1095</v>
      </c>
      <c r="I739" s="37"/>
      <c r="J739" s="37" t="s">
        <v>1096</v>
      </c>
      <c r="K739" s="32">
        <v>3.7</v>
      </c>
      <c r="L739" s="32">
        <v>3.3</v>
      </c>
      <c r="M739" s="32">
        <v>0.3</v>
      </c>
      <c r="N739" s="32">
        <v>7.3</v>
      </c>
      <c r="O739" s="33">
        <v>402.6</v>
      </c>
      <c r="P739" s="38" t="s">
        <v>1014</v>
      </c>
      <c r="Q739" s="34" t="str">
        <f>IF(MasterFees[[#This Row],[GST Basis]]="Excl",MasterFees[[#This Row],[Fee as Printed]],IF(MasterFees[[#This Row],[GST Basis]]="Incl",MasterFees[[#This Row],[Fee as Printed]]/(1+GST_Rate),""))</f>
        <v/>
      </c>
      <c r="R739" s="34" t="str">
        <f>IF(MasterFees[[#This Row],[GST Basis]]="Incl",MasterFees[[#This Row],[Fee as Printed]],IF(MasterFees[[#This Row],[GST Basis]]="Excl",MasterFees[[#This Row],[Fee as Printed]]*(1+GST_Rate),""))</f>
        <v/>
      </c>
      <c r="S739" s="35">
        <f>IF(N(MasterFees[[#This Row],[Total Units]])=0,"",MasterFees[[#This Row],[Fee as Printed]]/MasterFees[[#This Row],[Total Units]])</f>
        <v>55.150684931506852</v>
      </c>
      <c r="T739" s="36"/>
      <c r="U739" s="39" t="s">
        <v>1012</v>
      </c>
      <c r="V739" s="39" t="s">
        <v>1704</v>
      </c>
      <c r="W739" s="30"/>
      <c r="X739" s="73" t="s">
        <v>3501</v>
      </c>
      <c r="Y739" s="127" t="str">
        <f>_xlfn.XLOOKUP(MasterFees[[#This Row],[Provider / Payer]],Contracts[Contract Name],Contracts[Contract ID],"No contract")</f>
        <v>CON-01</v>
      </c>
      <c r="Z739" s="127" t="str">
        <f>_xlfn.XLOOKUP(MasterFees[[#This Row],[Provider / Payer]],Contracts[Contract Name],Contracts[Pricing Basis],"To confirm")</f>
        <v>To confirm</v>
      </c>
      <c r="AA739" s="127" t="str">
        <f>IF(MasterFees[[#This Row],[Pricing Basis]]="Fixed fee schedule","Yes","No")</f>
        <v>No</v>
      </c>
      <c r="AB739" s="127" t="str">
        <f>IF(OR(MasterFees[[#This Row],[Fee Basis]]="Add-on",MasterFees[[#This Row],[Fee Basis]]="Time band",MasterFees[[#This Row],[Fee Basis]]="Other"),MasterFees[[#This Row],[Fee Basis]],"Base")</f>
        <v>Base</v>
      </c>
      <c r="AC739" s="141" t="str">
        <f>IF(MasterFees[[#This Row],[Fixed Fee?]]="Yes",MasterFees[[#This Row],[Fee Excl. GST]],"")</f>
        <v/>
      </c>
    </row>
    <row r="740" spans="1:29" x14ac:dyDescent="0.2">
      <c r="A740" s="67" t="s">
        <v>2324</v>
      </c>
      <c r="B740" s="31">
        <f>IF(MasterFees[[#This Row],[RVG Code]]="","",_xlfn.XLOOKUP(MasterFees[[#This Row],[RVG Code]],RVGCodes[Code],RVGCodes[Base Units],"Code not found"))</f>
        <v>8</v>
      </c>
      <c r="C74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4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40" s="125" t="s">
        <v>2575</v>
      </c>
      <c r="F740" s="48" t="s">
        <v>2569</v>
      </c>
      <c r="G740" s="30" t="s">
        <v>610</v>
      </c>
      <c r="H740" s="37" t="s">
        <v>1095</v>
      </c>
      <c r="I740" s="37"/>
      <c r="J740" s="37" t="s">
        <v>1096</v>
      </c>
      <c r="K740" s="32">
        <v>8</v>
      </c>
      <c r="L740" s="32">
        <v>13</v>
      </c>
      <c r="M740" s="32">
        <v>0</v>
      </c>
      <c r="N740" s="32">
        <v>21</v>
      </c>
      <c r="O740" s="33">
        <v>1155</v>
      </c>
      <c r="P740" s="38" t="s">
        <v>1014</v>
      </c>
      <c r="Q740" s="34" t="str">
        <f>IF(MasterFees[[#This Row],[GST Basis]]="Excl",MasterFees[[#This Row],[Fee as Printed]],IF(MasterFees[[#This Row],[GST Basis]]="Incl",MasterFees[[#This Row],[Fee as Printed]]/(1+GST_Rate),""))</f>
        <v/>
      </c>
      <c r="R740" s="34" t="str">
        <f>IF(MasterFees[[#This Row],[GST Basis]]="Incl",MasterFees[[#This Row],[Fee as Printed]],IF(MasterFees[[#This Row],[GST Basis]]="Excl",MasterFees[[#This Row],[Fee as Printed]]*(1+GST_Rate),""))</f>
        <v/>
      </c>
      <c r="S740" s="35">
        <f>IF(N(MasterFees[[#This Row],[Total Units]])=0,"",MasterFees[[#This Row],[Fee as Printed]]/MasterFees[[#This Row],[Total Units]])</f>
        <v>55</v>
      </c>
      <c r="T740" s="36"/>
      <c r="U740" s="39" t="s">
        <v>1012</v>
      </c>
      <c r="V740" s="39" t="s">
        <v>1707</v>
      </c>
      <c r="W740" s="30"/>
      <c r="X740" s="73" t="s">
        <v>3504</v>
      </c>
      <c r="Y740" s="127" t="str">
        <f>_xlfn.XLOOKUP(MasterFees[[#This Row],[Provider / Payer]],Contracts[Contract Name],Contracts[Contract ID],"No contract")</f>
        <v>CON-01</v>
      </c>
      <c r="Z740" s="127" t="str">
        <f>_xlfn.XLOOKUP(MasterFees[[#This Row],[Provider / Payer]],Contracts[Contract Name],Contracts[Pricing Basis],"To confirm")</f>
        <v>To confirm</v>
      </c>
      <c r="AA740" s="127" t="str">
        <f>IF(MasterFees[[#This Row],[Pricing Basis]]="Fixed fee schedule","Yes","No")</f>
        <v>No</v>
      </c>
      <c r="AB740" s="127" t="str">
        <f>IF(OR(MasterFees[[#This Row],[Fee Basis]]="Add-on",MasterFees[[#This Row],[Fee Basis]]="Time band",MasterFees[[#This Row],[Fee Basis]]="Other"),MasterFees[[#This Row],[Fee Basis]],"Base")</f>
        <v>Base</v>
      </c>
      <c r="AC740" s="141" t="str">
        <f>IF(MasterFees[[#This Row],[Fixed Fee?]]="Yes",MasterFees[[#This Row],[Fee Excl. GST]],"")</f>
        <v/>
      </c>
    </row>
    <row r="741" spans="1:29" x14ac:dyDescent="0.2">
      <c r="A741" s="67" t="s">
        <v>2324</v>
      </c>
      <c r="B741" s="31">
        <f>IF(MasterFees[[#This Row],[RVG Code]]="","",_xlfn.XLOOKUP(MasterFees[[#This Row],[RVG Code]],RVGCodes[Code],RVGCodes[Base Units],"Code not found"))</f>
        <v>8</v>
      </c>
      <c r="C74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4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41" s="125" t="s">
        <v>2575</v>
      </c>
      <c r="F741" s="48" t="s">
        <v>2567</v>
      </c>
      <c r="G741" s="30" t="s">
        <v>612</v>
      </c>
      <c r="H741" s="37" t="s">
        <v>1095</v>
      </c>
      <c r="I741" s="37"/>
      <c r="J741" s="37" t="s">
        <v>1096</v>
      </c>
      <c r="K741" s="32">
        <v>5.0999999999999996</v>
      </c>
      <c r="L741" s="32">
        <v>8.5</v>
      </c>
      <c r="M741" s="32">
        <v>0.9</v>
      </c>
      <c r="N741" s="32">
        <v>14.5</v>
      </c>
      <c r="O741" s="33">
        <v>796.95</v>
      </c>
      <c r="P741" s="38" t="s">
        <v>1014</v>
      </c>
      <c r="Q741" s="34" t="str">
        <f>IF(MasterFees[[#This Row],[GST Basis]]="Excl",MasterFees[[#This Row],[Fee as Printed]],IF(MasterFees[[#This Row],[GST Basis]]="Incl",MasterFees[[#This Row],[Fee as Printed]]/(1+GST_Rate),""))</f>
        <v/>
      </c>
      <c r="R741" s="34" t="str">
        <f>IF(MasterFees[[#This Row],[GST Basis]]="Incl",MasterFees[[#This Row],[Fee as Printed]],IF(MasterFees[[#This Row],[GST Basis]]="Excl",MasterFees[[#This Row],[Fee as Printed]]*(1+GST_Rate),""))</f>
        <v/>
      </c>
      <c r="S741" s="35">
        <f>IF(N(MasterFees[[#This Row],[Total Units]])=0,"",MasterFees[[#This Row],[Fee as Printed]]/MasterFees[[#This Row],[Total Units]])</f>
        <v>54.962068965517247</v>
      </c>
      <c r="T741" s="36"/>
      <c r="U741" s="39" t="s">
        <v>1012</v>
      </c>
      <c r="V741" s="39" t="s">
        <v>1709</v>
      </c>
      <c r="W741" s="30"/>
      <c r="X741" s="73" t="s">
        <v>3506</v>
      </c>
      <c r="Y741" s="127" t="str">
        <f>_xlfn.XLOOKUP(MasterFees[[#This Row],[Provider / Payer]],Contracts[Contract Name],Contracts[Contract ID],"No contract")</f>
        <v>CON-01</v>
      </c>
      <c r="Z741" s="127" t="str">
        <f>_xlfn.XLOOKUP(MasterFees[[#This Row],[Provider / Payer]],Contracts[Contract Name],Contracts[Pricing Basis],"To confirm")</f>
        <v>To confirm</v>
      </c>
      <c r="AA741" s="127" t="str">
        <f>IF(MasterFees[[#This Row],[Pricing Basis]]="Fixed fee schedule","Yes","No")</f>
        <v>No</v>
      </c>
      <c r="AB741" s="127" t="str">
        <f>IF(OR(MasterFees[[#This Row],[Fee Basis]]="Add-on",MasterFees[[#This Row],[Fee Basis]]="Time band",MasterFees[[#This Row],[Fee Basis]]="Other"),MasterFees[[#This Row],[Fee Basis]],"Base")</f>
        <v>Base</v>
      </c>
      <c r="AC741" s="141" t="str">
        <f>IF(MasterFees[[#This Row],[Fixed Fee?]]="Yes",MasterFees[[#This Row],[Fee Excl. GST]],"")</f>
        <v/>
      </c>
    </row>
    <row r="742" spans="1:29" x14ac:dyDescent="0.2">
      <c r="A742" s="67" t="s">
        <v>2324</v>
      </c>
      <c r="B742" s="31">
        <f>IF(MasterFees[[#This Row],[RVG Code]]="","",_xlfn.XLOOKUP(MasterFees[[#This Row],[RVG Code]],RVGCodes[Code],RVGCodes[Base Units],"Code not found"))</f>
        <v>8</v>
      </c>
      <c r="C74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4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42" s="125" t="s">
        <v>2575</v>
      </c>
      <c r="F742" s="48" t="s">
        <v>2567</v>
      </c>
      <c r="G742" s="30" t="s">
        <v>613</v>
      </c>
      <c r="H742" s="37" t="s">
        <v>1095</v>
      </c>
      <c r="I742" s="37"/>
      <c r="J742" s="37" t="s">
        <v>1096</v>
      </c>
      <c r="K742" s="32">
        <v>0</v>
      </c>
      <c r="L742" s="32">
        <v>3</v>
      </c>
      <c r="M742" s="32">
        <v>0</v>
      </c>
      <c r="N742" s="32">
        <v>3</v>
      </c>
      <c r="O742" s="33">
        <v>165</v>
      </c>
      <c r="P742" s="38" t="s">
        <v>1014</v>
      </c>
      <c r="Q742" s="34" t="str">
        <f>IF(MasterFees[[#This Row],[GST Basis]]="Excl",MasterFees[[#This Row],[Fee as Printed]],IF(MasterFees[[#This Row],[GST Basis]]="Incl",MasterFees[[#This Row],[Fee as Printed]]/(1+GST_Rate),""))</f>
        <v/>
      </c>
      <c r="R742" s="34" t="str">
        <f>IF(MasterFees[[#This Row],[GST Basis]]="Incl",MasterFees[[#This Row],[Fee as Printed]],IF(MasterFees[[#This Row],[GST Basis]]="Excl",MasterFees[[#This Row],[Fee as Printed]]*(1+GST_Rate),""))</f>
        <v/>
      </c>
      <c r="S742" s="35">
        <f>IF(N(MasterFees[[#This Row],[Total Units]])=0,"",MasterFees[[#This Row],[Fee as Printed]]/MasterFees[[#This Row],[Total Units]])</f>
        <v>55</v>
      </c>
      <c r="T742" s="36"/>
      <c r="U742" s="39" t="s">
        <v>1012</v>
      </c>
      <c r="V742" s="39" t="s">
        <v>1710</v>
      </c>
      <c r="W742" s="30"/>
      <c r="X742" s="73" t="s">
        <v>3507</v>
      </c>
      <c r="Y742" s="127" t="str">
        <f>_xlfn.XLOOKUP(MasterFees[[#This Row],[Provider / Payer]],Contracts[Contract Name],Contracts[Contract ID],"No contract")</f>
        <v>CON-01</v>
      </c>
      <c r="Z742" s="127" t="str">
        <f>_xlfn.XLOOKUP(MasterFees[[#This Row],[Provider / Payer]],Contracts[Contract Name],Contracts[Pricing Basis],"To confirm")</f>
        <v>To confirm</v>
      </c>
      <c r="AA742" s="127" t="str">
        <f>IF(MasterFees[[#This Row],[Pricing Basis]]="Fixed fee schedule","Yes","No")</f>
        <v>No</v>
      </c>
      <c r="AB742" s="127" t="str">
        <f>IF(OR(MasterFees[[#This Row],[Fee Basis]]="Add-on",MasterFees[[#This Row],[Fee Basis]]="Time band",MasterFees[[#This Row],[Fee Basis]]="Other"),MasterFees[[#This Row],[Fee Basis]],"Base")</f>
        <v>Base</v>
      </c>
      <c r="AC742" s="141" t="str">
        <f>IF(MasterFees[[#This Row],[Fixed Fee?]]="Yes",MasterFees[[#This Row],[Fee Excl. GST]],"")</f>
        <v/>
      </c>
    </row>
    <row r="743" spans="1:29" x14ac:dyDescent="0.2">
      <c r="A743" s="67" t="s">
        <v>2324</v>
      </c>
      <c r="B743" s="31">
        <f>IF(MasterFees[[#This Row],[RVG Code]]="","",_xlfn.XLOOKUP(MasterFees[[#This Row],[RVG Code]],RVGCodes[Code],RVGCodes[Base Units],"Code not found"))</f>
        <v>8</v>
      </c>
      <c r="C74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4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43" s="125" t="s">
        <v>2575</v>
      </c>
      <c r="F743" s="48" t="s">
        <v>2567</v>
      </c>
      <c r="G743" s="30" t="s">
        <v>618</v>
      </c>
      <c r="H743" s="37" t="s">
        <v>1095</v>
      </c>
      <c r="I743" s="37"/>
      <c r="J743" s="37" t="s">
        <v>1096</v>
      </c>
      <c r="K743" s="32">
        <v>9</v>
      </c>
      <c r="L743" s="32">
        <v>27.2</v>
      </c>
      <c r="M743" s="32">
        <v>2.2999999999999998</v>
      </c>
      <c r="N743" s="32">
        <v>38.5</v>
      </c>
      <c r="O743" s="33">
        <v>2119.15</v>
      </c>
      <c r="P743" s="38" t="s">
        <v>1014</v>
      </c>
      <c r="Q743" s="34" t="str">
        <f>IF(MasterFees[[#This Row],[GST Basis]]="Excl",MasterFees[[#This Row],[Fee as Printed]],IF(MasterFees[[#This Row],[GST Basis]]="Incl",MasterFees[[#This Row],[Fee as Printed]]/(1+GST_Rate),""))</f>
        <v/>
      </c>
      <c r="R743" s="34" t="str">
        <f>IF(MasterFees[[#This Row],[GST Basis]]="Incl",MasterFees[[#This Row],[Fee as Printed]],IF(MasterFees[[#This Row],[GST Basis]]="Excl",MasterFees[[#This Row],[Fee as Printed]]*(1+GST_Rate),""))</f>
        <v/>
      </c>
      <c r="S743" s="35">
        <f>IF(N(MasterFees[[#This Row],[Total Units]])=0,"",MasterFees[[#This Row],[Fee as Printed]]/MasterFees[[#This Row],[Total Units]])</f>
        <v>55.042857142857144</v>
      </c>
      <c r="T743" s="36"/>
      <c r="U743" s="39" t="s">
        <v>1012</v>
      </c>
      <c r="V743" s="39" t="s">
        <v>1715</v>
      </c>
      <c r="W743" s="30"/>
      <c r="X743" s="73" t="s">
        <v>3512</v>
      </c>
      <c r="Y743" s="127" t="str">
        <f>_xlfn.XLOOKUP(MasterFees[[#This Row],[Provider / Payer]],Contracts[Contract Name],Contracts[Contract ID],"No contract")</f>
        <v>CON-01</v>
      </c>
      <c r="Z743" s="127" t="str">
        <f>_xlfn.XLOOKUP(MasterFees[[#This Row],[Provider / Payer]],Contracts[Contract Name],Contracts[Pricing Basis],"To confirm")</f>
        <v>To confirm</v>
      </c>
      <c r="AA743" s="127" t="str">
        <f>IF(MasterFees[[#This Row],[Pricing Basis]]="Fixed fee schedule","Yes","No")</f>
        <v>No</v>
      </c>
      <c r="AB743" s="127" t="str">
        <f>IF(OR(MasterFees[[#This Row],[Fee Basis]]="Add-on",MasterFees[[#This Row],[Fee Basis]]="Time band",MasterFees[[#This Row],[Fee Basis]]="Other"),MasterFees[[#This Row],[Fee Basis]],"Base")</f>
        <v>Base</v>
      </c>
      <c r="AC743" s="141" t="str">
        <f>IF(MasterFees[[#This Row],[Fixed Fee?]]="Yes",MasterFees[[#This Row],[Fee Excl. GST]],"")</f>
        <v/>
      </c>
    </row>
    <row r="744" spans="1:29" x14ac:dyDescent="0.2">
      <c r="A744" s="67" t="s">
        <v>2324</v>
      </c>
      <c r="B744" s="31">
        <f>IF(MasterFees[[#This Row],[RVG Code]]="","",_xlfn.XLOOKUP(MasterFees[[#This Row],[RVG Code]],RVGCodes[Code],RVGCodes[Base Units],"Code not found"))</f>
        <v>8</v>
      </c>
      <c r="C74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4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44" s="125" t="s">
        <v>2575</v>
      </c>
      <c r="F744" s="48" t="s">
        <v>2629</v>
      </c>
      <c r="G744" s="30" t="s">
        <v>2325</v>
      </c>
      <c r="H744" s="37" t="s">
        <v>2630</v>
      </c>
      <c r="I744" s="37" t="s">
        <v>2324</v>
      </c>
      <c r="J744" s="37" t="s">
        <v>1096</v>
      </c>
      <c r="K744" s="32">
        <v>8</v>
      </c>
      <c r="L744" s="32"/>
      <c r="M744" s="32"/>
      <c r="N744" s="32">
        <v>8</v>
      </c>
      <c r="O744" s="33"/>
      <c r="P744" s="38"/>
      <c r="Q744" s="34" t="str">
        <f>IF(MasterFees[[#This Row],[GST Basis]]="Excl",MasterFees[[#This Row],[Fee as Printed]],IF(MasterFees[[#This Row],[GST Basis]]="Incl",MasterFees[[#This Row],[Fee as Printed]]/(1+GST_Rate),""))</f>
        <v/>
      </c>
      <c r="R744" s="34" t="str">
        <f>IF(MasterFees[[#This Row],[GST Basis]]="Incl",MasterFees[[#This Row],[Fee as Printed]],IF(MasterFees[[#This Row],[GST Basis]]="Excl",MasterFees[[#This Row],[Fee as Printed]]*(1+GST_Rate),""))</f>
        <v/>
      </c>
      <c r="S744" s="35">
        <f>IF(N(MasterFees[[#This Row],[Total Units]])=0,"",MasterFees[[#This Row],[Fee as Printed]]/MasterFees[[#This Row],[Total Units]])</f>
        <v>0</v>
      </c>
      <c r="T744" s="36"/>
      <c r="U744" s="39" t="s">
        <v>1016</v>
      </c>
      <c r="V744" s="39" t="s">
        <v>2634</v>
      </c>
      <c r="W744" s="30" t="s">
        <v>2632</v>
      </c>
      <c r="X744" s="73" t="s">
        <v>3760</v>
      </c>
      <c r="Y744" s="127" t="str">
        <f>_xlfn.XLOOKUP(MasterFees[[#This Row],[Provider / Payer]],Contracts[Contract Name],Contracts[Contract ID],"No contract")</f>
        <v>CON-10</v>
      </c>
      <c r="Z744" s="127" t="str">
        <f>_xlfn.XLOOKUP(MasterFees[[#This Row],[Provider / Payer]],Contracts[Contract Name],Contracts[Pricing Basis],"To confirm")</f>
        <v>Reference – units only</v>
      </c>
      <c r="AA744" s="127" t="str">
        <f>IF(MasterFees[[#This Row],[Pricing Basis]]="Fixed fee schedule","Yes","No")</f>
        <v>No</v>
      </c>
      <c r="AB744" s="127" t="str">
        <f>IF(OR(MasterFees[[#This Row],[Fee Basis]]="Add-on",MasterFees[[#This Row],[Fee Basis]]="Time band",MasterFees[[#This Row],[Fee Basis]]="Other"),MasterFees[[#This Row],[Fee Basis]],"Base")</f>
        <v>Base</v>
      </c>
      <c r="AC744" s="141" t="str">
        <f>IF(MasterFees[[#This Row],[Fixed Fee?]]="Yes",MasterFees[[#This Row],[Fee Excl. GST]],"")</f>
        <v/>
      </c>
    </row>
    <row r="745" spans="1:29" x14ac:dyDescent="0.2">
      <c r="A745" s="67" t="s">
        <v>2318</v>
      </c>
      <c r="B745" s="31">
        <f>IF(MasterFees[[#This Row],[RVG Code]]="","",_xlfn.XLOOKUP(MasterFees[[#This Row],[RVG Code]],RVGCodes[Code],RVGCodes[Base Units],"Code not found"))</f>
        <v>6</v>
      </c>
      <c r="C74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4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45" s="125" t="s">
        <v>2615</v>
      </c>
      <c r="F745" s="48" t="s">
        <v>2567</v>
      </c>
      <c r="G745" s="30" t="s">
        <v>634</v>
      </c>
      <c r="H745" s="37" t="s">
        <v>1095</v>
      </c>
      <c r="I745" s="37"/>
      <c r="J745" s="37" t="s">
        <v>1096</v>
      </c>
      <c r="K745" s="32">
        <v>8</v>
      </c>
      <c r="L745" s="32">
        <v>10.5</v>
      </c>
      <c r="M745" s="32">
        <v>2</v>
      </c>
      <c r="N745" s="32">
        <v>20.5</v>
      </c>
      <c r="O745" s="33">
        <v>1127.5</v>
      </c>
      <c r="P745" s="38" t="s">
        <v>1014</v>
      </c>
      <c r="Q745" s="34" t="str">
        <f>IF(MasterFees[[#This Row],[GST Basis]]="Excl",MasterFees[[#This Row],[Fee as Printed]],IF(MasterFees[[#This Row],[GST Basis]]="Incl",MasterFees[[#This Row],[Fee as Printed]]/(1+GST_Rate),""))</f>
        <v/>
      </c>
      <c r="R745" s="34" t="str">
        <f>IF(MasterFees[[#This Row],[GST Basis]]="Incl",MasterFees[[#This Row],[Fee as Printed]],IF(MasterFees[[#This Row],[GST Basis]]="Excl",MasterFees[[#This Row],[Fee as Printed]]*(1+GST_Rate),""))</f>
        <v/>
      </c>
      <c r="S745" s="35">
        <f>IF(N(MasterFees[[#This Row],[Total Units]])=0,"",MasterFees[[#This Row],[Fee as Printed]]/MasterFees[[#This Row],[Total Units]])</f>
        <v>55</v>
      </c>
      <c r="T745" s="36"/>
      <c r="U745" s="39" t="s">
        <v>1012</v>
      </c>
      <c r="V745" s="39" t="s">
        <v>1731</v>
      </c>
      <c r="W745" s="30"/>
      <c r="X745" s="73" t="s">
        <v>3529</v>
      </c>
      <c r="Y745" s="127" t="str">
        <f>_xlfn.XLOOKUP(MasterFees[[#This Row],[Provider / Payer]],Contracts[Contract Name],Contracts[Contract ID],"No contract")</f>
        <v>CON-01</v>
      </c>
      <c r="Z745" s="127" t="str">
        <f>_xlfn.XLOOKUP(MasterFees[[#This Row],[Provider / Payer]],Contracts[Contract Name],Contracts[Pricing Basis],"To confirm")</f>
        <v>To confirm</v>
      </c>
      <c r="AA745" s="127" t="str">
        <f>IF(MasterFees[[#This Row],[Pricing Basis]]="Fixed fee schedule","Yes","No")</f>
        <v>No</v>
      </c>
      <c r="AB745" s="127" t="str">
        <f>IF(OR(MasterFees[[#This Row],[Fee Basis]]="Add-on",MasterFees[[#This Row],[Fee Basis]]="Time band",MasterFees[[#This Row],[Fee Basis]]="Other"),MasterFees[[#This Row],[Fee Basis]],"Base")</f>
        <v>Base</v>
      </c>
      <c r="AC745" s="141" t="str">
        <f>IF(MasterFees[[#This Row],[Fixed Fee?]]="Yes",MasterFees[[#This Row],[Fee Excl. GST]],"")</f>
        <v/>
      </c>
    </row>
    <row r="746" spans="1:29" x14ac:dyDescent="0.2">
      <c r="A746" s="67" t="s">
        <v>2312</v>
      </c>
      <c r="B746" s="31">
        <f>IF(MasterFees[[#This Row],[RVG Code]]="","",_xlfn.XLOOKUP(MasterFees[[#This Row],[RVG Code]],RVGCodes[Code],RVGCodes[Base Units],"Code not found"))</f>
        <v>4</v>
      </c>
      <c r="C74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4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46" s="125" t="s">
        <v>2574</v>
      </c>
      <c r="F746" s="48" t="s">
        <v>2629</v>
      </c>
      <c r="G746" s="30" t="s">
        <v>2313</v>
      </c>
      <c r="H746" s="37" t="s">
        <v>2630</v>
      </c>
      <c r="I746" s="37" t="s">
        <v>2312</v>
      </c>
      <c r="J746" s="37" t="s">
        <v>1096</v>
      </c>
      <c r="K746" s="32">
        <v>4</v>
      </c>
      <c r="L746" s="32"/>
      <c r="M746" s="32"/>
      <c r="N746" s="32">
        <v>4</v>
      </c>
      <c r="O746" s="33"/>
      <c r="P746" s="38"/>
      <c r="Q746" s="34" t="str">
        <f>IF(MasterFees[[#This Row],[GST Basis]]="Excl",MasterFees[[#This Row],[Fee as Printed]],IF(MasterFees[[#This Row],[GST Basis]]="Incl",MasterFees[[#This Row],[Fee as Printed]]/(1+GST_Rate),""))</f>
        <v/>
      </c>
      <c r="R746" s="34" t="str">
        <f>IF(MasterFees[[#This Row],[GST Basis]]="Incl",MasterFees[[#This Row],[Fee as Printed]],IF(MasterFees[[#This Row],[GST Basis]]="Excl",MasterFees[[#This Row],[Fee as Printed]]*(1+GST_Rate),""))</f>
        <v/>
      </c>
      <c r="S746" s="35">
        <f>IF(N(MasterFees[[#This Row],[Total Units]])=0,"",MasterFees[[#This Row],[Fee as Printed]]/MasterFees[[#This Row],[Total Units]])</f>
        <v>0</v>
      </c>
      <c r="T746" s="36"/>
      <c r="U746" s="39" t="s">
        <v>1016</v>
      </c>
      <c r="V746" s="39" t="s">
        <v>2634</v>
      </c>
      <c r="W746" s="30" t="s">
        <v>2659</v>
      </c>
      <c r="X746" s="73" t="s">
        <v>3765</v>
      </c>
      <c r="Y746" s="127" t="str">
        <f>_xlfn.XLOOKUP(MasterFees[[#This Row],[Provider / Payer]],Contracts[Contract Name],Contracts[Contract ID],"No contract")</f>
        <v>CON-10</v>
      </c>
      <c r="Z746" s="127" t="str">
        <f>_xlfn.XLOOKUP(MasterFees[[#This Row],[Provider / Payer]],Contracts[Contract Name],Contracts[Pricing Basis],"To confirm")</f>
        <v>Reference – units only</v>
      </c>
      <c r="AA746" s="127" t="str">
        <f>IF(MasterFees[[#This Row],[Pricing Basis]]="Fixed fee schedule","Yes","No")</f>
        <v>No</v>
      </c>
      <c r="AB746" s="127" t="str">
        <f>IF(OR(MasterFees[[#This Row],[Fee Basis]]="Add-on",MasterFees[[#This Row],[Fee Basis]]="Time band",MasterFees[[#This Row],[Fee Basis]]="Other"),MasterFees[[#This Row],[Fee Basis]],"Base")</f>
        <v>Base</v>
      </c>
      <c r="AC746" s="141" t="str">
        <f>IF(MasterFees[[#This Row],[Fixed Fee?]]="Yes",MasterFees[[#This Row],[Fee Excl. GST]],"")</f>
        <v/>
      </c>
    </row>
    <row r="747" spans="1:29" x14ac:dyDescent="0.2">
      <c r="A747" s="67" t="s">
        <v>2318</v>
      </c>
      <c r="B747" s="31">
        <f>IF(MasterFees[[#This Row],[RVG Code]]="","",_xlfn.XLOOKUP(MasterFees[[#This Row],[RVG Code]],RVGCodes[Code],RVGCodes[Base Units],"Code not found"))</f>
        <v>6</v>
      </c>
      <c r="C74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4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47" s="125" t="s">
        <v>2615</v>
      </c>
      <c r="F747" s="48" t="s">
        <v>2629</v>
      </c>
      <c r="G747" s="30" t="s">
        <v>2319</v>
      </c>
      <c r="H747" s="37" t="s">
        <v>2630</v>
      </c>
      <c r="I747" s="37" t="s">
        <v>2318</v>
      </c>
      <c r="J747" s="37" t="s">
        <v>1096</v>
      </c>
      <c r="K747" s="32">
        <v>6</v>
      </c>
      <c r="L747" s="32"/>
      <c r="M747" s="32"/>
      <c r="N747" s="32">
        <v>6</v>
      </c>
      <c r="O747" s="33"/>
      <c r="P747" s="38"/>
      <c r="Q747" s="34" t="str">
        <f>IF(MasterFees[[#This Row],[GST Basis]]="Excl",MasterFees[[#This Row],[Fee as Printed]],IF(MasterFees[[#This Row],[GST Basis]]="Incl",MasterFees[[#This Row],[Fee as Printed]]/(1+GST_Rate),""))</f>
        <v/>
      </c>
      <c r="R747" s="34" t="str">
        <f>IF(MasterFees[[#This Row],[GST Basis]]="Incl",MasterFees[[#This Row],[Fee as Printed]],IF(MasterFees[[#This Row],[GST Basis]]="Excl",MasterFees[[#This Row],[Fee as Printed]]*(1+GST_Rate),""))</f>
        <v/>
      </c>
      <c r="S747" s="35">
        <f>IF(N(MasterFees[[#This Row],[Total Units]])=0,"",MasterFees[[#This Row],[Fee as Printed]]/MasterFees[[#This Row],[Total Units]])</f>
        <v>0</v>
      </c>
      <c r="T747" s="36"/>
      <c r="U747" s="39" t="s">
        <v>1016</v>
      </c>
      <c r="V747" s="39" t="s">
        <v>2634</v>
      </c>
      <c r="W747" s="30" t="s">
        <v>2632</v>
      </c>
      <c r="X747" s="73" t="s">
        <v>3530</v>
      </c>
      <c r="Y747" s="127" t="str">
        <f>_xlfn.XLOOKUP(MasterFees[[#This Row],[Provider / Payer]],Contracts[Contract Name],Contracts[Contract ID],"No contract")</f>
        <v>CON-10</v>
      </c>
      <c r="Z747" s="127" t="str">
        <f>_xlfn.XLOOKUP(MasterFees[[#This Row],[Provider / Payer]],Contracts[Contract Name],Contracts[Pricing Basis],"To confirm")</f>
        <v>Reference – units only</v>
      </c>
      <c r="AA747" s="127" t="str">
        <f>IF(MasterFees[[#This Row],[Pricing Basis]]="Fixed fee schedule","Yes","No")</f>
        <v>No</v>
      </c>
      <c r="AB747" s="127" t="str">
        <f>IF(OR(MasterFees[[#This Row],[Fee Basis]]="Add-on",MasterFees[[#This Row],[Fee Basis]]="Time band",MasterFees[[#This Row],[Fee Basis]]="Other"),MasterFees[[#This Row],[Fee Basis]],"Base")</f>
        <v>Base</v>
      </c>
      <c r="AC747" s="141" t="str">
        <f>IF(MasterFees[[#This Row],[Fixed Fee?]]="Yes",MasterFees[[#This Row],[Fee Excl. GST]],"")</f>
        <v/>
      </c>
    </row>
    <row r="748" spans="1:29" x14ac:dyDescent="0.2">
      <c r="A748" s="67" t="s">
        <v>2320</v>
      </c>
      <c r="B748" s="31">
        <f>IF(MasterFees[[#This Row],[RVG Code]]="","",_xlfn.XLOOKUP(MasterFees[[#This Row],[RVG Code]],RVGCodes[Code],RVGCodes[Base Units],"Code not found"))</f>
        <v>6</v>
      </c>
      <c r="C74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4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48" s="125" t="s">
        <v>2573</v>
      </c>
      <c r="F748" s="48" t="s">
        <v>2567</v>
      </c>
      <c r="G748" s="30" t="s">
        <v>650</v>
      </c>
      <c r="H748" s="37" t="s">
        <v>1095</v>
      </c>
      <c r="I748" s="37"/>
      <c r="J748" s="37" t="s">
        <v>1096</v>
      </c>
      <c r="K748" s="32">
        <v>6</v>
      </c>
      <c r="L748" s="32">
        <v>8.5</v>
      </c>
      <c r="M748" s="32">
        <v>1</v>
      </c>
      <c r="N748" s="32">
        <v>15.5</v>
      </c>
      <c r="O748" s="33">
        <v>852.5</v>
      </c>
      <c r="P748" s="38" t="s">
        <v>1014</v>
      </c>
      <c r="Q748" s="34" t="str">
        <f>IF(MasterFees[[#This Row],[GST Basis]]="Excl",MasterFees[[#This Row],[Fee as Printed]],IF(MasterFees[[#This Row],[GST Basis]]="Incl",MasterFees[[#This Row],[Fee as Printed]]/(1+GST_Rate),""))</f>
        <v/>
      </c>
      <c r="R748" s="34" t="str">
        <f>IF(MasterFees[[#This Row],[GST Basis]]="Incl",MasterFees[[#This Row],[Fee as Printed]],IF(MasterFees[[#This Row],[GST Basis]]="Excl",MasterFees[[#This Row],[Fee as Printed]]*(1+GST_Rate),""))</f>
        <v/>
      </c>
      <c r="S748" s="35">
        <f>IF(N(MasterFees[[#This Row],[Total Units]])=0,"",MasterFees[[#This Row],[Fee as Printed]]/MasterFees[[#This Row],[Total Units]])</f>
        <v>55</v>
      </c>
      <c r="T748" s="36"/>
      <c r="U748" s="39" t="s">
        <v>1012</v>
      </c>
      <c r="V748" s="39" t="s">
        <v>1747</v>
      </c>
      <c r="W748" s="30"/>
      <c r="X748" s="73" t="s">
        <v>3547</v>
      </c>
      <c r="Y748" s="127" t="str">
        <f>_xlfn.XLOOKUP(MasterFees[[#This Row],[Provider / Payer]],Contracts[Contract Name],Contracts[Contract ID],"No contract")</f>
        <v>CON-01</v>
      </c>
      <c r="Z748" s="127" t="str">
        <f>_xlfn.XLOOKUP(MasterFees[[#This Row],[Provider / Payer]],Contracts[Contract Name],Contracts[Pricing Basis],"To confirm")</f>
        <v>To confirm</v>
      </c>
      <c r="AA748" s="127" t="str">
        <f>IF(MasterFees[[#This Row],[Pricing Basis]]="Fixed fee schedule","Yes","No")</f>
        <v>No</v>
      </c>
      <c r="AB748" s="127" t="str">
        <f>IF(OR(MasterFees[[#This Row],[Fee Basis]]="Add-on",MasterFees[[#This Row],[Fee Basis]]="Time band",MasterFees[[#This Row],[Fee Basis]]="Other"),MasterFees[[#This Row],[Fee Basis]],"Base")</f>
        <v>Base</v>
      </c>
      <c r="AC748" s="141" t="str">
        <f>IF(MasterFees[[#This Row],[Fixed Fee?]]="Yes",MasterFees[[#This Row],[Fee Excl. GST]],"")</f>
        <v/>
      </c>
    </row>
    <row r="749" spans="1:29" x14ac:dyDescent="0.2">
      <c r="A749" s="67" t="s">
        <v>2320</v>
      </c>
      <c r="B749" s="31">
        <f>IF(MasterFees[[#This Row],[RVG Code]]="","",_xlfn.XLOOKUP(MasterFees[[#This Row],[RVG Code]],RVGCodes[Code],RVGCodes[Base Units],"Code not found"))</f>
        <v>6</v>
      </c>
      <c r="C74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4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49" s="125" t="s">
        <v>2573</v>
      </c>
      <c r="F749" s="48" t="s">
        <v>2569</v>
      </c>
      <c r="G749" s="30" t="s">
        <v>657</v>
      </c>
      <c r="H749" s="37" t="s">
        <v>1095</v>
      </c>
      <c r="I749" s="37"/>
      <c r="J749" s="37" t="s">
        <v>1096</v>
      </c>
      <c r="K749" s="32">
        <v>6</v>
      </c>
      <c r="L749" s="32">
        <v>6</v>
      </c>
      <c r="M749" s="32">
        <v>0</v>
      </c>
      <c r="N749" s="32">
        <v>12</v>
      </c>
      <c r="O749" s="33">
        <v>660</v>
      </c>
      <c r="P749" s="38" t="s">
        <v>1014</v>
      </c>
      <c r="Q749" s="34" t="str">
        <f>IF(MasterFees[[#This Row],[GST Basis]]="Excl",MasterFees[[#This Row],[Fee as Printed]],IF(MasterFees[[#This Row],[GST Basis]]="Incl",MasterFees[[#This Row],[Fee as Printed]]/(1+GST_Rate),""))</f>
        <v/>
      </c>
      <c r="R749" s="34" t="str">
        <f>IF(MasterFees[[#This Row],[GST Basis]]="Incl",MasterFees[[#This Row],[Fee as Printed]],IF(MasterFees[[#This Row],[GST Basis]]="Excl",MasterFees[[#This Row],[Fee as Printed]]*(1+GST_Rate),""))</f>
        <v/>
      </c>
      <c r="S749" s="35">
        <f>IF(N(MasterFees[[#This Row],[Total Units]])=0,"",MasterFees[[#This Row],[Fee as Printed]]/MasterFees[[#This Row],[Total Units]])</f>
        <v>55</v>
      </c>
      <c r="T749" s="36"/>
      <c r="U749" s="39" t="s">
        <v>1012</v>
      </c>
      <c r="V749" s="39" t="s">
        <v>1754</v>
      </c>
      <c r="W749" s="30"/>
      <c r="X749" s="73" t="s">
        <v>3554</v>
      </c>
      <c r="Y749" s="127" t="str">
        <f>_xlfn.XLOOKUP(MasterFees[[#This Row],[Provider / Payer]],Contracts[Contract Name],Contracts[Contract ID],"No contract")</f>
        <v>CON-01</v>
      </c>
      <c r="Z749" s="127" t="str">
        <f>_xlfn.XLOOKUP(MasterFees[[#This Row],[Provider / Payer]],Contracts[Contract Name],Contracts[Pricing Basis],"To confirm")</f>
        <v>To confirm</v>
      </c>
      <c r="AA749" s="127" t="str">
        <f>IF(MasterFees[[#This Row],[Pricing Basis]]="Fixed fee schedule","Yes","No")</f>
        <v>No</v>
      </c>
      <c r="AB749" s="127" t="str">
        <f>IF(OR(MasterFees[[#This Row],[Fee Basis]]="Add-on",MasterFees[[#This Row],[Fee Basis]]="Time band",MasterFees[[#This Row],[Fee Basis]]="Other"),MasterFees[[#This Row],[Fee Basis]],"Base")</f>
        <v>Base</v>
      </c>
      <c r="AC749" s="141" t="str">
        <f>IF(MasterFees[[#This Row],[Fixed Fee?]]="Yes",MasterFees[[#This Row],[Fee Excl. GST]],"")</f>
        <v/>
      </c>
    </row>
    <row r="750" spans="1:29" x14ac:dyDescent="0.2">
      <c r="A750" s="67" t="s">
        <v>2315</v>
      </c>
      <c r="B750" s="31">
        <f>IF(MasterFees[[#This Row],[RVG Code]]="","",_xlfn.XLOOKUP(MasterFees[[#This Row],[RVG Code]],RVGCodes[Code],RVGCodes[Base Units],"Code not found"))</f>
        <v>5</v>
      </c>
      <c r="C75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5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50" s="125" t="s">
        <v>2607</v>
      </c>
      <c r="F750" s="48" t="s">
        <v>2567</v>
      </c>
      <c r="G750" s="30" t="s">
        <v>659</v>
      </c>
      <c r="H750" s="37" t="s">
        <v>1095</v>
      </c>
      <c r="I750" s="37"/>
      <c r="J750" s="37" t="s">
        <v>1096</v>
      </c>
      <c r="K750" s="32">
        <v>0</v>
      </c>
      <c r="L750" s="32">
        <v>0</v>
      </c>
      <c r="M750" s="32">
        <v>0</v>
      </c>
      <c r="N750" s="32">
        <v>0</v>
      </c>
      <c r="O750" s="33">
        <v>0</v>
      </c>
      <c r="P750" s="38" t="s">
        <v>1014</v>
      </c>
      <c r="Q750" s="34" t="str">
        <f>IF(MasterFees[[#This Row],[GST Basis]]="Excl",MasterFees[[#This Row],[Fee as Printed]],IF(MasterFees[[#This Row],[GST Basis]]="Incl",MasterFees[[#This Row],[Fee as Printed]]/(1+GST_Rate),""))</f>
        <v/>
      </c>
      <c r="R750" s="34" t="str">
        <f>IF(MasterFees[[#This Row],[GST Basis]]="Incl",MasterFees[[#This Row],[Fee as Printed]],IF(MasterFees[[#This Row],[GST Basis]]="Excl",MasterFees[[#This Row],[Fee as Printed]]*(1+GST_Rate),""))</f>
        <v/>
      </c>
      <c r="S750" s="35" t="str">
        <f>IF(N(MasterFees[[#This Row],[Total Units]])=0,"",MasterFees[[#This Row],[Fee as Printed]]/MasterFees[[#This Row],[Total Units]])</f>
        <v/>
      </c>
      <c r="T750" s="36"/>
      <c r="U750" s="39" t="s">
        <v>1012</v>
      </c>
      <c r="V750" s="39" t="s">
        <v>1756</v>
      </c>
      <c r="W750" s="30"/>
      <c r="X750" s="73" t="s">
        <v>3557</v>
      </c>
      <c r="Y750" s="127" t="str">
        <f>_xlfn.XLOOKUP(MasterFees[[#This Row],[Provider / Payer]],Contracts[Contract Name],Contracts[Contract ID],"No contract")</f>
        <v>CON-01</v>
      </c>
      <c r="Z750" s="127" t="str">
        <f>_xlfn.XLOOKUP(MasterFees[[#This Row],[Provider / Payer]],Contracts[Contract Name],Contracts[Pricing Basis],"To confirm")</f>
        <v>To confirm</v>
      </c>
      <c r="AA750" s="127" t="str">
        <f>IF(MasterFees[[#This Row],[Pricing Basis]]="Fixed fee schedule","Yes","No")</f>
        <v>No</v>
      </c>
      <c r="AB750" s="127" t="str">
        <f>IF(OR(MasterFees[[#This Row],[Fee Basis]]="Add-on",MasterFees[[#This Row],[Fee Basis]]="Time band",MasterFees[[#This Row],[Fee Basis]]="Other"),MasterFees[[#This Row],[Fee Basis]],"Base")</f>
        <v>Base</v>
      </c>
      <c r="AC750" s="141" t="str">
        <f>IF(MasterFees[[#This Row],[Fixed Fee?]]="Yes",MasterFees[[#This Row],[Fee Excl. GST]],"")</f>
        <v/>
      </c>
    </row>
    <row r="751" spans="1:29" x14ac:dyDescent="0.2">
      <c r="A751" s="67" t="s">
        <v>2315</v>
      </c>
      <c r="B751" s="31">
        <f>IF(MasterFees[[#This Row],[RVG Code]]="","",_xlfn.XLOOKUP(MasterFees[[#This Row],[RVG Code]],RVGCodes[Code],RVGCodes[Base Units],"Code not found"))</f>
        <v>5</v>
      </c>
      <c r="C75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5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51" s="125" t="s">
        <v>2607</v>
      </c>
      <c r="F751" s="48" t="s">
        <v>2569</v>
      </c>
      <c r="G751" s="30" t="s">
        <v>661</v>
      </c>
      <c r="H751" s="37" t="s">
        <v>1095</v>
      </c>
      <c r="I751" s="37"/>
      <c r="J751" s="37" t="s">
        <v>1096</v>
      </c>
      <c r="K751" s="32">
        <v>4.9000000000000004</v>
      </c>
      <c r="L751" s="32">
        <v>5.5</v>
      </c>
      <c r="M751" s="32">
        <v>1.1000000000000001</v>
      </c>
      <c r="N751" s="32">
        <v>11.6</v>
      </c>
      <c r="O751" s="33">
        <v>635.79999999999995</v>
      </c>
      <c r="P751" s="38" t="s">
        <v>1014</v>
      </c>
      <c r="Q751" s="34" t="str">
        <f>IF(MasterFees[[#This Row],[GST Basis]]="Excl",MasterFees[[#This Row],[Fee as Printed]],IF(MasterFees[[#This Row],[GST Basis]]="Incl",MasterFees[[#This Row],[Fee as Printed]]/(1+GST_Rate),""))</f>
        <v/>
      </c>
      <c r="R751" s="34" t="str">
        <f>IF(MasterFees[[#This Row],[GST Basis]]="Incl",MasterFees[[#This Row],[Fee as Printed]],IF(MasterFees[[#This Row],[GST Basis]]="Excl",MasterFees[[#This Row],[Fee as Printed]]*(1+GST_Rate),""))</f>
        <v/>
      </c>
      <c r="S751" s="35">
        <f>IF(N(MasterFees[[#This Row],[Total Units]])=0,"",MasterFees[[#This Row],[Fee as Printed]]/MasterFees[[#This Row],[Total Units]])</f>
        <v>54.810344827586206</v>
      </c>
      <c r="T751" s="36"/>
      <c r="U751" s="39" t="s">
        <v>1012</v>
      </c>
      <c r="V751" s="39" t="s">
        <v>1758</v>
      </c>
      <c r="W751" s="30"/>
      <c r="X751" s="73" t="s">
        <v>3559</v>
      </c>
      <c r="Y751" s="127" t="str">
        <f>_xlfn.XLOOKUP(MasterFees[[#This Row],[Provider / Payer]],Contracts[Contract Name],Contracts[Contract ID],"No contract")</f>
        <v>CON-01</v>
      </c>
      <c r="Z751" s="127" t="str">
        <f>_xlfn.XLOOKUP(MasterFees[[#This Row],[Provider / Payer]],Contracts[Contract Name],Contracts[Pricing Basis],"To confirm")</f>
        <v>To confirm</v>
      </c>
      <c r="AA751" s="127" t="str">
        <f>IF(MasterFees[[#This Row],[Pricing Basis]]="Fixed fee schedule","Yes","No")</f>
        <v>No</v>
      </c>
      <c r="AB751" s="127" t="str">
        <f>IF(OR(MasterFees[[#This Row],[Fee Basis]]="Add-on",MasterFees[[#This Row],[Fee Basis]]="Time band",MasterFees[[#This Row],[Fee Basis]]="Other"),MasterFees[[#This Row],[Fee Basis]],"Base")</f>
        <v>Base</v>
      </c>
      <c r="AC751" s="141" t="str">
        <f>IF(MasterFees[[#This Row],[Fixed Fee?]]="Yes",MasterFees[[#This Row],[Fee Excl. GST]],"")</f>
        <v/>
      </c>
    </row>
    <row r="752" spans="1:29" x14ac:dyDescent="0.2">
      <c r="A752" s="67" t="s">
        <v>2315</v>
      </c>
      <c r="B752" s="31">
        <f>IF(MasterFees[[#This Row],[RVG Code]]="","",_xlfn.XLOOKUP(MasterFees[[#This Row],[RVG Code]],RVGCodes[Code],RVGCodes[Base Units],"Code not found"))</f>
        <v>5</v>
      </c>
      <c r="C75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5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52" s="125" t="s">
        <v>2607</v>
      </c>
      <c r="F752" s="48" t="s">
        <v>2569</v>
      </c>
      <c r="G752" s="30" t="s">
        <v>662</v>
      </c>
      <c r="H752" s="37" t="s">
        <v>1095</v>
      </c>
      <c r="I752" s="37"/>
      <c r="J752" s="37" t="s">
        <v>1096</v>
      </c>
      <c r="K752" s="32">
        <v>5</v>
      </c>
      <c r="L752" s="32">
        <v>7</v>
      </c>
      <c r="M752" s="32">
        <v>0</v>
      </c>
      <c r="N752" s="32">
        <v>12</v>
      </c>
      <c r="O752" s="33">
        <v>660</v>
      </c>
      <c r="P752" s="38" t="s">
        <v>1014</v>
      </c>
      <c r="Q752" s="34" t="str">
        <f>IF(MasterFees[[#This Row],[GST Basis]]="Excl",MasterFees[[#This Row],[Fee as Printed]],IF(MasterFees[[#This Row],[GST Basis]]="Incl",MasterFees[[#This Row],[Fee as Printed]]/(1+GST_Rate),""))</f>
        <v/>
      </c>
      <c r="R752" s="34" t="str">
        <f>IF(MasterFees[[#This Row],[GST Basis]]="Incl",MasterFees[[#This Row],[Fee as Printed]],IF(MasterFees[[#This Row],[GST Basis]]="Excl",MasterFees[[#This Row],[Fee as Printed]]*(1+GST_Rate),""))</f>
        <v/>
      </c>
      <c r="S752" s="35">
        <f>IF(N(MasterFees[[#This Row],[Total Units]])=0,"",MasterFees[[#This Row],[Fee as Printed]]/MasterFees[[#This Row],[Total Units]])</f>
        <v>55</v>
      </c>
      <c r="T752" s="36"/>
      <c r="U752" s="39" t="s">
        <v>1012</v>
      </c>
      <c r="V752" s="39" t="s">
        <v>1759</v>
      </c>
      <c r="W752" s="30"/>
      <c r="X752" s="73" t="s">
        <v>3560</v>
      </c>
      <c r="Y752" s="127" t="str">
        <f>_xlfn.XLOOKUP(MasterFees[[#This Row],[Provider / Payer]],Contracts[Contract Name],Contracts[Contract ID],"No contract")</f>
        <v>CON-01</v>
      </c>
      <c r="Z752" s="127" t="str">
        <f>_xlfn.XLOOKUP(MasterFees[[#This Row],[Provider / Payer]],Contracts[Contract Name],Contracts[Pricing Basis],"To confirm")</f>
        <v>To confirm</v>
      </c>
      <c r="AA752" s="127" t="str">
        <f>IF(MasterFees[[#This Row],[Pricing Basis]]="Fixed fee schedule","Yes","No")</f>
        <v>No</v>
      </c>
      <c r="AB752" s="127" t="str">
        <f>IF(OR(MasterFees[[#This Row],[Fee Basis]]="Add-on",MasterFees[[#This Row],[Fee Basis]]="Time band",MasterFees[[#This Row],[Fee Basis]]="Other"),MasterFees[[#This Row],[Fee Basis]],"Base")</f>
        <v>Base</v>
      </c>
      <c r="AC752" s="141" t="str">
        <f>IF(MasterFees[[#This Row],[Fixed Fee?]]="Yes",MasterFees[[#This Row],[Fee Excl. GST]],"")</f>
        <v/>
      </c>
    </row>
    <row r="753" spans="1:29" x14ac:dyDescent="0.2">
      <c r="A753" s="67" t="s">
        <v>2315</v>
      </c>
      <c r="B753" s="31">
        <f>IF(MasterFees[[#This Row],[RVG Code]]="","",_xlfn.XLOOKUP(MasterFees[[#This Row],[RVG Code]],RVGCodes[Code],RVGCodes[Base Units],"Code not found"))</f>
        <v>5</v>
      </c>
      <c r="C75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5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53" s="125" t="s">
        <v>2607</v>
      </c>
      <c r="F753" s="48" t="s">
        <v>2569</v>
      </c>
      <c r="G753" s="30" t="s">
        <v>663</v>
      </c>
      <c r="H753" s="37" t="s">
        <v>1095</v>
      </c>
      <c r="I753" s="37"/>
      <c r="J753" s="37" t="s">
        <v>1096</v>
      </c>
      <c r="K753" s="32">
        <v>5</v>
      </c>
      <c r="L753" s="32">
        <v>4.9000000000000004</v>
      </c>
      <c r="M753" s="32">
        <v>1.2</v>
      </c>
      <c r="N753" s="32">
        <v>11</v>
      </c>
      <c r="O753" s="33">
        <v>607.20000000000005</v>
      </c>
      <c r="P753" s="38" t="s">
        <v>1014</v>
      </c>
      <c r="Q753" s="34" t="str">
        <f>IF(MasterFees[[#This Row],[GST Basis]]="Excl",MasterFees[[#This Row],[Fee as Printed]],IF(MasterFees[[#This Row],[GST Basis]]="Incl",MasterFees[[#This Row],[Fee as Printed]]/(1+GST_Rate),""))</f>
        <v/>
      </c>
      <c r="R753" s="34" t="str">
        <f>IF(MasterFees[[#This Row],[GST Basis]]="Incl",MasterFees[[#This Row],[Fee as Printed]],IF(MasterFees[[#This Row],[GST Basis]]="Excl",MasterFees[[#This Row],[Fee as Printed]]*(1+GST_Rate),""))</f>
        <v/>
      </c>
      <c r="S753" s="35">
        <f>IF(N(MasterFees[[#This Row],[Total Units]])=0,"",MasterFees[[#This Row],[Fee as Printed]]/MasterFees[[#This Row],[Total Units]])</f>
        <v>55.2</v>
      </c>
      <c r="T753" s="36"/>
      <c r="U753" s="39" t="s">
        <v>1012</v>
      </c>
      <c r="V753" s="39" t="s">
        <v>1760</v>
      </c>
      <c r="W753" s="30"/>
      <c r="X753" s="73" t="s">
        <v>3561</v>
      </c>
      <c r="Y753" s="127" t="str">
        <f>_xlfn.XLOOKUP(MasterFees[[#This Row],[Provider / Payer]],Contracts[Contract Name],Contracts[Contract ID],"No contract")</f>
        <v>CON-01</v>
      </c>
      <c r="Z753" s="127" t="str">
        <f>_xlfn.XLOOKUP(MasterFees[[#This Row],[Provider / Payer]],Contracts[Contract Name],Contracts[Pricing Basis],"To confirm")</f>
        <v>To confirm</v>
      </c>
      <c r="AA753" s="127" t="str">
        <f>IF(MasterFees[[#This Row],[Pricing Basis]]="Fixed fee schedule","Yes","No")</f>
        <v>No</v>
      </c>
      <c r="AB753" s="127" t="str">
        <f>IF(OR(MasterFees[[#This Row],[Fee Basis]]="Add-on",MasterFees[[#This Row],[Fee Basis]]="Time band",MasterFees[[#This Row],[Fee Basis]]="Other"),MasterFees[[#This Row],[Fee Basis]],"Base")</f>
        <v>Base</v>
      </c>
      <c r="AC753" s="141" t="str">
        <f>IF(MasterFees[[#This Row],[Fixed Fee?]]="Yes",MasterFees[[#This Row],[Fee Excl. GST]],"")</f>
        <v/>
      </c>
    </row>
    <row r="754" spans="1:29" x14ac:dyDescent="0.2">
      <c r="A754" s="67" t="s">
        <v>2315</v>
      </c>
      <c r="B754" s="31">
        <f>IF(MasterFees[[#This Row],[RVG Code]]="","",_xlfn.XLOOKUP(MasterFees[[#This Row],[RVG Code]],RVGCodes[Code],RVGCodes[Base Units],"Code not found"))</f>
        <v>5</v>
      </c>
      <c r="C75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5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54" s="125" t="s">
        <v>2607</v>
      </c>
      <c r="F754" s="48" t="s">
        <v>2569</v>
      </c>
      <c r="G754" s="30" t="s">
        <v>664</v>
      </c>
      <c r="H754" s="37" t="s">
        <v>1095</v>
      </c>
      <c r="I754" s="37"/>
      <c r="J754" s="37" t="s">
        <v>1096</v>
      </c>
      <c r="K754" s="32">
        <v>4.9000000000000004</v>
      </c>
      <c r="L754" s="32">
        <v>4.5999999999999996</v>
      </c>
      <c r="M754" s="32">
        <v>1.1000000000000001</v>
      </c>
      <c r="N754" s="32">
        <v>10.6</v>
      </c>
      <c r="O754" s="33">
        <v>582.45000000000005</v>
      </c>
      <c r="P754" s="38" t="s">
        <v>1014</v>
      </c>
      <c r="Q754" s="34" t="str">
        <f>IF(MasterFees[[#This Row],[GST Basis]]="Excl",MasterFees[[#This Row],[Fee as Printed]],IF(MasterFees[[#This Row],[GST Basis]]="Incl",MasterFees[[#This Row],[Fee as Printed]]/(1+GST_Rate),""))</f>
        <v/>
      </c>
      <c r="R754" s="34" t="str">
        <f>IF(MasterFees[[#This Row],[GST Basis]]="Incl",MasterFees[[#This Row],[Fee as Printed]],IF(MasterFees[[#This Row],[GST Basis]]="Excl",MasterFees[[#This Row],[Fee as Printed]]*(1+GST_Rate),""))</f>
        <v/>
      </c>
      <c r="S754" s="35">
        <f>IF(N(MasterFees[[#This Row],[Total Units]])=0,"",MasterFees[[#This Row],[Fee as Printed]]/MasterFees[[#This Row],[Total Units]])</f>
        <v>54.948113207547173</v>
      </c>
      <c r="T754" s="36"/>
      <c r="U754" s="39" t="s">
        <v>1012</v>
      </c>
      <c r="V754" s="39" t="s">
        <v>1761</v>
      </c>
      <c r="W754" s="30"/>
      <c r="X754" s="73" t="s">
        <v>3562</v>
      </c>
      <c r="Y754" s="127" t="str">
        <f>_xlfn.XLOOKUP(MasterFees[[#This Row],[Provider / Payer]],Contracts[Contract Name],Contracts[Contract ID],"No contract")</f>
        <v>CON-01</v>
      </c>
      <c r="Z754" s="127" t="str">
        <f>_xlfn.XLOOKUP(MasterFees[[#This Row],[Provider / Payer]],Contracts[Contract Name],Contracts[Pricing Basis],"To confirm")</f>
        <v>To confirm</v>
      </c>
      <c r="AA754" s="127" t="str">
        <f>IF(MasterFees[[#This Row],[Pricing Basis]]="Fixed fee schedule","Yes","No")</f>
        <v>No</v>
      </c>
      <c r="AB754" s="127" t="str">
        <f>IF(OR(MasterFees[[#This Row],[Fee Basis]]="Add-on",MasterFees[[#This Row],[Fee Basis]]="Time band",MasterFees[[#This Row],[Fee Basis]]="Other"),MasterFees[[#This Row],[Fee Basis]],"Base")</f>
        <v>Base</v>
      </c>
      <c r="AC754" s="141" t="str">
        <f>IF(MasterFees[[#This Row],[Fixed Fee?]]="Yes",MasterFees[[#This Row],[Fee Excl. GST]],"")</f>
        <v/>
      </c>
    </row>
    <row r="755" spans="1:29" x14ac:dyDescent="0.2">
      <c r="A755" s="67" t="s">
        <v>2315</v>
      </c>
      <c r="B755" s="31">
        <f>IF(MasterFees[[#This Row],[RVG Code]]="","",_xlfn.XLOOKUP(MasterFees[[#This Row],[RVG Code]],RVGCodes[Code],RVGCodes[Base Units],"Code not found"))</f>
        <v>5</v>
      </c>
      <c r="C75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5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55" s="125" t="s">
        <v>2607</v>
      </c>
      <c r="F755" s="48" t="s">
        <v>2567</v>
      </c>
      <c r="G755" s="30" t="s">
        <v>665</v>
      </c>
      <c r="H755" s="37" t="s">
        <v>1095</v>
      </c>
      <c r="I755" s="37"/>
      <c r="J755" s="37" t="s">
        <v>1096</v>
      </c>
      <c r="K755" s="32">
        <v>5</v>
      </c>
      <c r="L755" s="32">
        <v>8</v>
      </c>
      <c r="M755" s="32">
        <v>1</v>
      </c>
      <c r="N755" s="32">
        <v>14</v>
      </c>
      <c r="O755" s="33">
        <v>770</v>
      </c>
      <c r="P755" s="38" t="s">
        <v>1014</v>
      </c>
      <c r="Q755" s="34" t="str">
        <f>IF(MasterFees[[#This Row],[GST Basis]]="Excl",MasterFees[[#This Row],[Fee as Printed]],IF(MasterFees[[#This Row],[GST Basis]]="Incl",MasterFees[[#This Row],[Fee as Printed]]/(1+GST_Rate),""))</f>
        <v/>
      </c>
      <c r="R755" s="34" t="str">
        <f>IF(MasterFees[[#This Row],[GST Basis]]="Incl",MasterFees[[#This Row],[Fee as Printed]],IF(MasterFees[[#This Row],[GST Basis]]="Excl",MasterFees[[#This Row],[Fee as Printed]]*(1+GST_Rate),""))</f>
        <v/>
      </c>
      <c r="S755" s="35">
        <f>IF(N(MasterFees[[#This Row],[Total Units]])=0,"",MasterFees[[#This Row],[Fee as Printed]]/MasterFees[[#This Row],[Total Units]])</f>
        <v>55</v>
      </c>
      <c r="T755" s="36"/>
      <c r="U755" s="39" t="s">
        <v>1012</v>
      </c>
      <c r="V755" s="39" t="s">
        <v>1762</v>
      </c>
      <c r="W755" s="30"/>
      <c r="X755" s="73" t="s">
        <v>3563</v>
      </c>
      <c r="Y755" s="127" t="str">
        <f>_xlfn.XLOOKUP(MasterFees[[#This Row],[Provider / Payer]],Contracts[Contract Name],Contracts[Contract ID],"No contract")</f>
        <v>CON-01</v>
      </c>
      <c r="Z755" s="127" t="str">
        <f>_xlfn.XLOOKUP(MasterFees[[#This Row],[Provider / Payer]],Contracts[Contract Name],Contracts[Pricing Basis],"To confirm")</f>
        <v>To confirm</v>
      </c>
      <c r="AA755" s="127" t="str">
        <f>IF(MasterFees[[#This Row],[Pricing Basis]]="Fixed fee schedule","Yes","No")</f>
        <v>No</v>
      </c>
      <c r="AB755" s="127" t="str">
        <f>IF(OR(MasterFees[[#This Row],[Fee Basis]]="Add-on",MasterFees[[#This Row],[Fee Basis]]="Time band",MasterFees[[#This Row],[Fee Basis]]="Other"),MasterFees[[#This Row],[Fee Basis]],"Base")</f>
        <v>Base</v>
      </c>
      <c r="AC755" s="141" t="str">
        <f>IF(MasterFees[[#This Row],[Fixed Fee?]]="Yes",MasterFees[[#This Row],[Fee Excl. GST]],"")</f>
        <v/>
      </c>
    </row>
    <row r="756" spans="1:29" x14ac:dyDescent="0.2">
      <c r="A756" s="67" t="s">
        <v>2320</v>
      </c>
      <c r="B756" s="31">
        <f>IF(MasterFees[[#This Row],[RVG Code]]="","",_xlfn.XLOOKUP(MasterFees[[#This Row],[RVG Code]],RVGCodes[Code],RVGCodes[Base Units],"Code not found"))</f>
        <v>6</v>
      </c>
      <c r="C75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5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56" s="125" t="s">
        <v>2573</v>
      </c>
      <c r="F756" s="48" t="s">
        <v>2567</v>
      </c>
      <c r="G756" s="30" t="s">
        <v>668</v>
      </c>
      <c r="H756" s="37" t="s">
        <v>1095</v>
      </c>
      <c r="I756" s="37"/>
      <c r="J756" s="37" t="s">
        <v>1096</v>
      </c>
      <c r="K756" s="32">
        <v>6</v>
      </c>
      <c r="L756" s="32">
        <v>4</v>
      </c>
      <c r="M756" s="32">
        <v>0</v>
      </c>
      <c r="N756" s="32">
        <v>10</v>
      </c>
      <c r="O756" s="33">
        <v>550</v>
      </c>
      <c r="P756" s="38" t="s">
        <v>1014</v>
      </c>
      <c r="Q756" s="34" t="str">
        <f>IF(MasterFees[[#This Row],[GST Basis]]="Excl",MasterFees[[#This Row],[Fee as Printed]],IF(MasterFees[[#This Row],[GST Basis]]="Incl",MasterFees[[#This Row],[Fee as Printed]]/(1+GST_Rate),""))</f>
        <v/>
      </c>
      <c r="R756" s="34" t="str">
        <f>IF(MasterFees[[#This Row],[GST Basis]]="Incl",MasterFees[[#This Row],[Fee as Printed]],IF(MasterFees[[#This Row],[GST Basis]]="Excl",MasterFees[[#This Row],[Fee as Printed]]*(1+GST_Rate),""))</f>
        <v/>
      </c>
      <c r="S756" s="35">
        <f>IF(N(MasterFees[[#This Row],[Total Units]])=0,"",MasterFees[[#This Row],[Fee as Printed]]/MasterFees[[#This Row],[Total Units]])</f>
        <v>55</v>
      </c>
      <c r="T756" s="36"/>
      <c r="U756" s="39" t="s">
        <v>1012</v>
      </c>
      <c r="V756" s="39" t="s">
        <v>1765</v>
      </c>
      <c r="W756" s="30"/>
      <c r="X756" s="73" t="s">
        <v>3566</v>
      </c>
      <c r="Y756" s="127" t="str">
        <f>_xlfn.XLOOKUP(MasterFees[[#This Row],[Provider / Payer]],Contracts[Contract Name],Contracts[Contract ID],"No contract")</f>
        <v>CON-01</v>
      </c>
      <c r="Z756" s="127" t="str">
        <f>_xlfn.XLOOKUP(MasterFees[[#This Row],[Provider / Payer]],Contracts[Contract Name],Contracts[Pricing Basis],"To confirm")</f>
        <v>To confirm</v>
      </c>
      <c r="AA756" s="127" t="str">
        <f>IF(MasterFees[[#This Row],[Pricing Basis]]="Fixed fee schedule","Yes","No")</f>
        <v>No</v>
      </c>
      <c r="AB756" s="127" t="str">
        <f>IF(OR(MasterFees[[#This Row],[Fee Basis]]="Add-on",MasterFees[[#This Row],[Fee Basis]]="Time band",MasterFees[[#This Row],[Fee Basis]]="Other"),MasterFees[[#This Row],[Fee Basis]],"Base")</f>
        <v>Base</v>
      </c>
      <c r="AC756" s="141" t="str">
        <f>IF(MasterFees[[#This Row],[Fixed Fee?]]="Yes",MasterFees[[#This Row],[Fee Excl. GST]],"")</f>
        <v/>
      </c>
    </row>
    <row r="757" spans="1:29" x14ac:dyDescent="0.2">
      <c r="A757" s="67" t="s">
        <v>2315</v>
      </c>
      <c r="B757" s="31">
        <f>IF(MasterFees[[#This Row],[RVG Code]]="","",_xlfn.XLOOKUP(MasterFees[[#This Row],[RVG Code]],RVGCodes[Code],RVGCodes[Base Units],"Code not found"))</f>
        <v>5</v>
      </c>
      <c r="C75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5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57" s="125" t="s">
        <v>2607</v>
      </c>
      <c r="F757" s="48" t="s">
        <v>2569</v>
      </c>
      <c r="G757" s="30" t="s">
        <v>672</v>
      </c>
      <c r="H757" s="37" t="s">
        <v>1095</v>
      </c>
      <c r="I757" s="37"/>
      <c r="J757" s="37" t="s">
        <v>1096</v>
      </c>
      <c r="K757" s="32">
        <v>4.9000000000000004</v>
      </c>
      <c r="L757" s="32">
        <v>4.0999999999999996</v>
      </c>
      <c r="M757" s="32">
        <v>0.6</v>
      </c>
      <c r="N757" s="32">
        <v>9.5</v>
      </c>
      <c r="O757" s="33">
        <v>521.95000000000005</v>
      </c>
      <c r="P757" s="38" t="s">
        <v>1014</v>
      </c>
      <c r="Q757" s="34" t="str">
        <f>IF(MasterFees[[#This Row],[GST Basis]]="Excl",MasterFees[[#This Row],[Fee as Printed]],IF(MasterFees[[#This Row],[GST Basis]]="Incl",MasterFees[[#This Row],[Fee as Printed]]/(1+GST_Rate),""))</f>
        <v/>
      </c>
      <c r="R757" s="34" t="str">
        <f>IF(MasterFees[[#This Row],[GST Basis]]="Incl",MasterFees[[#This Row],[Fee as Printed]],IF(MasterFees[[#This Row],[GST Basis]]="Excl",MasterFees[[#This Row],[Fee as Printed]]*(1+GST_Rate),""))</f>
        <v/>
      </c>
      <c r="S757" s="35">
        <f>IF(N(MasterFees[[#This Row],[Total Units]])=0,"",MasterFees[[#This Row],[Fee as Printed]]/MasterFees[[#This Row],[Total Units]])</f>
        <v>54.942105263157899</v>
      </c>
      <c r="T757" s="36"/>
      <c r="U757" s="39" t="s">
        <v>1012</v>
      </c>
      <c r="V757" s="39" t="s">
        <v>1769</v>
      </c>
      <c r="W757" s="30"/>
      <c r="X757" s="73" t="s">
        <v>3570</v>
      </c>
      <c r="Y757" s="127" t="str">
        <f>_xlfn.XLOOKUP(MasterFees[[#This Row],[Provider / Payer]],Contracts[Contract Name],Contracts[Contract ID],"No contract")</f>
        <v>CON-01</v>
      </c>
      <c r="Z757" s="127" t="str">
        <f>_xlfn.XLOOKUP(MasterFees[[#This Row],[Provider / Payer]],Contracts[Contract Name],Contracts[Pricing Basis],"To confirm")</f>
        <v>To confirm</v>
      </c>
      <c r="AA757" s="127" t="str">
        <f>IF(MasterFees[[#This Row],[Pricing Basis]]="Fixed fee schedule","Yes","No")</f>
        <v>No</v>
      </c>
      <c r="AB757" s="127" t="str">
        <f>IF(OR(MasterFees[[#This Row],[Fee Basis]]="Add-on",MasterFees[[#This Row],[Fee Basis]]="Time band",MasterFees[[#This Row],[Fee Basis]]="Other"),MasterFees[[#This Row],[Fee Basis]],"Base")</f>
        <v>Base</v>
      </c>
      <c r="AC757" s="141" t="str">
        <f>IF(MasterFees[[#This Row],[Fixed Fee?]]="Yes",MasterFees[[#This Row],[Fee Excl. GST]],"")</f>
        <v/>
      </c>
    </row>
    <row r="758" spans="1:29" x14ac:dyDescent="0.2">
      <c r="A758" s="67" t="s">
        <v>2324</v>
      </c>
      <c r="B758" s="31">
        <f>IF(MasterFees[[#This Row],[RVG Code]]="","",_xlfn.XLOOKUP(MasterFees[[#This Row],[RVG Code]],RVGCodes[Code],RVGCodes[Base Units],"Code not found"))</f>
        <v>8</v>
      </c>
      <c r="C75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5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58" s="125" t="s">
        <v>2575</v>
      </c>
      <c r="F758" s="48" t="s">
        <v>2567</v>
      </c>
      <c r="G758" s="30" t="s">
        <v>698</v>
      </c>
      <c r="H758" s="37" t="s">
        <v>1095</v>
      </c>
      <c r="I758" s="37"/>
      <c r="J758" s="37" t="s">
        <v>1096</v>
      </c>
      <c r="K758" s="32">
        <v>8</v>
      </c>
      <c r="L758" s="32">
        <v>20</v>
      </c>
      <c r="M758" s="32">
        <v>2</v>
      </c>
      <c r="N758" s="32">
        <v>30</v>
      </c>
      <c r="O758" s="33">
        <v>1650</v>
      </c>
      <c r="P758" s="38" t="s">
        <v>1014</v>
      </c>
      <c r="Q758" s="34" t="str">
        <f>IF(MasterFees[[#This Row],[GST Basis]]="Excl",MasterFees[[#This Row],[Fee as Printed]],IF(MasterFees[[#This Row],[GST Basis]]="Incl",MasterFees[[#This Row],[Fee as Printed]]/(1+GST_Rate),""))</f>
        <v/>
      </c>
      <c r="R758" s="34" t="str">
        <f>IF(MasterFees[[#This Row],[GST Basis]]="Incl",MasterFees[[#This Row],[Fee as Printed]],IF(MasterFees[[#This Row],[GST Basis]]="Excl",MasterFees[[#This Row],[Fee as Printed]]*(1+GST_Rate),""))</f>
        <v/>
      </c>
      <c r="S758" s="35">
        <f>IF(N(MasterFees[[#This Row],[Total Units]])=0,"",MasterFees[[#This Row],[Fee as Printed]]/MasterFees[[#This Row],[Total Units]])</f>
        <v>55</v>
      </c>
      <c r="T758" s="36"/>
      <c r="U758" s="39" t="s">
        <v>1012</v>
      </c>
      <c r="V758" s="39" t="s">
        <v>1795</v>
      </c>
      <c r="W758" s="30"/>
      <c r="X758" s="73" t="s">
        <v>3598</v>
      </c>
      <c r="Y758" s="127" t="str">
        <f>_xlfn.XLOOKUP(MasterFees[[#This Row],[Provider / Payer]],Contracts[Contract Name],Contracts[Contract ID],"No contract")</f>
        <v>CON-01</v>
      </c>
      <c r="Z758" s="127" t="str">
        <f>_xlfn.XLOOKUP(MasterFees[[#This Row],[Provider / Payer]],Contracts[Contract Name],Contracts[Pricing Basis],"To confirm")</f>
        <v>To confirm</v>
      </c>
      <c r="AA758" s="127" t="str">
        <f>IF(MasterFees[[#This Row],[Pricing Basis]]="Fixed fee schedule","Yes","No")</f>
        <v>No</v>
      </c>
      <c r="AB758" s="127" t="str">
        <f>IF(OR(MasterFees[[#This Row],[Fee Basis]]="Add-on",MasterFees[[#This Row],[Fee Basis]]="Time band",MasterFees[[#This Row],[Fee Basis]]="Other"),MasterFees[[#This Row],[Fee Basis]],"Base")</f>
        <v>Base</v>
      </c>
      <c r="AC758" s="141" t="str">
        <f>IF(MasterFees[[#This Row],[Fixed Fee?]]="Yes",MasterFees[[#This Row],[Fee Excl. GST]],"")</f>
        <v/>
      </c>
    </row>
    <row r="759" spans="1:29" x14ac:dyDescent="0.2">
      <c r="A759" s="67" t="s">
        <v>2315</v>
      </c>
      <c r="B759" s="31">
        <f>IF(MasterFees[[#This Row],[RVG Code]]="","",_xlfn.XLOOKUP(MasterFees[[#This Row],[RVG Code]],RVGCodes[Code],RVGCodes[Base Units],"Code not found"))</f>
        <v>5</v>
      </c>
      <c r="C75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5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59" s="125" t="s">
        <v>2607</v>
      </c>
      <c r="F759" s="48" t="s">
        <v>2569</v>
      </c>
      <c r="G759" s="30" t="s">
        <v>738</v>
      </c>
      <c r="H759" s="37" t="s">
        <v>1095</v>
      </c>
      <c r="I759" s="37"/>
      <c r="J759" s="37" t="s">
        <v>1096</v>
      </c>
      <c r="K759" s="32">
        <v>5</v>
      </c>
      <c r="L759" s="32">
        <v>6</v>
      </c>
      <c r="M759" s="32">
        <v>0</v>
      </c>
      <c r="N759" s="32">
        <v>11</v>
      </c>
      <c r="O759" s="33">
        <v>605</v>
      </c>
      <c r="P759" s="38" t="s">
        <v>1014</v>
      </c>
      <c r="Q759" s="34" t="str">
        <f>IF(MasterFees[[#This Row],[GST Basis]]="Excl",MasterFees[[#This Row],[Fee as Printed]],IF(MasterFees[[#This Row],[GST Basis]]="Incl",MasterFees[[#This Row],[Fee as Printed]]/(1+GST_Rate),""))</f>
        <v/>
      </c>
      <c r="R759" s="34" t="str">
        <f>IF(MasterFees[[#This Row],[GST Basis]]="Incl",MasterFees[[#This Row],[Fee as Printed]],IF(MasterFees[[#This Row],[GST Basis]]="Excl",MasterFees[[#This Row],[Fee as Printed]]*(1+GST_Rate),""))</f>
        <v/>
      </c>
      <c r="S759" s="35">
        <f>IF(N(MasterFees[[#This Row],[Total Units]])=0,"",MasterFees[[#This Row],[Fee as Printed]]/MasterFees[[#This Row],[Total Units]])</f>
        <v>55</v>
      </c>
      <c r="T759" s="36"/>
      <c r="U759" s="39" t="s">
        <v>1012</v>
      </c>
      <c r="V759" s="39" t="s">
        <v>1835</v>
      </c>
      <c r="W759" s="30"/>
      <c r="X759" s="73" t="s">
        <v>3638</v>
      </c>
      <c r="Y759" s="127" t="str">
        <f>_xlfn.XLOOKUP(MasterFees[[#This Row],[Provider / Payer]],Contracts[Contract Name],Contracts[Contract ID],"No contract")</f>
        <v>CON-01</v>
      </c>
      <c r="Z759" s="127" t="str">
        <f>_xlfn.XLOOKUP(MasterFees[[#This Row],[Provider / Payer]],Contracts[Contract Name],Contracts[Pricing Basis],"To confirm")</f>
        <v>To confirm</v>
      </c>
      <c r="AA759" s="127" t="str">
        <f>IF(MasterFees[[#This Row],[Pricing Basis]]="Fixed fee schedule","Yes","No")</f>
        <v>No</v>
      </c>
      <c r="AB759" s="127" t="str">
        <f>IF(OR(MasterFees[[#This Row],[Fee Basis]]="Add-on",MasterFees[[#This Row],[Fee Basis]]="Time band",MasterFees[[#This Row],[Fee Basis]]="Other"),MasterFees[[#This Row],[Fee Basis]],"Base")</f>
        <v>Base</v>
      </c>
      <c r="AC759" s="141" t="str">
        <f>IF(MasterFees[[#This Row],[Fixed Fee?]]="Yes",MasterFees[[#This Row],[Fee Excl. GST]],"")</f>
        <v/>
      </c>
    </row>
    <row r="760" spans="1:29" x14ac:dyDescent="0.2">
      <c r="A760" s="67" t="s">
        <v>2320</v>
      </c>
      <c r="B760" s="31">
        <f>IF(MasterFees[[#This Row],[RVG Code]]="","",_xlfn.XLOOKUP(MasterFees[[#This Row],[RVG Code]],RVGCodes[Code],RVGCodes[Base Units],"Code not found"))</f>
        <v>6</v>
      </c>
      <c r="C76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6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60" s="125" t="s">
        <v>2573</v>
      </c>
      <c r="F760" s="48" t="s">
        <v>2567</v>
      </c>
      <c r="G760" s="30" t="s">
        <v>749</v>
      </c>
      <c r="H760" s="37" t="s">
        <v>1095</v>
      </c>
      <c r="I760" s="37"/>
      <c r="J760" s="37" t="s">
        <v>1096</v>
      </c>
      <c r="K760" s="32">
        <v>5.5</v>
      </c>
      <c r="L760" s="32">
        <v>8.5</v>
      </c>
      <c r="M760" s="32">
        <v>0</v>
      </c>
      <c r="N760" s="32">
        <v>14</v>
      </c>
      <c r="O760" s="33">
        <v>770</v>
      </c>
      <c r="P760" s="38" t="s">
        <v>1014</v>
      </c>
      <c r="Q760" s="34" t="str">
        <f>IF(MasterFees[[#This Row],[GST Basis]]="Excl",MasterFees[[#This Row],[Fee as Printed]],IF(MasterFees[[#This Row],[GST Basis]]="Incl",MasterFees[[#This Row],[Fee as Printed]]/(1+GST_Rate),""))</f>
        <v/>
      </c>
      <c r="R760" s="34" t="str">
        <f>IF(MasterFees[[#This Row],[GST Basis]]="Incl",MasterFees[[#This Row],[Fee as Printed]],IF(MasterFees[[#This Row],[GST Basis]]="Excl",MasterFees[[#This Row],[Fee as Printed]]*(1+GST_Rate),""))</f>
        <v/>
      </c>
      <c r="S760" s="35">
        <f>IF(N(MasterFees[[#This Row],[Total Units]])=0,"",MasterFees[[#This Row],[Fee as Printed]]/MasterFees[[#This Row],[Total Units]])</f>
        <v>55</v>
      </c>
      <c r="T760" s="36"/>
      <c r="U760" s="39" t="s">
        <v>1012</v>
      </c>
      <c r="V760" s="39" t="s">
        <v>1846</v>
      </c>
      <c r="W760" s="30"/>
      <c r="X760" s="73" t="s">
        <v>3651</v>
      </c>
      <c r="Y760" s="127" t="str">
        <f>_xlfn.XLOOKUP(MasterFees[[#This Row],[Provider / Payer]],Contracts[Contract Name],Contracts[Contract ID],"No contract")</f>
        <v>CON-01</v>
      </c>
      <c r="Z760" s="127" t="str">
        <f>_xlfn.XLOOKUP(MasterFees[[#This Row],[Provider / Payer]],Contracts[Contract Name],Contracts[Pricing Basis],"To confirm")</f>
        <v>To confirm</v>
      </c>
      <c r="AA760" s="127" t="str">
        <f>IF(MasterFees[[#This Row],[Pricing Basis]]="Fixed fee schedule","Yes","No")</f>
        <v>No</v>
      </c>
      <c r="AB760" s="127" t="str">
        <f>IF(OR(MasterFees[[#This Row],[Fee Basis]]="Add-on",MasterFees[[#This Row],[Fee Basis]]="Time band",MasterFees[[#This Row],[Fee Basis]]="Other"),MasterFees[[#This Row],[Fee Basis]],"Base")</f>
        <v>Base</v>
      </c>
      <c r="AC760" s="141" t="str">
        <f>IF(MasterFees[[#This Row],[Fixed Fee?]]="Yes",MasterFees[[#This Row],[Fee Excl. GST]],"")</f>
        <v/>
      </c>
    </row>
    <row r="761" spans="1:29" x14ac:dyDescent="0.2">
      <c r="A761" s="67" t="s">
        <v>2324</v>
      </c>
      <c r="B761" s="31">
        <f>IF(MasterFees[[#This Row],[RVG Code]]="","",_xlfn.XLOOKUP(MasterFees[[#This Row],[RVG Code]],RVGCodes[Code],RVGCodes[Base Units],"Code not found"))</f>
        <v>8</v>
      </c>
      <c r="C76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6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61" s="125" t="s">
        <v>2575</v>
      </c>
      <c r="F761" s="48" t="s">
        <v>2569</v>
      </c>
      <c r="G761" s="30" t="s">
        <v>844</v>
      </c>
      <c r="H761" s="37" t="s">
        <v>1095</v>
      </c>
      <c r="I761" s="37"/>
      <c r="J761" s="37" t="s">
        <v>1096</v>
      </c>
      <c r="K761" s="32">
        <v>4.5</v>
      </c>
      <c r="L761" s="32">
        <v>7</v>
      </c>
      <c r="M761" s="32">
        <v>3</v>
      </c>
      <c r="N761" s="32">
        <v>14.5</v>
      </c>
      <c r="O761" s="33">
        <v>797.5</v>
      </c>
      <c r="P761" s="38" t="s">
        <v>1014</v>
      </c>
      <c r="Q761" s="34" t="str">
        <f>IF(MasterFees[[#This Row],[GST Basis]]="Excl",MasterFees[[#This Row],[Fee as Printed]],IF(MasterFees[[#This Row],[GST Basis]]="Incl",MasterFees[[#This Row],[Fee as Printed]]/(1+GST_Rate),""))</f>
        <v/>
      </c>
      <c r="R761" s="34" t="str">
        <f>IF(MasterFees[[#This Row],[GST Basis]]="Incl",MasterFees[[#This Row],[Fee as Printed]],IF(MasterFees[[#This Row],[GST Basis]]="Excl",MasterFees[[#This Row],[Fee as Printed]]*(1+GST_Rate),""))</f>
        <v/>
      </c>
      <c r="S761" s="35">
        <f>IF(N(MasterFees[[#This Row],[Total Units]])=0,"",MasterFees[[#This Row],[Fee as Printed]]/MasterFees[[#This Row],[Total Units]])</f>
        <v>55</v>
      </c>
      <c r="T761" s="36"/>
      <c r="U761" s="39" t="s">
        <v>1012</v>
      </c>
      <c r="V761" s="39" t="s">
        <v>1947</v>
      </c>
      <c r="W761" s="30"/>
      <c r="X761" s="73" t="s">
        <v>3759</v>
      </c>
      <c r="Y761" s="127" t="str">
        <f>_xlfn.XLOOKUP(MasterFees[[#This Row],[Provider / Payer]],Contracts[Contract Name],Contracts[Contract ID],"No contract")</f>
        <v>CON-01</v>
      </c>
      <c r="Z761" s="127" t="str">
        <f>_xlfn.XLOOKUP(MasterFees[[#This Row],[Provider / Payer]],Contracts[Contract Name],Contracts[Pricing Basis],"To confirm")</f>
        <v>To confirm</v>
      </c>
      <c r="AA761" s="127" t="str">
        <f>IF(MasterFees[[#This Row],[Pricing Basis]]="Fixed fee schedule","Yes","No")</f>
        <v>No</v>
      </c>
      <c r="AB761" s="127" t="str">
        <f>IF(OR(MasterFees[[#This Row],[Fee Basis]]="Add-on",MasterFees[[#This Row],[Fee Basis]]="Time band",MasterFees[[#This Row],[Fee Basis]]="Other"),MasterFees[[#This Row],[Fee Basis]],"Base")</f>
        <v>Base</v>
      </c>
      <c r="AC761" s="141" t="str">
        <f>IF(MasterFees[[#This Row],[Fixed Fee?]]="Yes",MasterFees[[#This Row],[Fee Excl. GST]],"")</f>
        <v/>
      </c>
    </row>
    <row r="762" spans="1:29" x14ac:dyDescent="0.2">
      <c r="A762" s="67" t="s">
        <v>2312</v>
      </c>
      <c r="B762" s="31">
        <f>IF(MasterFees[[#This Row],[RVG Code]]="","",_xlfn.XLOOKUP(MasterFees[[#This Row],[RVG Code]],RVGCodes[Code],RVGCodes[Base Units],"Code not found"))</f>
        <v>4</v>
      </c>
      <c r="C76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6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62" s="125" t="s">
        <v>2574</v>
      </c>
      <c r="F762" s="48" t="s">
        <v>2567</v>
      </c>
      <c r="G762" s="30" t="s">
        <v>848</v>
      </c>
      <c r="H762" s="37" t="s">
        <v>1095</v>
      </c>
      <c r="I762" s="37"/>
      <c r="J762" s="37" t="s">
        <v>1096</v>
      </c>
      <c r="K762" s="32">
        <v>4</v>
      </c>
      <c r="L762" s="32">
        <v>4</v>
      </c>
      <c r="M762" s="32">
        <v>0</v>
      </c>
      <c r="N762" s="32">
        <v>8</v>
      </c>
      <c r="O762" s="33">
        <v>440</v>
      </c>
      <c r="P762" s="38" t="s">
        <v>1014</v>
      </c>
      <c r="Q762" s="34" t="str">
        <f>IF(MasterFees[[#This Row],[GST Basis]]="Excl",MasterFees[[#This Row],[Fee as Printed]],IF(MasterFees[[#This Row],[GST Basis]]="Incl",MasterFees[[#This Row],[Fee as Printed]]/(1+GST_Rate),""))</f>
        <v/>
      </c>
      <c r="R762" s="34" t="str">
        <f>IF(MasterFees[[#This Row],[GST Basis]]="Incl",MasterFees[[#This Row],[Fee as Printed]],IF(MasterFees[[#This Row],[GST Basis]]="Excl",MasterFees[[#This Row],[Fee as Printed]]*(1+GST_Rate),""))</f>
        <v/>
      </c>
      <c r="S762" s="35">
        <f>IF(N(MasterFees[[#This Row],[Total Units]])=0,"",MasterFees[[#This Row],[Fee as Printed]]/MasterFees[[#This Row],[Total Units]])</f>
        <v>55</v>
      </c>
      <c r="T762" s="36"/>
      <c r="U762" s="39" t="s">
        <v>1012</v>
      </c>
      <c r="V762" s="39" t="s">
        <v>1951</v>
      </c>
      <c r="W762" s="30"/>
      <c r="X762" s="73" t="s">
        <v>3764</v>
      </c>
      <c r="Y762" s="127" t="str">
        <f>_xlfn.XLOOKUP(MasterFees[[#This Row],[Provider / Payer]],Contracts[Contract Name],Contracts[Contract ID],"No contract")</f>
        <v>CON-01</v>
      </c>
      <c r="Z762" s="127" t="str">
        <f>_xlfn.XLOOKUP(MasterFees[[#This Row],[Provider / Payer]],Contracts[Contract Name],Contracts[Pricing Basis],"To confirm")</f>
        <v>To confirm</v>
      </c>
      <c r="AA762" s="127" t="str">
        <f>IF(MasterFees[[#This Row],[Pricing Basis]]="Fixed fee schedule","Yes","No")</f>
        <v>No</v>
      </c>
      <c r="AB762" s="127" t="str">
        <f>IF(OR(MasterFees[[#This Row],[Fee Basis]]="Add-on",MasterFees[[#This Row],[Fee Basis]]="Time band",MasterFees[[#This Row],[Fee Basis]]="Other"),MasterFees[[#This Row],[Fee Basis]],"Base")</f>
        <v>Base</v>
      </c>
      <c r="AC762" s="141" t="str">
        <f>IF(MasterFees[[#This Row],[Fixed Fee?]]="Yes",MasterFees[[#This Row],[Fee Excl. GST]],"")</f>
        <v/>
      </c>
    </row>
    <row r="763" spans="1:29" x14ac:dyDescent="0.2">
      <c r="A763" s="67" t="s">
        <v>2315</v>
      </c>
      <c r="B763" s="31">
        <f>IF(MasterFees[[#This Row],[RVG Code]]="","",_xlfn.XLOOKUP(MasterFees[[#This Row],[RVG Code]],RVGCodes[Code],RVGCodes[Base Units],"Code not found"))</f>
        <v>5</v>
      </c>
      <c r="C76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6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63" s="125" t="s">
        <v>2607</v>
      </c>
      <c r="F763" s="48" t="s">
        <v>2629</v>
      </c>
      <c r="G763" s="30" t="s">
        <v>2316</v>
      </c>
      <c r="H763" s="37" t="s">
        <v>2630</v>
      </c>
      <c r="I763" s="37" t="s">
        <v>2315</v>
      </c>
      <c r="J763" s="37" t="s">
        <v>1096</v>
      </c>
      <c r="K763" s="32">
        <v>5</v>
      </c>
      <c r="L763" s="32"/>
      <c r="M763" s="32"/>
      <c r="N763" s="32">
        <v>5</v>
      </c>
      <c r="O763" s="33"/>
      <c r="P763" s="38"/>
      <c r="Q763" s="34" t="str">
        <f>IF(MasterFees[[#This Row],[GST Basis]]="Excl",MasterFees[[#This Row],[Fee as Printed]],IF(MasterFees[[#This Row],[GST Basis]]="Incl",MasterFees[[#This Row],[Fee as Printed]]/(1+GST_Rate),""))</f>
        <v/>
      </c>
      <c r="R763" s="34" t="str">
        <f>IF(MasterFees[[#This Row],[GST Basis]]="Incl",MasterFees[[#This Row],[Fee as Printed]],IF(MasterFees[[#This Row],[GST Basis]]="Excl",MasterFees[[#This Row],[Fee as Printed]]*(1+GST_Rate),""))</f>
        <v/>
      </c>
      <c r="S763" s="35">
        <f>IF(N(MasterFees[[#This Row],[Total Units]])=0,"",MasterFees[[#This Row],[Fee as Printed]]/MasterFees[[#This Row],[Total Units]])</f>
        <v>0</v>
      </c>
      <c r="T763" s="36"/>
      <c r="U763" s="39" t="s">
        <v>1016</v>
      </c>
      <c r="V763" s="39" t="s">
        <v>2634</v>
      </c>
      <c r="W763" s="30" t="s">
        <v>2635</v>
      </c>
      <c r="X763" s="73" t="s">
        <v>3911</v>
      </c>
      <c r="Y763" s="127" t="str">
        <f>_xlfn.XLOOKUP(MasterFees[[#This Row],[Provider / Payer]],Contracts[Contract Name],Contracts[Contract ID],"No contract")</f>
        <v>CON-10</v>
      </c>
      <c r="Z763" s="127" t="str">
        <f>_xlfn.XLOOKUP(MasterFees[[#This Row],[Provider / Payer]],Contracts[Contract Name],Contracts[Pricing Basis],"To confirm")</f>
        <v>Reference – units only</v>
      </c>
      <c r="AA763" s="127" t="str">
        <f>IF(MasterFees[[#This Row],[Pricing Basis]]="Fixed fee schedule","Yes","No")</f>
        <v>No</v>
      </c>
      <c r="AB763" s="127" t="str">
        <f>IF(OR(MasterFees[[#This Row],[Fee Basis]]="Add-on",MasterFees[[#This Row],[Fee Basis]]="Time band",MasterFees[[#This Row],[Fee Basis]]="Other"),MasterFees[[#This Row],[Fee Basis]],"Base")</f>
        <v>Base</v>
      </c>
      <c r="AC763" s="141" t="str">
        <f>IF(MasterFees[[#This Row],[Fixed Fee?]]="Yes",MasterFees[[#This Row],[Fee Excl. GST]],"")</f>
        <v/>
      </c>
    </row>
    <row r="764" spans="1:29" x14ac:dyDescent="0.2">
      <c r="A764" s="67" t="s">
        <v>2320</v>
      </c>
      <c r="B764" s="31">
        <f>IF(MasterFees[[#This Row],[RVG Code]]="","",_xlfn.XLOOKUP(MasterFees[[#This Row],[RVG Code]],RVGCodes[Code],RVGCodes[Base Units],"Code not found"))</f>
        <v>6</v>
      </c>
      <c r="C76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6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64" s="125" t="s">
        <v>2573</v>
      </c>
      <c r="F764" s="48" t="s">
        <v>2567</v>
      </c>
      <c r="G764" s="30" t="s">
        <v>873</v>
      </c>
      <c r="H764" s="37" t="s">
        <v>1095</v>
      </c>
      <c r="I764" s="37"/>
      <c r="J764" s="37" t="s">
        <v>1096</v>
      </c>
      <c r="K764" s="32">
        <v>5.0999999999999996</v>
      </c>
      <c r="L764" s="32">
        <v>5.9</v>
      </c>
      <c r="M764" s="32">
        <v>0.4</v>
      </c>
      <c r="N764" s="32">
        <v>11.3</v>
      </c>
      <c r="O764" s="33">
        <v>623.70000000000005</v>
      </c>
      <c r="P764" s="38" t="s">
        <v>1014</v>
      </c>
      <c r="Q764" s="34" t="str">
        <f>IF(MasterFees[[#This Row],[GST Basis]]="Excl",MasterFees[[#This Row],[Fee as Printed]],IF(MasterFees[[#This Row],[GST Basis]]="Incl",MasterFees[[#This Row],[Fee as Printed]]/(1+GST_Rate),""))</f>
        <v/>
      </c>
      <c r="R764" s="34" t="str">
        <f>IF(MasterFees[[#This Row],[GST Basis]]="Incl",MasterFees[[#This Row],[Fee as Printed]],IF(MasterFees[[#This Row],[GST Basis]]="Excl",MasterFees[[#This Row],[Fee as Printed]]*(1+GST_Rate),""))</f>
        <v/>
      </c>
      <c r="S764" s="35">
        <f>IF(N(MasterFees[[#This Row],[Total Units]])=0,"",MasterFees[[#This Row],[Fee as Printed]]/MasterFees[[#This Row],[Total Units]])</f>
        <v>55.194690265486727</v>
      </c>
      <c r="T764" s="36"/>
      <c r="U764" s="39" t="s">
        <v>1012</v>
      </c>
      <c r="V764" s="39" t="s">
        <v>1976</v>
      </c>
      <c r="W764" s="30"/>
      <c r="X764" s="73" t="s">
        <v>3793</v>
      </c>
      <c r="Y764" s="127" t="str">
        <f>_xlfn.XLOOKUP(MasterFees[[#This Row],[Provider / Payer]],Contracts[Contract Name],Contracts[Contract ID],"No contract")</f>
        <v>CON-01</v>
      </c>
      <c r="Z764" s="127" t="str">
        <f>_xlfn.XLOOKUP(MasterFees[[#This Row],[Provider / Payer]],Contracts[Contract Name],Contracts[Pricing Basis],"To confirm")</f>
        <v>To confirm</v>
      </c>
      <c r="AA764" s="127" t="str">
        <f>IF(MasterFees[[#This Row],[Pricing Basis]]="Fixed fee schedule","Yes","No")</f>
        <v>No</v>
      </c>
      <c r="AB764" s="127" t="str">
        <f>IF(OR(MasterFees[[#This Row],[Fee Basis]]="Add-on",MasterFees[[#This Row],[Fee Basis]]="Time band",MasterFees[[#This Row],[Fee Basis]]="Other"),MasterFees[[#This Row],[Fee Basis]],"Base")</f>
        <v>Base</v>
      </c>
      <c r="AC764" s="141" t="str">
        <f>IF(MasterFees[[#This Row],[Fixed Fee?]]="Yes",MasterFees[[#This Row],[Fee Excl. GST]],"")</f>
        <v/>
      </c>
    </row>
    <row r="765" spans="1:29" x14ac:dyDescent="0.2">
      <c r="A765" s="67" t="s">
        <v>2315</v>
      </c>
      <c r="B765" s="31">
        <f>IF(MasterFees[[#This Row],[RVG Code]]="","",_xlfn.XLOOKUP(MasterFees[[#This Row],[RVG Code]],RVGCodes[Code],RVGCodes[Base Units],"Code not found"))</f>
        <v>5</v>
      </c>
      <c r="C76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6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65" s="125" t="s">
        <v>2607</v>
      </c>
      <c r="F765" s="48" t="s">
        <v>2569</v>
      </c>
      <c r="G765" s="30" t="s">
        <v>891</v>
      </c>
      <c r="H765" s="37" t="s">
        <v>1095</v>
      </c>
      <c r="I765" s="37"/>
      <c r="J765" s="37" t="s">
        <v>1096</v>
      </c>
      <c r="K765" s="32">
        <v>2</v>
      </c>
      <c r="L765" s="32">
        <v>2</v>
      </c>
      <c r="M765" s="32">
        <v>1</v>
      </c>
      <c r="N765" s="32">
        <v>5</v>
      </c>
      <c r="O765" s="33">
        <v>275</v>
      </c>
      <c r="P765" s="38" t="s">
        <v>1014</v>
      </c>
      <c r="Q765" s="34" t="str">
        <f>IF(MasterFees[[#This Row],[GST Basis]]="Excl",MasterFees[[#This Row],[Fee as Printed]],IF(MasterFees[[#This Row],[GST Basis]]="Incl",MasterFees[[#This Row],[Fee as Printed]]/(1+GST_Rate),""))</f>
        <v/>
      </c>
      <c r="R765" s="34" t="str">
        <f>IF(MasterFees[[#This Row],[GST Basis]]="Incl",MasterFees[[#This Row],[Fee as Printed]],IF(MasterFees[[#This Row],[GST Basis]]="Excl",MasterFees[[#This Row],[Fee as Printed]]*(1+GST_Rate),""))</f>
        <v/>
      </c>
      <c r="S765" s="35">
        <f>IF(N(MasterFees[[#This Row],[Total Units]])=0,"",MasterFees[[#This Row],[Fee as Printed]]/MasterFees[[#This Row],[Total Units]])</f>
        <v>55</v>
      </c>
      <c r="T765" s="36"/>
      <c r="U765" s="39" t="s">
        <v>1012</v>
      </c>
      <c r="V765" s="39" t="s">
        <v>1994</v>
      </c>
      <c r="W765" s="30"/>
      <c r="X765" s="73" t="s">
        <v>3817</v>
      </c>
      <c r="Y765" s="127" t="str">
        <f>_xlfn.XLOOKUP(MasterFees[[#This Row],[Provider / Payer]],Contracts[Contract Name],Contracts[Contract ID],"No contract")</f>
        <v>CON-01</v>
      </c>
      <c r="Z765" s="127" t="str">
        <f>_xlfn.XLOOKUP(MasterFees[[#This Row],[Provider / Payer]],Contracts[Contract Name],Contracts[Pricing Basis],"To confirm")</f>
        <v>To confirm</v>
      </c>
      <c r="AA765" s="127" t="str">
        <f>IF(MasterFees[[#This Row],[Pricing Basis]]="Fixed fee schedule","Yes","No")</f>
        <v>No</v>
      </c>
      <c r="AB765" s="127" t="str">
        <f>IF(OR(MasterFees[[#This Row],[Fee Basis]]="Add-on",MasterFees[[#This Row],[Fee Basis]]="Time band",MasterFees[[#This Row],[Fee Basis]]="Other"),MasterFees[[#This Row],[Fee Basis]],"Base")</f>
        <v>Base</v>
      </c>
      <c r="AC765" s="141" t="str">
        <f>IF(MasterFees[[#This Row],[Fixed Fee?]]="Yes",MasterFees[[#This Row],[Fee Excl. GST]],"")</f>
        <v/>
      </c>
    </row>
    <row r="766" spans="1:29" x14ac:dyDescent="0.2">
      <c r="A766" s="67" t="s">
        <v>2315</v>
      </c>
      <c r="B766" s="31">
        <f>IF(MasterFees[[#This Row],[RVG Code]]="","",_xlfn.XLOOKUP(MasterFees[[#This Row],[RVG Code]],RVGCodes[Code],RVGCodes[Base Units],"Code not found"))</f>
        <v>5</v>
      </c>
      <c r="C76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6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66" s="125" t="s">
        <v>2607</v>
      </c>
      <c r="F766" s="48" t="s">
        <v>2567</v>
      </c>
      <c r="G766" s="30" t="s">
        <v>895</v>
      </c>
      <c r="H766" s="37" t="s">
        <v>1095</v>
      </c>
      <c r="I766" s="37"/>
      <c r="J766" s="37" t="s">
        <v>1096</v>
      </c>
      <c r="K766" s="32">
        <v>3.9</v>
      </c>
      <c r="L766" s="32">
        <v>3.9</v>
      </c>
      <c r="M766" s="32">
        <v>1.1000000000000001</v>
      </c>
      <c r="N766" s="32">
        <v>8.9</v>
      </c>
      <c r="O766" s="33">
        <v>487.3</v>
      </c>
      <c r="P766" s="38" t="s">
        <v>1014</v>
      </c>
      <c r="Q766" s="34" t="str">
        <f>IF(MasterFees[[#This Row],[GST Basis]]="Excl",MasterFees[[#This Row],[Fee as Printed]],IF(MasterFees[[#This Row],[GST Basis]]="Incl",MasterFees[[#This Row],[Fee as Printed]]/(1+GST_Rate),""))</f>
        <v/>
      </c>
      <c r="R766" s="34" t="str">
        <f>IF(MasterFees[[#This Row],[GST Basis]]="Incl",MasterFees[[#This Row],[Fee as Printed]],IF(MasterFees[[#This Row],[GST Basis]]="Excl",MasterFees[[#This Row],[Fee as Printed]]*(1+GST_Rate),""))</f>
        <v/>
      </c>
      <c r="S766" s="35">
        <f>IF(N(MasterFees[[#This Row],[Total Units]])=0,"",MasterFees[[#This Row],[Fee as Printed]]/MasterFees[[#This Row],[Total Units]])</f>
        <v>54.752808988764045</v>
      </c>
      <c r="T766" s="36"/>
      <c r="U766" s="39" t="s">
        <v>1012</v>
      </c>
      <c r="V766" s="39" t="s">
        <v>1998</v>
      </c>
      <c r="W766" s="30"/>
      <c r="X766" s="73" t="s">
        <v>3821</v>
      </c>
      <c r="Y766" s="127" t="str">
        <f>_xlfn.XLOOKUP(MasterFees[[#This Row],[Provider / Payer]],Contracts[Contract Name],Contracts[Contract ID],"No contract")</f>
        <v>CON-01</v>
      </c>
      <c r="Z766" s="127" t="str">
        <f>_xlfn.XLOOKUP(MasterFees[[#This Row],[Provider / Payer]],Contracts[Contract Name],Contracts[Pricing Basis],"To confirm")</f>
        <v>To confirm</v>
      </c>
      <c r="AA766" s="127" t="str">
        <f>IF(MasterFees[[#This Row],[Pricing Basis]]="Fixed fee schedule","Yes","No")</f>
        <v>No</v>
      </c>
      <c r="AB766" s="127" t="str">
        <f>IF(OR(MasterFees[[#This Row],[Fee Basis]]="Add-on",MasterFees[[#This Row],[Fee Basis]]="Time band",MasterFees[[#This Row],[Fee Basis]]="Other"),MasterFees[[#This Row],[Fee Basis]],"Base")</f>
        <v>Base</v>
      </c>
      <c r="AC766" s="141" t="str">
        <f>IF(MasterFees[[#This Row],[Fixed Fee?]]="Yes",MasterFees[[#This Row],[Fee Excl. GST]],"")</f>
        <v/>
      </c>
    </row>
    <row r="767" spans="1:29" x14ac:dyDescent="0.2">
      <c r="A767" s="67" t="s">
        <v>2315</v>
      </c>
      <c r="B767" s="31">
        <f>IF(MasterFees[[#This Row],[RVG Code]]="","",_xlfn.XLOOKUP(MasterFees[[#This Row],[RVG Code]],RVGCodes[Code],RVGCodes[Base Units],"Code not found"))</f>
        <v>5</v>
      </c>
      <c r="C76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6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67" s="125" t="s">
        <v>2607</v>
      </c>
      <c r="F767" s="48" t="s">
        <v>2569</v>
      </c>
      <c r="G767" s="30" t="s">
        <v>901</v>
      </c>
      <c r="H767" s="37" t="s">
        <v>1095</v>
      </c>
      <c r="I767" s="37"/>
      <c r="J767" s="37" t="s">
        <v>1096</v>
      </c>
      <c r="K767" s="32">
        <v>4.5</v>
      </c>
      <c r="L767" s="32">
        <v>3.3</v>
      </c>
      <c r="M767" s="32">
        <v>0</v>
      </c>
      <c r="N767" s="32">
        <v>7.8</v>
      </c>
      <c r="O767" s="33">
        <v>426.25</v>
      </c>
      <c r="P767" s="38" t="s">
        <v>1014</v>
      </c>
      <c r="Q767" s="34" t="str">
        <f>IF(MasterFees[[#This Row],[GST Basis]]="Excl",MasterFees[[#This Row],[Fee as Printed]],IF(MasterFees[[#This Row],[GST Basis]]="Incl",MasterFees[[#This Row],[Fee as Printed]]/(1+GST_Rate),""))</f>
        <v/>
      </c>
      <c r="R767" s="34" t="str">
        <f>IF(MasterFees[[#This Row],[GST Basis]]="Incl",MasterFees[[#This Row],[Fee as Printed]],IF(MasterFees[[#This Row],[GST Basis]]="Excl",MasterFees[[#This Row],[Fee as Printed]]*(1+GST_Rate),""))</f>
        <v/>
      </c>
      <c r="S767" s="35">
        <f>IF(N(MasterFees[[#This Row],[Total Units]])=0,"",MasterFees[[#This Row],[Fee as Printed]]/MasterFees[[#This Row],[Total Units]])</f>
        <v>54.647435897435898</v>
      </c>
      <c r="T767" s="36"/>
      <c r="U767" s="39" t="s">
        <v>1012</v>
      </c>
      <c r="V767" s="39" t="s">
        <v>2004</v>
      </c>
      <c r="W767" s="30"/>
      <c r="X767" s="73" t="s">
        <v>3828</v>
      </c>
      <c r="Y767" s="127" t="str">
        <f>_xlfn.XLOOKUP(MasterFees[[#This Row],[Provider / Payer]],Contracts[Contract Name],Contracts[Contract ID],"No contract")</f>
        <v>CON-01</v>
      </c>
      <c r="Z767" s="127" t="str">
        <f>_xlfn.XLOOKUP(MasterFees[[#This Row],[Provider / Payer]],Contracts[Contract Name],Contracts[Pricing Basis],"To confirm")</f>
        <v>To confirm</v>
      </c>
      <c r="AA767" s="127" t="str">
        <f>IF(MasterFees[[#This Row],[Pricing Basis]]="Fixed fee schedule","Yes","No")</f>
        <v>No</v>
      </c>
      <c r="AB767" s="127" t="str">
        <f>IF(OR(MasterFees[[#This Row],[Fee Basis]]="Add-on",MasterFees[[#This Row],[Fee Basis]]="Time band",MasterFees[[#This Row],[Fee Basis]]="Other"),MasterFees[[#This Row],[Fee Basis]],"Base")</f>
        <v>Base</v>
      </c>
      <c r="AC767" s="141" t="str">
        <f>IF(MasterFees[[#This Row],[Fixed Fee?]]="Yes",MasterFees[[#This Row],[Fee Excl. GST]],"")</f>
        <v/>
      </c>
    </row>
    <row r="768" spans="1:29" x14ac:dyDescent="0.2">
      <c r="A768" s="67" t="s">
        <v>2315</v>
      </c>
      <c r="B768" s="31">
        <f>IF(MasterFees[[#This Row],[RVG Code]]="","",_xlfn.XLOOKUP(MasterFees[[#This Row],[RVG Code]],RVGCodes[Code],RVGCodes[Base Units],"Code not found"))</f>
        <v>5</v>
      </c>
      <c r="C76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6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68" s="125" t="s">
        <v>2607</v>
      </c>
      <c r="F768" s="48" t="s">
        <v>2569</v>
      </c>
      <c r="G768" s="30" t="s">
        <v>905</v>
      </c>
      <c r="H768" s="37" t="s">
        <v>1095</v>
      </c>
      <c r="I768" s="37"/>
      <c r="J768" s="37" t="s">
        <v>1096</v>
      </c>
      <c r="K768" s="32">
        <v>0</v>
      </c>
      <c r="L768" s="32">
        <v>3</v>
      </c>
      <c r="M768" s="32">
        <v>0</v>
      </c>
      <c r="N768" s="32">
        <v>3</v>
      </c>
      <c r="O768" s="33">
        <v>165</v>
      </c>
      <c r="P768" s="38" t="s">
        <v>1014</v>
      </c>
      <c r="Q768" s="34" t="str">
        <f>IF(MasterFees[[#This Row],[GST Basis]]="Excl",MasterFees[[#This Row],[Fee as Printed]],IF(MasterFees[[#This Row],[GST Basis]]="Incl",MasterFees[[#This Row],[Fee as Printed]]/(1+GST_Rate),""))</f>
        <v/>
      </c>
      <c r="R768" s="34" t="str">
        <f>IF(MasterFees[[#This Row],[GST Basis]]="Incl",MasterFees[[#This Row],[Fee as Printed]],IF(MasterFees[[#This Row],[GST Basis]]="Excl",MasterFees[[#This Row],[Fee as Printed]]*(1+GST_Rate),""))</f>
        <v/>
      </c>
      <c r="S768" s="35">
        <f>IF(N(MasterFees[[#This Row],[Total Units]])=0,"",MasterFees[[#This Row],[Fee as Printed]]/MasterFees[[#This Row],[Total Units]])</f>
        <v>55</v>
      </c>
      <c r="T768" s="36"/>
      <c r="U768" s="39" t="s">
        <v>1012</v>
      </c>
      <c r="V768" s="39" t="s">
        <v>2008</v>
      </c>
      <c r="W768" s="30"/>
      <c r="X768" s="73" t="s">
        <v>3833</v>
      </c>
      <c r="Y768" s="127" t="str">
        <f>_xlfn.XLOOKUP(MasterFees[[#This Row],[Provider / Payer]],Contracts[Contract Name],Contracts[Contract ID],"No contract")</f>
        <v>CON-01</v>
      </c>
      <c r="Z768" s="127" t="str">
        <f>_xlfn.XLOOKUP(MasterFees[[#This Row],[Provider / Payer]],Contracts[Contract Name],Contracts[Pricing Basis],"To confirm")</f>
        <v>To confirm</v>
      </c>
      <c r="AA768" s="127" t="str">
        <f>IF(MasterFees[[#This Row],[Pricing Basis]]="Fixed fee schedule","Yes","No")</f>
        <v>No</v>
      </c>
      <c r="AB768" s="127" t="str">
        <f>IF(OR(MasterFees[[#This Row],[Fee Basis]]="Add-on",MasterFees[[#This Row],[Fee Basis]]="Time band",MasterFees[[#This Row],[Fee Basis]]="Other"),MasterFees[[#This Row],[Fee Basis]],"Base")</f>
        <v>Base</v>
      </c>
      <c r="AC768" s="141" t="str">
        <f>IF(MasterFees[[#This Row],[Fixed Fee?]]="Yes",MasterFees[[#This Row],[Fee Excl. GST]],"")</f>
        <v/>
      </c>
    </row>
    <row r="769" spans="1:29" x14ac:dyDescent="0.2">
      <c r="A769" s="67" t="s">
        <v>2320</v>
      </c>
      <c r="B769" s="31">
        <f>IF(MasterFees[[#This Row],[RVG Code]]="","",_xlfn.XLOOKUP(MasterFees[[#This Row],[RVG Code]],RVGCodes[Code],RVGCodes[Base Units],"Code not found"))</f>
        <v>6</v>
      </c>
      <c r="C76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6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69" s="125" t="s">
        <v>2573</v>
      </c>
      <c r="F769" s="48" t="s">
        <v>2569</v>
      </c>
      <c r="G769" s="30" t="s">
        <v>928</v>
      </c>
      <c r="H769" s="37" t="s">
        <v>1095</v>
      </c>
      <c r="I769" s="37"/>
      <c r="J769" s="37" t="s">
        <v>1096</v>
      </c>
      <c r="K769" s="32">
        <v>8</v>
      </c>
      <c r="L769" s="32">
        <v>7.8</v>
      </c>
      <c r="M769" s="32">
        <v>0.5</v>
      </c>
      <c r="N769" s="32">
        <v>16.3</v>
      </c>
      <c r="O769" s="33">
        <v>894.85</v>
      </c>
      <c r="P769" s="38" t="s">
        <v>1014</v>
      </c>
      <c r="Q769" s="34" t="str">
        <f>IF(MasterFees[[#This Row],[GST Basis]]="Excl",MasterFees[[#This Row],[Fee as Printed]],IF(MasterFees[[#This Row],[GST Basis]]="Incl",MasterFees[[#This Row],[Fee as Printed]]/(1+GST_Rate),""))</f>
        <v/>
      </c>
      <c r="R769" s="34" t="str">
        <f>IF(MasterFees[[#This Row],[GST Basis]]="Incl",MasterFees[[#This Row],[Fee as Printed]],IF(MasterFees[[#This Row],[GST Basis]]="Excl",MasterFees[[#This Row],[Fee as Printed]]*(1+GST_Rate),""))</f>
        <v/>
      </c>
      <c r="S769" s="35">
        <f>IF(N(MasterFees[[#This Row],[Total Units]])=0,"",MasterFees[[#This Row],[Fee as Printed]]/MasterFees[[#This Row],[Total Units]])</f>
        <v>54.898773006134967</v>
      </c>
      <c r="T769" s="36"/>
      <c r="U769" s="39" t="s">
        <v>1012</v>
      </c>
      <c r="V769" s="39" t="s">
        <v>2031</v>
      </c>
      <c r="W769" s="30"/>
      <c r="X769" s="73" t="s">
        <v>3861</v>
      </c>
      <c r="Y769" s="127" t="str">
        <f>_xlfn.XLOOKUP(MasterFees[[#This Row],[Provider / Payer]],Contracts[Contract Name],Contracts[Contract ID],"No contract")</f>
        <v>CON-01</v>
      </c>
      <c r="Z769" s="127" t="str">
        <f>_xlfn.XLOOKUP(MasterFees[[#This Row],[Provider / Payer]],Contracts[Contract Name],Contracts[Pricing Basis],"To confirm")</f>
        <v>To confirm</v>
      </c>
      <c r="AA769" s="127" t="str">
        <f>IF(MasterFees[[#This Row],[Pricing Basis]]="Fixed fee schedule","Yes","No")</f>
        <v>No</v>
      </c>
      <c r="AB769" s="127" t="str">
        <f>IF(OR(MasterFees[[#This Row],[Fee Basis]]="Add-on",MasterFees[[#This Row],[Fee Basis]]="Time band",MasterFees[[#This Row],[Fee Basis]]="Other"),MasterFees[[#This Row],[Fee Basis]],"Base")</f>
        <v>Base</v>
      </c>
      <c r="AC769" s="141" t="str">
        <f>IF(MasterFees[[#This Row],[Fixed Fee?]]="Yes",MasterFees[[#This Row],[Fee Excl. GST]],"")</f>
        <v/>
      </c>
    </row>
    <row r="770" spans="1:29" x14ac:dyDescent="0.2">
      <c r="A770" s="67" t="s">
        <v>2315</v>
      </c>
      <c r="B770" s="31">
        <f>IF(MasterFees[[#This Row],[RVG Code]]="","",_xlfn.XLOOKUP(MasterFees[[#This Row],[RVG Code]],RVGCodes[Code],RVGCodes[Base Units],"Code not found"))</f>
        <v>5</v>
      </c>
      <c r="C77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7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70" s="125" t="s">
        <v>2607</v>
      </c>
      <c r="F770" s="48" t="s">
        <v>2569</v>
      </c>
      <c r="G770" s="30" t="s">
        <v>948</v>
      </c>
      <c r="H770" s="37" t="s">
        <v>1095</v>
      </c>
      <c r="I770" s="37"/>
      <c r="J770" s="37" t="s">
        <v>1096</v>
      </c>
      <c r="K770" s="32">
        <v>4.5999999999999996</v>
      </c>
      <c r="L770" s="32">
        <v>3.6</v>
      </c>
      <c r="M770" s="32">
        <v>0.6</v>
      </c>
      <c r="N770" s="32">
        <v>8.8000000000000007</v>
      </c>
      <c r="O770" s="33">
        <v>481.25</v>
      </c>
      <c r="P770" s="38" t="s">
        <v>1014</v>
      </c>
      <c r="Q770" s="34" t="str">
        <f>IF(MasterFees[[#This Row],[GST Basis]]="Excl",MasterFees[[#This Row],[Fee as Printed]],IF(MasterFees[[#This Row],[GST Basis]]="Incl",MasterFees[[#This Row],[Fee as Printed]]/(1+GST_Rate),""))</f>
        <v/>
      </c>
      <c r="R770" s="34" t="str">
        <f>IF(MasterFees[[#This Row],[GST Basis]]="Incl",MasterFees[[#This Row],[Fee as Printed]],IF(MasterFees[[#This Row],[GST Basis]]="Excl",MasterFees[[#This Row],[Fee as Printed]]*(1+GST_Rate),""))</f>
        <v/>
      </c>
      <c r="S770" s="35">
        <f>IF(N(MasterFees[[#This Row],[Total Units]])=0,"",MasterFees[[#This Row],[Fee as Printed]]/MasterFees[[#This Row],[Total Units]])</f>
        <v>54.687499999999993</v>
      </c>
      <c r="T770" s="36"/>
      <c r="U770" s="39" t="s">
        <v>1012</v>
      </c>
      <c r="V770" s="39" t="s">
        <v>2051</v>
      </c>
      <c r="W770" s="30"/>
      <c r="X770" s="73" t="s">
        <v>3887</v>
      </c>
      <c r="Y770" s="127" t="str">
        <f>_xlfn.XLOOKUP(MasterFees[[#This Row],[Provider / Payer]],Contracts[Contract Name],Contracts[Contract ID],"No contract")</f>
        <v>CON-01</v>
      </c>
      <c r="Z770" s="127" t="str">
        <f>_xlfn.XLOOKUP(MasterFees[[#This Row],[Provider / Payer]],Contracts[Contract Name],Contracts[Pricing Basis],"To confirm")</f>
        <v>To confirm</v>
      </c>
      <c r="AA770" s="127" t="str">
        <f>IF(MasterFees[[#This Row],[Pricing Basis]]="Fixed fee schedule","Yes","No")</f>
        <v>No</v>
      </c>
      <c r="AB770" s="127" t="str">
        <f>IF(OR(MasterFees[[#This Row],[Fee Basis]]="Add-on",MasterFees[[#This Row],[Fee Basis]]="Time band",MasterFees[[#This Row],[Fee Basis]]="Other"),MasterFees[[#This Row],[Fee Basis]],"Base")</f>
        <v>Base</v>
      </c>
      <c r="AC770" s="141" t="str">
        <f>IF(MasterFees[[#This Row],[Fixed Fee?]]="Yes",MasterFees[[#This Row],[Fee Excl. GST]],"")</f>
        <v/>
      </c>
    </row>
    <row r="771" spans="1:29" x14ac:dyDescent="0.2">
      <c r="A771" s="67" t="s">
        <v>2315</v>
      </c>
      <c r="B771" s="31">
        <f>IF(MasterFees[[#This Row],[RVG Code]]="","",_xlfn.XLOOKUP(MasterFees[[#This Row],[RVG Code]],RVGCodes[Code],RVGCodes[Base Units],"Code not found"))</f>
        <v>5</v>
      </c>
      <c r="C77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7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71" s="125" t="s">
        <v>2607</v>
      </c>
      <c r="F771" s="48" t="s">
        <v>2569</v>
      </c>
      <c r="G771" s="30" t="s">
        <v>949</v>
      </c>
      <c r="H771" s="37" t="s">
        <v>1095</v>
      </c>
      <c r="I771" s="37"/>
      <c r="J771" s="37" t="s">
        <v>1096</v>
      </c>
      <c r="K771" s="32">
        <v>5</v>
      </c>
      <c r="L771" s="32">
        <v>3.5</v>
      </c>
      <c r="M771" s="32">
        <v>0</v>
      </c>
      <c r="N771" s="32">
        <v>8.5</v>
      </c>
      <c r="O771" s="33">
        <v>467.5</v>
      </c>
      <c r="P771" s="38" t="s">
        <v>1014</v>
      </c>
      <c r="Q771" s="34" t="str">
        <f>IF(MasterFees[[#This Row],[GST Basis]]="Excl",MasterFees[[#This Row],[Fee as Printed]],IF(MasterFees[[#This Row],[GST Basis]]="Incl",MasterFees[[#This Row],[Fee as Printed]]/(1+GST_Rate),""))</f>
        <v/>
      </c>
      <c r="R771" s="34" t="str">
        <f>IF(MasterFees[[#This Row],[GST Basis]]="Incl",MasterFees[[#This Row],[Fee as Printed]],IF(MasterFees[[#This Row],[GST Basis]]="Excl",MasterFees[[#This Row],[Fee as Printed]]*(1+GST_Rate),""))</f>
        <v/>
      </c>
      <c r="S771" s="35">
        <f>IF(N(MasterFees[[#This Row],[Total Units]])=0,"",MasterFees[[#This Row],[Fee as Printed]]/MasterFees[[#This Row],[Total Units]])</f>
        <v>55</v>
      </c>
      <c r="T771" s="36"/>
      <c r="U771" s="39" t="s">
        <v>1012</v>
      </c>
      <c r="V771" s="39" t="s">
        <v>2052</v>
      </c>
      <c r="W771" s="30"/>
      <c r="X771" s="73" t="s">
        <v>3888</v>
      </c>
      <c r="Y771" s="127" t="str">
        <f>_xlfn.XLOOKUP(MasterFees[[#This Row],[Provider / Payer]],Contracts[Contract Name],Contracts[Contract ID],"No contract")</f>
        <v>CON-01</v>
      </c>
      <c r="Z771" s="127" t="str">
        <f>_xlfn.XLOOKUP(MasterFees[[#This Row],[Provider / Payer]],Contracts[Contract Name],Contracts[Pricing Basis],"To confirm")</f>
        <v>To confirm</v>
      </c>
      <c r="AA771" s="127" t="str">
        <f>IF(MasterFees[[#This Row],[Pricing Basis]]="Fixed fee schedule","Yes","No")</f>
        <v>No</v>
      </c>
      <c r="AB771" s="127" t="str">
        <f>IF(OR(MasterFees[[#This Row],[Fee Basis]]="Add-on",MasterFees[[#This Row],[Fee Basis]]="Time band",MasterFees[[#This Row],[Fee Basis]]="Other"),MasterFees[[#This Row],[Fee Basis]],"Base")</f>
        <v>Base</v>
      </c>
      <c r="AC771" s="141" t="str">
        <f>IF(MasterFees[[#This Row],[Fixed Fee?]]="Yes",MasterFees[[#This Row],[Fee Excl. GST]],"")</f>
        <v/>
      </c>
    </row>
    <row r="772" spans="1:29" x14ac:dyDescent="0.2">
      <c r="A772" s="67" t="s">
        <v>2320</v>
      </c>
      <c r="B772" s="31">
        <f>IF(MasterFees[[#This Row],[RVG Code]]="","",_xlfn.XLOOKUP(MasterFees[[#This Row],[RVG Code]],RVGCodes[Code],RVGCodes[Base Units],"Code not found"))</f>
        <v>6</v>
      </c>
      <c r="C77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7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72" s="125" t="s">
        <v>2573</v>
      </c>
      <c r="F772" s="48" t="s">
        <v>2569</v>
      </c>
      <c r="G772" s="30" t="s">
        <v>960</v>
      </c>
      <c r="H772" s="37" t="s">
        <v>1095</v>
      </c>
      <c r="I772" s="37"/>
      <c r="J772" s="37" t="s">
        <v>1096</v>
      </c>
      <c r="K772" s="32">
        <v>6</v>
      </c>
      <c r="L772" s="32">
        <v>6.3</v>
      </c>
      <c r="M772" s="32">
        <v>0.5</v>
      </c>
      <c r="N772" s="32">
        <v>12.8</v>
      </c>
      <c r="O772" s="33">
        <v>704.55</v>
      </c>
      <c r="P772" s="38" t="s">
        <v>1014</v>
      </c>
      <c r="Q772" s="34" t="str">
        <f>IF(MasterFees[[#This Row],[GST Basis]]="Excl",MasterFees[[#This Row],[Fee as Printed]],IF(MasterFees[[#This Row],[GST Basis]]="Incl",MasterFees[[#This Row],[Fee as Printed]]/(1+GST_Rate),""))</f>
        <v/>
      </c>
      <c r="R772" s="34" t="str">
        <f>IF(MasterFees[[#This Row],[GST Basis]]="Incl",MasterFees[[#This Row],[Fee as Printed]],IF(MasterFees[[#This Row],[GST Basis]]="Excl",MasterFees[[#This Row],[Fee as Printed]]*(1+GST_Rate),""))</f>
        <v/>
      </c>
      <c r="S772" s="35">
        <f>IF(N(MasterFees[[#This Row],[Total Units]])=0,"",MasterFees[[#This Row],[Fee as Printed]]/MasterFees[[#This Row],[Total Units]])</f>
        <v>55.042968749999993</v>
      </c>
      <c r="T772" s="36"/>
      <c r="U772" s="39" t="s">
        <v>1012</v>
      </c>
      <c r="V772" s="39" t="s">
        <v>2063</v>
      </c>
      <c r="W772" s="30"/>
      <c r="X772" s="73" t="s">
        <v>3901</v>
      </c>
      <c r="Y772" s="127" t="str">
        <f>_xlfn.XLOOKUP(MasterFees[[#This Row],[Provider / Payer]],Contracts[Contract Name],Contracts[Contract ID],"No contract")</f>
        <v>CON-01</v>
      </c>
      <c r="Z772" s="127" t="str">
        <f>_xlfn.XLOOKUP(MasterFees[[#This Row],[Provider / Payer]],Contracts[Contract Name],Contracts[Pricing Basis],"To confirm")</f>
        <v>To confirm</v>
      </c>
      <c r="AA772" s="127" t="str">
        <f>IF(MasterFees[[#This Row],[Pricing Basis]]="Fixed fee schedule","Yes","No")</f>
        <v>No</v>
      </c>
      <c r="AB772" s="127" t="str">
        <f>IF(OR(MasterFees[[#This Row],[Fee Basis]]="Add-on",MasterFees[[#This Row],[Fee Basis]]="Time band",MasterFees[[#This Row],[Fee Basis]]="Other"),MasterFees[[#This Row],[Fee Basis]],"Base")</f>
        <v>Base</v>
      </c>
      <c r="AC772" s="141" t="str">
        <f>IF(MasterFees[[#This Row],[Fixed Fee?]]="Yes",MasterFees[[#This Row],[Fee Excl. GST]],"")</f>
        <v/>
      </c>
    </row>
    <row r="773" spans="1:29" x14ac:dyDescent="0.2">
      <c r="A773" s="67" t="s">
        <v>2315</v>
      </c>
      <c r="B773" s="31">
        <f>IF(MasterFees[[#This Row],[RVG Code]]="","",_xlfn.XLOOKUP(MasterFees[[#This Row],[RVG Code]],RVGCodes[Code],RVGCodes[Base Units],"Code not found"))</f>
        <v>5</v>
      </c>
      <c r="C77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7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773" s="125" t="s">
        <v>2607</v>
      </c>
      <c r="F773" s="48" t="s">
        <v>2569</v>
      </c>
      <c r="G773" s="30" t="s">
        <v>965</v>
      </c>
      <c r="H773" s="37" t="s">
        <v>1095</v>
      </c>
      <c r="I773" s="37"/>
      <c r="J773" s="37" t="s">
        <v>1096</v>
      </c>
      <c r="K773" s="32">
        <v>4.8</v>
      </c>
      <c r="L773" s="32">
        <v>6</v>
      </c>
      <c r="M773" s="32">
        <v>0.6</v>
      </c>
      <c r="N773" s="32">
        <v>11.4</v>
      </c>
      <c r="O773" s="33">
        <v>624.25</v>
      </c>
      <c r="P773" s="38" t="s">
        <v>1014</v>
      </c>
      <c r="Q773" s="34" t="str">
        <f>IF(MasterFees[[#This Row],[GST Basis]]="Excl",MasterFees[[#This Row],[Fee as Printed]],IF(MasterFees[[#This Row],[GST Basis]]="Incl",MasterFees[[#This Row],[Fee as Printed]]/(1+GST_Rate),""))</f>
        <v/>
      </c>
      <c r="R773" s="34" t="str">
        <f>IF(MasterFees[[#This Row],[GST Basis]]="Incl",MasterFees[[#This Row],[Fee as Printed]],IF(MasterFees[[#This Row],[GST Basis]]="Excl",MasterFees[[#This Row],[Fee as Printed]]*(1+GST_Rate),""))</f>
        <v/>
      </c>
      <c r="S773" s="35">
        <f>IF(N(MasterFees[[#This Row],[Total Units]])=0,"",MasterFees[[#This Row],[Fee as Printed]]/MasterFees[[#This Row],[Total Units]])</f>
        <v>54.758771929824562</v>
      </c>
      <c r="T773" s="36"/>
      <c r="U773" s="39" t="s">
        <v>1012</v>
      </c>
      <c r="V773" s="39" t="s">
        <v>2068</v>
      </c>
      <c r="W773" s="30"/>
      <c r="X773" s="73" t="s">
        <v>3910</v>
      </c>
      <c r="Y773" s="127" t="str">
        <f>_xlfn.XLOOKUP(MasterFees[[#This Row],[Provider / Payer]],Contracts[Contract Name],Contracts[Contract ID],"No contract")</f>
        <v>CON-01</v>
      </c>
      <c r="Z773" s="127" t="str">
        <f>_xlfn.XLOOKUP(MasterFees[[#This Row],[Provider / Payer]],Contracts[Contract Name],Contracts[Pricing Basis],"To confirm")</f>
        <v>To confirm</v>
      </c>
      <c r="AA773" s="127" t="str">
        <f>IF(MasterFees[[#This Row],[Pricing Basis]]="Fixed fee schedule","Yes","No")</f>
        <v>No</v>
      </c>
      <c r="AB773" s="127" t="str">
        <f>IF(OR(MasterFees[[#This Row],[Fee Basis]]="Add-on",MasterFees[[#This Row],[Fee Basis]]="Time band",MasterFees[[#This Row],[Fee Basis]]="Other"),MasterFees[[#This Row],[Fee Basis]],"Base")</f>
        <v>Base</v>
      </c>
      <c r="AC773" s="141" t="str">
        <f>IF(MasterFees[[#This Row],[Fixed Fee?]]="Yes",MasterFees[[#This Row],[Fee Excl. GST]],"")</f>
        <v/>
      </c>
    </row>
    <row r="774" spans="1:29" x14ac:dyDescent="0.2">
      <c r="A774" s="67" t="s">
        <v>2340</v>
      </c>
      <c r="B774" s="31">
        <f>IF(MasterFees[[#This Row],[RVG Code]]="","",_xlfn.XLOOKUP(MasterFees[[#This Row],[RVG Code]],RVGCodes[Code],RVGCodes[Base Units],"Code not found"))</f>
        <v>6</v>
      </c>
      <c r="C77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7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Lower GI</v>
      </c>
      <c r="E774" s="125" t="s">
        <v>2598</v>
      </c>
      <c r="F774" s="48" t="s">
        <v>2569</v>
      </c>
      <c r="G774" s="30" t="s">
        <v>169</v>
      </c>
      <c r="H774" s="37" t="s">
        <v>1095</v>
      </c>
      <c r="I774" s="37"/>
      <c r="J774" s="37" t="s">
        <v>1096</v>
      </c>
      <c r="K774" s="32">
        <v>6</v>
      </c>
      <c r="L774" s="32">
        <v>8</v>
      </c>
      <c r="M774" s="32">
        <v>0</v>
      </c>
      <c r="N774" s="32">
        <v>14</v>
      </c>
      <c r="O774" s="33">
        <v>770</v>
      </c>
      <c r="P774" s="38" t="s">
        <v>1014</v>
      </c>
      <c r="Q774" s="34" t="str">
        <f>IF(MasterFees[[#This Row],[GST Basis]]="Excl",MasterFees[[#This Row],[Fee as Printed]],IF(MasterFees[[#This Row],[GST Basis]]="Incl",MasterFees[[#This Row],[Fee as Printed]]/(1+GST_Rate),""))</f>
        <v/>
      </c>
      <c r="R774" s="34" t="str">
        <f>IF(MasterFees[[#This Row],[GST Basis]]="Incl",MasterFees[[#This Row],[Fee as Printed]],IF(MasterFees[[#This Row],[GST Basis]]="Excl",MasterFees[[#This Row],[Fee as Printed]]*(1+GST_Rate),""))</f>
        <v/>
      </c>
      <c r="S774" s="35">
        <f>IF(N(MasterFees[[#This Row],[Total Units]])=0,"",MasterFees[[#This Row],[Fee as Printed]]/MasterFees[[#This Row],[Total Units]])</f>
        <v>55</v>
      </c>
      <c r="T774" s="36"/>
      <c r="U774" s="39" t="s">
        <v>1012</v>
      </c>
      <c r="V774" s="39" t="s">
        <v>1263</v>
      </c>
      <c r="W774" s="30"/>
      <c r="X774" s="73" t="s">
        <v>3048</v>
      </c>
      <c r="Y774" s="127" t="str">
        <f>_xlfn.XLOOKUP(MasterFees[[#This Row],[Provider / Payer]],Contracts[Contract Name],Contracts[Contract ID],"No contract")</f>
        <v>CON-01</v>
      </c>
      <c r="Z774" s="127" t="str">
        <f>_xlfn.XLOOKUP(MasterFees[[#This Row],[Provider / Payer]],Contracts[Contract Name],Contracts[Pricing Basis],"To confirm")</f>
        <v>To confirm</v>
      </c>
      <c r="AA774" s="127" t="str">
        <f>IF(MasterFees[[#This Row],[Pricing Basis]]="Fixed fee schedule","Yes","No")</f>
        <v>No</v>
      </c>
      <c r="AB774" s="127" t="str">
        <f>IF(OR(MasterFees[[#This Row],[Fee Basis]]="Add-on",MasterFees[[#This Row],[Fee Basis]]="Time band",MasterFees[[#This Row],[Fee Basis]]="Other"),MasterFees[[#This Row],[Fee Basis]],"Base")</f>
        <v>Base</v>
      </c>
      <c r="AC774" s="141" t="str">
        <f>IF(MasterFees[[#This Row],[Fixed Fee?]]="Yes",MasterFees[[#This Row],[Fee Excl. GST]],"")</f>
        <v/>
      </c>
    </row>
    <row r="775" spans="1:29" x14ac:dyDescent="0.2">
      <c r="A775" s="67" t="s">
        <v>2340</v>
      </c>
      <c r="B775" s="31">
        <f>IF(MasterFees[[#This Row],[RVG Code]]="","",_xlfn.XLOOKUP(MasterFees[[#This Row],[RVG Code]],RVGCodes[Code],RVGCodes[Base Units],"Code not found"))</f>
        <v>6</v>
      </c>
      <c r="C77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7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Lower GI</v>
      </c>
      <c r="E775" s="125" t="s">
        <v>2598</v>
      </c>
      <c r="F775" s="48" t="s">
        <v>2569</v>
      </c>
      <c r="G775" s="30" t="s">
        <v>170</v>
      </c>
      <c r="H775" s="37" t="s">
        <v>1095</v>
      </c>
      <c r="I775" s="37"/>
      <c r="J775" s="37" t="s">
        <v>1096</v>
      </c>
      <c r="K775" s="32">
        <v>6.8</v>
      </c>
      <c r="L775" s="32">
        <v>8</v>
      </c>
      <c r="M775" s="32">
        <v>1.8</v>
      </c>
      <c r="N775" s="32">
        <v>16.600000000000001</v>
      </c>
      <c r="O775" s="33">
        <v>913</v>
      </c>
      <c r="P775" s="38" t="s">
        <v>1014</v>
      </c>
      <c r="Q775" s="34" t="str">
        <f>IF(MasterFees[[#This Row],[GST Basis]]="Excl",MasterFees[[#This Row],[Fee as Printed]],IF(MasterFees[[#This Row],[GST Basis]]="Incl",MasterFees[[#This Row],[Fee as Printed]]/(1+GST_Rate),""))</f>
        <v/>
      </c>
      <c r="R775" s="34" t="str">
        <f>IF(MasterFees[[#This Row],[GST Basis]]="Incl",MasterFees[[#This Row],[Fee as Printed]],IF(MasterFees[[#This Row],[GST Basis]]="Excl",MasterFees[[#This Row],[Fee as Printed]]*(1+GST_Rate),""))</f>
        <v/>
      </c>
      <c r="S775" s="35">
        <f>IF(N(MasterFees[[#This Row],[Total Units]])=0,"",MasterFees[[#This Row],[Fee as Printed]]/MasterFees[[#This Row],[Total Units]])</f>
        <v>54.999999999999993</v>
      </c>
      <c r="T775" s="36"/>
      <c r="U775" s="39" t="s">
        <v>1012</v>
      </c>
      <c r="V775" s="39" t="s">
        <v>1264</v>
      </c>
      <c r="W775" s="30"/>
      <c r="X775" s="73" t="s">
        <v>3049</v>
      </c>
      <c r="Y775" s="127" t="str">
        <f>_xlfn.XLOOKUP(MasterFees[[#This Row],[Provider / Payer]],Contracts[Contract Name],Contracts[Contract ID],"No contract")</f>
        <v>CON-01</v>
      </c>
      <c r="Z775" s="127" t="str">
        <f>_xlfn.XLOOKUP(MasterFees[[#This Row],[Provider / Payer]],Contracts[Contract Name],Contracts[Pricing Basis],"To confirm")</f>
        <v>To confirm</v>
      </c>
      <c r="AA775" s="127" t="str">
        <f>IF(MasterFees[[#This Row],[Pricing Basis]]="Fixed fee schedule","Yes","No")</f>
        <v>No</v>
      </c>
      <c r="AB775" s="127" t="str">
        <f>IF(OR(MasterFees[[#This Row],[Fee Basis]]="Add-on",MasterFees[[#This Row],[Fee Basis]]="Time band",MasterFees[[#This Row],[Fee Basis]]="Other"),MasterFees[[#This Row],[Fee Basis]],"Base")</f>
        <v>Base</v>
      </c>
      <c r="AC775" s="141" t="str">
        <f>IF(MasterFees[[#This Row],[Fixed Fee?]]="Yes",MasterFees[[#This Row],[Fee Excl. GST]],"")</f>
        <v/>
      </c>
    </row>
    <row r="776" spans="1:29" x14ac:dyDescent="0.2">
      <c r="A776" s="67" t="s">
        <v>2340</v>
      </c>
      <c r="B776" s="31">
        <f>IF(MasterFees[[#This Row],[RVG Code]]="","",_xlfn.XLOOKUP(MasterFees[[#This Row],[RVG Code]],RVGCodes[Code],RVGCodes[Base Units],"Code not found"))</f>
        <v>6</v>
      </c>
      <c r="C77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7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Lower GI</v>
      </c>
      <c r="E776" s="125" t="s">
        <v>2598</v>
      </c>
      <c r="F776" s="48" t="s">
        <v>2569</v>
      </c>
      <c r="G776" s="30" t="s">
        <v>171</v>
      </c>
      <c r="H776" s="37" t="s">
        <v>1095</v>
      </c>
      <c r="I776" s="37"/>
      <c r="J776" s="37" t="s">
        <v>1096</v>
      </c>
      <c r="K776" s="32">
        <v>6.4</v>
      </c>
      <c r="L776" s="32">
        <v>6.4</v>
      </c>
      <c r="M776" s="32">
        <v>1</v>
      </c>
      <c r="N776" s="32">
        <v>13.8</v>
      </c>
      <c r="O776" s="33">
        <v>759</v>
      </c>
      <c r="P776" s="38" t="s">
        <v>1014</v>
      </c>
      <c r="Q776" s="34" t="str">
        <f>IF(MasterFees[[#This Row],[GST Basis]]="Excl",MasterFees[[#This Row],[Fee as Printed]],IF(MasterFees[[#This Row],[GST Basis]]="Incl",MasterFees[[#This Row],[Fee as Printed]]/(1+GST_Rate),""))</f>
        <v/>
      </c>
      <c r="R776" s="34" t="str">
        <f>IF(MasterFees[[#This Row],[GST Basis]]="Incl",MasterFees[[#This Row],[Fee as Printed]],IF(MasterFees[[#This Row],[GST Basis]]="Excl",MasterFees[[#This Row],[Fee as Printed]]*(1+GST_Rate),""))</f>
        <v/>
      </c>
      <c r="S776" s="35">
        <f>IF(N(MasterFees[[#This Row],[Total Units]])=0,"",MasterFees[[#This Row],[Fee as Printed]]/MasterFees[[#This Row],[Total Units]])</f>
        <v>55</v>
      </c>
      <c r="T776" s="36"/>
      <c r="U776" s="39" t="s">
        <v>1012</v>
      </c>
      <c r="V776" s="39" t="s">
        <v>1265</v>
      </c>
      <c r="W776" s="30"/>
      <c r="X776" s="73" t="s">
        <v>3050</v>
      </c>
      <c r="Y776" s="127" t="str">
        <f>_xlfn.XLOOKUP(MasterFees[[#This Row],[Provider / Payer]],Contracts[Contract Name],Contracts[Contract ID],"No contract")</f>
        <v>CON-01</v>
      </c>
      <c r="Z776" s="127" t="str">
        <f>_xlfn.XLOOKUP(MasterFees[[#This Row],[Provider / Payer]],Contracts[Contract Name],Contracts[Pricing Basis],"To confirm")</f>
        <v>To confirm</v>
      </c>
      <c r="AA776" s="127" t="str">
        <f>IF(MasterFees[[#This Row],[Pricing Basis]]="Fixed fee schedule","Yes","No")</f>
        <v>No</v>
      </c>
      <c r="AB776" s="127" t="str">
        <f>IF(OR(MasterFees[[#This Row],[Fee Basis]]="Add-on",MasterFees[[#This Row],[Fee Basis]]="Time band",MasterFees[[#This Row],[Fee Basis]]="Other"),MasterFees[[#This Row],[Fee Basis]],"Base")</f>
        <v>Base</v>
      </c>
      <c r="AC776" s="141" t="str">
        <f>IF(MasterFees[[#This Row],[Fixed Fee?]]="Yes",MasterFees[[#This Row],[Fee Excl. GST]],"")</f>
        <v/>
      </c>
    </row>
    <row r="777" spans="1:29" x14ac:dyDescent="0.2">
      <c r="A777" s="67" t="s">
        <v>2340</v>
      </c>
      <c r="B777" s="31">
        <f>IF(MasterFees[[#This Row],[RVG Code]]="","",_xlfn.XLOOKUP(MasterFees[[#This Row],[RVG Code]],RVGCodes[Code],RVGCodes[Base Units],"Code not found"))</f>
        <v>6</v>
      </c>
      <c r="C77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7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Lower GI</v>
      </c>
      <c r="E777" s="125" t="s">
        <v>2598</v>
      </c>
      <c r="F777" s="48" t="s">
        <v>2569</v>
      </c>
      <c r="G777" s="30" t="s">
        <v>172</v>
      </c>
      <c r="H777" s="37" t="s">
        <v>1095</v>
      </c>
      <c r="I777" s="37"/>
      <c r="J777" s="37" t="s">
        <v>1096</v>
      </c>
      <c r="K777" s="32">
        <v>8</v>
      </c>
      <c r="L777" s="32">
        <v>5.3</v>
      </c>
      <c r="M777" s="32">
        <v>0.7</v>
      </c>
      <c r="N777" s="32">
        <v>14</v>
      </c>
      <c r="O777" s="33">
        <v>769.45</v>
      </c>
      <c r="P777" s="38" t="s">
        <v>1014</v>
      </c>
      <c r="Q777" s="34" t="str">
        <f>IF(MasterFees[[#This Row],[GST Basis]]="Excl",MasterFees[[#This Row],[Fee as Printed]],IF(MasterFees[[#This Row],[GST Basis]]="Incl",MasterFees[[#This Row],[Fee as Printed]]/(1+GST_Rate),""))</f>
        <v/>
      </c>
      <c r="R777" s="34" t="str">
        <f>IF(MasterFees[[#This Row],[GST Basis]]="Incl",MasterFees[[#This Row],[Fee as Printed]],IF(MasterFees[[#This Row],[GST Basis]]="Excl",MasterFees[[#This Row],[Fee as Printed]]*(1+GST_Rate),""))</f>
        <v/>
      </c>
      <c r="S777" s="35">
        <f>IF(N(MasterFees[[#This Row],[Total Units]])=0,"",MasterFees[[#This Row],[Fee as Printed]]/MasterFees[[#This Row],[Total Units]])</f>
        <v>54.960714285714289</v>
      </c>
      <c r="T777" s="36"/>
      <c r="U777" s="39" t="s">
        <v>1012</v>
      </c>
      <c r="V777" s="39" t="s">
        <v>1266</v>
      </c>
      <c r="W777" s="30"/>
      <c r="X777" s="73" t="s">
        <v>3051</v>
      </c>
      <c r="Y777" s="127" t="str">
        <f>_xlfn.XLOOKUP(MasterFees[[#This Row],[Provider / Payer]],Contracts[Contract Name],Contracts[Contract ID],"No contract")</f>
        <v>CON-01</v>
      </c>
      <c r="Z777" s="127" t="str">
        <f>_xlfn.XLOOKUP(MasterFees[[#This Row],[Provider / Payer]],Contracts[Contract Name],Contracts[Pricing Basis],"To confirm")</f>
        <v>To confirm</v>
      </c>
      <c r="AA777" s="127" t="str">
        <f>IF(MasterFees[[#This Row],[Pricing Basis]]="Fixed fee schedule","Yes","No")</f>
        <v>No</v>
      </c>
      <c r="AB777" s="127" t="str">
        <f>IF(OR(MasterFees[[#This Row],[Fee Basis]]="Add-on",MasterFees[[#This Row],[Fee Basis]]="Time band",MasterFees[[#This Row],[Fee Basis]]="Other"),MasterFees[[#This Row],[Fee Basis]],"Base")</f>
        <v>Base</v>
      </c>
      <c r="AC777" s="141" t="str">
        <f>IF(MasterFees[[#This Row],[Fixed Fee?]]="Yes",MasterFees[[#This Row],[Fee Excl. GST]],"")</f>
        <v/>
      </c>
    </row>
    <row r="778" spans="1:29" x14ac:dyDescent="0.2">
      <c r="A778" s="67" t="s">
        <v>2340</v>
      </c>
      <c r="B778" s="31">
        <f>IF(MasterFees[[#This Row],[RVG Code]]="","",_xlfn.XLOOKUP(MasterFees[[#This Row],[RVG Code]],RVGCodes[Code],RVGCodes[Base Units],"Code not found"))</f>
        <v>6</v>
      </c>
      <c r="C77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7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Lower GI</v>
      </c>
      <c r="E778" s="125" t="s">
        <v>2598</v>
      </c>
      <c r="F778" s="48" t="s">
        <v>2569</v>
      </c>
      <c r="G778" s="30" t="s">
        <v>173</v>
      </c>
      <c r="H778" s="37" t="s">
        <v>1095</v>
      </c>
      <c r="I778" s="37"/>
      <c r="J778" s="37" t="s">
        <v>1096</v>
      </c>
      <c r="K778" s="32">
        <v>6</v>
      </c>
      <c r="L778" s="32">
        <v>6.4</v>
      </c>
      <c r="M778" s="32">
        <v>0.2</v>
      </c>
      <c r="N778" s="32">
        <v>12.6</v>
      </c>
      <c r="O778" s="33">
        <v>693</v>
      </c>
      <c r="P778" s="38" t="s">
        <v>1014</v>
      </c>
      <c r="Q778" s="34" t="str">
        <f>IF(MasterFees[[#This Row],[GST Basis]]="Excl",MasterFees[[#This Row],[Fee as Printed]],IF(MasterFees[[#This Row],[GST Basis]]="Incl",MasterFees[[#This Row],[Fee as Printed]]/(1+GST_Rate),""))</f>
        <v/>
      </c>
      <c r="R778" s="34" t="str">
        <f>IF(MasterFees[[#This Row],[GST Basis]]="Incl",MasterFees[[#This Row],[Fee as Printed]],IF(MasterFees[[#This Row],[GST Basis]]="Excl",MasterFees[[#This Row],[Fee as Printed]]*(1+GST_Rate),""))</f>
        <v/>
      </c>
      <c r="S778" s="35">
        <f>IF(N(MasterFees[[#This Row],[Total Units]])=0,"",MasterFees[[#This Row],[Fee as Printed]]/MasterFees[[#This Row],[Total Units]])</f>
        <v>55</v>
      </c>
      <c r="T778" s="36"/>
      <c r="U778" s="39" t="s">
        <v>1012</v>
      </c>
      <c r="V778" s="39" t="s">
        <v>1267</v>
      </c>
      <c r="W778" s="30"/>
      <c r="X778" s="73" t="s">
        <v>3052</v>
      </c>
      <c r="Y778" s="127" t="str">
        <f>_xlfn.XLOOKUP(MasterFees[[#This Row],[Provider / Payer]],Contracts[Contract Name],Contracts[Contract ID],"No contract")</f>
        <v>CON-01</v>
      </c>
      <c r="Z778" s="127" t="str">
        <f>_xlfn.XLOOKUP(MasterFees[[#This Row],[Provider / Payer]],Contracts[Contract Name],Contracts[Pricing Basis],"To confirm")</f>
        <v>To confirm</v>
      </c>
      <c r="AA778" s="127" t="str">
        <f>IF(MasterFees[[#This Row],[Pricing Basis]]="Fixed fee schedule","Yes","No")</f>
        <v>No</v>
      </c>
      <c r="AB778" s="127" t="str">
        <f>IF(OR(MasterFees[[#This Row],[Fee Basis]]="Add-on",MasterFees[[#This Row],[Fee Basis]]="Time band",MasterFees[[#This Row],[Fee Basis]]="Other"),MasterFees[[#This Row],[Fee Basis]],"Base")</f>
        <v>Base</v>
      </c>
      <c r="AC778" s="141" t="str">
        <f>IF(MasterFees[[#This Row],[Fixed Fee?]]="Yes",MasterFees[[#This Row],[Fee Excl. GST]],"")</f>
        <v/>
      </c>
    </row>
    <row r="779" spans="1:29" x14ac:dyDescent="0.2">
      <c r="A779" s="67" t="s">
        <v>2342</v>
      </c>
      <c r="B779" s="31">
        <f>IF(MasterFees[[#This Row],[RVG Code]]="","",_xlfn.XLOOKUP(MasterFees[[#This Row],[RVG Code]],RVGCodes[Code],RVGCodes[Base Units],"Code not found"))</f>
        <v>8</v>
      </c>
      <c r="C77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7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Lower GI</v>
      </c>
      <c r="E779" s="125" t="s">
        <v>2599</v>
      </c>
      <c r="F779" s="48" t="s">
        <v>2567</v>
      </c>
      <c r="G779" s="30" t="s">
        <v>178</v>
      </c>
      <c r="H779" s="37" t="s">
        <v>1095</v>
      </c>
      <c r="I779" s="37"/>
      <c r="J779" s="37" t="s">
        <v>1096</v>
      </c>
      <c r="K779" s="32">
        <v>7.1</v>
      </c>
      <c r="L779" s="32">
        <v>7.1</v>
      </c>
      <c r="M779" s="32">
        <v>1.3</v>
      </c>
      <c r="N779" s="32">
        <v>15.5</v>
      </c>
      <c r="O779" s="33">
        <v>851.95</v>
      </c>
      <c r="P779" s="38" t="s">
        <v>1014</v>
      </c>
      <c r="Q779" s="34" t="str">
        <f>IF(MasterFees[[#This Row],[GST Basis]]="Excl",MasterFees[[#This Row],[Fee as Printed]],IF(MasterFees[[#This Row],[GST Basis]]="Incl",MasterFees[[#This Row],[Fee as Printed]]/(1+GST_Rate),""))</f>
        <v/>
      </c>
      <c r="R779" s="34" t="str">
        <f>IF(MasterFees[[#This Row],[GST Basis]]="Incl",MasterFees[[#This Row],[Fee as Printed]],IF(MasterFees[[#This Row],[GST Basis]]="Excl",MasterFees[[#This Row],[Fee as Printed]]*(1+GST_Rate),""))</f>
        <v/>
      </c>
      <c r="S779" s="35">
        <f>IF(N(MasterFees[[#This Row],[Total Units]])=0,"",MasterFees[[#This Row],[Fee as Printed]]/MasterFees[[#This Row],[Total Units]])</f>
        <v>54.964516129032262</v>
      </c>
      <c r="T779" s="36"/>
      <c r="U779" s="39" t="s">
        <v>1012</v>
      </c>
      <c r="V779" s="39" t="s">
        <v>1272</v>
      </c>
      <c r="W779" s="30"/>
      <c r="X779" s="73" t="s">
        <v>3057</v>
      </c>
      <c r="Y779" s="127" t="str">
        <f>_xlfn.XLOOKUP(MasterFees[[#This Row],[Provider / Payer]],Contracts[Contract Name],Contracts[Contract ID],"No contract")</f>
        <v>CON-01</v>
      </c>
      <c r="Z779" s="127" t="str">
        <f>_xlfn.XLOOKUP(MasterFees[[#This Row],[Provider / Payer]],Contracts[Contract Name],Contracts[Pricing Basis],"To confirm")</f>
        <v>To confirm</v>
      </c>
      <c r="AA779" s="127" t="str">
        <f>IF(MasterFees[[#This Row],[Pricing Basis]]="Fixed fee schedule","Yes","No")</f>
        <v>No</v>
      </c>
      <c r="AB779" s="127" t="str">
        <f>IF(OR(MasterFees[[#This Row],[Fee Basis]]="Add-on",MasterFees[[#This Row],[Fee Basis]]="Time band",MasterFees[[#This Row],[Fee Basis]]="Other"),MasterFees[[#This Row],[Fee Basis]],"Base")</f>
        <v>Base</v>
      </c>
      <c r="AC779" s="141" t="str">
        <f>IF(MasterFees[[#This Row],[Fixed Fee?]]="Yes",MasterFees[[#This Row],[Fee Excl. GST]],"")</f>
        <v/>
      </c>
    </row>
    <row r="780" spans="1:29" x14ac:dyDescent="0.2">
      <c r="A780" s="67" t="s">
        <v>2340</v>
      </c>
      <c r="B780" s="31">
        <f>IF(MasterFees[[#This Row],[RVG Code]]="","",_xlfn.XLOOKUP(MasterFees[[#This Row],[RVG Code]],RVGCodes[Code],RVGCodes[Base Units],"Code not found"))</f>
        <v>6</v>
      </c>
      <c r="C78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8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Lower GI</v>
      </c>
      <c r="E780" s="125" t="s">
        <v>2598</v>
      </c>
      <c r="F780" s="48" t="s">
        <v>2567</v>
      </c>
      <c r="G780" s="30" t="s">
        <v>208</v>
      </c>
      <c r="H780" s="37" t="s">
        <v>1095</v>
      </c>
      <c r="I780" s="37"/>
      <c r="J780" s="37" t="s">
        <v>1096</v>
      </c>
      <c r="K780" s="32">
        <v>10</v>
      </c>
      <c r="L780" s="32">
        <v>5</v>
      </c>
      <c r="M780" s="32">
        <v>3</v>
      </c>
      <c r="N780" s="32">
        <v>18</v>
      </c>
      <c r="O780" s="33">
        <v>990</v>
      </c>
      <c r="P780" s="38" t="s">
        <v>1014</v>
      </c>
      <c r="Q780" s="34" t="str">
        <f>IF(MasterFees[[#This Row],[GST Basis]]="Excl",MasterFees[[#This Row],[Fee as Printed]],IF(MasterFees[[#This Row],[GST Basis]]="Incl",MasterFees[[#This Row],[Fee as Printed]]/(1+GST_Rate),""))</f>
        <v/>
      </c>
      <c r="R780" s="34" t="str">
        <f>IF(MasterFees[[#This Row],[GST Basis]]="Incl",MasterFees[[#This Row],[Fee as Printed]],IF(MasterFees[[#This Row],[GST Basis]]="Excl",MasterFees[[#This Row],[Fee as Printed]]*(1+GST_Rate),""))</f>
        <v/>
      </c>
      <c r="S780" s="35">
        <f>IF(N(MasterFees[[#This Row],[Total Units]])=0,"",MasterFees[[#This Row],[Fee as Printed]]/MasterFees[[#This Row],[Total Units]])</f>
        <v>55</v>
      </c>
      <c r="T780" s="36"/>
      <c r="U780" s="39" t="s">
        <v>1012</v>
      </c>
      <c r="V780" s="39" t="s">
        <v>1302</v>
      </c>
      <c r="W780" s="30"/>
      <c r="X780" s="73" t="s">
        <v>3087</v>
      </c>
      <c r="Y780" s="127" t="str">
        <f>_xlfn.XLOOKUP(MasterFees[[#This Row],[Provider / Payer]],Contracts[Contract Name],Contracts[Contract ID],"No contract")</f>
        <v>CON-01</v>
      </c>
      <c r="Z780" s="127" t="str">
        <f>_xlfn.XLOOKUP(MasterFees[[#This Row],[Provider / Payer]],Contracts[Contract Name],Contracts[Pricing Basis],"To confirm")</f>
        <v>To confirm</v>
      </c>
      <c r="AA780" s="127" t="str">
        <f>IF(MasterFees[[#This Row],[Pricing Basis]]="Fixed fee schedule","Yes","No")</f>
        <v>No</v>
      </c>
      <c r="AB780" s="127" t="str">
        <f>IF(OR(MasterFees[[#This Row],[Fee Basis]]="Add-on",MasterFees[[#This Row],[Fee Basis]]="Time band",MasterFees[[#This Row],[Fee Basis]]="Other"),MasterFees[[#This Row],[Fee Basis]],"Base")</f>
        <v>Base</v>
      </c>
      <c r="AC780" s="141" t="str">
        <f>IF(MasterFees[[#This Row],[Fixed Fee?]]="Yes",MasterFees[[#This Row],[Fee Excl. GST]],"")</f>
        <v/>
      </c>
    </row>
    <row r="781" spans="1:29" x14ac:dyDescent="0.2">
      <c r="A781" s="67" t="s">
        <v>2344</v>
      </c>
      <c r="B781" s="31">
        <f>IF(MasterFees[[#This Row],[RVG Code]]="","",_xlfn.XLOOKUP(MasterFees[[#This Row],[RVG Code]],RVGCodes[Code],RVGCodes[Base Units],"Code not found"))</f>
        <v>12</v>
      </c>
      <c r="C78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8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Lower GI</v>
      </c>
      <c r="E781" s="125" t="s">
        <v>2612</v>
      </c>
      <c r="F781" s="48" t="s">
        <v>2629</v>
      </c>
      <c r="G781" s="30" t="s">
        <v>2345</v>
      </c>
      <c r="H781" s="37" t="s">
        <v>2630</v>
      </c>
      <c r="I781" s="37" t="s">
        <v>2344</v>
      </c>
      <c r="J781" s="37" t="s">
        <v>1096</v>
      </c>
      <c r="K781" s="32">
        <v>12</v>
      </c>
      <c r="L781" s="32"/>
      <c r="M781" s="32"/>
      <c r="N781" s="32"/>
      <c r="O781" s="33"/>
      <c r="P781" s="38"/>
      <c r="Q781" s="34" t="str">
        <f>IF(MasterFees[[#This Row],[GST Basis]]="Excl",MasterFees[[#This Row],[Fee as Printed]],IF(MasterFees[[#This Row],[GST Basis]]="Incl",MasterFees[[#This Row],[Fee as Printed]]/(1+GST_Rate),""))</f>
        <v/>
      </c>
      <c r="R781" s="34" t="str">
        <f>IF(MasterFees[[#This Row],[GST Basis]]="Incl",MasterFees[[#This Row],[Fee as Printed]],IF(MasterFees[[#This Row],[GST Basis]]="Excl",MasterFees[[#This Row],[Fee as Printed]]*(1+GST_Rate),""))</f>
        <v/>
      </c>
      <c r="S781" s="35" t="str">
        <f>IF(N(MasterFees[[#This Row],[Total Units]])=0,"",MasterFees[[#This Row],[Fee as Printed]]/MasterFees[[#This Row],[Total Units]])</f>
        <v/>
      </c>
      <c r="T781" s="36"/>
      <c r="U781" s="39" t="s">
        <v>1016</v>
      </c>
      <c r="V781" s="39" t="s">
        <v>2640</v>
      </c>
      <c r="W781" s="30" t="s">
        <v>2641</v>
      </c>
      <c r="X781" s="73" t="s">
        <v>3892</v>
      </c>
      <c r="Y781" s="127" t="str">
        <f>_xlfn.XLOOKUP(MasterFees[[#This Row],[Provider / Payer]],Contracts[Contract Name],Contracts[Contract ID],"No contract")</f>
        <v>CON-10</v>
      </c>
      <c r="Z781" s="127" t="str">
        <f>_xlfn.XLOOKUP(MasterFees[[#This Row],[Provider / Payer]],Contracts[Contract Name],Contracts[Pricing Basis],"To confirm")</f>
        <v>Reference – units only</v>
      </c>
      <c r="AA781" s="127" t="str">
        <f>IF(MasterFees[[#This Row],[Pricing Basis]]="Fixed fee schedule","Yes","No")</f>
        <v>No</v>
      </c>
      <c r="AB781" s="127" t="str">
        <f>IF(OR(MasterFees[[#This Row],[Fee Basis]]="Add-on",MasterFees[[#This Row],[Fee Basis]]="Time band",MasterFees[[#This Row],[Fee Basis]]="Other"),MasterFees[[#This Row],[Fee Basis]],"Base")</f>
        <v>Base</v>
      </c>
      <c r="AC781" s="141" t="str">
        <f>IF(MasterFees[[#This Row],[Fixed Fee?]]="Yes",MasterFees[[#This Row],[Fee Excl. GST]],"")</f>
        <v/>
      </c>
    </row>
    <row r="782" spans="1:29" x14ac:dyDescent="0.2">
      <c r="A782" s="67" t="s">
        <v>2340</v>
      </c>
      <c r="B782" s="31">
        <f>IF(MasterFees[[#This Row],[RVG Code]]="","",_xlfn.XLOOKUP(MasterFees[[#This Row],[RVG Code]],RVGCodes[Code],RVGCodes[Base Units],"Code not found"))</f>
        <v>6</v>
      </c>
      <c r="C78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8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Lower GI</v>
      </c>
      <c r="E782" s="125" t="s">
        <v>2598</v>
      </c>
      <c r="F782" s="48" t="s">
        <v>2569</v>
      </c>
      <c r="G782" s="30" t="s">
        <v>370</v>
      </c>
      <c r="H782" s="37" t="s">
        <v>1095</v>
      </c>
      <c r="I782" s="37"/>
      <c r="J782" s="37" t="s">
        <v>1096</v>
      </c>
      <c r="K782" s="32">
        <v>6</v>
      </c>
      <c r="L782" s="32">
        <v>6</v>
      </c>
      <c r="M782" s="32">
        <v>1.5</v>
      </c>
      <c r="N782" s="32">
        <v>13.5</v>
      </c>
      <c r="O782" s="33">
        <v>742.5</v>
      </c>
      <c r="P782" s="38" t="s">
        <v>1014</v>
      </c>
      <c r="Q782" s="34" t="str">
        <f>IF(MasterFees[[#This Row],[GST Basis]]="Excl",MasterFees[[#This Row],[Fee as Printed]],IF(MasterFees[[#This Row],[GST Basis]]="Incl",MasterFees[[#This Row],[Fee as Printed]]/(1+GST_Rate),""))</f>
        <v/>
      </c>
      <c r="R782" s="34" t="str">
        <f>IF(MasterFees[[#This Row],[GST Basis]]="Incl",MasterFees[[#This Row],[Fee as Printed]],IF(MasterFees[[#This Row],[GST Basis]]="Excl",MasterFees[[#This Row],[Fee as Printed]]*(1+GST_Rate),""))</f>
        <v/>
      </c>
      <c r="S782" s="35">
        <f>IF(N(MasterFees[[#This Row],[Total Units]])=0,"",MasterFees[[#This Row],[Fee as Printed]]/MasterFees[[#This Row],[Total Units]])</f>
        <v>55</v>
      </c>
      <c r="T782" s="36"/>
      <c r="U782" s="39" t="s">
        <v>1012</v>
      </c>
      <c r="V782" s="39" t="s">
        <v>1465</v>
      </c>
      <c r="W782" s="30"/>
      <c r="X782" s="73" t="s">
        <v>3257</v>
      </c>
      <c r="Y782" s="127" t="str">
        <f>_xlfn.XLOOKUP(MasterFees[[#This Row],[Provider / Payer]],Contracts[Contract Name],Contracts[Contract ID],"No contract")</f>
        <v>CON-01</v>
      </c>
      <c r="Z782" s="127" t="str">
        <f>_xlfn.XLOOKUP(MasterFees[[#This Row],[Provider / Payer]],Contracts[Contract Name],Contracts[Pricing Basis],"To confirm")</f>
        <v>To confirm</v>
      </c>
      <c r="AA782" s="127" t="str">
        <f>IF(MasterFees[[#This Row],[Pricing Basis]]="Fixed fee schedule","Yes","No")</f>
        <v>No</v>
      </c>
      <c r="AB782" s="127" t="str">
        <f>IF(OR(MasterFees[[#This Row],[Fee Basis]]="Add-on",MasterFees[[#This Row],[Fee Basis]]="Time band",MasterFees[[#This Row],[Fee Basis]]="Other"),MasterFees[[#This Row],[Fee Basis]],"Base")</f>
        <v>Base</v>
      </c>
      <c r="AC782" s="141" t="str">
        <f>IF(MasterFees[[#This Row],[Fixed Fee?]]="Yes",MasterFees[[#This Row],[Fee Excl. GST]],"")</f>
        <v/>
      </c>
    </row>
    <row r="783" spans="1:29" x14ac:dyDescent="0.2">
      <c r="A783" s="67" t="s">
        <v>2340</v>
      </c>
      <c r="B783" s="31">
        <f>IF(MasterFees[[#This Row],[RVG Code]]="","",_xlfn.XLOOKUP(MasterFees[[#This Row],[RVG Code]],RVGCodes[Code],RVGCodes[Base Units],"Code not found"))</f>
        <v>6</v>
      </c>
      <c r="C78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8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Lower GI</v>
      </c>
      <c r="E783" s="125" t="s">
        <v>2598</v>
      </c>
      <c r="F783" s="48" t="s">
        <v>2567</v>
      </c>
      <c r="G783" s="30" t="s">
        <v>373</v>
      </c>
      <c r="H783" s="37" t="s">
        <v>1095</v>
      </c>
      <c r="I783" s="37"/>
      <c r="J783" s="37" t="s">
        <v>1096</v>
      </c>
      <c r="K783" s="32">
        <v>0</v>
      </c>
      <c r="L783" s="32">
        <v>0</v>
      </c>
      <c r="M783" s="32">
        <v>0</v>
      </c>
      <c r="N783" s="32">
        <v>0</v>
      </c>
      <c r="O783" s="33">
        <v>0</v>
      </c>
      <c r="P783" s="38" t="s">
        <v>1014</v>
      </c>
      <c r="Q783" s="34" t="str">
        <f>IF(MasterFees[[#This Row],[GST Basis]]="Excl",MasterFees[[#This Row],[Fee as Printed]],IF(MasterFees[[#This Row],[GST Basis]]="Incl",MasterFees[[#This Row],[Fee as Printed]]/(1+GST_Rate),""))</f>
        <v/>
      </c>
      <c r="R783" s="34" t="str">
        <f>IF(MasterFees[[#This Row],[GST Basis]]="Incl",MasterFees[[#This Row],[Fee as Printed]],IF(MasterFees[[#This Row],[GST Basis]]="Excl",MasterFees[[#This Row],[Fee as Printed]]*(1+GST_Rate),""))</f>
        <v/>
      </c>
      <c r="S783" s="35" t="str">
        <f>IF(N(MasterFees[[#This Row],[Total Units]])=0,"",MasterFees[[#This Row],[Fee as Printed]]/MasterFees[[#This Row],[Total Units]])</f>
        <v/>
      </c>
      <c r="T783" s="36"/>
      <c r="U783" s="39" t="s">
        <v>1012</v>
      </c>
      <c r="V783" s="39" t="s">
        <v>1468</v>
      </c>
      <c r="W783" s="30"/>
      <c r="X783" s="73" t="s">
        <v>3260</v>
      </c>
      <c r="Y783" s="127" t="str">
        <f>_xlfn.XLOOKUP(MasterFees[[#This Row],[Provider / Payer]],Contracts[Contract Name],Contracts[Contract ID],"No contract")</f>
        <v>CON-01</v>
      </c>
      <c r="Z783" s="127" t="str">
        <f>_xlfn.XLOOKUP(MasterFees[[#This Row],[Provider / Payer]],Contracts[Contract Name],Contracts[Pricing Basis],"To confirm")</f>
        <v>To confirm</v>
      </c>
      <c r="AA783" s="127" t="str">
        <f>IF(MasterFees[[#This Row],[Pricing Basis]]="Fixed fee schedule","Yes","No")</f>
        <v>No</v>
      </c>
      <c r="AB783" s="127" t="str">
        <f>IF(OR(MasterFees[[#This Row],[Fee Basis]]="Add-on",MasterFees[[#This Row],[Fee Basis]]="Time band",MasterFees[[#This Row],[Fee Basis]]="Other"),MasterFees[[#This Row],[Fee Basis]],"Base")</f>
        <v>Base</v>
      </c>
      <c r="AC783" s="141" t="str">
        <f>IF(MasterFees[[#This Row],[Fixed Fee?]]="Yes",MasterFees[[#This Row],[Fee Excl. GST]],"")</f>
        <v/>
      </c>
    </row>
    <row r="784" spans="1:29" x14ac:dyDescent="0.2">
      <c r="A784" s="67" t="s">
        <v>2340</v>
      </c>
      <c r="B784" s="31">
        <f>IF(MasterFees[[#This Row],[RVG Code]]="","",_xlfn.XLOOKUP(MasterFees[[#This Row],[RVG Code]],RVGCodes[Code],RVGCodes[Base Units],"Code not found"))</f>
        <v>6</v>
      </c>
      <c r="C78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8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Lower GI</v>
      </c>
      <c r="E784" s="125" t="s">
        <v>2598</v>
      </c>
      <c r="F784" s="48" t="s">
        <v>2567</v>
      </c>
      <c r="G784" s="30" t="s">
        <v>374</v>
      </c>
      <c r="H784" s="37" t="s">
        <v>1095</v>
      </c>
      <c r="I784" s="37"/>
      <c r="J784" s="37" t="s">
        <v>1096</v>
      </c>
      <c r="K784" s="32">
        <v>6</v>
      </c>
      <c r="L784" s="32">
        <v>5</v>
      </c>
      <c r="M784" s="32">
        <v>3</v>
      </c>
      <c r="N784" s="32">
        <v>14</v>
      </c>
      <c r="O784" s="33">
        <v>770</v>
      </c>
      <c r="P784" s="38" t="s">
        <v>1014</v>
      </c>
      <c r="Q784" s="34" t="str">
        <f>IF(MasterFees[[#This Row],[GST Basis]]="Excl",MasterFees[[#This Row],[Fee as Printed]],IF(MasterFees[[#This Row],[GST Basis]]="Incl",MasterFees[[#This Row],[Fee as Printed]]/(1+GST_Rate),""))</f>
        <v/>
      </c>
      <c r="R784" s="34" t="str">
        <f>IF(MasterFees[[#This Row],[GST Basis]]="Incl",MasterFees[[#This Row],[Fee as Printed]],IF(MasterFees[[#This Row],[GST Basis]]="Excl",MasterFees[[#This Row],[Fee as Printed]]*(1+GST_Rate),""))</f>
        <v/>
      </c>
      <c r="S784" s="35">
        <f>IF(N(MasterFees[[#This Row],[Total Units]])=0,"",MasterFees[[#This Row],[Fee as Printed]]/MasterFees[[#This Row],[Total Units]])</f>
        <v>55</v>
      </c>
      <c r="T784" s="36"/>
      <c r="U784" s="39" t="s">
        <v>1012</v>
      </c>
      <c r="V784" s="39" t="s">
        <v>1469</v>
      </c>
      <c r="W784" s="30"/>
      <c r="X784" s="73" t="s">
        <v>3261</v>
      </c>
      <c r="Y784" s="127" t="str">
        <f>_xlfn.XLOOKUP(MasterFees[[#This Row],[Provider / Payer]],Contracts[Contract Name],Contracts[Contract ID],"No contract")</f>
        <v>CON-01</v>
      </c>
      <c r="Z784" s="127" t="str">
        <f>_xlfn.XLOOKUP(MasterFees[[#This Row],[Provider / Payer]],Contracts[Contract Name],Contracts[Pricing Basis],"To confirm")</f>
        <v>To confirm</v>
      </c>
      <c r="AA784" s="127" t="str">
        <f>IF(MasterFees[[#This Row],[Pricing Basis]]="Fixed fee schedule","Yes","No")</f>
        <v>No</v>
      </c>
      <c r="AB784" s="127" t="str">
        <f>IF(OR(MasterFees[[#This Row],[Fee Basis]]="Add-on",MasterFees[[#This Row],[Fee Basis]]="Time band",MasterFees[[#This Row],[Fee Basis]]="Other"),MasterFees[[#This Row],[Fee Basis]],"Base")</f>
        <v>Base</v>
      </c>
      <c r="AC784" s="141" t="str">
        <f>IF(MasterFees[[#This Row],[Fixed Fee?]]="Yes",MasterFees[[#This Row],[Fee Excl. GST]],"")</f>
        <v/>
      </c>
    </row>
    <row r="785" spans="1:29" x14ac:dyDescent="0.2">
      <c r="A785" s="67" t="s">
        <v>2344</v>
      </c>
      <c r="B785" s="31">
        <f>IF(MasterFees[[#This Row],[RVG Code]]="","",_xlfn.XLOOKUP(MasterFees[[#This Row],[RVG Code]],RVGCodes[Code],RVGCodes[Base Units],"Code not found"))</f>
        <v>12</v>
      </c>
      <c r="C78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8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Lower GI</v>
      </c>
      <c r="E785" s="125" t="s">
        <v>2612</v>
      </c>
      <c r="F785" s="48" t="s">
        <v>2569</v>
      </c>
      <c r="G785" s="30" t="s">
        <v>403</v>
      </c>
      <c r="H785" s="37" t="s">
        <v>1095</v>
      </c>
      <c r="I785" s="37"/>
      <c r="J785" s="37" t="s">
        <v>1096</v>
      </c>
      <c r="K785" s="32">
        <v>9.8000000000000007</v>
      </c>
      <c r="L785" s="32">
        <v>10.5</v>
      </c>
      <c r="M785" s="32">
        <v>2.5</v>
      </c>
      <c r="N785" s="32">
        <v>22.8</v>
      </c>
      <c r="O785" s="33">
        <v>1254</v>
      </c>
      <c r="P785" s="38" t="s">
        <v>1014</v>
      </c>
      <c r="Q785" s="34" t="str">
        <f>IF(MasterFees[[#This Row],[GST Basis]]="Excl",MasterFees[[#This Row],[Fee as Printed]],IF(MasterFees[[#This Row],[GST Basis]]="Incl",MasterFees[[#This Row],[Fee as Printed]]/(1+GST_Rate),""))</f>
        <v/>
      </c>
      <c r="R785" s="34" t="str">
        <f>IF(MasterFees[[#This Row],[GST Basis]]="Incl",MasterFees[[#This Row],[Fee as Printed]],IF(MasterFees[[#This Row],[GST Basis]]="Excl",MasterFees[[#This Row],[Fee as Printed]]*(1+GST_Rate),""))</f>
        <v/>
      </c>
      <c r="S785" s="35">
        <f>IF(N(MasterFees[[#This Row],[Total Units]])=0,"",MasterFees[[#This Row],[Fee as Printed]]/MasterFees[[#This Row],[Total Units]])</f>
        <v>55</v>
      </c>
      <c r="T785" s="36"/>
      <c r="U785" s="39" t="s">
        <v>1012</v>
      </c>
      <c r="V785" s="39" t="s">
        <v>1498</v>
      </c>
      <c r="W785" s="30"/>
      <c r="X785" s="73" t="s">
        <v>3291</v>
      </c>
      <c r="Y785" s="127" t="str">
        <f>_xlfn.XLOOKUP(MasterFees[[#This Row],[Provider / Payer]],Contracts[Contract Name],Contracts[Contract ID],"No contract")</f>
        <v>CON-01</v>
      </c>
      <c r="Z785" s="127" t="str">
        <f>_xlfn.XLOOKUP(MasterFees[[#This Row],[Provider / Payer]],Contracts[Contract Name],Contracts[Pricing Basis],"To confirm")</f>
        <v>To confirm</v>
      </c>
      <c r="AA785" s="127" t="str">
        <f>IF(MasterFees[[#This Row],[Pricing Basis]]="Fixed fee schedule","Yes","No")</f>
        <v>No</v>
      </c>
      <c r="AB785" s="127" t="str">
        <f>IF(OR(MasterFees[[#This Row],[Fee Basis]]="Add-on",MasterFees[[#This Row],[Fee Basis]]="Time band",MasterFees[[#This Row],[Fee Basis]]="Other"),MasterFees[[#This Row],[Fee Basis]],"Base")</f>
        <v>Base</v>
      </c>
      <c r="AC785" s="141" t="str">
        <f>IF(MasterFees[[#This Row],[Fixed Fee?]]="Yes",MasterFees[[#This Row],[Fee Excl. GST]],"")</f>
        <v/>
      </c>
    </row>
    <row r="786" spans="1:29" x14ac:dyDescent="0.2">
      <c r="A786" s="67" t="s">
        <v>2344</v>
      </c>
      <c r="B786" s="31">
        <f>IF(MasterFees[[#This Row],[RVG Code]]="","",_xlfn.XLOOKUP(MasterFees[[#This Row],[RVG Code]],RVGCodes[Code],RVGCodes[Base Units],"Code not found"))</f>
        <v>12</v>
      </c>
      <c r="C78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8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Lower GI</v>
      </c>
      <c r="E786" s="125" t="s">
        <v>2612</v>
      </c>
      <c r="F786" s="48" t="s">
        <v>2569</v>
      </c>
      <c r="G786" s="30" t="s">
        <v>404</v>
      </c>
      <c r="H786" s="37" t="s">
        <v>1095</v>
      </c>
      <c r="I786" s="37"/>
      <c r="J786" s="37" t="s">
        <v>1096</v>
      </c>
      <c r="K786" s="32">
        <v>10.3</v>
      </c>
      <c r="L786" s="32">
        <v>8.6999999999999993</v>
      </c>
      <c r="M786" s="32">
        <v>2.1</v>
      </c>
      <c r="N786" s="32">
        <v>21.1</v>
      </c>
      <c r="O786" s="33">
        <v>1159.95</v>
      </c>
      <c r="P786" s="38" t="s">
        <v>1014</v>
      </c>
      <c r="Q786" s="34" t="str">
        <f>IF(MasterFees[[#This Row],[GST Basis]]="Excl",MasterFees[[#This Row],[Fee as Printed]],IF(MasterFees[[#This Row],[GST Basis]]="Incl",MasterFees[[#This Row],[Fee as Printed]]/(1+GST_Rate),""))</f>
        <v/>
      </c>
      <c r="R786" s="34" t="str">
        <f>IF(MasterFees[[#This Row],[GST Basis]]="Incl",MasterFees[[#This Row],[Fee as Printed]],IF(MasterFees[[#This Row],[GST Basis]]="Excl",MasterFees[[#This Row],[Fee as Printed]]*(1+GST_Rate),""))</f>
        <v/>
      </c>
      <c r="S786" s="35">
        <f>IF(N(MasterFees[[#This Row],[Total Units]])=0,"",MasterFees[[#This Row],[Fee as Printed]]/MasterFees[[#This Row],[Total Units]])</f>
        <v>54.973933649289101</v>
      </c>
      <c r="T786" s="36"/>
      <c r="U786" s="39" t="s">
        <v>1012</v>
      </c>
      <c r="V786" s="39" t="s">
        <v>1499</v>
      </c>
      <c r="W786" s="30"/>
      <c r="X786" s="73" t="s">
        <v>3292</v>
      </c>
      <c r="Y786" s="127" t="str">
        <f>_xlfn.XLOOKUP(MasterFees[[#This Row],[Provider / Payer]],Contracts[Contract Name],Contracts[Contract ID],"No contract")</f>
        <v>CON-01</v>
      </c>
      <c r="Z786" s="127" t="str">
        <f>_xlfn.XLOOKUP(MasterFees[[#This Row],[Provider / Payer]],Contracts[Contract Name],Contracts[Pricing Basis],"To confirm")</f>
        <v>To confirm</v>
      </c>
      <c r="AA786" s="127" t="str">
        <f>IF(MasterFees[[#This Row],[Pricing Basis]]="Fixed fee schedule","Yes","No")</f>
        <v>No</v>
      </c>
      <c r="AB786" s="127" t="str">
        <f>IF(OR(MasterFees[[#This Row],[Fee Basis]]="Add-on",MasterFees[[#This Row],[Fee Basis]]="Time band",MasterFees[[#This Row],[Fee Basis]]="Other"),MasterFees[[#This Row],[Fee Basis]],"Base")</f>
        <v>Base</v>
      </c>
      <c r="AC786" s="141" t="str">
        <f>IF(MasterFees[[#This Row],[Fixed Fee?]]="Yes",MasterFees[[#This Row],[Fee Excl. GST]],"")</f>
        <v/>
      </c>
    </row>
    <row r="787" spans="1:29" x14ac:dyDescent="0.2">
      <c r="A787" s="67" t="s">
        <v>2342</v>
      </c>
      <c r="B787" s="31">
        <f>IF(MasterFees[[#This Row],[RVG Code]]="","",_xlfn.XLOOKUP(MasterFees[[#This Row],[RVG Code]],RVGCodes[Code],RVGCodes[Base Units],"Code not found"))</f>
        <v>8</v>
      </c>
      <c r="C78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8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Lower GI</v>
      </c>
      <c r="E787" s="125" t="s">
        <v>2599</v>
      </c>
      <c r="F787" s="48" t="s">
        <v>2567</v>
      </c>
      <c r="G787" s="30" t="s">
        <v>408</v>
      </c>
      <c r="H787" s="37" t="s">
        <v>1095</v>
      </c>
      <c r="I787" s="37"/>
      <c r="J787" s="37" t="s">
        <v>1096</v>
      </c>
      <c r="K787" s="32">
        <v>7.2</v>
      </c>
      <c r="L787" s="32">
        <v>9.6</v>
      </c>
      <c r="M787" s="32">
        <v>2.2999999999999998</v>
      </c>
      <c r="N787" s="32">
        <v>19.100000000000001</v>
      </c>
      <c r="O787" s="33">
        <v>1050.5</v>
      </c>
      <c r="P787" s="38" t="s">
        <v>1014</v>
      </c>
      <c r="Q787" s="34" t="str">
        <f>IF(MasterFees[[#This Row],[GST Basis]]="Excl",MasterFees[[#This Row],[Fee as Printed]],IF(MasterFees[[#This Row],[GST Basis]]="Incl",MasterFees[[#This Row],[Fee as Printed]]/(1+GST_Rate),""))</f>
        <v/>
      </c>
      <c r="R787" s="34" t="str">
        <f>IF(MasterFees[[#This Row],[GST Basis]]="Incl",MasterFees[[#This Row],[Fee as Printed]],IF(MasterFees[[#This Row],[GST Basis]]="Excl",MasterFees[[#This Row],[Fee as Printed]]*(1+GST_Rate),""))</f>
        <v/>
      </c>
      <c r="S787" s="35">
        <f>IF(N(MasterFees[[#This Row],[Total Units]])=0,"",MasterFees[[#This Row],[Fee as Printed]]/MasterFees[[#This Row],[Total Units]])</f>
        <v>54.999999999999993</v>
      </c>
      <c r="T787" s="36"/>
      <c r="U787" s="39" t="s">
        <v>1012</v>
      </c>
      <c r="V787" s="39" t="s">
        <v>1503</v>
      </c>
      <c r="W787" s="30"/>
      <c r="X787" s="73" t="s">
        <v>3296</v>
      </c>
      <c r="Y787" s="127" t="str">
        <f>_xlfn.XLOOKUP(MasterFees[[#This Row],[Provider / Payer]],Contracts[Contract Name],Contracts[Contract ID],"No contract")</f>
        <v>CON-01</v>
      </c>
      <c r="Z787" s="127" t="str">
        <f>_xlfn.XLOOKUP(MasterFees[[#This Row],[Provider / Payer]],Contracts[Contract Name],Contracts[Pricing Basis],"To confirm")</f>
        <v>To confirm</v>
      </c>
      <c r="AA787" s="127" t="str">
        <f>IF(MasterFees[[#This Row],[Pricing Basis]]="Fixed fee schedule","Yes","No")</f>
        <v>No</v>
      </c>
      <c r="AB787" s="127" t="str">
        <f>IF(OR(MasterFees[[#This Row],[Fee Basis]]="Add-on",MasterFees[[#This Row],[Fee Basis]]="Time band",MasterFees[[#This Row],[Fee Basis]]="Other"),MasterFees[[#This Row],[Fee Basis]],"Base")</f>
        <v>Base</v>
      </c>
      <c r="AC787" s="141" t="str">
        <f>IF(MasterFees[[#This Row],[Fixed Fee?]]="Yes",MasterFees[[#This Row],[Fee Excl. GST]],"")</f>
        <v/>
      </c>
    </row>
    <row r="788" spans="1:29" x14ac:dyDescent="0.2">
      <c r="A788" s="67" t="s">
        <v>2340</v>
      </c>
      <c r="B788" s="31">
        <f>IF(MasterFees[[#This Row],[RVG Code]]="","",_xlfn.XLOOKUP(MasterFees[[#This Row],[RVG Code]],RVGCodes[Code],RVGCodes[Base Units],"Code not found"))</f>
        <v>6</v>
      </c>
      <c r="C78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8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Lower GI</v>
      </c>
      <c r="E788" s="125" t="s">
        <v>2598</v>
      </c>
      <c r="F788" s="48" t="s">
        <v>2567</v>
      </c>
      <c r="G788" s="30" t="s">
        <v>471</v>
      </c>
      <c r="H788" s="37" t="s">
        <v>1095</v>
      </c>
      <c r="I788" s="37"/>
      <c r="J788" s="37" t="s">
        <v>1096</v>
      </c>
      <c r="K788" s="32">
        <v>6</v>
      </c>
      <c r="L788" s="32">
        <v>5</v>
      </c>
      <c r="M788" s="32">
        <v>1</v>
      </c>
      <c r="N788" s="32">
        <v>12</v>
      </c>
      <c r="O788" s="33">
        <v>660</v>
      </c>
      <c r="P788" s="38" t="s">
        <v>1014</v>
      </c>
      <c r="Q788" s="34" t="str">
        <f>IF(MasterFees[[#This Row],[GST Basis]]="Excl",MasterFees[[#This Row],[Fee as Printed]],IF(MasterFees[[#This Row],[GST Basis]]="Incl",MasterFees[[#This Row],[Fee as Printed]]/(1+GST_Rate),""))</f>
        <v/>
      </c>
      <c r="R788" s="34" t="str">
        <f>IF(MasterFees[[#This Row],[GST Basis]]="Incl",MasterFees[[#This Row],[Fee as Printed]],IF(MasterFees[[#This Row],[GST Basis]]="Excl",MasterFees[[#This Row],[Fee as Printed]]*(1+GST_Rate),""))</f>
        <v/>
      </c>
      <c r="S788" s="35">
        <f>IF(N(MasterFees[[#This Row],[Total Units]])=0,"",MasterFees[[#This Row],[Fee as Printed]]/MasterFees[[#This Row],[Total Units]])</f>
        <v>55</v>
      </c>
      <c r="T788" s="36"/>
      <c r="U788" s="39" t="s">
        <v>1012</v>
      </c>
      <c r="V788" s="39" t="s">
        <v>1566</v>
      </c>
      <c r="W788" s="30"/>
      <c r="X788" s="73" t="s">
        <v>3359</v>
      </c>
      <c r="Y788" s="127" t="str">
        <f>_xlfn.XLOOKUP(MasterFees[[#This Row],[Provider / Payer]],Contracts[Contract Name],Contracts[Contract ID],"No contract")</f>
        <v>CON-01</v>
      </c>
      <c r="Z788" s="127" t="str">
        <f>_xlfn.XLOOKUP(MasterFees[[#This Row],[Provider / Payer]],Contracts[Contract Name],Contracts[Pricing Basis],"To confirm")</f>
        <v>To confirm</v>
      </c>
      <c r="AA788" s="127" t="str">
        <f>IF(MasterFees[[#This Row],[Pricing Basis]]="Fixed fee schedule","Yes","No")</f>
        <v>No</v>
      </c>
      <c r="AB788" s="127" t="str">
        <f>IF(OR(MasterFees[[#This Row],[Fee Basis]]="Add-on",MasterFees[[#This Row],[Fee Basis]]="Time band",MasterFees[[#This Row],[Fee Basis]]="Other"),MasterFees[[#This Row],[Fee Basis]],"Base")</f>
        <v>Base</v>
      </c>
      <c r="AC788" s="141" t="str">
        <f>IF(MasterFees[[#This Row],[Fixed Fee?]]="Yes",MasterFees[[#This Row],[Fee Excl. GST]],"")</f>
        <v/>
      </c>
    </row>
    <row r="789" spans="1:29" x14ac:dyDescent="0.2">
      <c r="A789" s="67" t="s">
        <v>2342</v>
      </c>
      <c r="B789" s="31">
        <f>IF(MasterFees[[#This Row],[RVG Code]]="","",_xlfn.XLOOKUP(MasterFees[[#This Row],[RVG Code]],RVGCodes[Code],RVGCodes[Base Units],"Code not found"))</f>
        <v>8</v>
      </c>
      <c r="C78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8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Lower GI</v>
      </c>
      <c r="E789" s="125" t="s">
        <v>2599</v>
      </c>
      <c r="F789" s="48" t="s">
        <v>2567</v>
      </c>
      <c r="G789" s="30" t="s">
        <v>483</v>
      </c>
      <c r="H789" s="37" t="s">
        <v>1095</v>
      </c>
      <c r="I789" s="37"/>
      <c r="J789" s="37" t="s">
        <v>1096</v>
      </c>
      <c r="K789" s="32">
        <v>8.1999999999999993</v>
      </c>
      <c r="L789" s="32">
        <v>12.8</v>
      </c>
      <c r="M789" s="32">
        <v>1.3</v>
      </c>
      <c r="N789" s="32">
        <v>22.2</v>
      </c>
      <c r="O789" s="33">
        <v>1221.55</v>
      </c>
      <c r="P789" s="38" t="s">
        <v>1014</v>
      </c>
      <c r="Q789" s="34" t="str">
        <f>IF(MasterFees[[#This Row],[GST Basis]]="Excl",MasterFees[[#This Row],[Fee as Printed]],IF(MasterFees[[#This Row],[GST Basis]]="Incl",MasterFees[[#This Row],[Fee as Printed]]/(1+GST_Rate),""))</f>
        <v/>
      </c>
      <c r="R789" s="34" t="str">
        <f>IF(MasterFees[[#This Row],[GST Basis]]="Incl",MasterFees[[#This Row],[Fee as Printed]],IF(MasterFees[[#This Row],[GST Basis]]="Excl",MasterFees[[#This Row],[Fee as Printed]]*(1+GST_Rate),""))</f>
        <v/>
      </c>
      <c r="S789" s="35">
        <f>IF(N(MasterFees[[#This Row],[Total Units]])=0,"",MasterFees[[#This Row],[Fee as Printed]]/MasterFees[[#This Row],[Total Units]])</f>
        <v>55.024774774774777</v>
      </c>
      <c r="T789" s="36"/>
      <c r="U789" s="39" t="s">
        <v>1012</v>
      </c>
      <c r="V789" s="39" t="s">
        <v>1578</v>
      </c>
      <c r="W789" s="30"/>
      <c r="X789" s="73" t="s">
        <v>3371</v>
      </c>
      <c r="Y789" s="127" t="str">
        <f>_xlfn.XLOOKUP(MasterFees[[#This Row],[Provider / Payer]],Contracts[Contract Name],Contracts[Contract ID],"No contract")</f>
        <v>CON-01</v>
      </c>
      <c r="Z789" s="127" t="str">
        <f>_xlfn.XLOOKUP(MasterFees[[#This Row],[Provider / Payer]],Contracts[Contract Name],Contracts[Pricing Basis],"To confirm")</f>
        <v>To confirm</v>
      </c>
      <c r="AA789" s="127" t="str">
        <f>IF(MasterFees[[#This Row],[Pricing Basis]]="Fixed fee schedule","Yes","No")</f>
        <v>No</v>
      </c>
      <c r="AB789" s="127" t="str">
        <f>IF(OR(MasterFees[[#This Row],[Fee Basis]]="Add-on",MasterFees[[#This Row],[Fee Basis]]="Time band",MasterFees[[#This Row],[Fee Basis]]="Other"),MasterFees[[#This Row],[Fee Basis]],"Base")</f>
        <v>Base</v>
      </c>
      <c r="AC789" s="141" t="str">
        <f>IF(MasterFees[[#This Row],[Fixed Fee?]]="Yes",MasterFees[[#This Row],[Fee Excl. GST]],"")</f>
        <v/>
      </c>
    </row>
    <row r="790" spans="1:29" x14ac:dyDescent="0.2">
      <c r="A790" s="67" t="s">
        <v>2342</v>
      </c>
      <c r="B790" s="31">
        <f>IF(MasterFees[[#This Row],[RVG Code]]="","",_xlfn.XLOOKUP(MasterFees[[#This Row],[RVG Code]],RVGCodes[Code],RVGCodes[Base Units],"Code not found"))</f>
        <v>8</v>
      </c>
      <c r="C79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9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Lower GI</v>
      </c>
      <c r="E790" s="125" t="s">
        <v>2599</v>
      </c>
      <c r="F790" s="48" t="s">
        <v>2567</v>
      </c>
      <c r="G790" s="30" t="s">
        <v>557</v>
      </c>
      <c r="H790" s="37" t="s">
        <v>1095</v>
      </c>
      <c r="I790" s="37"/>
      <c r="J790" s="37" t="s">
        <v>1096</v>
      </c>
      <c r="K790" s="32">
        <v>8.5</v>
      </c>
      <c r="L790" s="32">
        <v>12.5</v>
      </c>
      <c r="M790" s="32">
        <v>1.3</v>
      </c>
      <c r="N790" s="32">
        <v>22.3</v>
      </c>
      <c r="O790" s="33">
        <v>1224.3</v>
      </c>
      <c r="P790" s="38" t="s">
        <v>1014</v>
      </c>
      <c r="Q790" s="34" t="str">
        <f>IF(MasterFees[[#This Row],[GST Basis]]="Excl",MasterFees[[#This Row],[Fee as Printed]],IF(MasterFees[[#This Row],[GST Basis]]="Incl",MasterFees[[#This Row],[Fee as Printed]]/(1+GST_Rate),""))</f>
        <v/>
      </c>
      <c r="R790" s="34" t="str">
        <f>IF(MasterFees[[#This Row],[GST Basis]]="Incl",MasterFees[[#This Row],[Fee as Printed]],IF(MasterFees[[#This Row],[GST Basis]]="Excl",MasterFees[[#This Row],[Fee as Printed]]*(1+GST_Rate),""))</f>
        <v/>
      </c>
      <c r="S790" s="35">
        <f>IF(N(MasterFees[[#This Row],[Total Units]])=0,"",MasterFees[[#This Row],[Fee as Printed]]/MasterFees[[#This Row],[Total Units]])</f>
        <v>54.901345291479814</v>
      </c>
      <c r="T790" s="36"/>
      <c r="U790" s="39" t="s">
        <v>1012</v>
      </c>
      <c r="V790" s="39" t="s">
        <v>1653</v>
      </c>
      <c r="W790" s="30"/>
      <c r="X790" s="73" t="s">
        <v>3450</v>
      </c>
      <c r="Y790" s="127" t="str">
        <f>_xlfn.XLOOKUP(MasterFees[[#This Row],[Provider / Payer]],Contracts[Contract Name],Contracts[Contract ID],"No contract")</f>
        <v>CON-01</v>
      </c>
      <c r="Z790" s="127" t="str">
        <f>_xlfn.XLOOKUP(MasterFees[[#This Row],[Provider / Payer]],Contracts[Contract Name],Contracts[Pricing Basis],"To confirm")</f>
        <v>To confirm</v>
      </c>
      <c r="AA790" s="127" t="str">
        <f>IF(MasterFees[[#This Row],[Pricing Basis]]="Fixed fee schedule","Yes","No")</f>
        <v>No</v>
      </c>
      <c r="AB790" s="127" t="str">
        <f>IF(OR(MasterFees[[#This Row],[Fee Basis]]="Add-on",MasterFees[[#This Row],[Fee Basis]]="Time band",MasterFees[[#This Row],[Fee Basis]]="Other"),MasterFees[[#This Row],[Fee Basis]],"Base")</f>
        <v>Base</v>
      </c>
      <c r="AC790" s="141" t="str">
        <f>IF(MasterFees[[#This Row],[Fixed Fee?]]="Yes",MasterFees[[#This Row],[Fee Excl. GST]],"")</f>
        <v/>
      </c>
    </row>
    <row r="791" spans="1:29" x14ac:dyDescent="0.2">
      <c r="A791" s="67" t="s">
        <v>2342</v>
      </c>
      <c r="B791" s="31">
        <f>IF(MasterFees[[#This Row],[RVG Code]]="","",_xlfn.XLOOKUP(MasterFees[[#This Row],[RVG Code]],RVGCodes[Code],RVGCodes[Base Units],"Code not found"))</f>
        <v>8</v>
      </c>
      <c r="C79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9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Lower GI</v>
      </c>
      <c r="E791" s="125" t="s">
        <v>2599</v>
      </c>
      <c r="F791" s="48" t="s">
        <v>2567</v>
      </c>
      <c r="G791" s="30" t="s">
        <v>617</v>
      </c>
      <c r="H791" s="37" t="s">
        <v>1095</v>
      </c>
      <c r="I791" s="37"/>
      <c r="J791" s="37" t="s">
        <v>1096</v>
      </c>
      <c r="K791" s="32">
        <v>10</v>
      </c>
      <c r="L791" s="32">
        <v>15.5</v>
      </c>
      <c r="M791" s="32">
        <v>0.5</v>
      </c>
      <c r="N791" s="32">
        <v>26</v>
      </c>
      <c r="O791" s="33">
        <v>1430</v>
      </c>
      <c r="P791" s="38" t="s">
        <v>1014</v>
      </c>
      <c r="Q791" s="34" t="str">
        <f>IF(MasterFees[[#This Row],[GST Basis]]="Excl",MasterFees[[#This Row],[Fee as Printed]],IF(MasterFees[[#This Row],[GST Basis]]="Incl",MasterFees[[#This Row],[Fee as Printed]]/(1+GST_Rate),""))</f>
        <v/>
      </c>
      <c r="R791" s="34" t="str">
        <f>IF(MasterFees[[#This Row],[GST Basis]]="Incl",MasterFees[[#This Row],[Fee as Printed]],IF(MasterFees[[#This Row],[GST Basis]]="Excl",MasterFees[[#This Row],[Fee as Printed]]*(1+GST_Rate),""))</f>
        <v/>
      </c>
      <c r="S791" s="35">
        <f>IF(N(MasterFees[[#This Row],[Total Units]])=0,"",MasterFees[[#This Row],[Fee as Printed]]/MasterFees[[#This Row],[Total Units]])</f>
        <v>55</v>
      </c>
      <c r="T791" s="36"/>
      <c r="U791" s="39" t="s">
        <v>1012</v>
      </c>
      <c r="V791" s="39" t="s">
        <v>1714</v>
      </c>
      <c r="W791" s="30"/>
      <c r="X791" s="73" t="s">
        <v>3511</v>
      </c>
      <c r="Y791" s="127" t="str">
        <f>_xlfn.XLOOKUP(MasterFees[[#This Row],[Provider / Payer]],Contracts[Contract Name],Contracts[Contract ID],"No contract")</f>
        <v>CON-01</v>
      </c>
      <c r="Z791" s="127" t="str">
        <f>_xlfn.XLOOKUP(MasterFees[[#This Row],[Provider / Payer]],Contracts[Contract Name],Contracts[Pricing Basis],"To confirm")</f>
        <v>To confirm</v>
      </c>
      <c r="AA791" s="127" t="str">
        <f>IF(MasterFees[[#This Row],[Pricing Basis]]="Fixed fee schedule","Yes","No")</f>
        <v>No</v>
      </c>
      <c r="AB791" s="127" t="str">
        <f>IF(OR(MasterFees[[#This Row],[Fee Basis]]="Add-on",MasterFees[[#This Row],[Fee Basis]]="Time band",MasterFees[[#This Row],[Fee Basis]]="Other"),MasterFees[[#This Row],[Fee Basis]],"Base")</f>
        <v>Base</v>
      </c>
      <c r="AC791" s="141" t="str">
        <f>IF(MasterFees[[#This Row],[Fixed Fee?]]="Yes",MasterFees[[#This Row],[Fee Excl. GST]],"")</f>
        <v/>
      </c>
    </row>
    <row r="792" spans="1:29" x14ac:dyDescent="0.2">
      <c r="A792" s="67" t="s">
        <v>2342</v>
      </c>
      <c r="B792" s="31">
        <f>IF(MasterFees[[#This Row],[RVG Code]]="","",_xlfn.XLOOKUP(MasterFees[[#This Row],[RVG Code]],RVGCodes[Code],RVGCodes[Base Units],"Code not found"))</f>
        <v>8</v>
      </c>
      <c r="C79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9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Lower GI</v>
      </c>
      <c r="E792" s="125" t="s">
        <v>2599</v>
      </c>
      <c r="F792" s="48" t="s">
        <v>2629</v>
      </c>
      <c r="G792" s="30" t="s">
        <v>2343</v>
      </c>
      <c r="H792" s="37" t="s">
        <v>2630</v>
      </c>
      <c r="I792" s="37" t="s">
        <v>2342</v>
      </c>
      <c r="J792" s="37" t="s">
        <v>1096</v>
      </c>
      <c r="K792" s="32">
        <v>8</v>
      </c>
      <c r="L792" s="32"/>
      <c r="M792" s="32"/>
      <c r="N792" s="32"/>
      <c r="O792" s="33"/>
      <c r="P792" s="38"/>
      <c r="Q792" s="34" t="str">
        <f>IF(MasterFees[[#This Row],[GST Basis]]="Excl",MasterFees[[#This Row],[Fee as Printed]],IF(MasterFees[[#This Row],[GST Basis]]="Incl",MasterFees[[#This Row],[Fee as Printed]]/(1+GST_Rate),""))</f>
        <v/>
      </c>
      <c r="R792" s="34" t="str">
        <f>IF(MasterFees[[#This Row],[GST Basis]]="Incl",MasterFees[[#This Row],[Fee as Printed]],IF(MasterFees[[#This Row],[GST Basis]]="Excl",MasterFees[[#This Row],[Fee as Printed]]*(1+GST_Rate),""))</f>
        <v/>
      </c>
      <c r="S792" s="35" t="str">
        <f>IF(N(MasterFees[[#This Row],[Total Units]])=0,"",MasterFees[[#This Row],[Fee as Printed]]/MasterFees[[#This Row],[Total Units]])</f>
        <v/>
      </c>
      <c r="T792" s="36"/>
      <c r="U792" s="39" t="s">
        <v>1016</v>
      </c>
      <c r="V792" s="39" t="s">
        <v>2640</v>
      </c>
      <c r="W792" s="30" t="s">
        <v>2667</v>
      </c>
      <c r="X792" s="73" t="s">
        <v>3648</v>
      </c>
      <c r="Y792" s="127" t="str">
        <f>_xlfn.XLOOKUP(MasterFees[[#This Row],[Provider / Payer]],Contracts[Contract Name],Contracts[Contract ID],"No contract")</f>
        <v>CON-10</v>
      </c>
      <c r="Z792" s="127" t="str">
        <f>_xlfn.XLOOKUP(MasterFees[[#This Row],[Provider / Payer]],Contracts[Contract Name],Contracts[Pricing Basis],"To confirm")</f>
        <v>Reference – units only</v>
      </c>
      <c r="AA792" s="127" t="str">
        <f>IF(MasterFees[[#This Row],[Pricing Basis]]="Fixed fee schedule","Yes","No")</f>
        <v>No</v>
      </c>
      <c r="AB792" s="127" t="str">
        <f>IF(OR(MasterFees[[#This Row],[Fee Basis]]="Add-on",MasterFees[[#This Row],[Fee Basis]]="Time band",MasterFees[[#This Row],[Fee Basis]]="Other"),MasterFees[[#This Row],[Fee Basis]],"Base")</f>
        <v>Base</v>
      </c>
      <c r="AC792" s="141" t="str">
        <f>IF(MasterFees[[#This Row],[Fixed Fee?]]="Yes",MasterFees[[#This Row],[Fee Excl. GST]],"")</f>
        <v/>
      </c>
    </row>
    <row r="793" spans="1:29" x14ac:dyDescent="0.2">
      <c r="A793" s="67" t="s">
        <v>2340</v>
      </c>
      <c r="B793" s="31">
        <f>IF(MasterFees[[#This Row],[RVG Code]]="","",_xlfn.XLOOKUP(MasterFees[[#This Row],[RVG Code]],RVGCodes[Code],RVGCodes[Base Units],"Code not found"))</f>
        <v>6</v>
      </c>
      <c r="C79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9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Lower GI</v>
      </c>
      <c r="E793" s="125" t="s">
        <v>2598</v>
      </c>
      <c r="F793" s="48" t="s">
        <v>2629</v>
      </c>
      <c r="G793" s="30" t="s">
        <v>2341</v>
      </c>
      <c r="H793" s="37" t="s">
        <v>2630</v>
      </c>
      <c r="I793" s="37" t="s">
        <v>2340</v>
      </c>
      <c r="J793" s="37" t="s">
        <v>1096</v>
      </c>
      <c r="K793" s="32">
        <v>6</v>
      </c>
      <c r="L793" s="32"/>
      <c r="M793" s="32"/>
      <c r="N793" s="32">
        <v>6</v>
      </c>
      <c r="O793" s="33"/>
      <c r="P793" s="38"/>
      <c r="Q793" s="34" t="str">
        <f>IF(MasterFees[[#This Row],[GST Basis]]="Excl",MasterFees[[#This Row],[Fee as Printed]],IF(MasterFees[[#This Row],[GST Basis]]="Incl",MasterFees[[#This Row],[Fee as Printed]]/(1+GST_Rate),""))</f>
        <v/>
      </c>
      <c r="R793" s="34" t="str">
        <f>IF(MasterFees[[#This Row],[GST Basis]]="Incl",MasterFees[[#This Row],[Fee as Printed]],IF(MasterFees[[#This Row],[GST Basis]]="Excl",MasterFees[[#This Row],[Fee as Printed]]*(1+GST_Rate),""))</f>
        <v/>
      </c>
      <c r="S793" s="35">
        <f>IF(N(MasterFees[[#This Row],[Total Units]])=0,"",MasterFees[[#This Row],[Fee as Printed]]/MasterFees[[#This Row],[Total Units]])</f>
        <v>0</v>
      </c>
      <c r="T793" s="36"/>
      <c r="U793" s="39" t="s">
        <v>1016</v>
      </c>
      <c r="V793" s="39" t="s">
        <v>2666</v>
      </c>
      <c r="W793" s="30" t="s">
        <v>2632</v>
      </c>
      <c r="X793" s="73" t="s">
        <v>3650</v>
      </c>
      <c r="Y793" s="127" t="str">
        <f>_xlfn.XLOOKUP(MasterFees[[#This Row],[Provider / Payer]],Contracts[Contract Name],Contracts[Contract ID],"No contract")</f>
        <v>CON-10</v>
      </c>
      <c r="Z793" s="127" t="str">
        <f>_xlfn.XLOOKUP(MasterFees[[#This Row],[Provider / Payer]],Contracts[Contract Name],Contracts[Pricing Basis],"To confirm")</f>
        <v>Reference – units only</v>
      </c>
      <c r="AA793" s="127" t="str">
        <f>IF(MasterFees[[#This Row],[Pricing Basis]]="Fixed fee schedule","Yes","No")</f>
        <v>No</v>
      </c>
      <c r="AB793" s="127" t="str">
        <f>IF(OR(MasterFees[[#This Row],[Fee Basis]]="Add-on",MasterFees[[#This Row],[Fee Basis]]="Time band",MasterFees[[#This Row],[Fee Basis]]="Other"),MasterFees[[#This Row],[Fee Basis]],"Base")</f>
        <v>Base</v>
      </c>
      <c r="AC793" s="141" t="str">
        <f>IF(MasterFees[[#This Row],[Fixed Fee?]]="Yes",MasterFees[[#This Row],[Fee Excl. GST]],"")</f>
        <v/>
      </c>
    </row>
    <row r="794" spans="1:29" x14ac:dyDescent="0.2">
      <c r="A794" s="67" t="s">
        <v>2344</v>
      </c>
      <c r="B794" s="31">
        <f>IF(MasterFees[[#This Row],[RVG Code]]="","",_xlfn.XLOOKUP(MasterFees[[#This Row],[RVG Code]],RVGCodes[Code],RVGCodes[Base Units],"Code not found"))</f>
        <v>12</v>
      </c>
      <c r="C79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9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Lower GI</v>
      </c>
      <c r="E794" s="125" t="s">
        <v>2612</v>
      </c>
      <c r="F794" s="48" t="s">
        <v>2567</v>
      </c>
      <c r="G794" s="30" t="s">
        <v>687</v>
      </c>
      <c r="H794" s="37" t="s">
        <v>1095</v>
      </c>
      <c r="I794" s="37"/>
      <c r="J794" s="37" t="s">
        <v>1096</v>
      </c>
      <c r="K794" s="32">
        <v>12.7</v>
      </c>
      <c r="L794" s="32">
        <v>18</v>
      </c>
      <c r="M794" s="32">
        <v>2.8</v>
      </c>
      <c r="N794" s="32">
        <v>33.5</v>
      </c>
      <c r="O794" s="33">
        <v>1841.95</v>
      </c>
      <c r="P794" s="38" t="s">
        <v>1014</v>
      </c>
      <c r="Q794" s="34" t="str">
        <f>IF(MasterFees[[#This Row],[GST Basis]]="Excl",MasterFees[[#This Row],[Fee as Printed]],IF(MasterFees[[#This Row],[GST Basis]]="Incl",MasterFees[[#This Row],[Fee as Printed]]/(1+GST_Rate),""))</f>
        <v/>
      </c>
      <c r="R794" s="34" t="str">
        <f>IF(MasterFees[[#This Row],[GST Basis]]="Incl",MasterFees[[#This Row],[Fee as Printed]],IF(MasterFees[[#This Row],[GST Basis]]="Excl",MasterFees[[#This Row],[Fee as Printed]]*(1+GST_Rate),""))</f>
        <v/>
      </c>
      <c r="S794" s="35">
        <f>IF(N(MasterFees[[#This Row],[Total Units]])=0,"",MasterFees[[#This Row],[Fee as Printed]]/MasterFees[[#This Row],[Total Units]])</f>
        <v>54.983582089552243</v>
      </c>
      <c r="T794" s="36"/>
      <c r="U794" s="39" t="s">
        <v>1012</v>
      </c>
      <c r="V794" s="39" t="s">
        <v>1784</v>
      </c>
      <c r="W794" s="30"/>
      <c r="X794" s="73" t="s">
        <v>3586</v>
      </c>
      <c r="Y794" s="127" t="str">
        <f>_xlfn.XLOOKUP(MasterFees[[#This Row],[Provider / Payer]],Contracts[Contract Name],Contracts[Contract ID],"No contract")</f>
        <v>CON-01</v>
      </c>
      <c r="Z794" s="127" t="str">
        <f>_xlfn.XLOOKUP(MasterFees[[#This Row],[Provider / Payer]],Contracts[Contract Name],Contracts[Pricing Basis],"To confirm")</f>
        <v>To confirm</v>
      </c>
      <c r="AA794" s="127" t="str">
        <f>IF(MasterFees[[#This Row],[Pricing Basis]]="Fixed fee schedule","Yes","No")</f>
        <v>No</v>
      </c>
      <c r="AB794" s="127" t="str">
        <f>IF(OR(MasterFees[[#This Row],[Fee Basis]]="Add-on",MasterFees[[#This Row],[Fee Basis]]="Time band",MasterFees[[#This Row],[Fee Basis]]="Other"),MasterFees[[#This Row],[Fee Basis]],"Base")</f>
        <v>Base</v>
      </c>
      <c r="AC794" s="141" t="str">
        <f>IF(MasterFees[[#This Row],[Fixed Fee?]]="Yes",MasterFees[[#This Row],[Fee Excl. GST]],"")</f>
        <v/>
      </c>
    </row>
    <row r="795" spans="1:29" x14ac:dyDescent="0.2">
      <c r="A795" s="67" t="s">
        <v>2342</v>
      </c>
      <c r="B795" s="31">
        <f>IF(MasterFees[[#This Row],[RVG Code]]="","",_xlfn.XLOOKUP(MasterFees[[#This Row],[RVG Code]],RVGCodes[Code],RVGCodes[Base Units],"Code not found"))</f>
        <v>8</v>
      </c>
      <c r="C79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9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Lower GI</v>
      </c>
      <c r="E795" s="125" t="s">
        <v>2599</v>
      </c>
      <c r="F795" s="48" t="s">
        <v>2567</v>
      </c>
      <c r="G795" s="30" t="s">
        <v>711</v>
      </c>
      <c r="H795" s="37" t="s">
        <v>1095</v>
      </c>
      <c r="I795" s="79"/>
      <c r="J795" s="37" t="s">
        <v>1096</v>
      </c>
      <c r="K795" s="32">
        <v>8</v>
      </c>
      <c r="L795" s="32">
        <v>8.6</v>
      </c>
      <c r="M795" s="32">
        <v>1.4</v>
      </c>
      <c r="N795" s="32">
        <v>18</v>
      </c>
      <c r="O795" s="33">
        <v>989.45</v>
      </c>
      <c r="P795" s="38" t="s">
        <v>1014</v>
      </c>
      <c r="Q795" s="34" t="str">
        <f>IF(MasterFees[[#This Row],[GST Basis]]="Excl",MasterFees[[#This Row],[Fee as Printed]],IF(MasterFees[[#This Row],[GST Basis]]="Incl",MasterFees[[#This Row],[Fee as Printed]]/(1+GST_Rate),""))</f>
        <v/>
      </c>
      <c r="R795" s="34" t="str">
        <f>IF(MasterFees[[#This Row],[GST Basis]]="Incl",MasterFees[[#This Row],[Fee as Printed]],IF(MasterFees[[#This Row],[GST Basis]]="Excl",MasterFees[[#This Row],[Fee as Printed]]*(1+GST_Rate),""))</f>
        <v/>
      </c>
      <c r="S795" s="35">
        <f>IF(N(MasterFees[[#This Row],[Total Units]])=0,"",MasterFees[[#This Row],[Fee as Printed]]/MasterFees[[#This Row],[Total Units]])</f>
        <v>54.969444444444449</v>
      </c>
      <c r="T795" s="36"/>
      <c r="U795" s="39" t="s">
        <v>1012</v>
      </c>
      <c r="V795" s="39" t="s">
        <v>1808</v>
      </c>
      <c r="W795" s="30"/>
      <c r="X795" s="73" t="s">
        <v>3611</v>
      </c>
      <c r="Y795" s="127" t="str">
        <f>_xlfn.XLOOKUP(MasterFees[[#This Row],[Provider / Payer]],Contracts[Contract Name],Contracts[Contract ID],"No contract")</f>
        <v>CON-01</v>
      </c>
      <c r="Z795" s="127" t="str">
        <f>_xlfn.XLOOKUP(MasterFees[[#This Row],[Provider / Payer]],Contracts[Contract Name],Contracts[Pricing Basis],"To confirm")</f>
        <v>To confirm</v>
      </c>
      <c r="AA795" s="127" t="str">
        <f>IF(MasterFees[[#This Row],[Pricing Basis]]="Fixed fee schedule","Yes","No")</f>
        <v>No</v>
      </c>
      <c r="AB795" s="127" t="str">
        <f>IF(OR(MasterFees[[#This Row],[Fee Basis]]="Add-on",MasterFees[[#This Row],[Fee Basis]]="Time band",MasterFees[[#This Row],[Fee Basis]]="Other"),MasterFees[[#This Row],[Fee Basis]],"Base")</f>
        <v>Base</v>
      </c>
      <c r="AC795" s="141" t="str">
        <f>IF(MasterFees[[#This Row],[Fixed Fee?]]="Yes",MasterFees[[#This Row],[Fee Excl. GST]],"")</f>
        <v/>
      </c>
    </row>
    <row r="796" spans="1:29" x14ac:dyDescent="0.2">
      <c r="A796" s="67" t="s">
        <v>2342</v>
      </c>
      <c r="B796" s="31">
        <f>IF(MasterFees[[#This Row],[RVG Code]]="","",_xlfn.XLOOKUP(MasterFees[[#This Row],[RVG Code]],RVGCodes[Code],RVGCodes[Base Units],"Code not found"))</f>
        <v>8</v>
      </c>
      <c r="C79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9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Lower GI</v>
      </c>
      <c r="E796" s="125" t="s">
        <v>2599</v>
      </c>
      <c r="F796" s="48" t="s">
        <v>2567</v>
      </c>
      <c r="G796" s="30" t="s">
        <v>747</v>
      </c>
      <c r="H796" s="37" t="s">
        <v>1095</v>
      </c>
      <c r="I796" s="37"/>
      <c r="J796" s="37" t="s">
        <v>1096</v>
      </c>
      <c r="K796" s="32">
        <v>9.4</v>
      </c>
      <c r="L796" s="32">
        <v>16.8</v>
      </c>
      <c r="M796" s="32">
        <v>0.8</v>
      </c>
      <c r="N796" s="32">
        <v>27</v>
      </c>
      <c r="O796" s="33">
        <v>1483.9</v>
      </c>
      <c r="P796" s="38" t="s">
        <v>1014</v>
      </c>
      <c r="Q796" s="34" t="str">
        <f>IF(MasterFees[[#This Row],[GST Basis]]="Excl",MasterFees[[#This Row],[Fee as Printed]],IF(MasterFees[[#This Row],[GST Basis]]="Incl",MasterFees[[#This Row],[Fee as Printed]]/(1+GST_Rate),""))</f>
        <v/>
      </c>
      <c r="R796" s="34" t="str">
        <f>IF(MasterFees[[#This Row],[GST Basis]]="Incl",MasterFees[[#This Row],[Fee as Printed]],IF(MasterFees[[#This Row],[GST Basis]]="Excl",MasterFees[[#This Row],[Fee as Printed]]*(1+GST_Rate),""))</f>
        <v/>
      </c>
      <c r="S796" s="35">
        <f>IF(N(MasterFees[[#This Row],[Total Units]])=0,"",MasterFees[[#This Row],[Fee as Printed]]/MasterFees[[#This Row],[Total Units]])</f>
        <v>54.959259259259262</v>
      </c>
      <c r="T796" s="36"/>
      <c r="U796" s="39" t="s">
        <v>1012</v>
      </c>
      <c r="V796" s="39" t="s">
        <v>1844</v>
      </c>
      <c r="W796" s="30"/>
      <c r="X796" s="73" t="s">
        <v>3647</v>
      </c>
      <c r="Y796" s="127" t="str">
        <f>_xlfn.XLOOKUP(MasterFees[[#This Row],[Provider / Payer]],Contracts[Contract Name],Contracts[Contract ID],"No contract")</f>
        <v>CON-01</v>
      </c>
      <c r="Z796" s="127" t="str">
        <f>_xlfn.XLOOKUP(MasterFees[[#This Row],[Provider / Payer]],Contracts[Contract Name],Contracts[Pricing Basis],"To confirm")</f>
        <v>To confirm</v>
      </c>
      <c r="AA796" s="127" t="str">
        <f>IF(MasterFees[[#This Row],[Pricing Basis]]="Fixed fee schedule","Yes","No")</f>
        <v>No</v>
      </c>
      <c r="AB796" s="127" t="str">
        <f>IF(OR(MasterFees[[#This Row],[Fee Basis]]="Add-on",MasterFees[[#This Row],[Fee Basis]]="Time band",MasterFees[[#This Row],[Fee Basis]]="Other"),MasterFees[[#This Row],[Fee Basis]],"Base")</f>
        <v>Base</v>
      </c>
      <c r="AC796" s="141" t="str">
        <f>IF(MasterFees[[#This Row],[Fixed Fee?]]="Yes",MasterFees[[#This Row],[Fee Excl. GST]],"")</f>
        <v/>
      </c>
    </row>
    <row r="797" spans="1:29" x14ac:dyDescent="0.2">
      <c r="A797" s="67" t="s">
        <v>2340</v>
      </c>
      <c r="B797" s="31">
        <f>IF(MasterFees[[#This Row],[RVG Code]]="","",_xlfn.XLOOKUP(MasterFees[[#This Row],[RVG Code]],RVGCodes[Code],RVGCodes[Base Units],"Code not found"))</f>
        <v>6</v>
      </c>
      <c r="C79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9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Lower GI</v>
      </c>
      <c r="E797" s="125" t="s">
        <v>2598</v>
      </c>
      <c r="F797" s="48" t="s">
        <v>2569</v>
      </c>
      <c r="G797" s="30" t="s">
        <v>748</v>
      </c>
      <c r="H797" s="37" t="s">
        <v>1095</v>
      </c>
      <c r="I797" s="37"/>
      <c r="J797" s="37" t="s">
        <v>1096</v>
      </c>
      <c r="K797" s="32">
        <v>6.6</v>
      </c>
      <c r="L797" s="32">
        <v>6.8</v>
      </c>
      <c r="M797" s="32">
        <v>0.8</v>
      </c>
      <c r="N797" s="32">
        <v>14.1</v>
      </c>
      <c r="O797" s="33">
        <v>776.6</v>
      </c>
      <c r="P797" s="38" t="s">
        <v>1014</v>
      </c>
      <c r="Q797" s="34" t="str">
        <f>IF(MasterFees[[#This Row],[GST Basis]]="Excl",MasterFees[[#This Row],[Fee as Printed]],IF(MasterFees[[#This Row],[GST Basis]]="Incl",MasterFees[[#This Row],[Fee as Printed]]/(1+GST_Rate),""))</f>
        <v/>
      </c>
      <c r="R797" s="34" t="str">
        <f>IF(MasterFees[[#This Row],[GST Basis]]="Incl",MasterFees[[#This Row],[Fee as Printed]],IF(MasterFees[[#This Row],[GST Basis]]="Excl",MasterFees[[#This Row],[Fee as Printed]]*(1+GST_Rate),""))</f>
        <v/>
      </c>
      <c r="S797" s="35">
        <f>IF(N(MasterFees[[#This Row],[Total Units]])=0,"",MasterFees[[#This Row],[Fee as Printed]]/MasterFees[[#This Row],[Total Units]])</f>
        <v>55.078014184397169</v>
      </c>
      <c r="T797" s="36"/>
      <c r="U797" s="39" t="s">
        <v>1012</v>
      </c>
      <c r="V797" s="39" t="s">
        <v>1845</v>
      </c>
      <c r="W797" s="30"/>
      <c r="X797" s="73" t="s">
        <v>3649</v>
      </c>
      <c r="Y797" s="127" t="str">
        <f>_xlfn.XLOOKUP(MasterFees[[#This Row],[Provider / Payer]],Contracts[Contract Name],Contracts[Contract ID],"No contract")</f>
        <v>CON-01</v>
      </c>
      <c r="Z797" s="127" t="str">
        <f>_xlfn.XLOOKUP(MasterFees[[#This Row],[Provider / Payer]],Contracts[Contract Name],Contracts[Pricing Basis],"To confirm")</f>
        <v>To confirm</v>
      </c>
      <c r="AA797" s="127" t="str">
        <f>IF(MasterFees[[#This Row],[Pricing Basis]]="Fixed fee schedule","Yes","No")</f>
        <v>No</v>
      </c>
      <c r="AB797" s="127" t="str">
        <f>IF(OR(MasterFees[[#This Row],[Fee Basis]]="Add-on",MasterFees[[#This Row],[Fee Basis]]="Time band",MasterFees[[#This Row],[Fee Basis]]="Other"),MasterFees[[#This Row],[Fee Basis]],"Base")</f>
        <v>Base</v>
      </c>
      <c r="AC797" s="141" t="str">
        <f>IF(MasterFees[[#This Row],[Fixed Fee?]]="Yes",MasterFees[[#This Row],[Fee Excl. GST]],"")</f>
        <v/>
      </c>
    </row>
    <row r="798" spans="1:29" x14ac:dyDescent="0.2">
      <c r="A798" s="67" t="s">
        <v>2344</v>
      </c>
      <c r="B798" s="31">
        <f>IF(MasterFees[[#This Row],[RVG Code]]="","",_xlfn.XLOOKUP(MasterFees[[#This Row],[RVG Code]],RVGCodes[Code],RVGCodes[Base Units],"Code not found"))</f>
        <v>12</v>
      </c>
      <c r="C79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9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Lower GI</v>
      </c>
      <c r="E798" s="125" t="s">
        <v>2612</v>
      </c>
      <c r="F798" s="48" t="s">
        <v>2567</v>
      </c>
      <c r="G798" s="30" t="s">
        <v>900</v>
      </c>
      <c r="H798" s="37" t="s">
        <v>1095</v>
      </c>
      <c r="I798" s="37"/>
      <c r="J798" s="37" t="s">
        <v>1096</v>
      </c>
      <c r="K798" s="32">
        <v>9</v>
      </c>
      <c r="L798" s="32">
        <v>11</v>
      </c>
      <c r="M798" s="32">
        <v>2.5</v>
      </c>
      <c r="N798" s="32">
        <v>22.5</v>
      </c>
      <c r="O798" s="33">
        <v>1237.5</v>
      </c>
      <c r="P798" s="38" t="s">
        <v>1014</v>
      </c>
      <c r="Q798" s="34" t="str">
        <f>IF(MasterFees[[#This Row],[GST Basis]]="Excl",MasterFees[[#This Row],[Fee as Printed]],IF(MasterFees[[#This Row],[GST Basis]]="Incl",MasterFees[[#This Row],[Fee as Printed]]/(1+GST_Rate),""))</f>
        <v/>
      </c>
      <c r="R798" s="34" t="str">
        <f>IF(MasterFees[[#This Row],[GST Basis]]="Incl",MasterFees[[#This Row],[Fee as Printed]],IF(MasterFees[[#This Row],[GST Basis]]="Excl",MasterFees[[#This Row],[Fee as Printed]]*(1+GST_Rate),""))</f>
        <v/>
      </c>
      <c r="S798" s="35">
        <f>IF(N(MasterFees[[#This Row],[Total Units]])=0,"",MasterFees[[#This Row],[Fee as Printed]]/MasterFees[[#This Row],[Total Units]])</f>
        <v>55</v>
      </c>
      <c r="T798" s="36"/>
      <c r="U798" s="39" t="s">
        <v>1012</v>
      </c>
      <c r="V798" s="39" t="s">
        <v>2003</v>
      </c>
      <c r="W798" s="30"/>
      <c r="X798" s="73" t="s">
        <v>3827</v>
      </c>
      <c r="Y798" s="127" t="str">
        <f>_xlfn.XLOOKUP(MasterFees[[#This Row],[Provider / Payer]],Contracts[Contract Name],Contracts[Contract ID],"No contract")</f>
        <v>CON-01</v>
      </c>
      <c r="Z798" s="127" t="str">
        <f>_xlfn.XLOOKUP(MasterFees[[#This Row],[Provider / Payer]],Contracts[Contract Name],Contracts[Pricing Basis],"To confirm")</f>
        <v>To confirm</v>
      </c>
      <c r="AA798" s="127" t="str">
        <f>IF(MasterFees[[#This Row],[Pricing Basis]]="Fixed fee schedule","Yes","No")</f>
        <v>No</v>
      </c>
      <c r="AB798" s="127" t="str">
        <f>IF(OR(MasterFees[[#This Row],[Fee Basis]]="Add-on",MasterFees[[#This Row],[Fee Basis]]="Time band",MasterFees[[#This Row],[Fee Basis]]="Other"),MasterFees[[#This Row],[Fee Basis]],"Base")</f>
        <v>Base</v>
      </c>
      <c r="AC798" s="141" t="str">
        <f>IF(MasterFees[[#This Row],[Fixed Fee?]]="Yes",MasterFees[[#This Row],[Fee Excl. GST]],"")</f>
        <v/>
      </c>
    </row>
    <row r="799" spans="1:29" x14ac:dyDescent="0.2">
      <c r="A799" s="67" t="s">
        <v>2344</v>
      </c>
      <c r="B799" s="31">
        <f>IF(MasterFees[[#This Row],[RVG Code]]="","",_xlfn.XLOOKUP(MasterFees[[#This Row],[RVG Code]],RVGCodes[Code],RVGCodes[Base Units],"Code not found"))</f>
        <v>12</v>
      </c>
      <c r="C79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79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Lower GI</v>
      </c>
      <c r="E799" s="125" t="s">
        <v>2612</v>
      </c>
      <c r="F799" s="48" t="s">
        <v>2567</v>
      </c>
      <c r="G799" s="30" t="s">
        <v>952</v>
      </c>
      <c r="H799" s="37" t="s">
        <v>1095</v>
      </c>
      <c r="I799" s="37"/>
      <c r="J799" s="37" t="s">
        <v>1096</v>
      </c>
      <c r="K799" s="32">
        <v>9</v>
      </c>
      <c r="L799" s="32">
        <v>9</v>
      </c>
      <c r="M799" s="32">
        <v>1</v>
      </c>
      <c r="N799" s="32">
        <v>19</v>
      </c>
      <c r="O799" s="33">
        <v>1045</v>
      </c>
      <c r="P799" s="38" t="s">
        <v>1014</v>
      </c>
      <c r="Q799" s="34" t="str">
        <f>IF(MasterFees[[#This Row],[GST Basis]]="Excl",MasterFees[[#This Row],[Fee as Printed]],IF(MasterFees[[#This Row],[GST Basis]]="Incl",MasterFees[[#This Row],[Fee as Printed]]/(1+GST_Rate),""))</f>
        <v/>
      </c>
      <c r="R799" s="34" t="str">
        <f>IF(MasterFees[[#This Row],[GST Basis]]="Incl",MasterFees[[#This Row],[Fee as Printed]],IF(MasterFees[[#This Row],[GST Basis]]="Excl",MasterFees[[#This Row],[Fee as Printed]]*(1+GST_Rate),""))</f>
        <v/>
      </c>
      <c r="S799" s="35">
        <f>IF(N(MasterFees[[#This Row],[Total Units]])=0,"",MasterFees[[#This Row],[Fee as Printed]]/MasterFees[[#This Row],[Total Units]])</f>
        <v>55</v>
      </c>
      <c r="T799" s="36"/>
      <c r="U799" s="39" t="s">
        <v>1012</v>
      </c>
      <c r="V799" s="39" t="s">
        <v>2055</v>
      </c>
      <c r="W799" s="30"/>
      <c r="X799" s="73" t="s">
        <v>3891</v>
      </c>
      <c r="Y799" s="127" t="str">
        <f>_xlfn.XLOOKUP(MasterFees[[#This Row],[Provider / Payer]],Contracts[Contract Name],Contracts[Contract ID],"No contract")</f>
        <v>CON-01</v>
      </c>
      <c r="Z799" s="127" t="str">
        <f>_xlfn.XLOOKUP(MasterFees[[#This Row],[Provider / Payer]],Contracts[Contract Name],Contracts[Pricing Basis],"To confirm")</f>
        <v>To confirm</v>
      </c>
      <c r="AA799" s="127" t="str">
        <f>IF(MasterFees[[#This Row],[Pricing Basis]]="Fixed fee schedule","Yes","No")</f>
        <v>No</v>
      </c>
      <c r="AB799" s="127" t="str">
        <f>IF(OR(MasterFees[[#This Row],[Fee Basis]]="Add-on",MasterFees[[#This Row],[Fee Basis]]="Time band",MasterFees[[#This Row],[Fee Basis]]="Other"),MasterFees[[#This Row],[Fee Basis]],"Base")</f>
        <v>Base</v>
      </c>
      <c r="AC799" s="141" t="str">
        <f>IF(MasterFees[[#This Row],[Fixed Fee?]]="Yes",MasterFees[[#This Row],[Fee Excl. GST]],"")</f>
        <v/>
      </c>
    </row>
    <row r="800" spans="1:29" x14ac:dyDescent="0.2">
      <c r="A800" s="67" t="s">
        <v>2335</v>
      </c>
      <c r="B800" s="31">
        <f>IF(MasterFees[[#This Row],[RVG Code]]="","",_xlfn.XLOOKUP(MasterFees[[#This Row],[RVG Code]],RVGCodes[Code],RVGCodes[Base Units],"Code not found"))</f>
        <v>16</v>
      </c>
      <c r="C80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0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00" s="125" t="s">
        <v>2617</v>
      </c>
      <c r="F800" s="48" t="s">
        <v>2629</v>
      </c>
      <c r="G800" s="30" t="s">
        <v>2336</v>
      </c>
      <c r="H800" s="37" t="s">
        <v>2630</v>
      </c>
      <c r="I800" s="37" t="s">
        <v>2335</v>
      </c>
      <c r="J800" s="37" t="s">
        <v>1096</v>
      </c>
      <c r="K800" s="32">
        <v>16</v>
      </c>
      <c r="L800" s="32"/>
      <c r="M800" s="32"/>
      <c r="N800" s="32">
        <v>16</v>
      </c>
      <c r="O800" s="33"/>
      <c r="P800" s="38"/>
      <c r="Q800" s="34" t="str">
        <f>IF(MasterFees[[#This Row],[GST Basis]]="Excl",MasterFees[[#This Row],[Fee as Printed]],IF(MasterFees[[#This Row],[GST Basis]]="Incl",MasterFees[[#This Row],[Fee as Printed]]/(1+GST_Rate),""))</f>
        <v/>
      </c>
      <c r="R800" s="34" t="str">
        <f>IF(MasterFees[[#This Row],[GST Basis]]="Incl",MasterFees[[#This Row],[Fee as Printed]],IF(MasterFees[[#This Row],[GST Basis]]="Excl",MasterFees[[#This Row],[Fee as Printed]]*(1+GST_Rate),""))</f>
        <v/>
      </c>
      <c r="S800" s="35">
        <f>IF(N(MasterFees[[#This Row],[Total Units]])=0,"",MasterFees[[#This Row],[Fee as Printed]]/MasterFees[[#This Row],[Total Units]])</f>
        <v>0</v>
      </c>
      <c r="T800" s="36"/>
      <c r="U800" s="39" t="s">
        <v>1016</v>
      </c>
      <c r="V800" s="39" t="s">
        <v>2651</v>
      </c>
      <c r="W800" s="30" t="s">
        <v>2632</v>
      </c>
      <c r="X800" s="73" t="s">
        <v>3379</v>
      </c>
      <c r="Y800" s="127" t="str">
        <f>_xlfn.XLOOKUP(MasterFees[[#This Row],[Provider / Payer]],Contracts[Contract Name],Contracts[Contract ID],"No contract")</f>
        <v>CON-10</v>
      </c>
      <c r="Z800" s="127" t="str">
        <f>_xlfn.XLOOKUP(MasterFees[[#This Row],[Provider / Payer]],Contracts[Contract Name],Contracts[Pricing Basis],"To confirm")</f>
        <v>Reference – units only</v>
      </c>
      <c r="AA800" s="127" t="str">
        <f>IF(MasterFees[[#This Row],[Pricing Basis]]="Fixed fee schedule","Yes","No")</f>
        <v>No</v>
      </c>
      <c r="AB800" s="127" t="str">
        <f>IF(OR(MasterFees[[#This Row],[Fee Basis]]="Add-on",MasterFees[[#This Row],[Fee Basis]]="Time band",MasterFees[[#This Row],[Fee Basis]]="Other"),MasterFees[[#This Row],[Fee Basis]],"Base")</f>
        <v>Base</v>
      </c>
      <c r="AC800" s="141" t="str">
        <f>IF(MasterFees[[#This Row],[Fixed Fee?]]="Yes",MasterFees[[#This Row],[Fee Excl. GST]],"")</f>
        <v/>
      </c>
    </row>
    <row r="801" spans="1:29" x14ac:dyDescent="0.2">
      <c r="A801" s="67" t="s">
        <v>2331</v>
      </c>
      <c r="B801" s="31">
        <f>IF(MasterFees[[#This Row],[RVG Code]]="","",_xlfn.XLOOKUP(MasterFees[[#This Row],[RVG Code]],RVGCodes[Code],RVGCodes[Base Units],"Code not found"))</f>
        <v>8</v>
      </c>
      <c r="C80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0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01" s="125" t="s">
        <v>2614</v>
      </c>
      <c r="F801" s="48" t="s">
        <v>2567</v>
      </c>
      <c r="G801" s="30" t="s">
        <v>410</v>
      </c>
      <c r="H801" s="37" t="s">
        <v>1095</v>
      </c>
      <c r="I801" s="37"/>
      <c r="J801" s="37" t="s">
        <v>1096</v>
      </c>
      <c r="K801" s="32">
        <v>2.9</v>
      </c>
      <c r="L801" s="32">
        <v>3</v>
      </c>
      <c r="M801" s="32">
        <v>0.1</v>
      </c>
      <c r="N801" s="32">
        <v>6.1</v>
      </c>
      <c r="O801" s="33">
        <v>333.3</v>
      </c>
      <c r="P801" s="38" t="s">
        <v>1014</v>
      </c>
      <c r="Q801" s="34" t="str">
        <f>IF(MasterFees[[#This Row],[GST Basis]]="Excl",MasterFees[[#This Row],[Fee as Printed]],IF(MasterFees[[#This Row],[GST Basis]]="Incl",MasterFees[[#This Row],[Fee as Printed]]/(1+GST_Rate),""))</f>
        <v/>
      </c>
      <c r="R801" s="34" t="str">
        <f>IF(MasterFees[[#This Row],[GST Basis]]="Incl",MasterFees[[#This Row],[Fee as Printed]],IF(MasterFees[[#This Row],[GST Basis]]="Excl",MasterFees[[#This Row],[Fee as Printed]]*(1+GST_Rate),""))</f>
        <v/>
      </c>
      <c r="S801" s="35">
        <f>IF(N(MasterFees[[#This Row],[Total Units]])=0,"",MasterFees[[#This Row],[Fee as Printed]]/MasterFees[[#This Row],[Total Units]])</f>
        <v>54.63934426229509</v>
      </c>
      <c r="T801" s="36"/>
      <c r="U801" s="39" t="s">
        <v>1012</v>
      </c>
      <c r="V801" s="39" t="s">
        <v>1505</v>
      </c>
      <c r="W801" s="30"/>
      <c r="X801" s="73" t="s">
        <v>3298</v>
      </c>
      <c r="Y801" s="127" t="str">
        <f>_xlfn.XLOOKUP(MasterFees[[#This Row],[Provider / Payer]],Contracts[Contract Name],Contracts[Contract ID],"No contract")</f>
        <v>CON-01</v>
      </c>
      <c r="Z801" s="127" t="str">
        <f>_xlfn.XLOOKUP(MasterFees[[#This Row],[Provider / Payer]],Contracts[Contract Name],Contracts[Pricing Basis],"To confirm")</f>
        <v>To confirm</v>
      </c>
      <c r="AA801" s="127" t="str">
        <f>IF(MasterFees[[#This Row],[Pricing Basis]]="Fixed fee schedule","Yes","No")</f>
        <v>No</v>
      </c>
      <c r="AB801" s="127" t="str">
        <f>IF(OR(MasterFees[[#This Row],[Fee Basis]]="Add-on",MasterFees[[#This Row],[Fee Basis]]="Time band",MasterFees[[#This Row],[Fee Basis]]="Other"),MasterFees[[#This Row],[Fee Basis]],"Base")</f>
        <v>Base</v>
      </c>
      <c r="AC801" s="141" t="str">
        <f>IF(MasterFees[[#This Row],[Fixed Fee?]]="Yes",MasterFees[[#This Row],[Fee Excl. GST]],"")</f>
        <v/>
      </c>
    </row>
    <row r="802" spans="1:29" x14ac:dyDescent="0.2">
      <c r="A802" s="67" t="s">
        <v>2331</v>
      </c>
      <c r="B802" s="31">
        <f>IF(MasterFees[[#This Row],[RVG Code]]="","",_xlfn.XLOOKUP(MasterFees[[#This Row],[RVG Code]],RVGCodes[Code],RVGCodes[Base Units],"Code not found"))</f>
        <v>8</v>
      </c>
      <c r="C80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0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02" s="125" t="s">
        <v>2614</v>
      </c>
      <c r="F802" s="48" t="s">
        <v>2567</v>
      </c>
      <c r="G802" s="30" t="s">
        <v>411</v>
      </c>
      <c r="H802" s="37" t="s">
        <v>1095</v>
      </c>
      <c r="I802" s="37"/>
      <c r="J802" s="37" t="s">
        <v>1096</v>
      </c>
      <c r="K802" s="32">
        <v>0</v>
      </c>
      <c r="L802" s="32">
        <v>0</v>
      </c>
      <c r="M802" s="32">
        <v>0</v>
      </c>
      <c r="N802" s="32">
        <v>0</v>
      </c>
      <c r="O802" s="33">
        <v>0</v>
      </c>
      <c r="P802" s="38" t="s">
        <v>1014</v>
      </c>
      <c r="Q802" s="34" t="str">
        <f>IF(MasterFees[[#This Row],[GST Basis]]="Excl",MasterFees[[#This Row],[Fee as Printed]],IF(MasterFees[[#This Row],[GST Basis]]="Incl",MasterFees[[#This Row],[Fee as Printed]]/(1+GST_Rate),""))</f>
        <v/>
      </c>
      <c r="R802" s="34" t="str">
        <f>IF(MasterFees[[#This Row],[GST Basis]]="Incl",MasterFees[[#This Row],[Fee as Printed]],IF(MasterFees[[#This Row],[GST Basis]]="Excl",MasterFees[[#This Row],[Fee as Printed]]*(1+GST_Rate),""))</f>
        <v/>
      </c>
      <c r="S802" s="35" t="str">
        <f>IF(N(MasterFees[[#This Row],[Total Units]])=0,"",MasterFees[[#This Row],[Fee as Printed]]/MasterFees[[#This Row],[Total Units]])</f>
        <v/>
      </c>
      <c r="T802" s="36"/>
      <c r="U802" s="39" t="s">
        <v>1012</v>
      </c>
      <c r="V802" s="39" t="s">
        <v>1506</v>
      </c>
      <c r="W802" s="30"/>
      <c r="X802" s="73" t="s">
        <v>3299</v>
      </c>
      <c r="Y802" s="127" t="str">
        <f>_xlfn.XLOOKUP(MasterFees[[#This Row],[Provider / Payer]],Contracts[Contract Name],Contracts[Contract ID],"No contract")</f>
        <v>CON-01</v>
      </c>
      <c r="Z802" s="127" t="str">
        <f>_xlfn.XLOOKUP(MasterFees[[#This Row],[Provider / Payer]],Contracts[Contract Name],Contracts[Pricing Basis],"To confirm")</f>
        <v>To confirm</v>
      </c>
      <c r="AA802" s="127" t="str">
        <f>IF(MasterFees[[#This Row],[Pricing Basis]]="Fixed fee schedule","Yes","No")</f>
        <v>No</v>
      </c>
      <c r="AB802" s="127" t="str">
        <f>IF(OR(MasterFees[[#This Row],[Fee Basis]]="Add-on",MasterFees[[#This Row],[Fee Basis]]="Time band",MasterFees[[#This Row],[Fee Basis]]="Other"),MasterFees[[#This Row],[Fee Basis]],"Base")</f>
        <v>Base</v>
      </c>
      <c r="AC802" s="141" t="str">
        <f>IF(MasterFees[[#This Row],[Fixed Fee?]]="Yes",MasterFees[[#This Row],[Fee Excl. GST]],"")</f>
        <v/>
      </c>
    </row>
    <row r="803" spans="1:29" x14ac:dyDescent="0.2">
      <c r="A803" s="67" t="s">
        <v>2331</v>
      </c>
      <c r="B803" s="31">
        <f>IF(MasterFees[[#This Row],[RVG Code]]="","",_xlfn.XLOOKUP(MasterFees[[#This Row],[RVG Code]],RVGCodes[Code],RVGCodes[Base Units],"Code not found"))</f>
        <v>8</v>
      </c>
      <c r="C80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0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03" s="125" t="s">
        <v>2614</v>
      </c>
      <c r="F803" s="48" t="s">
        <v>2567</v>
      </c>
      <c r="G803" s="30" t="s">
        <v>412</v>
      </c>
      <c r="H803" s="37" t="s">
        <v>1095</v>
      </c>
      <c r="I803" s="37"/>
      <c r="J803" s="37" t="s">
        <v>1096</v>
      </c>
      <c r="K803" s="32">
        <v>3.1</v>
      </c>
      <c r="L803" s="32">
        <v>3.4</v>
      </c>
      <c r="M803" s="32">
        <v>1.1000000000000001</v>
      </c>
      <c r="N803" s="32">
        <v>7.6</v>
      </c>
      <c r="O803" s="33">
        <v>419.65</v>
      </c>
      <c r="P803" s="38" t="s">
        <v>1014</v>
      </c>
      <c r="Q803" s="34" t="str">
        <f>IF(MasterFees[[#This Row],[GST Basis]]="Excl",MasterFees[[#This Row],[Fee as Printed]],IF(MasterFees[[#This Row],[GST Basis]]="Incl",MasterFees[[#This Row],[Fee as Printed]]/(1+GST_Rate),""))</f>
        <v/>
      </c>
      <c r="R803" s="34" t="str">
        <f>IF(MasterFees[[#This Row],[GST Basis]]="Incl",MasterFees[[#This Row],[Fee as Printed]],IF(MasterFees[[#This Row],[GST Basis]]="Excl",MasterFees[[#This Row],[Fee as Printed]]*(1+GST_Rate),""))</f>
        <v/>
      </c>
      <c r="S803" s="35">
        <f>IF(N(MasterFees[[#This Row],[Total Units]])=0,"",MasterFees[[#This Row],[Fee as Printed]]/MasterFees[[#This Row],[Total Units]])</f>
        <v>55.217105263157897</v>
      </c>
      <c r="T803" s="36"/>
      <c r="U803" s="39" t="s">
        <v>1012</v>
      </c>
      <c r="V803" s="39" t="s">
        <v>1507</v>
      </c>
      <c r="W803" s="30"/>
      <c r="X803" s="73" t="s">
        <v>3300</v>
      </c>
      <c r="Y803" s="127" t="str">
        <f>_xlfn.XLOOKUP(MasterFees[[#This Row],[Provider / Payer]],Contracts[Contract Name],Contracts[Contract ID],"No contract")</f>
        <v>CON-01</v>
      </c>
      <c r="Z803" s="127" t="str">
        <f>_xlfn.XLOOKUP(MasterFees[[#This Row],[Provider / Payer]],Contracts[Contract Name],Contracts[Pricing Basis],"To confirm")</f>
        <v>To confirm</v>
      </c>
      <c r="AA803" s="127" t="str">
        <f>IF(MasterFees[[#This Row],[Pricing Basis]]="Fixed fee schedule","Yes","No")</f>
        <v>No</v>
      </c>
      <c r="AB803" s="127" t="str">
        <f>IF(OR(MasterFees[[#This Row],[Fee Basis]]="Add-on",MasterFees[[#This Row],[Fee Basis]]="Time band",MasterFees[[#This Row],[Fee Basis]]="Other"),MasterFees[[#This Row],[Fee Basis]],"Base")</f>
        <v>Base</v>
      </c>
      <c r="AC803" s="141" t="str">
        <f>IF(MasterFees[[#This Row],[Fixed Fee?]]="Yes",MasterFees[[#This Row],[Fee Excl. GST]],"")</f>
        <v/>
      </c>
    </row>
    <row r="804" spans="1:29" x14ac:dyDescent="0.2">
      <c r="A804" s="67" t="s">
        <v>2331</v>
      </c>
      <c r="B804" s="31">
        <f>IF(MasterFees[[#This Row],[RVG Code]]="","",_xlfn.XLOOKUP(MasterFees[[#This Row],[RVG Code]],RVGCodes[Code],RVGCodes[Base Units],"Code not found"))</f>
        <v>8</v>
      </c>
      <c r="C80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0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04" s="125" t="s">
        <v>2614</v>
      </c>
      <c r="F804" s="48" t="s">
        <v>2569</v>
      </c>
      <c r="G804" s="30" t="s">
        <v>459</v>
      </c>
      <c r="H804" s="37" t="s">
        <v>1095</v>
      </c>
      <c r="I804" s="37"/>
      <c r="J804" s="37" t="s">
        <v>1096</v>
      </c>
      <c r="K804" s="32">
        <v>8</v>
      </c>
      <c r="L804" s="32">
        <v>9.3000000000000007</v>
      </c>
      <c r="M804" s="32">
        <v>2</v>
      </c>
      <c r="N804" s="32">
        <v>19.3</v>
      </c>
      <c r="O804" s="33">
        <v>1058.75</v>
      </c>
      <c r="P804" s="38" t="s">
        <v>1014</v>
      </c>
      <c r="Q804" s="34" t="str">
        <f>IF(MasterFees[[#This Row],[GST Basis]]="Excl",MasterFees[[#This Row],[Fee as Printed]],IF(MasterFees[[#This Row],[GST Basis]]="Incl",MasterFees[[#This Row],[Fee as Printed]]/(1+GST_Rate),""))</f>
        <v/>
      </c>
      <c r="R804" s="34" t="str">
        <f>IF(MasterFees[[#This Row],[GST Basis]]="Incl",MasterFees[[#This Row],[Fee as Printed]],IF(MasterFees[[#This Row],[GST Basis]]="Excl",MasterFees[[#This Row],[Fee as Printed]]*(1+GST_Rate),""))</f>
        <v/>
      </c>
      <c r="S804" s="35">
        <f>IF(N(MasterFees[[#This Row],[Total Units]])=0,"",MasterFees[[#This Row],[Fee as Printed]]/MasterFees[[#This Row],[Total Units]])</f>
        <v>54.857512953367873</v>
      </c>
      <c r="T804" s="36"/>
      <c r="U804" s="39" t="s">
        <v>1012</v>
      </c>
      <c r="V804" s="39" t="s">
        <v>1554</v>
      </c>
      <c r="W804" s="30"/>
      <c r="X804" s="73" t="s">
        <v>3347</v>
      </c>
      <c r="Y804" s="127" t="str">
        <f>_xlfn.XLOOKUP(MasterFees[[#This Row],[Provider / Payer]],Contracts[Contract Name],Contracts[Contract ID],"No contract")</f>
        <v>CON-01</v>
      </c>
      <c r="Z804" s="127" t="str">
        <f>_xlfn.XLOOKUP(MasterFees[[#This Row],[Provider / Payer]],Contracts[Contract Name],Contracts[Pricing Basis],"To confirm")</f>
        <v>To confirm</v>
      </c>
      <c r="AA804" s="127" t="str">
        <f>IF(MasterFees[[#This Row],[Pricing Basis]]="Fixed fee schedule","Yes","No")</f>
        <v>No</v>
      </c>
      <c r="AB804" s="127" t="str">
        <f>IF(OR(MasterFees[[#This Row],[Fee Basis]]="Add-on",MasterFees[[#This Row],[Fee Basis]]="Time band",MasterFees[[#This Row],[Fee Basis]]="Other"),MasterFees[[#This Row],[Fee Basis]],"Base")</f>
        <v>Base</v>
      </c>
      <c r="AC804" s="141" t="str">
        <f>IF(MasterFees[[#This Row],[Fixed Fee?]]="Yes",MasterFees[[#This Row],[Fee Excl. GST]],"")</f>
        <v/>
      </c>
    </row>
    <row r="805" spans="1:29" x14ac:dyDescent="0.2">
      <c r="A805" s="67" t="s">
        <v>2331</v>
      </c>
      <c r="B805" s="31">
        <f>IF(MasterFees[[#This Row],[RVG Code]]="","",_xlfn.XLOOKUP(MasterFees[[#This Row],[RVG Code]],RVGCodes[Code],RVGCodes[Base Units],"Code not found"))</f>
        <v>8</v>
      </c>
      <c r="C80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0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05" s="125" t="s">
        <v>2614</v>
      </c>
      <c r="F805" s="48" t="s">
        <v>2569</v>
      </c>
      <c r="G805" s="30" t="s">
        <v>476</v>
      </c>
      <c r="H805" s="37" t="s">
        <v>1095</v>
      </c>
      <c r="I805" s="37"/>
      <c r="J805" s="37" t="s">
        <v>1096</v>
      </c>
      <c r="K805" s="32">
        <v>7.8</v>
      </c>
      <c r="L805" s="32">
        <v>8.3000000000000007</v>
      </c>
      <c r="M805" s="32">
        <v>0.8</v>
      </c>
      <c r="N805" s="32">
        <v>16.899999999999999</v>
      </c>
      <c r="O805" s="33">
        <v>929.5</v>
      </c>
      <c r="P805" s="38" t="s">
        <v>1014</v>
      </c>
      <c r="Q805" s="34" t="str">
        <f>IF(MasterFees[[#This Row],[GST Basis]]="Excl",MasterFees[[#This Row],[Fee as Printed]],IF(MasterFees[[#This Row],[GST Basis]]="Incl",MasterFees[[#This Row],[Fee as Printed]]/(1+GST_Rate),""))</f>
        <v/>
      </c>
      <c r="R805" s="34" t="str">
        <f>IF(MasterFees[[#This Row],[GST Basis]]="Incl",MasterFees[[#This Row],[Fee as Printed]],IF(MasterFees[[#This Row],[GST Basis]]="Excl",MasterFees[[#This Row],[Fee as Printed]]*(1+GST_Rate),""))</f>
        <v/>
      </c>
      <c r="S805" s="35">
        <f>IF(N(MasterFees[[#This Row],[Total Units]])=0,"",MasterFees[[#This Row],[Fee as Printed]]/MasterFees[[#This Row],[Total Units]])</f>
        <v>55.000000000000007</v>
      </c>
      <c r="T805" s="36"/>
      <c r="U805" s="39" t="s">
        <v>1012</v>
      </c>
      <c r="V805" s="39" t="s">
        <v>1571</v>
      </c>
      <c r="W805" s="30"/>
      <c r="X805" s="73" t="s">
        <v>3364</v>
      </c>
      <c r="Y805" s="127" t="str">
        <f>_xlfn.XLOOKUP(MasterFees[[#This Row],[Provider / Payer]],Contracts[Contract Name],Contracts[Contract ID],"No contract")</f>
        <v>CON-01</v>
      </c>
      <c r="Z805" s="127" t="str">
        <f>_xlfn.XLOOKUP(MasterFees[[#This Row],[Provider / Payer]],Contracts[Contract Name],Contracts[Pricing Basis],"To confirm")</f>
        <v>To confirm</v>
      </c>
      <c r="AA805" s="127" t="str">
        <f>IF(MasterFees[[#This Row],[Pricing Basis]]="Fixed fee schedule","Yes","No")</f>
        <v>No</v>
      </c>
      <c r="AB805" s="127" t="str">
        <f>IF(OR(MasterFees[[#This Row],[Fee Basis]]="Add-on",MasterFees[[#This Row],[Fee Basis]]="Time band",MasterFees[[#This Row],[Fee Basis]]="Other"),MasterFees[[#This Row],[Fee Basis]],"Base")</f>
        <v>Base</v>
      </c>
      <c r="AC805" s="141" t="str">
        <f>IF(MasterFees[[#This Row],[Fixed Fee?]]="Yes",MasterFees[[#This Row],[Fee Excl. GST]],"")</f>
        <v/>
      </c>
    </row>
    <row r="806" spans="1:29" x14ac:dyDescent="0.2">
      <c r="A806" s="67" t="s">
        <v>2333</v>
      </c>
      <c r="B806" s="31">
        <f>IF(MasterFees[[#This Row],[RVG Code]]="","",_xlfn.XLOOKUP(MasterFees[[#This Row],[RVG Code]],RVGCodes[Code],RVGCodes[Base Units],"Code not found"))</f>
        <v>10</v>
      </c>
      <c r="C80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0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06" s="125" t="s">
        <v>2616</v>
      </c>
      <c r="F806" s="48" t="s">
        <v>2569</v>
      </c>
      <c r="G806" s="30" t="s">
        <v>477</v>
      </c>
      <c r="H806" s="37" t="s">
        <v>1095</v>
      </c>
      <c r="I806" s="37"/>
      <c r="J806" s="37" t="s">
        <v>1096</v>
      </c>
      <c r="K806" s="32">
        <v>4</v>
      </c>
      <c r="L806" s="32">
        <v>4.4000000000000004</v>
      </c>
      <c r="M806" s="32">
        <v>1</v>
      </c>
      <c r="N806" s="32">
        <v>9.4</v>
      </c>
      <c r="O806" s="33">
        <v>518.1</v>
      </c>
      <c r="P806" s="38" t="s">
        <v>1014</v>
      </c>
      <c r="Q806" s="34" t="str">
        <f>IF(MasterFees[[#This Row],[GST Basis]]="Excl",MasterFees[[#This Row],[Fee as Printed]],IF(MasterFees[[#This Row],[GST Basis]]="Incl",MasterFees[[#This Row],[Fee as Printed]]/(1+GST_Rate),""))</f>
        <v/>
      </c>
      <c r="R806" s="34" t="str">
        <f>IF(MasterFees[[#This Row],[GST Basis]]="Incl",MasterFees[[#This Row],[Fee as Printed]],IF(MasterFees[[#This Row],[GST Basis]]="Excl",MasterFees[[#This Row],[Fee as Printed]]*(1+GST_Rate),""))</f>
        <v/>
      </c>
      <c r="S806" s="35">
        <f>IF(N(MasterFees[[#This Row],[Total Units]])=0,"",MasterFees[[#This Row],[Fee as Printed]]/MasterFees[[#This Row],[Total Units]])</f>
        <v>55.117021276595743</v>
      </c>
      <c r="T806" s="36"/>
      <c r="U806" s="39" t="s">
        <v>1012</v>
      </c>
      <c r="V806" s="39" t="s">
        <v>1572</v>
      </c>
      <c r="W806" s="30"/>
      <c r="X806" s="73" t="s">
        <v>3365</v>
      </c>
      <c r="Y806" s="127" t="str">
        <f>_xlfn.XLOOKUP(MasterFees[[#This Row],[Provider / Payer]],Contracts[Contract Name],Contracts[Contract ID],"No contract")</f>
        <v>CON-01</v>
      </c>
      <c r="Z806" s="127" t="str">
        <f>_xlfn.XLOOKUP(MasterFees[[#This Row],[Provider / Payer]],Contracts[Contract Name],Contracts[Pricing Basis],"To confirm")</f>
        <v>To confirm</v>
      </c>
      <c r="AA806" s="127" t="str">
        <f>IF(MasterFees[[#This Row],[Pricing Basis]]="Fixed fee schedule","Yes","No")</f>
        <v>No</v>
      </c>
      <c r="AB806" s="127" t="str">
        <f>IF(OR(MasterFees[[#This Row],[Fee Basis]]="Add-on",MasterFees[[#This Row],[Fee Basis]]="Time band",MasterFees[[#This Row],[Fee Basis]]="Other"),MasterFees[[#This Row],[Fee Basis]],"Base")</f>
        <v>Base</v>
      </c>
      <c r="AC806" s="141" t="str">
        <f>IF(MasterFees[[#This Row],[Fixed Fee?]]="Yes",MasterFees[[#This Row],[Fee Excl. GST]],"")</f>
        <v/>
      </c>
    </row>
    <row r="807" spans="1:29" x14ac:dyDescent="0.2">
      <c r="A807" s="67" t="s">
        <v>2331</v>
      </c>
      <c r="B807" s="31">
        <f>IF(MasterFees[[#This Row],[RVG Code]]="","",_xlfn.XLOOKUP(MasterFees[[#This Row],[RVG Code]],RVGCodes[Code],RVGCodes[Base Units],"Code not found"))</f>
        <v>8</v>
      </c>
      <c r="C80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0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07" s="125" t="s">
        <v>2614</v>
      </c>
      <c r="F807" s="48" t="s">
        <v>2569</v>
      </c>
      <c r="G807" s="30" t="s">
        <v>478</v>
      </c>
      <c r="H807" s="37" t="s">
        <v>1095</v>
      </c>
      <c r="I807" s="37"/>
      <c r="J807" s="37" t="s">
        <v>1096</v>
      </c>
      <c r="K807" s="32">
        <v>3.4</v>
      </c>
      <c r="L807" s="32">
        <v>2.6</v>
      </c>
      <c r="M807" s="32">
        <v>0.7</v>
      </c>
      <c r="N807" s="32">
        <v>6.7</v>
      </c>
      <c r="O807" s="33">
        <v>369.05</v>
      </c>
      <c r="P807" s="38" t="s">
        <v>1014</v>
      </c>
      <c r="Q807" s="34" t="str">
        <f>IF(MasterFees[[#This Row],[GST Basis]]="Excl",MasterFees[[#This Row],[Fee as Printed]],IF(MasterFees[[#This Row],[GST Basis]]="Incl",MasterFees[[#This Row],[Fee as Printed]]/(1+GST_Rate),""))</f>
        <v/>
      </c>
      <c r="R807" s="34" t="str">
        <f>IF(MasterFees[[#This Row],[GST Basis]]="Incl",MasterFees[[#This Row],[Fee as Printed]],IF(MasterFees[[#This Row],[GST Basis]]="Excl",MasterFees[[#This Row],[Fee as Printed]]*(1+GST_Rate),""))</f>
        <v/>
      </c>
      <c r="S807" s="35">
        <f>IF(N(MasterFees[[#This Row],[Total Units]])=0,"",MasterFees[[#This Row],[Fee as Printed]]/MasterFees[[#This Row],[Total Units]])</f>
        <v>55.082089552238806</v>
      </c>
      <c r="T807" s="36"/>
      <c r="U807" s="39" t="s">
        <v>1012</v>
      </c>
      <c r="V807" s="39" t="s">
        <v>1573</v>
      </c>
      <c r="W807" s="30"/>
      <c r="X807" s="73" t="s">
        <v>3366</v>
      </c>
      <c r="Y807" s="127" t="str">
        <f>_xlfn.XLOOKUP(MasterFees[[#This Row],[Provider / Payer]],Contracts[Contract Name],Contracts[Contract ID],"No contract")</f>
        <v>CON-01</v>
      </c>
      <c r="Z807" s="127" t="str">
        <f>_xlfn.XLOOKUP(MasterFees[[#This Row],[Provider / Payer]],Contracts[Contract Name],Contracts[Pricing Basis],"To confirm")</f>
        <v>To confirm</v>
      </c>
      <c r="AA807" s="127" t="str">
        <f>IF(MasterFees[[#This Row],[Pricing Basis]]="Fixed fee schedule","Yes","No")</f>
        <v>No</v>
      </c>
      <c r="AB807" s="127" t="str">
        <f>IF(OR(MasterFees[[#This Row],[Fee Basis]]="Add-on",MasterFees[[#This Row],[Fee Basis]]="Time band",MasterFees[[#This Row],[Fee Basis]]="Other"),MasterFees[[#This Row],[Fee Basis]],"Base")</f>
        <v>Base</v>
      </c>
      <c r="AC807" s="141" t="str">
        <f>IF(MasterFees[[#This Row],[Fixed Fee?]]="Yes",MasterFees[[#This Row],[Fee Excl. GST]],"")</f>
        <v/>
      </c>
    </row>
    <row r="808" spans="1:29" x14ac:dyDescent="0.2">
      <c r="A808" s="67" t="s">
        <v>2331</v>
      </c>
      <c r="B808" s="31">
        <f>IF(MasterFees[[#This Row],[RVG Code]]="","",_xlfn.XLOOKUP(MasterFees[[#This Row],[RVG Code]],RVGCodes[Code],RVGCodes[Base Units],"Code not found"))</f>
        <v>8</v>
      </c>
      <c r="C80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0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08" s="125" t="s">
        <v>2614</v>
      </c>
      <c r="F808" s="48" t="s">
        <v>2569</v>
      </c>
      <c r="G808" s="30" t="s">
        <v>479</v>
      </c>
      <c r="H808" s="37" t="s">
        <v>1095</v>
      </c>
      <c r="I808" s="37"/>
      <c r="J808" s="37" t="s">
        <v>1096</v>
      </c>
      <c r="K808" s="32">
        <v>3.9</v>
      </c>
      <c r="L808" s="32">
        <v>3.1</v>
      </c>
      <c r="M808" s="32">
        <v>1.3</v>
      </c>
      <c r="N808" s="32">
        <v>8.1999999999999993</v>
      </c>
      <c r="O808" s="33">
        <v>450.45</v>
      </c>
      <c r="P808" s="38" t="s">
        <v>1014</v>
      </c>
      <c r="Q808" s="34" t="str">
        <f>IF(MasterFees[[#This Row],[GST Basis]]="Excl",MasterFees[[#This Row],[Fee as Printed]],IF(MasterFees[[#This Row],[GST Basis]]="Incl",MasterFees[[#This Row],[Fee as Printed]]/(1+GST_Rate),""))</f>
        <v/>
      </c>
      <c r="R808" s="34" t="str">
        <f>IF(MasterFees[[#This Row],[GST Basis]]="Incl",MasterFees[[#This Row],[Fee as Printed]],IF(MasterFees[[#This Row],[GST Basis]]="Excl",MasterFees[[#This Row],[Fee as Printed]]*(1+GST_Rate),""))</f>
        <v/>
      </c>
      <c r="S808" s="35">
        <f>IF(N(MasterFees[[#This Row],[Total Units]])=0,"",MasterFees[[#This Row],[Fee as Printed]]/MasterFees[[#This Row],[Total Units]])</f>
        <v>54.932926829268297</v>
      </c>
      <c r="T808" s="36"/>
      <c r="U808" s="39" t="s">
        <v>1012</v>
      </c>
      <c r="V808" s="39" t="s">
        <v>1574</v>
      </c>
      <c r="W808" s="30"/>
      <c r="X808" s="73" t="s">
        <v>3367</v>
      </c>
      <c r="Y808" s="127" t="str">
        <f>_xlfn.XLOOKUP(MasterFees[[#This Row],[Provider / Payer]],Contracts[Contract Name],Contracts[Contract ID],"No contract")</f>
        <v>CON-01</v>
      </c>
      <c r="Z808" s="127" t="str">
        <f>_xlfn.XLOOKUP(MasterFees[[#This Row],[Provider / Payer]],Contracts[Contract Name],Contracts[Pricing Basis],"To confirm")</f>
        <v>To confirm</v>
      </c>
      <c r="AA808" s="127" t="str">
        <f>IF(MasterFees[[#This Row],[Pricing Basis]]="Fixed fee schedule","Yes","No")</f>
        <v>No</v>
      </c>
      <c r="AB808" s="127" t="str">
        <f>IF(OR(MasterFees[[#This Row],[Fee Basis]]="Add-on",MasterFees[[#This Row],[Fee Basis]]="Time band",MasterFees[[#This Row],[Fee Basis]]="Other"),MasterFees[[#This Row],[Fee Basis]],"Base")</f>
        <v>Base</v>
      </c>
      <c r="AC808" s="141" t="str">
        <f>IF(MasterFees[[#This Row],[Fixed Fee?]]="Yes",MasterFees[[#This Row],[Fee Excl. GST]],"")</f>
        <v/>
      </c>
    </row>
    <row r="809" spans="1:29" x14ac:dyDescent="0.2">
      <c r="A809" s="67" t="s">
        <v>2333</v>
      </c>
      <c r="B809" s="31">
        <f>IF(MasterFees[[#This Row],[RVG Code]]="","",_xlfn.XLOOKUP(MasterFees[[#This Row],[RVG Code]],RVGCodes[Code],RVGCodes[Base Units],"Code not found"))</f>
        <v>10</v>
      </c>
      <c r="C80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0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09" s="125" t="s">
        <v>2616</v>
      </c>
      <c r="F809" s="48" t="s">
        <v>2569</v>
      </c>
      <c r="G809" s="30" t="s">
        <v>480</v>
      </c>
      <c r="H809" s="37" t="s">
        <v>1095</v>
      </c>
      <c r="I809" s="37"/>
      <c r="J809" s="37" t="s">
        <v>1096</v>
      </c>
      <c r="K809" s="32">
        <v>4.8</v>
      </c>
      <c r="L809" s="32">
        <v>5.3</v>
      </c>
      <c r="M809" s="32">
        <v>0.8</v>
      </c>
      <c r="N809" s="32">
        <v>10.9</v>
      </c>
      <c r="O809" s="33">
        <v>598.4</v>
      </c>
      <c r="P809" s="38" t="s">
        <v>1014</v>
      </c>
      <c r="Q809" s="34" t="str">
        <f>IF(MasterFees[[#This Row],[GST Basis]]="Excl",MasterFees[[#This Row],[Fee as Printed]],IF(MasterFees[[#This Row],[GST Basis]]="Incl",MasterFees[[#This Row],[Fee as Printed]]/(1+GST_Rate),""))</f>
        <v/>
      </c>
      <c r="R809" s="34" t="str">
        <f>IF(MasterFees[[#This Row],[GST Basis]]="Incl",MasterFees[[#This Row],[Fee as Printed]],IF(MasterFees[[#This Row],[GST Basis]]="Excl",MasterFees[[#This Row],[Fee as Printed]]*(1+GST_Rate),""))</f>
        <v/>
      </c>
      <c r="S809" s="35">
        <f>IF(N(MasterFees[[#This Row],[Total Units]])=0,"",MasterFees[[#This Row],[Fee as Printed]]/MasterFees[[#This Row],[Total Units]])</f>
        <v>54.899082568807337</v>
      </c>
      <c r="T809" s="36"/>
      <c r="U809" s="39" t="s">
        <v>1012</v>
      </c>
      <c r="V809" s="39" t="s">
        <v>1575</v>
      </c>
      <c r="W809" s="30"/>
      <c r="X809" s="73" t="s">
        <v>3368</v>
      </c>
      <c r="Y809" s="127" t="str">
        <f>_xlfn.XLOOKUP(MasterFees[[#This Row],[Provider / Payer]],Contracts[Contract Name],Contracts[Contract ID],"No contract")</f>
        <v>CON-01</v>
      </c>
      <c r="Z809" s="127" t="str">
        <f>_xlfn.XLOOKUP(MasterFees[[#This Row],[Provider / Payer]],Contracts[Contract Name],Contracts[Pricing Basis],"To confirm")</f>
        <v>To confirm</v>
      </c>
      <c r="AA809" s="127" t="str">
        <f>IF(MasterFees[[#This Row],[Pricing Basis]]="Fixed fee schedule","Yes","No")</f>
        <v>No</v>
      </c>
      <c r="AB809" s="127" t="str">
        <f>IF(OR(MasterFees[[#This Row],[Fee Basis]]="Add-on",MasterFees[[#This Row],[Fee Basis]]="Time band",MasterFees[[#This Row],[Fee Basis]]="Other"),MasterFees[[#This Row],[Fee Basis]],"Base")</f>
        <v>Base</v>
      </c>
      <c r="AC809" s="141" t="str">
        <f>IF(MasterFees[[#This Row],[Fixed Fee?]]="Yes",MasterFees[[#This Row],[Fee Excl. GST]],"")</f>
        <v/>
      </c>
    </row>
    <row r="810" spans="1:29" x14ac:dyDescent="0.2">
      <c r="A810" s="67" t="s">
        <v>2333</v>
      </c>
      <c r="B810" s="31">
        <f>IF(MasterFees[[#This Row],[RVG Code]]="","",_xlfn.XLOOKUP(MasterFees[[#This Row],[RVG Code]],RVGCodes[Code],RVGCodes[Base Units],"Code not found"))</f>
        <v>10</v>
      </c>
      <c r="C81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1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10" s="125" t="s">
        <v>2616</v>
      </c>
      <c r="F810" s="48" t="s">
        <v>2569</v>
      </c>
      <c r="G810" s="30" t="s">
        <v>481</v>
      </c>
      <c r="H810" s="37" t="s">
        <v>1095</v>
      </c>
      <c r="I810" s="37"/>
      <c r="J810" s="37" t="s">
        <v>1096</v>
      </c>
      <c r="K810" s="32">
        <v>8</v>
      </c>
      <c r="L810" s="32">
        <v>8</v>
      </c>
      <c r="M810" s="32">
        <v>0</v>
      </c>
      <c r="N810" s="32">
        <v>16</v>
      </c>
      <c r="O810" s="33">
        <v>880</v>
      </c>
      <c r="P810" s="38" t="s">
        <v>1014</v>
      </c>
      <c r="Q810" s="34" t="str">
        <f>IF(MasterFees[[#This Row],[GST Basis]]="Excl",MasterFees[[#This Row],[Fee as Printed]],IF(MasterFees[[#This Row],[GST Basis]]="Incl",MasterFees[[#This Row],[Fee as Printed]]/(1+GST_Rate),""))</f>
        <v/>
      </c>
      <c r="R810" s="34" t="str">
        <f>IF(MasterFees[[#This Row],[GST Basis]]="Incl",MasterFees[[#This Row],[Fee as Printed]],IF(MasterFees[[#This Row],[GST Basis]]="Excl",MasterFees[[#This Row],[Fee as Printed]]*(1+GST_Rate),""))</f>
        <v/>
      </c>
      <c r="S810" s="35">
        <f>IF(N(MasterFees[[#This Row],[Total Units]])=0,"",MasterFees[[#This Row],[Fee as Printed]]/MasterFees[[#This Row],[Total Units]])</f>
        <v>55</v>
      </c>
      <c r="T810" s="36"/>
      <c r="U810" s="39" t="s">
        <v>1012</v>
      </c>
      <c r="V810" s="39" t="s">
        <v>1576</v>
      </c>
      <c r="W810" s="30"/>
      <c r="X810" s="73" t="s">
        <v>3369</v>
      </c>
      <c r="Y810" s="127" t="str">
        <f>_xlfn.XLOOKUP(MasterFees[[#This Row],[Provider / Payer]],Contracts[Contract Name],Contracts[Contract ID],"No contract")</f>
        <v>CON-01</v>
      </c>
      <c r="Z810" s="127" t="str">
        <f>_xlfn.XLOOKUP(MasterFees[[#This Row],[Provider / Payer]],Contracts[Contract Name],Contracts[Pricing Basis],"To confirm")</f>
        <v>To confirm</v>
      </c>
      <c r="AA810" s="127" t="str">
        <f>IF(MasterFees[[#This Row],[Pricing Basis]]="Fixed fee schedule","Yes","No")</f>
        <v>No</v>
      </c>
      <c r="AB810" s="127" t="str">
        <f>IF(OR(MasterFees[[#This Row],[Fee Basis]]="Add-on",MasterFees[[#This Row],[Fee Basis]]="Time band",MasterFees[[#This Row],[Fee Basis]]="Other"),MasterFees[[#This Row],[Fee Basis]],"Base")</f>
        <v>Base</v>
      </c>
      <c r="AC810" s="141" t="str">
        <f>IF(MasterFees[[#This Row],[Fixed Fee?]]="Yes",MasterFees[[#This Row],[Fee Excl. GST]],"")</f>
        <v/>
      </c>
    </row>
    <row r="811" spans="1:29" x14ac:dyDescent="0.2">
      <c r="A811" s="67" t="s">
        <v>2331</v>
      </c>
      <c r="B811" s="31">
        <f>IF(MasterFees[[#This Row],[RVG Code]]="","",_xlfn.XLOOKUP(MasterFees[[#This Row],[RVG Code]],RVGCodes[Code],RVGCodes[Base Units],"Code not found"))</f>
        <v>8</v>
      </c>
      <c r="C81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1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11" s="125" t="s">
        <v>2614</v>
      </c>
      <c r="F811" s="48" t="s">
        <v>2569</v>
      </c>
      <c r="G811" s="30" t="s">
        <v>482</v>
      </c>
      <c r="H811" s="37" t="s">
        <v>1095</v>
      </c>
      <c r="I811" s="37"/>
      <c r="J811" s="37" t="s">
        <v>1096</v>
      </c>
      <c r="K811" s="32">
        <v>8</v>
      </c>
      <c r="L811" s="32">
        <v>27</v>
      </c>
      <c r="M811" s="32">
        <v>0</v>
      </c>
      <c r="N811" s="32">
        <v>35</v>
      </c>
      <c r="O811" s="33">
        <v>1925</v>
      </c>
      <c r="P811" s="38" t="s">
        <v>1014</v>
      </c>
      <c r="Q811" s="34" t="str">
        <f>IF(MasterFees[[#This Row],[GST Basis]]="Excl",MasterFees[[#This Row],[Fee as Printed]],IF(MasterFees[[#This Row],[GST Basis]]="Incl",MasterFees[[#This Row],[Fee as Printed]]/(1+GST_Rate),""))</f>
        <v/>
      </c>
      <c r="R811" s="34" t="str">
        <f>IF(MasterFees[[#This Row],[GST Basis]]="Incl",MasterFees[[#This Row],[Fee as Printed]],IF(MasterFees[[#This Row],[GST Basis]]="Excl",MasterFees[[#This Row],[Fee as Printed]]*(1+GST_Rate),""))</f>
        <v/>
      </c>
      <c r="S811" s="35">
        <f>IF(N(MasterFees[[#This Row],[Total Units]])=0,"",MasterFees[[#This Row],[Fee as Printed]]/MasterFees[[#This Row],[Total Units]])</f>
        <v>55</v>
      </c>
      <c r="T811" s="36"/>
      <c r="U811" s="39" t="s">
        <v>1012</v>
      </c>
      <c r="V811" s="39" t="s">
        <v>1577</v>
      </c>
      <c r="W811" s="30"/>
      <c r="X811" s="73" t="s">
        <v>3370</v>
      </c>
      <c r="Y811" s="127" t="str">
        <f>_xlfn.XLOOKUP(MasterFees[[#This Row],[Provider / Payer]],Contracts[Contract Name],Contracts[Contract ID],"No contract")</f>
        <v>CON-01</v>
      </c>
      <c r="Z811" s="127" t="str">
        <f>_xlfn.XLOOKUP(MasterFees[[#This Row],[Provider / Payer]],Contracts[Contract Name],Contracts[Pricing Basis],"To confirm")</f>
        <v>To confirm</v>
      </c>
      <c r="AA811" s="127" t="str">
        <f>IF(MasterFees[[#This Row],[Pricing Basis]]="Fixed fee schedule","Yes","No")</f>
        <v>No</v>
      </c>
      <c r="AB811" s="127" t="str">
        <f>IF(OR(MasterFees[[#This Row],[Fee Basis]]="Add-on",MasterFees[[#This Row],[Fee Basis]]="Time band",MasterFees[[#This Row],[Fee Basis]]="Other"),MasterFees[[#This Row],[Fee Basis]],"Base")</f>
        <v>Base</v>
      </c>
      <c r="AC811" s="141" t="str">
        <f>IF(MasterFees[[#This Row],[Fixed Fee?]]="Yes",MasterFees[[#This Row],[Fee Excl. GST]],"")</f>
        <v/>
      </c>
    </row>
    <row r="812" spans="1:29" x14ac:dyDescent="0.2">
      <c r="A812" s="67" t="s">
        <v>2335</v>
      </c>
      <c r="B812" s="31">
        <f>IF(MasterFees[[#This Row],[RVG Code]]="","",_xlfn.XLOOKUP(MasterFees[[#This Row],[RVG Code]],RVGCodes[Code],RVGCodes[Base Units],"Code not found"))</f>
        <v>16</v>
      </c>
      <c r="C81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1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12" s="125" t="s">
        <v>2617</v>
      </c>
      <c r="F812" s="48" t="s">
        <v>2569</v>
      </c>
      <c r="G812" s="30" t="s">
        <v>490</v>
      </c>
      <c r="H812" s="37" t="s">
        <v>1095</v>
      </c>
      <c r="I812" s="37"/>
      <c r="J812" s="37" t="s">
        <v>1096</v>
      </c>
      <c r="K812" s="32">
        <v>14</v>
      </c>
      <c r="L812" s="32">
        <v>16</v>
      </c>
      <c r="M812" s="32">
        <v>4</v>
      </c>
      <c r="N812" s="32">
        <v>34</v>
      </c>
      <c r="O812" s="33">
        <v>1870</v>
      </c>
      <c r="P812" s="38" t="s">
        <v>1014</v>
      </c>
      <c r="Q812" s="34" t="str">
        <f>IF(MasterFees[[#This Row],[GST Basis]]="Excl",MasterFees[[#This Row],[Fee as Printed]],IF(MasterFees[[#This Row],[GST Basis]]="Incl",MasterFees[[#This Row],[Fee as Printed]]/(1+GST_Rate),""))</f>
        <v/>
      </c>
      <c r="R812" s="34" t="str">
        <f>IF(MasterFees[[#This Row],[GST Basis]]="Incl",MasterFees[[#This Row],[Fee as Printed]],IF(MasterFees[[#This Row],[GST Basis]]="Excl",MasterFees[[#This Row],[Fee as Printed]]*(1+GST_Rate),""))</f>
        <v/>
      </c>
      <c r="S812" s="35">
        <f>IF(N(MasterFees[[#This Row],[Total Units]])=0,"",MasterFees[[#This Row],[Fee as Printed]]/MasterFees[[#This Row],[Total Units]])</f>
        <v>55</v>
      </c>
      <c r="T812" s="36"/>
      <c r="U812" s="39" t="s">
        <v>1012</v>
      </c>
      <c r="V812" s="39" t="s">
        <v>1585</v>
      </c>
      <c r="W812" s="30"/>
      <c r="X812" s="73" t="s">
        <v>3378</v>
      </c>
      <c r="Y812" s="127" t="str">
        <f>_xlfn.XLOOKUP(MasterFees[[#This Row],[Provider / Payer]],Contracts[Contract Name],Contracts[Contract ID],"No contract")</f>
        <v>CON-01</v>
      </c>
      <c r="Z812" s="127" t="str">
        <f>_xlfn.XLOOKUP(MasterFees[[#This Row],[Provider / Payer]],Contracts[Contract Name],Contracts[Pricing Basis],"To confirm")</f>
        <v>To confirm</v>
      </c>
      <c r="AA812" s="127" t="str">
        <f>IF(MasterFees[[#This Row],[Pricing Basis]]="Fixed fee schedule","Yes","No")</f>
        <v>No</v>
      </c>
      <c r="AB812" s="127" t="str">
        <f>IF(OR(MasterFees[[#This Row],[Fee Basis]]="Add-on",MasterFees[[#This Row],[Fee Basis]]="Time band",MasterFees[[#This Row],[Fee Basis]]="Other"),MasterFees[[#This Row],[Fee Basis]],"Base")</f>
        <v>Base</v>
      </c>
      <c r="AC812" s="141" t="str">
        <f>IF(MasterFees[[#This Row],[Fixed Fee?]]="Yes",MasterFees[[#This Row],[Fee Excl. GST]],"")</f>
        <v/>
      </c>
    </row>
    <row r="813" spans="1:29" x14ac:dyDescent="0.2">
      <c r="A813" s="67" t="s">
        <v>2331</v>
      </c>
      <c r="B813" s="31">
        <f>IF(MasterFees[[#This Row],[RVG Code]]="","",_xlfn.XLOOKUP(MasterFees[[#This Row],[RVG Code]],RVGCodes[Code],RVGCodes[Base Units],"Code not found"))</f>
        <v>8</v>
      </c>
      <c r="C81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1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13" s="125" t="s">
        <v>2614</v>
      </c>
      <c r="F813" s="48" t="s">
        <v>2569</v>
      </c>
      <c r="G813" s="30" t="s">
        <v>493</v>
      </c>
      <c r="H813" s="37" t="s">
        <v>1095</v>
      </c>
      <c r="I813" s="37"/>
      <c r="J813" s="37" t="s">
        <v>1096</v>
      </c>
      <c r="K813" s="32">
        <v>7.3</v>
      </c>
      <c r="L813" s="32">
        <v>8</v>
      </c>
      <c r="M813" s="32">
        <v>0.9</v>
      </c>
      <c r="N813" s="32">
        <v>16.2</v>
      </c>
      <c r="O813" s="33">
        <v>891.55</v>
      </c>
      <c r="P813" s="38" t="s">
        <v>1014</v>
      </c>
      <c r="Q813" s="34" t="str">
        <f>IF(MasterFees[[#This Row],[GST Basis]]="Excl",MasterFees[[#This Row],[Fee as Printed]],IF(MasterFees[[#This Row],[GST Basis]]="Incl",MasterFees[[#This Row],[Fee as Printed]]/(1+GST_Rate),""))</f>
        <v/>
      </c>
      <c r="R813" s="34" t="str">
        <f>IF(MasterFees[[#This Row],[GST Basis]]="Incl",MasterFees[[#This Row],[Fee as Printed]],IF(MasterFees[[#This Row],[GST Basis]]="Excl",MasterFees[[#This Row],[Fee as Printed]]*(1+GST_Rate),""))</f>
        <v/>
      </c>
      <c r="S813" s="35">
        <f>IF(N(MasterFees[[#This Row],[Total Units]])=0,"",MasterFees[[#This Row],[Fee as Printed]]/MasterFees[[#This Row],[Total Units]])</f>
        <v>55.033950617283949</v>
      </c>
      <c r="T813" s="36"/>
      <c r="U813" s="39" t="s">
        <v>1012</v>
      </c>
      <c r="V813" s="39" t="s">
        <v>1588</v>
      </c>
      <c r="W813" s="30"/>
      <c r="X813" s="73" t="s">
        <v>3382</v>
      </c>
      <c r="Y813" s="127" t="str">
        <f>_xlfn.XLOOKUP(MasterFees[[#This Row],[Provider / Payer]],Contracts[Contract Name],Contracts[Contract ID],"No contract")</f>
        <v>CON-01</v>
      </c>
      <c r="Z813" s="127" t="str">
        <f>_xlfn.XLOOKUP(MasterFees[[#This Row],[Provider / Payer]],Contracts[Contract Name],Contracts[Pricing Basis],"To confirm")</f>
        <v>To confirm</v>
      </c>
      <c r="AA813" s="127" t="str">
        <f>IF(MasterFees[[#This Row],[Pricing Basis]]="Fixed fee schedule","Yes","No")</f>
        <v>No</v>
      </c>
      <c r="AB813" s="127" t="str">
        <f>IF(OR(MasterFees[[#This Row],[Fee Basis]]="Add-on",MasterFees[[#This Row],[Fee Basis]]="Time band",MasterFees[[#This Row],[Fee Basis]]="Other"),MasterFees[[#This Row],[Fee Basis]],"Base")</f>
        <v>Base</v>
      </c>
      <c r="AC813" s="141" t="str">
        <f>IF(MasterFees[[#This Row],[Fixed Fee?]]="Yes",MasterFees[[#This Row],[Fee Excl. GST]],"")</f>
        <v/>
      </c>
    </row>
    <row r="814" spans="1:29" x14ac:dyDescent="0.2">
      <c r="A814" s="67" t="s">
        <v>2333</v>
      </c>
      <c r="B814" s="31">
        <f>IF(MasterFees[[#This Row],[RVG Code]]="","",_xlfn.XLOOKUP(MasterFees[[#This Row],[RVG Code]],RVGCodes[Code],RVGCodes[Base Units],"Code not found"))</f>
        <v>10</v>
      </c>
      <c r="C81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1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14" s="125" t="s">
        <v>2616</v>
      </c>
      <c r="F814" s="48" t="s">
        <v>2569</v>
      </c>
      <c r="G814" s="30" t="s">
        <v>494</v>
      </c>
      <c r="H814" s="37" t="s">
        <v>1095</v>
      </c>
      <c r="I814" s="37"/>
      <c r="J814" s="37" t="s">
        <v>1096</v>
      </c>
      <c r="K814" s="32">
        <v>5.2</v>
      </c>
      <c r="L814" s="32">
        <v>7.1</v>
      </c>
      <c r="M814" s="32">
        <v>1</v>
      </c>
      <c r="N814" s="32">
        <v>13.3</v>
      </c>
      <c r="O814" s="33">
        <v>730.4</v>
      </c>
      <c r="P814" s="38" t="s">
        <v>1014</v>
      </c>
      <c r="Q814" s="34" t="str">
        <f>IF(MasterFees[[#This Row],[GST Basis]]="Excl",MasterFees[[#This Row],[Fee as Printed]],IF(MasterFees[[#This Row],[GST Basis]]="Incl",MasterFees[[#This Row],[Fee as Printed]]/(1+GST_Rate),""))</f>
        <v/>
      </c>
      <c r="R814" s="34" t="str">
        <f>IF(MasterFees[[#This Row],[GST Basis]]="Incl",MasterFees[[#This Row],[Fee as Printed]],IF(MasterFees[[#This Row],[GST Basis]]="Excl",MasterFees[[#This Row],[Fee as Printed]]*(1+GST_Rate),""))</f>
        <v/>
      </c>
      <c r="S814" s="35">
        <f>IF(N(MasterFees[[#This Row],[Total Units]])=0,"",MasterFees[[#This Row],[Fee as Printed]]/MasterFees[[#This Row],[Total Units]])</f>
        <v>54.917293233082702</v>
      </c>
      <c r="T814" s="36"/>
      <c r="U814" s="39" t="s">
        <v>1012</v>
      </c>
      <c r="V814" s="39" t="s">
        <v>1589</v>
      </c>
      <c r="W814" s="30"/>
      <c r="X814" s="73" t="s">
        <v>3383</v>
      </c>
      <c r="Y814" s="127" t="str">
        <f>_xlfn.XLOOKUP(MasterFees[[#This Row],[Provider / Payer]],Contracts[Contract Name],Contracts[Contract ID],"No contract")</f>
        <v>CON-01</v>
      </c>
      <c r="Z814" s="127" t="str">
        <f>_xlfn.XLOOKUP(MasterFees[[#This Row],[Provider / Payer]],Contracts[Contract Name],Contracts[Pricing Basis],"To confirm")</f>
        <v>To confirm</v>
      </c>
      <c r="AA814" s="127" t="str">
        <f>IF(MasterFees[[#This Row],[Pricing Basis]]="Fixed fee schedule","Yes","No")</f>
        <v>No</v>
      </c>
      <c r="AB814" s="127" t="str">
        <f>IF(OR(MasterFees[[#This Row],[Fee Basis]]="Add-on",MasterFees[[#This Row],[Fee Basis]]="Time band",MasterFees[[#This Row],[Fee Basis]]="Other"),MasterFees[[#This Row],[Fee Basis]],"Base")</f>
        <v>Base</v>
      </c>
      <c r="AC814" s="141" t="str">
        <f>IF(MasterFees[[#This Row],[Fixed Fee?]]="Yes",MasterFees[[#This Row],[Fee Excl. GST]],"")</f>
        <v/>
      </c>
    </row>
    <row r="815" spans="1:29" x14ac:dyDescent="0.2">
      <c r="A815" s="67" t="s">
        <v>2333</v>
      </c>
      <c r="B815" s="31">
        <f>IF(MasterFees[[#This Row],[RVG Code]]="","",_xlfn.XLOOKUP(MasterFees[[#This Row],[RVG Code]],RVGCodes[Code],RVGCodes[Base Units],"Code not found"))</f>
        <v>10</v>
      </c>
      <c r="C81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1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15" s="125" t="s">
        <v>2616</v>
      </c>
      <c r="F815" s="48" t="s">
        <v>2569</v>
      </c>
      <c r="G815" s="30" t="s">
        <v>502</v>
      </c>
      <c r="H815" s="37" t="s">
        <v>1095</v>
      </c>
      <c r="I815" s="37"/>
      <c r="J815" s="37" t="s">
        <v>1096</v>
      </c>
      <c r="K815" s="32">
        <v>4.8</v>
      </c>
      <c r="L815" s="32">
        <v>6.9</v>
      </c>
      <c r="M815" s="32">
        <v>0.7</v>
      </c>
      <c r="N815" s="32">
        <v>12.4</v>
      </c>
      <c r="O815" s="33">
        <v>680.9</v>
      </c>
      <c r="P815" s="38" t="s">
        <v>1014</v>
      </c>
      <c r="Q815" s="34" t="str">
        <f>IF(MasterFees[[#This Row],[GST Basis]]="Excl",MasterFees[[#This Row],[Fee as Printed]],IF(MasterFees[[#This Row],[GST Basis]]="Incl",MasterFees[[#This Row],[Fee as Printed]]/(1+GST_Rate),""))</f>
        <v/>
      </c>
      <c r="R815" s="34" t="str">
        <f>IF(MasterFees[[#This Row],[GST Basis]]="Incl",MasterFees[[#This Row],[Fee as Printed]],IF(MasterFees[[#This Row],[GST Basis]]="Excl",MasterFees[[#This Row],[Fee as Printed]]*(1+GST_Rate),""))</f>
        <v/>
      </c>
      <c r="S815" s="35">
        <f>IF(N(MasterFees[[#This Row],[Total Units]])=0,"",MasterFees[[#This Row],[Fee as Printed]]/MasterFees[[#This Row],[Total Units]])</f>
        <v>54.911290322580641</v>
      </c>
      <c r="T815" s="36"/>
      <c r="U815" s="39" t="s">
        <v>1012</v>
      </c>
      <c r="V815" s="39" t="s">
        <v>1597</v>
      </c>
      <c r="W815" s="30"/>
      <c r="X815" s="73" t="s">
        <v>3391</v>
      </c>
      <c r="Y815" s="127" t="str">
        <f>_xlfn.XLOOKUP(MasterFees[[#This Row],[Provider / Payer]],Contracts[Contract Name],Contracts[Contract ID],"No contract")</f>
        <v>CON-01</v>
      </c>
      <c r="Z815" s="127" t="str">
        <f>_xlfn.XLOOKUP(MasterFees[[#This Row],[Provider / Payer]],Contracts[Contract Name],Contracts[Pricing Basis],"To confirm")</f>
        <v>To confirm</v>
      </c>
      <c r="AA815" s="127" t="str">
        <f>IF(MasterFees[[#This Row],[Pricing Basis]]="Fixed fee schedule","Yes","No")</f>
        <v>No</v>
      </c>
      <c r="AB815" s="127" t="str">
        <f>IF(OR(MasterFees[[#This Row],[Fee Basis]]="Add-on",MasterFees[[#This Row],[Fee Basis]]="Time band",MasterFees[[#This Row],[Fee Basis]]="Other"),MasterFees[[#This Row],[Fee Basis]],"Base")</f>
        <v>Base</v>
      </c>
      <c r="AC815" s="141" t="str">
        <f>IF(MasterFees[[#This Row],[Fixed Fee?]]="Yes",MasterFees[[#This Row],[Fee Excl. GST]],"")</f>
        <v/>
      </c>
    </row>
    <row r="816" spans="1:29" x14ac:dyDescent="0.2">
      <c r="A816" s="67" t="s">
        <v>2333</v>
      </c>
      <c r="B816" s="31">
        <f>IF(MasterFees[[#This Row],[RVG Code]]="","",_xlfn.XLOOKUP(MasterFees[[#This Row],[RVG Code]],RVGCodes[Code],RVGCodes[Base Units],"Code not found"))</f>
        <v>10</v>
      </c>
      <c r="C81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1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16" s="125" t="s">
        <v>2616</v>
      </c>
      <c r="F816" s="48" t="s">
        <v>2569</v>
      </c>
      <c r="G816" s="30" t="s">
        <v>503</v>
      </c>
      <c r="H816" s="37" t="s">
        <v>1095</v>
      </c>
      <c r="I816" s="37"/>
      <c r="J816" s="37" t="s">
        <v>1096</v>
      </c>
      <c r="K816" s="32">
        <v>10</v>
      </c>
      <c r="L816" s="32">
        <v>10</v>
      </c>
      <c r="M816" s="32">
        <v>4</v>
      </c>
      <c r="N816" s="32">
        <v>24</v>
      </c>
      <c r="O816" s="33">
        <v>1320</v>
      </c>
      <c r="P816" s="38" t="s">
        <v>1014</v>
      </c>
      <c r="Q816" s="34" t="str">
        <f>IF(MasterFees[[#This Row],[GST Basis]]="Excl",MasterFees[[#This Row],[Fee as Printed]],IF(MasterFees[[#This Row],[GST Basis]]="Incl",MasterFees[[#This Row],[Fee as Printed]]/(1+GST_Rate),""))</f>
        <v/>
      </c>
      <c r="R816" s="34" t="str">
        <f>IF(MasterFees[[#This Row],[GST Basis]]="Incl",MasterFees[[#This Row],[Fee as Printed]],IF(MasterFees[[#This Row],[GST Basis]]="Excl",MasterFees[[#This Row],[Fee as Printed]]*(1+GST_Rate),""))</f>
        <v/>
      </c>
      <c r="S816" s="35">
        <f>IF(N(MasterFees[[#This Row],[Total Units]])=0,"",MasterFees[[#This Row],[Fee as Printed]]/MasterFees[[#This Row],[Total Units]])</f>
        <v>55</v>
      </c>
      <c r="T816" s="36"/>
      <c r="U816" s="39" t="s">
        <v>1012</v>
      </c>
      <c r="V816" s="39" t="s">
        <v>1598</v>
      </c>
      <c r="W816" s="30"/>
      <c r="X816" s="73" t="s">
        <v>3392</v>
      </c>
      <c r="Y816" s="127" t="str">
        <f>_xlfn.XLOOKUP(MasterFees[[#This Row],[Provider / Payer]],Contracts[Contract Name],Contracts[Contract ID],"No contract")</f>
        <v>CON-01</v>
      </c>
      <c r="Z816" s="127" t="str">
        <f>_xlfn.XLOOKUP(MasterFees[[#This Row],[Provider / Payer]],Contracts[Contract Name],Contracts[Pricing Basis],"To confirm")</f>
        <v>To confirm</v>
      </c>
      <c r="AA816" s="127" t="str">
        <f>IF(MasterFees[[#This Row],[Pricing Basis]]="Fixed fee schedule","Yes","No")</f>
        <v>No</v>
      </c>
      <c r="AB816" s="127" t="str">
        <f>IF(OR(MasterFees[[#This Row],[Fee Basis]]="Add-on",MasterFees[[#This Row],[Fee Basis]]="Time band",MasterFees[[#This Row],[Fee Basis]]="Other"),MasterFees[[#This Row],[Fee Basis]],"Base")</f>
        <v>Base</v>
      </c>
      <c r="AC816" s="141" t="str">
        <f>IF(MasterFees[[#This Row],[Fixed Fee?]]="Yes",MasterFees[[#This Row],[Fee Excl. GST]],"")</f>
        <v/>
      </c>
    </row>
    <row r="817" spans="1:29" x14ac:dyDescent="0.2">
      <c r="A817" s="67" t="s">
        <v>2333</v>
      </c>
      <c r="B817" s="31">
        <f>IF(MasterFees[[#This Row],[RVG Code]]="","",_xlfn.XLOOKUP(MasterFees[[#This Row],[RVG Code]],RVGCodes[Code],RVGCodes[Base Units],"Code not found"))</f>
        <v>10</v>
      </c>
      <c r="C81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1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17" s="125" t="s">
        <v>2616</v>
      </c>
      <c r="F817" s="48" t="s">
        <v>2569</v>
      </c>
      <c r="G817" s="30" t="s">
        <v>504</v>
      </c>
      <c r="H817" s="37" t="s">
        <v>1095</v>
      </c>
      <c r="I817" s="37"/>
      <c r="J817" s="37" t="s">
        <v>1096</v>
      </c>
      <c r="K817" s="32">
        <v>8.3000000000000007</v>
      </c>
      <c r="L817" s="32">
        <v>16.399999999999999</v>
      </c>
      <c r="M817" s="32">
        <v>1.4</v>
      </c>
      <c r="N817" s="32">
        <v>26</v>
      </c>
      <c r="O817" s="33">
        <v>1432.2</v>
      </c>
      <c r="P817" s="38" t="s">
        <v>1014</v>
      </c>
      <c r="Q817" s="34" t="str">
        <f>IF(MasterFees[[#This Row],[GST Basis]]="Excl",MasterFees[[#This Row],[Fee as Printed]],IF(MasterFees[[#This Row],[GST Basis]]="Incl",MasterFees[[#This Row],[Fee as Printed]]/(1+GST_Rate),""))</f>
        <v/>
      </c>
      <c r="R817" s="34" t="str">
        <f>IF(MasterFees[[#This Row],[GST Basis]]="Incl",MasterFees[[#This Row],[Fee as Printed]],IF(MasterFees[[#This Row],[GST Basis]]="Excl",MasterFees[[#This Row],[Fee as Printed]]*(1+GST_Rate),""))</f>
        <v/>
      </c>
      <c r="S817" s="35">
        <f>IF(N(MasterFees[[#This Row],[Total Units]])=0,"",MasterFees[[#This Row],[Fee as Printed]]/MasterFees[[#This Row],[Total Units]])</f>
        <v>55.08461538461539</v>
      </c>
      <c r="T817" s="36"/>
      <c r="U817" s="39" t="s">
        <v>1012</v>
      </c>
      <c r="V817" s="39" t="s">
        <v>1599</v>
      </c>
      <c r="W817" s="30"/>
      <c r="X817" s="73" t="s">
        <v>3393</v>
      </c>
      <c r="Y817" s="127" t="str">
        <f>_xlfn.XLOOKUP(MasterFees[[#This Row],[Provider / Payer]],Contracts[Contract Name],Contracts[Contract ID],"No contract")</f>
        <v>CON-01</v>
      </c>
      <c r="Z817" s="127" t="str">
        <f>_xlfn.XLOOKUP(MasterFees[[#This Row],[Provider / Payer]],Contracts[Contract Name],Contracts[Pricing Basis],"To confirm")</f>
        <v>To confirm</v>
      </c>
      <c r="AA817" s="127" t="str">
        <f>IF(MasterFees[[#This Row],[Pricing Basis]]="Fixed fee schedule","Yes","No")</f>
        <v>No</v>
      </c>
      <c r="AB817" s="127" t="str">
        <f>IF(OR(MasterFees[[#This Row],[Fee Basis]]="Add-on",MasterFees[[#This Row],[Fee Basis]]="Time band",MasterFees[[#This Row],[Fee Basis]]="Other"),MasterFees[[#This Row],[Fee Basis]],"Base")</f>
        <v>Base</v>
      </c>
      <c r="AC817" s="141" t="str">
        <f>IF(MasterFees[[#This Row],[Fixed Fee?]]="Yes",MasterFees[[#This Row],[Fee Excl. GST]],"")</f>
        <v/>
      </c>
    </row>
    <row r="818" spans="1:29" x14ac:dyDescent="0.2">
      <c r="A818" s="67" t="s">
        <v>2333</v>
      </c>
      <c r="B818" s="31">
        <f>IF(MasterFees[[#This Row],[RVG Code]]="","",_xlfn.XLOOKUP(MasterFees[[#This Row],[RVG Code]],RVGCodes[Code],RVGCodes[Base Units],"Code not found"))</f>
        <v>10</v>
      </c>
      <c r="C81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1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18" s="125" t="s">
        <v>2616</v>
      </c>
      <c r="F818" s="48" t="s">
        <v>2569</v>
      </c>
      <c r="G818" s="30" t="s">
        <v>505</v>
      </c>
      <c r="H818" s="37" t="s">
        <v>1095</v>
      </c>
      <c r="I818" s="37"/>
      <c r="J818" s="37" t="s">
        <v>1096</v>
      </c>
      <c r="K818" s="32">
        <v>10</v>
      </c>
      <c r="L818" s="32">
        <v>16</v>
      </c>
      <c r="M818" s="32">
        <v>3</v>
      </c>
      <c r="N818" s="32">
        <v>29</v>
      </c>
      <c r="O818" s="33">
        <v>1595</v>
      </c>
      <c r="P818" s="38" t="s">
        <v>1014</v>
      </c>
      <c r="Q818" s="34" t="str">
        <f>IF(MasterFees[[#This Row],[GST Basis]]="Excl",MasterFees[[#This Row],[Fee as Printed]],IF(MasterFees[[#This Row],[GST Basis]]="Incl",MasterFees[[#This Row],[Fee as Printed]]/(1+GST_Rate),""))</f>
        <v/>
      </c>
      <c r="R818" s="34" t="str">
        <f>IF(MasterFees[[#This Row],[GST Basis]]="Incl",MasterFees[[#This Row],[Fee as Printed]],IF(MasterFees[[#This Row],[GST Basis]]="Excl",MasterFees[[#This Row],[Fee as Printed]]*(1+GST_Rate),""))</f>
        <v/>
      </c>
      <c r="S818" s="35">
        <f>IF(N(MasterFees[[#This Row],[Total Units]])=0,"",MasterFees[[#This Row],[Fee as Printed]]/MasterFees[[#This Row],[Total Units]])</f>
        <v>55</v>
      </c>
      <c r="T818" s="36"/>
      <c r="U818" s="39" t="s">
        <v>1012</v>
      </c>
      <c r="V818" s="39" t="s">
        <v>1600</v>
      </c>
      <c r="W818" s="30"/>
      <c r="X818" s="73" t="s">
        <v>3394</v>
      </c>
      <c r="Y818" s="127" t="str">
        <f>_xlfn.XLOOKUP(MasterFees[[#This Row],[Provider / Payer]],Contracts[Contract Name],Contracts[Contract ID],"No contract")</f>
        <v>CON-01</v>
      </c>
      <c r="Z818" s="127" t="str">
        <f>_xlfn.XLOOKUP(MasterFees[[#This Row],[Provider / Payer]],Contracts[Contract Name],Contracts[Pricing Basis],"To confirm")</f>
        <v>To confirm</v>
      </c>
      <c r="AA818" s="127" t="str">
        <f>IF(MasterFees[[#This Row],[Pricing Basis]]="Fixed fee schedule","Yes","No")</f>
        <v>No</v>
      </c>
      <c r="AB818" s="127" t="str">
        <f>IF(OR(MasterFees[[#This Row],[Fee Basis]]="Add-on",MasterFees[[#This Row],[Fee Basis]]="Time band",MasterFees[[#This Row],[Fee Basis]]="Other"),MasterFees[[#This Row],[Fee Basis]],"Base")</f>
        <v>Base</v>
      </c>
      <c r="AC818" s="141" t="str">
        <f>IF(MasterFees[[#This Row],[Fixed Fee?]]="Yes",MasterFees[[#This Row],[Fee Excl. GST]],"")</f>
        <v/>
      </c>
    </row>
    <row r="819" spans="1:29" x14ac:dyDescent="0.2">
      <c r="A819" s="67" t="s">
        <v>2331</v>
      </c>
      <c r="B819" s="31">
        <f>IF(MasterFees[[#This Row],[RVG Code]]="","",_xlfn.XLOOKUP(MasterFees[[#This Row],[RVG Code]],RVGCodes[Code],RVGCodes[Base Units],"Code not found"))</f>
        <v>8</v>
      </c>
      <c r="C81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1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19" s="125" t="s">
        <v>2614</v>
      </c>
      <c r="F819" s="48" t="s">
        <v>2569</v>
      </c>
      <c r="G819" s="30" t="s">
        <v>508</v>
      </c>
      <c r="H819" s="37" t="s">
        <v>1095</v>
      </c>
      <c r="I819" s="37"/>
      <c r="J819" s="37" t="s">
        <v>1096</v>
      </c>
      <c r="K819" s="32">
        <v>5.4</v>
      </c>
      <c r="L819" s="32">
        <v>4.9000000000000004</v>
      </c>
      <c r="M819" s="32">
        <v>0.7</v>
      </c>
      <c r="N819" s="32">
        <v>11.1</v>
      </c>
      <c r="O819" s="33">
        <v>608.29999999999995</v>
      </c>
      <c r="P819" s="38" t="s">
        <v>1014</v>
      </c>
      <c r="Q819" s="34" t="str">
        <f>IF(MasterFees[[#This Row],[GST Basis]]="Excl",MasterFees[[#This Row],[Fee as Printed]],IF(MasterFees[[#This Row],[GST Basis]]="Incl",MasterFees[[#This Row],[Fee as Printed]]/(1+GST_Rate),""))</f>
        <v/>
      </c>
      <c r="R819" s="34" t="str">
        <f>IF(MasterFees[[#This Row],[GST Basis]]="Incl",MasterFees[[#This Row],[Fee as Printed]],IF(MasterFees[[#This Row],[GST Basis]]="Excl",MasterFees[[#This Row],[Fee as Printed]]*(1+GST_Rate),""))</f>
        <v/>
      </c>
      <c r="S819" s="35">
        <f>IF(N(MasterFees[[#This Row],[Total Units]])=0,"",MasterFees[[#This Row],[Fee as Printed]]/MasterFees[[#This Row],[Total Units]])</f>
        <v>54.801801801801801</v>
      </c>
      <c r="T819" s="36"/>
      <c r="U819" s="39" t="s">
        <v>1012</v>
      </c>
      <c r="V819" s="39" t="s">
        <v>1603</v>
      </c>
      <c r="W819" s="30"/>
      <c r="X819" s="73" t="s">
        <v>3397</v>
      </c>
      <c r="Y819" s="127" t="str">
        <f>_xlfn.XLOOKUP(MasterFees[[#This Row],[Provider / Payer]],Contracts[Contract Name],Contracts[Contract ID],"No contract")</f>
        <v>CON-01</v>
      </c>
      <c r="Z819" s="127" t="str">
        <f>_xlfn.XLOOKUP(MasterFees[[#This Row],[Provider / Payer]],Contracts[Contract Name],Contracts[Pricing Basis],"To confirm")</f>
        <v>To confirm</v>
      </c>
      <c r="AA819" s="127" t="str">
        <f>IF(MasterFees[[#This Row],[Pricing Basis]]="Fixed fee schedule","Yes","No")</f>
        <v>No</v>
      </c>
      <c r="AB819" s="127" t="str">
        <f>IF(OR(MasterFees[[#This Row],[Fee Basis]]="Add-on",MasterFees[[#This Row],[Fee Basis]]="Time band",MasterFees[[#This Row],[Fee Basis]]="Other"),MasterFees[[#This Row],[Fee Basis]],"Base")</f>
        <v>Base</v>
      </c>
      <c r="AC819" s="141" t="str">
        <f>IF(MasterFees[[#This Row],[Fixed Fee?]]="Yes",MasterFees[[#This Row],[Fee Excl. GST]],"")</f>
        <v/>
      </c>
    </row>
    <row r="820" spans="1:29" x14ac:dyDescent="0.2">
      <c r="A820" s="67" t="s">
        <v>2331</v>
      </c>
      <c r="B820" s="31">
        <f>IF(MasterFees[[#This Row],[RVG Code]]="","",_xlfn.XLOOKUP(MasterFees[[#This Row],[RVG Code]],RVGCodes[Code],RVGCodes[Base Units],"Code not found"))</f>
        <v>8</v>
      </c>
      <c r="C82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2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20" s="125" t="s">
        <v>2614</v>
      </c>
      <c r="F820" s="48" t="s">
        <v>2569</v>
      </c>
      <c r="G820" s="30" t="s">
        <v>509</v>
      </c>
      <c r="H820" s="37" t="s">
        <v>1095</v>
      </c>
      <c r="I820" s="37"/>
      <c r="J820" s="37" t="s">
        <v>1096</v>
      </c>
      <c r="K820" s="32">
        <v>5.4</v>
      </c>
      <c r="L820" s="32">
        <v>5.4</v>
      </c>
      <c r="M820" s="32">
        <v>1.4</v>
      </c>
      <c r="N820" s="32">
        <v>12.2</v>
      </c>
      <c r="O820" s="33">
        <v>671</v>
      </c>
      <c r="P820" s="38" t="s">
        <v>1014</v>
      </c>
      <c r="Q820" s="34" t="str">
        <f>IF(MasterFees[[#This Row],[GST Basis]]="Excl",MasterFees[[#This Row],[Fee as Printed]],IF(MasterFees[[#This Row],[GST Basis]]="Incl",MasterFees[[#This Row],[Fee as Printed]]/(1+GST_Rate),""))</f>
        <v/>
      </c>
      <c r="R820" s="34" t="str">
        <f>IF(MasterFees[[#This Row],[GST Basis]]="Incl",MasterFees[[#This Row],[Fee as Printed]],IF(MasterFees[[#This Row],[GST Basis]]="Excl",MasterFees[[#This Row],[Fee as Printed]]*(1+GST_Rate),""))</f>
        <v/>
      </c>
      <c r="S820" s="35">
        <f>IF(N(MasterFees[[#This Row],[Total Units]])=0,"",MasterFees[[#This Row],[Fee as Printed]]/MasterFees[[#This Row],[Total Units]])</f>
        <v>55</v>
      </c>
      <c r="T820" s="36"/>
      <c r="U820" s="39" t="s">
        <v>1012</v>
      </c>
      <c r="V820" s="39" t="s">
        <v>1604</v>
      </c>
      <c r="W820" s="30"/>
      <c r="X820" s="73" t="s">
        <v>3398</v>
      </c>
      <c r="Y820" s="127" t="str">
        <f>_xlfn.XLOOKUP(MasterFees[[#This Row],[Provider / Payer]],Contracts[Contract Name],Contracts[Contract ID],"No contract")</f>
        <v>CON-01</v>
      </c>
      <c r="Z820" s="127" t="str">
        <f>_xlfn.XLOOKUP(MasterFees[[#This Row],[Provider / Payer]],Contracts[Contract Name],Contracts[Pricing Basis],"To confirm")</f>
        <v>To confirm</v>
      </c>
      <c r="AA820" s="127" t="str">
        <f>IF(MasterFees[[#This Row],[Pricing Basis]]="Fixed fee schedule","Yes","No")</f>
        <v>No</v>
      </c>
      <c r="AB820" s="127" t="str">
        <f>IF(OR(MasterFees[[#This Row],[Fee Basis]]="Add-on",MasterFees[[#This Row],[Fee Basis]]="Time band",MasterFees[[#This Row],[Fee Basis]]="Other"),MasterFees[[#This Row],[Fee Basis]],"Base")</f>
        <v>Base</v>
      </c>
      <c r="AC820" s="141" t="str">
        <f>IF(MasterFees[[#This Row],[Fixed Fee?]]="Yes",MasterFees[[#This Row],[Fee Excl. GST]],"")</f>
        <v/>
      </c>
    </row>
    <row r="821" spans="1:29" x14ac:dyDescent="0.2">
      <c r="A821" s="67" t="s">
        <v>2331</v>
      </c>
      <c r="B821" s="31">
        <f>IF(MasterFees[[#This Row],[RVG Code]]="","",_xlfn.XLOOKUP(MasterFees[[#This Row],[RVG Code]],RVGCodes[Code],RVGCodes[Base Units],"Code not found"))</f>
        <v>8</v>
      </c>
      <c r="C82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2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21" s="125" t="s">
        <v>2614</v>
      </c>
      <c r="F821" s="48" t="s">
        <v>2567</v>
      </c>
      <c r="G821" s="30" t="s">
        <v>511</v>
      </c>
      <c r="H821" s="37" t="s">
        <v>1095</v>
      </c>
      <c r="I821" s="37"/>
      <c r="J821" s="37" t="s">
        <v>1096</v>
      </c>
      <c r="K821" s="32">
        <v>9</v>
      </c>
      <c r="L821" s="32">
        <v>12</v>
      </c>
      <c r="M821" s="32">
        <v>2.9</v>
      </c>
      <c r="N821" s="32">
        <v>23.9</v>
      </c>
      <c r="O821" s="33">
        <v>1311.75</v>
      </c>
      <c r="P821" s="38" t="s">
        <v>1014</v>
      </c>
      <c r="Q821" s="34" t="str">
        <f>IF(MasterFees[[#This Row],[GST Basis]]="Excl",MasterFees[[#This Row],[Fee as Printed]],IF(MasterFees[[#This Row],[GST Basis]]="Incl",MasterFees[[#This Row],[Fee as Printed]]/(1+GST_Rate),""))</f>
        <v/>
      </c>
      <c r="R821" s="34" t="str">
        <f>IF(MasterFees[[#This Row],[GST Basis]]="Incl",MasterFees[[#This Row],[Fee as Printed]],IF(MasterFees[[#This Row],[GST Basis]]="Excl",MasterFees[[#This Row],[Fee as Printed]]*(1+GST_Rate),""))</f>
        <v/>
      </c>
      <c r="S821" s="35">
        <f>IF(N(MasterFees[[#This Row],[Total Units]])=0,"",MasterFees[[#This Row],[Fee as Printed]]/MasterFees[[#This Row],[Total Units]])</f>
        <v>54.884937238493727</v>
      </c>
      <c r="T821" s="36"/>
      <c r="U821" s="39" t="s">
        <v>1012</v>
      </c>
      <c r="V821" s="39" t="s">
        <v>1606</v>
      </c>
      <c r="W821" s="30"/>
      <c r="X821" s="73" t="s">
        <v>3401</v>
      </c>
      <c r="Y821" s="127" t="str">
        <f>_xlfn.XLOOKUP(MasterFees[[#This Row],[Provider / Payer]],Contracts[Contract Name],Contracts[Contract ID],"No contract")</f>
        <v>CON-01</v>
      </c>
      <c r="Z821" s="127" t="str">
        <f>_xlfn.XLOOKUP(MasterFees[[#This Row],[Provider / Payer]],Contracts[Contract Name],Contracts[Pricing Basis],"To confirm")</f>
        <v>To confirm</v>
      </c>
      <c r="AA821" s="127" t="str">
        <f>IF(MasterFees[[#This Row],[Pricing Basis]]="Fixed fee schedule","Yes","No")</f>
        <v>No</v>
      </c>
      <c r="AB821" s="127" t="str">
        <f>IF(OR(MasterFees[[#This Row],[Fee Basis]]="Add-on",MasterFees[[#This Row],[Fee Basis]]="Time band",MasterFees[[#This Row],[Fee Basis]]="Other"),MasterFees[[#This Row],[Fee Basis]],"Base")</f>
        <v>Base</v>
      </c>
      <c r="AC821" s="141" t="str">
        <f>IF(MasterFees[[#This Row],[Fixed Fee?]]="Yes",MasterFees[[#This Row],[Fee Excl. GST]],"")</f>
        <v/>
      </c>
    </row>
    <row r="822" spans="1:29" x14ac:dyDescent="0.2">
      <c r="A822" s="67" t="s">
        <v>2331</v>
      </c>
      <c r="B822" s="31">
        <f>IF(MasterFees[[#This Row],[RVG Code]]="","",_xlfn.XLOOKUP(MasterFees[[#This Row],[RVG Code]],RVGCodes[Code],RVGCodes[Base Units],"Code not found"))</f>
        <v>8</v>
      </c>
      <c r="C82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2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22" s="125" t="s">
        <v>2614</v>
      </c>
      <c r="F822" s="48" t="s">
        <v>2629</v>
      </c>
      <c r="G822" s="30" t="s">
        <v>2332</v>
      </c>
      <c r="H822" s="37" t="s">
        <v>2630</v>
      </c>
      <c r="I822" s="37" t="s">
        <v>2331</v>
      </c>
      <c r="J822" s="37" t="s">
        <v>1096</v>
      </c>
      <c r="K822" s="32">
        <v>8</v>
      </c>
      <c r="L822" s="32"/>
      <c r="M822" s="32"/>
      <c r="N822" s="32">
        <v>8</v>
      </c>
      <c r="O822" s="33"/>
      <c r="P822" s="38"/>
      <c r="Q822" s="34" t="str">
        <f>IF(MasterFees[[#This Row],[GST Basis]]="Excl",MasterFees[[#This Row],[Fee as Printed]],IF(MasterFees[[#This Row],[GST Basis]]="Incl",MasterFees[[#This Row],[Fee as Printed]]/(1+GST_Rate),""))</f>
        <v/>
      </c>
      <c r="R822" s="34" t="str">
        <f>IF(MasterFees[[#This Row],[GST Basis]]="Incl",MasterFees[[#This Row],[Fee as Printed]],IF(MasterFees[[#This Row],[GST Basis]]="Excl",MasterFees[[#This Row],[Fee as Printed]]*(1+GST_Rate),""))</f>
        <v/>
      </c>
      <c r="S822" s="35">
        <f>IF(N(MasterFees[[#This Row],[Total Units]])=0,"",MasterFees[[#This Row],[Fee as Printed]]/MasterFees[[#This Row],[Total Units]])</f>
        <v>0</v>
      </c>
      <c r="T822" s="36"/>
      <c r="U822" s="39" t="s">
        <v>1016</v>
      </c>
      <c r="V822" s="39" t="s">
        <v>2651</v>
      </c>
      <c r="W822" s="30" t="s">
        <v>2632</v>
      </c>
      <c r="X822" s="73" t="s">
        <v>3813</v>
      </c>
      <c r="Y822" s="127" t="str">
        <f>_xlfn.XLOOKUP(MasterFees[[#This Row],[Provider / Payer]],Contracts[Contract Name],Contracts[Contract ID],"No contract")</f>
        <v>CON-10</v>
      </c>
      <c r="Z822" s="127" t="str">
        <f>_xlfn.XLOOKUP(MasterFees[[#This Row],[Provider / Payer]],Contracts[Contract Name],Contracts[Pricing Basis],"To confirm")</f>
        <v>Reference – units only</v>
      </c>
      <c r="AA822" s="127" t="str">
        <f>IF(MasterFees[[#This Row],[Pricing Basis]]="Fixed fee schedule","Yes","No")</f>
        <v>No</v>
      </c>
      <c r="AB822" s="127" t="str">
        <f>IF(OR(MasterFees[[#This Row],[Fee Basis]]="Add-on",MasterFees[[#This Row],[Fee Basis]]="Time band",MasterFees[[#This Row],[Fee Basis]]="Other"),MasterFees[[#This Row],[Fee Basis]],"Base")</f>
        <v>Base</v>
      </c>
      <c r="AC822" s="141" t="str">
        <f>IF(MasterFees[[#This Row],[Fixed Fee?]]="Yes",MasterFees[[#This Row],[Fee Excl. GST]],"")</f>
        <v/>
      </c>
    </row>
    <row r="823" spans="1:29" x14ac:dyDescent="0.2">
      <c r="A823" s="67" t="s">
        <v>2333</v>
      </c>
      <c r="B823" s="31">
        <f>IF(MasterFees[[#This Row],[RVG Code]]="","",_xlfn.XLOOKUP(MasterFees[[#This Row],[RVG Code]],RVGCodes[Code],RVGCodes[Base Units],"Code not found"))</f>
        <v>10</v>
      </c>
      <c r="C82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2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23" s="125" t="s">
        <v>2616</v>
      </c>
      <c r="F823" s="48" t="s">
        <v>2629</v>
      </c>
      <c r="G823" s="30" t="s">
        <v>2334</v>
      </c>
      <c r="H823" s="37" t="s">
        <v>2630</v>
      </c>
      <c r="I823" s="37" t="s">
        <v>2333</v>
      </c>
      <c r="J823" s="37" t="s">
        <v>1096</v>
      </c>
      <c r="K823" s="32">
        <v>10</v>
      </c>
      <c r="L823" s="32"/>
      <c r="M823" s="32"/>
      <c r="N823" s="32">
        <v>10</v>
      </c>
      <c r="O823" s="33"/>
      <c r="P823" s="38"/>
      <c r="Q823" s="34" t="str">
        <f>IF(MasterFees[[#This Row],[GST Basis]]="Excl",MasterFees[[#This Row],[Fee as Printed]],IF(MasterFees[[#This Row],[GST Basis]]="Incl",MasterFees[[#This Row],[Fee as Printed]]/(1+GST_Rate),""))</f>
        <v/>
      </c>
      <c r="R823" s="34" t="str">
        <f>IF(MasterFees[[#This Row],[GST Basis]]="Incl",MasterFees[[#This Row],[Fee as Printed]],IF(MasterFees[[#This Row],[GST Basis]]="Excl",MasterFees[[#This Row],[Fee as Printed]]*(1+GST_Rate),""))</f>
        <v/>
      </c>
      <c r="S823" s="35">
        <f>IF(N(MasterFees[[#This Row],[Total Units]])=0,"",MasterFees[[#This Row],[Fee as Printed]]/MasterFees[[#This Row],[Total Units]])</f>
        <v>0</v>
      </c>
      <c r="T823" s="36"/>
      <c r="U823" s="39" t="s">
        <v>1016</v>
      </c>
      <c r="V823" s="39" t="s">
        <v>2651</v>
      </c>
      <c r="W823" s="30" t="s">
        <v>2632</v>
      </c>
      <c r="X823" s="73" t="s">
        <v>3815</v>
      </c>
      <c r="Y823" s="127" t="str">
        <f>_xlfn.XLOOKUP(MasterFees[[#This Row],[Provider / Payer]],Contracts[Contract Name],Contracts[Contract ID],"No contract")</f>
        <v>CON-10</v>
      </c>
      <c r="Z823" s="127" t="str">
        <f>_xlfn.XLOOKUP(MasterFees[[#This Row],[Provider / Payer]],Contracts[Contract Name],Contracts[Pricing Basis],"To confirm")</f>
        <v>Reference – units only</v>
      </c>
      <c r="AA823" s="127" t="str">
        <f>IF(MasterFees[[#This Row],[Pricing Basis]]="Fixed fee schedule","Yes","No")</f>
        <v>No</v>
      </c>
      <c r="AB823" s="127" t="str">
        <f>IF(OR(MasterFees[[#This Row],[Fee Basis]]="Add-on",MasterFees[[#This Row],[Fee Basis]]="Time band",MasterFees[[#This Row],[Fee Basis]]="Other"),MasterFees[[#This Row],[Fee Basis]],"Base")</f>
        <v>Base</v>
      </c>
      <c r="AC823" s="141" t="str">
        <f>IF(MasterFees[[#This Row],[Fixed Fee?]]="Yes",MasterFees[[#This Row],[Fee Excl. GST]],"")</f>
        <v/>
      </c>
    </row>
    <row r="824" spans="1:29" x14ac:dyDescent="0.2">
      <c r="A824" s="67" t="s">
        <v>2331</v>
      </c>
      <c r="B824" s="31">
        <f>IF(MasterFees[[#This Row],[RVG Code]]="","",_xlfn.XLOOKUP(MasterFees[[#This Row],[RVG Code]],RVGCodes[Code],RVGCodes[Base Units],"Code not found"))</f>
        <v>8</v>
      </c>
      <c r="C82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2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24" s="125" t="s">
        <v>2614</v>
      </c>
      <c r="F824" s="48" t="s">
        <v>2569</v>
      </c>
      <c r="G824" s="30" t="s">
        <v>652</v>
      </c>
      <c r="H824" s="37" t="s">
        <v>1095</v>
      </c>
      <c r="I824" s="37"/>
      <c r="J824" s="37" t="s">
        <v>1096</v>
      </c>
      <c r="K824" s="32">
        <v>7.8</v>
      </c>
      <c r="L824" s="32">
        <v>7.3</v>
      </c>
      <c r="M824" s="32">
        <v>1</v>
      </c>
      <c r="N824" s="32">
        <v>16</v>
      </c>
      <c r="O824" s="33">
        <v>880</v>
      </c>
      <c r="P824" s="38" t="s">
        <v>1014</v>
      </c>
      <c r="Q824" s="34" t="str">
        <f>IF(MasterFees[[#This Row],[GST Basis]]="Excl",MasterFees[[#This Row],[Fee as Printed]],IF(MasterFees[[#This Row],[GST Basis]]="Incl",MasterFees[[#This Row],[Fee as Printed]]/(1+GST_Rate),""))</f>
        <v/>
      </c>
      <c r="R824" s="34" t="str">
        <f>IF(MasterFees[[#This Row],[GST Basis]]="Incl",MasterFees[[#This Row],[Fee as Printed]],IF(MasterFees[[#This Row],[GST Basis]]="Excl",MasterFees[[#This Row],[Fee as Printed]]*(1+GST_Rate),""))</f>
        <v/>
      </c>
      <c r="S824" s="35">
        <f>IF(N(MasterFees[[#This Row],[Total Units]])=0,"",MasterFees[[#This Row],[Fee as Printed]]/MasterFees[[#This Row],[Total Units]])</f>
        <v>55</v>
      </c>
      <c r="T824" s="36"/>
      <c r="U824" s="39" t="s">
        <v>1012</v>
      </c>
      <c r="V824" s="39" t="s">
        <v>1749</v>
      </c>
      <c r="W824" s="30"/>
      <c r="X824" s="73" t="s">
        <v>3549</v>
      </c>
      <c r="Y824" s="127" t="str">
        <f>_xlfn.XLOOKUP(MasterFees[[#This Row],[Provider / Payer]],Contracts[Contract Name],Contracts[Contract ID],"No contract")</f>
        <v>CON-01</v>
      </c>
      <c r="Z824" s="127" t="str">
        <f>_xlfn.XLOOKUP(MasterFees[[#This Row],[Provider / Payer]],Contracts[Contract Name],Contracts[Pricing Basis],"To confirm")</f>
        <v>To confirm</v>
      </c>
      <c r="AA824" s="127" t="str">
        <f>IF(MasterFees[[#This Row],[Pricing Basis]]="Fixed fee schedule","Yes","No")</f>
        <v>No</v>
      </c>
      <c r="AB824" s="127" t="str">
        <f>IF(OR(MasterFees[[#This Row],[Fee Basis]]="Add-on",MasterFees[[#This Row],[Fee Basis]]="Time band",MasterFees[[#This Row],[Fee Basis]]="Other"),MasterFees[[#This Row],[Fee Basis]],"Base")</f>
        <v>Base</v>
      </c>
      <c r="AC824" s="141" t="str">
        <f>IF(MasterFees[[#This Row],[Fixed Fee?]]="Yes",MasterFees[[#This Row],[Fee Excl. GST]],"")</f>
        <v/>
      </c>
    </row>
    <row r="825" spans="1:29" x14ac:dyDescent="0.2">
      <c r="A825" s="67" t="s">
        <v>2337</v>
      </c>
      <c r="B825" s="31">
        <f>IF(MasterFees[[#This Row],[RVG Code]]="","",_xlfn.XLOOKUP(MasterFees[[#This Row],[RVG Code]],RVGCodes[Code],RVGCodes[Base Units],"Code not found"))</f>
        <v>20</v>
      </c>
      <c r="C82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2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25" s="125" t="s">
        <v>2710</v>
      </c>
      <c r="F825" s="48" t="s">
        <v>2565</v>
      </c>
      <c r="G825" s="30" t="s">
        <v>2338</v>
      </c>
      <c r="H825" s="37" t="s">
        <v>2630</v>
      </c>
      <c r="I825" s="37" t="s">
        <v>2337</v>
      </c>
      <c r="J825" s="37" t="s">
        <v>1096</v>
      </c>
      <c r="K825" s="32">
        <v>20</v>
      </c>
      <c r="L825" s="32"/>
      <c r="M825" s="32"/>
      <c r="N825" s="32">
        <v>20</v>
      </c>
      <c r="O825" s="33"/>
      <c r="P825" s="38"/>
      <c r="Q825" s="34" t="str">
        <f>IF(MasterFees[[#This Row],[GST Basis]]="Excl",MasterFees[[#This Row],[Fee as Printed]],IF(MasterFees[[#This Row],[GST Basis]]="Incl",MasterFees[[#This Row],[Fee as Printed]]/(1+GST_Rate),""))</f>
        <v/>
      </c>
      <c r="R825" s="34" t="str">
        <f>IF(MasterFees[[#This Row],[GST Basis]]="Incl",MasterFees[[#This Row],[Fee as Printed]],IF(MasterFees[[#This Row],[GST Basis]]="Excl",MasterFees[[#This Row],[Fee as Printed]]*(1+GST_Rate),""))</f>
        <v/>
      </c>
      <c r="S825" s="35">
        <f>IF(N(MasterFees[[#This Row],[Total Units]])=0,"",MasterFees[[#This Row],[Fee as Printed]]/MasterFees[[#This Row],[Total Units]])</f>
        <v>0</v>
      </c>
      <c r="T825" s="36"/>
      <c r="U825" s="39" t="s">
        <v>1016</v>
      </c>
      <c r="V825" s="39" t="s">
        <v>2651</v>
      </c>
      <c r="W825" s="30" t="s">
        <v>2632</v>
      </c>
      <c r="X825" s="73" t="s">
        <v>3946</v>
      </c>
      <c r="Y825" s="127" t="str">
        <f>_xlfn.XLOOKUP(MasterFees[[#This Row],[Provider / Payer]],Contracts[Contract Name],Contracts[Contract ID],"No contract")</f>
        <v>CON-10</v>
      </c>
      <c r="Z825" s="127" t="str">
        <f>_xlfn.XLOOKUP(MasterFees[[#This Row],[Provider / Payer]],Contracts[Contract Name],Contracts[Pricing Basis],"To confirm")</f>
        <v>Reference – units only</v>
      </c>
      <c r="AA825" s="127" t="str">
        <f>IF(MasterFees[[#This Row],[Pricing Basis]]="Fixed fee schedule","Yes","No")</f>
        <v>No</v>
      </c>
      <c r="AB825" s="127" t="str">
        <f>IF(OR(MasterFees[[#This Row],[Fee Basis]]="Add-on",MasterFees[[#This Row],[Fee Basis]]="Time band",MasterFees[[#This Row],[Fee Basis]]="Other"),MasterFees[[#This Row],[Fee Basis]],"Base")</f>
        <v>Base</v>
      </c>
      <c r="AC825" s="141" t="str">
        <f>IF(MasterFees[[#This Row],[Fixed Fee?]]="Yes",MasterFees[[#This Row],[Fee Excl. GST]],"")</f>
        <v/>
      </c>
    </row>
    <row r="826" spans="1:29" x14ac:dyDescent="0.2">
      <c r="A826" s="67" t="s">
        <v>2333</v>
      </c>
      <c r="B826" s="31">
        <f>IF(MasterFees[[#This Row],[RVG Code]]="","",_xlfn.XLOOKUP(MasterFees[[#This Row],[RVG Code]],RVGCodes[Code],RVGCodes[Base Units],"Code not found"))</f>
        <v>10</v>
      </c>
      <c r="C82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2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26" s="125" t="s">
        <v>2616</v>
      </c>
      <c r="F826" s="48" t="s">
        <v>2569</v>
      </c>
      <c r="G826" s="30" t="s">
        <v>656</v>
      </c>
      <c r="H826" s="37" t="s">
        <v>1095</v>
      </c>
      <c r="I826" s="37"/>
      <c r="J826" s="37" t="s">
        <v>1096</v>
      </c>
      <c r="K826" s="32">
        <v>3.1</v>
      </c>
      <c r="L826" s="32">
        <v>3.4</v>
      </c>
      <c r="M826" s="32">
        <v>0.6</v>
      </c>
      <c r="N826" s="32">
        <v>7.1</v>
      </c>
      <c r="O826" s="33">
        <v>389.95</v>
      </c>
      <c r="P826" s="38" t="s">
        <v>1014</v>
      </c>
      <c r="Q826" s="34" t="str">
        <f>IF(MasterFees[[#This Row],[GST Basis]]="Excl",MasterFees[[#This Row],[Fee as Printed]],IF(MasterFees[[#This Row],[GST Basis]]="Incl",MasterFees[[#This Row],[Fee as Printed]]/(1+GST_Rate),""))</f>
        <v/>
      </c>
      <c r="R826" s="34" t="str">
        <f>IF(MasterFees[[#This Row],[GST Basis]]="Incl",MasterFees[[#This Row],[Fee as Printed]],IF(MasterFees[[#This Row],[GST Basis]]="Excl",MasterFees[[#This Row],[Fee as Printed]]*(1+GST_Rate),""))</f>
        <v/>
      </c>
      <c r="S826" s="35">
        <f>IF(N(MasterFees[[#This Row],[Total Units]])=0,"",MasterFees[[#This Row],[Fee as Printed]]/MasterFees[[#This Row],[Total Units]])</f>
        <v>54.922535211267608</v>
      </c>
      <c r="T826" s="36"/>
      <c r="U826" s="39" t="s">
        <v>1012</v>
      </c>
      <c r="V826" s="39" t="s">
        <v>1753</v>
      </c>
      <c r="W826" s="30"/>
      <c r="X826" s="73" t="s">
        <v>3553</v>
      </c>
      <c r="Y826" s="127" t="str">
        <f>_xlfn.XLOOKUP(MasterFees[[#This Row],[Provider / Payer]],Contracts[Contract Name],Contracts[Contract ID],"No contract")</f>
        <v>CON-01</v>
      </c>
      <c r="Z826" s="127" t="str">
        <f>_xlfn.XLOOKUP(MasterFees[[#This Row],[Provider / Payer]],Contracts[Contract Name],Contracts[Pricing Basis],"To confirm")</f>
        <v>To confirm</v>
      </c>
      <c r="AA826" s="127" t="str">
        <f>IF(MasterFees[[#This Row],[Pricing Basis]]="Fixed fee schedule","Yes","No")</f>
        <v>No</v>
      </c>
      <c r="AB826" s="127" t="str">
        <f>IF(OR(MasterFees[[#This Row],[Fee Basis]]="Add-on",MasterFees[[#This Row],[Fee Basis]]="Time band",MasterFees[[#This Row],[Fee Basis]]="Other"),MasterFees[[#This Row],[Fee Basis]],"Base")</f>
        <v>Base</v>
      </c>
      <c r="AC826" s="141" t="str">
        <f>IF(MasterFees[[#This Row],[Fixed Fee?]]="Yes",MasterFees[[#This Row],[Fee Excl. GST]],"")</f>
        <v/>
      </c>
    </row>
    <row r="827" spans="1:29" x14ac:dyDescent="0.2">
      <c r="A827" s="67" t="s">
        <v>2331</v>
      </c>
      <c r="B827" s="31">
        <f>IF(MasterFees[[#This Row],[RVG Code]]="","",_xlfn.XLOOKUP(MasterFees[[#This Row],[RVG Code]],RVGCodes[Code],RVGCodes[Base Units],"Code not found"))</f>
        <v>8</v>
      </c>
      <c r="C82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2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27" s="125" t="s">
        <v>2614</v>
      </c>
      <c r="F827" s="48" t="s">
        <v>2567</v>
      </c>
      <c r="G827" s="30" t="s">
        <v>688</v>
      </c>
      <c r="H827" s="37" t="s">
        <v>1095</v>
      </c>
      <c r="I827" s="37"/>
      <c r="J827" s="37" t="s">
        <v>1096</v>
      </c>
      <c r="K827" s="32">
        <v>6.5</v>
      </c>
      <c r="L827" s="32">
        <v>7.1</v>
      </c>
      <c r="M827" s="32">
        <v>0.9</v>
      </c>
      <c r="N827" s="32">
        <v>14.5</v>
      </c>
      <c r="O827" s="33">
        <v>797.5</v>
      </c>
      <c r="P827" s="38" t="s">
        <v>1014</v>
      </c>
      <c r="Q827" s="34" t="str">
        <f>IF(MasterFees[[#This Row],[GST Basis]]="Excl",MasterFees[[#This Row],[Fee as Printed]],IF(MasterFees[[#This Row],[GST Basis]]="Incl",MasterFees[[#This Row],[Fee as Printed]]/(1+GST_Rate),""))</f>
        <v/>
      </c>
      <c r="R827" s="34" t="str">
        <f>IF(MasterFees[[#This Row],[GST Basis]]="Incl",MasterFees[[#This Row],[Fee as Printed]],IF(MasterFees[[#This Row],[GST Basis]]="Excl",MasterFees[[#This Row],[Fee as Printed]]*(1+GST_Rate),""))</f>
        <v/>
      </c>
      <c r="S827" s="35">
        <f>IF(N(MasterFees[[#This Row],[Total Units]])=0,"",MasterFees[[#This Row],[Fee as Printed]]/MasterFees[[#This Row],[Total Units]])</f>
        <v>55</v>
      </c>
      <c r="T827" s="36"/>
      <c r="U827" s="39" t="s">
        <v>1012</v>
      </c>
      <c r="V827" s="39" t="s">
        <v>1785</v>
      </c>
      <c r="W827" s="30"/>
      <c r="X827" s="73" t="s">
        <v>3587</v>
      </c>
      <c r="Y827" s="127" t="str">
        <f>_xlfn.XLOOKUP(MasterFees[[#This Row],[Provider / Payer]],Contracts[Contract Name],Contracts[Contract ID],"No contract")</f>
        <v>CON-01</v>
      </c>
      <c r="Z827" s="127" t="str">
        <f>_xlfn.XLOOKUP(MasterFees[[#This Row],[Provider / Payer]],Contracts[Contract Name],Contracts[Pricing Basis],"To confirm")</f>
        <v>To confirm</v>
      </c>
      <c r="AA827" s="127" t="str">
        <f>IF(MasterFees[[#This Row],[Pricing Basis]]="Fixed fee schedule","Yes","No")</f>
        <v>No</v>
      </c>
      <c r="AB827" s="127" t="str">
        <f>IF(OR(MasterFees[[#This Row],[Fee Basis]]="Add-on",MasterFees[[#This Row],[Fee Basis]]="Time band",MasterFees[[#This Row],[Fee Basis]]="Other"),MasterFees[[#This Row],[Fee Basis]],"Base")</f>
        <v>Base</v>
      </c>
      <c r="AC827" s="141" t="str">
        <f>IF(MasterFees[[#This Row],[Fixed Fee?]]="Yes",MasterFees[[#This Row],[Fee Excl. GST]],"")</f>
        <v/>
      </c>
    </row>
    <row r="828" spans="1:29" x14ac:dyDescent="0.2">
      <c r="A828" s="67" t="s">
        <v>2331</v>
      </c>
      <c r="B828" s="31">
        <f>IF(MasterFees[[#This Row],[RVG Code]]="","",_xlfn.XLOOKUP(MasterFees[[#This Row],[RVG Code]],RVGCodes[Code],RVGCodes[Base Units],"Code not found"))</f>
        <v>8</v>
      </c>
      <c r="C82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2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28" s="125" t="s">
        <v>2614</v>
      </c>
      <c r="F828" s="48" t="s">
        <v>2569</v>
      </c>
      <c r="G828" s="30" t="s">
        <v>726</v>
      </c>
      <c r="H828" s="37" t="s">
        <v>1095</v>
      </c>
      <c r="I828" s="37"/>
      <c r="J828" s="37" t="s">
        <v>1096</v>
      </c>
      <c r="K828" s="32">
        <v>4</v>
      </c>
      <c r="L828" s="32">
        <v>4.7</v>
      </c>
      <c r="M828" s="32">
        <v>1</v>
      </c>
      <c r="N828" s="32">
        <v>9.6999999999999993</v>
      </c>
      <c r="O828" s="33">
        <v>531.29999999999995</v>
      </c>
      <c r="P828" s="38" t="s">
        <v>1014</v>
      </c>
      <c r="Q828" s="34" t="str">
        <f>IF(MasterFees[[#This Row],[GST Basis]]="Excl",MasterFees[[#This Row],[Fee as Printed]],IF(MasterFees[[#This Row],[GST Basis]]="Incl",MasterFees[[#This Row],[Fee as Printed]]/(1+GST_Rate),""))</f>
        <v/>
      </c>
      <c r="R828" s="34" t="str">
        <f>IF(MasterFees[[#This Row],[GST Basis]]="Incl",MasterFees[[#This Row],[Fee as Printed]],IF(MasterFees[[#This Row],[GST Basis]]="Excl",MasterFees[[#This Row],[Fee as Printed]]*(1+GST_Rate),""))</f>
        <v/>
      </c>
      <c r="S828" s="35">
        <f>IF(N(MasterFees[[#This Row],[Total Units]])=0,"",MasterFees[[#This Row],[Fee as Printed]]/MasterFees[[#This Row],[Total Units]])</f>
        <v>54.773195876288661</v>
      </c>
      <c r="T828" s="36"/>
      <c r="U828" s="39" t="s">
        <v>1012</v>
      </c>
      <c r="V828" s="39" t="s">
        <v>1823</v>
      </c>
      <c r="W828" s="30"/>
      <c r="X828" s="73" t="s">
        <v>3626</v>
      </c>
      <c r="Y828" s="127" t="str">
        <f>_xlfn.XLOOKUP(MasterFees[[#This Row],[Provider / Payer]],Contracts[Contract Name],Contracts[Contract ID],"No contract")</f>
        <v>CON-01</v>
      </c>
      <c r="Z828" s="127" t="str">
        <f>_xlfn.XLOOKUP(MasterFees[[#This Row],[Provider / Payer]],Contracts[Contract Name],Contracts[Pricing Basis],"To confirm")</f>
        <v>To confirm</v>
      </c>
      <c r="AA828" s="127" t="str">
        <f>IF(MasterFees[[#This Row],[Pricing Basis]]="Fixed fee schedule","Yes","No")</f>
        <v>No</v>
      </c>
      <c r="AB828" s="127" t="str">
        <f>IF(OR(MasterFees[[#This Row],[Fee Basis]]="Add-on",MasterFees[[#This Row],[Fee Basis]]="Time band",MasterFees[[#This Row],[Fee Basis]]="Other"),MasterFees[[#This Row],[Fee Basis]],"Base")</f>
        <v>Base</v>
      </c>
      <c r="AC828" s="141" t="str">
        <f>IF(MasterFees[[#This Row],[Fixed Fee?]]="Yes",MasterFees[[#This Row],[Fee Excl. GST]],"")</f>
        <v/>
      </c>
    </row>
    <row r="829" spans="1:29" x14ac:dyDescent="0.2">
      <c r="A829" s="67" t="s">
        <v>2333</v>
      </c>
      <c r="B829" s="31">
        <f>IF(MasterFees[[#This Row],[RVG Code]]="","",_xlfn.XLOOKUP(MasterFees[[#This Row],[RVG Code]],RVGCodes[Code],RVGCodes[Base Units],"Code not found"))</f>
        <v>10</v>
      </c>
      <c r="C82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2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29" s="125" t="s">
        <v>2616</v>
      </c>
      <c r="F829" s="48" t="s">
        <v>2569</v>
      </c>
      <c r="G829" s="30" t="s">
        <v>845</v>
      </c>
      <c r="H829" s="37" t="s">
        <v>1095</v>
      </c>
      <c r="I829" s="37"/>
      <c r="J829" s="37" t="s">
        <v>1096</v>
      </c>
      <c r="K829" s="32">
        <v>0</v>
      </c>
      <c r="L829" s="32">
        <v>0</v>
      </c>
      <c r="M829" s="32">
        <v>0</v>
      </c>
      <c r="N829" s="32">
        <v>0</v>
      </c>
      <c r="O829" s="33">
        <v>0</v>
      </c>
      <c r="P829" s="38" t="s">
        <v>1014</v>
      </c>
      <c r="Q829" s="34" t="str">
        <f>IF(MasterFees[[#This Row],[GST Basis]]="Excl",MasterFees[[#This Row],[Fee as Printed]],IF(MasterFees[[#This Row],[GST Basis]]="Incl",MasterFees[[#This Row],[Fee as Printed]]/(1+GST_Rate),""))</f>
        <v/>
      </c>
      <c r="R829" s="34" t="str">
        <f>IF(MasterFees[[#This Row],[GST Basis]]="Incl",MasterFees[[#This Row],[Fee as Printed]],IF(MasterFees[[#This Row],[GST Basis]]="Excl",MasterFees[[#This Row],[Fee as Printed]]*(1+GST_Rate),""))</f>
        <v/>
      </c>
      <c r="S829" s="35" t="str">
        <f>IF(N(MasterFees[[#This Row],[Total Units]])=0,"",MasterFees[[#This Row],[Fee as Printed]]/MasterFees[[#This Row],[Total Units]])</f>
        <v/>
      </c>
      <c r="T829" s="36"/>
      <c r="U829" s="39" t="s">
        <v>1012</v>
      </c>
      <c r="V829" s="39" t="s">
        <v>1948</v>
      </c>
      <c r="W829" s="30"/>
      <c r="X829" s="73" t="s">
        <v>3761</v>
      </c>
      <c r="Y829" s="127" t="str">
        <f>_xlfn.XLOOKUP(MasterFees[[#This Row],[Provider / Payer]],Contracts[Contract Name],Contracts[Contract ID],"No contract")</f>
        <v>CON-01</v>
      </c>
      <c r="Z829" s="127" t="str">
        <f>_xlfn.XLOOKUP(MasterFees[[#This Row],[Provider / Payer]],Contracts[Contract Name],Contracts[Pricing Basis],"To confirm")</f>
        <v>To confirm</v>
      </c>
      <c r="AA829" s="127" t="str">
        <f>IF(MasterFees[[#This Row],[Pricing Basis]]="Fixed fee schedule","Yes","No")</f>
        <v>No</v>
      </c>
      <c r="AB829" s="127" t="str">
        <f>IF(OR(MasterFees[[#This Row],[Fee Basis]]="Add-on",MasterFees[[#This Row],[Fee Basis]]="Time band",MasterFees[[#This Row],[Fee Basis]]="Other"),MasterFees[[#This Row],[Fee Basis]],"Base")</f>
        <v>Base</v>
      </c>
      <c r="AC829" s="141" t="str">
        <f>IF(MasterFees[[#This Row],[Fixed Fee?]]="Yes",MasterFees[[#This Row],[Fee Excl. GST]],"")</f>
        <v/>
      </c>
    </row>
    <row r="830" spans="1:29" x14ac:dyDescent="0.2">
      <c r="A830" s="67" t="s">
        <v>2331</v>
      </c>
      <c r="B830" s="31">
        <f>IF(MasterFees[[#This Row],[RVG Code]]="","",_xlfn.XLOOKUP(MasterFees[[#This Row],[RVG Code]],RVGCodes[Code],RVGCodes[Base Units],"Code not found"))</f>
        <v>8</v>
      </c>
      <c r="C83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3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30" s="125" t="s">
        <v>2614</v>
      </c>
      <c r="F830" s="48" t="s">
        <v>2569</v>
      </c>
      <c r="G830" s="30" t="s">
        <v>869</v>
      </c>
      <c r="H830" s="37" t="s">
        <v>1095</v>
      </c>
      <c r="I830" s="37"/>
      <c r="J830" s="37" t="s">
        <v>1096</v>
      </c>
      <c r="K830" s="32">
        <v>3.9</v>
      </c>
      <c r="L830" s="32">
        <v>2.6</v>
      </c>
      <c r="M830" s="32">
        <v>0.7</v>
      </c>
      <c r="N830" s="32">
        <v>7.2</v>
      </c>
      <c r="O830" s="33">
        <v>396.55</v>
      </c>
      <c r="P830" s="38" t="s">
        <v>1014</v>
      </c>
      <c r="Q830" s="34" t="str">
        <f>IF(MasterFees[[#This Row],[GST Basis]]="Excl",MasterFees[[#This Row],[Fee as Printed]],IF(MasterFees[[#This Row],[GST Basis]]="Incl",MasterFees[[#This Row],[Fee as Printed]]/(1+GST_Rate),""))</f>
        <v/>
      </c>
      <c r="R830" s="34" t="str">
        <f>IF(MasterFees[[#This Row],[GST Basis]]="Incl",MasterFees[[#This Row],[Fee as Printed]],IF(MasterFees[[#This Row],[GST Basis]]="Excl",MasterFees[[#This Row],[Fee as Printed]]*(1+GST_Rate),""))</f>
        <v/>
      </c>
      <c r="S830" s="35">
        <f>IF(N(MasterFees[[#This Row],[Total Units]])=0,"",MasterFees[[#This Row],[Fee as Printed]]/MasterFees[[#This Row],[Total Units]])</f>
        <v>55.076388888888886</v>
      </c>
      <c r="T830" s="36"/>
      <c r="U830" s="39" t="s">
        <v>1012</v>
      </c>
      <c r="V830" s="39" t="s">
        <v>1972</v>
      </c>
      <c r="W830" s="30"/>
      <c r="X830" s="73" t="s">
        <v>3789</v>
      </c>
      <c r="Y830" s="127" t="str">
        <f>_xlfn.XLOOKUP(MasterFees[[#This Row],[Provider / Payer]],Contracts[Contract Name],Contracts[Contract ID],"No contract")</f>
        <v>CON-01</v>
      </c>
      <c r="Z830" s="127" t="str">
        <f>_xlfn.XLOOKUP(MasterFees[[#This Row],[Provider / Payer]],Contracts[Contract Name],Contracts[Pricing Basis],"To confirm")</f>
        <v>To confirm</v>
      </c>
      <c r="AA830" s="127" t="str">
        <f>IF(MasterFees[[#This Row],[Pricing Basis]]="Fixed fee schedule","Yes","No")</f>
        <v>No</v>
      </c>
      <c r="AB830" s="127" t="str">
        <f>IF(OR(MasterFees[[#This Row],[Fee Basis]]="Add-on",MasterFees[[#This Row],[Fee Basis]]="Time band",MasterFees[[#This Row],[Fee Basis]]="Other"),MasterFees[[#This Row],[Fee Basis]],"Base")</f>
        <v>Base</v>
      </c>
      <c r="AC830" s="141" t="str">
        <f>IF(MasterFees[[#This Row],[Fixed Fee?]]="Yes",MasterFees[[#This Row],[Fee Excl. GST]],"")</f>
        <v/>
      </c>
    </row>
    <row r="831" spans="1:29" x14ac:dyDescent="0.2">
      <c r="A831" s="67" t="s">
        <v>2331</v>
      </c>
      <c r="B831" s="31">
        <f>IF(MasterFees[[#This Row],[RVG Code]]="","",_xlfn.XLOOKUP(MasterFees[[#This Row],[RVG Code]],RVGCodes[Code],RVGCodes[Base Units],"Code not found"))</f>
        <v>8</v>
      </c>
      <c r="C83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3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31" s="125" t="s">
        <v>2614</v>
      </c>
      <c r="F831" s="48" t="s">
        <v>2569</v>
      </c>
      <c r="G831" s="30" t="s">
        <v>870</v>
      </c>
      <c r="H831" s="37" t="s">
        <v>1095</v>
      </c>
      <c r="I831" s="37"/>
      <c r="J831" s="37" t="s">
        <v>1096</v>
      </c>
      <c r="K831" s="32">
        <v>0</v>
      </c>
      <c r="L831" s="32">
        <v>0</v>
      </c>
      <c r="M831" s="32">
        <v>0</v>
      </c>
      <c r="N831" s="32">
        <v>0</v>
      </c>
      <c r="O831" s="33">
        <v>0</v>
      </c>
      <c r="P831" s="38" t="s">
        <v>1014</v>
      </c>
      <c r="Q831" s="34" t="str">
        <f>IF(MasterFees[[#This Row],[GST Basis]]="Excl",MasterFees[[#This Row],[Fee as Printed]],IF(MasterFees[[#This Row],[GST Basis]]="Incl",MasterFees[[#This Row],[Fee as Printed]]/(1+GST_Rate),""))</f>
        <v/>
      </c>
      <c r="R831" s="34" t="str">
        <f>IF(MasterFees[[#This Row],[GST Basis]]="Incl",MasterFees[[#This Row],[Fee as Printed]],IF(MasterFees[[#This Row],[GST Basis]]="Excl",MasterFees[[#This Row],[Fee as Printed]]*(1+GST_Rate),""))</f>
        <v/>
      </c>
      <c r="S831" s="35" t="str">
        <f>IF(N(MasterFees[[#This Row],[Total Units]])=0,"",MasterFees[[#This Row],[Fee as Printed]]/MasterFees[[#This Row],[Total Units]])</f>
        <v/>
      </c>
      <c r="T831" s="36"/>
      <c r="U831" s="39" t="s">
        <v>1012</v>
      </c>
      <c r="V831" s="39" t="s">
        <v>1973</v>
      </c>
      <c r="W831" s="30"/>
      <c r="X831" s="73" t="s">
        <v>3790</v>
      </c>
      <c r="Y831" s="127" t="str">
        <f>_xlfn.XLOOKUP(MasterFees[[#This Row],[Provider / Payer]],Contracts[Contract Name],Contracts[Contract ID],"No contract")</f>
        <v>CON-01</v>
      </c>
      <c r="Z831" s="127" t="str">
        <f>_xlfn.XLOOKUP(MasterFees[[#This Row],[Provider / Payer]],Contracts[Contract Name],Contracts[Pricing Basis],"To confirm")</f>
        <v>To confirm</v>
      </c>
      <c r="AA831" s="127" t="str">
        <f>IF(MasterFees[[#This Row],[Pricing Basis]]="Fixed fee schedule","Yes","No")</f>
        <v>No</v>
      </c>
      <c r="AB831" s="127" t="str">
        <f>IF(OR(MasterFees[[#This Row],[Fee Basis]]="Add-on",MasterFees[[#This Row],[Fee Basis]]="Time band",MasterFees[[#This Row],[Fee Basis]]="Other"),MasterFees[[#This Row],[Fee Basis]],"Base")</f>
        <v>Base</v>
      </c>
      <c r="AC831" s="141" t="str">
        <f>IF(MasterFees[[#This Row],[Fixed Fee?]]="Yes",MasterFees[[#This Row],[Fee Excl. GST]],"")</f>
        <v/>
      </c>
    </row>
    <row r="832" spans="1:29" x14ac:dyDescent="0.2">
      <c r="A832" s="67" t="s">
        <v>2331</v>
      </c>
      <c r="B832" s="31">
        <f>IF(MasterFees[[#This Row],[RVG Code]]="","",_xlfn.XLOOKUP(MasterFees[[#This Row],[RVG Code]],RVGCodes[Code],RVGCodes[Base Units],"Code not found"))</f>
        <v>8</v>
      </c>
      <c r="C83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3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32" s="125" t="s">
        <v>2614</v>
      </c>
      <c r="F832" s="48" t="s">
        <v>2569</v>
      </c>
      <c r="G832" s="30" t="s">
        <v>871</v>
      </c>
      <c r="H832" s="37" t="s">
        <v>1095</v>
      </c>
      <c r="I832" s="37"/>
      <c r="J832" s="37" t="s">
        <v>1096</v>
      </c>
      <c r="K832" s="32">
        <v>5.0999999999999996</v>
      </c>
      <c r="L832" s="32">
        <v>4</v>
      </c>
      <c r="M832" s="32">
        <v>1.1000000000000001</v>
      </c>
      <c r="N832" s="32">
        <v>10.199999999999999</v>
      </c>
      <c r="O832" s="33">
        <v>558.25</v>
      </c>
      <c r="P832" s="38" t="s">
        <v>1014</v>
      </c>
      <c r="Q832" s="34" t="str">
        <f>IF(MasterFees[[#This Row],[GST Basis]]="Excl",MasterFees[[#This Row],[Fee as Printed]],IF(MasterFees[[#This Row],[GST Basis]]="Incl",MasterFees[[#This Row],[Fee as Printed]]/(1+GST_Rate),""))</f>
        <v/>
      </c>
      <c r="R832" s="34" t="str">
        <f>IF(MasterFees[[#This Row],[GST Basis]]="Incl",MasterFees[[#This Row],[Fee as Printed]],IF(MasterFees[[#This Row],[GST Basis]]="Excl",MasterFees[[#This Row],[Fee as Printed]]*(1+GST_Rate),""))</f>
        <v/>
      </c>
      <c r="S832" s="35">
        <f>IF(N(MasterFees[[#This Row],[Total Units]])=0,"",MasterFees[[#This Row],[Fee as Printed]]/MasterFees[[#This Row],[Total Units]])</f>
        <v>54.730392156862749</v>
      </c>
      <c r="T832" s="36"/>
      <c r="U832" s="39" t="s">
        <v>1012</v>
      </c>
      <c r="V832" s="39" t="s">
        <v>1974</v>
      </c>
      <c r="W832" s="30"/>
      <c r="X832" s="73" t="s">
        <v>3791</v>
      </c>
      <c r="Y832" s="127" t="str">
        <f>_xlfn.XLOOKUP(MasterFees[[#This Row],[Provider / Payer]],Contracts[Contract Name],Contracts[Contract ID],"No contract")</f>
        <v>CON-01</v>
      </c>
      <c r="Z832" s="127" t="str">
        <f>_xlfn.XLOOKUP(MasterFees[[#This Row],[Provider / Payer]],Contracts[Contract Name],Contracts[Pricing Basis],"To confirm")</f>
        <v>To confirm</v>
      </c>
      <c r="AA832" s="127" t="str">
        <f>IF(MasterFees[[#This Row],[Pricing Basis]]="Fixed fee schedule","Yes","No")</f>
        <v>No</v>
      </c>
      <c r="AB832" s="127" t="str">
        <f>IF(OR(MasterFees[[#This Row],[Fee Basis]]="Add-on",MasterFees[[#This Row],[Fee Basis]]="Time band",MasterFees[[#This Row],[Fee Basis]]="Other"),MasterFees[[#This Row],[Fee Basis]],"Base")</f>
        <v>Base</v>
      </c>
      <c r="AC832" s="141" t="str">
        <f>IF(MasterFees[[#This Row],[Fixed Fee?]]="Yes",MasterFees[[#This Row],[Fee Excl. GST]],"")</f>
        <v/>
      </c>
    </row>
    <row r="833" spans="1:29" x14ac:dyDescent="0.2">
      <c r="A833" s="67" t="s">
        <v>2333</v>
      </c>
      <c r="B833" s="31">
        <f>IF(MasterFees[[#This Row],[RVG Code]]="","",_xlfn.XLOOKUP(MasterFees[[#This Row],[RVG Code]],RVGCodes[Code],RVGCodes[Base Units],"Code not found"))</f>
        <v>10</v>
      </c>
      <c r="C83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3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33" s="125" t="s">
        <v>2616</v>
      </c>
      <c r="F833" s="48" t="s">
        <v>2569</v>
      </c>
      <c r="G833" s="30" t="s">
        <v>872</v>
      </c>
      <c r="H833" s="37" t="s">
        <v>1095</v>
      </c>
      <c r="I833" s="37"/>
      <c r="J833" s="37" t="s">
        <v>1096</v>
      </c>
      <c r="K833" s="32">
        <v>10</v>
      </c>
      <c r="L833" s="32">
        <v>5</v>
      </c>
      <c r="M833" s="32">
        <v>0</v>
      </c>
      <c r="N833" s="32">
        <v>15</v>
      </c>
      <c r="O833" s="33">
        <v>825</v>
      </c>
      <c r="P833" s="38" t="s">
        <v>1014</v>
      </c>
      <c r="Q833" s="34" t="str">
        <f>IF(MasterFees[[#This Row],[GST Basis]]="Excl",MasterFees[[#This Row],[Fee as Printed]],IF(MasterFees[[#This Row],[GST Basis]]="Incl",MasterFees[[#This Row],[Fee as Printed]]/(1+GST_Rate),""))</f>
        <v/>
      </c>
      <c r="R833" s="34" t="str">
        <f>IF(MasterFees[[#This Row],[GST Basis]]="Incl",MasterFees[[#This Row],[Fee as Printed]],IF(MasterFees[[#This Row],[GST Basis]]="Excl",MasterFees[[#This Row],[Fee as Printed]]*(1+GST_Rate),""))</f>
        <v/>
      </c>
      <c r="S833" s="35">
        <f>IF(N(MasterFees[[#This Row],[Total Units]])=0,"",MasterFees[[#This Row],[Fee as Printed]]/MasterFees[[#This Row],[Total Units]])</f>
        <v>55</v>
      </c>
      <c r="T833" s="36"/>
      <c r="U833" s="39" t="s">
        <v>1012</v>
      </c>
      <c r="V833" s="39" t="s">
        <v>1975</v>
      </c>
      <c r="W833" s="30"/>
      <c r="X833" s="73" t="s">
        <v>3792</v>
      </c>
      <c r="Y833" s="127" t="str">
        <f>_xlfn.XLOOKUP(MasterFees[[#This Row],[Provider / Payer]],Contracts[Contract Name],Contracts[Contract ID],"No contract")</f>
        <v>CON-01</v>
      </c>
      <c r="Z833" s="127" t="str">
        <f>_xlfn.XLOOKUP(MasterFees[[#This Row],[Provider / Payer]],Contracts[Contract Name],Contracts[Pricing Basis],"To confirm")</f>
        <v>To confirm</v>
      </c>
      <c r="AA833" s="127" t="str">
        <f>IF(MasterFees[[#This Row],[Pricing Basis]]="Fixed fee schedule","Yes","No")</f>
        <v>No</v>
      </c>
      <c r="AB833" s="127" t="str">
        <f>IF(OR(MasterFees[[#This Row],[Fee Basis]]="Add-on",MasterFees[[#This Row],[Fee Basis]]="Time band",MasterFees[[#This Row],[Fee Basis]]="Other"),MasterFees[[#This Row],[Fee Basis]],"Base")</f>
        <v>Base</v>
      </c>
      <c r="AC833" s="141" t="str">
        <f>IF(MasterFees[[#This Row],[Fixed Fee?]]="Yes",MasterFees[[#This Row],[Fee Excl. GST]],"")</f>
        <v/>
      </c>
    </row>
    <row r="834" spans="1:29" x14ac:dyDescent="0.2">
      <c r="A834" s="67" t="s">
        <v>2331</v>
      </c>
      <c r="B834" s="31">
        <f>IF(MasterFees[[#This Row],[RVG Code]]="","",_xlfn.XLOOKUP(MasterFees[[#This Row],[RVG Code]],RVGCodes[Code],RVGCodes[Base Units],"Code not found"))</f>
        <v>8</v>
      </c>
      <c r="C83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3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34" s="125" t="s">
        <v>2614</v>
      </c>
      <c r="F834" s="48" t="s">
        <v>2567</v>
      </c>
      <c r="G834" s="30" t="s">
        <v>878</v>
      </c>
      <c r="H834" s="37" t="s">
        <v>1095</v>
      </c>
      <c r="I834" s="37"/>
      <c r="J834" s="37" t="s">
        <v>1096</v>
      </c>
      <c r="K834" s="32">
        <v>8</v>
      </c>
      <c r="L834" s="32">
        <v>7</v>
      </c>
      <c r="M834" s="32">
        <v>1.5</v>
      </c>
      <c r="N834" s="32">
        <v>16.5</v>
      </c>
      <c r="O834" s="33">
        <v>907.5</v>
      </c>
      <c r="P834" s="38" t="s">
        <v>1014</v>
      </c>
      <c r="Q834" s="34" t="str">
        <f>IF(MasterFees[[#This Row],[GST Basis]]="Excl",MasterFees[[#This Row],[Fee as Printed]],IF(MasterFees[[#This Row],[GST Basis]]="Incl",MasterFees[[#This Row],[Fee as Printed]]/(1+GST_Rate),""))</f>
        <v/>
      </c>
      <c r="R834" s="34" t="str">
        <f>IF(MasterFees[[#This Row],[GST Basis]]="Incl",MasterFees[[#This Row],[Fee as Printed]],IF(MasterFees[[#This Row],[GST Basis]]="Excl",MasterFees[[#This Row],[Fee as Printed]]*(1+GST_Rate),""))</f>
        <v/>
      </c>
      <c r="S834" s="35">
        <f>IF(N(MasterFees[[#This Row],[Total Units]])=0,"",MasterFees[[#This Row],[Fee as Printed]]/MasterFees[[#This Row],[Total Units]])</f>
        <v>55</v>
      </c>
      <c r="T834" s="36"/>
      <c r="U834" s="39" t="s">
        <v>1012</v>
      </c>
      <c r="V834" s="39" t="s">
        <v>1981</v>
      </c>
      <c r="W834" s="30"/>
      <c r="X834" s="73" t="s">
        <v>3800</v>
      </c>
      <c r="Y834" s="127" t="str">
        <f>_xlfn.XLOOKUP(MasterFees[[#This Row],[Provider / Payer]],Contracts[Contract Name],Contracts[Contract ID],"No contract")</f>
        <v>CON-01</v>
      </c>
      <c r="Z834" s="127" t="str">
        <f>_xlfn.XLOOKUP(MasterFees[[#This Row],[Provider / Payer]],Contracts[Contract Name],Contracts[Pricing Basis],"To confirm")</f>
        <v>To confirm</v>
      </c>
      <c r="AA834" s="127" t="str">
        <f>IF(MasterFees[[#This Row],[Pricing Basis]]="Fixed fee schedule","Yes","No")</f>
        <v>No</v>
      </c>
      <c r="AB834" s="127" t="str">
        <f>IF(OR(MasterFees[[#This Row],[Fee Basis]]="Add-on",MasterFees[[#This Row],[Fee Basis]]="Time band",MasterFees[[#This Row],[Fee Basis]]="Other"),MasterFees[[#This Row],[Fee Basis]],"Base")</f>
        <v>Base</v>
      </c>
      <c r="AC834" s="141" t="str">
        <f>IF(MasterFees[[#This Row],[Fixed Fee?]]="Yes",MasterFees[[#This Row],[Fee Excl. GST]],"")</f>
        <v/>
      </c>
    </row>
    <row r="835" spans="1:29" x14ac:dyDescent="0.2">
      <c r="A835" s="67" t="s">
        <v>2331</v>
      </c>
      <c r="B835" s="31">
        <f>IF(MasterFees[[#This Row],[RVG Code]]="","",_xlfn.XLOOKUP(MasterFees[[#This Row],[RVG Code]],RVGCodes[Code],RVGCodes[Base Units],"Code not found"))</f>
        <v>8</v>
      </c>
      <c r="C83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3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35" s="125" t="s">
        <v>2614</v>
      </c>
      <c r="F835" s="48" t="s">
        <v>2567</v>
      </c>
      <c r="G835" s="30" t="s">
        <v>888</v>
      </c>
      <c r="H835" s="37" t="s">
        <v>1095</v>
      </c>
      <c r="I835" s="37"/>
      <c r="J835" s="37" t="s">
        <v>1096</v>
      </c>
      <c r="K835" s="32">
        <v>8</v>
      </c>
      <c r="L835" s="32">
        <v>10</v>
      </c>
      <c r="M835" s="32">
        <v>1</v>
      </c>
      <c r="N835" s="32">
        <v>19</v>
      </c>
      <c r="O835" s="33">
        <v>1045</v>
      </c>
      <c r="P835" s="38" t="s">
        <v>1014</v>
      </c>
      <c r="Q835" s="34" t="str">
        <f>IF(MasterFees[[#This Row],[GST Basis]]="Excl",MasterFees[[#This Row],[Fee as Printed]],IF(MasterFees[[#This Row],[GST Basis]]="Incl",MasterFees[[#This Row],[Fee as Printed]]/(1+GST_Rate),""))</f>
        <v/>
      </c>
      <c r="R835" s="34" t="str">
        <f>IF(MasterFees[[#This Row],[GST Basis]]="Incl",MasterFees[[#This Row],[Fee as Printed]],IF(MasterFees[[#This Row],[GST Basis]]="Excl",MasterFees[[#This Row],[Fee as Printed]]*(1+GST_Rate),""))</f>
        <v/>
      </c>
      <c r="S835" s="35">
        <f>IF(N(MasterFees[[#This Row],[Total Units]])=0,"",MasterFees[[#This Row],[Fee as Printed]]/MasterFees[[#This Row],[Total Units]])</f>
        <v>55</v>
      </c>
      <c r="T835" s="36"/>
      <c r="U835" s="39" t="s">
        <v>1012</v>
      </c>
      <c r="V835" s="39" t="s">
        <v>1991</v>
      </c>
      <c r="W835" s="30"/>
      <c r="X835" s="73" t="s">
        <v>3812</v>
      </c>
      <c r="Y835" s="127" t="str">
        <f>_xlfn.XLOOKUP(MasterFees[[#This Row],[Provider / Payer]],Contracts[Contract Name],Contracts[Contract ID],"No contract")</f>
        <v>CON-01</v>
      </c>
      <c r="Z835" s="127" t="str">
        <f>_xlfn.XLOOKUP(MasterFees[[#This Row],[Provider / Payer]],Contracts[Contract Name],Contracts[Pricing Basis],"To confirm")</f>
        <v>To confirm</v>
      </c>
      <c r="AA835" s="127" t="str">
        <f>IF(MasterFees[[#This Row],[Pricing Basis]]="Fixed fee schedule","Yes","No")</f>
        <v>No</v>
      </c>
      <c r="AB835" s="127" t="str">
        <f>IF(OR(MasterFees[[#This Row],[Fee Basis]]="Add-on",MasterFees[[#This Row],[Fee Basis]]="Time band",MasterFees[[#This Row],[Fee Basis]]="Other"),MasterFees[[#This Row],[Fee Basis]],"Base")</f>
        <v>Base</v>
      </c>
      <c r="AC835" s="141" t="str">
        <f>IF(MasterFees[[#This Row],[Fixed Fee?]]="Yes",MasterFees[[#This Row],[Fee Excl. GST]],"")</f>
        <v/>
      </c>
    </row>
    <row r="836" spans="1:29" x14ac:dyDescent="0.2">
      <c r="A836" s="67" t="s">
        <v>2333</v>
      </c>
      <c r="B836" s="31">
        <f>IF(MasterFees[[#This Row],[RVG Code]]="","",_xlfn.XLOOKUP(MasterFees[[#This Row],[RVG Code]],RVGCodes[Code],RVGCodes[Base Units],"Code not found"))</f>
        <v>10</v>
      </c>
      <c r="C83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06 - Abdomen</v>
      </c>
      <c r="D83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Upper GI</v>
      </c>
      <c r="E836" s="125" t="s">
        <v>2616</v>
      </c>
      <c r="F836" s="48" t="s">
        <v>2569</v>
      </c>
      <c r="G836" s="30" t="s">
        <v>889</v>
      </c>
      <c r="H836" s="37" t="s">
        <v>1095</v>
      </c>
      <c r="I836" s="37"/>
      <c r="J836" s="37" t="s">
        <v>1096</v>
      </c>
      <c r="K836" s="32">
        <v>0</v>
      </c>
      <c r="L836" s="32">
        <v>2</v>
      </c>
      <c r="M836" s="32">
        <v>0</v>
      </c>
      <c r="N836" s="32">
        <v>2</v>
      </c>
      <c r="O836" s="33">
        <v>110</v>
      </c>
      <c r="P836" s="38" t="s">
        <v>1014</v>
      </c>
      <c r="Q836" s="34" t="str">
        <f>IF(MasterFees[[#This Row],[GST Basis]]="Excl",MasterFees[[#This Row],[Fee as Printed]],IF(MasterFees[[#This Row],[GST Basis]]="Incl",MasterFees[[#This Row],[Fee as Printed]]/(1+GST_Rate),""))</f>
        <v/>
      </c>
      <c r="R836" s="34" t="str">
        <f>IF(MasterFees[[#This Row],[GST Basis]]="Incl",MasterFees[[#This Row],[Fee as Printed]],IF(MasterFees[[#This Row],[GST Basis]]="Excl",MasterFees[[#This Row],[Fee as Printed]]*(1+GST_Rate),""))</f>
        <v/>
      </c>
      <c r="S836" s="35">
        <f>IF(N(MasterFees[[#This Row],[Total Units]])=0,"",MasterFees[[#This Row],[Fee as Printed]]/MasterFees[[#This Row],[Total Units]])</f>
        <v>55</v>
      </c>
      <c r="T836" s="36"/>
      <c r="U836" s="39" t="s">
        <v>1012</v>
      </c>
      <c r="V836" s="39" t="s">
        <v>1992</v>
      </c>
      <c r="W836" s="30"/>
      <c r="X836" s="73" t="s">
        <v>3814</v>
      </c>
      <c r="Y836" s="127" t="str">
        <f>_xlfn.XLOOKUP(MasterFees[[#This Row],[Provider / Payer]],Contracts[Contract Name],Contracts[Contract ID],"No contract")</f>
        <v>CON-01</v>
      </c>
      <c r="Z836" s="127" t="str">
        <f>_xlfn.XLOOKUP(MasterFees[[#This Row],[Provider / Payer]],Contracts[Contract Name],Contracts[Pricing Basis],"To confirm")</f>
        <v>To confirm</v>
      </c>
      <c r="AA836" s="127" t="str">
        <f>IF(MasterFees[[#This Row],[Pricing Basis]]="Fixed fee schedule","Yes","No")</f>
        <v>No</v>
      </c>
      <c r="AB836" s="127" t="str">
        <f>IF(OR(MasterFees[[#This Row],[Fee Basis]]="Add-on",MasterFees[[#This Row],[Fee Basis]]="Time band",MasterFees[[#This Row],[Fee Basis]]="Other"),MasterFees[[#This Row],[Fee Basis]],"Base")</f>
        <v>Base</v>
      </c>
      <c r="AC836" s="141" t="str">
        <f>IF(MasterFees[[#This Row],[Fixed Fee?]]="Yes",MasterFees[[#This Row],[Fee Excl. GST]],"")</f>
        <v/>
      </c>
    </row>
    <row r="837" spans="1:29" x14ac:dyDescent="0.2">
      <c r="A837" s="67" t="s">
        <v>2347</v>
      </c>
      <c r="B837" s="31">
        <f>IF(MasterFees[[#This Row],[RVG Code]]="","",_xlfn.XLOOKUP(MasterFees[[#This Row],[RVG Code]],RVGCodes[Code],RVGCodes[Base Units],"Code not found"))</f>
        <v>4</v>
      </c>
      <c r="C83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3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37" s="125" t="s">
        <v>2580</v>
      </c>
      <c r="F837" s="48" t="s">
        <v>2567</v>
      </c>
      <c r="G837" s="30" t="s">
        <v>44</v>
      </c>
      <c r="H837" s="37" t="s">
        <v>1095</v>
      </c>
      <c r="I837" s="37"/>
      <c r="J837" s="37" t="s">
        <v>1096</v>
      </c>
      <c r="K837" s="32">
        <v>5</v>
      </c>
      <c r="L837" s="32">
        <v>4</v>
      </c>
      <c r="M837" s="32">
        <v>0</v>
      </c>
      <c r="N837" s="32">
        <v>9</v>
      </c>
      <c r="O837" s="33">
        <v>495</v>
      </c>
      <c r="P837" s="38" t="s">
        <v>1014</v>
      </c>
      <c r="Q837" s="34" t="str">
        <f>IF(MasterFees[[#This Row],[GST Basis]]="Excl",MasterFees[[#This Row],[Fee as Printed]],IF(MasterFees[[#This Row],[GST Basis]]="Incl",MasterFees[[#This Row],[Fee as Printed]]/(1+GST_Rate),""))</f>
        <v/>
      </c>
      <c r="R837" s="34" t="str">
        <f>IF(MasterFees[[#This Row],[GST Basis]]="Incl",MasterFees[[#This Row],[Fee as Printed]],IF(MasterFees[[#This Row],[GST Basis]]="Excl",MasterFees[[#This Row],[Fee as Printed]]*(1+GST_Rate),""))</f>
        <v/>
      </c>
      <c r="S837" s="35">
        <f>IF(N(MasterFees[[#This Row],[Total Units]])=0,"",MasterFees[[#This Row],[Fee as Printed]]/MasterFees[[#This Row],[Total Units]])</f>
        <v>55</v>
      </c>
      <c r="T837" s="36"/>
      <c r="U837" s="39" t="s">
        <v>1012</v>
      </c>
      <c r="V837" s="39" t="s">
        <v>1133</v>
      </c>
      <c r="W837" s="30"/>
      <c r="X837" s="73" t="s">
        <v>2915</v>
      </c>
      <c r="Y837" s="127" t="str">
        <f>_xlfn.XLOOKUP(MasterFees[[#This Row],[Provider / Payer]],Contracts[Contract Name],Contracts[Contract ID],"No contract")</f>
        <v>CON-01</v>
      </c>
      <c r="Z837" s="127" t="str">
        <f>_xlfn.XLOOKUP(MasterFees[[#This Row],[Provider / Payer]],Contracts[Contract Name],Contracts[Pricing Basis],"To confirm")</f>
        <v>To confirm</v>
      </c>
      <c r="AA837" s="127" t="str">
        <f>IF(MasterFees[[#This Row],[Pricing Basis]]="Fixed fee schedule","Yes","No")</f>
        <v>No</v>
      </c>
      <c r="AB837" s="127" t="str">
        <f>IF(OR(MasterFees[[#This Row],[Fee Basis]]="Add-on",MasterFees[[#This Row],[Fee Basis]]="Time band",MasterFees[[#This Row],[Fee Basis]]="Other"),MasterFees[[#This Row],[Fee Basis]],"Base")</f>
        <v>Base</v>
      </c>
      <c r="AC837" s="141" t="str">
        <f>IF(MasterFees[[#This Row],[Fixed Fee?]]="Yes",MasterFees[[#This Row],[Fee Excl. GST]],"")</f>
        <v/>
      </c>
    </row>
    <row r="838" spans="1:29" x14ac:dyDescent="0.2">
      <c r="A838" s="67" t="s">
        <v>2347</v>
      </c>
      <c r="B838" s="31">
        <f>IF(MasterFees[[#This Row],[RVG Code]]="","",_xlfn.XLOOKUP(MasterFees[[#This Row],[RVG Code]],RVGCodes[Code],RVGCodes[Base Units],"Code not found"))</f>
        <v>4</v>
      </c>
      <c r="C83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3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38" s="125" t="s">
        <v>2580</v>
      </c>
      <c r="F838" s="48" t="s">
        <v>2567</v>
      </c>
      <c r="G838" s="30" t="s">
        <v>45</v>
      </c>
      <c r="H838" s="37" t="s">
        <v>1095</v>
      </c>
      <c r="I838" s="37"/>
      <c r="J838" s="37" t="s">
        <v>1096</v>
      </c>
      <c r="K838" s="32">
        <v>4</v>
      </c>
      <c r="L838" s="32">
        <v>1</v>
      </c>
      <c r="M838" s="32">
        <v>0</v>
      </c>
      <c r="N838" s="32">
        <v>5</v>
      </c>
      <c r="O838" s="33">
        <v>275</v>
      </c>
      <c r="P838" s="38" t="s">
        <v>1014</v>
      </c>
      <c r="Q838" s="34" t="str">
        <f>IF(MasterFees[[#This Row],[GST Basis]]="Excl",MasterFees[[#This Row],[Fee as Printed]],IF(MasterFees[[#This Row],[GST Basis]]="Incl",MasterFees[[#This Row],[Fee as Printed]]/(1+GST_Rate),""))</f>
        <v/>
      </c>
      <c r="R838" s="34" t="str">
        <f>IF(MasterFees[[#This Row],[GST Basis]]="Incl",MasterFees[[#This Row],[Fee as Printed]],IF(MasterFees[[#This Row],[GST Basis]]="Excl",MasterFees[[#This Row],[Fee as Printed]]*(1+GST_Rate),""))</f>
        <v/>
      </c>
      <c r="S838" s="35">
        <f>IF(N(MasterFees[[#This Row],[Total Units]])=0,"",MasterFees[[#This Row],[Fee as Printed]]/MasterFees[[#This Row],[Total Units]])</f>
        <v>55</v>
      </c>
      <c r="T838" s="36"/>
      <c r="U838" s="39" t="s">
        <v>1012</v>
      </c>
      <c r="V838" s="39" t="s">
        <v>1134</v>
      </c>
      <c r="W838" s="30"/>
      <c r="X838" s="73" t="s">
        <v>2916</v>
      </c>
      <c r="Y838" s="127" t="str">
        <f>_xlfn.XLOOKUP(MasterFees[[#This Row],[Provider / Payer]],Contracts[Contract Name],Contracts[Contract ID],"No contract")</f>
        <v>CON-01</v>
      </c>
      <c r="Z838" s="127" t="str">
        <f>_xlfn.XLOOKUP(MasterFees[[#This Row],[Provider / Payer]],Contracts[Contract Name],Contracts[Pricing Basis],"To confirm")</f>
        <v>To confirm</v>
      </c>
      <c r="AA838" s="127" t="str">
        <f>IF(MasterFees[[#This Row],[Pricing Basis]]="Fixed fee schedule","Yes","No")</f>
        <v>No</v>
      </c>
      <c r="AB838" s="127" t="str">
        <f>IF(OR(MasterFees[[#This Row],[Fee Basis]]="Add-on",MasterFees[[#This Row],[Fee Basis]]="Time band",MasterFees[[#This Row],[Fee Basis]]="Other"),MasterFees[[#This Row],[Fee Basis]],"Base")</f>
        <v>Base</v>
      </c>
      <c r="AC838" s="141" t="str">
        <f>IF(MasterFees[[#This Row],[Fixed Fee?]]="Yes",MasterFees[[#This Row],[Fee Excl. GST]],"")</f>
        <v/>
      </c>
    </row>
    <row r="839" spans="1:29" x14ac:dyDescent="0.2">
      <c r="A839" s="67" t="s">
        <v>2350</v>
      </c>
      <c r="B839" s="31">
        <f>IF(MasterFees[[#This Row],[RVG Code]]="","",_xlfn.XLOOKUP(MasterFees[[#This Row],[RVG Code]],RVGCodes[Code],RVGCodes[Base Units],"Code not found"))</f>
        <v>5</v>
      </c>
      <c r="C83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3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39" s="125" t="s">
        <v>2582</v>
      </c>
      <c r="F839" s="48" t="s">
        <v>2569</v>
      </c>
      <c r="G839" s="30" t="s">
        <v>50</v>
      </c>
      <c r="H839" s="37" t="s">
        <v>1095</v>
      </c>
      <c r="I839" s="37"/>
      <c r="J839" s="37" t="s">
        <v>1096</v>
      </c>
      <c r="K839" s="32">
        <v>5</v>
      </c>
      <c r="L839" s="32">
        <v>5.7</v>
      </c>
      <c r="M839" s="32">
        <v>0.8</v>
      </c>
      <c r="N839" s="32">
        <v>11.5</v>
      </c>
      <c r="O839" s="33">
        <v>634.70000000000005</v>
      </c>
      <c r="P839" s="38" t="s">
        <v>1014</v>
      </c>
      <c r="Q839" s="34" t="str">
        <f>IF(MasterFees[[#This Row],[GST Basis]]="Excl",MasterFees[[#This Row],[Fee as Printed]],IF(MasterFees[[#This Row],[GST Basis]]="Incl",MasterFees[[#This Row],[Fee as Printed]]/(1+GST_Rate),""))</f>
        <v/>
      </c>
      <c r="R839" s="34" t="str">
        <f>IF(MasterFees[[#This Row],[GST Basis]]="Incl",MasterFees[[#This Row],[Fee as Printed]],IF(MasterFees[[#This Row],[GST Basis]]="Excl",MasterFees[[#This Row],[Fee as Printed]]*(1+GST_Rate),""))</f>
        <v/>
      </c>
      <c r="S839" s="35">
        <f>IF(N(MasterFees[[#This Row],[Total Units]])=0,"",MasterFees[[#This Row],[Fee as Printed]]/MasterFees[[#This Row],[Total Units]])</f>
        <v>55.19130434782609</v>
      </c>
      <c r="T839" s="36"/>
      <c r="U839" s="39" t="s">
        <v>1012</v>
      </c>
      <c r="V839" s="39" t="s">
        <v>1139</v>
      </c>
      <c r="W839" s="30"/>
      <c r="X839" s="73" t="s">
        <v>2921</v>
      </c>
      <c r="Y839" s="127" t="str">
        <f>_xlfn.XLOOKUP(MasterFees[[#This Row],[Provider / Payer]],Contracts[Contract Name],Contracts[Contract ID],"No contract")</f>
        <v>CON-01</v>
      </c>
      <c r="Z839" s="127" t="str">
        <f>_xlfn.XLOOKUP(MasterFees[[#This Row],[Provider / Payer]],Contracts[Contract Name],Contracts[Pricing Basis],"To confirm")</f>
        <v>To confirm</v>
      </c>
      <c r="AA839" s="127" t="str">
        <f>IF(MasterFees[[#This Row],[Pricing Basis]]="Fixed fee schedule","Yes","No")</f>
        <v>No</v>
      </c>
      <c r="AB839" s="127" t="str">
        <f>IF(OR(MasterFees[[#This Row],[Fee Basis]]="Add-on",MasterFees[[#This Row],[Fee Basis]]="Time band",MasterFees[[#This Row],[Fee Basis]]="Other"),MasterFees[[#This Row],[Fee Basis]],"Base")</f>
        <v>Base</v>
      </c>
      <c r="AC839" s="141" t="str">
        <f>IF(MasterFees[[#This Row],[Fixed Fee?]]="Yes",MasterFees[[#This Row],[Fee Excl. GST]],"")</f>
        <v/>
      </c>
    </row>
    <row r="840" spans="1:29" x14ac:dyDescent="0.2">
      <c r="A840" s="67" t="s">
        <v>2350</v>
      </c>
      <c r="B840" s="31">
        <f>IF(MasterFees[[#This Row],[RVG Code]]="","",_xlfn.XLOOKUP(MasterFees[[#This Row],[RVG Code]],RVGCodes[Code],RVGCodes[Base Units],"Code not found"))</f>
        <v>5</v>
      </c>
      <c r="C84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4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40" s="125" t="s">
        <v>2582</v>
      </c>
      <c r="F840" s="48" t="s">
        <v>2567</v>
      </c>
      <c r="G840" s="30" t="s">
        <v>51</v>
      </c>
      <c r="H840" s="37" t="s">
        <v>1095</v>
      </c>
      <c r="I840" s="37"/>
      <c r="J840" s="37" t="s">
        <v>1096</v>
      </c>
      <c r="K840" s="32">
        <v>5</v>
      </c>
      <c r="L840" s="32">
        <v>4.3</v>
      </c>
      <c r="M840" s="32">
        <v>1.2</v>
      </c>
      <c r="N840" s="32">
        <v>10.5</v>
      </c>
      <c r="O840" s="33">
        <v>575.29999999999995</v>
      </c>
      <c r="P840" s="38" t="s">
        <v>1014</v>
      </c>
      <c r="Q840" s="34" t="str">
        <f>IF(MasterFees[[#This Row],[GST Basis]]="Excl",MasterFees[[#This Row],[Fee as Printed]],IF(MasterFees[[#This Row],[GST Basis]]="Incl",MasterFees[[#This Row],[Fee as Printed]]/(1+GST_Rate),""))</f>
        <v/>
      </c>
      <c r="R840" s="34" t="str">
        <f>IF(MasterFees[[#This Row],[GST Basis]]="Incl",MasterFees[[#This Row],[Fee as Printed]],IF(MasterFees[[#This Row],[GST Basis]]="Excl",MasterFees[[#This Row],[Fee as Printed]]*(1+GST_Rate),""))</f>
        <v/>
      </c>
      <c r="S840" s="35">
        <f>IF(N(MasterFees[[#This Row],[Total Units]])=0,"",MasterFees[[#This Row],[Fee as Printed]]/MasterFees[[#This Row],[Total Units]])</f>
        <v>54.790476190476184</v>
      </c>
      <c r="T840" s="36"/>
      <c r="U840" s="39" t="s">
        <v>1012</v>
      </c>
      <c r="V840" s="39" t="s">
        <v>1140</v>
      </c>
      <c r="W840" s="30"/>
      <c r="X840" s="73" t="s">
        <v>2922</v>
      </c>
      <c r="Y840" s="127" t="str">
        <f>_xlfn.XLOOKUP(MasterFees[[#This Row],[Provider / Payer]],Contracts[Contract Name],Contracts[Contract ID],"No contract")</f>
        <v>CON-01</v>
      </c>
      <c r="Z840" s="127" t="str">
        <f>_xlfn.XLOOKUP(MasterFees[[#This Row],[Provider / Payer]],Contracts[Contract Name],Contracts[Pricing Basis],"To confirm")</f>
        <v>To confirm</v>
      </c>
      <c r="AA840" s="127" t="str">
        <f>IF(MasterFees[[#This Row],[Pricing Basis]]="Fixed fee schedule","Yes","No")</f>
        <v>No</v>
      </c>
      <c r="AB840" s="127" t="str">
        <f>IF(OR(MasterFees[[#This Row],[Fee Basis]]="Add-on",MasterFees[[#This Row],[Fee Basis]]="Time band",MasterFees[[#This Row],[Fee Basis]]="Other"),MasterFees[[#This Row],[Fee Basis]],"Base")</f>
        <v>Base</v>
      </c>
      <c r="AC840" s="141" t="str">
        <f>IF(MasterFees[[#This Row],[Fixed Fee?]]="Yes",MasterFees[[#This Row],[Fee Excl. GST]],"")</f>
        <v/>
      </c>
    </row>
    <row r="841" spans="1:29" x14ac:dyDescent="0.2">
      <c r="A841" s="67" t="s">
        <v>2350</v>
      </c>
      <c r="B841" s="31">
        <f>IF(MasterFees[[#This Row],[RVG Code]]="","",_xlfn.XLOOKUP(MasterFees[[#This Row],[RVG Code]],RVGCodes[Code],RVGCodes[Base Units],"Code not found"))</f>
        <v>5</v>
      </c>
      <c r="C84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4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41" s="125" t="s">
        <v>2582</v>
      </c>
      <c r="F841" s="48" t="s">
        <v>2567</v>
      </c>
      <c r="G841" s="30" t="s">
        <v>63</v>
      </c>
      <c r="H841" s="37" t="s">
        <v>1095</v>
      </c>
      <c r="I841" s="37"/>
      <c r="J841" s="37" t="s">
        <v>1096</v>
      </c>
      <c r="K841" s="32">
        <v>5</v>
      </c>
      <c r="L841" s="32">
        <v>5.6</v>
      </c>
      <c r="M841" s="32">
        <v>1.2</v>
      </c>
      <c r="N841" s="32">
        <v>11.8</v>
      </c>
      <c r="O841" s="33">
        <v>647.35</v>
      </c>
      <c r="P841" s="38" t="s">
        <v>1014</v>
      </c>
      <c r="Q841" s="34" t="str">
        <f>IF(MasterFees[[#This Row],[GST Basis]]="Excl",MasterFees[[#This Row],[Fee as Printed]],IF(MasterFees[[#This Row],[GST Basis]]="Incl",MasterFees[[#This Row],[Fee as Printed]]/(1+GST_Rate),""))</f>
        <v/>
      </c>
      <c r="R841" s="34" t="str">
        <f>IF(MasterFees[[#This Row],[GST Basis]]="Incl",MasterFees[[#This Row],[Fee as Printed]],IF(MasterFees[[#This Row],[GST Basis]]="Excl",MasterFees[[#This Row],[Fee as Printed]]*(1+GST_Rate),""))</f>
        <v/>
      </c>
      <c r="S841" s="35">
        <f>IF(N(MasterFees[[#This Row],[Total Units]])=0,"",MasterFees[[#This Row],[Fee as Printed]]/MasterFees[[#This Row],[Total Units]])</f>
        <v>54.860169491525426</v>
      </c>
      <c r="T841" s="36"/>
      <c r="U841" s="39" t="s">
        <v>1012</v>
      </c>
      <c r="V841" s="39" t="s">
        <v>1152</v>
      </c>
      <c r="W841" s="30"/>
      <c r="X841" s="73" t="s">
        <v>2934</v>
      </c>
      <c r="Y841" s="127" t="str">
        <f>_xlfn.XLOOKUP(MasterFees[[#This Row],[Provider / Payer]],Contracts[Contract Name],Contracts[Contract ID],"No contract")</f>
        <v>CON-01</v>
      </c>
      <c r="Z841" s="127" t="str">
        <f>_xlfn.XLOOKUP(MasterFees[[#This Row],[Provider / Payer]],Contracts[Contract Name],Contracts[Pricing Basis],"To confirm")</f>
        <v>To confirm</v>
      </c>
      <c r="AA841" s="127" t="str">
        <f>IF(MasterFees[[#This Row],[Pricing Basis]]="Fixed fee schedule","Yes","No")</f>
        <v>No</v>
      </c>
      <c r="AB841" s="127" t="str">
        <f>IF(OR(MasterFees[[#This Row],[Fee Basis]]="Add-on",MasterFees[[#This Row],[Fee Basis]]="Time band",MasterFees[[#This Row],[Fee Basis]]="Other"),MasterFees[[#This Row],[Fee Basis]],"Base")</f>
        <v>Base</v>
      </c>
      <c r="AC841" s="141" t="str">
        <f>IF(MasterFees[[#This Row],[Fixed Fee?]]="Yes",MasterFees[[#This Row],[Fee Excl. GST]],"")</f>
        <v/>
      </c>
    </row>
    <row r="842" spans="1:29" x14ac:dyDescent="0.2">
      <c r="A842" s="67" t="s">
        <v>2347</v>
      </c>
      <c r="B842" s="31">
        <f>IF(MasterFees[[#This Row],[RVG Code]]="","",_xlfn.XLOOKUP(MasterFees[[#This Row],[RVG Code]],RVGCodes[Code],RVGCodes[Base Units],"Code not found"))</f>
        <v>4</v>
      </c>
      <c r="C84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4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42" s="125" t="s">
        <v>2580</v>
      </c>
      <c r="F842" s="48" t="s">
        <v>2567</v>
      </c>
      <c r="G842" s="30" t="s">
        <v>67</v>
      </c>
      <c r="H842" s="37" t="s">
        <v>1095</v>
      </c>
      <c r="I842" s="37"/>
      <c r="J842" s="37" t="s">
        <v>1096</v>
      </c>
      <c r="K842" s="32">
        <v>4</v>
      </c>
      <c r="L842" s="32">
        <v>2.4</v>
      </c>
      <c r="M842" s="32">
        <v>0.4</v>
      </c>
      <c r="N842" s="32">
        <v>6.7</v>
      </c>
      <c r="O842" s="33">
        <v>370.7</v>
      </c>
      <c r="P842" s="38" t="s">
        <v>1014</v>
      </c>
      <c r="Q842" s="34" t="str">
        <f>IF(MasterFees[[#This Row],[GST Basis]]="Excl",MasterFees[[#This Row],[Fee as Printed]],IF(MasterFees[[#This Row],[GST Basis]]="Incl",MasterFees[[#This Row],[Fee as Printed]]/(1+GST_Rate),""))</f>
        <v/>
      </c>
      <c r="R842" s="34" t="str">
        <f>IF(MasterFees[[#This Row],[GST Basis]]="Incl",MasterFees[[#This Row],[Fee as Printed]],IF(MasterFees[[#This Row],[GST Basis]]="Excl",MasterFees[[#This Row],[Fee as Printed]]*(1+GST_Rate),""))</f>
        <v/>
      </c>
      <c r="S842" s="35">
        <f>IF(N(MasterFees[[#This Row],[Total Units]])=0,"",MasterFees[[#This Row],[Fee as Printed]]/MasterFees[[#This Row],[Total Units]])</f>
        <v>55.328358208955223</v>
      </c>
      <c r="T842" s="36"/>
      <c r="U842" s="39" t="s">
        <v>1012</v>
      </c>
      <c r="V842" s="39" t="s">
        <v>1156</v>
      </c>
      <c r="W842" s="30"/>
      <c r="X842" s="73" t="s">
        <v>2939</v>
      </c>
      <c r="Y842" s="127" t="str">
        <f>_xlfn.XLOOKUP(MasterFees[[#This Row],[Provider / Payer]],Contracts[Contract Name],Contracts[Contract ID],"No contract")</f>
        <v>CON-01</v>
      </c>
      <c r="Z842" s="127" t="str">
        <f>_xlfn.XLOOKUP(MasterFees[[#This Row],[Provider / Payer]],Contracts[Contract Name],Contracts[Pricing Basis],"To confirm")</f>
        <v>To confirm</v>
      </c>
      <c r="AA842" s="127" t="str">
        <f>IF(MasterFees[[#This Row],[Pricing Basis]]="Fixed fee schedule","Yes","No")</f>
        <v>No</v>
      </c>
      <c r="AB842" s="127" t="str">
        <f>IF(OR(MasterFees[[#This Row],[Fee Basis]]="Add-on",MasterFees[[#This Row],[Fee Basis]]="Time band",MasterFees[[#This Row],[Fee Basis]]="Other"),MasterFees[[#This Row],[Fee Basis]],"Base")</f>
        <v>Base</v>
      </c>
      <c r="AC842" s="141" t="str">
        <f>IF(MasterFees[[#This Row],[Fixed Fee?]]="Yes",MasterFees[[#This Row],[Fee Excl. GST]],"")</f>
        <v/>
      </c>
    </row>
    <row r="843" spans="1:29" x14ac:dyDescent="0.2">
      <c r="A843" s="67" t="s">
        <v>2350</v>
      </c>
      <c r="B843" s="31">
        <f>IF(MasterFees[[#This Row],[RVG Code]]="","",_xlfn.XLOOKUP(MasterFees[[#This Row],[RVG Code]],RVGCodes[Code],RVGCodes[Base Units],"Code not found"))</f>
        <v>5</v>
      </c>
      <c r="C84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4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43" s="125" t="s">
        <v>2582</v>
      </c>
      <c r="F843" s="48" t="s">
        <v>2567</v>
      </c>
      <c r="G843" s="30" t="s">
        <v>113</v>
      </c>
      <c r="H843" s="37" t="s">
        <v>1095</v>
      </c>
      <c r="I843" s="37"/>
      <c r="J843" s="37" t="s">
        <v>1096</v>
      </c>
      <c r="K843" s="32">
        <v>5</v>
      </c>
      <c r="L843" s="32">
        <v>4</v>
      </c>
      <c r="M843" s="32">
        <v>0</v>
      </c>
      <c r="N843" s="32">
        <v>9</v>
      </c>
      <c r="O843" s="33">
        <v>495</v>
      </c>
      <c r="P843" s="38" t="s">
        <v>1014</v>
      </c>
      <c r="Q843" s="34" t="str">
        <f>IF(MasterFees[[#This Row],[GST Basis]]="Excl",MasterFees[[#This Row],[Fee as Printed]],IF(MasterFees[[#This Row],[GST Basis]]="Incl",MasterFees[[#This Row],[Fee as Printed]]/(1+GST_Rate),""))</f>
        <v/>
      </c>
      <c r="R843" s="34" t="str">
        <f>IF(MasterFees[[#This Row],[GST Basis]]="Incl",MasterFees[[#This Row],[Fee as Printed]],IF(MasterFees[[#This Row],[GST Basis]]="Excl",MasterFees[[#This Row],[Fee as Printed]]*(1+GST_Rate),""))</f>
        <v/>
      </c>
      <c r="S843" s="35">
        <f>IF(N(MasterFees[[#This Row],[Total Units]])=0,"",MasterFees[[#This Row],[Fee as Printed]]/MasterFees[[#This Row],[Total Units]])</f>
        <v>55</v>
      </c>
      <c r="T843" s="36"/>
      <c r="U843" s="39" t="s">
        <v>1012</v>
      </c>
      <c r="V843" s="39" t="s">
        <v>1204</v>
      </c>
      <c r="W843" s="30"/>
      <c r="X843" s="73" t="s">
        <v>2987</v>
      </c>
      <c r="Y843" s="127" t="str">
        <f>_xlfn.XLOOKUP(MasterFees[[#This Row],[Provider / Payer]],Contracts[Contract Name],Contracts[Contract ID],"No contract")</f>
        <v>CON-01</v>
      </c>
      <c r="Z843" s="127" t="str">
        <f>_xlfn.XLOOKUP(MasterFees[[#This Row],[Provider / Payer]],Contracts[Contract Name],Contracts[Pricing Basis],"To confirm")</f>
        <v>To confirm</v>
      </c>
      <c r="AA843" s="127" t="str">
        <f>IF(MasterFees[[#This Row],[Pricing Basis]]="Fixed fee schedule","Yes","No")</f>
        <v>No</v>
      </c>
      <c r="AB843" s="127" t="str">
        <f>IF(OR(MasterFees[[#This Row],[Fee Basis]]="Add-on",MasterFees[[#This Row],[Fee Basis]]="Time band",MasterFees[[#This Row],[Fee Basis]]="Other"),MasterFees[[#This Row],[Fee Basis]],"Base")</f>
        <v>Base</v>
      </c>
      <c r="AC843" s="141" t="str">
        <f>IF(MasterFees[[#This Row],[Fixed Fee?]]="Yes",MasterFees[[#This Row],[Fee Excl. GST]],"")</f>
        <v/>
      </c>
    </row>
    <row r="844" spans="1:29" x14ac:dyDescent="0.2">
      <c r="A844" s="67" t="s">
        <v>2350</v>
      </c>
      <c r="B844" s="31">
        <f>IF(MasterFees[[#This Row],[RVG Code]]="","",_xlfn.XLOOKUP(MasterFees[[#This Row],[RVG Code]],RVGCodes[Code],RVGCodes[Base Units],"Code not found"))</f>
        <v>5</v>
      </c>
      <c r="C84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4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44" s="125" t="s">
        <v>2582</v>
      </c>
      <c r="F844" s="48" t="s">
        <v>2567</v>
      </c>
      <c r="G844" s="30" t="s">
        <v>132</v>
      </c>
      <c r="H844" s="37" t="s">
        <v>1095</v>
      </c>
      <c r="I844" s="37"/>
      <c r="J844" s="37" t="s">
        <v>1096</v>
      </c>
      <c r="K844" s="32">
        <v>4.4000000000000004</v>
      </c>
      <c r="L844" s="32">
        <v>2.7</v>
      </c>
      <c r="M844" s="32">
        <v>1</v>
      </c>
      <c r="N844" s="32">
        <v>8</v>
      </c>
      <c r="O844" s="33">
        <v>441.65</v>
      </c>
      <c r="P844" s="38" t="s">
        <v>1014</v>
      </c>
      <c r="Q844" s="34" t="str">
        <f>IF(MasterFees[[#This Row],[GST Basis]]="Excl",MasterFees[[#This Row],[Fee as Printed]],IF(MasterFees[[#This Row],[GST Basis]]="Incl",MasterFees[[#This Row],[Fee as Printed]]/(1+GST_Rate),""))</f>
        <v/>
      </c>
      <c r="R844" s="34" t="str">
        <f>IF(MasterFees[[#This Row],[GST Basis]]="Incl",MasterFees[[#This Row],[Fee as Printed]],IF(MasterFees[[#This Row],[GST Basis]]="Excl",MasterFees[[#This Row],[Fee as Printed]]*(1+GST_Rate),""))</f>
        <v/>
      </c>
      <c r="S844" s="35">
        <f>IF(N(MasterFees[[#This Row],[Total Units]])=0,"",MasterFees[[#This Row],[Fee as Printed]]/MasterFees[[#This Row],[Total Units]])</f>
        <v>55.206249999999997</v>
      </c>
      <c r="T844" s="36"/>
      <c r="U844" s="39" t="s">
        <v>1012</v>
      </c>
      <c r="V844" s="39" t="s">
        <v>1224</v>
      </c>
      <c r="W844" s="30"/>
      <c r="X844" s="73" t="s">
        <v>3007</v>
      </c>
      <c r="Y844" s="127" t="str">
        <f>_xlfn.XLOOKUP(MasterFees[[#This Row],[Provider / Payer]],Contracts[Contract Name],Contracts[Contract ID],"No contract")</f>
        <v>CON-01</v>
      </c>
      <c r="Z844" s="127" t="str">
        <f>_xlfn.XLOOKUP(MasterFees[[#This Row],[Provider / Payer]],Contracts[Contract Name],Contracts[Pricing Basis],"To confirm")</f>
        <v>To confirm</v>
      </c>
      <c r="AA844" s="127" t="str">
        <f>IF(MasterFees[[#This Row],[Pricing Basis]]="Fixed fee schedule","Yes","No")</f>
        <v>No</v>
      </c>
      <c r="AB844" s="127" t="str">
        <f>IF(OR(MasterFees[[#This Row],[Fee Basis]]="Add-on",MasterFees[[#This Row],[Fee Basis]]="Time band",MasterFees[[#This Row],[Fee Basis]]="Other"),MasterFees[[#This Row],[Fee Basis]],"Base")</f>
        <v>Base</v>
      </c>
      <c r="AC844" s="141" t="str">
        <f>IF(MasterFees[[#This Row],[Fixed Fee?]]="Yes",MasterFees[[#This Row],[Fee Excl. GST]],"")</f>
        <v/>
      </c>
    </row>
    <row r="845" spans="1:29" x14ac:dyDescent="0.2">
      <c r="A845" s="67" t="s">
        <v>2347</v>
      </c>
      <c r="B845" s="31">
        <f>IF(MasterFees[[#This Row],[RVG Code]]="","",_xlfn.XLOOKUP(MasterFees[[#This Row],[RVG Code]],RVGCodes[Code],RVGCodes[Base Units],"Code not found"))</f>
        <v>4</v>
      </c>
      <c r="C84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4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45" s="125" t="s">
        <v>2580</v>
      </c>
      <c r="F845" s="48" t="s">
        <v>2567</v>
      </c>
      <c r="G845" s="30" t="s">
        <v>167</v>
      </c>
      <c r="H845" s="37" t="s">
        <v>1095</v>
      </c>
      <c r="I845" s="37"/>
      <c r="J845" s="37" t="s">
        <v>1096</v>
      </c>
      <c r="K845" s="32">
        <v>4.0999999999999996</v>
      </c>
      <c r="L845" s="32">
        <v>3</v>
      </c>
      <c r="M845" s="32">
        <v>0.3</v>
      </c>
      <c r="N845" s="32">
        <v>7.3</v>
      </c>
      <c r="O845" s="33">
        <v>401.5</v>
      </c>
      <c r="P845" s="38" t="s">
        <v>1014</v>
      </c>
      <c r="Q845" s="34" t="str">
        <f>IF(MasterFees[[#This Row],[GST Basis]]="Excl",MasterFees[[#This Row],[Fee as Printed]],IF(MasterFees[[#This Row],[GST Basis]]="Incl",MasterFees[[#This Row],[Fee as Printed]]/(1+GST_Rate),""))</f>
        <v/>
      </c>
      <c r="R845" s="34" t="str">
        <f>IF(MasterFees[[#This Row],[GST Basis]]="Incl",MasterFees[[#This Row],[Fee as Printed]],IF(MasterFees[[#This Row],[GST Basis]]="Excl",MasterFees[[#This Row],[Fee as Printed]]*(1+GST_Rate),""))</f>
        <v/>
      </c>
      <c r="S845" s="35">
        <f>IF(N(MasterFees[[#This Row],[Total Units]])=0,"",MasterFees[[#This Row],[Fee as Printed]]/MasterFees[[#This Row],[Total Units]])</f>
        <v>55</v>
      </c>
      <c r="T845" s="36"/>
      <c r="U845" s="39" t="s">
        <v>1012</v>
      </c>
      <c r="V845" s="39" t="s">
        <v>1261</v>
      </c>
      <c r="W845" s="30"/>
      <c r="X845" s="73" t="s">
        <v>3046</v>
      </c>
      <c r="Y845" s="127" t="str">
        <f>_xlfn.XLOOKUP(MasterFees[[#This Row],[Provider / Payer]],Contracts[Contract Name],Contracts[Contract ID],"No contract")</f>
        <v>CON-01</v>
      </c>
      <c r="Z845" s="127" t="str">
        <f>_xlfn.XLOOKUP(MasterFees[[#This Row],[Provider / Payer]],Contracts[Contract Name],Contracts[Pricing Basis],"To confirm")</f>
        <v>To confirm</v>
      </c>
      <c r="AA845" s="127" t="str">
        <f>IF(MasterFees[[#This Row],[Pricing Basis]]="Fixed fee schedule","Yes","No")</f>
        <v>No</v>
      </c>
      <c r="AB845" s="127" t="str">
        <f>IF(OR(MasterFees[[#This Row],[Fee Basis]]="Add-on",MasterFees[[#This Row],[Fee Basis]]="Time band",MasterFees[[#This Row],[Fee Basis]]="Other"),MasterFees[[#This Row],[Fee Basis]],"Base")</f>
        <v>Base</v>
      </c>
      <c r="AC845" s="141" t="str">
        <f>IF(MasterFees[[#This Row],[Fixed Fee?]]="Yes",MasterFees[[#This Row],[Fee Excl. GST]],"")</f>
        <v/>
      </c>
    </row>
    <row r="846" spans="1:29" x14ac:dyDescent="0.2">
      <c r="A846" s="67" t="s">
        <v>2347</v>
      </c>
      <c r="B846" s="31">
        <f>IF(MasterFees[[#This Row],[RVG Code]]="","",_xlfn.XLOOKUP(MasterFees[[#This Row],[RVG Code]],RVGCodes[Code],RVGCodes[Base Units],"Code not found"))</f>
        <v>4</v>
      </c>
      <c r="C84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4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46" s="125" t="s">
        <v>2580</v>
      </c>
      <c r="F846" s="48" t="s">
        <v>2567</v>
      </c>
      <c r="G846" s="30" t="s">
        <v>168</v>
      </c>
      <c r="H846" s="37" t="s">
        <v>1095</v>
      </c>
      <c r="I846" s="37"/>
      <c r="J846" s="37" t="s">
        <v>1096</v>
      </c>
      <c r="K846" s="32">
        <v>4</v>
      </c>
      <c r="L846" s="32">
        <v>2</v>
      </c>
      <c r="M846" s="32">
        <v>0</v>
      </c>
      <c r="N846" s="32">
        <v>6</v>
      </c>
      <c r="O846" s="33">
        <v>330</v>
      </c>
      <c r="P846" s="38" t="s">
        <v>1014</v>
      </c>
      <c r="Q846" s="34" t="str">
        <f>IF(MasterFees[[#This Row],[GST Basis]]="Excl",MasterFees[[#This Row],[Fee as Printed]],IF(MasterFees[[#This Row],[GST Basis]]="Incl",MasterFees[[#This Row],[Fee as Printed]]/(1+GST_Rate),""))</f>
        <v/>
      </c>
      <c r="R846" s="34" t="str">
        <f>IF(MasterFees[[#This Row],[GST Basis]]="Incl",MasterFees[[#This Row],[Fee as Printed]],IF(MasterFees[[#This Row],[GST Basis]]="Excl",MasterFees[[#This Row],[Fee as Printed]]*(1+GST_Rate),""))</f>
        <v/>
      </c>
      <c r="S846" s="35">
        <f>IF(N(MasterFees[[#This Row],[Total Units]])=0,"",MasterFees[[#This Row],[Fee as Printed]]/MasterFees[[#This Row],[Total Units]])</f>
        <v>55</v>
      </c>
      <c r="T846" s="36"/>
      <c r="U846" s="39" t="s">
        <v>1012</v>
      </c>
      <c r="V846" s="39" t="s">
        <v>1262</v>
      </c>
      <c r="W846" s="30"/>
      <c r="X846" s="73" t="s">
        <v>3047</v>
      </c>
      <c r="Y846" s="127" t="str">
        <f>_xlfn.XLOOKUP(MasterFees[[#This Row],[Provider / Payer]],Contracts[Contract Name],Contracts[Contract ID],"No contract")</f>
        <v>CON-01</v>
      </c>
      <c r="Z846" s="127" t="str">
        <f>_xlfn.XLOOKUP(MasterFees[[#This Row],[Provider / Payer]],Contracts[Contract Name],Contracts[Pricing Basis],"To confirm")</f>
        <v>To confirm</v>
      </c>
      <c r="AA846" s="127" t="str">
        <f>IF(MasterFees[[#This Row],[Pricing Basis]]="Fixed fee schedule","Yes","No")</f>
        <v>No</v>
      </c>
      <c r="AB846" s="127" t="str">
        <f>IF(OR(MasterFees[[#This Row],[Fee Basis]]="Add-on",MasterFees[[#This Row],[Fee Basis]]="Time band",MasterFees[[#This Row],[Fee Basis]]="Other"),MasterFees[[#This Row],[Fee Basis]],"Base")</f>
        <v>Base</v>
      </c>
      <c r="AC846" s="141" t="str">
        <f>IF(MasterFees[[#This Row],[Fixed Fee?]]="Yes",MasterFees[[#This Row],[Fee Excl. GST]],"")</f>
        <v/>
      </c>
    </row>
    <row r="847" spans="1:29" x14ac:dyDescent="0.2">
      <c r="A847" s="67" t="s">
        <v>2347</v>
      </c>
      <c r="B847" s="31">
        <f>IF(MasterFees[[#This Row],[RVG Code]]="","",_xlfn.XLOOKUP(MasterFees[[#This Row],[RVG Code]],RVGCodes[Code],RVGCodes[Base Units],"Code not found"))</f>
        <v>4</v>
      </c>
      <c r="C84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4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47" s="125" t="s">
        <v>2580</v>
      </c>
      <c r="F847" s="48" t="s">
        <v>2567</v>
      </c>
      <c r="G847" s="30" t="s">
        <v>209</v>
      </c>
      <c r="H847" s="37" t="s">
        <v>1095</v>
      </c>
      <c r="I847" s="37"/>
      <c r="J847" s="37" t="s">
        <v>1096</v>
      </c>
      <c r="K847" s="32">
        <v>4.3</v>
      </c>
      <c r="L847" s="32">
        <v>2</v>
      </c>
      <c r="M847" s="32">
        <v>1.3</v>
      </c>
      <c r="N847" s="32">
        <v>7.7</v>
      </c>
      <c r="O847" s="33">
        <v>421.3</v>
      </c>
      <c r="P847" s="38" t="s">
        <v>1014</v>
      </c>
      <c r="Q847" s="34" t="str">
        <f>IF(MasterFees[[#This Row],[GST Basis]]="Excl",MasterFees[[#This Row],[Fee as Printed]],IF(MasterFees[[#This Row],[GST Basis]]="Incl",MasterFees[[#This Row],[Fee as Printed]]/(1+GST_Rate),""))</f>
        <v/>
      </c>
      <c r="R847" s="34" t="str">
        <f>IF(MasterFees[[#This Row],[GST Basis]]="Incl",MasterFees[[#This Row],[Fee as Printed]],IF(MasterFees[[#This Row],[GST Basis]]="Excl",MasterFees[[#This Row],[Fee as Printed]]*(1+GST_Rate),""))</f>
        <v/>
      </c>
      <c r="S847" s="35">
        <f>IF(N(MasterFees[[#This Row],[Total Units]])=0,"",MasterFees[[#This Row],[Fee as Printed]]/MasterFees[[#This Row],[Total Units]])</f>
        <v>54.714285714285715</v>
      </c>
      <c r="T847" s="36"/>
      <c r="U847" s="39" t="s">
        <v>1012</v>
      </c>
      <c r="V847" s="39" t="s">
        <v>1303</v>
      </c>
      <c r="W847" s="30"/>
      <c r="X847" s="73" t="s">
        <v>3088</v>
      </c>
      <c r="Y847" s="127" t="str">
        <f>_xlfn.XLOOKUP(MasterFees[[#This Row],[Provider / Payer]],Contracts[Contract Name],Contracts[Contract ID],"No contract")</f>
        <v>CON-01</v>
      </c>
      <c r="Z847" s="127" t="str">
        <f>_xlfn.XLOOKUP(MasterFees[[#This Row],[Provider / Payer]],Contracts[Contract Name],Contracts[Pricing Basis],"To confirm")</f>
        <v>To confirm</v>
      </c>
      <c r="AA847" s="127" t="str">
        <f>IF(MasterFees[[#This Row],[Pricing Basis]]="Fixed fee schedule","Yes","No")</f>
        <v>No</v>
      </c>
      <c r="AB847" s="127" t="str">
        <f>IF(OR(MasterFees[[#This Row],[Fee Basis]]="Add-on",MasterFees[[#This Row],[Fee Basis]]="Time band",MasterFees[[#This Row],[Fee Basis]]="Other"),MasterFees[[#This Row],[Fee Basis]],"Base")</f>
        <v>Base</v>
      </c>
      <c r="AC847" s="141" t="str">
        <f>IF(MasterFees[[#This Row],[Fixed Fee?]]="Yes",MasterFees[[#This Row],[Fee Excl. GST]],"")</f>
        <v/>
      </c>
    </row>
    <row r="848" spans="1:29" x14ac:dyDescent="0.2">
      <c r="A848" s="67" t="s">
        <v>2350</v>
      </c>
      <c r="B848" s="31">
        <f>IF(MasterFees[[#This Row],[RVG Code]]="","",_xlfn.XLOOKUP(MasterFees[[#This Row],[RVG Code]],RVGCodes[Code],RVGCodes[Base Units],"Code not found"))</f>
        <v>5</v>
      </c>
      <c r="C84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4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48" s="125" t="s">
        <v>2582</v>
      </c>
      <c r="F848" s="48" t="s">
        <v>2569</v>
      </c>
      <c r="G848" s="30" t="s">
        <v>226</v>
      </c>
      <c r="H848" s="37" t="s">
        <v>1095</v>
      </c>
      <c r="I848" s="37"/>
      <c r="J848" s="37" t="s">
        <v>1096</v>
      </c>
      <c r="K848" s="32">
        <v>5</v>
      </c>
      <c r="L848" s="32">
        <v>4.7</v>
      </c>
      <c r="M848" s="32">
        <v>0.5</v>
      </c>
      <c r="N848" s="32">
        <v>10.1</v>
      </c>
      <c r="O848" s="33">
        <v>557.70000000000005</v>
      </c>
      <c r="P848" s="38" t="s">
        <v>1014</v>
      </c>
      <c r="Q848" s="34" t="str">
        <f>IF(MasterFees[[#This Row],[GST Basis]]="Excl",MasterFees[[#This Row],[Fee as Printed]],IF(MasterFees[[#This Row],[GST Basis]]="Incl",MasterFees[[#This Row],[Fee as Printed]]/(1+GST_Rate),""))</f>
        <v/>
      </c>
      <c r="R848" s="34" t="str">
        <f>IF(MasterFees[[#This Row],[GST Basis]]="Incl",MasterFees[[#This Row],[Fee as Printed]],IF(MasterFees[[#This Row],[GST Basis]]="Excl",MasterFees[[#This Row],[Fee as Printed]]*(1+GST_Rate),""))</f>
        <v/>
      </c>
      <c r="S848" s="35">
        <f>IF(N(MasterFees[[#This Row],[Total Units]])=0,"",MasterFees[[#This Row],[Fee as Printed]]/MasterFees[[#This Row],[Total Units]])</f>
        <v>55.217821782178227</v>
      </c>
      <c r="T848" s="36"/>
      <c r="U848" s="39" t="s">
        <v>1012</v>
      </c>
      <c r="V848" s="39" t="s">
        <v>1320</v>
      </c>
      <c r="W848" s="30"/>
      <c r="X848" s="73" t="s">
        <v>3109</v>
      </c>
      <c r="Y848" s="127" t="str">
        <f>_xlfn.XLOOKUP(MasterFees[[#This Row],[Provider / Payer]],Contracts[Contract Name],Contracts[Contract ID],"No contract")</f>
        <v>CON-01</v>
      </c>
      <c r="Z848" s="127" t="str">
        <f>_xlfn.XLOOKUP(MasterFees[[#This Row],[Provider / Payer]],Contracts[Contract Name],Contracts[Pricing Basis],"To confirm")</f>
        <v>To confirm</v>
      </c>
      <c r="AA848" s="127" t="str">
        <f>IF(MasterFees[[#This Row],[Pricing Basis]]="Fixed fee schedule","Yes","No")</f>
        <v>No</v>
      </c>
      <c r="AB848" s="127" t="str">
        <f>IF(OR(MasterFees[[#This Row],[Fee Basis]]="Add-on",MasterFees[[#This Row],[Fee Basis]]="Time band",MasterFees[[#This Row],[Fee Basis]]="Other"),MasterFees[[#This Row],[Fee Basis]],"Base")</f>
        <v>Base</v>
      </c>
      <c r="AC848" s="141" t="str">
        <f>IF(MasterFees[[#This Row],[Fixed Fee?]]="Yes",MasterFees[[#This Row],[Fee Excl. GST]],"")</f>
        <v/>
      </c>
    </row>
    <row r="849" spans="1:29" x14ac:dyDescent="0.2">
      <c r="A849" s="67" t="s">
        <v>2347</v>
      </c>
      <c r="B849" s="31">
        <f>IF(MasterFees[[#This Row],[RVG Code]]="","",_xlfn.XLOOKUP(MasterFees[[#This Row],[RVG Code]],RVGCodes[Code],RVGCodes[Base Units],"Code not found"))</f>
        <v>4</v>
      </c>
      <c r="C84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4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49" s="125" t="s">
        <v>2580</v>
      </c>
      <c r="F849" s="48" t="s">
        <v>2569</v>
      </c>
      <c r="G849" s="30" t="s">
        <v>227</v>
      </c>
      <c r="H849" s="37" t="s">
        <v>1095</v>
      </c>
      <c r="I849" s="37"/>
      <c r="J849" s="37" t="s">
        <v>1096</v>
      </c>
      <c r="K849" s="32">
        <v>4.0999999999999996</v>
      </c>
      <c r="L849" s="32">
        <v>2.7</v>
      </c>
      <c r="M849" s="32">
        <v>0.8</v>
      </c>
      <c r="N849" s="32">
        <v>7.6</v>
      </c>
      <c r="O849" s="33">
        <v>419.1</v>
      </c>
      <c r="P849" s="38" t="s">
        <v>1014</v>
      </c>
      <c r="Q849" s="34" t="str">
        <f>IF(MasterFees[[#This Row],[GST Basis]]="Excl",MasterFees[[#This Row],[Fee as Printed]],IF(MasterFees[[#This Row],[GST Basis]]="Incl",MasterFees[[#This Row],[Fee as Printed]]/(1+GST_Rate),""))</f>
        <v/>
      </c>
      <c r="R849" s="34" t="str">
        <f>IF(MasterFees[[#This Row],[GST Basis]]="Incl",MasterFees[[#This Row],[Fee as Printed]],IF(MasterFees[[#This Row],[GST Basis]]="Excl",MasterFees[[#This Row],[Fee as Printed]]*(1+GST_Rate),""))</f>
        <v/>
      </c>
      <c r="S849" s="35">
        <f>IF(N(MasterFees[[#This Row],[Total Units]])=0,"",MasterFees[[#This Row],[Fee as Printed]]/MasterFees[[#This Row],[Total Units]])</f>
        <v>55.144736842105267</v>
      </c>
      <c r="T849" s="36"/>
      <c r="U849" s="39" t="s">
        <v>1012</v>
      </c>
      <c r="V849" s="39" t="s">
        <v>1321</v>
      </c>
      <c r="W849" s="30"/>
      <c r="X849" s="73" t="s">
        <v>3110</v>
      </c>
      <c r="Y849" s="127" t="str">
        <f>_xlfn.XLOOKUP(MasterFees[[#This Row],[Provider / Payer]],Contracts[Contract Name],Contracts[Contract ID],"No contract")</f>
        <v>CON-01</v>
      </c>
      <c r="Z849" s="127" t="str">
        <f>_xlfn.XLOOKUP(MasterFees[[#This Row],[Provider / Payer]],Contracts[Contract Name],Contracts[Pricing Basis],"To confirm")</f>
        <v>To confirm</v>
      </c>
      <c r="AA849" s="127" t="str">
        <f>IF(MasterFees[[#This Row],[Pricing Basis]]="Fixed fee schedule","Yes","No")</f>
        <v>No</v>
      </c>
      <c r="AB849" s="127" t="str">
        <f>IF(OR(MasterFees[[#This Row],[Fee Basis]]="Add-on",MasterFees[[#This Row],[Fee Basis]]="Time band",MasterFees[[#This Row],[Fee Basis]]="Other"),MasterFees[[#This Row],[Fee Basis]],"Base")</f>
        <v>Base</v>
      </c>
      <c r="AC849" s="141" t="str">
        <f>IF(MasterFees[[#This Row],[Fixed Fee?]]="Yes",MasterFees[[#This Row],[Fee Excl. GST]],"")</f>
        <v/>
      </c>
    </row>
    <row r="850" spans="1:29" x14ac:dyDescent="0.2">
      <c r="A850" s="67" t="s">
        <v>2347</v>
      </c>
      <c r="B850" s="31">
        <f>IF(MasterFees[[#This Row],[RVG Code]]="","",_xlfn.XLOOKUP(MasterFees[[#This Row],[RVG Code]],RVGCodes[Code],RVGCodes[Base Units],"Code not found"))</f>
        <v>4</v>
      </c>
      <c r="C85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5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50" s="125" t="s">
        <v>2580</v>
      </c>
      <c r="F850" s="48" t="s">
        <v>2569</v>
      </c>
      <c r="G850" s="30" t="s">
        <v>228</v>
      </c>
      <c r="H850" s="37" t="s">
        <v>1095</v>
      </c>
      <c r="I850" s="37"/>
      <c r="J850" s="37" t="s">
        <v>1096</v>
      </c>
      <c r="K850" s="32">
        <v>4.3</v>
      </c>
      <c r="L850" s="32">
        <v>3.7</v>
      </c>
      <c r="M850" s="32">
        <v>0.3</v>
      </c>
      <c r="N850" s="32">
        <v>8.3000000000000007</v>
      </c>
      <c r="O850" s="33">
        <v>457.6</v>
      </c>
      <c r="P850" s="38" t="s">
        <v>1014</v>
      </c>
      <c r="Q850" s="34" t="str">
        <f>IF(MasterFees[[#This Row],[GST Basis]]="Excl",MasterFees[[#This Row],[Fee as Printed]],IF(MasterFees[[#This Row],[GST Basis]]="Incl",MasterFees[[#This Row],[Fee as Printed]]/(1+GST_Rate),""))</f>
        <v/>
      </c>
      <c r="R850" s="34" t="str">
        <f>IF(MasterFees[[#This Row],[GST Basis]]="Incl",MasterFees[[#This Row],[Fee as Printed]],IF(MasterFees[[#This Row],[GST Basis]]="Excl",MasterFees[[#This Row],[Fee as Printed]]*(1+GST_Rate),""))</f>
        <v/>
      </c>
      <c r="S850" s="35">
        <f>IF(N(MasterFees[[#This Row],[Total Units]])=0,"",MasterFees[[#This Row],[Fee as Printed]]/MasterFees[[#This Row],[Total Units]])</f>
        <v>55.132530120481924</v>
      </c>
      <c r="T850" s="36"/>
      <c r="U850" s="39" t="s">
        <v>1012</v>
      </c>
      <c r="V850" s="39" t="s">
        <v>1322</v>
      </c>
      <c r="W850" s="30"/>
      <c r="X850" s="73" t="s">
        <v>3111</v>
      </c>
      <c r="Y850" s="127" t="str">
        <f>_xlfn.XLOOKUP(MasterFees[[#This Row],[Provider / Payer]],Contracts[Contract Name],Contracts[Contract ID],"No contract")</f>
        <v>CON-01</v>
      </c>
      <c r="Z850" s="127" t="str">
        <f>_xlfn.XLOOKUP(MasterFees[[#This Row],[Provider / Payer]],Contracts[Contract Name],Contracts[Pricing Basis],"To confirm")</f>
        <v>To confirm</v>
      </c>
      <c r="AA850" s="127" t="str">
        <f>IF(MasterFees[[#This Row],[Pricing Basis]]="Fixed fee schedule","Yes","No")</f>
        <v>No</v>
      </c>
      <c r="AB850" s="127" t="str">
        <f>IF(OR(MasterFees[[#This Row],[Fee Basis]]="Add-on",MasterFees[[#This Row],[Fee Basis]]="Time band",MasterFees[[#This Row],[Fee Basis]]="Other"),MasterFees[[#This Row],[Fee Basis]],"Base")</f>
        <v>Base</v>
      </c>
      <c r="AC850" s="141" t="str">
        <f>IF(MasterFees[[#This Row],[Fixed Fee?]]="Yes",MasterFees[[#This Row],[Fee Excl. GST]],"")</f>
        <v/>
      </c>
    </row>
    <row r="851" spans="1:29" x14ac:dyDescent="0.2">
      <c r="A851" s="67" t="s">
        <v>2350</v>
      </c>
      <c r="B851" s="31">
        <f>IF(MasterFees[[#This Row],[RVG Code]]="","",_xlfn.XLOOKUP(MasterFees[[#This Row],[RVG Code]],RVGCodes[Code],RVGCodes[Base Units],"Code not found"))</f>
        <v>5</v>
      </c>
      <c r="C85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5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51" s="125" t="s">
        <v>2582</v>
      </c>
      <c r="F851" s="48" t="s">
        <v>2567</v>
      </c>
      <c r="G851" s="30" t="s">
        <v>229</v>
      </c>
      <c r="H851" s="37" t="s">
        <v>1095</v>
      </c>
      <c r="I851" s="37"/>
      <c r="J851" s="37" t="s">
        <v>1096</v>
      </c>
      <c r="K851" s="32">
        <v>0</v>
      </c>
      <c r="L851" s="32">
        <v>1</v>
      </c>
      <c r="M851" s="32">
        <v>0</v>
      </c>
      <c r="N851" s="32">
        <v>1</v>
      </c>
      <c r="O851" s="33">
        <v>55</v>
      </c>
      <c r="P851" s="38" t="s">
        <v>1014</v>
      </c>
      <c r="Q851" s="34" t="str">
        <f>IF(MasterFees[[#This Row],[GST Basis]]="Excl",MasterFees[[#This Row],[Fee as Printed]],IF(MasterFees[[#This Row],[GST Basis]]="Incl",MasterFees[[#This Row],[Fee as Printed]]/(1+GST_Rate),""))</f>
        <v/>
      </c>
      <c r="R851" s="34" t="str">
        <f>IF(MasterFees[[#This Row],[GST Basis]]="Incl",MasterFees[[#This Row],[Fee as Printed]],IF(MasterFees[[#This Row],[GST Basis]]="Excl",MasterFees[[#This Row],[Fee as Printed]]*(1+GST_Rate),""))</f>
        <v/>
      </c>
      <c r="S851" s="35">
        <f>IF(N(MasterFees[[#This Row],[Total Units]])=0,"",MasterFees[[#This Row],[Fee as Printed]]/MasterFees[[#This Row],[Total Units]])</f>
        <v>55</v>
      </c>
      <c r="T851" s="36"/>
      <c r="U851" s="39" t="s">
        <v>1012</v>
      </c>
      <c r="V851" s="39" t="s">
        <v>1323</v>
      </c>
      <c r="W851" s="30"/>
      <c r="X851" s="73" t="s">
        <v>3112</v>
      </c>
      <c r="Y851" s="127" t="str">
        <f>_xlfn.XLOOKUP(MasterFees[[#This Row],[Provider / Payer]],Contracts[Contract Name],Contracts[Contract ID],"No contract")</f>
        <v>CON-01</v>
      </c>
      <c r="Z851" s="127" t="str">
        <f>_xlfn.XLOOKUP(MasterFees[[#This Row],[Provider / Payer]],Contracts[Contract Name],Contracts[Pricing Basis],"To confirm")</f>
        <v>To confirm</v>
      </c>
      <c r="AA851" s="127" t="str">
        <f>IF(MasterFees[[#This Row],[Pricing Basis]]="Fixed fee schedule","Yes","No")</f>
        <v>No</v>
      </c>
      <c r="AB851" s="127" t="str">
        <f>IF(OR(MasterFees[[#This Row],[Fee Basis]]="Add-on",MasterFees[[#This Row],[Fee Basis]]="Time band",MasterFees[[#This Row],[Fee Basis]]="Other"),MasterFees[[#This Row],[Fee Basis]],"Base")</f>
        <v>Base</v>
      </c>
      <c r="AC851" s="141" t="str">
        <f>IF(MasterFees[[#This Row],[Fixed Fee?]]="Yes",MasterFees[[#This Row],[Fee Excl. GST]],"")</f>
        <v/>
      </c>
    </row>
    <row r="852" spans="1:29" x14ac:dyDescent="0.2">
      <c r="A852" s="67" t="s">
        <v>2347</v>
      </c>
      <c r="B852" s="31">
        <f>IF(MasterFees[[#This Row],[RVG Code]]="","",_xlfn.XLOOKUP(MasterFees[[#This Row],[RVG Code]],RVGCodes[Code],RVGCodes[Base Units],"Code not found"))</f>
        <v>4</v>
      </c>
      <c r="C85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5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52" s="125" t="s">
        <v>2580</v>
      </c>
      <c r="F852" s="48" t="s">
        <v>2569</v>
      </c>
      <c r="G852" s="30" t="s">
        <v>230</v>
      </c>
      <c r="H852" s="37" t="s">
        <v>1095</v>
      </c>
      <c r="I852" s="37"/>
      <c r="J852" s="37" t="s">
        <v>1096</v>
      </c>
      <c r="K852" s="32">
        <v>4</v>
      </c>
      <c r="L852" s="32">
        <v>1.8</v>
      </c>
      <c r="M852" s="32">
        <v>0.4</v>
      </c>
      <c r="N852" s="32">
        <v>6.1</v>
      </c>
      <c r="O852" s="33">
        <v>336.6</v>
      </c>
      <c r="P852" s="38" t="s">
        <v>1014</v>
      </c>
      <c r="Q852" s="34" t="str">
        <f>IF(MasterFees[[#This Row],[GST Basis]]="Excl",MasterFees[[#This Row],[Fee as Printed]],IF(MasterFees[[#This Row],[GST Basis]]="Incl",MasterFees[[#This Row],[Fee as Printed]]/(1+GST_Rate),""))</f>
        <v/>
      </c>
      <c r="R852" s="34" t="str">
        <f>IF(MasterFees[[#This Row],[GST Basis]]="Incl",MasterFees[[#This Row],[Fee as Printed]],IF(MasterFees[[#This Row],[GST Basis]]="Excl",MasterFees[[#This Row],[Fee as Printed]]*(1+GST_Rate),""))</f>
        <v/>
      </c>
      <c r="S852" s="35">
        <f>IF(N(MasterFees[[#This Row],[Total Units]])=0,"",MasterFees[[#This Row],[Fee as Printed]]/MasterFees[[#This Row],[Total Units]])</f>
        <v>55.180327868852466</v>
      </c>
      <c r="T852" s="36"/>
      <c r="U852" s="39" t="s">
        <v>1012</v>
      </c>
      <c r="V852" s="39" t="s">
        <v>1324</v>
      </c>
      <c r="W852" s="30"/>
      <c r="X852" s="73" t="s">
        <v>3113</v>
      </c>
      <c r="Y852" s="127" t="str">
        <f>_xlfn.XLOOKUP(MasterFees[[#This Row],[Provider / Payer]],Contracts[Contract Name],Contracts[Contract ID],"No contract")</f>
        <v>CON-01</v>
      </c>
      <c r="Z852" s="127" t="str">
        <f>_xlfn.XLOOKUP(MasterFees[[#This Row],[Provider / Payer]],Contracts[Contract Name],Contracts[Pricing Basis],"To confirm")</f>
        <v>To confirm</v>
      </c>
      <c r="AA852" s="127" t="str">
        <f>IF(MasterFees[[#This Row],[Pricing Basis]]="Fixed fee schedule","Yes","No")</f>
        <v>No</v>
      </c>
      <c r="AB852" s="127" t="str">
        <f>IF(OR(MasterFees[[#This Row],[Fee Basis]]="Add-on",MasterFees[[#This Row],[Fee Basis]]="Time band",MasterFees[[#This Row],[Fee Basis]]="Other"),MasterFees[[#This Row],[Fee Basis]],"Base")</f>
        <v>Base</v>
      </c>
      <c r="AC852" s="141" t="str">
        <f>IF(MasterFees[[#This Row],[Fixed Fee?]]="Yes",MasterFees[[#This Row],[Fee Excl. GST]],"")</f>
        <v/>
      </c>
    </row>
    <row r="853" spans="1:29" x14ac:dyDescent="0.2">
      <c r="A853" s="67" t="s">
        <v>2347</v>
      </c>
      <c r="B853" s="31">
        <f>IF(MasterFees[[#This Row],[RVG Code]]="","",_xlfn.XLOOKUP(MasterFees[[#This Row],[RVG Code]],RVGCodes[Code],RVGCodes[Base Units],"Code not found"))</f>
        <v>4</v>
      </c>
      <c r="C85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5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53" s="125" t="s">
        <v>2580</v>
      </c>
      <c r="F853" s="48" t="s">
        <v>2569</v>
      </c>
      <c r="G853" s="30" t="s">
        <v>231</v>
      </c>
      <c r="H853" s="37" t="s">
        <v>1095</v>
      </c>
      <c r="I853" s="37"/>
      <c r="J853" s="37" t="s">
        <v>1096</v>
      </c>
      <c r="K853" s="32">
        <v>4.3</v>
      </c>
      <c r="L853" s="32">
        <v>2</v>
      </c>
      <c r="M853" s="32">
        <v>0</v>
      </c>
      <c r="N853" s="32">
        <v>6.3</v>
      </c>
      <c r="O853" s="33">
        <v>343.75</v>
      </c>
      <c r="P853" s="38" t="s">
        <v>1014</v>
      </c>
      <c r="Q853" s="34" t="str">
        <f>IF(MasterFees[[#This Row],[GST Basis]]="Excl",MasterFees[[#This Row],[Fee as Printed]],IF(MasterFees[[#This Row],[GST Basis]]="Incl",MasterFees[[#This Row],[Fee as Printed]]/(1+GST_Rate),""))</f>
        <v/>
      </c>
      <c r="R853" s="34" t="str">
        <f>IF(MasterFees[[#This Row],[GST Basis]]="Incl",MasterFees[[#This Row],[Fee as Printed]],IF(MasterFees[[#This Row],[GST Basis]]="Excl",MasterFees[[#This Row],[Fee as Printed]]*(1+GST_Rate),""))</f>
        <v/>
      </c>
      <c r="S853" s="35">
        <f>IF(N(MasterFees[[#This Row],[Total Units]])=0,"",MasterFees[[#This Row],[Fee as Printed]]/MasterFees[[#This Row],[Total Units]])</f>
        <v>54.563492063492063</v>
      </c>
      <c r="T853" s="36"/>
      <c r="U853" s="39" t="s">
        <v>1012</v>
      </c>
      <c r="V853" s="39" t="s">
        <v>1325</v>
      </c>
      <c r="W853" s="30"/>
      <c r="X853" s="73" t="s">
        <v>3114</v>
      </c>
      <c r="Y853" s="127" t="str">
        <f>_xlfn.XLOOKUP(MasterFees[[#This Row],[Provider / Payer]],Contracts[Contract Name],Contracts[Contract ID],"No contract")</f>
        <v>CON-01</v>
      </c>
      <c r="Z853" s="127" t="str">
        <f>_xlfn.XLOOKUP(MasterFees[[#This Row],[Provider / Payer]],Contracts[Contract Name],Contracts[Pricing Basis],"To confirm")</f>
        <v>To confirm</v>
      </c>
      <c r="AA853" s="127" t="str">
        <f>IF(MasterFees[[#This Row],[Pricing Basis]]="Fixed fee schedule","Yes","No")</f>
        <v>No</v>
      </c>
      <c r="AB853" s="127" t="str">
        <f>IF(OR(MasterFees[[#This Row],[Fee Basis]]="Add-on",MasterFees[[#This Row],[Fee Basis]]="Time band",MasterFees[[#This Row],[Fee Basis]]="Other"),MasterFees[[#This Row],[Fee Basis]],"Base")</f>
        <v>Base</v>
      </c>
      <c r="AC853" s="141" t="str">
        <f>IF(MasterFees[[#This Row],[Fixed Fee?]]="Yes",MasterFees[[#This Row],[Fee Excl. GST]],"")</f>
        <v/>
      </c>
    </row>
    <row r="854" spans="1:29" x14ac:dyDescent="0.2">
      <c r="A854" s="67" t="s">
        <v>2350</v>
      </c>
      <c r="B854" s="31">
        <f>IF(MasterFees[[#This Row],[RVG Code]]="","",_xlfn.XLOOKUP(MasterFees[[#This Row],[RVG Code]],RVGCodes[Code],RVGCodes[Base Units],"Code not found"))</f>
        <v>5</v>
      </c>
      <c r="C85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5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54" s="125" t="s">
        <v>2582</v>
      </c>
      <c r="F854" s="48" t="s">
        <v>2567</v>
      </c>
      <c r="G854" s="30" t="s">
        <v>249</v>
      </c>
      <c r="H854" s="37" t="s">
        <v>1095</v>
      </c>
      <c r="I854" s="37"/>
      <c r="J854" s="37" t="s">
        <v>1096</v>
      </c>
      <c r="K854" s="32">
        <v>6</v>
      </c>
      <c r="L854" s="32">
        <v>16</v>
      </c>
      <c r="M854" s="32">
        <v>0</v>
      </c>
      <c r="N854" s="32">
        <v>22</v>
      </c>
      <c r="O854" s="33">
        <v>1210</v>
      </c>
      <c r="P854" s="38" t="s">
        <v>1014</v>
      </c>
      <c r="Q854" s="34" t="str">
        <f>IF(MasterFees[[#This Row],[GST Basis]]="Excl",MasterFees[[#This Row],[Fee as Printed]],IF(MasterFees[[#This Row],[GST Basis]]="Incl",MasterFees[[#This Row],[Fee as Printed]]/(1+GST_Rate),""))</f>
        <v/>
      </c>
      <c r="R854" s="34" t="str">
        <f>IF(MasterFees[[#This Row],[GST Basis]]="Incl",MasterFees[[#This Row],[Fee as Printed]],IF(MasterFees[[#This Row],[GST Basis]]="Excl",MasterFees[[#This Row],[Fee as Printed]]*(1+GST_Rate),""))</f>
        <v/>
      </c>
      <c r="S854" s="35">
        <f>IF(N(MasterFees[[#This Row],[Total Units]])=0,"",MasterFees[[#This Row],[Fee as Printed]]/MasterFees[[#This Row],[Total Units]])</f>
        <v>55</v>
      </c>
      <c r="T854" s="36"/>
      <c r="U854" s="39" t="s">
        <v>1012</v>
      </c>
      <c r="V854" s="39" t="s">
        <v>1343</v>
      </c>
      <c r="W854" s="30"/>
      <c r="X854" s="73" t="s">
        <v>3133</v>
      </c>
      <c r="Y854" s="127" t="str">
        <f>_xlfn.XLOOKUP(MasterFees[[#This Row],[Provider / Payer]],Contracts[Contract Name],Contracts[Contract ID],"No contract")</f>
        <v>CON-01</v>
      </c>
      <c r="Z854" s="127" t="str">
        <f>_xlfn.XLOOKUP(MasterFees[[#This Row],[Provider / Payer]],Contracts[Contract Name],Contracts[Pricing Basis],"To confirm")</f>
        <v>To confirm</v>
      </c>
      <c r="AA854" s="127" t="str">
        <f>IF(MasterFees[[#This Row],[Pricing Basis]]="Fixed fee schedule","Yes","No")</f>
        <v>No</v>
      </c>
      <c r="AB854" s="127" t="str">
        <f>IF(OR(MasterFees[[#This Row],[Fee Basis]]="Add-on",MasterFees[[#This Row],[Fee Basis]]="Time band",MasterFees[[#This Row],[Fee Basis]]="Other"),MasterFees[[#This Row],[Fee Basis]],"Base")</f>
        <v>Base</v>
      </c>
      <c r="AC854" s="141" t="str">
        <f>IF(MasterFees[[#This Row],[Fixed Fee?]]="Yes",MasterFees[[#This Row],[Fee Excl. GST]],"")</f>
        <v/>
      </c>
    </row>
    <row r="855" spans="1:29" x14ac:dyDescent="0.2">
      <c r="A855" s="67" t="s">
        <v>2350</v>
      </c>
      <c r="B855" s="31">
        <f>IF(MasterFees[[#This Row],[RVG Code]]="","",_xlfn.XLOOKUP(MasterFees[[#This Row],[RVG Code]],RVGCodes[Code],RVGCodes[Base Units],"Code not found"))</f>
        <v>5</v>
      </c>
      <c r="C85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5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55" s="125" t="s">
        <v>2582</v>
      </c>
      <c r="F855" s="48" t="s">
        <v>2567</v>
      </c>
      <c r="G855" s="30" t="s">
        <v>251</v>
      </c>
      <c r="H855" s="37" t="s">
        <v>1095</v>
      </c>
      <c r="I855" s="37"/>
      <c r="J855" s="37" t="s">
        <v>1096</v>
      </c>
      <c r="K855" s="32">
        <v>5</v>
      </c>
      <c r="L855" s="32">
        <v>4</v>
      </c>
      <c r="M855" s="32">
        <v>0</v>
      </c>
      <c r="N855" s="32">
        <v>9</v>
      </c>
      <c r="O855" s="33">
        <v>495</v>
      </c>
      <c r="P855" s="38" t="s">
        <v>1014</v>
      </c>
      <c r="Q855" s="34" t="str">
        <f>IF(MasterFees[[#This Row],[GST Basis]]="Excl",MasterFees[[#This Row],[Fee as Printed]],IF(MasterFees[[#This Row],[GST Basis]]="Incl",MasterFees[[#This Row],[Fee as Printed]]/(1+GST_Rate),""))</f>
        <v/>
      </c>
      <c r="R855" s="34" t="str">
        <f>IF(MasterFees[[#This Row],[GST Basis]]="Incl",MasterFees[[#This Row],[Fee as Printed]],IF(MasterFees[[#This Row],[GST Basis]]="Excl",MasterFees[[#This Row],[Fee as Printed]]*(1+GST_Rate),""))</f>
        <v/>
      </c>
      <c r="S855" s="35">
        <f>IF(N(MasterFees[[#This Row],[Total Units]])=0,"",MasterFees[[#This Row],[Fee as Printed]]/MasterFees[[#This Row],[Total Units]])</f>
        <v>55</v>
      </c>
      <c r="T855" s="36"/>
      <c r="U855" s="39" t="s">
        <v>1012</v>
      </c>
      <c r="V855" s="39" t="s">
        <v>1345</v>
      </c>
      <c r="W855" s="30"/>
      <c r="X855" s="73" t="s">
        <v>3135</v>
      </c>
      <c r="Y855" s="127" t="str">
        <f>_xlfn.XLOOKUP(MasterFees[[#This Row],[Provider / Payer]],Contracts[Contract Name],Contracts[Contract ID],"No contract")</f>
        <v>CON-01</v>
      </c>
      <c r="Z855" s="127" t="str">
        <f>_xlfn.XLOOKUP(MasterFees[[#This Row],[Provider / Payer]],Contracts[Contract Name],Contracts[Pricing Basis],"To confirm")</f>
        <v>To confirm</v>
      </c>
      <c r="AA855" s="127" t="str">
        <f>IF(MasterFees[[#This Row],[Pricing Basis]]="Fixed fee schedule","Yes","No")</f>
        <v>No</v>
      </c>
      <c r="AB855" s="127" t="str">
        <f>IF(OR(MasterFees[[#This Row],[Fee Basis]]="Add-on",MasterFees[[#This Row],[Fee Basis]]="Time band",MasterFees[[#This Row],[Fee Basis]]="Other"),MasterFees[[#This Row],[Fee Basis]],"Base")</f>
        <v>Base</v>
      </c>
      <c r="AC855" s="141" t="str">
        <f>IF(MasterFees[[#This Row],[Fixed Fee?]]="Yes",MasterFees[[#This Row],[Fee Excl. GST]],"")</f>
        <v/>
      </c>
    </row>
    <row r="856" spans="1:29" x14ac:dyDescent="0.2">
      <c r="A856" s="67" t="s">
        <v>2347</v>
      </c>
      <c r="B856" s="31">
        <f>IF(MasterFees[[#This Row],[RVG Code]]="","",_xlfn.XLOOKUP(MasterFees[[#This Row],[RVG Code]],RVGCodes[Code],RVGCodes[Base Units],"Code not found"))</f>
        <v>4</v>
      </c>
      <c r="C85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5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56" s="125" t="s">
        <v>2580</v>
      </c>
      <c r="F856" s="48" t="s">
        <v>2569</v>
      </c>
      <c r="G856" s="30" t="s">
        <v>252</v>
      </c>
      <c r="H856" s="37" t="s">
        <v>1095</v>
      </c>
      <c r="I856" s="37"/>
      <c r="J856" s="37" t="s">
        <v>1096</v>
      </c>
      <c r="K856" s="32">
        <v>4.3</v>
      </c>
      <c r="L856" s="32">
        <v>3.3</v>
      </c>
      <c r="M856" s="32">
        <v>0.1</v>
      </c>
      <c r="N856" s="32">
        <v>7.8</v>
      </c>
      <c r="O856" s="33">
        <v>427.35</v>
      </c>
      <c r="P856" s="38" t="s">
        <v>1014</v>
      </c>
      <c r="Q856" s="34" t="str">
        <f>IF(MasterFees[[#This Row],[GST Basis]]="Excl",MasterFees[[#This Row],[Fee as Printed]],IF(MasterFees[[#This Row],[GST Basis]]="Incl",MasterFees[[#This Row],[Fee as Printed]]/(1+GST_Rate),""))</f>
        <v/>
      </c>
      <c r="R856" s="34" t="str">
        <f>IF(MasterFees[[#This Row],[GST Basis]]="Incl",MasterFees[[#This Row],[Fee as Printed]],IF(MasterFees[[#This Row],[GST Basis]]="Excl",MasterFees[[#This Row],[Fee as Printed]]*(1+GST_Rate),""))</f>
        <v/>
      </c>
      <c r="S856" s="35">
        <f>IF(N(MasterFees[[#This Row],[Total Units]])=0,"",MasterFees[[#This Row],[Fee as Printed]]/MasterFees[[#This Row],[Total Units]])</f>
        <v>54.78846153846154</v>
      </c>
      <c r="T856" s="36"/>
      <c r="U856" s="39" t="s">
        <v>1012</v>
      </c>
      <c r="V856" s="39" t="s">
        <v>1346</v>
      </c>
      <c r="W856" s="30"/>
      <c r="X856" s="73" t="s">
        <v>3136</v>
      </c>
      <c r="Y856" s="127" t="str">
        <f>_xlfn.XLOOKUP(MasterFees[[#This Row],[Provider / Payer]],Contracts[Contract Name],Contracts[Contract ID],"No contract")</f>
        <v>CON-01</v>
      </c>
      <c r="Z856" s="127" t="str">
        <f>_xlfn.XLOOKUP(MasterFees[[#This Row],[Provider / Payer]],Contracts[Contract Name],Contracts[Pricing Basis],"To confirm")</f>
        <v>To confirm</v>
      </c>
      <c r="AA856" s="127" t="str">
        <f>IF(MasterFees[[#This Row],[Pricing Basis]]="Fixed fee schedule","Yes","No")</f>
        <v>No</v>
      </c>
      <c r="AB856" s="127" t="str">
        <f>IF(OR(MasterFees[[#This Row],[Fee Basis]]="Add-on",MasterFees[[#This Row],[Fee Basis]]="Time band",MasterFees[[#This Row],[Fee Basis]]="Other"),MasterFees[[#This Row],[Fee Basis]],"Base")</f>
        <v>Base</v>
      </c>
      <c r="AC856" s="141" t="str">
        <f>IF(MasterFees[[#This Row],[Fixed Fee?]]="Yes",MasterFees[[#This Row],[Fee Excl. GST]],"")</f>
        <v/>
      </c>
    </row>
    <row r="857" spans="1:29" x14ac:dyDescent="0.2">
      <c r="A857" s="67" t="s">
        <v>2347</v>
      </c>
      <c r="B857" s="31">
        <f>IF(MasterFees[[#This Row],[RVG Code]]="","",_xlfn.XLOOKUP(MasterFees[[#This Row],[RVG Code]],RVGCodes[Code],RVGCodes[Base Units],"Code not found"))</f>
        <v>4</v>
      </c>
      <c r="C85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5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57" s="125" t="s">
        <v>2580</v>
      </c>
      <c r="F857" s="48" t="s">
        <v>2569</v>
      </c>
      <c r="G857" s="30" t="s">
        <v>253</v>
      </c>
      <c r="H857" s="37" t="s">
        <v>1095</v>
      </c>
      <c r="I857" s="37"/>
      <c r="J857" s="37" t="s">
        <v>1096</v>
      </c>
      <c r="K857" s="32">
        <v>4</v>
      </c>
      <c r="L857" s="32">
        <v>2</v>
      </c>
      <c r="M857" s="32">
        <v>0.3</v>
      </c>
      <c r="N857" s="32">
        <v>6.3</v>
      </c>
      <c r="O857" s="33">
        <v>348.15</v>
      </c>
      <c r="P857" s="38" t="s">
        <v>1014</v>
      </c>
      <c r="Q857" s="34" t="str">
        <f>IF(MasterFees[[#This Row],[GST Basis]]="Excl",MasterFees[[#This Row],[Fee as Printed]],IF(MasterFees[[#This Row],[GST Basis]]="Incl",MasterFees[[#This Row],[Fee as Printed]]/(1+GST_Rate),""))</f>
        <v/>
      </c>
      <c r="R857" s="34" t="str">
        <f>IF(MasterFees[[#This Row],[GST Basis]]="Incl",MasterFees[[#This Row],[Fee as Printed]],IF(MasterFees[[#This Row],[GST Basis]]="Excl",MasterFees[[#This Row],[Fee as Printed]]*(1+GST_Rate),""))</f>
        <v/>
      </c>
      <c r="S857" s="35">
        <f>IF(N(MasterFees[[#This Row],[Total Units]])=0,"",MasterFees[[#This Row],[Fee as Printed]]/MasterFees[[#This Row],[Total Units]])</f>
        <v>55.261904761904759</v>
      </c>
      <c r="T857" s="36"/>
      <c r="U857" s="39" t="s">
        <v>1012</v>
      </c>
      <c r="V857" s="39" t="s">
        <v>1347</v>
      </c>
      <c r="W857" s="30"/>
      <c r="X857" s="73" t="s">
        <v>3137</v>
      </c>
      <c r="Y857" s="127" t="str">
        <f>_xlfn.XLOOKUP(MasterFees[[#This Row],[Provider / Payer]],Contracts[Contract Name],Contracts[Contract ID],"No contract")</f>
        <v>CON-01</v>
      </c>
      <c r="Z857" s="127" t="str">
        <f>_xlfn.XLOOKUP(MasterFees[[#This Row],[Provider / Payer]],Contracts[Contract Name],Contracts[Pricing Basis],"To confirm")</f>
        <v>To confirm</v>
      </c>
      <c r="AA857" s="127" t="str">
        <f>IF(MasterFees[[#This Row],[Pricing Basis]]="Fixed fee schedule","Yes","No")</f>
        <v>No</v>
      </c>
      <c r="AB857" s="127" t="str">
        <f>IF(OR(MasterFees[[#This Row],[Fee Basis]]="Add-on",MasterFees[[#This Row],[Fee Basis]]="Time band",MasterFees[[#This Row],[Fee Basis]]="Other"),MasterFees[[#This Row],[Fee Basis]],"Base")</f>
        <v>Base</v>
      </c>
      <c r="AC857" s="141" t="str">
        <f>IF(MasterFees[[#This Row],[Fixed Fee?]]="Yes",MasterFees[[#This Row],[Fee Excl. GST]],"")</f>
        <v/>
      </c>
    </row>
    <row r="858" spans="1:29" x14ac:dyDescent="0.2">
      <c r="A858" s="67" t="s">
        <v>2347</v>
      </c>
      <c r="B858" s="31">
        <f>IF(MasterFees[[#This Row],[RVG Code]]="","",_xlfn.XLOOKUP(MasterFees[[#This Row],[RVG Code]],RVGCodes[Code],RVGCodes[Base Units],"Code not found"))</f>
        <v>4</v>
      </c>
      <c r="C85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5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58" s="125" t="s">
        <v>2580</v>
      </c>
      <c r="F858" s="48" t="s">
        <v>2567</v>
      </c>
      <c r="G858" s="30" t="s">
        <v>259</v>
      </c>
      <c r="H858" s="37" t="s">
        <v>1095</v>
      </c>
      <c r="I858" s="37"/>
      <c r="J858" s="37" t="s">
        <v>1096</v>
      </c>
      <c r="K858" s="32">
        <v>4</v>
      </c>
      <c r="L858" s="32">
        <v>2</v>
      </c>
      <c r="M858" s="32">
        <v>0</v>
      </c>
      <c r="N858" s="32">
        <v>6</v>
      </c>
      <c r="O858" s="33">
        <v>330</v>
      </c>
      <c r="P858" s="38" t="s">
        <v>1014</v>
      </c>
      <c r="Q858" s="34" t="str">
        <f>IF(MasterFees[[#This Row],[GST Basis]]="Excl",MasterFees[[#This Row],[Fee as Printed]],IF(MasterFees[[#This Row],[GST Basis]]="Incl",MasterFees[[#This Row],[Fee as Printed]]/(1+GST_Rate),""))</f>
        <v/>
      </c>
      <c r="R858" s="34" t="str">
        <f>IF(MasterFees[[#This Row],[GST Basis]]="Incl",MasterFees[[#This Row],[Fee as Printed]],IF(MasterFees[[#This Row],[GST Basis]]="Excl",MasterFees[[#This Row],[Fee as Printed]]*(1+GST_Rate),""))</f>
        <v/>
      </c>
      <c r="S858" s="35">
        <f>IF(N(MasterFees[[#This Row],[Total Units]])=0,"",MasterFees[[#This Row],[Fee as Printed]]/MasterFees[[#This Row],[Total Units]])</f>
        <v>55</v>
      </c>
      <c r="T858" s="36"/>
      <c r="U858" s="39" t="s">
        <v>1012</v>
      </c>
      <c r="V858" s="39" t="s">
        <v>1353</v>
      </c>
      <c r="W858" s="30"/>
      <c r="X858" s="73" t="s">
        <v>3143</v>
      </c>
      <c r="Y858" s="127" t="str">
        <f>_xlfn.XLOOKUP(MasterFees[[#This Row],[Provider / Payer]],Contracts[Contract Name],Contracts[Contract ID],"No contract")</f>
        <v>CON-01</v>
      </c>
      <c r="Z858" s="127" t="str">
        <f>_xlfn.XLOOKUP(MasterFees[[#This Row],[Provider / Payer]],Contracts[Contract Name],Contracts[Pricing Basis],"To confirm")</f>
        <v>To confirm</v>
      </c>
      <c r="AA858" s="127" t="str">
        <f>IF(MasterFees[[#This Row],[Pricing Basis]]="Fixed fee schedule","Yes","No")</f>
        <v>No</v>
      </c>
      <c r="AB858" s="127" t="str">
        <f>IF(OR(MasterFees[[#This Row],[Fee Basis]]="Add-on",MasterFees[[#This Row],[Fee Basis]]="Time band",MasterFees[[#This Row],[Fee Basis]]="Other"),MasterFees[[#This Row],[Fee Basis]],"Base")</f>
        <v>Base</v>
      </c>
      <c r="AC858" s="141" t="str">
        <f>IF(MasterFees[[#This Row],[Fixed Fee?]]="Yes",MasterFees[[#This Row],[Fee Excl. GST]],"")</f>
        <v/>
      </c>
    </row>
    <row r="859" spans="1:29" x14ac:dyDescent="0.2">
      <c r="A859" s="67" t="s">
        <v>2347</v>
      </c>
      <c r="B859" s="31">
        <f>IF(MasterFees[[#This Row],[RVG Code]]="","",_xlfn.XLOOKUP(MasterFees[[#This Row],[RVG Code]],RVGCodes[Code],RVGCodes[Base Units],"Code not found"))</f>
        <v>4</v>
      </c>
      <c r="C85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5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59" s="125" t="s">
        <v>2580</v>
      </c>
      <c r="F859" s="48" t="s">
        <v>2567</v>
      </c>
      <c r="G859" s="30" t="s">
        <v>262</v>
      </c>
      <c r="H859" s="37" t="s">
        <v>1095</v>
      </c>
      <c r="I859" s="37"/>
      <c r="J859" s="37" t="s">
        <v>1096</v>
      </c>
      <c r="K859" s="32">
        <v>4.7</v>
      </c>
      <c r="L859" s="32">
        <v>2.7</v>
      </c>
      <c r="M859" s="32">
        <v>0.3</v>
      </c>
      <c r="N859" s="32">
        <v>7.7</v>
      </c>
      <c r="O859" s="33">
        <v>420.75</v>
      </c>
      <c r="P859" s="38" t="s">
        <v>1014</v>
      </c>
      <c r="Q859" s="34" t="str">
        <f>IF(MasterFees[[#This Row],[GST Basis]]="Excl",MasterFees[[#This Row],[Fee as Printed]],IF(MasterFees[[#This Row],[GST Basis]]="Incl",MasterFees[[#This Row],[Fee as Printed]]/(1+GST_Rate),""))</f>
        <v/>
      </c>
      <c r="R859" s="34" t="str">
        <f>IF(MasterFees[[#This Row],[GST Basis]]="Incl",MasterFees[[#This Row],[Fee as Printed]],IF(MasterFees[[#This Row],[GST Basis]]="Excl",MasterFees[[#This Row],[Fee as Printed]]*(1+GST_Rate),""))</f>
        <v/>
      </c>
      <c r="S859" s="35">
        <f>IF(N(MasterFees[[#This Row],[Total Units]])=0,"",MasterFees[[#This Row],[Fee as Printed]]/MasterFees[[#This Row],[Total Units]])</f>
        <v>54.642857142857139</v>
      </c>
      <c r="T859" s="36"/>
      <c r="U859" s="39" t="s">
        <v>1012</v>
      </c>
      <c r="V859" s="39" t="s">
        <v>1356</v>
      </c>
      <c r="W859" s="30"/>
      <c r="X859" s="73" t="s">
        <v>3146</v>
      </c>
      <c r="Y859" s="127" t="str">
        <f>_xlfn.XLOOKUP(MasterFees[[#This Row],[Provider / Payer]],Contracts[Contract Name],Contracts[Contract ID],"No contract")</f>
        <v>CON-01</v>
      </c>
      <c r="Z859" s="127" t="str">
        <f>_xlfn.XLOOKUP(MasterFees[[#This Row],[Provider / Payer]],Contracts[Contract Name],Contracts[Pricing Basis],"To confirm")</f>
        <v>To confirm</v>
      </c>
      <c r="AA859" s="127" t="str">
        <f>IF(MasterFees[[#This Row],[Pricing Basis]]="Fixed fee schedule","Yes","No")</f>
        <v>No</v>
      </c>
      <c r="AB859" s="127" t="str">
        <f>IF(OR(MasterFees[[#This Row],[Fee Basis]]="Add-on",MasterFees[[#This Row],[Fee Basis]]="Time band",MasterFees[[#This Row],[Fee Basis]]="Other"),MasterFees[[#This Row],[Fee Basis]],"Base")</f>
        <v>Base</v>
      </c>
      <c r="AC859" s="141" t="str">
        <f>IF(MasterFees[[#This Row],[Fixed Fee?]]="Yes",MasterFees[[#This Row],[Fee Excl. GST]],"")</f>
        <v/>
      </c>
    </row>
    <row r="860" spans="1:29" x14ac:dyDescent="0.2">
      <c r="A860" s="67" t="s">
        <v>2347</v>
      </c>
      <c r="B860" s="31">
        <f>IF(MasterFees[[#This Row],[RVG Code]]="","",_xlfn.XLOOKUP(MasterFees[[#This Row],[RVG Code]],RVGCodes[Code],RVGCodes[Base Units],"Code not found"))</f>
        <v>4</v>
      </c>
      <c r="C86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6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60" s="125" t="s">
        <v>2580</v>
      </c>
      <c r="F860" s="48" t="s">
        <v>2567</v>
      </c>
      <c r="G860" s="30" t="s">
        <v>272</v>
      </c>
      <c r="H860" s="37" t="s">
        <v>1095</v>
      </c>
      <c r="I860" s="37"/>
      <c r="J860" s="37" t="s">
        <v>1096</v>
      </c>
      <c r="K860" s="32">
        <v>4.5999999999999996</v>
      </c>
      <c r="L860" s="32">
        <v>3.3</v>
      </c>
      <c r="M860" s="32">
        <v>0.4</v>
      </c>
      <c r="N860" s="32">
        <v>8.3000000000000007</v>
      </c>
      <c r="O860" s="33">
        <v>453.75</v>
      </c>
      <c r="P860" s="38" t="s">
        <v>1014</v>
      </c>
      <c r="Q860" s="34" t="str">
        <f>IF(MasterFees[[#This Row],[GST Basis]]="Excl",MasterFees[[#This Row],[Fee as Printed]],IF(MasterFees[[#This Row],[GST Basis]]="Incl",MasterFees[[#This Row],[Fee as Printed]]/(1+GST_Rate),""))</f>
        <v/>
      </c>
      <c r="R860" s="34" t="str">
        <f>IF(MasterFees[[#This Row],[GST Basis]]="Incl",MasterFees[[#This Row],[Fee as Printed]],IF(MasterFees[[#This Row],[GST Basis]]="Excl",MasterFees[[#This Row],[Fee as Printed]]*(1+GST_Rate),""))</f>
        <v/>
      </c>
      <c r="S860" s="35">
        <f>IF(N(MasterFees[[#This Row],[Total Units]])=0,"",MasterFees[[#This Row],[Fee as Printed]]/MasterFees[[#This Row],[Total Units]])</f>
        <v>54.668674698795179</v>
      </c>
      <c r="T860" s="36"/>
      <c r="U860" s="39" t="s">
        <v>1012</v>
      </c>
      <c r="V860" s="39" t="s">
        <v>1366</v>
      </c>
      <c r="W860" s="30"/>
      <c r="X860" s="73" t="s">
        <v>3157</v>
      </c>
      <c r="Y860" s="127" t="str">
        <f>_xlfn.XLOOKUP(MasterFees[[#This Row],[Provider / Payer]],Contracts[Contract Name],Contracts[Contract ID],"No contract")</f>
        <v>CON-01</v>
      </c>
      <c r="Z860" s="127" t="str">
        <f>_xlfn.XLOOKUP(MasterFees[[#This Row],[Provider / Payer]],Contracts[Contract Name],Contracts[Pricing Basis],"To confirm")</f>
        <v>To confirm</v>
      </c>
      <c r="AA860" s="127" t="str">
        <f>IF(MasterFees[[#This Row],[Pricing Basis]]="Fixed fee schedule","Yes","No")</f>
        <v>No</v>
      </c>
      <c r="AB860" s="127" t="str">
        <f>IF(OR(MasterFees[[#This Row],[Fee Basis]]="Add-on",MasterFees[[#This Row],[Fee Basis]]="Time band",MasterFees[[#This Row],[Fee Basis]]="Other"),MasterFees[[#This Row],[Fee Basis]],"Base")</f>
        <v>Base</v>
      </c>
      <c r="AC860" s="141" t="str">
        <f>IF(MasterFees[[#This Row],[Fixed Fee?]]="Yes",MasterFees[[#This Row],[Fee Excl. GST]],"")</f>
        <v/>
      </c>
    </row>
    <row r="861" spans="1:29" x14ac:dyDescent="0.2">
      <c r="A861" s="67" t="s">
        <v>2347</v>
      </c>
      <c r="B861" s="31">
        <f>IF(MasterFees[[#This Row],[RVG Code]]="","",_xlfn.XLOOKUP(MasterFees[[#This Row],[RVG Code]],RVGCodes[Code],RVGCodes[Base Units],"Code not found"))</f>
        <v>4</v>
      </c>
      <c r="C86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6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61" s="125" t="s">
        <v>2580</v>
      </c>
      <c r="F861" s="48" t="s">
        <v>2567</v>
      </c>
      <c r="G861" s="30" t="s">
        <v>273</v>
      </c>
      <c r="H861" s="37" t="s">
        <v>1095</v>
      </c>
      <c r="I861" s="37"/>
      <c r="J861" s="37" t="s">
        <v>1096</v>
      </c>
      <c r="K861" s="32">
        <v>4.5999999999999996</v>
      </c>
      <c r="L861" s="32">
        <v>3.6</v>
      </c>
      <c r="M861" s="32">
        <v>0.7</v>
      </c>
      <c r="N861" s="32">
        <v>8.9</v>
      </c>
      <c r="O861" s="33">
        <v>486.75</v>
      </c>
      <c r="P861" s="38" t="s">
        <v>1014</v>
      </c>
      <c r="Q861" s="34" t="str">
        <f>IF(MasterFees[[#This Row],[GST Basis]]="Excl",MasterFees[[#This Row],[Fee as Printed]],IF(MasterFees[[#This Row],[GST Basis]]="Incl",MasterFees[[#This Row],[Fee as Printed]]/(1+GST_Rate),""))</f>
        <v/>
      </c>
      <c r="R861" s="34" t="str">
        <f>IF(MasterFees[[#This Row],[GST Basis]]="Incl",MasterFees[[#This Row],[Fee as Printed]],IF(MasterFees[[#This Row],[GST Basis]]="Excl",MasterFees[[#This Row],[Fee as Printed]]*(1+GST_Rate),""))</f>
        <v/>
      </c>
      <c r="S861" s="35">
        <f>IF(N(MasterFees[[#This Row],[Total Units]])=0,"",MasterFees[[#This Row],[Fee as Printed]]/MasterFees[[#This Row],[Total Units]])</f>
        <v>54.691011235955052</v>
      </c>
      <c r="T861" s="36"/>
      <c r="U861" s="39" t="s">
        <v>1012</v>
      </c>
      <c r="V861" s="39" t="s">
        <v>1367</v>
      </c>
      <c r="W861" s="30"/>
      <c r="X861" s="73" t="s">
        <v>3158</v>
      </c>
      <c r="Y861" s="127" t="str">
        <f>_xlfn.XLOOKUP(MasterFees[[#This Row],[Provider / Payer]],Contracts[Contract Name],Contracts[Contract ID],"No contract")</f>
        <v>CON-01</v>
      </c>
      <c r="Z861" s="127" t="str">
        <f>_xlfn.XLOOKUP(MasterFees[[#This Row],[Provider / Payer]],Contracts[Contract Name],Contracts[Pricing Basis],"To confirm")</f>
        <v>To confirm</v>
      </c>
      <c r="AA861" s="127" t="str">
        <f>IF(MasterFees[[#This Row],[Pricing Basis]]="Fixed fee schedule","Yes","No")</f>
        <v>No</v>
      </c>
      <c r="AB861" s="127" t="str">
        <f>IF(OR(MasterFees[[#This Row],[Fee Basis]]="Add-on",MasterFees[[#This Row],[Fee Basis]]="Time band",MasterFees[[#This Row],[Fee Basis]]="Other"),MasterFees[[#This Row],[Fee Basis]],"Base")</f>
        <v>Base</v>
      </c>
      <c r="AC861" s="141" t="str">
        <f>IF(MasterFees[[#This Row],[Fixed Fee?]]="Yes",MasterFees[[#This Row],[Fee Excl. GST]],"")</f>
        <v/>
      </c>
    </row>
    <row r="862" spans="1:29" x14ac:dyDescent="0.2">
      <c r="A862" s="67" t="s">
        <v>2350</v>
      </c>
      <c r="B862" s="31">
        <f>IF(MasterFees[[#This Row],[RVG Code]]="","",_xlfn.XLOOKUP(MasterFees[[#This Row],[RVG Code]],RVGCodes[Code],RVGCodes[Base Units],"Code not found"))</f>
        <v>5</v>
      </c>
      <c r="C86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6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62" s="125" t="s">
        <v>2582</v>
      </c>
      <c r="F862" s="48" t="s">
        <v>2567</v>
      </c>
      <c r="G862" s="30" t="s">
        <v>281</v>
      </c>
      <c r="H862" s="37" t="s">
        <v>1095</v>
      </c>
      <c r="I862" s="37"/>
      <c r="J862" s="37" t="s">
        <v>1096</v>
      </c>
      <c r="K862" s="32">
        <v>4.5</v>
      </c>
      <c r="L862" s="32">
        <v>3</v>
      </c>
      <c r="M862" s="32">
        <v>0.1</v>
      </c>
      <c r="N862" s="32">
        <v>7.6</v>
      </c>
      <c r="O862" s="33">
        <v>419.1</v>
      </c>
      <c r="P862" s="38" t="s">
        <v>1014</v>
      </c>
      <c r="Q862" s="34" t="str">
        <f>IF(MasterFees[[#This Row],[GST Basis]]="Excl",MasterFees[[#This Row],[Fee as Printed]],IF(MasterFees[[#This Row],[GST Basis]]="Incl",MasterFees[[#This Row],[Fee as Printed]]/(1+GST_Rate),""))</f>
        <v/>
      </c>
      <c r="R862" s="34" t="str">
        <f>IF(MasterFees[[#This Row],[GST Basis]]="Incl",MasterFees[[#This Row],[Fee as Printed]],IF(MasterFees[[#This Row],[GST Basis]]="Excl",MasterFees[[#This Row],[Fee as Printed]]*(1+GST_Rate),""))</f>
        <v/>
      </c>
      <c r="S862" s="35">
        <f>IF(N(MasterFees[[#This Row],[Total Units]])=0,"",MasterFees[[#This Row],[Fee as Printed]]/MasterFees[[#This Row],[Total Units]])</f>
        <v>55.144736842105267</v>
      </c>
      <c r="T862" s="36"/>
      <c r="U862" s="39" t="s">
        <v>1012</v>
      </c>
      <c r="V862" s="39" t="s">
        <v>1375</v>
      </c>
      <c r="W862" s="30"/>
      <c r="X862" s="73" t="s">
        <v>3166</v>
      </c>
      <c r="Y862" s="127" t="str">
        <f>_xlfn.XLOOKUP(MasterFees[[#This Row],[Provider / Payer]],Contracts[Contract Name],Contracts[Contract ID],"No contract")</f>
        <v>CON-01</v>
      </c>
      <c r="Z862" s="127" t="str">
        <f>_xlfn.XLOOKUP(MasterFees[[#This Row],[Provider / Payer]],Contracts[Contract Name],Contracts[Pricing Basis],"To confirm")</f>
        <v>To confirm</v>
      </c>
      <c r="AA862" s="127" t="str">
        <f>IF(MasterFees[[#This Row],[Pricing Basis]]="Fixed fee schedule","Yes","No")</f>
        <v>No</v>
      </c>
      <c r="AB862" s="127" t="str">
        <f>IF(OR(MasterFees[[#This Row],[Fee Basis]]="Add-on",MasterFees[[#This Row],[Fee Basis]]="Time band",MasterFees[[#This Row],[Fee Basis]]="Other"),MasterFees[[#This Row],[Fee Basis]],"Base")</f>
        <v>Base</v>
      </c>
      <c r="AC862" s="141" t="str">
        <f>IF(MasterFees[[#This Row],[Fixed Fee?]]="Yes",MasterFees[[#This Row],[Fee Excl. GST]],"")</f>
        <v/>
      </c>
    </row>
    <row r="863" spans="1:29" x14ac:dyDescent="0.2">
      <c r="A863" s="67" t="s">
        <v>2347</v>
      </c>
      <c r="B863" s="31">
        <f>IF(MasterFees[[#This Row],[RVG Code]]="","",_xlfn.XLOOKUP(MasterFees[[#This Row],[RVG Code]],RVGCodes[Code],RVGCodes[Base Units],"Code not found"))</f>
        <v>4</v>
      </c>
      <c r="C86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6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63" s="125" t="s">
        <v>2580</v>
      </c>
      <c r="F863" s="48" t="s">
        <v>2567</v>
      </c>
      <c r="G863" s="30" t="s">
        <v>285</v>
      </c>
      <c r="H863" s="37" t="s">
        <v>1095</v>
      </c>
      <c r="I863" s="37"/>
      <c r="J863" s="37" t="s">
        <v>1096</v>
      </c>
      <c r="K863" s="32">
        <v>4</v>
      </c>
      <c r="L863" s="32">
        <v>2.1</v>
      </c>
      <c r="M863" s="32">
        <v>0.1</v>
      </c>
      <c r="N863" s="32">
        <v>6.2</v>
      </c>
      <c r="O863" s="33">
        <v>340.45</v>
      </c>
      <c r="P863" s="38" t="s">
        <v>1014</v>
      </c>
      <c r="Q863" s="34" t="str">
        <f>IF(MasterFees[[#This Row],[GST Basis]]="Excl",MasterFees[[#This Row],[Fee as Printed]],IF(MasterFees[[#This Row],[GST Basis]]="Incl",MasterFees[[#This Row],[Fee as Printed]]/(1+GST_Rate),""))</f>
        <v/>
      </c>
      <c r="R863" s="34" t="str">
        <f>IF(MasterFees[[#This Row],[GST Basis]]="Incl",MasterFees[[#This Row],[Fee as Printed]],IF(MasterFees[[#This Row],[GST Basis]]="Excl",MasterFees[[#This Row],[Fee as Printed]]*(1+GST_Rate),""))</f>
        <v/>
      </c>
      <c r="S863" s="35">
        <f>IF(N(MasterFees[[#This Row],[Total Units]])=0,"",MasterFees[[#This Row],[Fee as Printed]]/MasterFees[[#This Row],[Total Units]])</f>
        <v>54.911290322580641</v>
      </c>
      <c r="T863" s="36"/>
      <c r="U863" s="39" t="s">
        <v>1012</v>
      </c>
      <c r="V863" s="39" t="s">
        <v>1379</v>
      </c>
      <c r="W863" s="30"/>
      <c r="X863" s="73" t="s">
        <v>3170</v>
      </c>
      <c r="Y863" s="127" t="str">
        <f>_xlfn.XLOOKUP(MasterFees[[#This Row],[Provider / Payer]],Contracts[Contract Name],Contracts[Contract ID],"No contract")</f>
        <v>CON-01</v>
      </c>
      <c r="Z863" s="127" t="str">
        <f>_xlfn.XLOOKUP(MasterFees[[#This Row],[Provider / Payer]],Contracts[Contract Name],Contracts[Pricing Basis],"To confirm")</f>
        <v>To confirm</v>
      </c>
      <c r="AA863" s="127" t="str">
        <f>IF(MasterFees[[#This Row],[Pricing Basis]]="Fixed fee schedule","Yes","No")</f>
        <v>No</v>
      </c>
      <c r="AB863" s="127" t="str">
        <f>IF(OR(MasterFees[[#This Row],[Fee Basis]]="Add-on",MasterFees[[#This Row],[Fee Basis]]="Time band",MasterFees[[#This Row],[Fee Basis]]="Other"),MasterFees[[#This Row],[Fee Basis]],"Base")</f>
        <v>Base</v>
      </c>
      <c r="AC863" s="141" t="str">
        <f>IF(MasterFees[[#This Row],[Fixed Fee?]]="Yes",MasterFees[[#This Row],[Fee Excl. GST]],"")</f>
        <v/>
      </c>
    </row>
    <row r="864" spans="1:29" x14ac:dyDescent="0.2">
      <c r="A864" s="67" t="s">
        <v>2347</v>
      </c>
      <c r="B864" s="31">
        <f>IF(MasterFees[[#This Row],[RVG Code]]="","",_xlfn.XLOOKUP(MasterFees[[#This Row],[RVG Code]],RVGCodes[Code],RVGCodes[Base Units],"Code not found"))</f>
        <v>4</v>
      </c>
      <c r="C86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6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64" s="125" t="s">
        <v>2580</v>
      </c>
      <c r="F864" s="48" t="s">
        <v>2567</v>
      </c>
      <c r="G864" s="30" t="s">
        <v>286</v>
      </c>
      <c r="H864" s="37" t="s">
        <v>1095</v>
      </c>
      <c r="I864" s="37"/>
      <c r="J864" s="37" t="s">
        <v>1096</v>
      </c>
      <c r="K864" s="32">
        <v>4</v>
      </c>
      <c r="L864" s="32">
        <v>3</v>
      </c>
      <c r="M864" s="32">
        <v>0</v>
      </c>
      <c r="N864" s="32">
        <v>7</v>
      </c>
      <c r="O864" s="33">
        <v>385</v>
      </c>
      <c r="P864" s="38" t="s">
        <v>1014</v>
      </c>
      <c r="Q864" s="34" t="str">
        <f>IF(MasterFees[[#This Row],[GST Basis]]="Excl",MasterFees[[#This Row],[Fee as Printed]],IF(MasterFees[[#This Row],[GST Basis]]="Incl",MasterFees[[#This Row],[Fee as Printed]]/(1+GST_Rate),""))</f>
        <v/>
      </c>
      <c r="R864" s="34" t="str">
        <f>IF(MasterFees[[#This Row],[GST Basis]]="Incl",MasterFees[[#This Row],[Fee as Printed]],IF(MasterFees[[#This Row],[GST Basis]]="Excl",MasterFees[[#This Row],[Fee as Printed]]*(1+GST_Rate),""))</f>
        <v/>
      </c>
      <c r="S864" s="35">
        <f>IF(N(MasterFees[[#This Row],[Total Units]])=0,"",MasterFees[[#This Row],[Fee as Printed]]/MasterFees[[#This Row],[Total Units]])</f>
        <v>55</v>
      </c>
      <c r="T864" s="36"/>
      <c r="U864" s="39" t="s">
        <v>1012</v>
      </c>
      <c r="V864" s="39" t="s">
        <v>1380</v>
      </c>
      <c r="W864" s="30"/>
      <c r="X864" s="73" t="s">
        <v>3171</v>
      </c>
      <c r="Y864" s="127" t="str">
        <f>_xlfn.XLOOKUP(MasterFees[[#This Row],[Provider / Payer]],Contracts[Contract Name],Contracts[Contract ID],"No contract")</f>
        <v>CON-01</v>
      </c>
      <c r="Z864" s="127" t="str">
        <f>_xlfn.XLOOKUP(MasterFees[[#This Row],[Provider / Payer]],Contracts[Contract Name],Contracts[Pricing Basis],"To confirm")</f>
        <v>To confirm</v>
      </c>
      <c r="AA864" s="127" t="str">
        <f>IF(MasterFees[[#This Row],[Pricing Basis]]="Fixed fee schedule","Yes","No")</f>
        <v>No</v>
      </c>
      <c r="AB864" s="127" t="str">
        <f>IF(OR(MasterFees[[#This Row],[Fee Basis]]="Add-on",MasterFees[[#This Row],[Fee Basis]]="Time band",MasterFees[[#This Row],[Fee Basis]]="Other"),MasterFees[[#This Row],[Fee Basis]],"Base")</f>
        <v>Base</v>
      </c>
      <c r="AC864" s="141" t="str">
        <f>IF(MasterFees[[#This Row],[Fixed Fee?]]="Yes",MasterFees[[#This Row],[Fee Excl. GST]],"")</f>
        <v/>
      </c>
    </row>
    <row r="865" spans="1:29" x14ac:dyDescent="0.2">
      <c r="A865" s="67" t="s">
        <v>2347</v>
      </c>
      <c r="B865" s="31">
        <f>IF(MasterFees[[#This Row],[RVG Code]]="","",_xlfn.XLOOKUP(MasterFees[[#This Row],[RVG Code]],RVGCodes[Code],RVGCodes[Base Units],"Code not found"))</f>
        <v>4</v>
      </c>
      <c r="C86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6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65" s="125" t="s">
        <v>2580</v>
      </c>
      <c r="F865" s="48" t="s">
        <v>2567</v>
      </c>
      <c r="G865" s="30" t="s">
        <v>292</v>
      </c>
      <c r="H865" s="37" t="s">
        <v>1095</v>
      </c>
      <c r="I865" s="37"/>
      <c r="J865" s="37" t="s">
        <v>1096</v>
      </c>
      <c r="K865" s="32">
        <v>3.8</v>
      </c>
      <c r="L865" s="32">
        <v>3</v>
      </c>
      <c r="M865" s="32">
        <v>0</v>
      </c>
      <c r="N865" s="32">
        <v>6.8</v>
      </c>
      <c r="O865" s="33">
        <v>371.25</v>
      </c>
      <c r="P865" s="38" t="s">
        <v>1014</v>
      </c>
      <c r="Q865" s="34" t="str">
        <f>IF(MasterFees[[#This Row],[GST Basis]]="Excl",MasterFees[[#This Row],[Fee as Printed]],IF(MasterFees[[#This Row],[GST Basis]]="Incl",MasterFees[[#This Row],[Fee as Printed]]/(1+GST_Rate),""))</f>
        <v/>
      </c>
      <c r="R865" s="34" t="str">
        <f>IF(MasterFees[[#This Row],[GST Basis]]="Incl",MasterFees[[#This Row],[Fee as Printed]],IF(MasterFees[[#This Row],[GST Basis]]="Excl",MasterFees[[#This Row],[Fee as Printed]]*(1+GST_Rate),""))</f>
        <v/>
      </c>
      <c r="S865" s="35">
        <f>IF(N(MasterFees[[#This Row],[Total Units]])=0,"",MasterFees[[#This Row],[Fee as Printed]]/MasterFees[[#This Row],[Total Units]])</f>
        <v>54.595588235294116</v>
      </c>
      <c r="T865" s="36"/>
      <c r="U865" s="39" t="s">
        <v>1012</v>
      </c>
      <c r="V865" s="39" t="s">
        <v>1386</v>
      </c>
      <c r="W865" s="30"/>
      <c r="X865" s="73" t="s">
        <v>3177</v>
      </c>
      <c r="Y865" s="127" t="str">
        <f>_xlfn.XLOOKUP(MasterFees[[#This Row],[Provider / Payer]],Contracts[Contract Name],Contracts[Contract ID],"No contract")</f>
        <v>CON-01</v>
      </c>
      <c r="Z865" s="127" t="str">
        <f>_xlfn.XLOOKUP(MasterFees[[#This Row],[Provider / Payer]],Contracts[Contract Name],Contracts[Pricing Basis],"To confirm")</f>
        <v>To confirm</v>
      </c>
      <c r="AA865" s="127" t="str">
        <f>IF(MasterFees[[#This Row],[Pricing Basis]]="Fixed fee schedule","Yes","No")</f>
        <v>No</v>
      </c>
      <c r="AB865" s="127" t="str">
        <f>IF(OR(MasterFees[[#This Row],[Fee Basis]]="Add-on",MasterFees[[#This Row],[Fee Basis]]="Time band",MasterFees[[#This Row],[Fee Basis]]="Other"),MasterFees[[#This Row],[Fee Basis]],"Base")</f>
        <v>Base</v>
      </c>
      <c r="AC865" s="141" t="str">
        <f>IF(MasterFees[[#This Row],[Fixed Fee?]]="Yes",MasterFees[[#This Row],[Fee Excl. GST]],"")</f>
        <v/>
      </c>
    </row>
    <row r="866" spans="1:29" x14ac:dyDescent="0.2">
      <c r="A866" s="67" t="s">
        <v>2347</v>
      </c>
      <c r="B866" s="31">
        <f>IF(MasterFees[[#This Row],[RVG Code]]="","",_xlfn.XLOOKUP(MasterFees[[#This Row],[RVG Code]],RVGCodes[Code],RVGCodes[Base Units],"Code not found"))</f>
        <v>4</v>
      </c>
      <c r="C86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6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66" s="125" t="s">
        <v>2580</v>
      </c>
      <c r="F866" s="48" t="s">
        <v>2567</v>
      </c>
      <c r="G866" s="30" t="s">
        <v>293</v>
      </c>
      <c r="H866" s="37" t="s">
        <v>1095</v>
      </c>
      <c r="I866" s="37"/>
      <c r="J866" s="37" t="s">
        <v>1096</v>
      </c>
      <c r="K866" s="32">
        <v>4.7</v>
      </c>
      <c r="L866" s="32">
        <v>3.7</v>
      </c>
      <c r="M866" s="32">
        <v>0</v>
      </c>
      <c r="N866" s="32">
        <v>8.3000000000000007</v>
      </c>
      <c r="O866" s="33">
        <v>457.6</v>
      </c>
      <c r="P866" s="38" t="s">
        <v>1014</v>
      </c>
      <c r="Q866" s="34" t="str">
        <f>IF(MasterFees[[#This Row],[GST Basis]]="Excl",MasterFees[[#This Row],[Fee as Printed]],IF(MasterFees[[#This Row],[GST Basis]]="Incl",MasterFees[[#This Row],[Fee as Printed]]/(1+GST_Rate),""))</f>
        <v/>
      </c>
      <c r="R866" s="34" t="str">
        <f>IF(MasterFees[[#This Row],[GST Basis]]="Incl",MasterFees[[#This Row],[Fee as Printed]],IF(MasterFees[[#This Row],[GST Basis]]="Excl",MasterFees[[#This Row],[Fee as Printed]]*(1+GST_Rate),""))</f>
        <v/>
      </c>
      <c r="S866" s="35">
        <f>IF(N(MasterFees[[#This Row],[Total Units]])=0,"",MasterFees[[#This Row],[Fee as Printed]]/MasterFees[[#This Row],[Total Units]])</f>
        <v>55.132530120481924</v>
      </c>
      <c r="T866" s="36"/>
      <c r="U866" s="39" t="s">
        <v>1012</v>
      </c>
      <c r="V866" s="39" t="s">
        <v>1387</v>
      </c>
      <c r="W866" s="30"/>
      <c r="X866" s="73" t="s">
        <v>3178</v>
      </c>
      <c r="Y866" s="127" t="str">
        <f>_xlfn.XLOOKUP(MasterFees[[#This Row],[Provider / Payer]],Contracts[Contract Name],Contracts[Contract ID],"No contract")</f>
        <v>CON-01</v>
      </c>
      <c r="Z866" s="127" t="str">
        <f>_xlfn.XLOOKUP(MasterFees[[#This Row],[Provider / Payer]],Contracts[Contract Name],Contracts[Pricing Basis],"To confirm")</f>
        <v>To confirm</v>
      </c>
      <c r="AA866" s="127" t="str">
        <f>IF(MasterFees[[#This Row],[Pricing Basis]]="Fixed fee schedule","Yes","No")</f>
        <v>No</v>
      </c>
      <c r="AB866" s="127" t="str">
        <f>IF(OR(MasterFees[[#This Row],[Fee Basis]]="Add-on",MasterFees[[#This Row],[Fee Basis]]="Time band",MasterFees[[#This Row],[Fee Basis]]="Other"),MasterFees[[#This Row],[Fee Basis]],"Base")</f>
        <v>Base</v>
      </c>
      <c r="AC866" s="141" t="str">
        <f>IF(MasterFees[[#This Row],[Fixed Fee?]]="Yes",MasterFees[[#This Row],[Fee Excl. GST]],"")</f>
        <v/>
      </c>
    </row>
    <row r="867" spans="1:29" x14ac:dyDescent="0.2">
      <c r="A867" s="67" t="s">
        <v>2347</v>
      </c>
      <c r="B867" s="31">
        <f>IF(MasterFees[[#This Row],[RVG Code]]="","",_xlfn.XLOOKUP(MasterFees[[#This Row],[RVG Code]],RVGCodes[Code],RVGCodes[Base Units],"Code not found"))</f>
        <v>4</v>
      </c>
      <c r="C86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6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67" s="125" t="s">
        <v>2580</v>
      </c>
      <c r="F867" s="48" t="s">
        <v>2567</v>
      </c>
      <c r="G867" s="30" t="s">
        <v>294</v>
      </c>
      <c r="H867" s="37" t="s">
        <v>1095</v>
      </c>
      <c r="I867" s="37"/>
      <c r="J867" s="37" t="s">
        <v>1096</v>
      </c>
      <c r="K867" s="32">
        <v>3.7</v>
      </c>
      <c r="L867" s="32">
        <v>2.5</v>
      </c>
      <c r="M867" s="32">
        <v>0</v>
      </c>
      <c r="N867" s="32">
        <v>6.2</v>
      </c>
      <c r="O867" s="33">
        <v>338.8</v>
      </c>
      <c r="P867" s="38" t="s">
        <v>1014</v>
      </c>
      <c r="Q867" s="34" t="str">
        <f>IF(MasterFees[[#This Row],[GST Basis]]="Excl",MasterFees[[#This Row],[Fee as Printed]],IF(MasterFees[[#This Row],[GST Basis]]="Incl",MasterFees[[#This Row],[Fee as Printed]]/(1+GST_Rate),""))</f>
        <v/>
      </c>
      <c r="R867" s="34" t="str">
        <f>IF(MasterFees[[#This Row],[GST Basis]]="Incl",MasterFees[[#This Row],[Fee as Printed]],IF(MasterFees[[#This Row],[GST Basis]]="Excl",MasterFees[[#This Row],[Fee as Printed]]*(1+GST_Rate),""))</f>
        <v/>
      </c>
      <c r="S867" s="35">
        <f>IF(N(MasterFees[[#This Row],[Total Units]])=0,"",MasterFees[[#This Row],[Fee as Printed]]/MasterFees[[#This Row],[Total Units]])</f>
        <v>54.645161290322584</v>
      </c>
      <c r="T867" s="36"/>
      <c r="U867" s="39" t="s">
        <v>1012</v>
      </c>
      <c r="V867" s="39" t="s">
        <v>1388</v>
      </c>
      <c r="W867" s="30"/>
      <c r="X867" s="73" t="s">
        <v>3179</v>
      </c>
      <c r="Y867" s="127" t="str">
        <f>_xlfn.XLOOKUP(MasterFees[[#This Row],[Provider / Payer]],Contracts[Contract Name],Contracts[Contract ID],"No contract")</f>
        <v>CON-01</v>
      </c>
      <c r="Z867" s="127" t="str">
        <f>_xlfn.XLOOKUP(MasterFees[[#This Row],[Provider / Payer]],Contracts[Contract Name],Contracts[Pricing Basis],"To confirm")</f>
        <v>To confirm</v>
      </c>
      <c r="AA867" s="127" t="str">
        <f>IF(MasterFees[[#This Row],[Pricing Basis]]="Fixed fee schedule","Yes","No")</f>
        <v>No</v>
      </c>
      <c r="AB867" s="127" t="str">
        <f>IF(OR(MasterFees[[#This Row],[Fee Basis]]="Add-on",MasterFees[[#This Row],[Fee Basis]]="Time band",MasterFees[[#This Row],[Fee Basis]]="Other"),MasterFees[[#This Row],[Fee Basis]],"Base")</f>
        <v>Base</v>
      </c>
      <c r="AC867" s="141" t="str">
        <f>IF(MasterFees[[#This Row],[Fixed Fee?]]="Yes",MasterFees[[#This Row],[Fee Excl. GST]],"")</f>
        <v/>
      </c>
    </row>
    <row r="868" spans="1:29" x14ac:dyDescent="0.2">
      <c r="A868" s="67" t="s">
        <v>2347</v>
      </c>
      <c r="B868" s="31">
        <f>IF(MasterFees[[#This Row],[RVG Code]]="","",_xlfn.XLOOKUP(MasterFees[[#This Row],[RVG Code]],RVGCodes[Code],RVGCodes[Base Units],"Code not found"))</f>
        <v>4</v>
      </c>
      <c r="C86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6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68" s="125" t="s">
        <v>2580</v>
      </c>
      <c r="F868" s="48" t="s">
        <v>2567</v>
      </c>
      <c r="G868" s="30" t="s">
        <v>295</v>
      </c>
      <c r="H868" s="37" t="s">
        <v>1095</v>
      </c>
      <c r="I868" s="37"/>
      <c r="J868" s="37" t="s">
        <v>1096</v>
      </c>
      <c r="K868" s="32">
        <v>4</v>
      </c>
      <c r="L868" s="32">
        <v>3</v>
      </c>
      <c r="M868" s="32">
        <v>0</v>
      </c>
      <c r="N868" s="32">
        <v>7</v>
      </c>
      <c r="O868" s="33">
        <v>385</v>
      </c>
      <c r="P868" s="38" t="s">
        <v>1014</v>
      </c>
      <c r="Q868" s="34" t="str">
        <f>IF(MasterFees[[#This Row],[GST Basis]]="Excl",MasterFees[[#This Row],[Fee as Printed]],IF(MasterFees[[#This Row],[GST Basis]]="Incl",MasterFees[[#This Row],[Fee as Printed]]/(1+GST_Rate),""))</f>
        <v/>
      </c>
      <c r="R868" s="34" t="str">
        <f>IF(MasterFees[[#This Row],[GST Basis]]="Incl",MasterFees[[#This Row],[Fee as Printed]],IF(MasterFees[[#This Row],[GST Basis]]="Excl",MasterFees[[#This Row],[Fee as Printed]]*(1+GST_Rate),""))</f>
        <v/>
      </c>
      <c r="S868" s="35">
        <f>IF(N(MasterFees[[#This Row],[Total Units]])=0,"",MasterFees[[#This Row],[Fee as Printed]]/MasterFees[[#This Row],[Total Units]])</f>
        <v>55</v>
      </c>
      <c r="T868" s="36"/>
      <c r="U868" s="39" t="s">
        <v>1012</v>
      </c>
      <c r="V868" s="39" t="s">
        <v>1389</v>
      </c>
      <c r="W868" s="30"/>
      <c r="X868" s="73" t="s">
        <v>3180</v>
      </c>
      <c r="Y868" s="127" t="str">
        <f>_xlfn.XLOOKUP(MasterFees[[#This Row],[Provider / Payer]],Contracts[Contract Name],Contracts[Contract ID],"No contract")</f>
        <v>CON-01</v>
      </c>
      <c r="Z868" s="127" t="str">
        <f>_xlfn.XLOOKUP(MasterFees[[#This Row],[Provider / Payer]],Contracts[Contract Name],Contracts[Pricing Basis],"To confirm")</f>
        <v>To confirm</v>
      </c>
      <c r="AA868" s="127" t="str">
        <f>IF(MasterFees[[#This Row],[Pricing Basis]]="Fixed fee schedule","Yes","No")</f>
        <v>No</v>
      </c>
      <c r="AB868" s="127" t="str">
        <f>IF(OR(MasterFees[[#This Row],[Fee Basis]]="Add-on",MasterFees[[#This Row],[Fee Basis]]="Time band",MasterFees[[#This Row],[Fee Basis]]="Other"),MasterFees[[#This Row],[Fee Basis]],"Base")</f>
        <v>Base</v>
      </c>
      <c r="AC868" s="141" t="str">
        <f>IF(MasterFees[[#This Row],[Fixed Fee?]]="Yes",MasterFees[[#This Row],[Fee Excl. GST]],"")</f>
        <v/>
      </c>
    </row>
    <row r="869" spans="1:29" x14ac:dyDescent="0.2">
      <c r="A869" s="67" t="s">
        <v>2347</v>
      </c>
      <c r="B869" s="31">
        <f>IF(MasterFees[[#This Row],[RVG Code]]="","",_xlfn.XLOOKUP(MasterFees[[#This Row],[RVG Code]],RVGCodes[Code],RVGCodes[Base Units],"Code not found"))</f>
        <v>4</v>
      </c>
      <c r="C86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6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69" s="125" t="s">
        <v>2580</v>
      </c>
      <c r="F869" s="48" t="s">
        <v>2567</v>
      </c>
      <c r="G869" s="30" t="s">
        <v>296</v>
      </c>
      <c r="H869" s="37" t="s">
        <v>1095</v>
      </c>
      <c r="I869" s="37"/>
      <c r="J869" s="37" t="s">
        <v>1096</v>
      </c>
      <c r="K869" s="32">
        <v>2.2999999999999998</v>
      </c>
      <c r="L869" s="32">
        <v>1.6</v>
      </c>
      <c r="M869" s="32">
        <v>0</v>
      </c>
      <c r="N869" s="32">
        <v>3.9</v>
      </c>
      <c r="O869" s="33">
        <v>211.75</v>
      </c>
      <c r="P869" s="38" t="s">
        <v>1014</v>
      </c>
      <c r="Q869" s="34" t="str">
        <f>IF(MasterFees[[#This Row],[GST Basis]]="Excl",MasterFees[[#This Row],[Fee as Printed]],IF(MasterFees[[#This Row],[GST Basis]]="Incl",MasterFees[[#This Row],[Fee as Printed]]/(1+GST_Rate),""))</f>
        <v/>
      </c>
      <c r="R869" s="34" t="str">
        <f>IF(MasterFees[[#This Row],[GST Basis]]="Incl",MasterFees[[#This Row],[Fee as Printed]],IF(MasterFees[[#This Row],[GST Basis]]="Excl",MasterFees[[#This Row],[Fee as Printed]]*(1+GST_Rate),""))</f>
        <v/>
      </c>
      <c r="S869" s="35">
        <f>IF(N(MasterFees[[#This Row],[Total Units]])=0,"",MasterFees[[#This Row],[Fee as Printed]]/MasterFees[[#This Row],[Total Units]])</f>
        <v>54.294871794871796</v>
      </c>
      <c r="T869" s="36"/>
      <c r="U869" s="39" t="s">
        <v>1012</v>
      </c>
      <c r="V869" s="39" t="s">
        <v>1390</v>
      </c>
      <c r="W869" s="30"/>
      <c r="X869" s="73" t="s">
        <v>3181</v>
      </c>
      <c r="Y869" s="127" t="str">
        <f>_xlfn.XLOOKUP(MasterFees[[#This Row],[Provider / Payer]],Contracts[Contract Name],Contracts[Contract ID],"No contract")</f>
        <v>CON-01</v>
      </c>
      <c r="Z869" s="127" t="str">
        <f>_xlfn.XLOOKUP(MasterFees[[#This Row],[Provider / Payer]],Contracts[Contract Name],Contracts[Pricing Basis],"To confirm")</f>
        <v>To confirm</v>
      </c>
      <c r="AA869" s="127" t="str">
        <f>IF(MasterFees[[#This Row],[Pricing Basis]]="Fixed fee schedule","Yes","No")</f>
        <v>No</v>
      </c>
      <c r="AB869" s="127" t="str">
        <f>IF(OR(MasterFees[[#This Row],[Fee Basis]]="Add-on",MasterFees[[#This Row],[Fee Basis]]="Time band",MasterFees[[#This Row],[Fee Basis]]="Other"),MasterFees[[#This Row],[Fee Basis]],"Base")</f>
        <v>Base</v>
      </c>
      <c r="AC869" s="141" t="str">
        <f>IF(MasterFees[[#This Row],[Fixed Fee?]]="Yes",MasterFees[[#This Row],[Fee Excl. GST]],"")</f>
        <v/>
      </c>
    </row>
    <row r="870" spans="1:29" x14ac:dyDescent="0.2">
      <c r="A870" s="67" t="s">
        <v>2347</v>
      </c>
      <c r="B870" s="31">
        <f>IF(MasterFees[[#This Row],[RVG Code]]="","",_xlfn.XLOOKUP(MasterFees[[#This Row],[RVG Code]],RVGCodes[Code],RVGCodes[Base Units],"Code not found"))</f>
        <v>4</v>
      </c>
      <c r="C87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7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70" s="125" t="s">
        <v>2580</v>
      </c>
      <c r="F870" s="48" t="s">
        <v>2567</v>
      </c>
      <c r="G870" s="30" t="s">
        <v>297</v>
      </c>
      <c r="H870" s="37" t="s">
        <v>1095</v>
      </c>
      <c r="I870" s="37"/>
      <c r="J870" s="37" t="s">
        <v>1096</v>
      </c>
      <c r="K870" s="32">
        <v>5</v>
      </c>
      <c r="L870" s="32">
        <v>3</v>
      </c>
      <c r="M870" s="32">
        <v>0</v>
      </c>
      <c r="N870" s="32">
        <v>8</v>
      </c>
      <c r="O870" s="33">
        <v>440</v>
      </c>
      <c r="P870" s="38" t="s">
        <v>1014</v>
      </c>
      <c r="Q870" s="34" t="str">
        <f>IF(MasterFees[[#This Row],[GST Basis]]="Excl",MasterFees[[#This Row],[Fee as Printed]],IF(MasterFees[[#This Row],[GST Basis]]="Incl",MasterFees[[#This Row],[Fee as Printed]]/(1+GST_Rate),""))</f>
        <v/>
      </c>
      <c r="R870" s="34" t="str">
        <f>IF(MasterFees[[#This Row],[GST Basis]]="Incl",MasterFees[[#This Row],[Fee as Printed]],IF(MasterFees[[#This Row],[GST Basis]]="Excl",MasterFees[[#This Row],[Fee as Printed]]*(1+GST_Rate),""))</f>
        <v/>
      </c>
      <c r="S870" s="35">
        <f>IF(N(MasterFees[[#This Row],[Total Units]])=0,"",MasterFees[[#This Row],[Fee as Printed]]/MasterFees[[#This Row],[Total Units]])</f>
        <v>55</v>
      </c>
      <c r="T870" s="36"/>
      <c r="U870" s="39" t="s">
        <v>1012</v>
      </c>
      <c r="V870" s="39" t="s">
        <v>1391</v>
      </c>
      <c r="W870" s="30"/>
      <c r="X870" s="73" t="s">
        <v>3182</v>
      </c>
      <c r="Y870" s="127" t="str">
        <f>_xlfn.XLOOKUP(MasterFees[[#This Row],[Provider / Payer]],Contracts[Contract Name],Contracts[Contract ID],"No contract")</f>
        <v>CON-01</v>
      </c>
      <c r="Z870" s="127" t="str">
        <f>_xlfn.XLOOKUP(MasterFees[[#This Row],[Provider / Payer]],Contracts[Contract Name],Contracts[Pricing Basis],"To confirm")</f>
        <v>To confirm</v>
      </c>
      <c r="AA870" s="127" t="str">
        <f>IF(MasterFees[[#This Row],[Pricing Basis]]="Fixed fee schedule","Yes","No")</f>
        <v>No</v>
      </c>
      <c r="AB870" s="127" t="str">
        <f>IF(OR(MasterFees[[#This Row],[Fee Basis]]="Add-on",MasterFees[[#This Row],[Fee Basis]]="Time band",MasterFees[[#This Row],[Fee Basis]]="Other"),MasterFees[[#This Row],[Fee Basis]],"Base")</f>
        <v>Base</v>
      </c>
      <c r="AC870" s="141" t="str">
        <f>IF(MasterFees[[#This Row],[Fixed Fee?]]="Yes",MasterFees[[#This Row],[Fee Excl. GST]],"")</f>
        <v/>
      </c>
    </row>
    <row r="871" spans="1:29" x14ac:dyDescent="0.2">
      <c r="A871" s="67" t="s">
        <v>2347</v>
      </c>
      <c r="B871" s="31">
        <f>IF(MasterFees[[#This Row],[RVG Code]]="","",_xlfn.XLOOKUP(MasterFees[[#This Row],[RVG Code]],RVGCodes[Code],RVGCodes[Base Units],"Code not found"))</f>
        <v>4</v>
      </c>
      <c r="C87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7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71" s="125" t="s">
        <v>2580</v>
      </c>
      <c r="F871" s="48" t="s">
        <v>2567</v>
      </c>
      <c r="G871" s="30" t="s">
        <v>298</v>
      </c>
      <c r="H871" s="37" t="s">
        <v>1095</v>
      </c>
      <c r="I871" s="37"/>
      <c r="J871" s="37" t="s">
        <v>1096</v>
      </c>
      <c r="K871" s="32">
        <v>4</v>
      </c>
      <c r="L871" s="32">
        <v>4</v>
      </c>
      <c r="M871" s="32">
        <v>2</v>
      </c>
      <c r="N871" s="32">
        <v>10</v>
      </c>
      <c r="O871" s="33">
        <v>550</v>
      </c>
      <c r="P871" s="38" t="s">
        <v>1014</v>
      </c>
      <c r="Q871" s="34" t="str">
        <f>IF(MasterFees[[#This Row],[GST Basis]]="Excl",MasterFees[[#This Row],[Fee as Printed]],IF(MasterFees[[#This Row],[GST Basis]]="Incl",MasterFees[[#This Row],[Fee as Printed]]/(1+GST_Rate),""))</f>
        <v/>
      </c>
      <c r="R871" s="34" t="str">
        <f>IF(MasterFees[[#This Row],[GST Basis]]="Incl",MasterFees[[#This Row],[Fee as Printed]],IF(MasterFees[[#This Row],[GST Basis]]="Excl",MasterFees[[#This Row],[Fee as Printed]]*(1+GST_Rate),""))</f>
        <v/>
      </c>
      <c r="S871" s="35">
        <f>IF(N(MasterFees[[#This Row],[Total Units]])=0,"",MasterFees[[#This Row],[Fee as Printed]]/MasterFees[[#This Row],[Total Units]])</f>
        <v>55</v>
      </c>
      <c r="T871" s="36"/>
      <c r="U871" s="39" t="s">
        <v>1012</v>
      </c>
      <c r="V871" s="39" t="s">
        <v>1392</v>
      </c>
      <c r="W871" s="30"/>
      <c r="X871" s="73" t="s">
        <v>3183</v>
      </c>
      <c r="Y871" s="127" t="str">
        <f>_xlfn.XLOOKUP(MasterFees[[#This Row],[Provider / Payer]],Contracts[Contract Name],Contracts[Contract ID],"No contract")</f>
        <v>CON-01</v>
      </c>
      <c r="Z871" s="127" t="str">
        <f>_xlfn.XLOOKUP(MasterFees[[#This Row],[Provider / Payer]],Contracts[Contract Name],Contracts[Pricing Basis],"To confirm")</f>
        <v>To confirm</v>
      </c>
      <c r="AA871" s="127" t="str">
        <f>IF(MasterFees[[#This Row],[Pricing Basis]]="Fixed fee schedule","Yes","No")</f>
        <v>No</v>
      </c>
      <c r="AB871" s="127" t="str">
        <f>IF(OR(MasterFees[[#This Row],[Fee Basis]]="Add-on",MasterFees[[#This Row],[Fee Basis]]="Time band",MasterFees[[#This Row],[Fee Basis]]="Other"),MasterFees[[#This Row],[Fee Basis]],"Base")</f>
        <v>Base</v>
      </c>
      <c r="AC871" s="141" t="str">
        <f>IF(MasterFees[[#This Row],[Fixed Fee?]]="Yes",MasterFees[[#This Row],[Fee Excl. GST]],"")</f>
        <v/>
      </c>
    </row>
    <row r="872" spans="1:29" x14ac:dyDescent="0.2">
      <c r="A872" s="67" t="s">
        <v>2347</v>
      </c>
      <c r="B872" s="31">
        <f>IF(MasterFees[[#This Row],[RVG Code]]="","",_xlfn.XLOOKUP(MasterFees[[#This Row],[RVG Code]],RVGCodes[Code],RVGCodes[Base Units],"Code not found"))</f>
        <v>4</v>
      </c>
      <c r="C87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7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72" s="125" t="s">
        <v>2580</v>
      </c>
      <c r="F872" s="48" t="s">
        <v>2569</v>
      </c>
      <c r="G872" s="30" t="s">
        <v>299</v>
      </c>
      <c r="H872" s="37" t="s">
        <v>1095</v>
      </c>
      <c r="I872" s="37"/>
      <c r="J872" s="37" t="s">
        <v>1096</v>
      </c>
      <c r="K872" s="32">
        <v>4</v>
      </c>
      <c r="L872" s="32">
        <v>2.7</v>
      </c>
      <c r="M872" s="32">
        <v>0.8</v>
      </c>
      <c r="N872" s="32">
        <v>7.5</v>
      </c>
      <c r="O872" s="33">
        <v>411.95</v>
      </c>
      <c r="P872" s="38" t="s">
        <v>1014</v>
      </c>
      <c r="Q872" s="34" t="str">
        <f>IF(MasterFees[[#This Row],[GST Basis]]="Excl",MasterFees[[#This Row],[Fee as Printed]],IF(MasterFees[[#This Row],[GST Basis]]="Incl",MasterFees[[#This Row],[Fee as Printed]]/(1+GST_Rate),""))</f>
        <v/>
      </c>
      <c r="R872" s="34" t="str">
        <f>IF(MasterFees[[#This Row],[GST Basis]]="Incl",MasterFees[[#This Row],[Fee as Printed]],IF(MasterFees[[#This Row],[GST Basis]]="Excl",MasterFees[[#This Row],[Fee as Printed]]*(1+GST_Rate),""))</f>
        <v/>
      </c>
      <c r="S872" s="35">
        <f>IF(N(MasterFees[[#This Row],[Total Units]])=0,"",MasterFees[[#This Row],[Fee as Printed]]/MasterFees[[#This Row],[Total Units]])</f>
        <v>54.926666666666662</v>
      </c>
      <c r="T872" s="36"/>
      <c r="U872" s="39" t="s">
        <v>1012</v>
      </c>
      <c r="V872" s="39" t="s">
        <v>1393</v>
      </c>
      <c r="W872" s="30"/>
      <c r="X872" s="73" t="s">
        <v>3184</v>
      </c>
      <c r="Y872" s="127" t="str">
        <f>_xlfn.XLOOKUP(MasterFees[[#This Row],[Provider / Payer]],Contracts[Contract Name],Contracts[Contract ID],"No contract")</f>
        <v>CON-01</v>
      </c>
      <c r="Z872" s="127" t="str">
        <f>_xlfn.XLOOKUP(MasterFees[[#This Row],[Provider / Payer]],Contracts[Contract Name],Contracts[Pricing Basis],"To confirm")</f>
        <v>To confirm</v>
      </c>
      <c r="AA872" s="127" t="str">
        <f>IF(MasterFees[[#This Row],[Pricing Basis]]="Fixed fee schedule","Yes","No")</f>
        <v>No</v>
      </c>
      <c r="AB872" s="127" t="str">
        <f>IF(OR(MasterFees[[#This Row],[Fee Basis]]="Add-on",MasterFees[[#This Row],[Fee Basis]]="Time band",MasterFees[[#This Row],[Fee Basis]]="Other"),MasterFees[[#This Row],[Fee Basis]],"Base")</f>
        <v>Base</v>
      </c>
      <c r="AC872" s="141" t="str">
        <f>IF(MasterFees[[#This Row],[Fixed Fee?]]="Yes",MasterFees[[#This Row],[Fee Excl. GST]],"")</f>
        <v/>
      </c>
    </row>
    <row r="873" spans="1:29" x14ac:dyDescent="0.2">
      <c r="A873" s="67" t="s">
        <v>2347</v>
      </c>
      <c r="B873" s="31">
        <f>IF(MasterFees[[#This Row],[RVG Code]]="","",_xlfn.XLOOKUP(MasterFees[[#This Row],[RVG Code]],RVGCodes[Code],RVGCodes[Base Units],"Code not found"))</f>
        <v>4</v>
      </c>
      <c r="C87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7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73" s="125" t="s">
        <v>2580</v>
      </c>
      <c r="F873" s="48" t="s">
        <v>2567</v>
      </c>
      <c r="G873" s="30" t="s">
        <v>300</v>
      </c>
      <c r="H873" s="37" t="s">
        <v>1095</v>
      </c>
      <c r="I873" s="37"/>
      <c r="J873" s="37" t="s">
        <v>1096</v>
      </c>
      <c r="K873" s="32">
        <v>0</v>
      </c>
      <c r="L873" s="32">
        <v>1</v>
      </c>
      <c r="M873" s="32">
        <v>0</v>
      </c>
      <c r="N873" s="32">
        <v>1</v>
      </c>
      <c r="O873" s="33">
        <v>55</v>
      </c>
      <c r="P873" s="38" t="s">
        <v>1014</v>
      </c>
      <c r="Q873" s="34" t="str">
        <f>IF(MasterFees[[#This Row],[GST Basis]]="Excl",MasterFees[[#This Row],[Fee as Printed]],IF(MasterFees[[#This Row],[GST Basis]]="Incl",MasterFees[[#This Row],[Fee as Printed]]/(1+GST_Rate),""))</f>
        <v/>
      </c>
      <c r="R873" s="34" t="str">
        <f>IF(MasterFees[[#This Row],[GST Basis]]="Incl",MasterFees[[#This Row],[Fee as Printed]],IF(MasterFees[[#This Row],[GST Basis]]="Excl",MasterFees[[#This Row],[Fee as Printed]]*(1+GST_Rate),""))</f>
        <v/>
      </c>
      <c r="S873" s="35">
        <f>IF(N(MasterFees[[#This Row],[Total Units]])=0,"",MasterFees[[#This Row],[Fee as Printed]]/MasterFees[[#This Row],[Total Units]])</f>
        <v>55</v>
      </c>
      <c r="T873" s="36"/>
      <c r="U873" s="39" t="s">
        <v>1012</v>
      </c>
      <c r="V873" s="39" t="s">
        <v>1394</v>
      </c>
      <c r="W873" s="30"/>
      <c r="X873" s="73" t="s">
        <v>3185</v>
      </c>
      <c r="Y873" s="127" t="str">
        <f>_xlfn.XLOOKUP(MasterFees[[#This Row],[Provider / Payer]],Contracts[Contract Name],Contracts[Contract ID],"No contract")</f>
        <v>CON-01</v>
      </c>
      <c r="Z873" s="127" t="str">
        <f>_xlfn.XLOOKUP(MasterFees[[#This Row],[Provider / Payer]],Contracts[Contract Name],Contracts[Pricing Basis],"To confirm")</f>
        <v>To confirm</v>
      </c>
      <c r="AA873" s="127" t="str">
        <f>IF(MasterFees[[#This Row],[Pricing Basis]]="Fixed fee schedule","Yes","No")</f>
        <v>No</v>
      </c>
      <c r="AB873" s="127" t="str">
        <f>IF(OR(MasterFees[[#This Row],[Fee Basis]]="Add-on",MasterFees[[#This Row],[Fee Basis]]="Time band",MasterFees[[#This Row],[Fee Basis]]="Other"),MasterFees[[#This Row],[Fee Basis]],"Base")</f>
        <v>Base</v>
      </c>
      <c r="AC873" s="141" t="str">
        <f>IF(MasterFees[[#This Row],[Fixed Fee?]]="Yes",MasterFees[[#This Row],[Fee Excl. GST]],"")</f>
        <v/>
      </c>
    </row>
    <row r="874" spans="1:29" x14ac:dyDescent="0.2">
      <c r="A874" s="67" t="s">
        <v>2347</v>
      </c>
      <c r="B874" s="31">
        <f>IF(MasterFees[[#This Row],[RVG Code]]="","",_xlfn.XLOOKUP(MasterFees[[#This Row],[RVG Code]],RVGCodes[Code],RVGCodes[Base Units],"Code not found"))</f>
        <v>4</v>
      </c>
      <c r="C87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7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74" s="125" t="s">
        <v>2580</v>
      </c>
      <c r="F874" s="48" t="s">
        <v>2567</v>
      </c>
      <c r="G874" s="30" t="s">
        <v>301</v>
      </c>
      <c r="H874" s="37" t="s">
        <v>1095</v>
      </c>
      <c r="I874" s="37"/>
      <c r="J874" s="37" t="s">
        <v>1096</v>
      </c>
      <c r="K874" s="32">
        <v>0</v>
      </c>
      <c r="L874" s="32">
        <v>1</v>
      </c>
      <c r="M874" s="32">
        <v>0</v>
      </c>
      <c r="N874" s="32">
        <v>1</v>
      </c>
      <c r="O874" s="33">
        <v>55</v>
      </c>
      <c r="P874" s="38" t="s">
        <v>1014</v>
      </c>
      <c r="Q874" s="34" t="str">
        <f>IF(MasterFees[[#This Row],[GST Basis]]="Excl",MasterFees[[#This Row],[Fee as Printed]],IF(MasterFees[[#This Row],[GST Basis]]="Incl",MasterFees[[#This Row],[Fee as Printed]]/(1+GST_Rate),""))</f>
        <v/>
      </c>
      <c r="R874" s="34" t="str">
        <f>IF(MasterFees[[#This Row],[GST Basis]]="Incl",MasterFees[[#This Row],[Fee as Printed]],IF(MasterFees[[#This Row],[GST Basis]]="Excl",MasterFees[[#This Row],[Fee as Printed]]*(1+GST_Rate),""))</f>
        <v/>
      </c>
      <c r="S874" s="35">
        <f>IF(N(MasterFees[[#This Row],[Total Units]])=0,"",MasterFees[[#This Row],[Fee as Printed]]/MasterFees[[#This Row],[Total Units]])</f>
        <v>55</v>
      </c>
      <c r="T874" s="36"/>
      <c r="U874" s="39" t="s">
        <v>1012</v>
      </c>
      <c r="V874" s="39" t="s">
        <v>1395</v>
      </c>
      <c r="W874" s="30"/>
      <c r="X874" s="73" t="s">
        <v>3186</v>
      </c>
      <c r="Y874" s="127" t="str">
        <f>_xlfn.XLOOKUP(MasterFees[[#This Row],[Provider / Payer]],Contracts[Contract Name],Contracts[Contract ID],"No contract")</f>
        <v>CON-01</v>
      </c>
      <c r="Z874" s="127" t="str">
        <f>_xlfn.XLOOKUP(MasterFees[[#This Row],[Provider / Payer]],Contracts[Contract Name],Contracts[Pricing Basis],"To confirm")</f>
        <v>To confirm</v>
      </c>
      <c r="AA874" s="127" t="str">
        <f>IF(MasterFees[[#This Row],[Pricing Basis]]="Fixed fee schedule","Yes","No")</f>
        <v>No</v>
      </c>
      <c r="AB874" s="127" t="str">
        <f>IF(OR(MasterFees[[#This Row],[Fee Basis]]="Add-on",MasterFees[[#This Row],[Fee Basis]]="Time band",MasterFees[[#This Row],[Fee Basis]]="Other"),MasterFees[[#This Row],[Fee Basis]],"Base")</f>
        <v>Base</v>
      </c>
      <c r="AC874" s="141" t="str">
        <f>IF(MasterFees[[#This Row],[Fixed Fee?]]="Yes",MasterFees[[#This Row],[Fee Excl. GST]],"")</f>
        <v/>
      </c>
    </row>
    <row r="875" spans="1:29" x14ac:dyDescent="0.2">
      <c r="A875" s="67" t="s">
        <v>2347</v>
      </c>
      <c r="B875" s="31">
        <f>IF(MasterFees[[#This Row],[RVG Code]]="","",_xlfn.XLOOKUP(MasterFees[[#This Row],[RVG Code]],RVGCodes[Code],RVGCodes[Base Units],"Code not found"))</f>
        <v>4</v>
      </c>
      <c r="C87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7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75" s="125" t="s">
        <v>2580</v>
      </c>
      <c r="F875" s="48" t="s">
        <v>2567</v>
      </c>
      <c r="G875" s="30" t="s">
        <v>303</v>
      </c>
      <c r="H875" s="37" t="s">
        <v>1095</v>
      </c>
      <c r="I875" s="37"/>
      <c r="J875" s="37" t="s">
        <v>1096</v>
      </c>
      <c r="K875" s="32">
        <v>3.7</v>
      </c>
      <c r="L875" s="32">
        <v>2.1</v>
      </c>
      <c r="M875" s="32">
        <v>0.1</v>
      </c>
      <c r="N875" s="32">
        <v>5.8</v>
      </c>
      <c r="O875" s="33">
        <v>320.64999999999998</v>
      </c>
      <c r="P875" s="38" t="s">
        <v>1014</v>
      </c>
      <c r="Q875" s="34" t="str">
        <f>IF(MasterFees[[#This Row],[GST Basis]]="Excl",MasterFees[[#This Row],[Fee as Printed]],IF(MasterFees[[#This Row],[GST Basis]]="Incl",MasterFees[[#This Row],[Fee as Printed]]/(1+GST_Rate),""))</f>
        <v/>
      </c>
      <c r="R875" s="34" t="str">
        <f>IF(MasterFees[[#This Row],[GST Basis]]="Incl",MasterFees[[#This Row],[Fee as Printed]],IF(MasterFees[[#This Row],[GST Basis]]="Excl",MasterFees[[#This Row],[Fee as Printed]]*(1+GST_Rate),""))</f>
        <v/>
      </c>
      <c r="S875" s="35">
        <f>IF(N(MasterFees[[#This Row],[Total Units]])=0,"",MasterFees[[#This Row],[Fee as Printed]]/MasterFees[[#This Row],[Total Units]])</f>
        <v>55.28448275862069</v>
      </c>
      <c r="T875" s="36"/>
      <c r="U875" s="39" t="s">
        <v>1012</v>
      </c>
      <c r="V875" s="39" t="s">
        <v>1397</v>
      </c>
      <c r="W875" s="30"/>
      <c r="X875" s="73" t="s">
        <v>3188</v>
      </c>
      <c r="Y875" s="127" t="str">
        <f>_xlfn.XLOOKUP(MasterFees[[#This Row],[Provider / Payer]],Contracts[Contract Name],Contracts[Contract ID],"No contract")</f>
        <v>CON-01</v>
      </c>
      <c r="Z875" s="127" t="str">
        <f>_xlfn.XLOOKUP(MasterFees[[#This Row],[Provider / Payer]],Contracts[Contract Name],Contracts[Pricing Basis],"To confirm")</f>
        <v>To confirm</v>
      </c>
      <c r="AA875" s="127" t="str">
        <f>IF(MasterFees[[#This Row],[Pricing Basis]]="Fixed fee schedule","Yes","No")</f>
        <v>No</v>
      </c>
      <c r="AB875" s="127" t="str">
        <f>IF(OR(MasterFees[[#This Row],[Fee Basis]]="Add-on",MasterFees[[#This Row],[Fee Basis]]="Time band",MasterFees[[#This Row],[Fee Basis]]="Other"),MasterFees[[#This Row],[Fee Basis]],"Base")</f>
        <v>Base</v>
      </c>
      <c r="AC875" s="141" t="str">
        <f>IF(MasterFees[[#This Row],[Fixed Fee?]]="Yes",MasterFees[[#This Row],[Fee Excl. GST]],"")</f>
        <v/>
      </c>
    </row>
    <row r="876" spans="1:29" x14ac:dyDescent="0.2">
      <c r="A876" s="67" t="s">
        <v>2347</v>
      </c>
      <c r="B876" s="31">
        <f>IF(MasterFees[[#This Row],[RVG Code]]="","",_xlfn.XLOOKUP(MasterFees[[#This Row],[RVG Code]],RVGCodes[Code],RVGCodes[Base Units],"Code not found"))</f>
        <v>4</v>
      </c>
      <c r="C87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7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76" s="125" t="s">
        <v>2580</v>
      </c>
      <c r="F876" s="48" t="s">
        <v>2567</v>
      </c>
      <c r="G876" s="30" t="s">
        <v>306</v>
      </c>
      <c r="H876" s="37" t="s">
        <v>1095</v>
      </c>
      <c r="I876" s="37"/>
      <c r="J876" s="37" t="s">
        <v>1096</v>
      </c>
      <c r="K876" s="32">
        <v>4</v>
      </c>
      <c r="L876" s="32">
        <v>3</v>
      </c>
      <c r="M876" s="32">
        <v>0.5</v>
      </c>
      <c r="N876" s="32">
        <v>7.5</v>
      </c>
      <c r="O876" s="33">
        <v>412.5</v>
      </c>
      <c r="P876" s="38" t="s">
        <v>1014</v>
      </c>
      <c r="Q876" s="34" t="str">
        <f>IF(MasterFees[[#This Row],[GST Basis]]="Excl",MasterFees[[#This Row],[Fee as Printed]],IF(MasterFees[[#This Row],[GST Basis]]="Incl",MasterFees[[#This Row],[Fee as Printed]]/(1+GST_Rate),""))</f>
        <v/>
      </c>
      <c r="R876" s="34" t="str">
        <f>IF(MasterFees[[#This Row],[GST Basis]]="Incl",MasterFees[[#This Row],[Fee as Printed]],IF(MasterFees[[#This Row],[GST Basis]]="Excl",MasterFees[[#This Row],[Fee as Printed]]*(1+GST_Rate),""))</f>
        <v/>
      </c>
      <c r="S876" s="35">
        <f>IF(N(MasterFees[[#This Row],[Total Units]])=0,"",MasterFees[[#This Row],[Fee as Printed]]/MasterFees[[#This Row],[Total Units]])</f>
        <v>55</v>
      </c>
      <c r="T876" s="36"/>
      <c r="U876" s="39" t="s">
        <v>1012</v>
      </c>
      <c r="V876" s="39" t="s">
        <v>1400</v>
      </c>
      <c r="W876" s="30"/>
      <c r="X876" s="73" t="s">
        <v>3191</v>
      </c>
      <c r="Y876" s="127" t="str">
        <f>_xlfn.XLOOKUP(MasterFees[[#This Row],[Provider / Payer]],Contracts[Contract Name],Contracts[Contract ID],"No contract")</f>
        <v>CON-01</v>
      </c>
      <c r="Z876" s="127" t="str">
        <f>_xlfn.XLOOKUP(MasterFees[[#This Row],[Provider / Payer]],Contracts[Contract Name],Contracts[Pricing Basis],"To confirm")</f>
        <v>To confirm</v>
      </c>
      <c r="AA876" s="127" t="str">
        <f>IF(MasterFees[[#This Row],[Pricing Basis]]="Fixed fee schedule","Yes","No")</f>
        <v>No</v>
      </c>
      <c r="AB876" s="127" t="str">
        <f>IF(OR(MasterFees[[#This Row],[Fee Basis]]="Add-on",MasterFees[[#This Row],[Fee Basis]]="Time band",MasterFees[[#This Row],[Fee Basis]]="Other"),MasterFees[[#This Row],[Fee Basis]],"Base")</f>
        <v>Base</v>
      </c>
      <c r="AC876" s="141" t="str">
        <f>IF(MasterFees[[#This Row],[Fixed Fee?]]="Yes",MasterFees[[#This Row],[Fee Excl. GST]],"")</f>
        <v/>
      </c>
    </row>
    <row r="877" spans="1:29" x14ac:dyDescent="0.2">
      <c r="A877" s="67" t="s">
        <v>2350</v>
      </c>
      <c r="B877" s="31">
        <f>IF(MasterFees[[#This Row],[RVG Code]]="","",_xlfn.XLOOKUP(MasterFees[[#This Row],[RVG Code]],RVGCodes[Code],RVGCodes[Base Units],"Code not found"))</f>
        <v>5</v>
      </c>
      <c r="C87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7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77" s="125" t="s">
        <v>2582</v>
      </c>
      <c r="F877" s="48" t="s">
        <v>2567</v>
      </c>
      <c r="G877" s="30" t="s">
        <v>309</v>
      </c>
      <c r="H877" s="37" t="s">
        <v>1095</v>
      </c>
      <c r="I877" s="37"/>
      <c r="J877" s="37" t="s">
        <v>1096</v>
      </c>
      <c r="K877" s="32">
        <v>4.2</v>
      </c>
      <c r="L877" s="32">
        <v>3.6</v>
      </c>
      <c r="M877" s="32">
        <v>0.6</v>
      </c>
      <c r="N877" s="32">
        <v>8.4</v>
      </c>
      <c r="O877" s="33">
        <v>462</v>
      </c>
      <c r="P877" s="38" t="s">
        <v>1014</v>
      </c>
      <c r="Q877" s="34" t="str">
        <f>IF(MasterFees[[#This Row],[GST Basis]]="Excl",MasterFees[[#This Row],[Fee as Printed]],IF(MasterFees[[#This Row],[GST Basis]]="Incl",MasterFees[[#This Row],[Fee as Printed]]/(1+GST_Rate),""))</f>
        <v/>
      </c>
      <c r="R877" s="34" t="str">
        <f>IF(MasterFees[[#This Row],[GST Basis]]="Incl",MasterFees[[#This Row],[Fee as Printed]],IF(MasterFees[[#This Row],[GST Basis]]="Excl",MasterFees[[#This Row],[Fee as Printed]]*(1+GST_Rate),""))</f>
        <v/>
      </c>
      <c r="S877" s="35">
        <f>IF(N(MasterFees[[#This Row],[Total Units]])=0,"",MasterFees[[#This Row],[Fee as Printed]]/MasterFees[[#This Row],[Total Units]])</f>
        <v>55</v>
      </c>
      <c r="T877" s="36"/>
      <c r="U877" s="39" t="s">
        <v>1012</v>
      </c>
      <c r="V877" s="39" t="s">
        <v>1403</v>
      </c>
      <c r="W877" s="30"/>
      <c r="X877" s="73" t="s">
        <v>3194</v>
      </c>
      <c r="Y877" s="127" t="str">
        <f>_xlfn.XLOOKUP(MasterFees[[#This Row],[Provider / Payer]],Contracts[Contract Name],Contracts[Contract ID],"No contract")</f>
        <v>CON-01</v>
      </c>
      <c r="Z877" s="127" t="str">
        <f>_xlfn.XLOOKUP(MasterFees[[#This Row],[Provider / Payer]],Contracts[Contract Name],Contracts[Pricing Basis],"To confirm")</f>
        <v>To confirm</v>
      </c>
      <c r="AA877" s="127" t="str">
        <f>IF(MasterFees[[#This Row],[Pricing Basis]]="Fixed fee schedule","Yes","No")</f>
        <v>No</v>
      </c>
      <c r="AB877" s="127" t="str">
        <f>IF(OR(MasterFees[[#This Row],[Fee Basis]]="Add-on",MasterFees[[#This Row],[Fee Basis]]="Time band",MasterFees[[#This Row],[Fee Basis]]="Other"),MasterFees[[#This Row],[Fee Basis]],"Base")</f>
        <v>Base</v>
      </c>
      <c r="AC877" s="141" t="str">
        <f>IF(MasterFees[[#This Row],[Fixed Fee?]]="Yes",MasterFees[[#This Row],[Fee Excl. GST]],"")</f>
        <v/>
      </c>
    </row>
    <row r="878" spans="1:29" x14ac:dyDescent="0.2">
      <c r="A878" s="67" t="s">
        <v>2350</v>
      </c>
      <c r="B878" s="31">
        <f>IF(MasterFees[[#This Row],[RVG Code]]="","",_xlfn.XLOOKUP(MasterFees[[#This Row],[RVG Code]],RVGCodes[Code],RVGCodes[Base Units],"Code not found"))</f>
        <v>5</v>
      </c>
      <c r="C87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7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78" s="125" t="s">
        <v>2582</v>
      </c>
      <c r="F878" s="48" t="s">
        <v>2567</v>
      </c>
      <c r="G878" s="30" t="s">
        <v>312</v>
      </c>
      <c r="H878" s="37" t="s">
        <v>1095</v>
      </c>
      <c r="I878" s="37"/>
      <c r="J878" s="37" t="s">
        <v>1096</v>
      </c>
      <c r="K878" s="32">
        <v>4</v>
      </c>
      <c r="L878" s="32">
        <v>4</v>
      </c>
      <c r="M878" s="32">
        <v>0.3</v>
      </c>
      <c r="N878" s="32">
        <v>8.3000000000000007</v>
      </c>
      <c r="O878" s="33">
        <v>458.15</v>
      </c>
      <c r="P878" s="38" t="s">
        <v>1014</v>
      </c>
      <c r="Q878" s="34" t="str">
        <f>IF(MasterFees[[#This Row],[GST Basis]]="Excl",MasterFees[[#This Row],[Fee as Printed]],IF(MasterFees[[#This Row],[GST Basis]]="Incl",MasterFees[[#This Row],[Fee as Printed]]/(1+GST_Rate),""))</f>
        <v/>
      </c>
      <c r="R878" s="34" t="str">
        <f>IF(MasterFees[[#This Row],[GST Basis]]="Incl",MasterFees[[#This Row],[Fee as Printed]],IF(MasterFees[[#This Row],[GST Basis]]="Excl",MasterFees[[#This Row],[Fee as Printed]]*(1+GST_Rate),""))</f>
        <v/>
      </c>
      <c r="S878" s="35">
        <f>IF(N(MasterFees[[#This Row],[Total Units]])=0,"",MasterFees[[#This Row],[Fee as Printed]]/MasterFees[[#This Row],[Total Units]])</f>
        <v>55.198795180722882</v>
      </c>
      <c r="T878" s="36"/>
      <c r="U878" s="39" t="s">
        <v>1012</v>
      </c>
      <c r="V878" s="39" t="s">
        <v>1406</v>
      </c>
      <c r="W878" s="30"/>
      <c r="X878" s="73" t="s">
        <v>3197</v>
      </c>
      <c r="Y878" s="127" t="str">
        <f>_xlfn.XLOOKUP(MasterFees[[#This Row],[Provider / Payer]],Contracts[Contract Name],Contracts[Contract ID],"No contract")</f>
        <v>CON-01</v>
      </c>
      <c r="Z878" s="127" t="str">
        <f>_xlfn.XLOOKUP(MasterFees[[#This Row],[Provider / Payer]],Contracts[Contract Name],Contracts[Pricing Basis],"To confirm")</f>
        <v>To confirm</v>
      </c>
      <c r="AA878" s="127" t="str">
        <f>IF(MasterFees[[#This Row],[Pricing Basis]]="Fixed fee schedule","Yes","No")</f>
        <v>No</v>
      </c>
      <c r="AB878" s="127" t="str">
        <f>IF(OR(MasterFees[[#This Row],[Fee Basis]]="Add-on",MasterFees[[#This Row],[Fee Basis]]="Time band",MasterFees[[#This Row],[Fee Basis]]="Other"),MasterFees[[#This Row],[Fee Basis]],"Base")</f>
        <v>Base</v>
      </c>
      <c r="AC878" s="141" t="str">
        <f>IF(MasterFees[[#This Row],[Fixed Fee?]]="Yes",MasterFees[[#This Row],[Fee Excl. GST]],"")</f>
        <v/>
      </c>
    </row>
    <row r="879" spans="1:29" x14ac:dyDescent="0.2">
      <c r="A879" s="67" t="s">
        <v>2347</v>
      </c>
      <c r="B879" s="31">
        <f>IF(MasterFees[[#This Row],[RVG Code]]="","",_xlfn.XLOOKUP(MasterFees[[#This Row],[RVG Code]],RVGCodes[Code],RVGCodes[Base Units],"Code not found"))</f>
        <v>4</v>
      </c>
      <c r="C87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7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79" s="125" t="s">
        <v>2580</v>
      </c>
      <c r="F879" s="48" t="s">
        <v>2569</v>
      </c>
      <c r="G879" s="30" t="s">
        <v>324</v>
      </c>
      <c r="H879" s="37" t="s">
        <v>1095</v>
      </c>
      <c r="I879" s="37"/>
      <c r="J879" s="37" t="s">
        <v>1096</v>
      </c>
      <c r="K879" s="32">
        <v>3.3</v>
      </c>
      <c r="L879" s="32">
        <v>2.6</v>
      </c>
      <c r="M879" s="32">
        <v>0.3</v>
      </c>
      <c r="N879" s="32">
        <v>6.2</v>
      </c>
      <c r="O879" s="33">
        <v>341</v>
      </c>
      <c r="P879" s="38" t="s">
        <v>1014</v>
      </c>
      <c r="Q879" s="34" t="str">
        <f>IF(MasterFees[[#This Row],[GST Basis]]="Excl",MasterFees[[#This Row],[Fee as Printed]],IF(MasterFees[[#This Row],[GST Basis]]="Incl",MasterFees[[#This Row],[Fee as Printed]]/(1+GST_Rate),""))</f>
        <v/>
      </c>
      <c r="R879" s="34" t="str">
        <f>IF(MasterFees[[#This Row],[GST Basis]]="Incl",MasterFees[[#This Row],[Fee as Printed]],IF(MasterFees[[#This Row],[GST Basis]]="Excl",MasterFees[[#This Row],[Fee as Printed]]*(1+GST_Rate),""))</f>
        <v/>
      </c>
      <c r="S879" s="35">
        <f>IF(N(MasterFees[[#This Row],[Total Units]])=0,"",MasterFees[[#This Row],[Fee as Printed]]/MasterFees[[#This Row],[Total Units]])</f>
        <v>55</v>
      </c>
      <c r="T879" s="36"/>
      <c r="U879" s="39" t="s">
        <v>1012</v>
      </c>
      <c r="V879" s="39" t="s">
        <v>1418</v>
      </c>
      <c r="W879" s="30"/>
      <c r="X879" s="73" t="s">
        <v>3210</v>
      </c>
      <c r="Y879" s="127" t="str">
        <f>_xlfn.XLOOKUP(MasterFees[[#This Row],[Provider / Payer]],Contracts[Contract Name],Contracts[Contract ID],"No contract")</f>
        <v>CON-01</v>
      </c>
      <c r="Z879" s="127" t="str">
        <f>_xlfn.XLOOKUP(MasterFees[[#This Row],[Provider / Payer]],Contracts[Contract Name],Contracts[Pricing Basis],"To confirm")</f>
        <v>To confirm</v>
      </c>
      <c r="AA879" s="127" t="str">
        <f>IF(MasterFees[[#This Row],[Pricing Basis]]="Fixed fee schedule","Yes","No")</f>
        <v>No</v>
      </c>
      <c r="AB879" s="127" t="str">
        <f>IF(OR(MasterFees[[#This Row],[Fee Basis]]="Add-on",MasterFees[[#This Row],[Fee Basis]]="Time band",MasterFees[[#This Row],[Fee Basis]]="Other"),MasterFees[[#This Row],[Fee Basis]],"Base")</f>
        <v>Base</v>
      </c>
      <c r="AC879" s="141" t="str">
        <f>IF(MasterFees[[#This Row],[Fixed Fee?]]="Yes",MasterFees[[#This Row],[Fee Excl. GST]],"")</f>
        <v/>
      </c>
    </row>
    <row r="880" spans="1:29" x14ac:dyDescent="0.2">
      <c r="A880" s="67" t="s">
        <v>2347</v>
      </c>
      <c r="B880" s="31">
        <f>IF(MasterFees[[#This Row],[RVG Code]]="","",_xlfn.XLOOKUP(MasterFees[[#This Row],[RVG Code]],RVGCodes[Code],RVGCodes[Base Units],"Code not found"))</f>
        <v>4</v>
      </c>
      <c r="C88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8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80" s="125" t="s">
        <v>2580</v>
      </c>
      <c r="F880" s="48" t="s">
        <v>2567</v>
      </c>
      <c r="G880" s="30" t="s">
        <v>325</v>
      </c>
      <c r="H880" s="37" t="s">
        <v>1095</v>
      </c>
      <c r="I880" s="37"/>
      <c r="J880" s="37" t="s">
        <v>1096</v>
      </c>
      <c r="K880" s="32">
        <v>2</v>
      </c>
      <c r="L880" s="32">
        <v>2</v>
      </c>
      <c r="M880" s="32">
        <v>0</v>
      </c>
      <c r="N880" s="32">
        <v>4</v>
      </c>
      <c r="O880" s="33">
        <v>220</v>
      </c>
      <c r="P880" s="38" t="s">
        <v>1014</v>
      </c>
      <c r="Q880" s="34" t="str">
        <f>IF(MasterFees[[#This Row],[GST Basis]]="Excl",MasterFees[[#This Row],[Fee as Printed]],IF(MasterFees[[#This Row],[GST Basis]]="Incl",MasterFees[[#This Row],[Fee as Printed]]/(1+GST_Rate),""))</f>
        <v/>
      </c>
      <c r="R880" s="34" t="str">
        <f>IF(MasterFees[[#This Row],[GST Basis]]="Incl",MasterFees[[#This Row],[Fee as Printed]],IF(MasterFees[[#This Row],[GST Basis]]="Excl",MasterFees[[#This Row],[Fee as Printed]]*(1+GST_Rate),""))</f>
        <v/>
      </c>
      <c r="S880" s="35">
        <f>IF(N(MasterFees[[#This Row],[Total Units]])=0,"",MasterFees[[#This Row],[Fee as Printed]]/MasterFees[[#This Row],[Total Units]])</f>
        <v>55</v>
      </c>
      <c r="T880" s="36"/>
      <c r="U880" s="39" t="s">
        <v>1012</v>
      </c>
      <c r="V880" s="39" t="s">
        <v>1419</v>
      </c>
      <c r="W880" s="30"/>
      <c r="X880" s="73" t="s">
        <v>3211</v>
      </c>
      <c r="Y880" s="127" t="str">
        <f>_xlfn.XLOOKUP(MasterFees[[#This Row],[Provider / Payer]],Contracts[Contract Name],Contracts[Contract ID],"No contract")</f>
        <v>CON-01</v>
      </c>
      <c r="Z880" s="127" t="str">
        <f>_xlfn.XLOOKUP(MasterFees[[#This Row],[Provider / Payer]],Contracts[Contract Name],Contracts[Pricing Basis],"To confirm")</f>
        <v>To confirm</v>
      </c>
      <c r="AA880" s="127" t="str">
        <f>IF(MasterFees[[#This Row],[Pricing Basis]]="Fixed fee schedule","Yes","No")</f>
        <v>No</v>
      </c>
      <c r="AB880" s="127" t="str">
        <f>IF(OR(MasterFees[[#This Row],[Fee Basis]]="Add-on",MasterFees[[#This Row],[Fee Basis]]="Time band",MasterFees[[#This Row],[Fee Basis]]="Other"),MasterFees[[#This Row],[Fee Basis]],"Base")</f>
        <v>Base</v>
      </c>
      <c r="AC880" s="141" t="str">
        <f>IF(MasterFees[[#This Row],[Fixed Fee?]]="Yes",MasterFees[[#This Row],[Fee Excl. GST]],"")</f>
        <v/>
      </c>
    </row>
    <row r="881" spans="1:29" x14ac:dyDescent="0.2">
      <c r="A881" s="67" t="s">
        <v>2347</v>
      </c>
      <c r="B881" s="31">
        <f>IF(MasterFees[[#This Row],[RVG Code]]="","",_xlfn.XLOOKUP(MasterFees[[#This Row],[RVG Code]],RVGCodes[Code],RVGCodes[Base Units],"Code not found"))</f>
        <v>4</v>
      </c>
      <c r="C88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8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81" s="125" t="s">
        <v>2580</v>
      </c>
      <c r="F881" s="48" t="s">
        <v>2567</v>
      </c>
      <c r="G881" s="30" t="s">
        <v>326</v>
      </c>
      <c r="H881" s="37" t="s">
        <v>1095</v>
      </c>
      <c r="I881" s="37"/>
      <c r="J881" s="37" t="s">
        <v>1096</v>
      </c>
      <c r="K881" s="32">
        <v>0</v>
      </c>
      <c r="L881" s="32">
        <v>2</v>
      </c>
      <c r="M881" s="32">
        <v>0</v>
      </c>
      <c r="N881" s="32">
        <v>2</v>
      </c>
      <c r="O881" s="33">
        <v>110</v>
      </c>
      <c r="P881" s="38" t="s">
        <v>1014</v>
      </c>
      <c r="Q881" s="34" t="str">
        <f>IF(MasterFees[[#This Row],[GST Basis]]="Excl",MasterFees[[#This Row],[Fee as Printed]],IF(MasterFees[[#This Row],[GST Basis]]="Incl",MasterFees[[#This Row],[Fee as Printed]]/(1+GST_Rate),""))</f>
        <v/>
      </c>
      <c r="R881" s="34" t="str">
        <f>IF(MasterFees[[#This Row],[GST Basis]]="Incl",MasterFees[[#This Row],[Fee as Printed]],IF(MasterFees[[#This Row],[GST Basis]]="Excl",MasterFees[[#This Row],[Fee as Printed]]*(1+GST_Rate),""))</f>
        <v/>
      </c>
      <c r="S881" s="35">
        <f>IF(N(MasterFees[[#This Row],[Total Units]])=0,"",MasterFees[[#This Row],[Fee as Printed]]/MasterFees[[#This Row],[Total Units]])</f>
        <v>55</v>
      </c>
      <c r="T881" s="36"/>
      <c r="U881" s="39" t="s">
        <v>1012</v>
      </c>
      <c r="V881" s="39" t="s">
        <v>1420</v>
      </c>
      <c r="W881" s="30"/>
      <c r="X881" s="73" t="s">
        <v>3212</v>
      </c>
      <c r="Y881" s="127" t="str">
        <f>_xlfn.XLOOKUP(MasterFees[[#This Row],[Provider / Payer]],Contracts[Contract Name],Contracts[Contract ID],"No contract")</f>
        <v>CON-01</v>
      </c>
      <c r="Z881" s="127" t="str">
        <f>_xlfn.XLOOKUP(MasterFees[[#This Row],[Provider / Payer]],Contracts[Contract Name],Contracts[Pricing Basis],"To confirm")</f>
        <v>To confirm</v>
      </c>
      <c r="AA881" s="127" t="str">
        <f>IF(MasterFees[[#This Row],[Pricing Basis]]="Fixed fee schedule","Yes","No")</f>
        <v>No</v>
      </c>
      <c r="AB881" s="127" t="str">
        <f>IF(OR(MasterFees[[#This Row],[Fee Basis]]="Add-on",MasterFees[[#This Row],[Fee Basis]]="Time band",MasterFees[[#This Row],[Fee Basis]]="Other"),MasterFees[[#This Row],[Fee Basis]],"Base")</f>
        <v>Base</v>
      </c>
      <c r="AC881" s="141" t="str">
        <f>IF(MasterFees[[#This Row],[Fixed Fee?]]="Yes",MasterFees[[#This Row],[Fee Excl. GST]],"")</f>
        <v/>
      </c>
    </row>
    <row r="882" spans="1:29" x14ac:dyDescent="0.2">
      <c r="A882" s="67" t="s">
        <v>2347</v>
      </c>
      <c r="B882" s="31">
        <f>IF(MasterFees[[#This Row],[RVG Code]]="","",_xlfn.XLOOKUP(MasterFees[[#This Row],[RVG Code]],RVGCodes[Code],RVGCodes[Base Units],"Code not found"))</f>
        <v>4</v>
      </c>
      <c r="C88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8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82" s="125" t="s">
        <v>2580</v>
      </c>
      <c r="F882" s="48" t="s">
        <v>2567</v>
      </c>
      <c r="G882" s="30" t="s">
        <v>364</v>
      </c>
      <c r="H882" s="37" t="s">
        <v>1095</v>
      </c>
      <c r="I882" s="37"/>
      <c r="J882" s="37" t="s">
        <v>1096</v>
      </c>
      <c r="K882" s="32">
        <v>4.2</v>
      </c>
      <c r="L882" s="32">
        <v>2.7</v>
      </c>
      <c r="M882" s="32">
        <v>0.2</v>
      </c>
      <c r="N882" s="32">
        <v>7</v>
      </c>
      <c r="O882" s="33">
        <v>392.7</v>
      </c>
      <c r="P882" s="38" t="s">
        <v>1014</v>
      </c>
      <c r="Q882" s="34" t="str">
        <f>IF(MasterFees[[#This Row],[GST Basis]]="Excl",MasterFees[[#This Row],[Fee as Printed]],IF(MasterFees[[#This Row],[GST Basis]]="Incl",MasterFees[[#This Row],[Fee as Printed]]/(1+GST_Rate),""))</f>
        <v/>
      </c>
      <c r="R882" s="34" t="str">
        <f>IF(MasterFees[[#This Row],[GST Basis]]="Incl",MasterFees[[#This Row],[Fee as Printed]],IF(MasterFees[[#This Row],[GST Basis]]="Excl",MasterFees[[#This Row],[Fee as Printed]]*(1+GST_Rate),""))</f>
        <v/>
      </c>
      <c r="S882" s="35">
        <f>IF(N(MasterFees[[#This Row],[Total Units]])=0,"",MasterFees[[#This Row],[Fee as Printed]]/MasterFees[[#This Row],[Total Units]])</f>
        <v>56.1</v>
      </c>
      <c r="T882" s="36"/>
      <c r="U882" s="39" t="s">
        <v>1012</v>
      </c>
      <c r="V882" s="39" t="s">
        <v>1459</v>
      </c>
      <c r="W882" s="30"/>
      <c r="X882" s="73" t="s">
        <v>3251</v>
      </c>
      <c r="Y882" s="127" t="str">
        <f>_xlfn.XLOOKUP(MasterFees[[#This Row],[Provider / Payer]],Contracts[Contract Name],Contracts[Contract ID],"No contract")</f>
        <v>CON-01</v>
      </c>
      <c r="Z882" s="127" t="str">
        <f>_xlfn.XLOOKUP(MasterFees[[#This Row],[Provider / Payer]],Contracts[Contract Name],Contracts[Pricing Basis],"To confirm")</f>
        <v>To confirm</v>
      </c>
      <c r="AA882" s="127" t="str">
        <f>IF(MasterFees[[#This Row],[Pricing Basis]]="Fixed fee schedule","Yes","No")</f>
        <v>No</v>
      </c>
      <c r="AB882" s="127" t="str">
        <f>IF(OR(MasterFees[[#This Row],[Fee Basis]]="Add-on",MasterFees[[#This Row],[Fee Basis]]="Time band",MasterFees[[#This Row],[Fee Basis]]="Other"),MasterFees[[#This Row],[Fee Basis]],"Base")</f>
        <v>Base</v>
      </c>
      <c r="AC882" s="141" t="str">
        <f>IF(MasterFees[[#This Row],[Fixed Fee?]]="Yes",MasterFees[[#This Row],[Fee Excl. GST]],"")</f>
        <v/>
      </c>
    </row>
    <row r="883" spans="1:29" x14ac:dyDescent="0.2">
      <c r="A883" s="67" t="s">
        <v>2347</v>
      </c>
      <c r="B883" s="31">
        <f>IF(MasterFees[[#This Row],[RVG Code]]="","",_xlfn.XLOOKUP(MasterFees[[#This Row],[RVG Code]],RVGCodes[Code],RVGCodes[Base Units],"Code not found"))</f>
        <v>4</v>
      </c>
      <c r="C88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8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83" s="125" t="s">
        <v>2580</v>
      </c>
      <c r="F883" s="48" t="s">
        <v>2567</v>
      </c>
      <c r="G883" s="30" t="s">
        <v>366</v>
      </c>
      <c r="H883" s="37" t="s">
        <v>1095</v>
      </c>
      <c r="I883" s="37"/>
      <c r="J883" s="37" t="s">
        <v>1096</v>
      </c>
      <c r="K883" s="32">
        <v>5</v>
      </c>
      <c r="L883" s="32">
        <v>3</v>
      </c>
      <c r="M883" s="32">
        <v>0</v>
      </c>
      <c r="N883" s="32">
        <v>8</v>
      </c>
      <c r="O883" s="33">
        <v>440</v>
      </c>
      <c r="P883" s="38" t="s">
        <v>1014</v>
      </c>
      <c r="Q883" s="34" t="str">
        <f>IF(MasterFees[[#This Row],[GST Basis]]="Excl",MasterFees[[#This Row],[Fee as Printed]],IF(MasterFees[[#This Row],[GST Basis]]="Incl",MasterFees[[#This Row],[Fee as Printed]]/(1+GST_Rate),""))</f>
        <v/>
      </c>
      <c r="R883" s="34" t="str">
        <f>IF(MasterFees[[#This Row],[GST Basis]]="Incl",MasterFees[[#This Row],[Fee as Printed]],IF(MasterFees[[#This Row],[GST Basis]]="Excl",MasterFees[[#This Row],[Fee as Printed]]*(1+GST_Rate),""))</f>
        <v/>
      </c>
      <c r="S883" s="35">
        <f>IF(N(MasterFees[[#This Row],[Total Units]])=0,"",MasterFees[[#This Row],[Fee as Printed]]/MasterFees[[#This Row],[Total Units]])</f>
        <v>55</v>
      </c>
      <c r="T883" s="36"/>
      <c r="U883" s="39" t="s">
        <v>1012</v>
      </c>
      <c r="V883" s="39" t="s">
        <v>1461</v>
      </c>
      <c r="W883" s="30"/>
      <c r="X883" s="73" t="s">
        <v>3253</v>
      </c>
      <c r="Y883" s="127" t="str">
        <f>_xlfn.XLOOKUP(MasterFees[[#This Row],[Provider / Payer]],Contracts[Contract Name],Contracts[Contract ID],"No contract")</f>
        <v>CON-01</v>
      </c>
      <c r="Z883" s="127" t="str">
        <f>_xlfn.XLOOKUP(MasterFees[[#This Row],[Provider / Payer]],Contracts[Contract Name],Contracts[Pricing Basis],"To confirm")</f>
        <v>To confirm</v>
      </c>
      <c r="AA883" s="127" t="str">
        <f>IF(MasterFees[[#This Row],[Pricing Basis]]="Fixed fee schedule","Yes","No")</f>
        <v>No</v>
      </c>
      <c r="AB883" s="127" t="str">
        <f>IF(OR(MasterFees[[#This Row],[Fee Basis]]="Add-on",MasterFees[[#This Row],[Fee Basis]]="Time band",MasterFees[[#This Row],[Fee Basis]]="Other"),MasterFees[[#This Row],[Fee Basis]],"Base")</f>
        <v>Base</v>
      </c>
      <c r="AC883" s="141" t="str">
        <f>IF(MasterFees[[#This Row],[Fixed Fee?]]="Yes",MasterFees[[#This Row],[Fee Excl. GST]],"")</f>
        <v/>
      </c>
    </row>
    <row r="884" spans="1:29" x14ac:dyDescent="0.2">
      <c r="A884" s="67" t="s">
        <v>2347</v>
      </c>
      <c r="B884" s="31">
        <f>IF(MasterFees[[#This Row],[RVG Code]]="","",_xlfn.XLOOKUP(MasterFees[[#This Row],[RVG Code]],RVGCodes[Code],RVGCodes[Base Units],"Code not found"))</f>
        <v>4</v>
      </c>
      <c r="C88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8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84" s="125" t="s">
        <v>2580</v>
      </c>
      <c r="F884" s="48" t="s">
        <v>2567</v>
      </c>
      <c r="G884" s="30" t="s">
        <v>367</v>
      </c>
      <c r="H884" s="37" t="s">
        <v>1095</v>
      </c>
      <c r="I884" s="37"/>
      <c r="J884" s="37" t="s">
        <v>1096</v>
      </c>
      <c r="K884" s="32">
        <v>4.2</v>
      </c>
      <c r="L884" s="32">
        <v>3.2</v>
      </c>
      <c r="M884" s="32">
        <v>1</v>
      </c>
      <c r="N884" s="32">
        <v>8.4</v>
      </c>
      <c r="O884" s="33">
        <v>464.2</v>
      </c>
      <c r="P884" s="38" t="s">
        <v>1014</v>
      </c>
      <c r="Q884" s="34" t="str">
        <f>IF(MasterFees[[#This Row],[GST Basis]]="Excl",MasterFees[[#This Row],[Fee as Printed]],IF(MasterFees[[#This Row],[GST Basis]]="Incl",MasterFees[[#This Row],[Fee as Printed]]/(1+GST_Rate),""))</f>
        <v/>
      </c>
      <c r="R884" s="34" t="str">
        <f>IF(MasterFees[[#This Row],[GST Basis]]="Incl",MasterFees[[#This Row],[Fee as Printed]],IF(MasterFees[[#This Row],[GST Basis]]="Excl",MasterFees[[#This Row],[Fee as Printed]]*(1+GST_Rate),""))</f>
        <v/>
      </c>
      <c r="S884" s="35">
        <f>IF(N(MasterFees[[#This Row],[Total Units]])=0,"",MasterFees[[#This Row],[Fee as Printed]]/MasterFees[[#This Row],[Total Units]])</f>
        <v>55.261904761904759</v>
      </c>
      <c r="T884" s="36"/>
      <c r="U884" s="39" t="s">
        <v>1012</v>
      </c>
      <c r="V884" s="39" t="s">
        <v>1462</v>
      </c>
      <c r="W884" s="30"/>
      <c r="X884" s="73" t="s">
        <v>3254</v>
      </c>
      <c r="Y884" s="127" t="str">
        <f>_xlfn.XLOOKUP(MasterFees[[#This Row],[Provider / Payer]],Contracts[Contract Name],Contracts[Contract ID],"No contract")</f>
        <v>CON-01</v>
      </c>
      <c r="Z884" s="127" t="str">
        <f>_xlfn.XLOOKUP(MasterFees[[#This Row],[Provider / Payer]],Contracts[Contract Name],Contracts[Pricing Basis],"To confirm")</f>
        <v>To confirm</v>
      </c>
      <c r="AA884" s="127" t="str">
        <f>IF(MasterFees[[#This Row],[Pricing Basis]]="Fixed fee schedule","Yes","No")</f>
        <v>No</v>
      </c>
      <c r="AB884" s="127" t="str">
        <f>IF(OR(MasterFees[[#This Row],[Fee Basis]]="Add-on",MasterFees[[#This Row],[Fee Basis]]="Time band",MasterFees[[#This Row],[Fee Basis]]="Other"),MasterFees[[#This Row],[Fee Basis]],"Base")</f>
        <v>Base</v>
      </c>
      <c r="AC884" s="141" t="str">
        <f>IF(MasterFees[[#This Row],[Fixed Fee?]]="Yes",MasterFees[[#This Row],[Fee Excl. GST]],"")</f>
        <v/>
      </c>
    </row>
    <row r="885" spans="1:29" x14ac:dyDescent="0.2">
      <c r="A885" s="67" t="s">
        <v>2347</v>
      </c>
      <c r="B885" s="31">
        <f>IF(MasterFees[[#This Row],[RVG Code]]="","",_xlfn.XLOOKUP(MasterFees[[#This Row],[RVG Code]],RVGCodes[Code],RVGCodes[Base Units],"Code not found"))</f>
        <v>4</v>
      </c>
      <c r="C88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8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85" s="125" t="s">
        <v>2580</v>
      </c>
      <c r="F885" s="48" t="s">
        <v>2567</v>
      </c>
      <c r="G885" s="30" t="s">
        <v>394</v>
      </c>
      <c r="H885" s="37" t="s">
        <v>1095</v>
      </c>
      <c r="I885" s="37"/>
      <c r="J885" s="37" t="s">
        <v>1096</v>
      </c>
      <c r="K885" s="32">
        <v>4</v>
      </c>
      <c r="L885" s="32">
        <v>3.6</v>
      </c>
      <c r="M885" s="32">
        <v>0.8</v>
      </c>
      <c r="N885" s="32">
        <v>8.3000000000000007</v>
      </c>
      <c r="O885" s="33">
        <v>457.6</v>
      </c>
      <c r="P885" s="38" t="s">
        <v>1014</v>
      </c>
      <c r="Q885" s="34" t="str">
        <f>IF(MasterFees[[#This Row],[GST Basis]]="Excl",MasterFees[[#This Row],[Fee as Printed]],IF(MasterFees[[#This Row],[GST Basis]]="Incl",MasterFees[[#This Row],[Fee as Printed]]/(1+GST_Rate),""))</f>
        <v/>
      </c>
      <c r="R885" s="34" t="str">
        <f>IF(MasterFees[[#This Row],[GST Basis]]="Incl",MasterFees[[#This Row],[Fee as Printed]],IF(MasterFees[[#This Row],[GST Basis]]="Excl",MasterFees[[#This Row],[Fee as Printed]]*(1+GST_Rate),""))</f>
        <v/>
      </c>
      <c r="S885" s="35">
        <f>IF(N(MasterFees[[#This Row],[Total Units]])=0,"",MasterFees[[#This Row],[Fee as Printed]]/MasterFees[[#This Row],[Total Units]])</f>
        <v>55.132530120481924</v>
      </c>
      <c r="T885" s="36"/>
      <c r="U885" s="39" t="s">
        <v>1012</v>
      </c>
      <c r="V885" s="39" t="s">
        <v>1489</v>
      </c>
      <c r="W885" s="30"/>
      <c r="X885" s="73" t="s">
        <v>3282</v>
      </c>
      <c r="Y885" s="127" t="str">
        <f>_xlfn.XLOOKUP(MasterFees[[#This Row],[Provider / Payer]],Contracts[Contract Name],Contracts[Contract ID],"No contract")</f>
        <v>CON-01</v>
      </c>
      <c r="Z885" s="127" t="str">
        <f>_xlfn.XLOOKUP(MasterFees[[#This Row],[Provider / Payer]],Contracts[Contract Name],Contracts[Pricing Basis],"To confirm")</f>
        <v>To confirm</v>
      </c>
      <c r="AA885" s="127" t="str">
        <f>IF(MasterFees[[#This Row],[Pricing Basis]]="Fixed fee schedule","Yes","No")</f>
        <v>No</v>
      </c>
      <c r="AB885" s="127" t="str">
        <f>IF(OR(MasterFees[[#This Row],[Fee Basis]]="Add-on",MasterFees[[#This Row],[Fee Basis]]="Time band",MasterFees[[#This Row],[Fee Basis]]="Other"),MasterFees[[#This Row],[Fee Basis]],"Base")</f>
        <v>Base</v>
      </c>
      <c r="AC885" s="141" t="str">
        <f>IF(MasterFees[[#This Row],[Fixed Fee?]]="Yes",MasterFees[[#This Row],[Fee Excl. GST]],"")</f>
        <v/>
      </c>
    </row>
    <row r="886" spans="1:29" x14ac:dyDescent="0.2">
      <c r="A886" s="67" t="s">
        <v>2347</v>
      </c>
      <c r="B886" s="31">
        <f>IF(MasterFees[[#This Row],[RVG Code]]="","",_xlfn.XLOOKUP(MasterFees[[#This Row],[RVG Code]],RVGCodes[Code],RVGCodes[Base Units],"Code not found"))</f>
        <v>4</v>
      </c>
      <c r="C88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8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86" s="125" t="s">
        <v>2580</v>
      </c>
      <c r="F886" s="48" t="s">
        <v>2567</v>
      </c>
      <c r="G886" s="30" t="s">
        <v>395</v>
      </c>
      <c r="H886" s="37" t="s">
        <v>1095</v>
      </c>
      <c r="I886" s="37"/>
      <c r="J886" s="37" t="s">
        <v>1096</v>
      </c>
      <c r="K886" s="32">
        <v>5</v>
      </c>
      <c r="L886" s="32">
        <v>8</v>
      </c>
      <c r="M886" s="32">
        <v>0</v>
      </c>
      <c r="N886" s="32">
        <v>13</v>
      </c>
      <c r="O886" s="33">
        <v>715</v>
      </c>
      <c r="P886" s="38" t="s">
        <v>1014</v>
      </c>
      <c r="Q886" s="34" t="str">
        <f>IF(MasterFees[[#This Row],[GST Basis]]="Excl",MasterFees[[#This Row],[Fee as Printed]],IF(MasterFees[[#This Row],[GST Basis]]="Incl",MasterFees[[#This Row],[Fee as Printed]]/(1+GST_Rate),""))</f>
        <v/>
      </c>
      <c r="R886" s="34" t="str">
        <f>IF(MasterFees[[#This Row],[GST Basis]]="Incl",MasterFees[[#This Row],[Fee as Printed]],IF(MasterFees[[#This Row],[GST Basis]]="Excl",MasterFees[[#This Row],[Fee as Printed]]*(1+GST_Rate),""))</f>
        <v/>
      </c>
      <c r="S886" s="35">
        <f>IF(N(MasterFees[[#This Row],[Total Units]])=0,"",MasterFees[[#This Row],[Fee as Printed]]/MasterFees[[#This Row],[Total Units]])</f>
        <v>55</v>
      </c>
      <c r="T886" s="36"/>
      <c r="U886" s="39" t="s">
        <v>1012</v>
      </c>
      <c r="V886" s="39" t="s">
        <v>1490</v>
      </c>
      <c r="W886" s="30"/>
      <c r="X886" s="73" t="s">
        <v>3283</v>
      </c>
      <c r="Y886" s="127" t="str">
        <f>_xlfn.XLOOKUP(MasterFees[[#This Row],[Provider / Payer]],Contracts[Contract Name],Contracts[Contract ID],"No contract")</f>
        <v>CON-01</v>
      </c>
      <c r="Z886" s="127" t="str">
        <f>_xlfn.XLOOKUP(MasterFees[[#This Row],[Provider / Payer]],Contracts[Contract Name],Contracts[Pricing Basis],"To confirm")</f>
        <v>To confirm</v>
      </c>
      <c r="AA886" s="127" t="str">
        <f>IF(MasterFees[[#This Row],[Pricing Basis]]="Fixed fee schedule","Yes","No")</f>
        <v>No</v>
      </c>
      <c r="AB886" s="127" t="str">
        <f>IF(OR(MasterFees[[#This Row],[Fee Basis]]="Add-on",MasterFees[[#This Row],[Fee Basis]]="Time band",MasterFees[[#This Row],[Fee Basis]]="Other"),MasterFees[[#This Row],[Fee Basis]],"Base")</f>
        <v>Base</v>
      </c>
      <c r="AC886" s="141" t="str">
        <f>IF(MasterFees[[#This Row],[Fixed Fee?]]="Yes",MasterFees[[#This Row],[Fee Excl. GST]],"")</f>
        <v/>
      </c>
    </row>
    <row r="887" spans="1:29" x14ac:dyDescent="0.2">
      <c r="A887" s="67" t="s">
        <v>2347</v>
      </c>
      <c r="B887" s="31">
        <f>IF(MasterFees[[#This Row],[RVG Code]]="","",_xlfn.XLOOKUP(MasterFees[[#This Row],[RVG Code]],RVGCodes[Code],RVGCodes[Base Units],"Code not found"))</f>
        <v>4</v>
      </c>
      <c r="C88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8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87" s="125" t="s">
        <v>2580</v>
      </c>
      <c r="F887" s="48" t="s">
        <v>2567</v>
      </c>
      <c r="G887" s="30" t="s">
        <v>396</v>
      </c>
      <c r="H887" s="37" t="s">
        <v>1095</v>
      </c>
      <c r="I887" s="37"/>
      <c r="J887" s="37" t="s">
        <v>1096</v>
      </c>
      <c r="K887" s="32">
        <v>4</v>
      </c>
      <c r="L887" s="32">
        <v>4</v>
      </c>
      <c r="M887" s="32">
        <v>0</v>
      </c>
      <c r="N887" s="32">
        <v>8</v>
      </c>
      <c r="O887" s="33">
        <v>440</v>
      </c>
      <c r="P887" s="38" t="s">
        <v>1014</v>
      </c>
      <c r="Q887" s="34" t="str">
        <f>IF(MasterFees[[#This Row],[GST Basis]]="Excl",MasterFees[[#This Row],[Fee as Printed]],IF(MasterFees[[#This Row],[GST Basis]]="Incl",MasterFees[[#This Row],[Fee as Printed]]/(1+GST_Rate),""))</f>
        <v/>
      </c>
      <c r="R887" s="34" t="str">
        <f>IF(MasterFees[[#This Row],[GST Basis]]="Incl",MasterFees[[#This Row],[Fee as Printed]],IF(MasterFees[[#This Row],[GST Basis]]="Excl",MasterFees[[#This Row],[Fee as Printed]]*(1+GST_Rate),""))</f>
        <v/>
      </c>
      <c r="S887" s="35">
        <f>IF(N(MasterFees[[#This Row],[Total Units]])=0,"",MasterFees[[#This Row],[Fee as Printed]]/MasterFees[[#This Row],[Total Units]])</f>
        <v>55</v>
      </c>
      <c r="T887" s="36"/>
      <c r="U887" s="39" t="s">
        <v>1012</v>
      </c>
      <c r="V887" s="39" t="s">
        <v>1491</v>
      </c>
      <c r="W887" s="30"/>
      <c r="X887" s="73" t="s">
        <v>3284</v>
      </c>
      <c r="Y887" s="127" t="str">
        <f>_xlfn.XLOOKUP(MasterFees[[#This Row],[Provider / Payer]],Contracts[Contract Name],Contracts[Contract ID],"No contract")</f>
        <v>CON-01</v>
      </c>
      <c r="Z887" s="127" t="str">
        <f>_xlfn.XLOOKUP(MasterFees[[#This Row],[Provider / Payer]],Contracts[Contract Name],Contracts[Pricing Basis],"To confirm")</f>
        <v>To confirm</v>
      </c>
      <c r="AA887" s="127" t="str">
        <f>IF(MasterFees[[#This Row],[Pricing Basis]]="Fixed fee schedule","Yes","No")</f>
        <v>No</v>
      </c>
      <c r="AB887" s="127" t="str">
        <f>IF(OR(MasterFees[[#This Row],[Fee Basis]]="Add-on",MasterFees[[#This Row],[Fee Basis]]="Time band",MasterFees[[#This Row],[Fee Basis]]="Other"),MasterFees[[#This Row],[Fee Basis]],"Base")</f>
        <v>Base</v>
      </c>
      <c r="AC887" s="141" t="str">
        <f>IF(MasterFees[[#This Row],[Fixed Fee?]]="Yes",MasterFees[[#This Row],[Fee Excl. GST]],"")</f>
        <v/>
      </c>
    </row>
    <row r="888" spans="1:29" x14ac:dyDescent="0.2">
      <c r="A888" s="67" t="s">
        <v>2347</v>
      </c>
      <c r="B888" s="31">
        <f>IF(MasterFees[[#This Row],[RVG Code]]="","",_xlfn.XLOOKUP(MasterFees[[#This Row],[RVG Code]],RVGCodes[Code],RVGCodes[Base Units],"Code not found"))</f>
        <v>4</v>
      </c>
      <c r="C88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8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88" s="125" t="s">
        <v>2580</v>
      </c>
      <c r="F888" s="48" t="s">
        <v>2567</v>
      </c>
      <c r="G888" s="30" t="s">
        <v>397</v>
      </c>
      <c r="H888" s="37" t="s">
        <v>1095</v>
      </c>
      <c r="I888" s="37"/>
      <c r="J888" s="37" t="s">
        <v>1096</v>
      </c>
      <c r="K888" s="32">
        <v>0</v>
      </c>
      <c r="L888" s="32">
        <v>2</v>
      </c>
      <c r="M888" s="32">
        <v>0</v>
      </c>
      <c r="N888" s="32">
        <v>2</v>
      </c>
      <c r="O888" s="33">
        <v>110</v>
      </c>
      <c r="P888" s="38" t="s">
        <v>1014</v>
      </c>
      <c r="Q888" s="34" t="str">
        <f>IF(MasterFees[[#This Row],[GST Basis]]="Excl",MasterFees[[#This Row],[Fee as Printed]],IF(MasterFees[[#This Row],[GST Basis]]="Incl",MasterFees[[#This Row],[Fee as Printed]]/(1+GST_Rate),""))</f>
        <v/>
      </c>
      <c r="R888" s="34" t="str">
        <f>IF(MasterFees[[#This Row],[GST Basis]]="Incl",MasterFees[[#This Row],[Fee as Printed]],IF(MasterFees[[#This Row],[GST Basis]]="Excl",MasterFees[[#This Row],[Fee as Printed]]*(1+GST_Rate),""))</f>
        <v/>
      </c>
      <c r="S888" s="35">
        <f>IF(N(MasterFees[[#This Row],[Total Units]])=0,"",MasterFees[[#This Row],[Fee as Printed]]/MasterFees[[#This Row],[Total Units]])</f>
        <v>55</v>
      </c>
      <c r="T888" s="36"/>
      <c r="U888" s="39" t="s">
        <v>1012</v>
      </c>
      <c r="V888" s="39" t="s">
        <v>1492</v>
      </c>
      <c r="W888" s="30"/>
      <c r="X888" s="73" t="s">
        <v>3285</v>
      </c>
      <c r="Y888" s="127" t="str">
        <f>_xlfn.XLOOKUP(MasterFees[[#This Row],[Provider / Payer]],Contracts[Contract Name],Contracts[Contract ID],"No contract")</f>
        <v>CON-01</v>
      </c>
      <c r="Z888" s="127" t="str">
        <f>_xlfn.XLOOKUP(MasterFees[[#This Row],[Provider / Payer]],Contracts[Contract Name],Contracts[Pricing Basis],"To confirm")</f>
        <v>To confirm</v>
      </c>
      <c r="AA888" s="127" t="str">
        <f>IF(MasterFees[[#This Row],[Pricing Basis]]="Fixed fee schedule","Yes","No")</f>
        <v>No</v>
      </c>
      <c r="AB888" s="127" t="str">
        <f>IF(OR(MasterFees[[#This Row],[Fee Basis]]="Add-on",MasterFees[[#This Row],[Fee Basis]]="Time band",MasterFees[[#This Row],[Fee Basis]]="Other"),MasterFees[[#This Row],[Fee Basis]],"Base")</f>
        <v>Base</v>
      </c>
      <c r="AC888" s="141" t="str">
        <f>IF(MasterFees[[#This Row],[Fixed Fee?]]="Yes",MasterFees[[#This Row],[Fee Excl. GST]],"")</f>
        <v/>
      </c>
    </row>
    <row r="889" spans="1:29" x14ac:dyDescent="0.2">
      <c r="A889" s="67" t="s">
        <v>2347</v>
      </c>
      <c r="B889" s="31">
        <f>IF(MasterFees[[#This Row],[RVG Code]]="","",_xlfn.XLOOKUP(MasterFees[[#This Row],[RVG Code]],RVGCodes[Code],RVGCodes[Base Units],"Code not found"))</f>
        <v>4</v>
      </c>
      <c r="C88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8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89" s="125" t="s">
        <v>2580</v>
      </c>
      <c r="F889" s="48" t="s">
        <v>2567</v>
      </c>
      <c r="G889" s="30" t="s">
        <v>398</v>
      </c>
      <c r="H889" s="37" t="s">
        <v>1095</v>
      </c>
      <c r="I889" s="37"/>
      <c r="J889" s="37" t="s">
        <v>1096</v>
      </c>
      <c r="K889" s="32">
        <v>2.2000000000000002</v>
      </c>
      <c r="L889" s="32">
        <v>2</v>
      </c>
      <c r="M889" s="32">
        <v>0.3</v>
      </c>
      <c r="N889" s="32">
        <v>4.5</v>
      </c>
      <c r="O889" s="33">
        <v>246.95</v>
      </c>
      <c r="P889" s="38" t="s">
        <v>1014</v>
      </c>
      <c r="Q889" s="34" t="str">
        <f>IF(MasterFees[[#This Row],[GST Basis]]="Excl",MasterFees[[#This Row],[Fee as Printed]],IF(MasterFees[[#This Row],[GST Basis]]="Incl",MasterFees[[#This Row],[Fee as Printed]]/(1+GST_Rate),""))</f>
        <v/>
      </c>
      <c r="R889" s="34" t="str">
        <f>IF(MasterFees[[#This Row],[GST Basis]]="Incl",MasterFees[[#This Row],[Fee as Printed]],IF(MasterFees[[#This Row],[GST Basis]]="Excl",MasterFees[[#This Row],[Fee as Printed]]*(1+GST_Rate),""))</f>
        <v/>
      </c>
      <c r="S889" s="35">
        <f>IF(N(MasterFees[[#This Row],[Total Units]])=0,"",MasterFees[[#This Row],[Fee as Printed]]/MasterFees[[#This Row],[Total Units]])</f>
        <v>54.877777777777773</v>
      </c>
      <c r="T889" s="36"/>
      <c r="U889" s="39" t="s">
        <v>1012</v>
      </c>
      <c r="V889" s="39" t="s">
        <v>1493</v>
      </c>
      <c r="W889" s="30"/>
      <c r="X889" s="73" t="s">
        <v>3286</v>
      </c>
      <c r="Y889" s="127" t="str">
        <f>_xlfn.XLOOKUP(MasterFees[[#This Row],[Provider / Payer]],Contracts[Contract Name],Contracts[Contract ID],"No contract")</f>
        <v>CON-01</v>
      </c>
      <c r="Z889" s="127" t="str">
        <f>_xlfn.XLOOKUP(MasterFees[[#This Row],[Provider / Payer]],Contracts[Contract Name],Contracts[Pricing Basis],"To confirm")</f>
        <v>To confirm</v>
      </c>
      <c r="AA889" s="127" t="str">
        <f>IF(MasterFees[[#This Row],[Pricing Basis]]="Fixed fee schedule","Yes","No")</f>
        <v>No</v>
      </c>
      <c r="AB889" s="127" t="str">
        <f>IF(OR(MasterFees[[#This Row],[Fee Basis]]="Add-on",MasterFees[[#This Row],[Fee Basis]]="Time band",MasterFees[[#This Row],[Fee Basis]]="Other"),MasterFees[[#This Row],[Fee Basis]],"Base")</f>
        <v>Base</v>
      </c>
      <c r="AC889" s="141" t="str">
        <f>IF(MasterFees[[#This Row],[Fixed Fee?]]="Yes",MasterFees[[#This Row],[Fee Excl. GST]],"")</f>
        <v/>
      </c>
    </row>
    <row r="890" spans="1:29" x14ac:dyDescent="0.2">
      <c r="A890" s="67" t="s">
        <v>2347</v>
      </c>
      <c r="B890" s="31">
        <f>IF(MasterFees[[#This Row],[RVG Code]]="","",_xlfn.XLOOKUP(MasterFees[[#This Row],[RVG Code]],RVGCodes[Code],RVGCodes[Base Units],"Code not found"))</f>
        <v>4</v>
      </c>
      <c r="C89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9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90" s="125" t="s">
        <v>2580</v>
      </c>
      <c r="F890" s="48" t="s">
        <v>2567</v>
      </c>
      <c r="G890" s="30" t="s">
        <v>400</v>
      </c>
      <c r="H890" s="37" t="s">
        <v>1095</v>
      </c>
      <c r="I890" s="37"/>
      <c r="J890" s="37" t="s">
        <v>1096</v>
      </c>
      <c r="K890" s="32">
        <v>4.8</v>
      </c>
      <c r="L890" s="32">
        <v>5.4</v>
      </c>
      <c r="M890" s="32">
        <v>0</v>
      </c>
      <c r="N890" s="32">
        <v>10.199999999999999</v>
      </c>
      <c r="O890" s="33">
        <v>561</v>
      </c>
      <c r="P890" s="38" t="s">
        <v>1014</v>
      </c>
      <c r="Q890" s="34" t="str">
        <f>IF(MasterFees[[#This Row],[GST Basis]]="Excl",MasterFees[[#This Row],[Fee as Printed]],IF(MasterFees[[#This Row],[GST Basis]]="Incl",MasterFees[[#This Row],[Fee as Printed]]/(1+GST_Rate),""))</f>
        <v/>
      </c>
      <c r="R890" s="34" t="str">
        <f>IF(MasterFees[[#This Row],[GST Basis]]="Incl",MasterFees[[#This Row],[Fee as Printed]],IF(MasterFees[[#This Row],[GST Basis]]="Excl",MasterFees[[#This Row],[Fee as Printed]]*(1+GST_Rate),""))</f>
        <v/>
      </c>
      <c r="S890" s="35">
        <f>IF(N(MasterFees[[#This Row],[Total Units]])=0,"",MasterFees[[#This Row],[Fee as Printed]]/MasterFees[[#This Row],[Total Units]])</f>
        <v>55.000000000000007</v>
      </c>
      <c r="T890" s="36"/>
      <c r="U890" s="39" t="s">
        <v>1012</v>
      </c>
      <c r="V890" s="39" t="s">
        <v>1495</v>
      </c>
      <c r="W890" s="30"/>
      <c r="X890" s="73" t="s">
        <v>3288</v>
      </c>
      <c r="Y890" s="127" t="str">
        <f>_xlfn.XLOOKUP(MasterFees[[#This Row],[Provider / Payer]],Contracts[Contract Name],Contracts[Contract ID],"No contract")</f>
        <v>CON-01</v>
      </c>
      <c r="Z890" s="127" t="str">
        <f>_xlfn.XLOOKUP(MasterFees[[#This Row],[Provider / Payer]],Contracts[Contract Name],Contracts[Pricing Basis],"To confirm")</f>
        <v>To confirm</v>
      </c>
      <c r="AA890" s="127" t="str">
        <f>IF(MasterFees[[#This Row],[Pricing Basis]]="Fixed fee schedule","Yes","No")</f>
        <v>No</v>
      </c>
      <c r="AB890" s="127" t="str">
        <f>IF(OR(MasterFees[[#This Row],[Fee Basis]]="Add-on",MasterFees[[#This Row],[Fee Basis]]="Time band",MasterFees[[#This Row],[Fee Basis]]="Other"),MasterFees[[#This Row],[Fee Basis]],"Base")</f>
        <v>Base</v>
      </c>
      <c r="AC890" s="141" t="str">
        <f>IF(MasterFees[[#This Row],[Fixed Fee?]]="Yes",MasterFees[[#This Row],[Fee Excl. GST]],"")</f>
        <v/>
      </c>
    </row>
    <row r="891" spans="1:29" x14ac:dyDescent="0.2">
      <c r="A891" s="67" t="s">
        <v>2347</v>
      </c>
      <c r="B891" s="31">
        <f>IF(MasterFees[[#This Row],[RVG Code]]="","",_xlfn.XLOOKUP(MasterFees[[#This Row],[RVG Code]],RVGCodes[Code],RVGCodes[Base Units],"Code not found"))</f>
        <v>4</v>
      </c>
      <c r="C89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9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91" s="125" t="s">
        <v>2580</v>
      </c>
      <c r="F891" s="48" t="s">
        <v>2567</v>
      </c>
      <c r="G891" s="30" t="s">
        <v>401</v>
      </c>
      <c r="H891" s="37" t="s">
        <v>1095</v>
      </c>
      <c r="I891" s="37"/>
      <c r="J891" s="37" t="s">
        <v>1096</v>
      </c>
      <c r="K891" s="32">
        <v>0</v>
      </c>
      <c r="L891" s="32">
        <v>2</v>
      </c>
      <c r="M891" s="32">
        <v>0</v>
      </c>
      <c r="N891" s="32">
        <v>2</v>
      </c>
      <c r="O891" s="33">
        <v>110</v>
      </c>
      <c r="P891" s="38" t="s">
        <v>1014</v>
      </c>
      <c r="Q891" s="34" t="str">
        <f>IF(MasterFees[[#This Row],[GST Basis]]="Excl",MasterFees[[#This Row],[Fee as Printed]],IF(MasterFees[[#This Row],[GST Basis]]="Incl",MasterFees[[#This Row],[Fee as Printed]]/(1+GST_Rate),""))</f>
        <v/>
      </c>
      <c r="R891" s="34" t="str">
        <f>IF(MasterFees[[#This Row],[GST Basis]]="Incl",MasterFees[[#This Row],[Fee as Printed]],IF(MasterFees[[#This Row],[GST Basis]]="Excl",MasterFees[[#This Row],[Fee as Printed]]*(1+GST_Rate),""))</f>
        <v/>
      </c>
      <c r="S891" s="35">
        <f>IF(N(MasterFees[[#This Row],[Total Units]])=0,"",MasterFees[[#This Row],[Fee as Printed]]/MasterFees[[#This Row],[Total Units]])</f>
        <v>55</v>
      </c>
      <c r="T891" s="36"/>
      <c r="U891" s="39" t="s">
        <v>1012</v>
      </c>
      <c r="V891" s="39" t="s">
        <v>1496</v>
      </c>
      <c r="W891" s="30"/>
      <c r="X891" s="73" t="s">
        <v>3289</v>
      </c>
      <c r="Y891" s="127" t="str">
        <f>_xlfn.XLOOKUP(MasterFees[[#This Row],[Provider / Payer]],Contracts[Contract Name],Contracts[Contract ID],"No contract")</f>
        <v>CON-01</v>
      </c>
      <c r="Z891" s="127" t="str">
        <f>_xlfn.XLOOKUP(MasterFees[[#This Row],[Provider / Payer]],Contracts[Contract Name],Contracts[Pricing Basis],"To confirm")</f>
        <v>To confirm</v>
      </c>
      <c r="AA891" s="127" t="str">
        <f>IF(MasterFees[[#This Row],[Pricing Basis]]="Fixed fee schedule","Yes","No")</f>
        <v>No</v>
      </c>
      <c r="AB891" s="127" t="str">
        <f>IF(OR(MasterFees[[#This Row],[Fee Basis]]="Add-on",MasterFees[[#This Row],[Fee Basis]]="Time band",MasterFees[[#This Row],[Fee Basis]]="Other"),MasterFees[[#This Row],[Fee Basis]],"Base")</f>
        <v>Base</v>
      </c>
      <c r="AC891" s="141" t="str">
        <f>IF(MasterFees[[#This Row],[Fixed Fee?]]="Yes",MasterFees[[#This Row],[Fee Excl. GST]],"")</f>
        <v/>
      </c>
    </row>
    <row r="892" spans="1:29" x14ac:dyDescent="0.2">
      <c r="A892" s="67" t="s">
        <v>2347</v>
      </c>
      <c r="B892" s="31">
        <f>IF(MasterFees[[#This Row],[RVG Code]]="","",_xlfn.XLOOKUP(MasterFees[[#This Row],[RVG Code]],RVGCodes[Code],RVGCodes[Base Units],"Code not found"))</f>
        <v>4</v>
      </c>
      <c r="C89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9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92" s="125" t="s">
        <v>2580</v>
      </c>
      <c r="F892" s="48" t="s">
        <v>2567</v>
      </c>
      <c r="G892" s="30" t="s">
        <v>409</v>
      </c>
      <c r="H892" s="37" t="s">
        <v>1095</v>
      </c>
      <c r="I892" s="37"/>
      <c r="J892" s="37" t="s">
        <v>1096</v>
      </c>
      <c r="K892" s="32">
        <v>3.8</v>
      </c>
      <c r="L892" s="32">
        <v>3.8</v>
      </c>
      <c r="M892" s="32">
        <v>0.5</v>
      </c>
      <c r="N892" s="32">
        <v>8.1999999999999993</v>
      </c>
      <c r="O892" s="33">
        <v>448.8</v>
      </c>
      <c r="P892" s="38" t="s">
        <v>1014</v>
      </c>
      <c r="Q892" s="34" t="str">
        <f>IF(MasterFees[[#This Row],[GST Basis]]="Excl",MasterFees[[#This Row],[Fee as Printed]],IF(MasterFees[[#This Row],[GST Basis]]="Incl",MasterFees[[#This Row],[Fee as Printed]]/(1+GST_Rate),""))</f>
        <v/>
      </c>
      <c r="R892" s="34" t="str">
        <f>IF(MasterFees[[#This Row],[GST Basis]]="Incl",MasterFees[[#This Row],[Fee as Printed]],IF(MasterFees[[#This Row],[GST Basis]]="Excl",MasterFees[[#This Row],[Fee as Printed]]*(1+GST_Rate),""))</f>
        <v/>
      </c>
      <c r="S892" s="35">
        <f>IF(N(MasterFees[[#This Row],[Total Units]])=0,"",MasterFees[[#This Row],[Fee as Printed]]/MasterFees[[#This Row],[Total Units]])</f>
        <v>54.73170731707318</v>
      </c>
      <c r="T892" s="36"/>
      <c r="U892" s="39" t="s">
        <v>1012</v>
      </c>
      <c r="V892" s="39" t="s">
        <v>1504</v>
      </c>
      <c r="W892" s="30"/>
      <c r="X892" s="73" t="s">
        <v>3297</v>
      </c>
      <c r="Y892" s="127" t="str">
        <f>_xlfn.XLOOKUP(MasterFees[[#This Row],[Provider / Payer]],Contracts[Contract Name],Contracts[Contract ID],"No contract")</f>
        <v>CON-01</v>
      </c>
      <c r="Z892" s="127" t="str">
        <f>_xlfn.XLOOKUP(MasterFees[[#This Row],[Provider / Payer]],Contracts[Contract Name],Contracts[Pricing Basis],"To confirm")</f>
        <v>To confirm</v>
      </c>
      <c r="AA892" s="127" t="str">
        <f>IF(MasterFees[[#This Row],[Pricing Basis]]="Fixed fee schedule","Yes","No")</f>
        <v>No</v>
      </c>
      <c r="AB892" s="127" t="str">
        <f>IF(OR(MasterFees[[#This Row],[Fee Basis]]="Add-on",MasterFees[[#This Row],[Fee Basis]]="Time band",MasterFees[[#This Row],[Fee Basis]]="Other"),MasterFees[[#This Row],[Fee Basis]],"Base")</f>
        <v>Base</v>
      </c>
      <c r="AC892" s="141" t="str">
        <f>IF(MasterFees[[#This Row],[Fixed Fee?]]="Yes",MasterFees[[#This Row],[Fee Excl. GST]],"")</f>
        <v/>
      </c>
    </row>
    <row r="893" spans="1:29" x14ac:dyDescent="0.2">
      <c r="A893" s="67" t="s">
        <v>2350</v>
      </c>
      <c r="B893" s="31">
        <f>IF(MasterFees[[#This Row],[RVG Code]]="","",_xlfn.XLOOKUP(MasterFees[[#This Row],[RVG Code]],RVGCodes[Code],RVGCodes[Base Units],"Code not found"))</f>
        <v>5</v>
      </c>
      <c r="C89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9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93" s="125" t="s">
        <v>2582</v>
      </c>
      <c r="F893" s="48" t="s">
        <v>2567</v>
      </c>
      <c r="G893" s="30" t="s">
        <v>419</v>
      </c>
      <c r="H893" s="37" t="s">
        <v>1095</v>
      </c>
      <c r="I893" s="37"/>
      <c r="J893" s="37" t="s">
        <v>1096</v>
      </c>
      <c r="K893" s="32">
        <v>4.4000000000000004</v>
      </c>
      <c r="L893" s="32">
        <v>3.5</v>
      </c>
      <c r="M893" s="32">
        <v>0.7</v>
      </c>
      <c r="N893" s="32">
        <v>8.6</v>
      </c>
      <c r="O893" s="33">
        <v>474.65</v>
      </c>
      <c r="P893" s="38" t="s">
        <v>1014</v>
      </c>
      <c r="Q893" s="34" t="str">
        <f>IF(MasterFees[[#This Row],[GST Basis]]="Excl",MasterFees[[#This Row],[Fee as Printed]],IF(MasterFees[[#This Row],[GST Basis]]="Incl",MasterFees[[#This Row],[Fee as Printed]]/(1+GST_Rate),""))</f>
        <v/>
      </c>
      <c r="R893" s="34" t="str">
        <f>IF(MasterFees[[#This Row],[GST Basis]]="Incl",MasterFees[[#This Row],[Fee as Printed]],IF(MasterFees[[#This Row],[GST Basis]]="Excl",MasterFees[[#This Row],[Fee as Printed]]*(1+GST_Rate),""))</f>
        <v/>
      </c>
      <c r="S893" s="35">
        <f>IF(N(MasterFees[[#This Row],[Total Units]])=0,"",MasterFees[[#This Row],[Fee as Printed]]/MasterFees[[#This Row],[Total Units]])</f>
        <v>55.191860465116278</v>
      </c>
      <c r="T893" s="36"/>
      <c r="U893" s="39" t="s">
        <v>1012</v>
      </c>
      <c r="V893" s="39" t="s">
        <v>1514</v>
      </c>
      <c r="W893" s="30"/>
      <c r="X893" s="73" t="s">
        <v>3307</v>
      </c>
      <c r="Y893" s="127" t="str">
        <f>_xlfn.XLOOKUP(MasterFees[[#This Row],[Provider / Payer]],Contracts[Contract Name],Contracts[Contract ID],"No contract")</f>
        <v>CON-01</v>
      </c>
      <c r="Z893" s="127" t="str">
        <f>_xlfn.XLOOKUP(MasterFees[[#This Row],[Provider / Payer]],Contracts[Contract Name],Contracts[Pricing Basis],"To confirm")</f>
        <v>To confirm</v>
      </c>
      <c r="AA893" s="127" t="str">
        <f>IF(MasterFees[[#This Row],[Pricing Basis]]="Fixed fee schedule","Yes","No")</f>
        <v>No</v>
      </c>
      <c r="AB893" s="127" t="str">
        <f>IF(OR(MasterFees[[#This Row],[Fee Basis]]="Add-on",MasterFees[[#This Row],[Fee Basis]]="Time band",MasterFees[[#This Row],[Fee Basis]]="Other"),MasterFees[[#This Row],[Fee Basis]],"Base")</f>
        <v>Base</v>
      </c>
      <c r="AC893" s="141" t="str">
        <f>IF(MasterFees[[#This Row],[Fixed Fee?]]="Yes",MasterFees[[#This Row],[Fee Excl. GST]],"")</f>
        <v/>
      </c>
    </row>
    <row r="894" spans="1:29" x14ac:dyDescent="0.2">
      <c r="A894" s="67" t="s">
        <v>2350</v>
      </c>
      <c r="B894" s="31">
        <f>IF(MasterFees[[#This Row],[RVG Code]]="","",_xlfn.XLOOKUP(MasterFees[[#This Row],[RVG Code]],RVGCodes[Code],RVGCodes[Base Units],"Code not found"))</f>
        <v>5</v>
      </c>
      <c r="C89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9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94" s="125" t="s">
        <v>2582</v>
      </c>
      <c r="F894" s="48" t="s">
        <v>2567</v>
      </c>
      <c r="G894" s="30" t="s">
        <v>420</v>
      </c>
      <c r="H894" s="37" t="s">
        <v>1095</v>
      </c>
      <c r="I894" s="37"/>
      <c r="J894" s="37" t="s">
        <v>1096</v>
      </c>
      <c r="K894" s="32">
        <v>4.8</v>
      </c>
      <c r="L894" s="32">
        <v>6.5</v>
      </c>
      <c r="M894" s="32">
        <v>0.4</v>
      </c>
      <c r="N894" s="32">
        <v>11.7</v>
      </c>
      <c r="O894" s="33">
        <v>643.5</v>
      </c>
      <c r="P894" s="38" t="s">
        <v>1014</v>
      </c>
      <c r="Q894" s="34" t="str">
        <f>IF(MasterFees[[#This Row],[GST Basis]]="Excl",MasterFees[[#This Row],[Fee as Printed]],IF(MasterFees[[#This Row],[GST Basis]]="Incl",MasterFees[[#This Row],[Fee as Printed]]/(1+GST_Rate),""))</f>
        <v/>
      </c>
      <c r="R894" s="34" t="str">
        <f>IF(MasterFees[[#This Row],[GST Basis]]="Incl",MasterFees[[#This Row],[Fee as Printed]],IF(MasterFees[[#This Row],[GST Basis]]="Excl",MasterFees[[#This Row],[Fee as Printed]]*(1+GST_Rate),""))</f>
        <v/>
      </c>
      <c r="S894" s="35">
        <f>IF(N(MasterFees[[#This Row],[Total Units]])=0,"",MasterFees[[#This Row],[Fee as Printed]]/MasterFees[[#This Row],[Total Units]])</f>
        <v>55</v>
      </c>
      <c r="T894" s="36"/>
      <c r="U894" s="39" t="s">
        <v>1012</v>
      </c>
      <c r="V894" s="39" t="s">
        <v>1515</v>
      </c>
      <c r="W894" s="30"/>
      <c r="X894" s="73" t="s">
        <v>3308</v>
      </c>
      <c r="Y894" s="127" t="str">
        <f>_xlfn.XLOOKUP(MasterFees[[#This Row],[Provider / Payer]],Contracts[Contract Name],Contracts[Contract ID],"No contract")</f>
        <v>CON-01</v>
      </c>
      <c r="Z894" s="127" t="str">
        <f>_xlfn.XLOOKUP(MasterFees[[#This Row],[Provider / Payer]],Contracts[Contract Name],Contracts[Pricing Basis],"To confirm")</f>
        <v>To confirm</v>
      </c>
      <c r="AA894" s="127" t="str">
        <f>IF(MasterFees[[#This Row],[Pricing Basis]]="Fixed fee schedule","Yes","No")</f>
        <v>No</v>
      </c>
      <c r="AB894" s="127" t="str">
        <f>IF(OR(MasterFees[[#This Row],[Fee Basis]]="Add-on",MasterFees[[#This Row],[Fee Basis]]="Time band",MasterFees[[#This Row],[Fee Basis]]="Other"),MasterFees[[#This Row],[Fee Basis]],"Base")</f>
        <v>Base</v>
      </c>
      <c r="AC894" s="141" t="str">
        <f>IF(MasterFees[[#This Row],[Fixed Fee?]]="Yes",MasterFees[[#This Row],[Fee Excl. GST]],"")</f>
        <v/>
      </c>
    </row>
    <row r="895" spans="1:29" x14ac:dyDescent="0.2">
      <c r="A895" s="67" t="s">
        <v>2347</v>
      </c>
      <c r="B895" s="31">
        <f>IF(MasterFees[[#This Row],[RVG Code]]="","",_xlfn.XLOOKUP(MasterFees[[#This Row],[RVG Code]],RVGCodes[Code],RVGCodes[Base Units],"Code not found"))</f>
        <v>4</v>
      </c>
      <c r="C89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9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95" s="125" t="s">
        <v>2580</v>
      </c>
      <c r="F895" s="48" t="s">
        <v>2569</v>
      </c>
      <c r="G895" s="30" t="s">
        <v>424</v>
      </c>
      <c r="H895" s="37" t="s">
        <v>1095</v>
      </c>
      <c r="I895" s="37"/>
      <c r="J895" s="37" t="s">
        <v>1096</v>
      </c>
      <c r="K895" s="32">
        <v>4</v>
      </c>
      <c r="L895" s="32">
        <v>2.2000000000000002</v>
      </c>
      <c r="M895" s="32">
        <v>0.5</v>
      </c>
      <c r="N895" s="32">
        <v>6.7</v>
      </c>
      <c r="O895" s="33">
        <v>370.15</v>
      </c>
      <c r="P895" s="38" t="s">
        <v>1014</v>
      </c>
      <c r="Q895" s="34" t="str">
        <f>IF(MasterFees[[#This Row],[GST Basis]]="Excl",MasterFees[[#This Row],[Fee as Printed]],IF(MasterFees[[#This Row],[GST Basis]]="Incl",MasterFees[[#This Row],[Fee as Printed]]/(1+GST_Rate),""))</f>
        <v/>
      </c>
      <c r="R895" s="34" t="str">
        <f>IF(MasterFees[[#This Row],[GST Basis]]="Incl",MasterFees[[#This Row],[Fee as Printed]],IF(MasterFees[[#This Row],[GST Basis]]="Excl",MasterFees[[#This Row],[Fee as Printed]]*(1+GST_Rate),""))</f>
        <v/>
      </c>
      <c r="S895" s="35">
        <f>IF(N(MasterFees[[#This Row],[Total Units]])=0,"",MasterFees[[#This Row],[Fee as Printed]]/MasterFees[[#This Row],[Total Units]])</f>
        <v>55.24626865671641</v>
      </c>
      <c r="T895" s="36"/>
      <c r="U895" s="39" t="s">
        <v>1012</v>
      </c>
      <c r="V895" s="39" t="s">
        <v>1519</v>
      </c>
      <c r="W895" s="30"/>
      <c r="X895" s="73" t="s">
        <v>3312</v>
      </c>
      <c r="Y895" s="127" t="str">
        <f>_xlfn.XLOOKUP(MasterFees[[#This Row],[Provider / Payer]],Contracts[Contract Name],Contracts[Contract ID],"No contract")</f>
        <v>CON-01</v>
      </c>
      <c r="Z895" s="127" t="str">
        <f>_xlfn.XLOOKUP(MasterFees[[#This Row],[Provider / Payer]],Contracts[Contract Name],Contracts[Pricing Basis],"To confirm")</f>
        <v>To confirm</v>
      </c>
      <c r="AA895" s="127" t="str">
        <f>IF(MasterFees[[#This Row],[Pricing Basis]]="Fixed fee schedule","Yes","No")</f>
        <v>No</v>
      </c>
      <c r="AB895" s="127" t="str">
        <f>IF(OR(MasterFees[[#This Row],[Fee Basis]]="Add-on",MasterFees[[#This Row],[Fee Basis]]="Time band",MasterFees[[#This Row],[Fee Basis]]="Other"),MasterFees[[#This Row],[Fee Basis]],"Base")</f>
        <v>Base</v>
      </c>
      <c r="AC895" s="141" t="str">
        <f>IF(MasterFees[[#This Row],[Fixed Fee?]]="Yes",MasterFees[[#This Row],[Fee Excl. GST]],"")</f>
        <v/>
      </c>
    </row>
    <row r="896" spans="1:29" x14ac:dyDescent="0.2">
      <c r="A896" s="67" t="s">
        <v>2347</v>
      </c>
      <c r="B896" s="31">
        <f>IF(MasterFees[[#This Row],[RVG Code]]="","",_xlfn.XLOOKUP(MasterFees[[#This Row],[RVG Code]],RVGCodes[Code],RVGCodes[Base Units],"Code not found"))</f>
        <v>4</v>
      </c>
      <c r="C89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9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96" s="125" t="s">
        <v>2580</v>
      </c>
      <c r="F896" s="48" t="s">
        <v>2569</v>
      </c>
      <c r="G896" s="30" t="s">
        <v>426</v>
      </c>
      <c r="H896" s="37" t="s">
        <v>1095</v>
      </c>
      <c r="I896" s="37"/>
      <c r="J896" s="37" t="s">
        <v>1096</v>
      </c>
      <c r="K896" s="32">
        <v>4</v>
      </c>
      <c r="L896" s="32">
        <v>3</v>
      </c>
      <c r="M896" s="32">
        <v>0</v>
      </c>
      <c r="N896" s="32">
        <v>7</v>
      </c>
      <c r="O896" s="33">
        <v>385</v>
      </c>
      <c r="P896" s="38" t="s">
        <v>1014</v>
      </c>
      <c r="Q896" s="34" t="str">
        <f>IF(MasterFees[[#This Row],[GST Basis]]="Excl",MasterFees[[#This Row],[Fee as Printed]],IF(MasterFees[[#This Row],[GST Basis]]="Incl",MasterFees[[#This Row],[Fee as Printed]]/(1+GST_Rate),""))</f>
        <v/>
      </c>
      <c r="R896" s="34" t="str">
        <f>IF(MasterFees[[#This Row],[GST Basis]]="Incl",MasterFees[[#This Row],[Fee as Printed]],IF(MasterFees[[#This Row],[GST Basis]]="Excl",MasterFees[[#This Row],[Fee as Printed]]*(1+GST_Rate),""))</f>
        <v/>
      </c>
      <c r="S896" s="35">
        <f>IF(N(MasterFees[[#This Row],[Total Units]])=0,"",MasterFees[[#This Row],[Fee as Printed]]/MasterFees[[#This Row],[Total Units]])</f>
        <v>55</v>
      </c>
      <c r="T896" s="36"/>
      <c r="U896" s="39" t="s">
        <v>1012</v>
      </c>
      <c r="V896" s="39" t="s">
        <v>1521</v>
      </c>
      <c r="W896" s="30"/>
      <c r="X896" s="73" t="s">
        <v>3314</v>
      </c>
      <c r="Y896" s="127" t="str">
        <f>_xlfn.XLOOKUP(MasterFees[[#This Row],[Provider / Payer]],Contracts[Contract Name],Contracts[Contract ID],"No contract")</f>
        <v>CON-01</v>
      </c>
      <c r="Z896" s="127" t="str">
        <f>_xlfn.XLOOKUP(MasterFees[[#This Row],[Provider / Payer]],Contracts[Contract Name],Contracts[Pricing Basis],"To confirm")</f>
        <v>To confirm</v>
      </c>
      <c r="AA896" s="127" t="str">
        <f>IF(MasterFees[[#This Row],[Pricing Basis]]="Fixed fee schedule","Yes","No")</f>
        <v>No</v>
      </c>
      <c r="AB896" s="127" t="str">
        <f>IF(OR(MasterFees[[#This Row],[Fee Basis]]="Add-on",MasterFees[[#This Row],[Fee Basis]]="Time band",MasterFees[[#This Row],[Fee Basis]]="Other"),MasterFees[[#This Row],[Fee Basis]],"Base")</f>
        <v>Base</v>
      </c>
      <c r="AC896" s="141" t="str">
        <f>IF(MasterFees[[#This Row],[Fixed Fee?]]="Yes",MasterFees[[#This Row],[Fee Excl. GST]],"")</f>
        <v/>
      </c>
    </row>
    <row r="897" spans="1:29" x14ac:dyDescent="0.2">
      <c r="A897" s="67" t="s">
        <v>2347</v>
      </c>
      <c r="B897" s="31">
        <f>IF(MasterFees[[#This Row],[RVG Code]]="","",_xlfn.XLOOKUP(MasterFees[[#This Row],[RVG Code]],RVGCodes[Code],RVGCodes[Base Units],"Code not found"))</f>
        <v>4</v>
      </c>
      <c r="C89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9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97" s="125" t="s">
        <v>2580</v>
      </c>
      <c r="F897" s="48" t="s">
        <v>2569</v>
      </c>
      <c r="G897" s="30" t="s">
        <v>427</v>
      </c>
      <c r="H897" s="37" t="s">
        <v>1095</v>
      </c>
      <c r="I897" s="37"/>
      <c r="J897" s="37" t="s">
        <v>1096</v>
      </c>
      <c r="K897" s="32">
        <v>4.0999999999999996</v>
      </c>
      <c r="L897" s="32">
        <v>2.8</v>
      </c>
      <c r="M897" s="32">
        <v>0.2</v>
      </c>
      <c r="N897" s="32">
        <v>7.1</v>
      </c>
      <c r="O897" s="33">
        <v>391.6</v>
      </c>
      <c r="P897" s="38" t="s">
        <v>1014</v>
      </c>
      <c r="Q897" s="34" t="str">
        <f>IF(MasterFees[[#This Row],[GST Basis]]="Excl",MasterFees[[#This Row],[Fee as Printed]],IF(MasterFees[[#This Row],[GST Basis]]="Incl",MasterFees[[#This Row],[Fee as Printed]]/(1+GST_Rate),""))</f>
        <v/>
      </c>
      <c r="R897" s="34" t="str">
        <f>IF(MasterFees[[#This Row],[GST Basis]]="Incl",MasterFees[[#This Row],[Fee as Printed]],IF(MasterFees[[#This Row],[GST Basis]]="Excl",MasterFees[[#This Row],[Fee as Printed]]*(1+GST_Rate),""))</f>
        <v/>
      </c>
      <c r="S897" s="35">
        <f>IF(N(MasterFees[[#This Row],[Total Units]])=0,"",MasterFees[[#This Row],[Fee as Printed]]/MasterFees[[#This Row],[Total Units]])</f>
        <v>55.154929577464792</v>
      </c>
      <c r="T897" s="36"/>
      <c r="U897" s="39" t="s">
        <v>1012</v>
      </c>
      <c r="V897" s="39" t="s">
        <v>1522</v>
      </c>
      <c r="W897" s="30"/>
      <c r="X897" s="73" t="s">
        <v>3315</v>
      </c>
      <c r="Y897" s="127" t="str">
        <f>_xlfn.XLOOKUP(MasterFees[[#This Row],[Provider / Payer]],Contracts[Contract Name],Contracts[Contract ID],"No contract")</f>
        <v>CON-01</v>
      </c>
      <c r="Z897" s="127" t="str">
        <f>_xlfn.XLOOKUP(MasterFees[[#This Row],[Provider / Payer]],Contracts[Contract Name],Contracts[Pricing Basis],"To confirm")</f>
        <v>To confirm</v>
      </c>
      <c r="AA897" s="127" t="str">
        <f>IF(MasterFees[[#This Row],[Pricing Basis]]="Fixed fee schedule","Yes","No")</f>
        <v>No</v>
      </c>
      <c r="AB897" s="127" t="str">
        <f>IF(OR(MasterFees[[#This Row],[Fee Basis]]="Add-on",MasterFees[[#This Row],[Fee Basis]]="Time band",MasterFees[[#This Row],[Fee Basis]]="Other"),MasterFees[[#This Row],[Fee Basis]],"Base")</f>
        <v>Base</v>
      </c>
      <c r="AC897" s="141" t="str">
        <f>IF(MasterFees[[#This Row],[Fixed Fee?]]="Yes",MasterFees[[#This Row],[Fee Excl. GST]],"")</f>
        <v/>
      </c>
    </row>
    <row r="898" spans="1:29" x14ac:dyDescent="0.2">
      <c r="A898" s="67" t="s">
        <v>2347</v>
      </c>
      <c r="B898" s="31">
        <f>IF(MasterFees[[#This Row],[RVG Code]]="","",_xlfn.XLOOKUP(MasterFees[[#This Row],[RVG Code]],RVGCodes[Code],RVGCodes[Base Units],"Code not found"))</f>
        <v>4</v>
      </c>
      <c r="C89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9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98" s="125" t="s">
        <v>2580</v>
      </c>
      <c r="F898" s="48" t="s">
        <v>2569</v>
      </c>
      <c r="G898" s="30" t="s">
        <v>428</v>
      </c>
      <c r="H898" s="37" t="s">
        <v>1095</v>
      </c>
      <c r="I898" s="37"/>
      <c r="J898" s="37" t="s">
        <v>1096</v>
      </c>
      <c r="K898" s="32">
        <v>4</v>
      </c>
      <c r="L898" s="32">
        <v>3.2</v>
      </c>
      <c r="M898" s="32">
        <v>0.9</v>
      </c>
      <c r="N898" s="32">
        <v>8.1</v>
      </c>
      <c r="O898" s="33">
        <v>445.5</v>
      </c>
      <c r="P898" s="38" t="s">
        <v>1014</v>
      </c>
      <c r="Q898" s="34" t="str">
        <f>IF(MasterFees[[#This Row],[GST Basis]]="Excl",MasterFees[[#This Row],[Fee as Printed]],IF(MasterFees[[#This Row],[GST Basis]]="Incl",MasterFees[[#This Row],[Fee as Printed]]/(1+GST_Rate),""))</f>
        <v/>
      </c>
      <c r="R898" s="34" t="str">
        <f>IF(MasterFees[[#This Row],[GST Basis]]="Incl",MasterFees[[#This Row],[Fee as Printed]],IF(MasterFees[[#This Row],[GST Basis]]="Excl",MasterFees[[#This Row],[Fee as Printed]]*(1+GST_Rate),""))</f>
        <v/>
      </c>
      <c r="S898" s="35">
        <f>IF(N(MasterFees[[#This Row],[Total Units]])=0,"",MasterFees[[#This Row],[Fee as Printed]]/MasterFees[[#This Row],[Total Units]])</f>
        <v>55</v>
      </c>
      <c r="T898" s="36"/>
      <c r="U898" s="39" t="s">
        <v>1012</v>
      </c>
      <c r="V898" s="39" t="s">
        <v>1523</v>
      </c>
      <c r="W898" s="30"/>
      <c r="X898" s="73" t="s">
        <v>3316</v>
      </c>
      <c r="Y898" s="127" t="str">
        <f>_xlfn.XLOOKUP(MasterFees[[#This Row],[Provider / Payer]],Contracts[Contract Name],Contracts[Contract ID],"No contract")</f>
        <v>CON-01</v>
      </c>
      <c r="Z898" s="127" t="str">
        <f>_xlfn.XLOOKUP(MasterFees[[#This Row],[Provider / Payer]],Contracts[Contract Name],Contracts[Pricing Basis],"To confirm")</f>
        <v>To confirm</v>
      </c>
      <c r="AA898" s="127" t="str">
        <f>IF(MasterFees[[#This Row],[Pricing Basis]]="Fixed fee schedule","Yes","No")</f>
        <v>No</v>
      </c>
      <c r="AB898" s="127" t="str">
        <f>IF(OR(MasterFees[[#This Row],[Fee Basis]]="Add-on",MasterFees[[#This Row],[Fee Basis]]="Time band",MasterFees[[#This Row],[Fee Basis]]="Other"),MasterFees[[#This Row],[Fee Basis]],"Base")</f>
        <v>Base</v>
      </c>
      <c r="AC898" s="141" t="str">
        <f>IF(MasterFees[[#This Row],[Fixed Fee?]]="Yes",MasterFees[[#This Row],[Fee Excl. GST]],"")</f>
        <v/>
      </c>
    </row>
    <row r="899" spans="1:29" x14ac:dyDescent="0.2">
      <c r="A899" s="67" t="s">
        <v>2347</v>
      </c>
      <c r="B899" s="31">
        <f>IF(MasterFees[[#This Row],[RVG Code]]="","",_xlfn.XLOOKUP(MasterFees[[#This Row],[RVG Code]],RVGCodes[Code],RVGCodes[Base Units],"Code not found"))</f>
        <v>4</v>
      </c>
      <c r="C89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89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899" s="125" t="s">
        <v>2580</v>
      </c>
      <c r="F899" s="48" t="s">
        <v>2569</v>
      </c>
      <c r="G899" s="30" t="s">
        <v>429</v>
      </c>
      <c r="H899" s="37" t="s">
        <v>1095</v>
      </c>
      <c r="I899" s="37"/>
      <c r="J899" s="37" t="s">
        <v>1096</v>
      </c>
      <c r="K899" s="32">
        <v>4</v>
      </c>
      <c r="L899" s="32">
        <v>2.9</v>
      </c>
      <c r="M899" s="32">
        <v>0.5</v>
      </c>
      <c r="N899" s="32">
        <v>7.3</v>
      </c>
      <c r="O899" s="33">
        <v>401.5</v>
      </c>
      <c r="P899" s="38" t="s">
        <v>1014</v>
      </c>
      <c r="Q899" s="34" t="str">
        <f>IF(MasterFees[[#This Row],[GST Basis]]="Excl",MasterFees[[#This Row],[Fee as Printed]],IF(MasterFees[[#This Row],[GST Basis]]="Incl",MasterFees[[#This Row],[Fee as Printed]]/(1+GST_Rate),""))</f>
        <v/>
      </c>
      <c r="R899" s="34" t="str">
        <f>IF(MasterFees[[#This Row],[GST Basis]]="Incl",MasterFees[[#This Row],[Fee as Printed]],IF(MasterFees[[#This Row],[GST Basis]]="Excl",MasterFees[[#This Row],[Fee as Printed]]*(1+GST_Rate),""))</f>
        <v/>
      </c>
      <c r="S899" s="35">
        <f>IF(N(MasterFees[[#This Row],[Total Units]])=0,"",MasterFees[[#This Row],[Fee as Printed]]/MasterFees[[#This Row],[Total Units]])</f>
        <v>55</v>
      </c>
      <c r="T899" s="36"/>
      <c r="U899" s="39" t="s">
        <v>1012</v>
      </c>
      <c r="V899" s="39" t="s">
        <v>1524</v>
      </c>
      <c r="W899" s="30"/>
      <c r="X899" s="73" t="s">
        <v>3317</v>
      </c>
      <c r="Y899" s="127" t="str">
        <f>_xlfn.XLOOKUP(MasterFees[[#This Row],[Provider / Payer]],Contracts[Contract Name],Contracts[Contract ID],"No contract")</f>
        <v>CON-01</v>
      </c>
      <c r="Z899" s="127" t="str">
        <f>_xlfn.XLOOKUP(MasterFees[[#This Row],[Provider / Payer]],Contracts[Contract Name],Contracts[Pricing Basis],"To confirm")</f>
        <v>To confirm</v>
      </c>
      <c r="AA899" s="127" t="str">
        <f>IF(MasterFees[[#This Row],[Pricing Basis]]="Fixed fee schedule","Yes","No")</f>
        <v>No</v>
      </c>
      <c r="AB899" s="127" t="str">
        <f>IF(OR(MasterFees[[#This Row],[Fee Basis]]="Add-on",MasterFees[[#This Row],[Fee Basis]]="Time band",MasterFees[[#This Row],[Fee Basis]]="Other"),MasterFees[[#This Row],[Fee Basis]],"Base")</f>
        <v>Base</v>
      </c>
      <c r="AC899" s="141" t="str">
        <f>IF(MasterFees[[#This Row],[Fixed Fee?]]="Yes",MasterFees[[#This Row],[Fee Excl. GST]],"")</f>
        <v/>
      </c>
    </row>
    <row r="900" spans="1:29" x14ac:dyDescent="0.2">
      <c r="A900" s="67" t="s">
        <v>2347</v>
      </c>
      <c r="B900" s="31">
        <f>IF(MasterFees[[#This Row],[RVG Code]]="","",_xlfn.XLOOKUP(MasterFees[[#This Row],[RVG Code]],RVGCodes[Code],RVGCodes[Base Units],"Code not found"))</f>
        <v>4</v>
      </c>
      <c r="C90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0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00" s="125" t="s">
        <v>2580</v>
      </c>
      <c r="F900" s="48" t="s">
        <v>2569</v>
      </c>
      <c r="G900" s="30" t="s">
        <v>430</v>
      </c>
      <c r="H900" s="37" t="s">
        <v>1095</v>
      </c>
      <c r="I900" s="37"/>
      <c r="J900" s="37" t="s">
        <v>1096</v>
      </c>
      <c r="K900" s="32">
        <v>4</v>
      </c>
      <c r="L900" s="32">
        <v>2</v>
      </c>
      <c r="M900" s="32">
        <v>0</v>
      </c>
      <c r="N900" s="32">
        <v>6</v>
      </c>
      <c r="O900" s="33">
        <v>330</v>
      </c>
      <c r="P900" s="38" t="s">
        <v>1014</v>
      </c>
      <c r="Q900" s="34" t="str">
        <f>IF(MasterFees[[#This Row],[GST Basis]]="Excl",MasterFees[[#This Row],[Fee as Printed]],IF(MasterFees[[#This Row],[GST Basis]]="Incl",MasterFees[[#This Row],[Fee as Printed]]/(1+GST_Rate),""))</f>
        <v/>
      </c>
      <c r="R900" s="34" t="str">
        <f>IF(MasterFees[[#This Row],[GST Basis]]="Incl",MasterFees[[#This Row],[Fee as Printed]],IF(MasterFees[[#This Row],[GST Basis]]="Excl",MasterFees[[#This Row],[Fee as Printed]]*(1+GST_Rate),""))</f>
        <v/>
      </c>
      <c r="S900" s="35">
        <f>IF(N(MasterFees[[#This Row],[Total Units]])=0,"",MasterFees[[#This Row],[Fee as Printed]]/MasterFees[[#This Row],[Total Units]])</f>
        <v>55</v>
      </c>
      <c r="T900" s="36"/>
      <c r="U900" s="39" t="s">
        <v>1012</v>
      </c>
      <c r="V900" s="39" t="s">
        <v>1525</v>
      </c>
      <c r="W900" s="30"/>
      <c r="X900" s="73" t="s">
        <v>3318</v>
      </c>
      <c r="Y900" s="127" t="str">
        <f>_xlfn.XLOOKUP(MasterFees[[#This Row],[Provider / Payer]],Contracts[Contract Name],Contracts[Contract ID],"No contract")</f>
        <v>CON-01</v>
      </c>
      <c r="Z900" s="127" t="str">
        <f>_xlfn.XLOOKUP(MasterFees[[#This Row],[Provider / Payer]],Contracts[Contract Name],Contracts[Pricing Basis],"To confirm")</f>
        <v>To confirm</v>
      </c>
      <c r="AA900" s="127" t="str">
        <f>IF(MasterFees[[#This Row],[Pricing Basis]]="Fixed fee schedule","Yes","No")</f>
        <v>No</v>
      </c>
      <c r="AB900" s="127" t="str">
        <f>IF(OR(MasterFees[[#This Row],[Fee Basis]]="Add-on",MasterFees[[#This Row],[Fee Basis]]="Time band",MasterFees[[#This Row],[Fee Basis]]="Other"),MasterFees[[#This Row],[Fee Basis]],"Base")</f>
        <v>Base</v>
      </c>
      <c r="AC900" s="141" t="str">
        <f>IF(MasterFees[[#This Row],[Fixed Fee?]]="Yes",MasterFees[[#This Row],[Fee Excl. GST]],"")</f>
        <v/>
      </c>
    </row>
    <row r="901" spans="1:29" x14ac:dyDescent="0.2">
      <c r="A901" s="67" t="s">
        <v>2347</v>
      </c>
      <c r="B901" s="31">
        <f>IF(MasterFees[[#This Row],[RVG Code]]="","",_xlfn.XLOOKUP(MasterFees[[#This Row],[RVG Code]],RVGCodes[Code],RVGCodes[Base Units],"Code not found"))</f>
        <v>4</v>
      </c>
      <c r="C90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0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01" s="125" t="s">
        <v>2580</v>
      </c>
      <c r="F901" s="48" t="s">
        <v>2569</v>
      </c>
      <c r="G901" s="30" t="s">
        <v>425</v>
      </c>
      <c r="H901" s="37" t="s">
        <v>1095</v>
      </c>
      <c r="I901" s="37"/>
      <c r="J901" s="37" t="s">
        <v>1096</v>
      </c>
      <c r="K901" s="32">
        <v>4</v>
      </c>
      <c r="L901" s="32">
        <v>2</v>
      </c>
      <c r="M901" s="32">
        <v>0</v>
      </c>
      <c r="N901" s="32">
        <v>6</v>
      </c>
      <c r="O901" s="33">
        <v>330</v>
      </c>
      <c r="P901" s="38" t="s">
        <v>1014</v>
      </c>
      <c r="Q901" s="34" t="str">
        <f>IF(MasterFees[[#This Row],[GST Basis]]="Excl",MasterFees[[#This Row],[Fee as Printed]],IF(MasterFees[[#This Row],[GST Basis]]="Incl",MasterFees[[#This Row],[Fee as Printed]]/(1+GST_Rate),""))</f>
        <v/>
      </c>
      <c r="R901" s="34" t="str">
        <f>IF(MasterFees[[#This Row],[GST Basis]]="Incl",MasterFees[[#This Row],[Fee as Printed]],IF(MasterFees[[#This Row],[GST Basis]]="Excl",MasterFees[[#This Row],[Fee as Printed]]*(1+GST_Rate),""))</f>
        <v/>
      </c>
      <c r="S901" s="35">
        <f>IF(N(MasterFees[[#This Row],[Total Units]])=0,"",MasterFees[[#This Row],[Fee as Printed]]/MasterFees[[#This Row],[Total Units]])</f>
        <v>55</v>
      </c>
      <c r="T901" s="36"/>
      <c r="U901" s="39" t="s">
        <v>1012</v>
      </c>
      <c r="V901" s="39" t="s">
        <v>1520</v>
      </c>
      <c r="W901" s="30"/>
      <c r="X901" s="73" t="s">
        <v>3313</v>
      </c>
      <c r="Y901" s="127" t="str">
        <f>_xlfn.XLOOKUP(MasterFees[[#This Row],[Provider / Payer]],Contracts[Contract Name],Contracts[Contract ID],"No contract")</f>
        <v>CON-01</v>
      </c>
      <c r="Z901" s="127" t="str">
        <f>_xlfn.XLOOKUP(MasterFees[[#This Row],[Provider / Payer]],Contracts[Contract Name],Contracts[Pricing Basis],"To confirm")</f>
        <v>To confirm</v>
      </c>
      <c r="AA901" s="127" t="str">
        <f>IF(MasterFees[[#This Row],[Pricing Basis]]="Fixed fee schedule","Yes","No")</f>
        <v>No</v>
      </c>
      <c r="AB901" s="127" t="str">
        <f>IF(OR(MasterFees[[#This Row],[Fee Basis]]="Add-on",MasterFees[[#This Row],[Fee Basis]]="Time band",MasterFees[[#This Row],[Fee Basis]]="Other"),MasterFees[[#This Row],[Fee Basis]],"Base")</f>
        <v>Base</v>
      </c>
      <c r="AC901" s="141" t="str">
        <f>IF(MasterFees[[#This Row],[Fixed Fee?]]="Yes",MasterFees[[#This Row],[Fee Excl. GST]],"")</f>
        <v/>
      </c>
    </row>
    <row r="902" spans="1:29" x14ac:dyDescent="0.2">
      <c r="A902" s="67" t="s">
        <v>2347</v>
      </c>
      <c r="B902" s="31">
        <f>IF(MasterFees[[#This Row],[RVG Code]]="","",_xlfn.XLOOKUP(MasterFees[[#This Row],[RVG Code]],RVGCodes[Code],RVGCodes[Base Units],"Code not found"))</f>
        <v>4</v>
      </c>
      <c r="C90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0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02" s="125" t="s">
        <v>2580</v>
      </c>
      <c r="F902" s="48" t="s">
        <v>2569</v>
      </c>
      <c r="G902" s="30" t="s">
        <v>431</v>
      </c>
      <c r="H902" s="37" t="s">
        <v>1095</v>
      </c>
      <c r="I902" s="37"/>
      <c r="J902" s="37" t="s">
        <v>1096</v>
      </c>
      <c r="K902" s="32">
        <v>4</v>
      </c>
      <c r="L902" s="32">
        <v>2.1</v>
      </c>
      <c r="M902" s="32">
        <v>0.5</v>
      </c>
      <c r="N902" s="32">
        <v>6.5</v>
      </c>
      <c r="O902" s="33">
        <v>359.7</v>
      </c>
      <c r="P902" s="38" t="s">
        <v>1014</v>
      </c>
      <c r="Q902" s="34" t="str">
        <f>IF(MasterFees[[#This Row],[GST Basis]]="Excl",MasterFees[[#This Row],[Fee as Printed]],IF(MasterFees[[#This Row],[GST Basis]]="Incl",MasterFees[[#This Row],[Fee as Printed]]/(1+GST_Rate),""))</f>
        <v/>
      </c>
      <c r="R902" s="34" t="str">
        <f>IF(MasterFees[[#This Row],[GST Basis]]="Incl",MasterFees[[#This Row],[Fee as Printed]],IF(MasterFees[[#This Row],[GST Basis]]="Excl",MasterFees[[#This Row],[Fee as Printed]]*(1+GST_Rate),""))</f>
        <v/>
      </c>
      <c r="S902" s="35">
        <f>IF(N(MasterFees[[#This Row],[Total Units]])=0,"",MasterFees[[#This Row],[Fee as Printed]]/MasterFees[[#This Row],[Total Units]])</f>
        <v>55.338461538461537</v>
      </c>
      <c r="T902" s="36"/>
      <c r="U902" s="39" t="s">
        <v>1012</v>
      </c>
      <c r="V902" s="39" t="s">
        <v>1526</v>
      </c>
      <c r="W902" s="30"/>
      <c r="X902" s="73" t="s">
        <v>3319</v>
      </c>
      <c r="Y902" s="127" t="str">
        <f>_xlfn.XLOOKUP(MasterFees[[#This Row],[Provider / Payer]],Contracts[Contract Name],Contracts[Contract ID],"No contract")</f>
        <v>CON-01</v>
      </c>
      <c r="Z902" s="127" t="str">
        <f>_xlfn.XLOOKUP(MasterFees[[#This Row],[Provider / Payer]],Contracts[Contract Name],Contracts[Pricing Basis],"To confirm")</f>
        <v>To confirm</v>
      </c>
      <c r="AA902" s="127" t="str">
        <f>IF(MasterFees[[#This Row],[Pricing Basis]]="Fixed fee schedule","Yes","No")</f>
        <v>No</v>
      </c>
      <c r="AB902" s="127" t="str">
        <f>IF(OR(MasterFees[[#This Row],[Fee Basis]]="Add-on",MasterFees[[#This Row],[Fee Basis]]="Time band",MasterFees[[#This Row],[Fee Basis]]="Other"),MasterFees[[#This Row],[Fee Basis]],"Base")</f>
        <v>Base</v>
      </c>
      <c r="AC902" s="141" t="str">
        <f>IF(MasterFees[[#This Row],[Fixed Fee?]]="Yes",MasterFees[[#This Row],[Fee Excl. GST]],"")</f>
        <v/>
      </c>
    </row>
    <row r="903" spans="1:29" x14ac:dyDescent="0.2">
      <c r="A903" s="67" t="s">
        <v>2347</v>
      </c>
      <c r="B903" s="31">
        <f>IF(MasterFees[[#This Row],[RVG Code]]="","",_xlfn.XLOOKUP(MasterFees[[#This Row],[RVG Code]],RVGCodes[Code],RVGCodes[Base Units],"Code not found"))</f>
        <v>4</v>
      </c>
      <c r="C90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0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03" s="125" t="s">
        <v>2580</v>
      </c>
      <c r="F903" s="48" t="s">
        <v>2569</v>
      </c>
      <c r="G903" s="30" t="s">
        <v>432</v>
      </c>
      <c r="H903" s="37" t="s">
        <v>1095</v>
      </c>
      <c r="I903" s="37"/>
      <c r="J903" s="37" t="s">
        <v>1096</v>
      </c>
      <c r="K903" s="32">
        <v>3.6</v>
      </c>
      <c r="L903" s="32">
        <v>2.6</v>
      </c>
      <c r="M903" s="32">
        <v>0.4</v>
      </c>
      <c r="N903" s="32">
        <v>6.6</v>
      </c>
      <c r="O903" s="33">
        <v>364.1</v>
      </c>
      <c r="P903" s="38" t="s">
        <v>1014</v>
      </c>
      <c r="Q903" s="34" t="str">
        <f>IF(MasterFees[[#This Row],[GST Basis]]="Excl",MasterFees[[#This Row],[Fee as Printed]],IF(MasterFees[[#This Row],[GST Basis]]="Incl",MasterFees[[#This Row],[Fee as Printed]]/(1+GST_Rate),""))</f>
        <v/>
      </c>
      <c r="R903" s="34" t="str">
        <f>IF(MasterFees[[#This Row],[GST Basis]]="Incl",MasterFees[[#This Row],[Fee as Printed]],IF(MasterFees[[#This Row],[GST Basis]]="Excl",MasterFees[[#This Row],[Fee as Printed]]*(1+GST_Rate),""))</f>
        <v/>
      </c>
      <c r="S903" s="35">
        <f>IF(N(MasterFees[[#This Row],[Total Units]])=0,"",MasterFees[[#This Row],[Fee as Printed]]/MasterFees[[#This Row],[Total Units]])</f>
        <v>55.166666666666671</v>
      </c>
      <c r="T903" s="36"/>
      <c r="U903" s="39" t="s">
        <v>1012</v>
      </c>
      <c r="V903" s="39" t="s">
        <v>1527</v>
      </c>
      <c r="W903" s="30"/>
      <c r="X903" s="73" t="s">
        <v>3320</v>
      </c>
      <c r="Y903" s="127" t="str">
        <f>_xlfn.XLOOKUP(MasterFees[[#This Row],[Provider / Payer]],Contracts[Contract Name],Contracts[Contract ID],"No contract")</f>
        <v>CON-01</v>
      </c>
      <c r="Z903" s="127" t="str">
        <f>_xlfn.XLOOKUP(MasterFees[[#This Row],[Provider / Payer]],Contracts[Contract Name],Contracts[Pricing Basis],"To confirm")</f>
        <v>To confirm</v>
      </c>
      <c r="AA903" s="127" t="str">
        <f>IF(MasterFees[[#This Row],[Pricing Basis]]="Fixed fee schedule","Yes","No")</f>
        <v>No</v>
      </c>
      <c r="AB903" s="127" t="str">
        <f>IF(OR(MasterFees[[#This Row],[Fee Basis]]="Add-on",MasterFees[[#This Row],[Fee Basis]]="Time band",MasterFees[[#This Row],[Fee Basis]]="Other"),MasterFees[[#This Row],[Fee Basis]],"Base")</f>
        <v>Base</v>
      </c>
      <c r="AC903" s="141" t="str">
        <f>IF(MasterFees[[#This Row],[Fixed Fee?]]="Yes",MasterFees[[#This Row],[Fee Excl. GST]],"")</f>
        <v/>
      </c>
    </row>
    <row r="904" spans="1:29" x14ac:dyDescent="0.2">
      <c r="A904" s="67" t="s">
        <v>2347</v>
      </c>
      <c r="B904" s="31">
        <f>IF(MasterFees[[#This Row],[RVG Code]]="","",_xlfn.XLOOKUP(MasterFees[[#This Row],[RVG Code]],RVGCodes[Code],RVGCodes[Base Units],"Code not found"))</f>
        <v>4</v>
      </c>
      <c r="C90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0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04" s="125" t="s">
        <v>2580</v>
      </c>
      <c r="F904" s="48" t="s">
        <v>2569</v>
      </c>
      <c r="G904" s="30" t="s">
        <v>433</v>
      </c>
      <c r="H904" s="37" t="s">
        <v>1095</v>
      </c>
      <c r="I904" s="37"/>
      <c r="J904" s="37" t="s">
        <v>1096</v>
      </c>
      <c r="K904" s="32">
        <v>4</v>
      </c>
      <c r="L904" s="32">
        <v>2.1</v>
      </c>
      <c r="M904" s="32">
        <v>0.3</v>
      </c>
      <c r="N904" s="32">
        <v>6.4</v>
      </c>
      <c r="O904" s="33">
        <v>353.65</v>
      </c>
      <c r="P904" s="38" t="s">
        <v>1014</v>
      </c>
      <c r="Q904" s="34" t="str">
        <f>IF(MasterFees[[#This Row],[GST Basis]]="Excl",MasterFees[[#This Row],[Fee as Printed]],IF(MasterFees[[#This Row],[GST Basis]]="Incl",MasterFees[[#This Row],[Fee as Printed]]/(1+GST_Rate),""))</f>
        <v/>
      </c>
      <c r="R904" s="34" t="str">
        <f>IF(MasterFees[[#This Row],[GST Basis]]="Incl",MasterFees[[#This Row],[Fee as Printed]],IF(MasterFees[[#This Row],[GST Basis]]="Excl",MasterFees[[#This Row],[Fee as Printed]]*(1+GST_Rate),""))</f>
        <v/>
      </c>
      <c r="S904" s="35">
        <f>IF(N(MasterFees[[#This Row],[Total Units]])=0,"",MasterFees[[#This Row],[Fee as Printed]]/MasterFees[[#This Row],[Total Units]])</f>
        <v>55.257812499999993</v>
      </c>
      <c r="T904" s="36"/>
      <c r="U904" s="39" t="s">
        <v>1012</v>
      </c>
      <c r="V904" s="39" t="s">
        <v>1528</v>
      </c>
      <c r="W904" s="30"/>
      <c r="X904" s="73" t="s">
        <v>3321</v>
      </c>
      <c r="Y904" s="127" t="str">
        <f>_xlfn.XLOOKUP(MasterFees[[#This Row],[Provider / Payer]],Contracts[Contract Name],Contracts[Contract ID],"No contract")</f>
        <v>CON-01</v>
      </c>
      <c r="Z904" s="127" t="str">
        <f>_xlfn.XLOOKUP(MasterFees[[#This Row],[Provider / Payer]],Contracts[Contract Name],Contracts[Pricing Basis],"To confirm")</f>
        <v>To confirm</v>
      </c>
      <c r="AA904" s="127" t="str">
        <f>IF(MasterFees[[#This Row],[Pricing Basis]]="Fixed fee schedule","Yes","No")</f>
        <v>No</v>
      </c>
      <c r="AB904" s="127" t="str">
        <f>IF(OR(MasterFees[[#This Row],[Fee Basis]]="Add-on",MasterFees[[#This Row],[Fee Basis]]="Time band",MasterFees[[#This Row],[Fee Basis]]="Other"),MasterFees[[#This Row],[Fee Basis]],"Base")</f>
        <v>Base</v>
      </c>
      <c r="AC904" s="141" t="str">
        <f>IF(MasterFees[[#This Row],[Fixed Fee?]]="Yes",MasterFees[[#This Row],[Fee Excl. GST]],"")</f>
        <v/>
      </c>
    </row>
    <row r="905" spans="1:29" x14ac:dyDescent="0.2">
      <c r="A905" s="67" t="s">
        <v>2350</v>
      </c>
      <c r="B905" s="31">
        <f>IF(MasterFees[[#This Row],[RVG Code]]="","",_xlfn.XLOOKUP(MasterFees[[#This Row],[RVG Code]],RVGCodes[Code],RVGCodes[Base Units],"Code not found"))</f>
        <v>5</v>
      </c>
      <c r="C90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0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05" s="125" t="s">
        <v>2582</v>
      </c>
      <c r="F905" s="48" t="s">
        <v>2567</v>
      </c>
      <c r="G905" s="30" t="s">
        <v>437</v>
      </c>
      <c r="H905" s="37" t="s">
        <v>1095</v>
      </c>
      <c r="I905" s="37"/>
      <c r="J905" s="37" t="s">
        <v>1096</v>
      </c>
      <c r="K905" s="32">
        <v>5</v>
      </c>
      <c r="L905" s="32">
        <v>4</v>
      </c>
      <c r="M905" s="32">
        <v>3</v>
      </c>
      <c r="N905" s="32">
        <v>12</v>
      </c>
      <c r="O905" s="33">
        <v>660</v>
      </c>
      <c r="P905" s="38" t="s">
        <v>1014</v>
      </c>
      <c r="Q905" s="34" t="str">
        <f>IF(MasterFees[[#This Row],[GST Basis]]="Excl",MasterFees[[#This Row],[Fee as Printed]],IF(MasterFees[[#This Row],[GST Basis]]="Incl",MasterFees[[#This Row],[Fee as Printed]]/(1+GST_Rate),""))</f>
        <v/>
      </c>
      <c r="R905" s="34" t="str">
        <f>IF(MasterFees[[#This Row],[GST Basis]]="Incl",MasterFees[[#This Row],[Fee as Printed]],IF(MasterFees[[#This Row],[GST Basis]]="Excl",MasterFees[[#This Row],[Fee as Printed]]*(1+GST_Rate),""))</f>
        <v/>
      </c>
      <c r="S905" s="35">
        <f>IF(N(MasterFees[[#This Row],[Total Units]])=0,"",MasterFees[[#This Row],[Fee as Printed]]/MasterFees[[#This Row],[Total Units]])</f>
        <v>55</v>
      </c>
      <c r="T905" s="36"/>
      <c r="U905" s="39" t="s">
        <v>1012</v>
      </c>
      <c r="V905" s="39" t="s">
        <v>1532</v>
      </c>
      <c r="W905" s="30"/>
      <c r="X905" s="73" t="s">
        <v>3325</v>
      </c>
      <c r="Y905" s="127" t="str">
        <f>_xlfn.XLOOKUP(MasterFees[[#This Row],[Provider / Payer]],Contracts[Contract Name],Contracts[Contract ID],"No contract")</f>
        <v>CON-01</v>
      </c>
      <c r="Z905" s="127" t="str">
        <f>_xlfn.XLOOKUP(MasterFees[[#This Row],[Provider / Payer]],Contracts[Contract Name],Contracts[Pricing Basis],"To confirm")</f>
        <v>To confirm</v>
      </c>
      <c r="AA905" s="127" t="str">
        <f>IF(MasterFees[[#This Row],[Pricing Basis]]="Fixed fee schedule","Yes","No")</f>
        <v>No</v>
      </c>
      <c r="AB905" s="127" t="str">
        <f>IF(OR(MasterFees[[#This Row],[Fee Basis]]="Add-on",MasterFees[[#This Row],[Fee Basis]]="Time band",MasterFees[[#This Row],[Fee Basis]]="Other"),MasterFees[[#This Row],[Fee Basis]],"Base")</f>
        <v>Base</v>
      </c>
      <c r="AC905" s="141" t="str">
        <f>IF(MasterFees[[#This Row],[Fixed Fee?]]="Yes",MasterFees[[#This Row],[Fee Excl. GST]],"")</f>
        <v/>
      </c>
    </row>
    <row r="906" spans="1:29" x14ac:dyDescent="0.2">
      <c r="A906" s="67" t="s">
        <v>2350</v>
      </c>
      <c r="B906" s="31">
        <f>IF(MasterFees[[#This Row],[RVG Code]]="","",_xlfn.XLOOKUP(MasterFees[[#This Row],[RVG Code]],RVGCodes[Code],RVGCodes[Base Units],"Code not found"))</f>
        <v>5</v>
      </c>
      <c r="C90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0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06" s="125" t="s">
        <v>2582</v>
      </c>
      <c r="F906" s="48" t="s">
        <v>2567</v>
      </c>
      <c r="G906" s="30" t="s">
        <v>438</v>
      </c>
      <c r="H906" s="37" t="s">
        <v>1095</v>
      </c>
      <c r="I906" s="37"/>
      <c r="J906" s="37" t="s">
        <v>1096</v>
      </c>
      <c r="K906" s="32">
        <v>0</v>
      </c>
      <c r="L906" s="32">
        <v>0</v>
      </c>
      <c r="M906" s="32">
        <v>0</v>
      </c>
      <c r="N906" s="32">
        <v>0</v>
      </c>
      <c r="O906" s="33">
        <v>0</v>
      </c>
      <c r="P906" s="38" t="s">
        <v>1014</v>
      </c>
      <c r="Q906" s="34" t="str">
        <f>IF(MasterFees[[#This Row],[GST Basis]]="Excl",MasterFees[[#This Row],[Fee as Printed]],IF(MasterFees[[#This Row],[GST Basis]]="Incl",MasterFees[[#This Row],[Fee as Printed]]/(1+GST_Rate),""))</f>
        <v/>
      </c>
      <c r="R906" s="34" t="str">
        <f>IF(MasterFees[[#This Row],[GST Basis]]="Incl",MasterFees[[#This Row],[Fee as Printed]],IF(MasterFees[[#This Row],[GST Basis]]="Excl",MasterFees[[#This Row],[Fee as Printed]]*(1+GST_Rate),""))</f>
        <v/>
      </c>
      <c r="S906" s="35" t="str">
        <f>IF(N(MasterFees[[#This Row],[Total Units]])=0,"",MasterFees[[#This Row],[Fee as Printed]]/MasterFees[[#This Row],[Total Units]])</f>
        <v/>
      </c>
      <c r="T906" s="36"/>
      <c r="U906" s="39" t="s">
        <v>1012</v>
      </c>
      <c r="V906" s="39" t="s">
        <v>1533</v>
      </c>
      <c r="W906" s="30"/>
      <c r="X906" s="73" t="s">
        <v>3326</v>
      </c>
      <c r="Y906" s="127" t="str">
        <f>_xlfn.XLOOKUP(MasterFees[[#This Row],[Provider / Payer]],Contracts[Contract Name],Contracts[Contract ID],"No contract")</f>
        <v>CON-01</v>
      </c>
      <c r="Z906" s="127" t="str">
        <f>_xlfn.XLOOKUP(MasterFees[[#This Row],[Provider / Payer]],Contracts[Contract Name],Contracts[Pricing Basis],"To confirm")</f>
        <v>To confirm</v>
      </c>
      <c r="AA906" s="127" t="str">
        <f>IF(MasterFees[[#This Row],[Pricing Basis]]="Fixed fee schedule","Yes","No")</f>
        <v>No</v>
      </c>
      <c r="AB906" s="127" t="str">
        <f>IF(OR(MasterFees[[#This Row],[Fee Basis]]="Add-on",MasterFees[[#This Row],[Fee Basis]]="Time band",MasterFees[[#This Row],[Fee Basis]]="Other"),MasterFees[[#This Row],[Fee Basis]],"Base")</f>
        <v>Base</v>
      </c>
      <c r="AC906" s="141" t="str">
        <f>IF(MasterFees[[#This Row],[Fixed Fee?]]="Yes",MasterFees[[#This Row],[Fee Excl. GST]],"")</f>
        <v/>
      </c>
    </row>
    <row r="907" spans="1:29" x14ac:dyDescent="0.2">
      <c r="A907" s="67" t="s">
        <v>2350</v>
      </c>
      <c r="B907" s="31">
        <f>IF(MasterFees[[#This Row],[RVG Code]]="","",_xlfn.XLOOKUP(MasterFees[[#This Row],[RVG Code]],RVGCodes[Code],RVGCodes[Base Units],"Code not found"))</f>
        <v>5</v>
      </c>
      <c r="C90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0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07" s="125" t="s">
        <v>2582</v>
      </c>
      <c r="F907" s="48" t="s">
        <v>2567</v>
      </c>
      <c r="G907" s="30" t="s">
        <v>439</v>
      </c>
      <c r="H907" s="37" t="s">
        <v>1095</v>
      </c>
      <c r="I907" s="37"/>
      <c r="J907" s="37" t="s">
        <v>1096</v>
      </c>
      <c r="K907" s="32">
        <v>6</v>
      </c>
      <c r="L907" s="32">
        <v>5</v>
      </c>
      <c r="M907" s="32">
        <v>2</v>
      </c>
      <c r="N907" s="32">
        <v>13</v>
      </c>
      <c r="O907" s="33">
        <v>715</v>
      </c>
      <c r="P907" s="38" t="s">
        <v>1014</v>
      </c>
      <c r="Q907" s="34" t="str">
        <f>IF(MasterFees[[#This Row],[GST Basis]]="Excl",MasterFees[[#This Row],[Fee as Printed]],IF(MasterFees[[#This Row],[GST Basis]]="Incl",MasterFees[[#This Row],[Fee as Printed]]/(1+GST_Rate),""))</f>
        <v/>
      </c>
      <c r="R907" s="34" t="str">
        <f>IF(MasterFees[[#This Row],[GST Basis]]="Incl",MasterFees[[#This Row],[Fee as Printed]],IF(MasterFees[[#This Row],[GST Basis]]="Excl",MasterFees[[#This Row],[Fee as Printed]]*(1+GST_Rate),""))</f>
        <v/>
      </c>
      <c r="S907" s="35">
        <f>IF(N(MasterFees[[#This Row],[Total Units]])=0,"",MasterFees[[#This Row],[Fee as Printed]]/MasterFees[[#This Row],[Total Units]])</f>
        <v>55</v>
      </c>
      <c r="T907" s="36"/>
      <c r="U907" s="39" t="s">
        <v>1012</v>
      </c>
      <c r="V907" s="39" t="s">
        <v>1534</v>
      </c>
      <c r="W907" s="30"/>
      <c r="X907" s="73" t="s">
        <v>3327</v>
      </c>
      <c r="Y907" s="127" t="str">
        <f>_xlfn.XLOOKUP(MasterFees[[#This Row],[Provider / Payer]],Contracts[Contract Name],Contracts[Contract ID],"No contract")</f>
        <v>CON-01</v>
      </c>
      <c r="Z907" s="127" t="str">
        <f>_xlfn.XLOOKUP(MasterFees[[#This Row],[Provider / Payer]],Contracts[Contract Name],Contracts[Pricing Basis],"To confirm")</f>
        <v>To confirm</v>
      </c>
      <c r="AA907" s="127" t="str">
        <f>IF(MasterFees[[#This Row],[Pricing Basis]]="Fixed fee schedule","Yes","No")</f>
        <v>No</v>
      </c>
      <c r="AB907" s="127" t="str">
        <f>IF(OR(MasterFees[[#This Row],[Fee Basis]]="Add-on",MasterFees[[#This Row],[Fee Basis]]="Time band",MasterFees[[#This Row],[Fee Basis]]="Other"),MasterFees[[#This Row],[Fee Basis]],"Base")</f>
        <v>Base</v>
      </c>
      <c r="AC907" s="141" t="str">
        <f>IF(MasterFees[[#This Row],[Fixed Fee?]]="Yes",MasterFees[[#This Row],[Fee Excl. GST]],"")</f>
        <v/>
      </c>
    </row>
    <row r="908" spans="1:29" x14ac:dyDescent="0.2">
      <c r="A908" s="67" t="s">
        <v>2350</v>
      </c>
      <c r="B908" s="31">
        <f>IF(MasterFees[[#This Row],[RVG Code]]="","",_xlfn.XLOOKUP(MasterFees[[#This Row],[RVG Code]],RVGCodes[Code],RVGCodes[Base Units],"Code not found"))</f>
        <v>5</v>
      </c>
      <c r="C90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0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08" s="125" t="s">
        <v>2582</v>
      </c>
      <c r="F908" s="48" t="s">
        <v>2567</v>
      </c>
      <c r="G908" s="30" t="s">
        <v>440</v>
      </c>
      <c r="H908" s="37" t="s">
        <v>1095</v>
      </c>
      <c r="I908" s="37"/>
      <c r="J908" s="37" t="s">
        <v>1096</v>
      </c>
      <c r="K908" s="32">
        <v>0</v>
      </c>
      <c r="L908" s="32">
        <v>4</v>
      </c>
      <c r="M908" s="32">
        <v>0</v>
      </c>
      <c r="N908" s="32">
        <v>4</v>
      </c>
      <c r="O908" s="33">
        <v>220</v>
      </c>
      <c r="P908" s="38" t="s">
        <v>1014</v>
      </c>
      <c r="Q908" s="34" t="str">
        <f>IF(MasterFees[[#This Row],[GST Basis]]="Excl",MasterFees[[#This Row],[Fee as Printed]],IF(MasterFees[[#This Row],[GST Basis]]="Incl",MasterFees[[#This Row],[Fee as Printed]]/(1+GST_Rate),""))</f>
        <v/>
      </c>
      <c r="R908" s="34" t="str">
        <f>IF(MasterFees[[#This Row],[GST Basis]]="Incl",MasterFees[[#This Row],[Fee as Printed]],IF(MasterFees[[#This Row],[GST Basis]]="Excl",MasterFees[[#This Row],[Fee as Printed]]*(1+GST_Rate),""))</f>
        <v/>
      </c>
      <c r="S908" s="35">
        <f>IF(N(MasterFees[[#This Row],[Total Units]])=0,"",MasterFees[[#This Row],[Fee as Printed]]/MasterFees[[#This Row],[Total Units]])</f>
        <v>55</v>
      </c>
      <c r="T908" s="36"/>
      <c r="U908" s="39" t="s">
        <v>1012</v>
      </c>
      <c r="V908" s="39" t="s">
        <v>1535</v>
      </c>
      <c r="W908" s="30"/>
      <c r="X908" s="73" t="s">
        <v>3328</v>
      </c>
      <c r="Y908" s="127" t="str">
        <f>_xlfn.XLOOKUP(MasterFees[[#This Row],[Provider / Payer]],Contracts[Contract Name],Contracts[Contract ID],"No contract")</f>
        <v>CON-01</v>
      </c>
      <c r="Z908" s="127" t="str">
        <f>_xlfn.XLOOKUP(MasterFees[[#This Row],[Provider / Payer]],Contracts[Contract Name],Contracts[Pricing Basis],"To confirm")</f>
        <v>To confirm</v>
      </c>
      <c r="AA908" s="127" t="str">
        <f>IF(MasterFees[[#This Row],[Pricing Basis]]="Fixed fee schedule","Yes","No")</f>
        <v>No</v>
      </c>
      <c r="AB908" s="127" t="str">
        <f>IF(OR(MasterFees[[#This Row],[Fee Basis]]="Add-on",MasterFees[[#This Row],[Fee Basis]]="Time band",MasterFees[[#This Row],[Fee Basis]]="Other"),MasterFees[[#This Row],[Fee Basis]],"Base")</f>
        <v>Base</v>
      </c>
      <c r="AC908" s="141" t="str">
        <f>IF(MasterFees[[#This Row],[Fixed Fee?]]="Yes",MasterFees[[#This Row],[Fee Excl. GST]],"")</f>
        <v/>
      </c>
    </row>
    <row r="909" spans="1:29" x14ac:dyDescent="0.2">
      <c r="A909" s="67" t="s">
        <v>2347</v>
      </c>
      <c r="B909" s="31">
        <f>IF(MasterFees[[#This Row],[RVG Code]]="","",_xlfn.XLOOKUP(MasterFees[[#This Row],[RVG Code]],RVGCodes[Code],RVGCodes[Base Units],"Code not found"))</f>
        <v>4</v>
      </c>
      <c r="C90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0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09" s="125" t="s">
        <v>2580</v>
      </c>
      <c r="F909" s="48" t="s">
        <v>2567</v>
      </c>
      <c r="G909" s="30" t="s">
        <v>441</v>
      </c>
      <c r="H909" s="37" t="s">
        <v>1095</v>
      </c>
      <c r="I909" s="37"/>
      <c r="J909" s="37" t="s">
        <v>1096</v>
      </c>
      <c r="K909" s="32">
        <v>4</v>
      </c>
      <c r="L909" s="32">
        <v>2</v>
      </c>
      <c r="M909" s="32">
        <v>1</v>
      </c>
      <c r="N909" s="32">
        <v>7</v>
      </c>
      <c r="O909" s="33">
        <v>385</v>
      </c>
      <c r="P909" s="38" t="s">
        <v>1014</v>
      </c>
      <c r="Q909" s="34" t="str">
        <f>IF(MasterFees[[#This Row],[GST Basis]]="Excl",MasterFees[[#This Row],[Fee as Printed]],IF(MasterFees[[#This Row],[GST Basis]]="Incl",MasterFees[[#This Row],[Fee as Printed]]/(1+GST_Rate),""))</f>
        <v/>
      </c>
      <c r="R909" s="34" t="str">
        <f>IF(MasterFees[[#This Row],[GST Basis]]="Incl",MasterFees[[#This Row],[Fee as Printed]],IF(MasterFees[[#This Row],[GST Basis]]="Excl",MasterFees[[#This Row],[Fee as Printed]]*(1+GST_Rate),""))</f>
        <v/>
      </c>
      <c r="S909" s="35">
        <f>IF(N(MasterFees[[#This Row],[Total Units]])=0,"",MasterFees[[#This Row],[Fee as Printed]]/MasterFees[[#This Row],[Total Units]])</f>
        <v>55</v>
      </c>
      <c r="T909" s="36"/>
      <c r="U909" s="39" t="s">
        <v>1012</v>
      </c>
      <c r="V909" s="39" t="s">
        <v>1536</v>
      </c>
      <c r="W909" s="30"/>
      <c r="X909" s="73" t="s">
        <v>3329</v>
      </c>
      <c r="Y909" s="127" t="str">
        <f>_xlfn.XLOOKUP(MasterFees[[#This Row],[Provider / Payer]],Contracts[Contract Name],Contracts[Contract ID],"No contract")</f>
        <v>CON-01</v>
      </c>
      <c r="Z909" s="127" t="str">
        <f>_xlfn.XLOOKUP(MasterFees[[#This Row],[Provider / Payer]],Contracts[Contract Name],Contracts[Pricing Basis],"To confirm")</f>
        <v>To confirm</v>
      </c>
      <c r="AA909" s="127" t="str">
        <f>IF(MasterFees[[#This Row],[Pricing Basis]]="Fixed fee schedule","Yes","No")</f>
        <v>No</v>
      </c>
      <c r="AB909" s="127" t="str">
        <f>IF(OR(MasterFees[[#This Row],[Fee Basis]]="Add-on",MasterFees[[#This Row],[Fee Basis]]="Time band",MasterFees[[#This Row],[Fee Basis]]="Other"),MasterFees[[#This Row],[Fee Basis]],"Base")</f>
        <v>Base</v>
      </c>
      <c r="AC909" s="141" t="str">
        <f>IF(MasterFees[[#This Row],[Fixed Fee?]]="Yes",MasterFees[[#This Row],[Fee Excl. GST]],"")</f>
        <v/>
      </c>
    </row>
    <row r="910" spans="1:29" x14ac:dyDescent="0.2">
      <c r="A910" s="67" t="s">
        <v>2347</v>
      </c>
      <c r="B910" s="31">
        <f>IF(MasterFees[[#This Row],[RVG Code]]="","",_xlfn.XLOOKUP(MasterFees[[#This Row],[RVG Code]],RVGCodes[Code],RVGCodes[Base Units],"Code not found"))</f>
        <v>4</v>
      </c>
      <c r="C91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1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10" s="125" t="s">
        <v>2580</v>
      </c>
      <c r="F910" s="48" t="s">
        <v>2567</v>
      </c>
      <c r="G910" s="30" t="s">
        <v>442</v>
      </c>
      <c r="H910" s="37" t="s">
        <v>1095</v>
      </c>
      <c r="I910" s="37"/>
      <c r="J910" s="37" t="s">
        <v>1096</v>
      </c>
      <c r="K910" s="32">
        <v>0</v>
      </c>
      <c r="L910" s="32">
        <v>0</v>
      </c>
      <c r="M910" s="32">
        <v>0</v>
      </c>
      <c r="N910" s="32">
        <v>0</v>
      </c>
      <c r="O910" s="33">
        <v>0</v>
      </c>
      <c r="P910" s="38" t="s">
        <v>1014</v>
      </c>
      <c r="Q910" s="34" t="str">
        <f>IF(MasterFees[[#This Row],[GST Basis]]="Excl",MasterFees[[#This Row],[Fee as Printed]],IF(MasterFees[[#This Row],[GST Basis]]="Incl",MasterFees[[#This Row],[Fee as Printed]]/(1+GST_Rate),""))</f>
        <v/>
      </c>
      <c r="R910" s="34" t="str">
        <f>IF(MasterFees[[#This Row],[GST Basis]]="Incl",MasterFees[[#This Row],[Fee as Printed]],IF(MasterFees[[#This Row],[GST Basis]]="Excl",MasterFees[[#This Row],[Fee as Printed]]*(1+GST_Rate),""))</f>
        <v/>
      </c>
      <c r="S910" s="35" t="str">
        <f>IF(N(MasterFees[[#This Row],[Total Units]])=0,"",MasterFees[[#This Row],[Fee as Printed]]/MasterFees[[#This Row],[Total Units]])</f>
        <v/>
      </c>
      <c r="T910" s="36"/>
      <c r="U910" s="39" t="s">
        <v>1012</v>
      </c>
      <c r="V910" s="39" t="s">
        <v>1537</v>
      </c>
      <c r="W910" s="30"/>
      <c r="X910" s="73" t="s">
        <v>3330</v>
      </c>
      <c r="Y910" s="127" t="str">
        <f>_xlfn.XLOOKUP(MasterFees[[#This Row],[Provider / Payer]],Contracts[Contract Name],Contracts[Contract ID],"No contract")</f>
        <v>CON-01</v>
      </c>
      <c r="Z910" s="127" t="str">
        <f>_xlfn.XLOOKUP(MasterFees[[#This Row],[Provider / Payer]],Contracts[Contract Name],Contracts[Pricing Basis],"To confirm")</f>
        <v>To confirm</v>
      </c>
      <c r="AA910" s="127" t="str">
        <f>IF(MasterFees[[#This Row],[Pricing Basis]]="Fixed fee schedule","Yes","No")</f>
        <v>No</v>
      </c>
      <c r="AB910" s="127" t="str">
        <f>IF(OR(MasterFees[[#This Row],[Fee Basis]]="Add-on",MasterFees[[#This Row],[Fee Basis]]="Time band",MasterFees[[#This Row],[Fee Basis]]="Other"),MasterFees[[#This Row],[Fee Basis]],"Base")</f>
        <v>Base</v>
      </c>
      <c r="AC910" s="141" t="str">
        <f>IF(MasterFees[[#This Row],[Fixed Fee?]]="Yes",MasterFees[[#This Row],[Fee Excl. GST]],"")</f>
        <v/>
      </c>
    </row>
    <row r="911" spans="1:29" x14ac:dyDescent="0.2">
      <c r="A911" s="67" t="s">
        <v>2347</v>
      </c>
      <c r="B911" s="31">
        <f>IF(MasterFees[[#This Row],[RVG Code]]="","",_xlfn.XLOOKUP(MasterFees[[#This Row],[RVG Code]],RVGCodes[Code],RVGCodes[Base Units],"Code not found"))</f>
        <v>4</v>
      </c>
      <c r="C91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1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11" s="125" t="s">
        <v>2580</v>
      </c>
      <c r="F911" s="48" t="s">
        <v>2569</v>
      </c>
      <c r="G911" s="30" t="s">
        <v>454</v>
      </c>
      <c r="H911" s="37" t="s">
        <v>1095</v>
      </c>
      <c r="I911" s="37"/>
      <c r="J911" s="37" t="s">
        <v>1096</v>
      </c>
      <c r="K911" s="32">
        <v>3.2</v>
      </c>
      <c r="L911" s="32">
        <v>3.8</v>
      </c>
      <c r="M911" s="32">
        <v>0</v>
      </c>
      <c r="N911" s="32">
        <v>7</v>
      </c>
      <c r="O911" s="33">
        <v>385</v>
      </c>
      <c r="P911" s="38" t="s">
        <v>1014</v>
      </c>
      <c r="Q911" s="34" t="str">
        <f>IF(MasterFees[[#This Row],[GST Basis]]="Excl",MasterFees[[#This Row],[Fee as Printed]],IF(MasterFees[[#This Row],[GST Basis]]="Incl",MasterFees[[#This Row],[Fee as Printed]]/(1+GST_Rate),""))</f>
        <v/>
      </c>
      <c r="R911" s="34" t="str">
        <f>IF(MasterFees[[#This Row],[GST Basis]]="Incl",MasterFees[[#This Row],[Fee as Printed]],IF(MasterFees[[#This Row],[GST Basis]]="Excl",MasterFees[[#This Row],[Fee as Printed]]*(1+GST_Rate),""))</f>
        <v/>
      </c>
      <c r="S911" s="35">
        <f>IF(N(MasterFees[[#This Row],[Total Units]])=0,"",MasterFees[[#This Row],[Fee as Printed]]/MasterFees[[#This Row],[Total Units]])</f>
        <v>55</v>
      </c>
      <c r="T911" s="36"/>
      <c r="U911" s="39" t="s">
        <v>1012</v>
      </c>
      <c r="V911" s="39" t="s">
        <v>1549</v>
      </c>
      <c r="W911" s="30"/>
      <c r="X911" s="73" t="s">
        <v>3342</v>
      </c>
      <c r="Y911" s="127" t="str">
        <f>_xlfn.XLOOKUP(MasterFees[[#This Row],[Provider / Payer]],Contracts[Contract Name],Contracts[Contract ID],"No contract")</f>
        <v>CON-01</v>
      </c>
      <c r="Z911" s="127" t="str">
        <f>_xlfn.XLOOKUP(MasterFees[[#This Row],[Provider / Payer]],Contracts[Contract Name],Contracts[Pricing Basis],"To confirm")</f>
        <v>To confirm</v>
      </c>
      <c r="AA911" s="127" t="str">
        <f>IF(MasterFees[[#This Row],[Pricing Basis]]="Fixed fee schedule","Yes","No")</f>
        <v>No</v>
      </c>
      <c r="AB911" s="127" t="str">
        <f>IF(OR(MasterFees[[#This Row],[Fee Basis]]="Add-on",MasterFees[[#This Row],[Fee Basis]]="Time band",MasterFees[[#This Row],[Fee Basis]]="Other"),MasterFees[[#This Row],[Fee Basis]],"Base")</f>
        <v>Base</v>
      </c>
      <c r="AC911" s="141" t="str">
        <f>IF(MasterFees[[#This Row],[Fixed Fee?]]="Yes",MasterFees[[#This Row],[Fee Excl. GST]],"")</f>
        <v/>
      </c>
    </row>
    <row r="912" spans="1:29" x14ac:dyDescent="0.2">
      <c r="A912" s="67" t="s">
        <v>2347</v>
      </c>
      <c r="B912" s="31">
        <f>IF(MasterFees[[#This Row],[RVG Code]]="","",_xlfn.XLOOKUP(MasterFees[[#This Row],[RVG Code]],RVGCodes[Code],RVGCodes[Base Units],"Code not found"))</f>
        <v>4</v>
      </c>
      <c r="C91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1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12" s="125" t="s">
        <v>2580</v>
      </c>
      <c r="F912" s="48" t="s">
        <v>2569</v>
      </c>
      <c r="G912" s="30" t="s">
        <v>455</v>
      </c>
      <c r="H912" s="37" t="s">
        <v>1095</v>
      </c>
      <c r="I912" s="37"/>
      <c r="J912" s="37" t="s">
        <v>1096</v>
      </c>
      <c r="K912" s="32">
        <v>3.9</v>
      </c>
      <c r="L912" s="32">
        <v>3.7</v>
      </c>
      <c r="M912" s="32">
        <v>0.2</v>
      </c>
      <c r="N912" s="32">
        <v>7.7</v>
      </c>
      <c r="O912" s="33">
        <v>425.15</v>
      </c>
      <c r="P912" s="38" t="s">
        <v>1014</v>
      </c>
      <c r="Q912" s="34" t="str">
        <f>IF(MasterFees[[#This Row],[GST Basis]]="Excl",MasterFees[[#This Row],[Fee as Printed]],IF(MasterFees[[#This Row],[GST Basis]]="Incl",MasterFees[[#This Row],[Fee as Printed]]/(1+GST_Rate),""))</f>
        <v/>
      </c>
      <c r="R912" s="34" t="str">
        <f>IF(MasterFees[[#This Row],[GST Basis]]="Incl",MasterFees[[#This Row],[Fee as Printed]],IF(MasterFees[[#This Row],[GST Basis]]="Excl",MasterFees[[#This Row],[Fee as Printed]]*(1+GST_Rate),""))</f>
        <v/>
      </c>
      <c r="S912" s="35">
        <f>IF(N(MasterFees[[#This Row],[Total Units]])=0,"",MasterFees[[#This Row],[Fee as Printed]]/MasterFees[[#This Row],[Total Units]])</f>
        <v>55.214285714285708</v>
      </c>
      <c r="T912" s="36"/>
      <c r="U912" s="39" t="s">
        <v>1012</v>
      </c>
      <c r="V912" s="39" t="s">
        <v>1550</v>
      </c>
      <c r="W912" s="30"/>
      <c r="X912" s="73" t="s">
        <v>3343</v>
      </c>
      <c r="Y912" s="127" t="str">
        <f>_xlfn.XLOOKUP(MasterFees[[#This Row],[Provider / Payer]],Contracts[Contract Name],Contracts[Contract ID],"No contract")</f>
        <v>CON-01</v>
      </c>
      <c r="Z912" s="127" t="str">
        <f>_xlfn.XLOOKUP(MasterFees[[#This Row],[Provider / Payer]],Contracts[Contract Name],Contracts[Pricing Basis],"To confirm")</f>
        <v>To confirm</v>
      </c>
      <c r="AA912" s="127" t="str">
        <f>IF(MasterFees[[#This Row],[Pricing Basis]]="Fixed fee schedule","Yes","No")</f>
        <v>No</v>
      </c>
      <c r="AB912" s="127" t="str">
        <f>IF(OR(MasterFees[[#This Row],[Fee Basis]]="Add-on",MasterFees[[#This Row],[Fee Basis]]="Time band",MasterFees[[#This Row],[Fee Basis]]="Other"),MasterFees[[#This Row],[Fee Basis]],"Base")</f>
        <v>Base</v>
      </c>
      <c r="AC912" s="141" t="str">
        <f>IF(MasterFees[[#This Row],[Fixed Fee?]]="Yes",MasterFees[[#This Row],[Fee Excl. GST]],"")</f>
        <v/>
      </c>
    </row>
    <row r="913" spans="1:29" x14ac:dyDescent="0.2">
      <c r="A913" s="67" t="s">
        <v>2350</v>
      </c>
      <c r="B913" s="31">
        <f>IF(MasterFees[[#This Row],[RVG Code]]="","",_xlfn.XLOOKUP(MasterFees[[#This Row],[RVG Code]],RVGCodes[Code],RVGCodes[Base Units],"Code not found"))</f>
        <v>5</v>
      </c>
      <c r="C91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1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13" s="125" t="s">
        <v>2582</v>
      </c>
      <c r="F913" s="48" t="s">
        <v>2567</v>
      </c>
      <c r="G913" s="30" t="s">
        <v>507</v>
      </c>
      <c r="H913" s="37" t="s">
        <v>1095</v>
      </c>
      <c r="I913" s="37"/>
      <c r="J913" s="37" t="s">
        <v>1096</v>
      </c>
      <c r="K913" s="32">
        <v>5</v>
      </c>
      <c r="L913" s="32">
        <v>6</v>
      </c>
      <c r="M913" s="32">
        <v>1</v>
      </c>
      <c r="N913" s="32">
        <v>12</v>
      </c>
      <c r="O913" s="33">
        <v>660</v>
      </c>
      <c r="P913" s="38" t="s">
        <v>1014</v>
      </c>
      <c r="Q913" s="34" t="str">
        <f>IF(MasterFees[[#This Row],[GST Basis]]="Excl",MasterFees[[#This Row],[Fee as Printed]],IF(MasterFees[[#This Row],[GST Basis]]="Incl",MasterFees[[#This Row],[Fee as Printed]]/(1+GST_Rate),""))</f>
        <v/>
      </c>
      <c r="R913" s="34" t="str">
        <f>IF(MasterFees[[#This Row],[GST Basis]]="Incl",MasterFees[[#This Row],[Fee as Printed]],IF(MasterFees[[#This Row],[GST Basis]]="Excl",MasterFees[[#This Row],[Fee as Printed]]*(1+GST_Rate),""))</f>
        <v/>
      </c>
      <c r="S913" s="35">
        <f>IF(N(MasterFees[[#This Row],[Total Units]])=0,"",MasterFees[[#This Row],[Fee as Printed]]/MasterFees[[#This Row],[Total Units]])</f>
        <v>55</v>
      </c>
      <c r="T913" s="36"/>
      <c r="U913" s="39" t="s">
        <v>1012</v>
      </c>
      <c r="V913" s="39" t="s">
        <v>1602</v>
      </c>
      <c r="W913" s="30"/>
      <c r="X913" s="73" t="s">
        <v>3396</v>
      </c>
      <c r="Y913" s="127" t="str">
        <f>_xlfn.XLOOKUP(MasterFees[[#This Row],[Provider / Payer]],Contracts[Contract Name],Contracts[Contract ID],"No contract")</f>
        <v>CON-01</v>
      </c>
      <c r="Z913" s="127" t="str">
        <f>_xlfn.XLOOKUP(MasterFees[[#This Row],[Provider / Payer]],Contracts[Contract Name],Contracts[Pricing Basis],"To confirm")</f>
        <v>To confirm</v>
      </c>
      <c r="AA913" s="127" t="str">
        <f>IF(MasterFees[[#This Row],[Pricing Basis]]="Fixed fee schedule","Yes","No")</f>
        <v>No</v>
      </c>
      <c r="AB913" s="127" t="str">
        <f>IF(OR(MasterFees[[#This Row],[Fee Basis]]="Add-on",MasterFees[[#This Row],[Fee Basis]]="Time band",MasterFees[[#This Row],[Fee Basis]]="Other"),MasterFees[[#This Row],[Fee Basis]],"Base")</f>
        <v>Base</v>
      </c>
      <c r="AC913" s="141" t="str">
        <f>IF(MasterFees[[#This Row],[Fixed Fee?]]="Yes",MasterFees[[#This Row],[Fee Excl. GST]],"")</f>
        <v/>
      </c>
    </row>
    <row r="914" spans="1:29" x14ac:dyDescent="0.2">
      <c r="A914" s="67" t="s">
        <v>2347</v>
      </c>
      <c r="B914" s="31">
        <f>IF(MasterFees[[#This Row],[RVG Code]]="","",_xlfn.XLOOKUP(MasterFees[[#This Row],[RVG Code]],RVGCodes[Code],RVGCodes[Base Units],"Code not found"))</f>
        <v>4</v>
      </c>
      <c r="C91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1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14" s="125" t="s">
        <v>2580</v>
      </c>
      <c r="F914" s="48" t="s">
        <v>2567</v>
      </c>
      <c r="G914" s="30" t="s">
        <v>523</v>
      </c>
      <c r="H914" s="37" t="s">
        <v>1095</v>
      </c>
      <c r="I914" s="37"/>
      <c r="J914" s="37" t="s">
        <v>1096</v>
      </c>
      <c r="K914" s="32">
        <v>4</v>
      </c>
      <c r="L914" s="32">
        <v>2</v>
      </c>
      <c r="M914" s="32">
        <v>0</v>
      </c>
      <c r="N914" s="32">
        <v>6</v>
      </c>
      <c r="O914" s="33">
        <v>330</v>
      </c>
      <c r="P914" s="38" t="s">
        <v>1014</v>
      </c>
      <c r="Q914" s="34" t="str">
        <f>IF(MasterFees[[#This Row],[GST Basis]]="Excl",MasterFees[[#This Row],[Fee as Printed]],IF(MasterFees[[#This Row],[GST Basis]]="Incl",MasterFees[[#This Row],[Fee as Printed]]/(1+GST_Rate),""))</f>
        <v/>
      </c>
      <c r="R914" s="34" t="str">
        <f>IF(MasterFees[[#This Row],[GST Basis]]="Incl",MasterFees[[#This Row],[Fee as Printed]],IF(MasterFees[[#This Row],[GST Basis]]="Excl",MasterFees[[#This Row],[Fee as Printed]]*(1+GST_Rate),""))</f>
        <v/>
      </c>
      <c r="S914" s="35">
        <f>IF(N(MasterFees[[#This Row],[Total Units]])=0,"",MasterFees[[#This Row],[Fee as Printed]]/MasterFees[[#This Row],[Total Units]])</f>
        <v>55</v>
      </c>
      <c r="T914" s="36"/>
      <c r="U914" s="39" t="s">
        <v>1012</v>
      </c>
      <c r="V914" s="39" t="s">
        <v>1618</v>
      </c>
      <c r="W914" s="30"/>
      <c r="X914" s="73" t="s">
        <v>3414</v>
      </c>
      <c r="Y914" s="127" t="str">
        <f>_xlfn.XLOOKUP(MasterFees[[#This Row],[Provider / Payer]],Contracts[Contract Name],Contracts[Contract ID],"No contract")</f>
        <v>CON-01</v>
      </c>
      <c r="Z914" s="127" t="str">
        <f>_xlfn.XLOOKUP(MasterFees[[#This Row],[Provider / Payer]],Contracts[Contract Name],Contracts[Pricing Basis],"To confirm")</f>
        <v>To confirm</v>
      </c>
      <c r="AA914" s="127" t="str">
        <f>IF(MasterFees[[#This Row],[Pricing Basis]]="Fixed fee schedule","Yes","No")</f>
        <v>No</v>
      </c>
      <c r="AB914" s="127" t="str">
        <f>IF(OR(MasterFees[[#This Row],[Fee Basis]]="Add-on",MasterFees[[#This Row],[Fee Basis]]="Time band",MasterFees[[#This Row],[Fee Basis]]="Other"),MasterFees[[#This Row],[Fee Basis]],"Base")</f>
        <v>Base</v>
      </c>
      <c r="AC914" s="141" t="str">
        <f>IF(MasterFees[[#This Row],[Fixed Fee?]]="Yes",MasterFees[[#This Row],[Fee Excl. GST]],"")</f>
        <v/>
      </c>
    </row>
    <row r="915" spans="1:29" x14ac:dyDescent="0.2">
      <c r="A915" s="67" t="s">
        <v>2347</v>
      </c>
      <c r="B915" s="31">
        <f>IF(MasterFees[[#This Row],[RVG Code]]="","",_xlfn.XLOOKUP(MasterFees[[#This Row],[RVG Code]],RVGCodes[Code],RVGCodes[Base Units],"Code not found"))</f>
        <v>4</v>
      </c>
      <c r="C91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1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15" s="125" t="s">
        <v>2580</v>
      </c>
      <c r="F915" s="48" t="s">
        <v>2569</v>
      </c>
      <c r="G915" s="30" t="s">
        <v>576</v>
      </c>
      <c r="H915" s="37" t="s">
        <v>1095</v>
      </c>
      <c r="I915" s="37"/>
      <c r="J915" s="37" t="s">
        <v>1096</v>
      </c>
      <c r="K915" s="32">
        <v>2</v>
      </c>
      <c r="L915" s="32">
        <v>2.5</v>
      </c>
      <c r="M915" s="32">
        <v>0</v>
      </c>
      <c r="N915" s="32">
        <v>4.5</v>
      </c>
      <c r="O915" s="33">
        <v>247.5</v>
      </c>
      <c r="P915" s="38" t="s">
        <v>1014</v>
      </c>
      <c r="Q915" s="34" t="str">
        <f>IF(MasterFees[[#This Row],[GST Basis]]="Excl",MasterFees[[#This Row],[Fee as Printed]],IF(MasterFees[[#This Row],[GST Basis]]="Incl",MasterFees[[#This Row],[Fee as Printed]]/(1+GST_Rate),""))</f>
        <v/>
      </c>
      <c r="R915" s="34" t="str">
        <f>IF(MasterFees[[#This Row],[GST Basis]]="Incl",MasterFees[[#This Row],[Fee as Printed]],IF(MasterFees[[#This Row],[GST Basis]]="Excl",MasterFees[[#This Row],[Fee as Printed]]*(1+GST_Rate),""))</f>
        <v/>
      </c>
      <c r="S915" s="35">
        <f>IF(N(MasterFees[[#This Row],[Total Units]])=0,"",MasterFees[[#This Row],[Fee as Printed]]/MasterFees[[#This Row],[Total Units]])</f>
        <v>55</v>
      </c>
      <c r="T915" s="36"/>
      <c r="U915" s="39" t="s">
        <v>1012</v>
      </c>
      <c r="V915" s="39" t="s">
        <v>1672</v>
      </c>
      <c r="W915" s="30"/>
      <c r="X915" s="73" t="s">
        <v>3469</v>
      </c>
      <c r="Y915" s="127" t="str">
        <f>_xlfn.XLOOKUP(MasterFees[[#This Row],[Provider / Payer]],Contracts[Contract Name],Contracts[Contract ID],"No contract")</f>
        <v>CON-01</v>
      </c>
      <c r="Z915" s="127" t="str">
        <f>_xlfn.XLOOKUP(MasterFees[[#This Row],[Provider / Payer]],Contracts[Contract Name],Contracts[Pricing Basis],"To confirm")</f>
        <v>To confirm</v>
      </c>
      <c r="AA915" s="127" t="str">
        <f>IF(MasterFees[[#This Row],[Pricing Basis]]="Fixed fee schedule","Yes","No")</f>
        <v>No</v>
      </c>
      <c r="AB915" s="127" t="str">
        <f>IF(OR(MasterFees[[#This Row],[Fee Basis]]="Add-on",MasterFees[[#This Row],[Fee Basis]]="Time band",MasterFees[[#This Row],[Fee Basis]]="Other"),MasterFees[[#This Row],[Fee Basis]],"Base")</f>
        <v>Base</v>
      </c>
      <c r="AC915" s="141" t="str">
        <f>IF(MasterFees[[#This Row],[Fixed Fee?]]="Yes",MasterFees[[#This Row],[Fee Excl. GST]],"")</f>
        <v/>
      </c>
    </row>
    <row r="916" spans="1:29" x14ac:dyDescent="0.2">
      <c r="A916" s="67" t="s">
        <v>2350</v>
      </c>
      <c r="B916" s="31">
        <f>IF(MasterFees[[#This Row],[RVG Code]]="","",_xlfn.XLOOKUP(MasterFees[[#This Row],[RVG Code]],RVGCodes[Code],RVGCodes[Base Units],"Code not found"))</f>
        <v>5</v>
      </c>
      <c r="C91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1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16" s="125" t="s">
        <v>2582</v>
      </c>
      <c r="F916" s="48" t="s">
        <v>2567</v>
      </c>
      <c r="G916" s="30" t="s">
        <v>577</v>
      </c>
      <c r="H916" s="37" t="s">
        <v>1095</v>
      </c>
      <c r="I916" s="37"/>
      <c r="J916" s="37" t="s">
        <v>1096</v>
      </c>
      <c r="K916" s="32">
        <v>0</v>
      </c>
      <c r="L916" s="32">
        <v>3</v>
      </c>
      <c r="M916" s="32">
        <v>0</v>
      </c>
      <c r="N916" s="32">
        <v>3</v>
      </c>
      <c r="O916" s="33">
        <v>165</v>
      </c>
      <c r="P916" s="38" t="s">
        <v>1014</v>
      </c>
      <c r="Q916" s="34" t="str">
        <f>IF(MasterFees[[#This Row],[GST Basis]]="Excl",MasterFees[[#This Row],[Fee as Printed]],IF(MasterFees[[#This Row],[GST Basis]]="Incl",MasterFees[[#This Row],[Fee as Printed]]/(1+GST_Rate),""))</f>
        <v/>
      </c>
      <c r="R916" s="34" t="str">
        <f>IF(MasterFees[[#This Row],[GST Basis]]="Incl",MasterFees[[#This Row],[Fee as Printed]],IF(MasterFees[[#This Row],[GST Basis]]="Excl",MasterFees[[#This Row],[Fee as Printed]]*(1+GST_Rate),""))</f>
        <v/>
      </c>
      <c r="S916" s="35">
        <f>IF(N(MasterFees[[#This Row],[Total Units]])=0,"",MasterFees[[#This Row],[Fee as Printed]]/MasterFees[[#This Row],[Total Units]])</f>
        <v>55</v>
      </c>
      <c r="T916" s="36"/>
      <c r="U916" s="39" t="s">
        <v>1012</v>
      </c>
      <c r="V916" s="39" t="s">
        <v>1673</v>
      </c>
      <c r="W916" s="30"/>
      <c r="X916" s="73" t="s">
        <v>3470</v>
      </c>
      <c r="Y916" s="127" t="str">
        <f>_xlfn.XLOOKUP(MasterFees[[#This Row],[Provider / Payer]],Contracts[Contract Name],Contracts[Contract ID],"No contract")</f>
        <v>CON-01</v>
      </c>
      <c r="Z916" s="127" t="str">
        <f>_xlfn.XLOOKUP(MasterFees[[#This Row],[Provider / Payer]],Contracts[Contract Name],Contracts[Pricing Basis],"To confirm")</f>
        <v>To confirm</v>
      </c>
      <c r="AA916" s="127" t="str">
        <f>IF(MasterFees[[#This Row],[Pricing Basis]]="Fixed fee schedule","Yes","No")</f>
        <v>No</v>
      </c>
      <c r="AB916" s="127" t="str">
        <f>IF(OR(MasterFees[[#This Row],[Fee Basis]]="Add-on",MasterFees[[#This Row],[Fee Basis]]="Time band",MasterFees[[#This Row],[Fee Basis]]="Other"),MasterFees[[#This Row],[Fee Basis]],"Base")</f>
        <v>Base</v>
      </c>
      <c r="AC916" s="141" t="str">
        <f>IF(MasterFees[[#This Row],[Fixed Fee?]]="Yes",MasterFees[[#This Row],[Fee Excl. GST]],"")</f>
        <v/>
      </c>
    </row>
    <row r="917" spans="1:29" x14ac:dyDescent="0.2">
      <c r="A917" s="67" t="s">
        <v>2350</v>
      </c>
      <c r="B917" s="31">
        <f>IF(MasterFees[[#This Row],[RVG Code]]="","",_xlfn.XLOOKUP(MasterFees[[#This Row],[RVG Code]],RVGCodes[Code],RVGCodes[Base Units],"Code not found"))</f>
        <v>5</v>
      </c>
      <c r="C91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1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17" s="125" t="s">
        <v>2582</v>
      </c>
      <c r="F917" s="48" t="s">
        <v>2567</v>
      </c>
      <c r="G917" s="30" t="s">
        <v>605</v>
      </c>
      <c r="H917" s="37" t="s">
        <v>1095</v>
      </c>
      <c r="I917" s="37"/>
      <c r="J917" s="37" t="s">
        <v>1096</v>
      </c>
      <c r="K917" s="32">
        <v>6</v>
      </c>
      <c r="L917" s="32">
        <v>5</v>
      </c>
      <c r="M917" s="32">
        <v>3</v>
      </c>
      <c r="N917" s="32">
        <v>14</v>
      </c>
      <c r="O917" s="33">
        <v>770</v>
      </c>
      <c r="P917" s="38" t="s">
        <v>1014</v>
      </c>
      <c r="Q917" s="34" t="str">
        <f>IF(MasterFees[[#This Row],[GST Basis]]="Excl",MasterFees[[#This Row],[Fee as Printed]],IF(MasterFees[[#This Row],[GST Basis]]="Incl",MasterFees[[#This Row],[Fee as Printed]]/(1+GST_Rate),""))</f>
        <v/>
      </c>
      <c r="R917" s="34" t="str">
        <f>IF(MasterFees[[#This Row],[GST Basis]]="Incl",MasterFees[[#This Row],[Fee as Printed]],IF(MasterFees[[#This Row],[GST Basis]]="Excl",MasterFees[[#This Row],[Fee as Printed]]*(1+GST_Rate),""))</f>
        <v/>
      </c>
      <c r="S917" s="35">
        <f>IF(N(MasterFees[[#This Row],[Total Units]])=0,"",MasterFees[[#This Row],[Fee as Printed]]/MasterFees[[#This Row],[Total Units]])</f>
        <v>55</v>
      </c>
      <c r="T917" s="36"/>
      <c r="U917" s="39" t="s">
        <v>1012</v>
      </c>
      <c r="V917" s="39" t="s">
        <v>1702</v>
      </c>
      <c r="W917" s="30"/>
      <c r="X917" s="73" t="s">
        <v>3499</v>
      </c>
      <c r="Y917" s="127" t="str">
        <f>_xlfn.XLOOKUP(MasterFees[[#This Row],[Provider / Payer]],Contracts[Contract Name],Contracts[Contract ID],"No contract")</f>
        <v>CON-01</v>
      </c>
      <c r="Z917" s="127" t="str">
        <f>_xlfn.XLOOKUP(MasterFees[[#This Row],[Provider / Payer]],Contracts[Contract Name],Contracts[Pricing Basis],"To confirm")</f>
        <v>To confirm</v>
      </c>
      <c r="AA917" s="127" t="str">
        <f>IF(MasterFees[[#This Row],[Pricing Basis]]="Fixed fee schedule","Yes","No")</f>
        <v>No</v>
      </c>
      <c r="AB917" s="127" t="str">
        <f>IF(OR(MasterFees[[#This Row],[Fee Basis]]="Add-on",MasterFees[[#This Row],[Fee Basis]]="Time band",MasterFees[[#This Row],[Fee Basis]]="Other"),MasterFees[[#This Row],[Fee Basis]],"Base")</f>
        <v>Base</v>
      </c>
      <c r="AC917" s="141" t="str">
        <f>IF(MasterFees[[#This Row],[Fixed Fee?]]="Yes",MasterFees[[#This Row],[Fee Excl. GST]],"")</f>
        <v/>
      </c>
    </row>
    <row r="918" spans="1:29" x14ac:dyDescent="0.2">
      <c r="A918" s="67" t="s">
        <v>2347</v>
      </c>
      <c r="B918" s="31">
        <f>IF(MasterFees[[#This Row],[RVG Code]]="","",_xlfn.XLOOKUP(MasterFees[[#This Row],[RVG Code]],RVGCodes[Code],RVGCodes[Base Units],"Code not found"))</f>
        <v>4</v>
      </c>
      <c r="C91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1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18" s="125" t="s">
        <v>2580</v>
      </c>
      <c r="F918" s="48" t="s">
        <v>2567</v>
      </c>
      <c r="G918" s="30" t="s">
        <v>606</v>
      </c>
      <c r="H918" s="37" t="s">
        <v>1095</v>
      </c>
      <c r="I918" s="37"/>
      <c r="J918" s="37" t="s">
        <v>1096</v>
      </c>
      <c r="K918" s="32">
        <v>4</v>
      </c>
      <c r="L918" s="32">
        <v>2</v>
      </c>
      <c r="M918" s="32">
        <v>0.2</v>
      </c>
      <c r="N918" s="32">
        <v>6.2</v>
      </c>
      <c r="O918" s="33">
        <v>341</v>
      </c>
      <c r="P918" s="38" t="s">
        <v>1014</v>
      </c>
      <c r="Q918" s="34" t="str">
        <f>IF(MasterFees[[#This Row],[GST Basis]]="Excl",MasterFees[[#This Row],[Fee as Printed]],IF(MasterFees[[#This Row],[GST Basis]]="Incl",MasterFees[[#This Row],[Fee as Printed]]/(1+GST_Rate),""))</f>
        <v/>
      </c>
      <c r="R918" s="34" t="str">
        <f>IF(MasterFees[[#This Row],[GST Basis]]="Incl",MasterFees[[#This Row],[Fee as Printed]],IF(MasterFees[[#This Row],[GST Basis]]="Excl",MasterFees[[#This Row],[Fee as Printed]]*(1+GST_Rate),""))</f>
        <v/>
      </c>
      <c r="S918" s="35">
        <f>IF(N(MasterFees[[#This Row],[Total Units]])=0,"",MasterFees[[#This Row],[Fee as Printed]]/MasterFees[[#This Row],[Total Units]])</f>
        <v>55</v>
      </c>
      <c r="T918" s="36"/>
      <c r="U918" s="39" t="s">
        <v>1012</v>
      </c>
      <c r="V918" s="39" t="s">
        <v>1703</v>
      </c>
      <c r="W918" s="30"/>
      <c r="X918" s="73" t="s">
        <v>3500</v>
      </c>
      <c r="Y918" s="127" t="str">
        <f>_xlfn.XLOOKUP(MasterFees[[#This Row],[Provider / Payer]],Contracts[Contract Name],Contracts[Contract ID],"No contract")</f>
        <v>CON-01</v>
      </c>
      <c r="Z918" s="127" t="str">
        <f>_xlfn.XLOOKUP(MasterFees[[#This Row],[Provider / Payer]],Contracts[Contract Name],Contracts[Pricing Basis],"To confirm")</f>
        <v>To confirm</v>
      </c>
      <c r="AA918" s="127" t="str">
        <f>IF(MasterFees[[#This Row],[Pricing Basis]]="Fixed fee schedule","Yes","No")</f>
        <v>No</v>
      </c>
      <c r="AB918" s="127" t="str">
        <f>IF(OR(MasterFees[[#This Row],[Fee Basis]]="Add-on",MasterFees[[#This Row],[Fee Basis]]="Time band",MasterFees[[#This Row],[Fee Basis]]="Other"),MasterFees[[#This Row],[Fee Basis]],"Base")</f>
        <v>Base</v>
      </c>
      <c r="AC918" s="141" t="str">
        <f>IF(MasterFees[[#This Row],[Fixed Fee?]]="Yes",MasterFees[[#This Row],[Fee Excl. GST]],"")</f>
        <v/>
      </c>
    </row>
    <row r="919" spans="1:29" x14ac:dyDescent="0.2">
      <c r="A919" s="67" t="s">
        <v>2347</v>
      </c>
      <c r="B919" s="31">
        <f>IF(MasterFees[[#This Row],[RVG Code]]="","",_xlfn.XLOOKUP(MasterFees[[#This Row],[RVG Code]],RVGCodes[Code],RVGCodes[Base Units],"Code not found"))</f>
        <v>4</v>
      </c>
      <c r="C91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1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19" s="125" t="s">
        <v>2580</v>
      </c>
      <c r="F919" s="48" t="s">
        <v>2567</v>
      </c>
      <c r="G919" s="30" t="s">
        <v>616</v>
      </c>
      <c r="H919" s="37" t="s">
        <v>1095</v>
      </c>
      <c r="I919" s="37"/>
      <c r="J919" s="37" t="s">
        <v>1096</v>
      </c>
      <c r="K919" s="32">
        <v>4.2</v>
      </c>
      <c r="L919" s="32">
        <v>2.5</v>
      </c>
      <c r="M919" s="32">
        <v>0.2</v>
      </c>
      <c r="N919" s="32">
        <v>6.8</v>
      </c>
      <c r="O919" s="33">
        <v>372.9</v>
      </c>
      <c r="P919" s="38" t="s">
        <v>1014</v>
      </c>
      <c r="Q919" s="34" t="str">
        <f>IF(MasterFees[[#This Row],[GST Basis]]="Excl",MasterFees[[#This Row],[Fee as Printed]],IF(MasterFees[[#This Row],[GST Basis]]="Incl",MasterFees[[#This Row],[Fee as Printed]]/(1+GST_Rate),""))</f>
        <v/>
      </c>
      <c r="R919" s="34" t="str">
        <f>IF(MasterFees[[#This Row],[GST Basis]]="Incl",MasterFees[[#This Row],[Fee as Printed]],IF(MasterFees[[#This Row],[GST Basis]]="Excl",MasterFees[[#This Row],[Fee as Printed]]*(1+GST_Rate),""))</f>
        <v/>
      </c>
      <c r="S919" s="35">
        <f>IF(N(MasterFees[[#This Row],[Total Units]])=0,"",MasterFees[[#This Row],[Fee as Printed]]/MasterFees[[#This Row],[Total Units]])</f>
        <v>54.838235294117645</v>
      </c>
      <c r="T919" s="36"/>
      <c r="U919" s="39" t="s">
        <v>1012</v>
      </c>
      <c r="V919" s="39" t="s">
        <v>1713</v>
      </c>
      <c r="W919" s="30"/>
      <c r="X919" s="73" t="s">
        <v>3510</v>
      </c>
      <c r="Y919" s="127" t="str">
        <f>_xlfn.XLOOKUP(MasterFees[[#This Row],[Provider / Payer]],Contracts[Contract Name],Contracts[Contract ID],"No contract")</f>
        <v>CON-01</v>
      </c>
      <c r="Z919" s="127" t="str">
        <f>_xlfn.XLOOKUP(MasterFees[[#This Row],[Provider / Payer]],Contracts[Contract Name],Contracts[Pricing Basis],"To confirm")</f>
        <v>To confirm</v>
      </c>
      <c r="AA919" s="127" t="str">
        <f>IF(MasterFees[[#This Row],[Pricing Basis]]="Fixed fee schedule","Yes","No")</f>
        <v>No</v>
      </c>
      <c r="AB919" s="127" t="str">
        <f>IF(OR(MasterFees[[#This Row],[Fee Basis]]="Add-on",MasterFees[[#This Row],[Fee Basis]]="Time band",MasterFees[[#This Row],[Fee Basis]]="Other"),MasterFees[[#This Row],[Fee Basis]],"Base")</f>
        <v>Base</v>
      </c>
      <c r="AC919" s="141" t="str">
        <f>IF(MasterFees[[#This Row],[Fixed Fee?]]="Yes",MasterFees[[#This Row],[Fee Excl. GST]],"")</f>
        <v/>
      </c>
    </row>
    <row r="920" spans="1:29" x14ac:dyDescent="0.2">
      <c r="A920" s="67" t="s">
        <v>2347</v>
      </c>
      <c r="B920" s="31">
        <f>IF(MasterFees[[#This Row],[RVG Code]]="","",_xlfn.XLOOKUP(MasterFees[[#This Row],[RVG Code]],RVGCodes[Code],RVGCodes[Base Units],"Code not found"))</f>
        <v>4</v>
      </c>
      <c r="C92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2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20" s="125" t="s">
        <v>2580</v>
      </c>
      <c r="F920" s="48" t="s">
        <v>2629</v>
      </c>
      <c r="G920" s="30" t="s">
        <v>2348</v>
      </c>
      <c r="H920" s="37" t="s">
        <v>2630</v>
      </c>
      <c r="I920" s="37" t="s">
        <v>2347</v>
      </c>
      <c r="J920" s="37" t="s">
        <v>1096</v>
      </c>
      <c r="K920" s="32">
        <v>4</v>
      </c>
      <c r="L920" s="32"/>
      <c r="M920" s="32"/>
      <c r="N920" s="32">
        <v>4</v>
      </c>
      <c r="O920" s="33"/>
      <c r="P920" s="38"/>
      <c r="Q920" s="34" t="str">
        <f>IF(MasterFees[[#This Row],[GST Basis]]="Excl",MasterFees[[#This Row],[Fee as Printed]],IF(MasterFees[[#This Row],[GST Basis]]="Incl",MasterFees[[#This Row],[Fee as Printed]]/(1+GST_Rate),""))</f>
        <v/>
      </c>
      <c r="R920" s="34" t="str">
        <f>IF(MasterFees[[#This Row],[GST Basis]]="Incl",MasterFees[[#This Row],[Fee as Printed]],IF(MasterFees[[#This Row],[GST Basis]]="Excl",MasterFees[[#This Row],[Fee as Printed]]*(1+GST_Rate),""))</f>
        <v/>
      </c>
      <c r="S920" s="35">
        <f>IF(N(MasterFees[[#This Row],[Total Units]])=0,"",MasterFees[[#This Row],[Fee as Printed]]/MasterFees[[#This Row],[Total Units]])</f>
        <v>0</v>
      </c>
      <c r="T920" s="36"/>
      <c r="U920" s="39" t="s">
        <v>1016</v>
      </c>
      <c r="V920" s="39" t="s">
        <v>2637</v>
      </c>
      <c r="W920" s="30" t="s">
        <v>2653</v>
      </c>
      <c r="X920" s="73" t="s">
        <v>3803</v>
      </c>
      <c r="Y920" s="127" t="str">
        <f>_xlfn.XLOOKUP(MasterFees[[#This Row],[Provider / Payer]],Contracts[Contract Name],Contracts[Contract ID],"No contract")</f>
        <v>CON-10</v>
      </c>
      <c r="Z920" s="127" t="str">
        <f>_xlfn.XLOOKUP(MasterFees[[#This Row],[Provider / Payer]],Contracts[Contract Name],Contracts[Pricing Basis],"To confirm")</f>
        <v>Reference – units only</v>
      </c>
      <c r="AA920" s="127" t="str">
        <f>IF(MasterFees[[#This Row],[Pricing Basis]]="Fixed fee schedule","Yes","No")</f>
        <v>No</v>
      </c>
      <c r="AB920" s="127" t="str">
        <f>IF(OR(MasterFees[[#This Row],[Fee Basis]]="Add-on",MasterFees[[#This Row],[Fee Basis]]="Time band",MasterFees[[#This Row],[Fee Basis]]="Other"),MasterFees[[#This Row],[Fee Basis]],"Base")</f>
        <v>Base</v>
      </c>
      <c r="AC920" s="141" t="str">
        <f>IF(MasterFees[[#This Row],[Fixed Fee?]]="Yes",MasterFees[[#This Row],[Fee Excl. GST]],"")</f>
        <v/>
      </c>
    </row>
    <row r="921" spans="1:29" x14ac:dyDescent="0.2">
      <c r="A921" s="67" t="s">
        <v>2350</v>
      </c>
      <c r="B921" s="31">
        <f>IF(MasterFees[[#This Row],[RVG Code]]="","",_xlfn.XLOOKUP(MasterFees[[#This Row],[RVG Code]],RVGCodes[Code],RVGCodes[Base Units],"Code not found"))</f>
        <v>5</v>
      </c>
      <c r="C92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2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21" s="125" t="s">
        <v>2582</v>
      </c>
      <c r="F921" s="48" t="s">
        <v>2567</v>
      </c>
      <c r="G921" s="30" t="s">
        <v>676</v>
      </c>
      <c r="H921" s="37" t="s">
        <v>1095</v>
      </c>
      <c r="I921" s="37"/>
      <c r="J921" s="37" t="s">
        <v>1096</v>
      </c>
      <c r="K921" s="32">
        <v>4.2</v>
      </c>
      <c r="L921" s="32">
        <v>2.5</v>
      </c>
      <c r="M921" s="32">
        <v>1.2</v>
      </c>
      <c r="N921" s="32">
        <v>8</v>
      </c>
      <c r="O921" s="33">
        <v>438.9</v>
      </c>
      <c r="P921" s="38" t="s">
        <v>1014</v>
      </c>
      <c r="Q921" s="34" t="str">
        <f>IF(MasterFees[[#This Row],[GST Basis]]="Excl",MasterFees[[#This Row],[Fee as Printed]],IF(MasterFees[[#This Row],[GST Basis]]="Incl",MasterFees[[#This Row],[Fee as Printed]]/(1+GST_Rate),""))</f>
        <v/>
      </c>
      <c r="R921" s="34" t="str">
        <f>IF(MasterFees[[#This Row],[GST Basis]]="Incl",MasterFees[[#This Row],[Fee as Printed]],IF(MasterFees[[#This Row],[GST Basis]]="Excl",MasterFees[[#This Row],[Fee as Printed]]*(1+GST_Rate),""))</f>
        <v/>
      </c>
      <c r="S921" s="35">
        <f>IF(N(MasterFees[[#This Row],[Total Units]])=0,"",MasterFees[[#This Row],[Fee as Printed]]/MasterFees[[#This Row],[Total Units]])</f>
        <v>54.862499999999997</v>
      </c>
      <c r="T921" s="36"/>
      <c r="U921" s="39" t="s">
        <v>1012</v>
      </c>
      <c r="V921" s="39" t="s">
        <v>1773</v>
      </c>
      <c r="W921" s="30"/>
      <c r="X921" s="73" t="s">
        <v>3574</v>
      </c>
      <c r="Y921" s="127" t="str">
        <f>_xlfn.XLOOKUP(MasterFees[[#This Row],[Provider / Payer]],Contracts[Contract Name],Contracts[Contract ID],"No contract")</f>
        <v>CON-01</v>
      </c>
      <c r="Z921" s="127" t="str">
        <f>_xlfn.XLOOKUP(MasterFees[[#This Row],[Provider / Payer]],Contracts[Contract Name],Contracts[Pricing Basis],"To confirm")</f>
        <v>To confirm</v>
      </c>
      <c r="AA921" s="127" t="str">
        <f>IF(MasterFees[[#This Row],[Pricing Basis]]="Fixed fee schedule","Yes","No")</f>
        <v>No</v>
      </c>
      <c r="AB921" s="127" t="str">
        <f>IF(OR(MasterFees[[#This Row],[Fee Basis]]="Add-on",MasterFees[[#This Row],[Fee Basis]]="Time band",MasterFees[[#This Row],[Fee Basis]]="Other"),MasterFees[[#This Row],[Fee Basis]],"Base")</f>
        <v>Base</v>
      </c>
      <c r="AC921" s="141" t="str">
        <f>IF(MasterFees[[#This Row],[Fixed Fee?]]="Yes",MasterFees[[#This Row],[Fee Excl. GST]],"")</f>
        <v/>
      </c>
    </row>
    <row r="922" spans="1:29" x14ac:dyDescent="0.2">
      <c r="A922" s="67" t="s">
        <v>2350</v>
      </c>
      <c r="B922" s="31">
        <f>IF(MasterFees[[#This Row],[RVG Code]]="","",_xlfn.XLOOKUP(MasterFees[[#This Row],[RVG Code]],RVGCodes[Code],RVGCodes[Base Units],"Code not found"))</f>
        <v>5</v>
      </c>
      <c r="C92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2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22" s="125" t="s">
        <v>2582</v>
      </c>
      <c r="F922" s="48" t="s">
        <v>2567</v>
      </c>
      <c r="G922" s="30" t="s">
        <v>677</v>
      </c>
      <c r="H922" s="37" t="s">
        <v>1095</v>
      </c>
      <c r="I922" s="37"/>
      <c r="J922" s="37" t="s">
        <v>1096</v>
      </c>
      <c r="K922" s="32">
        <v>4</v>
      </c>
      <c r="L922" s="32">
        <v>4</v>
      </c>
      <c r="M922" s="32">
        <v>0</v>
      </c>
      <c r="N922" s="32">
        <v>8</v>
      </c>
      <c r="O922" s="33">
        <v>440</v>
      </c>
      <c r="P922" s="38" t="s">
        <v>1014</v>
      </c>
      <c r="Q922" s="34" t="str">
        <f>IF(MasterFees[[#This Row],[GST Basis]]="Excl",MasterFees[[#This Row],[Fee as Printed]],IF(MasterFees[[#This Row],[GST Basis]]="Incl",MasterFees[[#This Row],[Fee as Printed]]/(1+GST_Rate),""))</f>
        <v/>
      </c>
      <c r="R922" s="34" t="str">
        <f>IF(MasterFees[[#This Row],[GST Basis]]="Incl",MasterFees[[#This Row],[Fee as Printed]],IF(MasterFees[[#This Row],[GST Basis]]="Excl",MasterFees[[#This Row],[Fee as Printed]]*(1+GST_Rate),""))</f>
        <v/>
      </c>
      <c r="S922" s="35">
        <f>IF(N(MasterFees[[#This Row],[Total Units]])=0,"",MasterFees[[#This Row],[Fee as Printed]]/MasterFees[[#This Row],[Total Units]])</f>
        <v>55</v>
      </c>
      <c r="T922" s="36"/>
      <c r="U922" s="39" t="s">
        <v>1012</v>
      </c>
      <c r="V922" s="39" t="s">
        <v>1774</v>
      </c>
      <c r="W922" s="30"/>
      <c r="X922" s="73" t="s">
        <v>3575</v>
      </c>
      <c r="Y922" s="127" t="str">
        <f>_xlfn.XLOOKUP(MasterFees[[#This Row],[Provider / Payer]],Contracts[Contract Name],Contracts[Contract ID],"No contract")</f>
        <v>CON-01</v>
      </c>
      <c r="Z922" s="127" t="str">
        <f>_xlfn.XLOOKUP(MasterFees[[#This Row],[Provider / Payer]],Contracts[Contract Name],Contracts[Pricing Basis],"To confirm")</f>
        <v>To confirm</v>
      </c>
      <c r="AA922" s="127" t="str">
        <f>IF(MasterFees[[#This Row],[Pricing Basis]]="Fixed fee schedule","Yes","No")</f>
        <v>No</v>
      </c>
      <c r="AB922" s="127" t="str">
        <f>IF(OR(MasterFees[[#This Row],[Fee Basis]]="Add-on",MasterFees[[#This Row],[Fee Basis]]="Time band",MasterFees[[#This Row],[Fee Basis]]="Other"),MasterFees[[#This Row],[Fee Basis]],"Base")</f>
        <v>Base</v>
      </c>
      <c r="AC922" s="141" t="str">
        <f>IF(MasterFees[[#This Row],[Fixed Fee?]]="Yes",MasterFees[[#This Row],[Fee Excl. GST]],"")</f>
        <v/>
      </c>
    </row>
    <row r="923" spans="1:29" x14ac:dyDescent="0.2">
      <c r="A923" s="67" t="s">
        <v>2350</v>
      </c>
      <c r="B923" s="31">
        <f>IF(MasterFees[[#This Row],[RVG Code]]="","",_xlfn.XLOOKUP(MasterFees[[#This Row],[RVG Code]],RVGCodes[Code],RVGCodes[Base Units],"Code not found"))</f>
        <v>5</v>
      </c>
      <c r="C92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2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23" s="125" t="s">
        <v>2582</v>
      </c>
      <c r="F923" s="48" t="s">
        <v>2567</v>
      </c>
      <c r="G923" s="30" t="s">
        <v>678</v>
      </c>
      <c r="H923" s="37" t="s">
        <v>1095</v>
      </c>
      <c r="I923" s="37"/>
      <c r="J923" s="37" t="s">
        <v>1096</v>
      </c>
      <c r="K923" s="32">
        <v>4</v>
      </c>
      <c r="L923" s="32">
        <v>1</v>
      </c>
      <c r="M923" s="32">
        <v>0</v>
      </c>
      <c r="N923" s="32">
        <v>5</v>
      </c>
      <c r="O923" s="33">
        <v>275</v>
      </c>
      <c r="P923" s="38" t="s">
        <v>1014</v>
      </c>
      <c r="Q923" s="34" t="str">
        <f>IF(MasterFees[[#This Row],[GST Basis]]="Excl",MasterFees[[#This Row],[Fee as Printed]],IF(MasterFees[[#This Row],[GST Basis]]="Incl",MasterFees[[#This Row],[Fee as Printed]]/(1+GST_Rate),""))</f>
        <v/>
      </c>
      <c r="R923" s="34" t="str">
        <f>IF(MasterFees[[#This Row],[GST Basis]]="Incl",MasterFees[[#This Row],[Fee as Printed]],IF(MasterFees[[#This Row],[GST Basis]]="Excl",MasterFees[[#This Row],[Fee as Printed]]*(1+GST_Rate),""))</f>
        <v/>
      </c>
      <c r="S923" s="35">
        <f>IF(N(MasterFees[[#This Row],[Total Units]])=0,"",MasterFees[[#This Row],[Fee as Printed]]/MasterFees[[#This Row],[Total Units]])</f>
        <v>55</v>
      </c>
      <c r="T923" s="36"/>
      <c r="U923" s="39" t="s">
        <v>1012</v>
      </c>
      <c r="V923" s="39" t="s">
        <v>1775</v>
      </c>
      <c r="W923" s="30"/>
      <c r="X923" s="73" t="s">
        <v>3576</v>
      </c>
      <c r="Y923" s="127" t="str">
        <f>_xlfn.XLOOKUP(MasterFees[[#This Row],[Provider / Payer]],Contracts[Contract Name],Contracts[Contract ID],"No contract")</f>
        <v>CON-01</v>
      </c>
      <c r="Z923" s="127" t="str">
        <f>_xlfn.XLOOKUP(MasterFees[[#This Row],[Provider / Payer]],Contracts[Contract Name],Contracts[Pricing Basis],"To confirm")</f>
        <v>To confirm</v>
      </c>
      <c r="AA923" s="127" t="str">
        <f>IF(MasterFees[[#This Row],[Pricing Basis]]="Fixed fee schedule","Yes","No")</f>
        <v>No</v>
      </c>
      <c r="AB923" s="127" t="str">
        <f>IF(OR(MasterFees[[#This Row],[Fee Basis]]="Add-on",MasterFees[[#This Row],[Fee Basis]]="Time band",MasterFees[[#This Row],[Fee Basis]]="Other"),MasterFees[[#This Row],[Fee Basis]],"Base")</f>
        <v>Base</v>
      </c>
      <c r="AC923" s="141" t="str">
        <f>IF(MasterFees[[#This Row],[Fixed Fee?]]="Yes",MasterFees[[#This Row],[Fee Excl. GST]],"")</f>
        <v/>
      </c>
    </row>
    <row r="924" spans="1:29" x14ac:dyDescent="0.2">
      <c r="A924" s="67" t="s">
        <v>2350</v>
      </c>
      <c r="B924" s="31">
        <f>IF(MasterFees[[#This Row],[RVG Code]]="","",_xlfn.XLOOKUP(MasterFees[[#This Row],[RVG Code]],RVGCodes[Code],RVGCodes[Base Units],"Code not found"))</f>
        <v>5</v>
      </c>
      <c r="C92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2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24" s="125" t="s">
        <v>2582</v>
      </c>
      <c r="F924" s="48" t="s">
        <v>2567</v>
      </c>
      <c r="G924" s="30" t="s">
        <v>679</v>
      </c>
      <c r="H924" s="37" t="s">
        <v>1095</v>
      </c>
      <c r="I924" s="37"/>
      <c r="J924" s="37" t="s">
        <v>1096</v>
      </c>
      <c r="K924" s="32">
        <v>4</v>
      </c>
      <c r="L924" s="32">
        <v>3.6</v>
      </c>
      <c r="M924" s="32">
        <v>1.1000000000000001</v>
      </c>
      <c r="N924" s="32">
        <v>8.6999999999999993</v>
      </c>
      <c r="O924" s="33">
        <v>476.3</v>
      </c>
      <c r="P924" s="38" t="s">
        <v>1014</v>
      </c>
      <c r="Q924" s="34" t="str">
        <f>IF(MasterFees[[#This Row],[GST Basis]]="Excl",MasterFees[[#This Row],[Fee as Printed]],IF(MasterFees[[#This Row],[GST Basis]]="Incl",MasterFees[[#This Row],[Fee as Printed]]/(1+GST_Rate),""))</f>
        <v/>
      </c>
      <c r="R924" s="34" t="str">
        <f>IF(MasterFees[[#This Row],[GST Basis]]="Incl",MasterFees[[#This Row],[Fee as Printed]],IF(MasterFees[[#This Row],[GST Basis]]="Excl",MasterFees[[#This Row],[Fee as Printed]]*(1+GST_Rate),""))</f>
        <v/>
      </c>
      <c r="S924" s="35">
        <f>IF(N(MasterFees[[#This Row],[Total Units]])=0,"",MasterFees[[#This Row],[Fee as Printed]]/MasterFees[[#This Row],[Total Units]])</f>
        <v>54.747126436781613</v>
      </c>
      <c r="T924" s="36"/>
      <c r="U924" s="39" t="s">
        <v>1012</v>
      </c>
      <c r="V924" s="39" t="s">
        <v>1776</v>
      </c>
      <c r="W924" s="30"/>
      <c r="X924" s="73" t="s">
        <v>3577</v>
      </c>
      <c r="Y924" s="127" t="str">
        <f>_xlfn.XLOOKUP(MasterFees[[#This Row],[Provider / Payer]],Contracts[Contract Name],Contracts[Contract ID],"No contract")</f>
        <v>CON-01</v>
      </c>
      <c r="Z924" s="127" t="str">
        <f>_xlfn.XLOOKUP(MasterFees[[#This Row],[Provider / Payer]],Contracts[Contract Name],Contracts[Pricing Basis],"To confirm")</f>
        <v>To confirm</v>
      </c>
      <c r="AA924" s="127" t="str">
        <f>IF(MasterFees[[#This Row],[Pricing Basis]]="Fixed fee schedule","Yes","No")</f>
        <v>No</v>
      </c>
      <c r="AB924" s="127" t="str">
        <f>IF(OR(MasterFees[[#This Row],[Fee Basis]]="Add-on",MasterFees[[#This Row],[Fee Basis]]="Time band",MasterFees[[#This Row],[Fee Basis]]="Other"),MasterFees[[#This Row],[Fee Basis]],"Base")</f>
        <v>Base</v>
      </c>
      <c r="AC924" s="141" t="str">
        <f>IF(MasterFees[[#This Row],[Fixed Fee?]]="Yes",MasterFees[[#This Row],[Fee Excl. GST]],"")</f>
        <v/>
      </c>
    </row>
    <row r="925" spans="1:29" x14ac:dyDescent="0.2">
      <c r="A925" s="67" t="s">
        <v>2350</v>
      </c>
      <c r="B925" s="31">
        <f>IF(MasterFees[[#This Row],[RVG Code]]="","",_xlfn.XLOOKUP(MasterFees[[#This Row],[RVG Code]],RVGCodes[Code],RVGCodes[Base Units],"Code not found"))</f>
        <v>5</v>
      </c>
      <c r="C92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2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25" s="125" t="s">
        <v>2582</v>
      </c>
      <c r="F925" s="48" t="s">
        <v>2567</v>
      </c>
      <c r="G925" s="30" t="s">
        <v>680</v>
      </c>
      <c r="H925" s="37" t="s">
        <v>1095</v>
      </c>
      <c r="I925" s="37"/>
      <c r="J925" s="37" t="s">
        <v>1096</v>
      </c>
      <c r="K925" s="32">
        <v>3.9</v>
      </c>
      <c r="L925" s="32">
        <v>3.5</v>
      </c>
      <c r="M925" s="32">
        <v>0.5</v>
      </c>
      <c r="N925" s="32">
        <v>8</v>
      </c>
      <c r="O925" s="33">
        <v>438.9</v>
      </c>
      <c r="P925" s="38" t="s">
        <v>1014</v>
      </c>
      <c r="Q925" s="34" t="str">
        <f>IF(MasterFees[[#This Row],[GST Basis]]="Excl",MasterFees[[#This Row],[Fee as Printed]],IF(MasterFees[[#This Row],[GST Basis]]="Incl",MasterFees[[#This Row],[Fee as Printed]]/(1+GST_Rate),""))</f>
        <v/>
      </c>
      <c r="R925" s="34" t="str">
        <f>IF(MasterFees[[#This Row],[GST Basis]]="Incl",MasterFees[[#This Row],[Fee as Printed]],IF(MasterFees[[#This Row],[GST Basis]]="Excl",MasterFees[[#This Row],[Fee as Printed]]*(1+GST_Rate),""))</f>
        <v/>
      </c>
      <c r="S925" s="35">
        <f>IF(N(MasterFees[[#This Row],[Total Units]])=0,"",MasterFees[[#This Row],[Fee as Printed]]/MasterFees[[#This Row],[Total Units]])</f>
        <v>54.862499999999997</v>
      </c>
      <c r="T925" s="36"/>
      <c r="U925" s="39" t="s">
        <v>1012</v>
      </c>
      <c r="V925" s="39" t="s">
        <v>1777</v>
      </c>
      <c r="W925" s="30"/>
      <c r="X925" s="73" t="s">
        <v>3578</v>
      </c>
      <c r="Y925" s="127" t="str">
        <f>_xlfn.XLOOKUP(MasterFees[[#This Row],[Provider / Payer]],Contracts[Contract Name],Contracts[Contract ID],"No contract")</f>
        <v>CON-01</v>
      </c>
      <c r="Z925" s="127" t="str">
        <f>_xlfn.XLOOKUP(MasterFees[[#This Row],[Provider / Payer]],Contracts[Contract Name],Contracts[Pricing Basis],"To confirm")</f>
        <v>To confirm</v>
      </c>
      <c r="AA925" s="127" t="str">
        <f>IF(MasterFees[[#This Row],[Pricing Basis]]="Fixed fee schedule","Yes","No")</f>
        <v>No</v>
      </c>
      <c r="AB925" s="127" t="str">
        <f>IF(OR(MasterFees[[#This Row],[Fee Basis]]="Add-on",MasterFees[[#This Row],[Fee Basis]]="Time band",MasterFees[[#This Row],[Fee Basis]]="Other"),MasterFees[[#This Row],[Fee Basis]],"Base")</f>
        <v>Base</v>
      </c>
      <c r="AC925" s="141" t="str">
        <f>IF(MasterFees[[#This Row],[Fixed Fee?]]="Yes",MasterFees[[#This Row],[Fee Excl. GST]],"")</f>
        <v/>
      </c>
    </row>
    <row r="926" spans="1:29" x14ac:dyDescent="0.2">
      <c r="A926" s="67" t="s">
        <v>2350</v>
      </c>
      <c r="B926" s="31">
        <f>IF(MasterFees[[#This Row],[RVG Code]]="","",_xlfn.XLOOKUP(MasterFees[[#This Row],[RVG Code]],RVGCodes[Code],RVGCodes[Base Units],"Code not found"))</f>
        <v>5</v>
      </c>
      <c r="C92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2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26" s="125" t="s">
        <v>2582</v>
      </c>
      <c r="F926" s="48" t="s">
        <v>2569</v>
      </c>
      <c r="G926" s="30" t="s">
        <v>699</v>
      </c>
      <c r="H926" s="37" t="s">
        <v>1095</v>
      </c>
      <c r="I926" s="37"/>
      <c r="J926" s="37" t="s">
        <v>1096</v>
      </c>
      <c r="K926" s="32">
        <v>5</v>
      </c>
      <c r="L926" s="32">
        <v>4.3</v>
      </c>
      <c r="M926" s="32">
        <v>1</v>
      </c>
      <c r="N926" s="32">
        <v>10.199999999999999</v>
      </c>
      <c r="O926" s="33">
        <v>562.1</v>
      </c>
      <c r="P926" s="38" t="s">
        <v>1014</v>
      </c>
      <c r="Q926" s="34" t="str">
        <f>IF(MasterFees[[#This Row],[GST Basis]]="Excl",MasterFees[[#This Row],[Fee as Printed]],IF(MasterFees[[#This Row],[GST Basis]]="Incl",MasterFees[[#This Row],[Fee as Printed]]/(1+GST_Rate),""))</f>
        <v/>
      </c>
      <c r="R926" s="34" t="str">
        <f>IF(MasterFees[[#This Row],[GST Basis]]="Incl",MasterFees[[#This Row],[Fee as Printed]],IF(MasterFees[[#This Row],[GST Basis]]="Excl",MasterFees[[#This Row],[Fee as Printed]]*(1+GST_Rate),""))</f>
        <v/>
      </c>
      <c r="S926" s="35">
        <f>IF(N(MasterFees[[#This Row],[Total Units]])=0,"",MasterFees[[#This Row],[Fee as Printed]]/MasterFees[[#This Row],[Total Units]])</f>
        <v>55.10784313725491</v>
      </c>
      <c r="T926" s="36"/>
      <c r="U926" s="39" t="s">
        <v>1012</v>
      </c>
      <c r="V926" s="39" t="s">
        <v>1796</v>
      </c>
      <c r="W926" s="30"/>
      <c r="X926" s="73" t="s">
        <v>3599</v>
      </c>
      <c r="Y926" s="127" t="str">
        <f>_xlfn.XLOOKUP(MasterFees[[#This Row],[Provider / Payer]],Contracts[Contract Name],Contracts[Contract ID],"No contract")</f>
        <v>CON-01</v>
      </c>
      <c r="Z926" s="127" t="str">
        <f>_xlfn.XLOOKUP(MasterFees[[#This Row],[Provider / Payer]],Contracts[Contract Name],Contracts[Pricing Basis],"To confirm")</f>
        <v>To confirm</v>
      </c>
      <c r="AA926" s="127" t="str">
        <f>IF(MasterFees[[#This Row],[Pricing Basis]]="Fixed fee schedule","Yes","No")</f>
        <v>No</v>
      </c>
      <c r="AB926" s="127" t="str">
        <f>IF(OR(MasterFees[[#This Row],[Fee Basis]]="Add-on",MasterFees[[#This Row],[Fee Basis]]="Time band",MasterFees[[#This Row],[Fee Basis]]="Other"),MasterFees[[#This Row],[Fee Basis]],"Base")</f>
        <v>Base</v>
      </c>
      <c r="AC926" s="141" t="str">
        <f>IF(MasterFees[[#This Row],[Fixed Fee?]]="Yes",MasterFees[[#This Row],[Fee Excl. GST]],"")</f>
        <v/>
      </c>
    </row>
    <row r="927" spans="1:29" x14ac:dyDescent="0.2">
      <c r="A927" s="67" t="s">
        <v>2347</v>
      </c>
      <c r="B927" s="31">
        <f>IF(MasterFees[[#This Row],[RVG Code]]="","",_xlfn.XLOOKUP(MasterFees[[#This Row],[RVG Code]],RVGCodes[Code],RVGCodes[Base Units],"Code not found"))</f>
        <v>4</v>
      </c>
      <c r="C92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2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27" s="125" t="s">
        <v>2580</v>
      </c>
      <c r="F927" s="48" t="s">
        <v>2567</v>
      </c>
      <c r="G927" s="30" t="s">
        <v>703</v>
      </c>
      <c r="H927" s="37" t="s">
        <v>1095</v>
      </c>
      <c r="I927" s="37"/>
      <c r="J927" s="37" t="s">
        <v>1096</v>
      </c>
      <c r="K927" s="32">
        <v>0</v>
      </c>
      <c r="L927" s="32">
        <v>1</v>
      </c>
      <c r="M927" s="32">
        <v>0</v>
      </c>
      <c r="N927" s="32">
        <v>1</v>
      </c>
      <c r="O927" s="33">
        <v>55</v>
      </c>
      <c r="P927" s="38" t="s">
        <v>1014</v>
      </c>
      <c r="Q927" s="34" t="str">
        <f>IF(MasterFees[[#This Row],[GST Basis]]="Excl",MasterFees[[#This Row],[Fee as Printed]],IF(MasterFees[[#This Row],[GST Basis]]="Incl",MasterFees[[#This Row],[Fee as Printed]]/(1+GST_Rate),""))</f>
        <v/>
      </c>
      <c r="R927" s="34" t="str">
        <f>IF(MasterFees[[#This Row],[GST Basis]]="Incl",MasterFees[[#This Row],[Fee as Printed]],IF(MasterFees[[#This Row],[GST Basis]]="Excl",MasterFees[[#This Row],[Fee as Printed]]*(1+GST_Rate),""))</f>
        <v/>
      </c>
      <c r="S927" s="35">
        <f>IF(N(MasterFees[[#This Row],[Total Units]])=0,"",MasterFees[[#This Row],[Fee as Printed]]/MasterFees[[#This Row],[Total Units]])</f>
        <v>55</v>
      </c>
      <c r="T927" s="36"/>
      <c r="U927" s="39" t="s">
        <v>1012</v>
      </c>
      <c r="V927" s="39" t="s">
        <v>1800</v>
      </c>
      <c r="W927" s="30"/>
      <c r="X927" s="73" t="s">
        <v>3603</v>
      </c>
      <c r="Y927" s="127" t="str">
        <f>_xlfn.XLOOKUP(MasterFees[[#This Row],[Provider / Payer]],Contracts[Contract Name],Contracts[Contract ID],"No contract")</f>
        <v>CON-01</v>
      </c>
      <c r="Z927" s="127" t="str">
        <f>_xlfn.XLOOKUP(MasterFees[[#This Row],[Provider / Payer]],Contracts[Contract Name],Contracts[Pricing Basis],"To confirm")</f>
        <v>To confirm</v>
      </c>
      <c r="AA927" s="127" t="str">
        <f>IF(MasterFees[[#This Row],[Pricing Basis]]="Fixed fee schedule","Yes","No")</f>
        <v>No</v>
      </c>
      <c r="AB927" s="127" t="str">
        <f>IF(OR(MasterFees[[#This Row],[Fee Basis]]="Add-on",MasterFees[[#This Row],[Fee Basis]]="Time band",MasterFees[[#This Row],[Fee Basis]]="Other"),MasterFees[[#This Row],[Fee Basis]],"Base")</f>
        <v>Base</v>
      </c>
      <c r="AC927" s="141" t="str">
        <f>IF(MasterFees[[#This Row],[Fixed Fee?]]="Yes",MasterFees[[#This Row],[Fee Excl. GST]],"")</f>
        <v/>
      </c>
    </row>
    <row r="928" spans="1:29" x14ac:dyDescent="0.2">
      <c r="A928" s="67" t="s">
        <v>2350</v>
      </c>
      <c r="B928" s="31">
        <f>IF(MasterFees[[#This Row],[RVG Code]]="","",_xlfn.XLOOKUP(MasterFees[[#This Row],[RVG Code]],RVGCodes[Code],RVGCodes[Base Units],"Code not found"))</f>
        <v>5</v>
      </c>
      <c r="C92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2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28" s="125" t="s">
        <v>2582</v>
      </c>
      <c r="F928" s="48" t="s">
        <v>2567</v>
      </c>
      <c r="G928" s="30" t="s">
        <v>706</v>
      </c>
      <c r="H928" s="37" t="s">
        <v>1095</v>
      </c>
      <c r="I928" s="79"/>
      <c r="J928" s="37" t="s">
        <v>1096</v>
      </c>
      <c r="K928" s="32">
        <v>5</v>
      </c>
      <c r="L928" s="32">
        <v>7</v>
      </c>
      <c r="M928" s="32">
        <v>0</v>
      </c>
      <c r="N928" s="32">
        <v>12</v>
      </c>
      <c r="O928" s="33">
        <v>660</v>
      </c>
      <c r="P928" s="38" t="s">
        <v>1014</v>
      </c>
      <c r="Q928" s="34" t="str">
        <f>IF(MasterFees[[#This Row],[GST Basis]]="Excl",MasterFees[[#This Row],[Fee as Printed]],IF(MasterFees[[#This Row],[GST Basis]]="Incl",MasterFees[[#This Row],[Fee as Printed]]/(1+GST_Rate),""))</f>
        <v/>
      </c>
      <c r="R928" s="34" t="str">
        <f>IF(MasterFees[[#This Row],[GST Basis]]="Incl",MasterFees[[#This Row],[Fee as Printed]],IF(MasterFees[[#This Row],[GST Basis]]="Excl",MasterFees[[#This Row],[Fee as Printed]]*(1+GST_Rate),""))</f>
        <v/>
      </c>
      <c r="S928" s="35">
        <f>IF(N(MasterFees[[#This Row],[Total Units]])=0,"",MasterFees[[#This Row],[Fee as Printed]]/MasterFees[[#This Row],[Total Units]])</f>
        <v>55</v>
      </c>
      <c r="T928" s="36"/>
      <c r="U928" s="39" t="s">
        <v>1012</v>
      </c>
      <c r="V928" s="39" t="s">
        <v>1803</v>
      </c>
      <c r="W928" s="30"/>
      <c r="X928" s="73" t="s">
        <v>3606</v>
      </c>
      <c r="Y928" s="127" t="str">
        <f>_xlfn.XLOOKUP(MasterFees[[#This Row],[Provider / Payer]],Contracts[Contract Name],Contracts[Contract ID],"No contract")</f>
        <v>CON-01</v>
      </c>
      <c r="Z928" s="127" t="str">
        <f>_xlfn.XLOOKUP(MasterFees[[#This Row],[Provider / Payer]],Contracts[Contract Name],Contracts[Pricing Basis],"To confirm")</f>
        <v>To confirm</v>
      </c>
      <c r="AA928" s="127" t="str">
        <f>IF(MasterFees[[#This Row],[Pricing Basis]]="Fixed fee schedule","Yes","No")</f>
        <v>No</v>
      </c>
      <c r="AB928" s="127" t="str">
        <f>IF(OR(MasterFees[[#This Row],[Fee Basis]]="Add-on",MasterFees[[#This Row],[Fee Basis]]="Time band",MasterFees[[#This Row],[Fee Basis]]="Other"),MasterFees[[#This Row],[Fee Basis]],"Base")</f>
        <v>Base</v>
      </c>
      <c r="AC928" s="141" t="str">
        <f>IF(MasterFees[[#This Row],[Fixed Fee?]]="Yes",MasterFees[[#This Row],[Fee Excl. GST]],"")</f>
        <v/>
      </c>
    </row>
    <row r="929" spans="1:29" x14ac:dyDescent="0.2">
      <c r="A929" s="67" t="s">
        <v>2347</v>
      </c>
      <c r="B929" s="31">
        <f>IF(MasterFees[[#This Row],[RVG Code]]="","",_xlfn.XLOOKUP(MasterFees[[#This Row],[RVG Code]],RVGCodes[Code],RVGCodes[Base Units],"Code not found"))</f>
        <v>4</v>
      </c>
      <c r="C92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2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29" s="125" t="s">
        <v>2580</v>
      </c>
      <c r="F929" s="48" t="s">
        <v>2567</v>
      </c>
      <c r="G929" s="30" t="s">
        <v>709</v>
      </c>
      <c r="H929" s="37" t="s">
        <v>1095</v>
      </c>
      <c r="I929" s="79"/>
      <c r="J929" s="37" t="s">
        <v>1096</v>
      </c>
      <c r="K929" s="32">
        <v>4.0999999999999996</v>
      </c>
      <c r="L929" s="32">
        <v>2.2000000000000002</v>
      </c>
      <c r="M929" s="32">
        <v>0.4</v>
      </c>
      <c r="N929" s="32">
        <v>6.6</v>
      </c>
      <c r="O929" s="33">
        <v>364.65</v>
      </c>
      <c r="P929" s="38" t="s">
        <v>1014</v>
      </c>
      <c r="Q929" s="34" t="str">
        <f>IF(MasterFees[[#This Row],[GST Basis]]="Excl",MasterFees[[#This Row],[Fee as Printed]],IF(MasterFees[[#This Row],[GST Basis]]="Incl",MasterFees[[#This Row],[Fee as Printed]]/(1+GST_Rate),""))</f>
        <v/>
      </c>
      <c r="R929" s="34" t="str">
        <f>IF(MasterFees[[#This Row],[GST Basis]]="Incl",MasterFees[[#This Row],[Fee as Printed]],IF(MasterFees[[#This Row],[GST Basis]]="Excl",MasterFees[[#This Row],[Fee as Printed]]*(1+GST_Rate),""))</f>
        <v/>
      </c>
      <c r="S929" s="35">
        <f>IF(N(MasterFees[[#This Row],[Total Units]])=0,"",MasterFees[[#This Row],[Fee as Printed]]/MasterFees[[#This Row],[Total Units]])</f>
        <v>55.25</v>
      </c>
      <c r="T929" s="36"/>
      <c r="U929" s="39" t="s">
        <v>1012</v>
      </c>
      <c r="V929" s="39" t="s">
        <v>1806</v>
      </c>
      <c r="W929" s="30"/>
      <c r="X929" s="73" t="s">
        <v>3609</v>
      </c>
      <c r="Y929" s="127" t="str">
        <f>_xlfn.XLOOKUP(MasterFees[[#This Row],[Provider / Payer]],Contracts[Contract Name],Contracts[Contract ID],"No contract")</f>
        <v>CON-01</v>
      </c>
      <c r="Z929" s="127" t="str">
        <f>_xlfn.XLOOKUP(MasterFees[[#This Row],[Provider / Payer]],Contracts[Contract Name],Contracts[Pricing Basis],"To confirm")</f>
        <v>To confirm</v>
      </c>
      <c r="AA929" s="127" t="str">
        <f>IF(MasterFees[[#This Row],[Pricing Basis]]="Fixed fee schedule","Yes","No")</f>
        <v>No</v>
      </c>
      <c r="AB929" s="127" t="str">
        <f>IF(OR(MasterFees[[#This Row],[Fee Basis]]="Add-on",MasterFees[[#This Row],[Fee Basis]]="Time band",MasterFees[[#This Row],[Fee Basis]]="Other"),MasterFees[[#This Row],[Fee Basis]],"Base")</f>
        <v>Base</v>
      </c>
      <c r="AC929" s="141" t="str">
        <f>IF(MasterFees[[#This Row],[Fixed Fee?]]="Yes",MasterFees[[#This Row],[Fee Excl. GST]],"")</f>
        <v/>
      </c>
    </row>
    <row r="930" spans="1:29" x14ac:dyDescent="0.2">
      <c r="A930" s="67" t="s">
        <v>2350</v>
      </c>
      <c r="B930" s="31">
        <f>IF(MasterFees[[#This Row],[RVG Code]]="","",_xlfn.XLOOKUP(MasterFees[[#This Row],[RVG Code]],RVGCodes[Code],RVGCodes[Base Units],"Code not found"))</f>
        <v>5</v>
      </c>
      <c r="C93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3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30" s="125" t="s">
        <v>2582</v>
      </c>
      <c r="F930" s="48" t="s">
        <v>2569</v>
      </c>
      <c r="G930" s="30" t="s">
        <v>710</v>
      </c>
      <c r="H930" s="37" t="s">
        <v>1095</v>
      </c>
      <c r="I930" s="79"/>
      <c r="J930" s="37" t="s">
        <v>1096</v>
      </c>
      <c r="K930" s="32">
        <v>0</v>
      </c>
      <c r="L930" s="32">
        <v>0</v>
      </c>
      <c r="M930" s="32">
        <v>0</v>
      </c>
      <c r="N930" s="32">
        <v>0</v>
      </c>
      <c r="O930" s="33">
        <v>0</v>
      </c>
      <c r="P930" s="38" t="s">
        <v>1014</v>
      </c>
      <c r="Q930" s="34" t="str">
        <f>IF(MasterFees[[#This Row],[GST Basis]]="Excl",MasterFees[[#This Row],[Fee as Printed]],IF(MasterFees[[#This Row],[GST Basis]]="Incl",MasterFees[[#This Row],[Fee as Printed]]/(1+GST_Rate),""))</f>
        <v/>
      </c>
      <c r="R930" s="34" t="str">
        <f>IF(MasterFees[[#This Row],[GST Basis]]="Incl",MasterFees[[#This Row],[Fee as Printed]],IF(MasterFees[[#This Row],[GST Basis]]="Excl",MasterFees[[#This Row],[Fee as Printed]]*(1+GST_Rate),""))</f>
        <v/>
      </c>
      <c r="S930" s="35" t="str">
        <f>IF(N(MasterFees[[#This Row],[Total Units]])=0,"",MasterFees[[#This Row],[Fee as Printed]]/MasterFees[[#This Row],[Total Units]])</f>
        <v/>
      </c>
      <c r="T930" s="36"/>
      <c r="U930" s="39" t="s">
        <v>1012</v>
      </c>
      <c r="V930" s="39" t="s">
        <v>1807</v>
      </c>
      <c r="W930" s="30"/>
      <c r="X930" s="73" t="s">
        <v>3610</v>
      </c>
      <c r="Y930" s="127" t="str">
        <f>_xlfn.XLOOKUP(MasterFees[[#This Row],[Provider / Payer]],Contracts[Contract Name],Contracts[Contract ID],"No contract")</f>
        <v>CON-01</v>
      </c>
      <c r="Z930" s="127" t="str">
        <f>_xlfn.XLOOKUP(MasterFees[[#This Row],[Provider / Payer]],Contracts[Contract Name],Contracts[Pricing Basis],"To confirm")</f>
        <v>To confirm</v>
      </c>
      <c r="AA930" s="127" t="str">
        <f>IF(MasterFees[[#This Row],[Pricing Basis]]="Fixed fee schedule","Yes","No")</f>
        <v>No</v>
      </c>
      <c r="AB930" s="127" t="str">
        <f>IF(OR(MasterFees[[#This Row],[Fee Basis]]="Add-on",MasterFees[[#This Row],[Fee Basis]]="Time band",MasterFees[[#This Row],[Fee Basis]]="Other"),MasterFees[[#This Row],[Fee Basis]],"Base")</f>
        <v>Base</v>
      </c>
      <c r="AC930" s="141" t="str">
        <f>IF(MasterFees[[#This Row],[Fixed Fee?]]="Yes",MasterFees[[#This Row],[Fee Excl. GST]],"")</f>
        <v/>
      </c>
    </row>
    <row r="931" spans="1:29" x14ac:dyDescent="0.2">
      <c r="A931" s="67" t="s">
        <v>2350</v>
      </c>
      <c r="B931" s="31">
        <f>IF(MasterFees[[#This Row],[RVG Code]]="","",_xlfn.XLOOKUP(MasterFees[[#This Row],[RVG Code]],RVGCodes[Code],RVGCodes[Base Units],"Code not found"))</f>
        <v>5</v>
      </c>
      <c r="C93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3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31" s="125" t="s">
        <v>2582</v>
      </c>
      <c r="F931" s="48" t="s">
        <v>2567</v>
      </c>
      <c r="G931" s="30" t="s">
        <v>796</v>
      </c>
      <c r="H931" s="37" t="s">
        <v>1095</v>
      </c>
      <c r="I931" s="37"/>
      <c r="J931" s="37" t="s">
        <v>1096</v>
      </c>
      <c r="K931" s="32">
        <v>5</v>
      </c>
      <c r="L931" s="32">
        <v>3</v>
      </c>
      <c r="M931" s="32">
        <v>0</v>
      </c>
      <c r="N931" s="32">
        <v>8</v>
      </c>
      <c r="O931" s="33">
        <v>440</v>
      </c>
      <c r="P931" s="38" t="s">
        <v>1014</v>
      </c>
      <c r="Q931" s="34" t="str">
        <f>IF(MasterFees[[#This Row],[GST Basis]]="Excl",MasterFees[[#This Row],[Fee as Printed]],IF(MasterFees[[#This Row],[GST Basis]]="Incl",MasterFees[[#This Row],[Fee as Printed]]/(1+GST_Rate),""))</f>
        <v/>
      </c>
      <c r="R931" s="34" t="str">
        <f>IF(MasterFees[[#This Row],[GST Basis]]="Incl",MasterFees[[#This Row],[Fee as Printed]],IF(MasterFees[[#This Row],[GST Basis]]="Excl",MasterFees[[#This Row],[Fee as Printed]]*(1+GST_Rate),""))</f>
        <v/>
      </c>
      <c r="S931" s="35">
        <f>IF(N(MasterFees[[#This Row],[Total Units]])=0,"",MasterFees[[#This Row],[Fee as Printed]]/MasterFees[[#This Row],[Total Units]])</f>
        <v>55</v>
      </c>
      <c r="T931" s="36"/>
      <c r="U931" s="39" t="s">
        <v>1012</v>
      </c>
      <c r="V931" s="39" t="s">
        <v>1899</v>
      </c>
      <c r="W931" s="30"/>
      <c r="X931" s="73" t="s">
        <v>3706</v>
      </c>
      <c r="Y931" s="127" t="str">
        <f>_xlfn.XLOOKUP(MasterFees[[#This Row],[Provider / Payer]],Contracts[Contract Name],Contracts[Contract ID],"No contract")</f>
        <v>CON-01</v>
      </c>
      <c r="Z931" s="127" t="str">
        <f>_xlfn.XLOOKUP(MasterFees[[#This Row],[Provider / Payer]],Contracts[Contract Name],Contracts[Pricing Basis],"To confirm")</f>
        <v>To confirm</v>
      </c>
      <c r="AA931" s="127" t="str">
        <f>IF(MasterFees[[#This Row],[Pricing Basis]]="Fixed fee schedule","Yes","No")</f>
        <v>No</v>
      </c>
      <c r="AB931" s="127" t="str">
        <f>IF(OR(MasterFees[[#This Row],[Fee Basis]]="Add-on",MasterFees[[#This Row],[Fee Basis]]="Time band",MasterFees[[#This Row],[Fee Basis]]="Other"),MasterFees[[#This Row],[Fee Basis]],"Base")</f>
        <v>Base</v>
      </c>
      <c r="AC931" s="141" t="str">
        <f>IF(MasterFees[[#This Row],[Fixed Fee?]]="Yes",MasterFees[[#This Row],[Fee Excl. GST]],"")</f>
        <v/>
      </c>
    </row>
    <row r="932" spans="1:29" x14ac:dyDescent="0.2">
      <c r="A932" s="67" t="s">
        <v>2347</v>
      </c>
      <c r="B932" s="31">
        <f>IF(MasterFees[[#This Row],[RVG Code]]="","",_xlfn.XLOOKUP(MasterFees[[#This Row],[RVG Code]],RVGCodes[Code],RVGCodes[Base Units],"Code not found"))</f>
        <v>4</v>
      </c>
      <c r="C93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3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32" s="125" t="s">
        <v>2580</v>
      </c>
      <c r="F932" s="48" t="s">
        <v>2569</v>
      </c>
      <c r="G932" s="30" t="s">
        <v>836</v>
      </c>
      <c r="H932" s="37" t="s">
        <v>1095</v>
      </c>
      <c r="I932" s="37"/>
      <c r="J932" s="37" t="s">
        <v>1096</v>
      </c>
      <c r="K932" s="32">
        <v>4</v>
      </c>
      <c r="L932" s="32">
        <v>4</v>
      </c>
      <c r="M932" s="32">
        <v>0.5</v>
      </c>
      <c r="N932" s="32">
        <v>8.5</v>
      </c>
      <c r="O932" s="33">
        <v>467.5</v>
      </c>
      <c r="P932" s="38" t="s">
        <v>1014</v>
      </c>
      <c r="Q932" s="34" t="str">
        <f>IF(MasterFees[[#This Row],[GST Basis]]="Excl",MasterFees[[#This Row],[Fee as Printed]],IF(MasterFees[[#This Row],[GST Basis]]="Incl",MasterFees[[#This Row],[Fee as Printed]]/(1+GST_Rate),""))</f>
        <v/>
      </c>
      <c r="R932" s="34" t="str">
        <f>IF(MasterFees[[#This Row],[GST Basis]]="Incl",MasterFees[[#This Row],[Fee as Printed]],IF(MasterFees[[#This Row],[GST Basis]]="Excl",MasterFees[[#This Row],[Fee as Printed]]*(1+GST_Rate),""))</f>
        <v/>
      </c>
      <c r="S932" s="35">
        <f>IF(N(MasterFees[[#This Row],[Total Units]])=0,"",MasterFees[[#This Row],[Fee as Printed]]/MasterFees[[#This Row],[Total Units]])</f>
        <v>55</v>
      </c>
      <c r="T932" s="36"/>
      <c r="U932" s="39" t="s">
        <v>1012</v>
      </c>
      <c r="V932" s="39" t="s">
        <v>1939</v>
      </c>
      <c r="W932" s="30"/>
      <c r="X932" s="73" t="s">
        <v>3749</v>
      </c>
      <c r="Y932" s="127" t="str">
        <f>_xlfn.XLOOKUP(MasterFees[[#This Row],[Provider / Payer]],Contracts[Contract Name],Contracts[Contract ID],"No contract")</f>
        <v>CON-01</v>
      </c>
      <c r="Z932" s="127" t="str">
        <f>_xlfn.XLOOKUP(MasterFees[[#This Row],[Provider / Payer]],Contracts[Contract Name],Contracts[Pricing Basis],"To confirm")</f>
        <v>To confirm</v>
      </c>
      <c r="AA932" s="127" t="str">
        <f>IF(MasterFees[[#This Row],[Pricing Basis]]="Fixed fee schedule","Yes","No")</f>
        <v>No</v>
      </c>
      <c r="AB932" s="127" t="str">
        <f>IF(OR(MasterFees[[#This Row],[Fee Basis]]="Add-on",MasterFees[[#This Row],[Fee Basis]]="Time band",MasterFees[[#This Row],[Fee Basis]]="Other"),MasterFees[[#This Row],[Fee Basis]],"Base")</f>
        <v>Base</v>
      </c>
      <c r="AC932" s="141" t="str">
        <f>IF(MasterFees[[#This Row],[Fixed Fee?]]="Yes",MasterFees[[#This Row],[Fee Excl. GST]],"")</f>
        <v/>
      </c>
    </row>
    <row r="933" spans="1:29" x14ac:dyDescent="0.2">
      <c r="A933" s="67" t="s">
        <v>2350</v>
      </c>
      <c r="B933" s="31">
        <f>IF(MasterFees[[#This Row],[RVG Code]]="","",_xlfn.XLOOKUP(MasterFees[[#This Row],[RVG Code]],RVGCodes[Code],RVGCodes[Base Units],"Code not found"))</f>
        <v>5</v>
      </c>
      <c r="C93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3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33" s="125" t="s">
        <v>2582</v>
      </c>
      <c r="F933" s="48" t="s">
        <v>2629</v>
      </c>
      <c r="G933" s="30" t="s">
        <v>2351</v>
      </c>
      <c r="H933" s="37" t="s">
        <v>2630</v>
      </c>
      <c r="I933" s="37" t="s">
        <v>2350</v>
      </c>
      <c r="J933" s="37" t="s">
        <v>1096</v>
      </c>
      <c r="K933" s="32">
        <v>5</v>
      </c>
      <c r="L933" s="32"/>
      <c r="M933" s="32"/>
      <c r="N933" s="32">
        <v>5</v>
      </c>
      <c r="O933" s="33"/>
      <c r="P933" s="38"/>
      <c r="Q933" s="34" t="str">
        <f>IF(MasterFees[[#This Row],[GST Basis]]="Excl",MasterFees[[#This Row],[Fee as Printed]],IF(MasterFees[[#This Row],[GST Basis]]="Incl",MasterFees[[#This Row],[Fee as Printed]]/(1+GST_Rate),""))</f>
        <v/>
      </c>
      <c r="R933" s="34" t="str">
        <f>IF(MasterFees[[#This Row],[GST Basis]]="Incl",MasterFees[[#This Row],[Fee as Printed]],IF(MasterFees[[#This Row],[GST Basis]]="Excl",MasterFees[[#This Row],[Fee as Printed]]*(1+GST_Rate),""))</f>
        <v/>
      </c>
      <c r="S933" s="35">
        <f>IF(N(MasterFees[[#This Row],[Total Units]])=0,"",MasterFees[[#This Row],[Fee as Printed]]/MasterFees[[#This Row],[Total Units]])</f>
        <v>0</v>
      </c>
      <c r="T933" s="36"/>
      <c r="U933" s="39" t="s">
        <v>1016</v>
      </c>
      <c r="V933" s="39" t="s">
        <v>2637</v>
      </c>
      <c r="W933" s="30" t="s">
        <v>2632</v>
      </c>
      <c r="X933" s="73" t="s">
        <v>3907</v>
      </c>
      <c r="Y933" s="127" t="str">
        <f>_xlfn.XLOOKUP(MasterFees[[#This Row],[Provider / Payer]],Contracts[Contract Name],Contracts[Contract ID],"No contract")</f>
        <v>CON-10</v>
      </c>
      <c r="Z933" s="127" t="str">
        <f>_xlfn.XLOOKUP(MasterFees[[#This Row],[Provider / Payer]],Contracts[Contract Name],Contracts[Pricing Basis],"To confirm")</f>
        <v>Reference – units only</v>
      </c>
      <c r="AA933" s="127" t="str">
        <f>IF(MasterFees[[#This Row],[Pricing Basis]]="Fixed fee schedule","Yes","No")</f>
        <v>No</v>
      </c>
      <c r="AB933" s="127" t="str">
        <f>IF(OR(MasterFees[[#This Row],[Fee Basis]]="Add-on",MasterFees[[#This Row],[Fee Basis]]="Time band",MasterFees[[#This Row],[Fee Basis]]="Other"),MasterFees[[#This Row],[Fee Basis]],"Base")</f>
        <v>Base</v>
      </c>
      <c r="AC933" s="141" t="str">
        <f>IF(MasterFees[[#This Row],[Fixed Fee?]]="Yes",MasterFees[[#This Row],[Fee Excl. GST]],"")</f>
        <v/>
      </c>
    </row>
    <row r="934" spans="1:29" x14ac:dyDescent="0.2">
      <c r="A934" s="67" t="s">
        <v>2347</v>
      </c>
      <c r="B934" s="31">
        <f>IF(MasterFees[[#This Row],[RVG Code]]="","",_xlfn.XLOOKUP(MasterFees[[#This Row],[RVG Code]],RVGCodes[Code],RVGCodes[Base Units],"Code not found"))</f>
        <v>4</v>
      </c>
      <c r="C93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3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34" s="125" t="s">
        <v>2580</v>
      </c>
      <c r="F934" s="48" t="s">
        <v>2567</v>
      </c>
      <c r="G934" s="30" t="s">
        <v>874</v>
      </c>
      <c r="H934" s="37" t="s">
        <v>1095</v>
      </c>
      <c r="I934" s="37"/>
      <c r="J934" s="37" t="s">
        <v>1096</v>
      </c>
      <c r="K934" s="32">
        <v>4.2</v>
      </c>
      <c r="L934" s="32">
        <v>2</v>
      </c>
      <c r="M934" s="32">
        <v>0.2</v>
      </c>
      <c r="N934" s="32">
        <v>6.4</v>
      </c>
      <c r="O934" s="33">
        <v>352</v>
      </c>
      <c r="P934" s="38" t="s">
        <v>1014</v>
      </c>
      <c r="Q934" s="34" t="str">
        <f>IF(MasterFees[[#This Row],[GST Basis]]="Excl",MasterFees[[#This Row],[Fee as Printed]],IF(MasterFees[[#This Row],[GST Basis]]="Incl",MasterFees[[#This Row],[Fee as Printed]]/(1+GST_Rate),""))</f>
        <v/>
      </c>
      <c r="R934" s="34" t="str">
        <f>IF(MasterFees[[#This Row],[GST Basis]]="Incl",MasterFees[[#This Row],[Fee as Printed]],IF(MasterFees[[#This Row],[GST Basis]]="Excl",MasterFees[[#This Row],[Fee as Printed]]*(1+GST_Rate),""))</f>
        <v/>
      </c>
      <c r="S934" s="35">
        <f>IF(N(MasterFees[[#This Row],[Total Units]])=0,"",MasterFees[[#This Row],[Fee as Printed]]/MasterFees[[#This Row],[Total Units]])</f>
        <v>55</v>
      </c>
      <c r="T934" s="36"/>
      <c r="U934" s="39" t="s">
        <v>1012</v>
      </c>
      <c r="V934" s="39" t="s">
        <v>1977</v>
      </c>
      <c r="W934" s="30"/>
      <c r="X934" s="73" t="s">
        <v>3794</v>
      </c>
      <c r="Y934" s="127" t="str">
        <f>_xlfn.XLOOKUP(MasterFees[[#This Row],[Provider / Payer]],Contracts[Contract Name],Contracts[Contract ID],"No contract")</f>
        <v>CON-01</v>
      </c>
      <c r="Z934" s="127" t="str">
        <f>_xlfn.XLOOKUP(MasterFees[[#This Row],[Provider / Payer]],Contracts[Contract Name],Contracts[Pricing Basis],"To confirm")</f>
        <v>To confirm</v>
      </c>
      <c r="AA934" s="127" t="str">
        <f>IF(MasterFees[[#This Row],[Pricing Basis]]="Fixed fee schedule","Yes","No")</f>
        <v>No</v>
      </c>
      <c r="AB934" s="127" t="str">
        <f>IF(OR(MasterFees[[#This Row],[Fee Basis]]="Add-on",MasterFees[[#This Row],[Fee Basis]]="Time band",MasterFees[[#This Row],[Fee Basis]]="Other"),MasterFees[[#This Row],[Fee Basis]],"Base")</f>
        <v>Base</v>
      </c>
      <c r="AC934" s="141" t="str">
        <f>IF(MasterFees[[#This Row],[Fixed Fee?]]="Yes",MasterFees[[#This Row],[Fee Excl. GST]],"")</f>
        <v/>
      </c>
    </row>
    <row r="935" spans="1:29" x14ac:dyDescent="0.2">
      <c r="A935" s="67" t="s">
        <v>2347</v>
      </c>
      <c r="B935" s="31">
        <f>IF(MasterFees[[#This Row],[RVG Code]]="","",_xlfn.XLOOKUP(MasterFees[[#This Row],[RVG Code]],RVGCodes[Code],RVGCodes[Base Units],"Code not found"))</f>
        <v>4</v>
      </c>
      <c r="C93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3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35" s="125" t="s">
        <v>2580</v>
      </c>
      <c r="F935" s="48" t="s">
        <v>2567</v>
      </c>
      <c r="G935" s="30" t="s">
        <v>880</v>
      </c>
      <c r="H935" s="37" t="s">
        <v>1095</v>
      </c>
      <c r="I935" s="37"/>
      <c r="J935" s="37" t="s">
        <v>1096</v>
      </c>
      <c r="K935" s="32">
        <v>4</v>
      </c>
      <c r="L935" s="32">
        <v>2</v>
      </c>
      <c r="M935" s="32">
        <v>0</v>
      </c>
      <c r="N935" s="32">
        <v>6</v>
      </c>
      <c r="O935" s="33">
        <v>330</v>
      </c>
      <c r="P935" s="38" t="s">
        <v>1014</v>
      </c>
      <c r="Q935" s="34" t="str">
        <f>IF(MasterFees[[#This Row],[GST Basis]]="Excl",MasterFees[[#This Row],[Fee as Printed]],IF(MasterFees[[#This Row],[GST Basis]]="Incl",MasterFees[[#This Row],[Fee as Printed]]/(1+GST_Rate),""))</f>
        <v/>
      </c>
      <c r="R935" s="34" t="str">
        <f>IF(MasterFees[[#This Row],[GST Basis]]="Incl",MasterFees[[#This Row],[Fee as Printed]],IF(MasterFees[[#This Row],[GST Basis]]="Excl",MasterFees[[#This Row],[Fee as Printed]]*(1+GST_Rate),""))</f>
        <v/>
      </c>
      <c r="S935" s="35">
        <f>IF(N(MasterFees[[#This Row],[Total Units]])=0,"",MasterFees[[#This Row],[Fee as Printed]]/MasterFees[[#This Row],[Total Units]])</f>
        <v>55</v>
      </c>
      <c r="T935" s="36"/>
      <c r="U935" s="39" t="s">
        <v>1012</v>
      </c>
      <c r="V935" s="39" t="s">
        <v>1983</v>
      </c>
      <c r="W935" s="30"/>
      <c r="X935" s="73" t="s">
        <v>3802</v>
      </c>
      <c r="Y935" s="127" t="str">
        <f>_xlfn.XLOOKUP(MasterFees[[#This Row],[Provider / Payer]],Contracts[Contract Name],Contracts[Contract ID],"No contract")</f>
        <v>CON-01</v>
      </c>
      <c r="Z935" s="127" t="str">
        <f>_xlfn.XLOOKUP(MasterFees[[#This Row],[Provider / Payer]],Contracts[Contract Name],Contracts[Pricing Basis],"To confirm")</f>
        <v>To confirm</v>
      </c>
      <c r="AA935" s="127" t="str">
        <f>IF(MasterFees[[#This Row],[Pricing Basis]]="Fixed fee schedule","Yes","No")</f>
        <v>No</v>
      </c>
      <c r="AB935" s="127" t="str">
        <f>IF(OR(MasterFees[[#This Row],[Fee Basis]]="Add-on",MasterFees[[#This Row],[Fee Basis]]="Time band",MasterFees[[#This Row],[Fee Basis]]="Other"),MasterFees[[#This Row],[Fee Basis]],"Base")</f>
        <v>Base</v>
      </c>
      <c r="AC935" s="141" t="str">
        <f>IF(MasterFees[[#This Row],[Fixed Fee?]]="Yes",MasterFees[[#This Row],[Fee Excl. GST]],"")</f>
        <v/>
      </c>
    </row>
    <row r="936" spans="1:29" x14ac:dyDescent="0.2">
      <c r="A936" s="67" t="s">
        <v>2350</v>
      </c>
      <c r="B936" s="31">
        <f>IF(MasterFees[[#This Row],[RVG Code]]="","",_xlfn.XLOOKUP(MasterFees[[#This Row],[RVG Code]],RVGCodes[Code],RVGCodes[Base Units],"Code not found"))</f>
        <v>5</v>
      </c>
      <c r="C93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3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36" s="125" t="s">
        <v>2582</v>
      </c>
      <c r="F936" s="48" t="s">
        <v>2567</v>
      </c>
      <c r="G936" s="30" t="s">
        <v>930</v>
      </c>
      <c r="H936" s="37" t="s">
        <v>1095</v>
      </c>
      <c r="I936" s="37"/>
      <c r="J936" s="37" t="s">
        <v>1096</v>
      </c>
      <c r="K936" s="32">
        <v>6</v>
      </c>
      <c r="L936" s="32">
        <v>5</v>
      </c>
      <c r="M936" s="32">
        <v>4</v>
      </c>
      <c r="N936" s="32">
        <v>15</v>
      </c>
      <c r="O936" s="33">
        <v>825</v>
      </c>
      <c r="P936" s="38" t="s">
        <v>1014</v>
      </c>
      <c r="Q936" s="34" t="str">
        <f>IF(MasterFees[[#This Row],[GST Basis]]="Excl",MasterFees[[#This Row],[Fee as Printed]],IF(MasterFees[[#This Row],[GST Basis]]="Incl",MasterFees[[#This Row],[Fee as Printed]]/(1+GST_Rate),""))</f>
        <v/>
      </c>
      <c r="R936" s="34" t="str">
        <f>IF(MasterFees[[#This Row],[GST Basis]]="Incl",MasterFees[[#This Row],[Fee as Printed]],IF(MasterFees[[#This Row],[GST Basis]]="Excl",MasterFees[[#This Row],[Fee as Printed]]*(1+GST_Rate),""))</f>
        <v/>
      </c>
      <c r="S936" s="35">
        <f>IF(N(MasterFees[[#This Row],[Total Units]])=0,"",MasterFees[[#This Row],[Fee as Printed]]/MasterFees[[#This Row],[Total Units]])</f>
        <v>55</v>
      </c>
      <c r="T936" s="36"/>
      <c r="U936" s="39" t="s">
        <v>1012</v>
      </c>
      <c r="V936" s="39" t="s">
        <v>2033</v>
      </c>
      <c r="W936" s="30"/>
      <c r="X936" s="73" t="s">
        <v>3864</v>
      </c>
      <c r="Y936" s="127" t="str">
        <f>_xlfn.XLOOKUP(MasterFees[[#This Row],[Provider / Payer]],Contracts[Contract Name],Contracts[Contract ID],"No contract")</f>
        <v>CON-01</v>
      </c>
      <c r="Z936" s="127" t="str">
        <f>_xlfn.XLOOKUP(MasterFees[[#This Row],[Provider / Payer]],Contracts[Contract Name],Contracts[Pricing Basis],"To confirm")</f>
        <v>To confirm</v>
      </c>
      <c r="AA936" s="127" t="str">
        <f>IF(MasterFees[[#This Row],[Pricing Basis]]="Fixed fee schedule","Yes","No")</f>
        <v>No</v>
      </c>
      <c r="AB936" s="127" t="str">
        <f>IF(OR(MasterFees[[#This Row],[Fee Basis]]="Add-on",MasterFees[[#This Row],[Fee Basis]]="Time band",MasterFees[[#This Row],[Fee Basis]]="Other"),MasterFees[[#This Row],[Fee Basis]],"Base")</f>
        <v>Base</v>
      </c>
      <c r="AC936" s="141" t="str">
        <f>IF(MasterFees[[#This Row],[Fixed Fee?]]="Yes",MasterFees[[#This Row],[Fee Excl. GST]],"")</f>
        <v/>
      </c>
    </row>
    <row r="937" spans="1:29" x14ac:dyDescent="0.2">
      <c r="A937" s="67" t="s">
        <v>2350</v>
      </c>
      <c r="B937" s="31">
        <f>IF(MasterFees[[#This Row],[RVG Code]]="","",_xlfn.XLOOKUP(MasterFees[[#This Row],[RVG Code]],RVGCodes[Code],RVGCodes[Base Units],"Code not found"))</f>
        <v>5</v>
      </c>
      <c r="C93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3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37" s="125" t="s">
        <v>2582</v>
      </c>
      <c r="F937" s="48" t="s">
        <v>2569</v>
      </c>
      <c r="G937" s="30" t="s">
        <v>937</v>
      </c>
      <c r="H937" s="37" t="s">
        <v>1095</v>
      </c>
      <c r="I937" s="37"/>
      <c r="J937" s="37" t="s">
        <v>1096</v>
      </c>
      <c r="K937" s="32">
        <v>5</v>
      </c>
      <c r="L937" s="32">
        <v>2.8</v>
      </c>
      <c r="M937" s="32">
        <v>1.8</v>
      </c>
      <c r="N937" s="32">
        <v>9.6</v>
      </c>
      <c r="O937" s="33">
        <v>528</v>
      </c>
      <c r="P937" s="38" t="s">
        <v>1014</v>
      </c>
      <c r="Q937" s="34" t="str">
        <f>IF(MasterFees[[#This Row],[GST Basis]]="Excl",MasterFees[[#This Row],[Fee as Printed]],IF(MasterFees[[#This Row],[GST Basis]]="Incl",MasterFees[[#This Row],[Fee as Printed]]/(1+GST_Rate),""))</f>
        <v/>
      </c>
      <c r="R937" s="34" t="str">
        <f>IF(MasterFees[[#This Row],[GST Basis]]="Incl",MasterFees[[#This Row],[Fee as Printed]],IF(MasterFees[[#This Row],[GST Basis]]="Excl",MasterFees[[#This Row],[Fee as Printed]]*(1+GST_Rate),""))</f>
        <v/>
      </c>
      <c r="S937" s="35">
        <f>IF(N(MasterFees[[#This Row],[Total Units]])=0,"",MasterFees[[#This Row],[Fee as Printed]]/MasterFees[[#This Row],[Total Units]])</f>
        <v>55</v>
      </c>
      <c r="T937" s="36"/>
      <c r="U937" s="39" t="s">
        <v>1012</v>
      </c>
      <c r="V937" s="39" t="s">
        <v>2040</v>
      </c>
      <c r="W937" s="30"/>
      <c r="X937" s="73" t="s">
        <v>3873</v>
      </c>
      <c r="Y937" s="127" t="str">
        <f>_xlfn.XLOOKUP(MasterFees[[#This Row],[Provider / Payer]],Contracts[Contract Name],Contracts[Contract ID],"No contract")</f>
        <v>CON-01</v>
      </c>
      <c r="Z937" s="127" t="str">
        <f>_xlfn.XLOOKUP(MasterFees[[#This Row],[Provider / Payer]],Contracts[Contract Name],Contracts[Pricing Basis],"To confirm")</f>
        <v>To confirm</v>
      </c>
      <c r="AA937" s="127" t="str">
        <f>IF(MasterFees[[#This Row],[Pricing Basis]]="Fixed fee schedule","Yes","No")</f>
        <v>No</v>
      </c>
      <c r="AB937" s="127" t="str">
        <f>IF(OR(MasterFees[[#This Row],[Fee Basis]]="Add-on",MasterFees[[#This Row],[Fee Basis]]="Time band",MasterFees[[#This Row],[Fee Basis]]="Other"),MasterFees[[#This Row],[Fee Basis]],"Base")</f>
        <v>Base</v>
      </c>
      <c r="AC937" s="141" t="str">
        <f>IF(MasterFees[[#This Row],[Fixed Fee?]]="Yes",MasterFees[[#This Row],[Fee Excl. GST]],"")</f>
        <v/>
      </c>
    </row>
    <row r="938" spans="1:29" x14ac:dyDescent="0.2">
      <c r="A938" s="67" t="s">
        <v>2350</v>
      </c>
      <c r="B938" s="31">
        <f>IF(MasterFees[[#This Row],[RVG Code]]="","",_xlfn.XLOOKUP(MasterFees[[#This Row],[RVG Code]],RVGCodes[Code],RVGCodes[Base Units],"Code not found"))</f>
        <v>5</v>
      </c>
      <c r="C93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3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38" s="125" t="s">
        <v>2582</v>
      </c>
      <c r="F938" s="48" t="s">
        <v>2569</v>
      </c>
      <c r="G938" s="30" t="s">
        <v>939</v>
      </c>
      <c r="H938" s="37" t="s">
        <v>1095</v>
      </c>
      <c r="I938" s="37"/>
      <c r="J938" s="37" t="s">
        <v>1096</v>
      </c>
      <c r="K938" s="32">
        <v>4.5</v>
      </c>
      <c r="L938" s="32">
        <v>2.9</v>
      </c>
      <c r="M938" s="32">
        <v>1.4</v>
      </c>
      <c r="N938" s="32">
        <v>8.8000000000000007</v>
      </c>
      <c r="O938" s="33">
        <v>485.65</v>
      </c>
      <c r="P938" s="38" t="s">
        <v>1014</v>
      </c>
      <c r="Q938" s="34" t="str">
        <f>IF(MasterFees[[#This Row],[GST Basis]]="Excl",MasterFees[[#This Row],[Fee as Printed]],IF(MasterFees[[#This Row],[GST Basis]]="Incl",MasterFees[[#This Row],[Fee as Printed]]/(1+GST_Rate),""))</f>
        <v/>
      </c>
      <c r="R938" s="34" t="str">
        <f>IF(MasterFees[[#This Row],[GST Basis]]="Incl",MasterFees[[#This Row],[Fee as Printed]],IF(MasterFees[[#This Row],[GST Basis]]="Excl",MasterFees[[#This Row],[Fee as Printed]]*(1+GST_Rate),""))</f>
        <v/>
      </c>
      <c r="S938" s="35">
        <f>IF(N(MasterFees[[#This Row],[Total Units]])=0,"",MasterFees[[#This Row],[Fee as Printed]]/MasterFees[[#This Row],[Total Units]])</f>
        <v>55.187499999999993</v>
      </c>
      <c r="T938" s="36"/>
      <c r="U938" s="39" t="s">
        <v>1012</v>
      </c>
      <c r="V938" s="39" t="s">
        <v>2042</v>
      </c>
      <c r="W938" s="30"/>
      <c r="X938" s="73" t="s">
        <v>3875</v>
      </c>
      <c r="Y938" s="127" t="str">
        <f>_xlfn.XLOOKUP(MasterFees[[#This Row],[Provider / Payer]],Contracts[Contract Name],Contracts[Contract ID],"No contract")</f>
        <v>CON-01</v>
      </c>
      <c r="Z938" s="127" t="str">
        <f>_xlfn.XLOOKUP(MasterFees[[#This Row],[Provider / Payer]],Contracts[Contract Name],Contracts[Pricing Basis],"To confirm")</f>
        <v>To confirm</v>
      </c>
      <c r="AA938" s="127" t="str">
        <f>IF(MasterFees[[#This Row],[Pricing Basis]]="Fixed fee schedule","Yes","No")</f>
        <v>No</v>
      </c>
      <c r="AB938" s="127" t="str">
        <f>IF(OR(MasterFees[[#This Row],[Fee Basis]]="Add-on",MasterFees[[#This Row],[Fee Basis]]="Time band",MasterFees[[#This Row],[Fee Basis]]="Other"),MasterFees[[#This Row],[Fee Basis]],"Base")</f>
        <v>Base</v>
      </c>
      <c r="AC938" s="141" t="str">
        <f>IF(MasterFees[[#This Row],[Fixed Fee?]]="Yes",MasterFees[[#This Row],[Fee Excl. GST]],"")</f>
        <v/>
      </c>
    </row>
    <row r="939" spans="1:29" x14ac:dyDescent="0.2">
      <c r="A939" s="67" t="s">
        <v>2350</v>
      </c>
      <c r="B939" s="31">
        <f>IF(MasterFees[[#This Row],[RVG Code]]="","",_xlfn.XLOOKUP(MasterFees[[#This Row],[RVG Code]],RVGCodes[Code],RVGCodes[Base Units],"Code not found"))</f>
        <v>5</v>
      </c>
      <c r="C93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3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39" s="125" t="s">
        <v>2582</v>
      </c>
      <c r="F939" s="48" t="s">
        <v>2569</v>
      </c>
      <c r="G939" s="30" t="s">
        <v>940</v>
      </c>
      <c r="H939" s="37" t="s">
        <v>1095</v>
      </c>
      <c r="I939" s="37"/>
      <c r="J939" s="37" t="s">
        <v>1096</v>
      </c>
      <c r="K939" s="32">
        <v>4.7</v>
      </c>
      <c r="L939" s="32">
        <v>3</v>
      </c>
      <c r="M939" s="32">
        <v>2.2999999999999998</v>
      </c>
      <c r="N939" s="32">
        <v>10</v>
      </c>
      <c r="O939" s="33">
        <v>549.45000000000005</v>
      </c>
      <c r="P939" s="38" t="s">
        <v>1014</v>
      </c>
      <c r="Q939" s="34" t="str">
        <f>IF(MasterFees[[#This Row],[GST Basis]]="Excl",MasterFees[[#This Row],[Fee as Printed]],IF(MasterFees[[#This Row],[GST Basis]]="Incl",MasterFees[[#This Row],[Fee as Printed]]/(1+GST_Rate),""))</f>
        <v/>
      </c>
      <c r="R939" s="34" t="str">
        <f>IF(MasterFees[[#This Row],[GST Basis]]="Incl",MasterFees[[#This Row],[Fee as Printed]],IF(MasterFees[[#This Row],[GST Basis]]="Excl",MasterFees[[#This Row],[Fee as Printed]]*(1+GST_Rate),""))</f>
        <v/>
      </c>
      <c r="S939" s="35">
        <f>IF(N(MasterFees[[#This Row],[Total Units]])=0,"",MasterFees[[#This Row],[Fee as Printed]]/MasterFees[[#This Row],[Total Units]])</f>
        <v>54.945000000000007</v>
      </c>
      <c r="T939" s="36"/>
      <c r="U939" s="39" t="s">
        <v>1012</v>
      </c>
      <c r="V939" s="39" t="s">
        <v>2043</v>
      </c>
      <c r="W939" s="30"/>
      <c r="X939" s="73" t="s">
        <v>3876</v>
      </c>
      <c r="Y939" s="127" t="str">
        <f>_xlfn.XLOOKUP(MasterFees[[#This Row],[Provider / Payer]],Contracts[Contract Name],Contracts[Contract ID],"No contract")</f>
        <v>CON-01</v>
      </c>
      <c r="Z939" s="127" t="str">
        <f>_xlfn.XLOOKUP(MasterFees[[#This Row],[Provider / Payer]],Contracts[Contract Name],Contracts[Pricing Basis],"To confirm")</f>
        <v>To confirm</v>
      </c>
      <c r="AA939" s="127" t="str">
        <f>IF(MasterFees[[#This Row],[Pricing Basis]]="Fixed fee schedule","Yes","No")</f>
        <v>No</v>
      </c>
      <c r="AB939" s="127" t="str">
        <f>IF(OR(MasterFees[[#This Row],[Fee Basis]]="Add-on",MasterFees[[#This Row],[Fee Basis]]="Time band",MasterFees[[#This Row],[Fee Basis]]="Other"),MasterFees[[#This Row],[Fee Basis]],"Base")</f>
        <v>Base</v>
      </c>
      <c r="AC939" s="141" t="str">
        <f>IF(MasterFees[[#This Row],[Fixed Fee?]]="Yes",MasterFees[[#This Row],[Fee Excl. GST]],"")</f>
        <v/>
      </c>
    </row>
    <row r="940" spans="1:29" x14ac:dyDescent="0.2">
      <c r="A940" s="67" t="s">
        <v>2350</v>
      </c>
      <c r="B940" s="31">
        <f>IF(MasterFees[[#This Row],[RVG Code]]="","",_xlfn.XLOOKUP(MasterFees[[#This Row],[RVG Code]],RVGCodes[Code],RVGCodes[Base Units],"Code not found"))</f>
        <v>5</v>
      </c>
      <c r="C94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4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40" s="125" t="s">
        <v>2582</v>
      </c>
      <c r="F940" s="48" t="s">
        <v>2567</v>
      </c>
      <c r="G940" s="30" t="s">
        <v>942</v>
      </c>
      <c r="H940" s="37" t="s">
        <v>1095</v>
      </c>
      <c r="I940" s="37"/>
      <c r="J940" s="37" t="s">
        <v>1096</v>
      </c>
      <c r="K940" s="32">
        <v>4.8</v>
      </c>
      <c r="L940" s="32">
        <v>4.5999999999999996</v>
      </c>
      <c r="M940" s="32">
        <v>0.2</v>
      </c>
      <c r="N940" s="32">
        <v>9.6</v>
      </c>
      <c r="O940" s="33">
        <v>529.65</v>
      </c>
      <c r="P940" s="38" t="s">
        <v>1014</v>
      </c>
      <c r="Q940" s="34" t="str">
        <f>IF(MasterFees[[#This Row],[GST Basis]]="Excl",MasterFees[[#This Row],[Fee as Printed]],IF(MasterFees[[#This Row],[GST Basis]]="Incl",MasterFees[[#This Row],[Fee as Printed]]/(1+GST_Rate),""))</f>
        <v/>
      </c>
      <c r="R940" s="34" t="str">
        <f>IF(MasterFees[[#This Row],[GST Basis]]="Incl",MasterFees[[#This Row],[Fee as Printed]],IF(MasterFees[[#This Row],[GST Basis]]="Excl",MasterFees[[#This Row],[Fee as Printed]]*(1+GST_Rate),""))</f>
        <v/>
      </c>
      <c r="S940" s="35">
        <f>IF(N(MasterFees[[#This Row],[Total Units]])=0,"",MasterFees[[#This Row],[Fee as Printed]]/MasterFees[[#This Row],[Total Units]])</f>
        <v>55.171875</v>
      </c>
      <c r="T940" s="36"/>
      <c r="U940" s="39" t="s">
        <v>1012</v>
      </c>
      <c r="V940" s="39" t="s">
        <v>2045</v>
      </c>
      <c r="W940" s="30"/>
      <c r="X940" s="73" t="s">
        <v>3879</v>
      </c>
      <c r="Y940" s="127" t="str">
        <f>_xlfn.XLOOKUP(MasterFees[[#This Row],[Provider / Payer]],Contracts[Contract Name],Contracts[Contract ID],"No contract")</f>
        <v>CON-01</v>
      </c>
      <c r="Z940" s="127" t="str">
        <f>_xlfn.XLOOKUP(MasterFees[[#This Row],[Provider / Payer]],Contracts[Contract Name],Contracts[Pricing Basis],"To confirm")</f>
        <v>To confirm</v>
      </c>
      <c r="AA940" s="127" t="str">
        <f>IF(MasterFees[[#This Row],[Pricing Basis]]="Fixed fee schedule","Yes","No")</f>
        <v>No</v>
      </c>
      <c r="AB940" s="127" t="str">
        <f>IF(OR(MasterFees[[#This Row],[Fee Basis]]="Add-on",MasterFees[[#This Row],[Fee Basis]]="Time band",MasterFees[[#This Row],[Fee Basis]]="Other"),MasterFees[[#This Row],[Fee Basis]],"Base")</f>
        <v>Base</v>
      </c>
      <c r="AC940" s="141" t="str">
        <f>IF(MasterFees[[#This Row],[Fixed Fee?]]="Yes",MasterFees[[#This Row],[Fee Excl. GST]],"")</f>
        <v/>
      </c>
    </row>
    <row r="941" spans="1:29" x14ac:dyDescent="0.2">
      <c r="A941" s="67" t="s">
        <v>2350</v>
      </c>
      <c r="B941" s="31">
        <f>IF(MasterFees[[#This Row],[RVG Code]]="","",_xlfn.XLOOKUP(MasterFees[[#This Row],[RVG Code]],RVGCodes[Code],RVGCodes[Base Units],"Code not found"))</f>
        <v>5</v>
      </c>
      <c r="C94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4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41" s="125" t="s">
        <v>2582</v>
      </c>
      <c r="F941" s="48" t="s">
        <v>2567</v>
      </c>
      <c r="G941" s="30" t="s">
        <v>943</v>
      </c>
      <c r="H941" s="37" t="s">
        <v>1095</v>
      </c>
      <c r="I941" s="37"/>
      <c r="J941" s="37" t="s">
        <v>1096</v>
      </c>
      <c r="K941" s="32">
        <v>4.7</v>
      </c>
      <c r="L941" s="32">
        <v>3.9</v>
      </c>
      <c r="M941" s="32">
        <v>0.7</v>
      </c>
      <c r="N941" s="32">
        <v>9.3000000000000007</v>
      </c>
      <c r="O941" s="33">
        <v>508.75</v>
      </c>
      <c r="P941" s="38" t="s">
        <v>1014</v>
      </c>
      <c r="Q941" s="34" t="str">
        <f>IF(MasterFees[[#This Row],[GST Basis]]="Excl",MasterFees[[#This Row],[Fee as Printed]],IF(MasterFees[[#This Row],[GST Basis]]="Incl",MasterFees[[#This Row],[Fee as Printed]]/(1+GST_Rate),""))</f>
        <v/>
      </c>
      <c r="R941" s="34" t="str">
        <f>IF(MasterFees[[#This Row],[GST Basis]]="Incl",MasterFees[[#This Row],[Fee as Printed]],IF(MasterFees[[#This Row],[GST Basis]]="Excl",MasterFees[[#This Row],[Fee as Printed]]*(1+GST_Rate),""))</f>
        <v/>
      </c>
      <c r="S941" s="35">
        <f>IF(N(MasterFees[[#This Row],[Total Units]])=0,"",MasterFees[[#This Row],[Fee as Printed]]/MasterFees[[#This Row],[Total Units]])</f>
        <v>54.704301075268816</v>
      </c>
      <c r="T941" s="36"/>
      <c r="U941" s="39" t="s">
        <v>1012</v>
      </c>
      <c r="V941" s="39" t="s">
        <v>2046</v>
      </c>
      <c r="W941" s="30"/>
      <c r="X941" s="73" t="s">
        <v>3880</v>
      </c>
      <c r="Y941" s="127" t="str">
        <f>_xlfn.XLOOKUP(MasterFees[[#This Row],[Provider / Payer]],Contracts[Contract Name],Contracts[Contract ID],"No contract")</f>
        <v>CON-01</v>
      </c>
      <c r="Z941" s="127" t="str">
        <f>_xlfn.XLOOKUP(MasterFees[[#This Row],[Provider / Payer]],Contracts[Contract Name],Contracts[Pricing Basis],"To confirm")</f>
        <v>To confirm</v>
      </c>
      <c r="AA941" s="127" t="str">
        <f>IF(MasterFees[[#This Row],[Pricing Basis]]="Fixed fee schedule","Yes","No")</f>
        <v>No</v>
      </c>
      <c r="AB941" s="127" t="str">
        <f>IF(OR(MasterFees[[#This Row],[Fee Basis]]="Add-on",MasterFees[[#This Row],[Fee Basis]]="Time band",MasterFees[[#This Row],[Fee Basis]]="Other"),MasterFees[[#This Row],[Fee Basis]],"Base")</f>
        <v>Base</v>
      </c>
      <c r="AC941" s="141" t="str">
        <f>IF(MasterFees[[#This Row],[Fixed Fee?]]="Yes",MasterFees[[#This Row],[Fee Excl. GST]],"")</f>
        <v/>
      </c>
    </row>
    <row r="942" spans="1:29" x14ac:dyDescent="0.2">
      <c r="A942" s="67" t="s">
        <v>2350</v>
      </c>
      <c r="B942" s="31">
        <f>IF(MasterFees[[#This Row],[RVG Code]]="","",_xlfn.XLOOKUP(MasterFees[[#This Row],[RVG Code]],RVGCodes[Code],RVGCodes[Base Units],"Code not found"))</f>
        <v>5</v>
      </c>
      <c r="C94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4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42" s="125" t="s">
        <v>2582</v>
      </c>
      <c r="F942" s="48" t="s">
        <v>2567</v>
      </c>
      <c r="G942" s="30" t="s">
        <v>944</v>
      </c>
      <c r="H942" s="37" t="s">
        <v>1095</v>
      </c>
      <c r="I942" s="37"/>
      <c r="J942" s="37" t="s">
        <v>1096</v>
      </c>
      <c r="K942" s="32">
        <v>0</v>
      </c>
      <c r="L942" s="32">
        <v>0</v>
      </c>
      <c r="M942" s="32">
        <v>0</v>
      </c>
      <c r="N942" s="32">
        <v>0</v>
      </c>
      <c r="O942" s="33">
        <v>0</v>
      </c>
      <c r="P942" s="38" t="s">
        <v>1014</v>
      </c>
      <c r="Q942" s="34" t="str">
        <f>IF(MasterFees[[#This Row],[GST Basis]]="Excl",MasterFees[[#This Row],[Fee as Printed]],IF(MasterFees[[#This Row],[GST Basis]]="Incl",MasterFees[[#This Row],[Fee as Printed]]/(1+GST_Rate),""))</f>
        <v/>
      </c>
      <c r="R942" s="34" t="str">
        <f>IF(MasterFees[[#This Row],[GST Basis]]="Incl",MasterFees[[#This Row],[Fee as Printed]],IF(MasterFees[[#This Row],[GST Basis]]="Excl",MasterFees[[#This Row],[Fee as Printed]]*(1+GST_Rate),""))</f>
        <v/>
      </c>
      <c r="S942" s="35" t="str">
        <f>IF(N(MasterFees[[#This Row],[Total Units]])=0,"",MasterFees[[#This Row],[Fee as Printed]]/MasterFees[[#This Row],[Total Units]])</f>
        <v/>
      </c>
      <c r="T942" s="36"/>
      <c r="U942" s="39" t="s">
        <v>1012</v>
      </c>
      <c r="V942" s="39" t="s">
        <v>2047</v>
      </c>
      <c r="W942" s="30"/>
      <c r="X942" s="73" t="s">
        <v>3881</v>
      </c>
      <c r="Y942" s="127" t="str">
        <f>_xlfn.XLOOKUP(MasterFees[[#This Row],[Provider / Payer]],Contracts[Contract Name],Contracts[Contract ID],"No contract")</f>
        <v>CON-01</v>
      </c>
      <c r="Z942" s="127" t="str">
        <f>_xlfn.XLOOKUP(MasterFees[[#This Row],[Provider / Payer]],Contracts[Contract Name],Contracts[Pricing Basis],"To confirm")</f>
        <v>To confirm</v>
      </c>
      <c r="AA942" s="127" t="str">
        <f>IF(MasterFees[[#This Row],[Pricing Basis]]="Fixed fee schedule","Yes","No")</f>
        <v>No</v>
      </c>
      <c r="AB942" s="127" t="str">
        <f>IF(OR(MasterFees[[#This Row],[Fee Basis]]="Add-on",MasterFees[[#This Row],[Fee Basis]]="Time band",MasterFees[[#This Row],[Fee Basis]]="Other"),MasterFees[[#This Row],[Fee Basis]],"Base")</f>
        <v>Base</v>
      </c>
      <c r="AC942" s="141" t="str">
        <f>IF(MasterFees[[#This Row],[Fixed Fee?]]="Yes",MasterFees[[#This Row],[Fee Excl. GST]],"")</f>
        <v/>
      </c>
    </row>
    <row r="943" spans="1:29" x14ac:dyDescent="0.2">
      <c r="A943" s="67" t="s">
        <v>2350</v>
      </c>
      <c r="B943" s="31">
        <f>IF(MasterFees[[#This Row],[RVG Code]]="","",_xlfn.XLOOKUP(MasterFees[[#This Row],[RVG Code]],RVGCodes[Code],RVGCodes[Base Units],"Code not found"))</f>
        <v>5</v>
      </c>
      <c r="C94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4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43" s="125" t="s">
        <v>2582</v>
      </c>
      <c r="F943" s="48" t="s">
        <v>2567</v>
      </c>
      <c r="G943" s="30" t="s">
        <v>953</v>
      </c>
      <c r="H943" s="37" t="s">
        <v>1095</v>
      </c>
      <c r="I943" s="37"/>
      <c r="J943" s="37" t="s">
        <v>1096</v>
      </c>
      <c r="K943" s="32">
        <v>4.8</v>
      </c>
      <c r="L943" s="32">
        <v>4.4000000000000004</v>
      </c>
      <c r="M943" s="32">
        <v>0.9</v>
      </c>
      <c r="N943" s="32">
        <v>10</v>
      </c>
      <c r="O943" s="33">
        <v>552.20000000000005</v>
      </c>
      <c r="P943" s="38" t="s">
        <v>1014</v>
      </c>
      <c r="Q943" s="34" t="str">
        <f>IF(MasterFees[[#This Row],[GST Basis]]="Excl",MasterFees[[#This Row],[Fee as Printed]],IF(MasterFees[[#This Row],[GST Basis]]="Incl",MasterFees[[#This Row],[Fee as Printed]]/(1+GST_Rate),""))</f>
        <v/>
      </c>
      <c r="R943" s="34" t="str">
        <f>IF(MasterFees[[#This Row],[GST Basis]]="Incl",MasterFees[[#This Row],[Fee as Printed]],IF(MasterFees[[#This Row],[GST Basis]]="Excl",MasterFees[[#This Row],[Fee as Printed]]*(1+GST_Rate),""))</f>
        <v/>
      </c>
      <c r="S943" s="35">
        <f>IF(N(MasterFees[[#This Row],[Total Units]])=0,"",MasterFees[[#This Row],[Fee as Printed]]/MasterFees[[#This Row],[Total Units]])</f>
        <v>55.220000000000006</v>
      </c>
      <c r="T943" s="36"/>
      <c r="U943" s="39" t="s">
        <v>1012</v>
      </c>
      <c r="V943" s="39" t="s">
        <v>2056</v>
      </c>
      <c r="W943" s="30"/>
      <c r="X943" s="73" t="s">
        <v>3893</v>
      </c>
      <c r="Y943" s="127" t="str">
        <f>_xlfn.XLOOKUP(MasterFees[[#This Row],[Provider / Payer]],Contracts[Contract Name],Contracts[Contract ID],"No contract")</f>
        <v>CON-01</v>
      </c>
      <c r="Z943" s="127" t="str">
        <f>_xlfn.XLOOKUP(MasterFees[[#This Row],[Provider / Payer]],Contracts[Contract Name],Contracts[Pricing Basis],"To confirm")</f>
        <v>To confirm</v>
      </c>
      <c r="AA943" s="127" t="str">
        <f>IF(MasterFees[[#This Row],[Pricing Basis]]="Fixed fee schedule","Yes","No")</f>
        <v>No</v>
      </c>
      <c r="AB943" s="127" t="str">
        <f>IF(OR(MasterFees[[#This Row],[Fee Basis]]="Add-on",MasterFees[[#This Row],[Fee Basis]]="Time band",MasterFees[[#This Row],[Fee Basis]]="Other"),MasterFees[[#This Row],[Fee Basis]],"Base")</f>
        <v>Base</v>
      </c>
      <c r="AC943" s="141" t="str">
        <f>IF(MasterFees[[#This Row],[Fixed Fee?]]="Yes",MasterFees[[#This Row],[Fee Excl. GST]],"")</f>
        <v/>
      </c>
    </row>
    <row r="944" spans="1:29" x14ac:dyDescent="0.2">
      <c r="A944" s="67" t="s">
        <v>2350</v>
      </c>
      <c r="B944" s="31">
        <f>IF(MasterFees[[#This Row],[RVG Code]]="","",_xlfn.XLOOKUP(MasterFees[[#This Row],[RVG Code]],RVGCodes[Code],RVGCodes[Base Units],"Code not found"))</f>
        <v>5</v>
      </c>
      <c r="C94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4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44" s="125" t="s">
        <v>2582</v>
      </c>
      <c r="F944" s="48" t="s">
        <v>2569</v>
      </c>
      <c r="G944" s="30" t="s">
        <v>954</v>
      </c>
      <c r="H944" s="37" t="s">
        <v>1095</v>
      </c>
      <c r="I944" s="37"/>
      <c r="J944" s="37" t="s">
        <v>1096</v>
      </c>
      <c r="K944" s="32">
        <v>4.7</v>
      </c>
      <c r="L944" s="32">
        <v>4.2</v>
      </c>
      <c r="M944" s="32">
        <v>0.7</v>
      </c>
      <c r="N944" s="32">
        <v>9.6</v>
      </c>
      <c r="O944" s="33">
        <v>525.25</v>
      </c>
      <c r="P944" s="38" t="s">
        <v>1014</v>
      </c>
      <c r="Q944" s="34" t="str">
        <f>IF(MasterFees[[#This Row],[GST Basis]]="Excl",MasterFees[[#This Row],[Fee as Printed]],IF(MasterFees[[#This Row],[GST Basis]]="Incl",MasterFees[[#This Row],[Fee as Printed]]/(1+GST_Rate),""))</f>
        <v/>
      </c>
      <c r="R944" s="34" t="str">
        <f>IF(MasterFees[[#This Row],[GST Basis]]="Incl",MasterFees[[#This Row],[Fee as Printed]],IF(MasterFees[[#This Row],[GST Basis]]="Excl",MasterFees[[#This Row],[Fee as Printed]]*(1+GST_Rate),""))</f>
        <v/>
      </c>
      <c r="S944" s="35">
        <f>IF(N(MasterFees[[#This Row],[Total Units]])=0,"",MasterFees[[#This Row],[Fee as Printed]]/MasterFees[[#This Row],[Total Units]])</f>
        <v>54.713541666666671</v>
      </c>
      <c r="T944" s="36"/>
      <c r="U944" s="39" t="s">
        <v>1012</v>
      </c>
      <c r="V944" s="39" t="s">
        <v>2057</v>
      </c>
      <c r="W944" s="30"/>
      <c r="X944" s="73" t="s">
        <v>3894</v>
      </c>
      <c r="Y944" s="127" t="str">
        <f>_xlfn.XLOOKUP(MasterFees[[#This Row],[Provider / Payer]],Contracts[Contract Name],Contracts[Contract ID],"No contract")</f>
        <v>CON-01</v>
      </c>
      <c r="Z944" s="127" t="str">
        <f>_xlfn.XLOOKUP(MasterFees[[#This Row],[Provider / Payer]],Contracts[Contract Name],Contracts[Pricing Basis],"To confirm")</f>
        <v>To confirm</v>
      </c>
      <c r="AA944" s="127" t="str">
        <f>IF(MasterFees[[#This Row],[Pricing Basis]]="Fixed fee schedule","Yes","No")</f>
        <v>No</v>
      </c>
      <c r="AB944" s="127" t="str">
        <f>IF(OR(MasterFees[[#This Row],[Fee Basis]]="Add-on",MasterFees[[#This Row],[Fee Basis]]="Time band",MasterFees[[#This Row],[Fee Basis]]="Other"),MasterFees[[#This Row],[Fee Basis]],"Base")</f>
        <v>Base</v>
      </c>
      <c r="AC944" s="141" t="str">
        <f>IF(MasterFees[[#This Row],[Fixed Fee?]]="Yes",MasterFees[[#This Row],[Fee Excl. GST]],"")</f>
        <v/>
      </c>
    </row>
    <row r="945" spans="1:29" x14ac:dyDescent="0.2">
      <c r="A945" s="67" t="s">
        <v>2350</v>
      </c>
      <c r="B945" s="31">
        <f>IF(MasterFees[[#This Row],[RVG Code]]="","",_xlfn.XLOOKUP(MasterFees[[#This Row],[RVG Code]],RVGCodes[Code],RVGCodes[Base Units],"Code not found"))</f>
        <v>5</v>
      </c>
      <c r="C94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4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45" s="125" t="s">
        <v>2582</v>
      </c>
      <c r="F945" s="48" t="s">
        <v>2569</v>
      </c>
      <c r="G945" s="30" t="s">
        <v>955</v>
      </c>
      <c r="H945" s="37" t="s">
        <v>1095</v>
      </c>
      <c r="I945" s="37"/>
      <c r="J945" s="37" t="s">
        <v>1096</v>
      </c>
      <c r="K945" s="32">
        <v>5.3</v>
      </c>
      <c r="L945" s="32">
        <v>6.7</v>
      </c>
      <c r="M945" s="32">
        <v>0.9</v>
      </c>
      <c r="N945" s="32">
        <v>13</v>
      </c>
      <c r="O945" s="33">
        <v>713.9</v>
      </c>
      <c r="P945" s="38" t="s">
        <v>1014</v>
      </c>
      <c r="Q945" s="34" t="str">
        <f>IF(MasterFees[[#This Row],[GST Basis]]="Excl",MasterFees[[#This Row],[Fee as Printed]],IF(MasterFees[[#This Row],[GST Basis]]="Incl",MasterFees[[#This Row],[Fee as Printed]]/(1+GST_Rate),""))</f>
        <v/>
      </c>
      <c r="R945" s="34" t="str">
        <f>IF(MasterFees[[#This Row],[GST Basis]]="Incl",MasterFees[[#This Row],[Fee as Printed]],IF(MasterFees[[#This Row],[GST Basis]]="Excl",MasterFees[[#This Row],[Fee as Printed]]*(1+GST_Rate),""))</f>
        <v/>
      </c>
      <c r="S945" s="35">
        <f>IF(N(MasterFees[[#This Row],[Total Units]])=0,"",MasterFees[[#This Row],[Fee as Printed]]/MasterFees[[#This Row],[Total Units]])</f>
        <v>54.91538461538461</v>
      </c>
      <c r="T945" s="36"/>
      <c r="U945" s="39" t="s">
        <v>1012</v>
      </c>
      <c r="V945" s="39" t="s">
        <v>2058</v>
      </c>
      <c r="W945" s="30"/>
      <c r="X945" s="73" t="s">
        <v>3895</v>
      </c>
      <c r="Y945" s="127" t="str">
        <f>_xlfn.XLOOKUP(MasterFees[[#This Row],[Provider / Payer]],Contracts[Contract Name],Contracts[Contract ID],"No contract")</f>
        <v>CON-01</v>
      </c>
      <c r="Z945" s="127" t="str">
        <f>_xlfn.XLOOKUP(MasterFees[[#This Row],[Provider / Payer]],Contracts[Contract Name],Contracts[Pricing Basis],"To confirm")</f>
        <v>To confirm</v>
      </c>
      <c r="AA945" s="127" t="str">
        <f>IF(MasterFees[[#This Row],[Pricing Basis]]="Fixed fee schedule","Yes","No")</f>
        <v>No</v>
      </c>
      <c r="AB945" s="127" t="str">
        <f>IF(OR(MasterFees[[#This Row],[Fee Basis]]="Add-on",MasterFees[[#This Row],[Fee Basis]]="Time band",MasterFees[[#This Row],[Fee Basis]]="Other"),MasterFees[[#This Row],[Fee Basis]],"Base")</f>
        <v>Base</v>
      </c>
      <c r="AC945" s="141" t="str">
        <f>IF(MasterFees[[#This Row],[Fixed Fee?]]="Yes",MasterFees[[#This Row],[Fee Excl. GST]],"")</f>
        <v/>
      </c>
    </row>
    <row r="946" spans="1:29" x14ac:dyDescent="0.2">
      <c r="A946" s="67" t="s">
        <v>2350</v>
      </c>
      <c r="B946" s="31">
        <f>IF(MasterFees[[#This Row],[RVG Code]]="","",_xlfn.XLOOKUP(MasterFees[[#This Row],[RVG Code]],RVGCodes[Code],RVGCodes[Base Units],"Code not found"))</f>
        <v>5</v>
      </c>
      <c r="C94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4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46" s="125" t="s">
        <v>2582</v>
      </c>
      <c r="F946" s="48" t="s">
        <v>2567</v>
      </c>
      <c r="G946" s="30" t="s">
        <v>956</v>
      </c>
      <c r="H946" s="37" t="s">
        <v>1095</v>
      </c>
      <c r="I946" s="37"/>
      <c r="J946" s="37" t="s">
        <v>1096</v>
      </c>
      <c r="K946" s="32">
        <v>4.3</v>
      </c>
      <c r="L946" s="32">
        <v>2.5</v>
      </c>
      <c r="M946" s="32">
        <v>1.4</v>
      </c>
      <c r="N946" s="32">
        <v>8.1999999999999993</v>
      </c>
      <c r="O946" s="33">
        <v>451</v>
      </c>
      <c r="P946" s="38" t="s">
        <v>1014</v>
      </c>
      <c r="Q946" s="34" t="str">
        <f>IF(MasterFees[[#This Row],[GST Basis]]="Excl",MasterFees[[#This Row],[Fee as Printed]],IF(MasterFees[[#This Row],[GST Basis]]="Incl",MasterFees[[#This Row],[Fee as Printed]]/(1+GST_Rate),""))</f>
        <v/>
      </c>
      <c r="R946" s="34" t="str">
        <f>IF(MasterFees[[#This Row],[GST Basis]]="Incl",MasterFees[[#This Row],[Fee as Printed]],IF(MasterFees[[#This Row],[GST Basis]]="Excl",MasterFees[[#This Row],[Fee as Printed]]*(1+GST_Rate),""))</f>
        <v/>
      </c>
      <c r="S946" s="35">
        <f>IF(N(MasterFees[[#This Row],[Total Units]])=0,"",MasterFees[[#This Row],[Fee as Printed]]/MasterFees[[#This Row],[Total Units]])</f>
        <v>55.000000000000007</v>
      </c>
      <c r="T946" s="36"/>
      <c r="U946" s="39" t="s">
        <v>1012</v>
      </c>
      <c r="V946" s="39" t="s">
        <v>2059</v>
      </c>
      <c r="W946" s="30"/>
      <c r="X946" s="73" t="s">
        <v>3896</v>
      </c>
      <c r="Y946" s="127" t="str">
        <f>_xlfn.XLOOKUP(MasterFees[[#This Row],[Provider / Payer]],Contracts[Contract Name],Contracts[Contract ID],"No contract")</f>
        <v>CON-01</v>
      </c>
      <c r="Z946" s="127" t="str">
        <f>_xlfn.XLOOKUP(MasterFees[[#This Row],[Provider / Payer]],Contracts[Contract Name],Contracts[Pricing Basis],"To confirm")</f>
        <v>To confirm</v>
      </c>
      <c r="AA946" s="127" t="str">
        <f>IF(MasterFees[[#This Row],[Pricing Basis]]="Fixed fee schedule","Yes","No")</f>
        <v>No</v>
      </c>
      <c r="AB946" s="127" t="str">
        <f>IF(OR(MasterFees[[#This Row],[Fee Basis]]="Add-on",MasterFees[[#This Row],[Fee Basis]]="Time band",MasterFees[[#This Row],[Fee Basis]]="Other"),MasterFees[[#This Row],[Fee Basis]],"Base")</f>
        <v>Base</v>
      </c>
      <c r="AC946" s="141" t="str">
        <f>IF(MasterFees[[#This Row],[Fixed Fee?]]="Yes",MasterFees[[#This Row],[Fee Excl. GST]],"")</f>
        <v/>
      </c>
    </row>
    <row r="947" spans="1:29" x14ac:dyDescent="0.2">
      <c r="A947" s="67" t="s">
        <v>2350</v>
      </c>
      <c r="B947" s="31">
        <f>IF(MasterFees[[#This Row],[RVG Code]]="","",_xlfn.XLOOKUP(MasterFees[[#This Row],[RVG Code]],RVGCodes[Code],RVGCodes[Base Units],"Code not found"))</f>
        <v>5</v>
      </c>
      <c r="C94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4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47" s="125" t="s">
        <v>2582</v>
      </c>
      <c r="F947" s="48" t="s">
        <v>2567</v>
      </c>
      <c r="G947" s="30" t="s">
        <v>962</v>
      </c>
      <c r="H947" s="37" t="s">
        <v>1095</v>
      </c>
      <c r="I947" s="37"/>
      <c r="J947" s="37" t="s">
        <v>1096</v>
      </c>
      <c r="K947" s="32">
        <v>2.4</v>
      </c>
      <c r="L947" s="32">
        <v>2.1</v>
      </c>
      <c r="M947" s="32">
        <v>0</v>
      </c>
      <c r="N947" s="32">
        <v>4.5</v>
      </c>
      <c r="O947" s="33">
        <v>248.6</v>
      </c>
      <c r="P947" s="38" t="s">
        <v>1014</v>
      </c>
      <c r="Q947" s="34" t="str">
        <f>IF(MasterFees[[#This Row],[GST Basis]]="Excl",MasterFees[[#This Row],[Fee as Printed]],IF(MasterFees[[#This Row],[GST Basis]]="Incl",MasterFees[[#This Row],[Fee as Printed]]/(1+GST_Rate),""))</f>
        <v/>
      </c>
      <c r="R947" s="34" t="str">
        <f>IF(MasterFees[[#This Row],[GST Basis]]="Incl",MasterFees[[#This Row],[Fee as Printed]],IF(MasterFees[[#This Row],[GST Basis]]="Excl",MasterFees[[#This Row],[Fee as Printed]]*(1+GST_Rate),""))</f>
        <v/>
      </c>
      <c r="S947" s="35">
        <f>IF(N(MasterFees[[#This Row],[Total Units]])=0,"",MasterFees[[#This Row],[Fee as Printed]]/MasterFees[[#This Row],[Total Units]])</f>
        <v>55.24444444444444</v>
      </c>
      <c r="T947" s="36"/>
      <c r="U947" s="39" t="s">
        <v>1012</v>
      </c>
      <c r="V947" s="39" t="s">
        <v>2065</v>
      </c>
      <c r="W947" s="30"/>
      <c r="X947" s="73" t="s">
        <v>3905</v>
      </c>
      <c r="Y947" s="127" t="str">
        <f>_xlfn.XLOOKUP(MasterFees[[#This Row],[Provider / Payer]],Contracts[Contract Name],Contracts[Contract ID],"No contract")</f>
        <v>CON-01</v>
      </c>
      <c r="Z947" s="127" t="str">
        <f>_xlfn.XLOOKUP(MasterFees[[#This Row],[Provider / Payer]],Contracts[Contract Name],Contracts[Pricing Basis],"To confirm")</f>
        <v>To confirm</v>
      </c>
      <c r="AA947" s="127" t="str">
        <f>IF(MasterFees[[#This Row],[Pricing Basis]]="Fixed fee schedule","Yes","No")</f>
        <v>No</v>
      </c>
      <c r="AB947" s="127" t="str">
        <f>IF(OR(MasterFees[[#This Row],[Fee Basis]]="Add-on",MasterFees[[#This Row],[Fee Basis]]="Time band",MasterFees[[#This Row],[Fee Basis]]="Other"),MasterFees[[#This Row],[Fee Basis]],"Base")</f>
        <v>Base</v>
      </c>
      <c r="AC947" s="141" t="str">
        <f>IF(MasterFees[[#This Row],[Fixed Fee?]]="Yes",MasterFees[[#This Row],[Fee Excl. GST]],"")</f>
        <v/>
      </c>
    </row>
    <row r="948" spans="1:29" x14ac:dyDescent="0.2">
      <c r="A948" s="67" t="s">
        <v>2350</v>
      </c>
      <c r="B948" s="31">
        <f>IF(MasterFees[[#This Row],[RVG Code]]="","",_xlfn.XLOOKUP(MasterFees[[#This Row],[RVG Code]],RVGCodes[Code],RVGCodes[Base Units],"Code not found"))</f>
        <v>5</v>
      </c>
      <c r="C94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4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48" s="125" t="s">
        <v>2582</v>
      </c>
      <c r="F948" s="48" t="s">
        <v>2567</v>
      </c>
      <c r="G948" s="30" t="s">
        <v>963</v>
      </c>
      <c r="H948" s="37" t="s">
        <v>1095</v>
      </c>
      <c r="I948" s="37"/>
      <c r="J948" s="37" t="s">
        <v>1096</v>
      </c>
      <c r="K948" s="32">
        <v>4.7</v>
      </c>
      <c r="L948" s="32">
        <v>10.5</v>
      </c>
      <c r="M948" s="32">
        <v>0.2</v>
      </c>
      <c r="N948" s="32">
        <v>15.3</v>
      </c>
      <c r="O948" s="33">
        <v>843.7</v>
      </c>
      <c r="P948" s="38" t="s">
        <v>1014</v>
      </c>
      <c r="Q948" s="34" t="str">
        <f>IF(MasterFees[[#This Row],[GST Basis]]="Excl",MasterFees[[#This Row],[Fee as Printed]],IF(MasterFees[[#This Row],[GST Basis]]="Incl",MasterFees[[#This Row],[Fee as Printed]]/(1+GST_Rate),""))</f>
        <v/>
      </c>
      <c r="R948" s="34" t="str">
        <f>IF(MasterFees[[#This Row],[GST Basis]]="Incl",MasterFees[[#This Row],[Fee as Printed]],IF(MasterFees[[#This Row],[GST Basis]]="Excl",MasterFees[[#This Row],[Fee as Printed]]*(1+GST_Rate),""))</f>
        <v/>
      </c>
      <c r="S948" s="35">
        <f>IF(N(MasterFees[[#This Row],[Total Units]])=0,"",MasterFees[[#This Row],[Fee as Printed]]/MasterFees[[#This Row],[Total Units]])</f>
        <v>55.143790849673202</v>
      </c>
      <c r="T948" s="36"/>
      <c r="U948" s="39" t="s">
        <v>1012</v>
      </c>
      <c r="V948" s="39" t="s">
        <v>2066</v>
      </c>
      <c r="W948" s="30"/>
      <c r="X948" s="73" t="s">
        <v>3906</v>
      </c>
      <c r="Y948" s="127" t="str">
        <f>_xlfn.XLOOKUP(MasterFees[[#This Row],[Provider / Payer]],Contracts[Contract Name],Contracts[Contract ID],"No contract")</f>
        <v>CON-01</v>
      </c>
      <c r="Z948" s="127" t="str">
        <f>_xlfn.XLOOKUP(MasterFees[[#This Row],[Provider / Payer]],Contracts[Contract Name],Contracts[Pricing Basis],"To confirm")</f>
        <v>To confirm</v>
      </c>
      <c r="AA948" s="127" t="str">
        <f>IF(MasterFees[[#This Row],[Pricing Basis]]="Fixed fee schedule","Yes","No")</f>
        <v>No</v>
      </c>
      <c r="AB948" s="127" t="str">
        <f>IF(OR(MasterFees[[#This Row],[Fee Basis]]="Add-on",MasterFees[[#This Row],[Fee Basis]]="Time band",MasterFees[[#This Row],[Fee Basis]]="Other"),MasterFees[[#This Row],[Fee Basis]],"Base")</f>
        <v>Base</v>
      </c>
      <c r="AC948" s="141" t="str">
        <f>IF(MasterFees[[#This Row],[Fixed Fee?]]="Yes",MasterFees[[#This Row],[Fee Excl. GST]],"")</f>
        <v/>
      </c>
    </row>
    <row r="949" spans="1:29" x14ac:dyDescent="0.2">
      <c r="A949" s="67" t="s">
        <v>2367</v>
      </c>
      <c r="B949" s="31">
        <f>IF(MasterFees[[#This Row],[RVG Code]]="","",_xlfn.XLOOKUP(MasterFees[[#This Row],[RVG Code]],RVGCodes[Code],RVGCodes[Base Units],"Code not found"))</f>
        <v>6</v>
      </c>
      <c r="C94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4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Obstetric</v>
      </c>
      <c r="E949" s="125" t="s">
        <v>2713</v>
      </c>
      <c r="F949" s="48" t="s">
        <v>2565</v>
      </c>
      <c r="G949" s="30" t="s">
        <v>2368</v>
      </c>
      <c r="H949" s="37" t="s">
        <v>2630</v>
      </c>
      <c r="I949" s="37" t="s">
        <v>2367</v>
      </c>
      <c r="J949" s="37" t="s">
        <v>1096</v>
      </c>
      <c r="K949" s="32">
        <v>6</v>
      </c>
      <c r="L949" s="32"/>
      <c r="M949" s="32"/>
      <c r="N949" s="32">
        <v>6</v>
      </c>
      <c r="O949" s="33"/>
      <c r="P949" s="38"/>
      <c r="Q949" s="34" t="str">
        <f>IF(MasterFees[[#This Row],[GST Basis]]="Excl",MasterFees[[#This Row],[Fee as Printed]],IF(MasterFees[[#This Row],[GST Basis]]="Incl",MasterFees[[#This Row],[Fee as Printed]]/(1+GST_Rate),""))</f>
        <v/>
      </c>
      <c r="R949" s="34" t="str">
        <f>IF(MasterFees[[#This Row],[GST Basis]]="Incl",MasterFees[[#This Row],[Fee as Printed]],IF(MasterFees[[#This Row],[GST Basis]]="Excl",MasterFees[[#This Row],[Fee as Printed]]*(1+GST_Rate),""))</f>
        <v/>
      </c>
      <c r="S949" s="35">
        <f>IF(N(MasterFees[[#This Row],[Total Units]])=0,"",MasterFees[[#This Row],[Fee as Printed]]/MasterFees[[#This Row],[Total Units]])</f>
        <v>0</v>
      </c>
      <c r="T949" s="36"/>
      <c r="U949" s="39" t="s">
        <v>1016</v>
      </c>
      <c r="V949" s="39" t="s">
        <v>2660</v>
      </c>
      <c r="W949" s="30" t="s">
        <v>2632</v>
      </c>
      <c r="X949" s="73" t="s">
        <v>3949</v>
      </c>
      <c r="Y949" s="127" t="str">
        <f>_xlfn.XLOOKUP(MasterFees[[#This Row],[Provider / Payer]],Contracts[Contract Name],Contracts[Contract ID],"No contract")</f>
        <v>CON-10</v>
      </c>
      <c r="Z949" s="127" t="str">
        <f>_xlfn.XLOOKUP(MasterFees[[#This Row],[Provider / Payer]],Contracts[Contract Name],Contracts[Pricing Basis],"To confirm")</f>
        <v>Reference – units only</v>
      </c>
      <c r="AA949" s="127" t="str">
        <f>IF(MasterFees[[#This Row],[Pricing Basis]]="Fixed fee schedule","Yes","No")</f>
        <v>No</v>
      </c>
      <c r="AB949" s="127" t="str">
        <f>IF(OR(MasterFees[[#This Row],[Fee Basis]]="Add-on",MasterFees[[#This Row],[Fee Basis]]="Time band",MasterFees[[#This Row],[Fee Basis]]="Other"),MasterFees[[#This Row],[Fee Basis]],"Base")</f>
        <v>Base</v>
      </c>
      <c r="AC949" s="141" t="str">
        <f>IF(MasterFees[[#This Row],[Fixed Fee?]]="Yes",MasterFees[[#This Row],[Fee Excl. GST]],"")</f>
        <v/>
      </c>
    </row>
    <row r="950" spans="1:29" x14ac:dyDescent="0.2">
      <c r="A950" s="67" t="s">
        <v>2365</v>
      </c>
      <c r="B950" s="31">
        <f>IF(MasterFees[[#This Row],[RVG Code]]="","",_xlfn.XLOOKUP(MasterFees[[#This Row],[RVG Code]],RVGCodes[Code],RVGCodes[Base Units],"Code not found"))</f>
        <v>5</v>
      </c>
      <c r="C95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5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Obstetric</v>
      </c>
      <c r="E950" s="125" t="s">
        <v>2712</v>
      </c>
      <c r="F950" s="48" t="s">
        <v>2565</v>
      </c>
      <c r="G950" s="30" t="s">
        <v>2366</v>
      </c>
      <c r="H950" s="37" t="s">
        <v>2630</v>
      </c>
      <c r="I950" s="37" t="s">
        <v>2365</v>
      </c>
      <c r="J950" s="37" t="s">
        <v>1096</v>
      </c>
      <c r="K950" s="32">
        <v>5</v>
      </c>
      <c r="L950" s="32"/>
      <c r="M950" s="32"/>
      <c r="N950" s="32">
        <v>5</v>
      </c>
      <c r="O950" s="33"/>
      <c r="P950" s="38"/>
      <c r="Q950" s="34" t="str">
        <f>IF(MasterFees[[#This Row],[GST Basis]]="Excl",MasterFees[[#This Row],[Fee as Printed]],IF(MasterFees[[#This Row],[GST Basis]]="Incl",MasterFees[[#This Row],[Fee as Printed]]/(1+GST_Rate),""))</f>
        <v/>
      </c>
      <c r="R950" s="34" t="str">
        <f>IF(MasterFees[[#This Row],[GST Basis]]="Incl",MasterFees[[#This Row],[Fee as Printed]],IF(MasterFees[[#This Row],[GST Basis]]="Excl",MasterFees[[#This Row],[Fee as Printed]]*(1+GST_Rate),""))</f>
        <v/>
      </c>
      <c r="S950" s="35">
        <f>IF(N(MasterFees[[#This Row],[Total Units]])=0,"",MasterFees[[#This Row],[Fee as Printed]]/MasterFees[[#This Row],[Total Units]])</f>
        <v>0</v>
      </c>
      <c r="T950" s="36"/>
      <c r="U950" s="39" t="s">
        <v>1016</v>
      </c>
      <c r="V950" s="39" t="s">
        <v>2660</v>
      </c>
      <c r="W950" s="30" t="s">
        <v>2632</v>
      </c>
      <c r="X950" s="73" t="s">
        <v>3948</v>
      </c>
      <c r="Y950" s="127" t="str">
        <f>_xlfn.XLOOKUP(MasterFees[[#This Row],[Provider / Payer]],Contracts[Contract Name],Contracts[Contract ID],"No contract")</f>
        <v>CON-10</v>
      </c>
      <c r="Z950" s="127" t="str">
        <f>_xlfn.XLOOKUP(MasterFees[[#This Row],[Provider / Payer]],Contracts[Contract Name],Contracts[Pricing Basis],"To confirm")</f>
        <v>Reference – units only</v>
      </c>
      <c r="AA950" s="127" t="str">
        <f>IF(MasterFees[[#This Row],[Pricing Basis]]="Fixed fee schedule","Yes","No")</f>
        <v>No</v>
      </c>
      <c r="AB950" s="127" t="str">
        <f>IF(OR(MasterFees[[#This Row],[Fee Basis]]="Add-on",MasterFees[[#This Row],[Fee Basis]]="Time band",MasterFees[[#This Row],[Fee Basis]]="Other"),MasterFees[[#This Row],[Fee Basis]],"Base")</f>
        <v>Base</v>
      </c>
      <c r="AC950" s="141" t="str">
        <f>IF(MasterFees[[#This Row],[Fixed Fee?]]="Yes",MasterFees[[#This Row],[Fee Excl. GST]],"")</f>
        <v/>
      </c>
    </row>
    <row r="951" spans="1:29" x14ac:dyDescent="0.2">
      <c r="A951" s="67" t="s">
        <v>2353</v>
      </c>
      <c r="B951" s="31">
        <f>IF(MasterFees[[#This Row],[RVG Code]]="","",_xlfn.XLOOKUP(MasterFees[[#This Row],[RVG Code]],RVGCodes[Code],RVGCodes[Base Units],"Code not found"))</f>
        <v>4</v>
      </c>
      <c r="C95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5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Urology</v>
      </c>
      <c r="E951" s="125" t="s">
        <v>2588</v>
      </c>
      <c r="F951" s="48" t="s">
        <v>2567</v>
      </c>
      <c r="G951" s="30" t="s">
        <v>65</v>
      </c>
      <c r="H951" s="37" t="s">
        <v>1095</v>
      </c>
      <c r="I951" s="37"/>
      <c r="J951" s="37" t="s">
        <v>1096</v>
      </c>
      <c r="K951" s="32">
        <v>0</v>
      </c>
      <c r="L951" s="32">
        <v>1</v>
      </c>
      <c r="M951" s="32">
        <v>0</v>
      </c>
      <c r="N951" s="32">
        <v>1</v>
      </c>
      <c r="O951" s="33">
        <v>55</v>
      </c>
      <c r="P951" s="38" t="s">
        <v>1014</v>
      </c>
      <c r="Q951" s="34" t="str">
        <f>IF(MasterFees[[#This Row],[GST Basis]]="Excl",MasterFees[[#This Row],[Fee as Printed]],IF(MasterFees[[#This Row],[GST Basis]]="Incl",MasterFees[[#This Row],[Fee as Printed]]/(1+GST_Rate),""))</f>
        <v/>
      </c>
      <c r="R951" s="34" t="str">
        <f>IF(MasterFees[[#This Row],[GST Basis]]="Incl",MasterFees[[#This Row],[Fee as Printed]],IF(MasterFees[[#This Row],[GST Basis]]="Excl",MasterFees[[#This Row],[Fee as Printed]]*(1+GST_Rate),""))</f>
        <v/>
      </c>
      <c r="S951" s="35">
        <f>IF(N(MasterFees[[#This Row],[Total Units]])=0,"",MasterFees[[#This Row],[Fee as Printed]]/MasterFees[[#This Row],[Total Units]])</f>
        <v>55</v>
      </c>
      <c r="T951" s="36"/>
      <c r="U951" s="39" t="s">
        <v>1012</v>
      </c>
      <c r="V951" s="39" t="s">
        <v>1154</v>
      </c>
      <c r="W951" s="30"/>
      <c r="X951" s="73" t="s">
        <v>2937</v>
      </c>
      <c r="Y951" s="127" t="str">
        <f>_xlfn.XLOOKUP(MasterFees[[#This Row],[Provider / Payer]],Contracts[Contract Name],Contracts[Contract ID],"No contract")</f>
        <v>CON-01</v>
      </c>
      <c r="Z951" s="127" t="str">
        <f>_xlfn.XLOOKUP(MasterFees[[#This Row],[Provider / Payer]],Contracts[Contract Name],Contracts[Pricing Basis],"To confirm")</f>
        <v>To confirm</v>
      </c>
      <c r="AA951" s="127" t="str">
        <f>IF(MasterFees[[#This Row],[Pricing Basis]]="Fixed fee schedule","Yes","No")</f>
        <v>No</v>
      </c>
      <c r="AB951" s="127" t="str">
        <f>IF(OR(MasterFees[[#This Row],[Fee Basis]]="Add-on",MasterFees[[#This Row],[Fee Basis]]="Time band",MasterFees[[#This Row],[Fee Basis]]="Other"),MasterFees[[#This Row],[Fee Basis]],"Base")</f>
        <v>Base</v>
      </c>
      <c r="AC951" s="141" t="str">
        <f>IF(MasterFees[[#This Row],[Fixed Fee?]]="Yes",MasterFees[[#This Row],[Fee Excl. GST]],"")</f>
        <v/>
      </c>
    </row>
    <row r="952" spans="1:29" x14ac:dyDescent="0.2">
      <c r="A952" s="67" t="s">
        <v>2353</v>
      </c>
      <c r="B952" s="31">
        <f>IF(MasterFees[[#This Row],[RVG Code]]="","",_xlfn.XLOOKUP(MasterFees[[#This Row],[RVG Code]],RVGCodes[Code],RVGCodes[Base Units],"Code not found"))</f>
        <v>4</v>
      </c>
      <c r="C95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5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Urology</v>
      </c>
      <c r="E952" s="125" t="s">
        <v>2588</v>
      </c>
      <c r="F952" s="48" t="s">
        <v>2567</v>
      </c>
      <c r="G952" s="30" t="s">
        <v>66</v>
      </c>
      <c r="H952" s="37" t="s">
        <v>1095</v>
      </c>
      <c r="I952" s="37"/>
      <c r="J952" s="37" t="s">
        <v>1096</v>
      </c>
      <c r="K952" s="32">
        <v>2.5</v>
      </c>
      <c r="L952" s="32">
        <v>2</v>
      </c>
      <c r="M952" s="32">
        <v>0</v>
      </c>
      <c r="N952" s="32">
        <v>4.5</v>
      </c>
      <c r="O952" s="33">
        <v>247.5</v>
      </c>
      <c r="P952" s="38" t="s">
        <v>1014</v>
      </c>
      <c r="Q952" s="34" t="str">
        <f>IF(MasterFees[[#This Row],[GST Basis]]="Excl",MasterFees[[#This Row],[Fee as Printed]],IF(MasterFees[[#This Row],[GST Basis]]="Incl",MasterFees[[#This Row],[Fee as Printed]]/(1+GST_Rate),""))</f>
        <v/>
      </c>
      <c r="R952" s="34" t="str">
        <f>IF(MasterFees[[#This Row],[GST Basis]]="Incl",MasterFees[[#This Row],[Fee as Printed]],IF(MasterFees[[#This Row],[GST Basis]]="Excl",MasterFees[[#This Row],[Fee as Printed]]*(1+GST_Rate),""))</f>
        <v/>
      </c>
      <c r="S952" s="35">
        <f>IF(N(MasterFees[[#This Row],[Total Units]])=0,"",MasterFees[[#This Row],[Fee as Printed]]/MasterFees[[#This Row],[Total Units]])</f>
        <v>55</v>
      </c>
      <c r="T952" s="36"/>
      <c r="U952" s="39" t="s">
        <v>1012</v>
      </c>
      <c r="V952" s="39" t="s">
        <v>1155</v>
      </c>
      <c r="W952" s="30"/>
      <c r="X952" s="73" t="s">
        <v>2938</v>
      </c>
      <c r="Y952" s="127" t="str">
        <f>_xlfn.XLOOKUP(MasterFees[[#This Row],[Provider / Payer]],Contracts[Contract Name],Contracts[Contract ID],"No contract")</f>
        <v>CON-01</v>
      </c>
      <c r="Z952" s="127" t="str">
        <f>_xlfn.XLOOKUP(MasterFees[[#This Row],[Provider / Payer]],Contracts[Contract Name],Contracts[Pricing Basis],"To confirm")</f>
        <v>To confirm</v>
      </c>
      <c r="AA952" s="127" t="str">
        <f>IF(MasterFees[[#This Row],[Pricing Basis]]="Fixed fee schedule","Yes","No")</f>
        <v>No</v>
      </c>
      <c r="AB952" s="127" t="str">
        <f>IF(OR(MasterFees[[#This Row],[Fee Basis]]="Add-on",MasterFees[[#This Row],[Fee Basis]]="Time band",MasterFees[[#This Row],[Fee Basis]]="Other"),MasterFees[[#This Row],[Fee Basis]],"Base")</f>
        <v>Base</v>
      </c>
      <c r="AC952" s="141" t="str">
        <f>IF(MasterFees[[#This Row],[Fixed Fee?]]="Yes",MasterFees[[#This Row],[Fee Excl. GST]],"")</f>
        <v/>
      </c>
    </row>
    <row r="953" spans="1:29" x14ac:dyDescent="0.2">
      <c r="A953" s="67" t="s">
        <v>2353</v>
      </c>
      <c r="B953" s="31">
        <f>IF(MasterFees[[#This Row],[RVG Code]]="","",_xlfn.XLOOKUP(MasterFees[[#This Row],[RVG Code]],RVGCodes[Code],RVGCodes[Base Units],"Code not found"))</f>
        <v>4</v>
      </c>
      <c r="C95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5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Urology</v>
      </c>
      <c r="E953" s="125" t="s">
        <v>2588</v>
      </c>
      <c r="F953" s="48" t="s">
        <v>2569</v>
      </c>
      <c r="G953" s="30" t="s">
        <v>138</v>
      </c>
      <c r="H953" s="37" t="s">
        <v>1095</v>
      </c>
      <c r="I953" s="37"/>
      <c r="J953" s="37" t="s">
        <v>1096</v>
      </c>
      <c r="K953" s="32">
        <v>4.3</v>
      </c>
      <c r="L953" s="32">
        <v>5</v>
      </c>
      <c r="M953" s="32">
        <v>0.5</v>
      </c>
      <c r="N953" s="32">
        <v>9.8000000000000007</v>
      </c>
      <c r="O953" s="33">
        <v>539</v>
      </c>
      <c r="P953" s="38" t="s">
        <v>1014</v>
      </c>
      <c r="Q953" s="34" t="str">
        <f>IF(MasterFees[[#This Row],[GST Basis]]="Excl",MasterFees[[#This Row],[Fee as Printed]],IF(MasterFees[[#This Row],[GST Basis]]="Incl",MasterFees[[#This Row],[Fee as Printed]]/(1+GST_Rate),""))</f>
        <v/>
      </c>
      <c r="R953" s="34" t="str">
        <f>IF(MasterFees[[#This Row],[GST Basis]]="Incl",MasterFees[[#This Row],[Fee as Printed]],IF(MasterFees[[#This Row],[GST Basis]]="Excl",MasterFees[[#This Row],[Fee as Printed]]*(1+GST_Rate),""))</f>
        <v/>
      </c>
      <c r="S953" s="35">
        <f>IF(N(MasterFees[[#This Row],[Total Units]])=0,"",MasterFees[[#This Row],[Fee as Printed]]/MasterFees[[#This Row],[Total Units]])</f>
        <v>54.999999999999993</v>
      </c>
      <c r="T953" s="36"/>
      <c r="U953" s="39" t="s">
        <v>1012</v>
      </c>
      <c r="V953" s="39" t="s">
        <v>1230</v>
      </c>
      <c r="W953" s="30"/>
      <c r="X953" s="73" t="s">
        <v>3013</v>
      </c>
      <c r="Y953" s="127" t="str">
        <f>_xlfn.XLOOKUP(MasterFees[[#This Row],[Provider / Payer]],Contracts[Contract Name],Contracts[Contract ID],"No contract")</f>
        <v>CON-01</v>
      </c>
      <c r="Z953" s="127" t="str">
        <f>_xlfn.XLOOKUP(MasterFees[[#This Row],[Provider / Payer]],Contracts[Contract Name],Contracts[Pricing Basis],"To confirm")</f>
        <v>To confirm</v>
      </c>
      <c r="AA953" s="127" t="str">
        <f>IF(MasterFees[[#This Row],[Pricing Basis]]="Fixed fee schedule","Yes","No")</f>
        <v>No</v>
      </c>
      <c r="AB953" s="127" t="str">
        <f>IF(OR(MasterFees[[#This Row],[Fee Basis]]="Add-on",MasterFees[[#This Row],[Fee Basis]]="Time band",MasterFees[[#This Row],[Fee Basis]]="Other"),MasterFees[[#This Row],[Fee Basis]],"Base")</f>
        <v>Base</v>
      </c>
      <c r="AC953" s="141" t="str">
        <f>IF(MasterFees[[#This Row],[Fixed Fee?]]="Yes",MasterFees[[#This Row],[Fee Excl. GST]],"")</f>
        <v/>
      </c>
    </row>
    <row r="954" spans="1:29" x14ac:dyDescent="0.2">
      <c r="A954" s="67" t="s">
        <v>2359</v>
      </c>
      <c r="B954" s="31">
        <f>IF(MasterFees[[#This Row],[RVG Code]]="","",_xlfn.XLOOKUP(MasterFees[[#This Row],[RVG Code]],RVGCodes[Code],RVGCodes[Base Units],"Code not found"))</f>
        <v>10</v>
      </c>
      <c r="C95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5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Urology</v>
      </c>
      <c r="E954" s="125" t="s">
        <v>2618</v>
      </c>
      <c r="F954" s="48" t="s">
        <v>2629</v>
      </c>
      <c r="G954" s="30" t="s">
        <v>2360</v>
      </c>
      <c r="H954" s="37" t="s">
        <v>2630</v>
      </c>
      <c r="I954" s="37" t="s">
        <v>2359</v>
      </c>
      <c r="J954" s="37" t="s">
        <v>1096</v>
      </c>
      <c r="K954" s="32">
        <v>10</v>
      </c>
      <c r="L954" s="32"/>
      <c r="M954" s="32"/>
      <c r="N954" s="32">
        <v>10</v>
      </c>
      <c r="O954" s="33"/>
      <c r="P954" s="38"/>
      <c r="Q954" s="34" t="str">
        <f>IF(MasterFees[[#This Row],[GST Basis]]="Excl",MasterFees[[#This Row],[Fee as Printed]],IF(MasterFees[[#This Row],[GST Basis]]="Incl",MasterFees[[#This Row],[Fee as Printed]]/(1+GST_Rate),""))</f>
        <v/>
      </c>
      <c r="R954" s="34" t="str">
        <f>IF(MasterFees[[#This Row],[GST Basis]]="Incl",MasterFees[[#This Row],[Fee as Printed]],IF(MasterFees[[#This Row],[GST Basis]]="Excl",MasterFees[[#This Row],[Fee as Printed]]*(1+GST_Rate),""))</f>
        <v/>
      </c>
      <c r="S954" s="35">
        <f>IF(N(MasterFees[[#This Row],[Total Units]])=0,"",MasterFees[[#This Row],[Fee as Printed]]/MasterFees[[#This Row],[Total Units]])</f>
        <v>0</v>
      </c>
      <c r="T954" s="36"/>
      <c r="U954" s="39" t="s">
        <v>1016</v>
      </c>
      <c r="V954" s="39" t="s">
        <v>2644</v>
      </c>
      <c r="W954" s="30" t="s">
        <v>2662</v>
      </c>
      <c r="X954" s="73" t="s">
        <v>3756</v>
      </c>
      <c r="Y954" s="127" t="str">
        <f>_xlfn.XLOOKUP(MasterFees[[#This Row],[Provider / Payer]],Contracts[Contract Name],Contracts[Contract ID],"No contract")</f>
        <v>CON-10</v>
      </c>
      <c r="Z954" s="127" t="str">
        <f>_xlfn.XLOOKUP(MasterFees[[#This Row],[Provider / Payer]],Contracts[Contract Name],Contracts[Pricing Basis],"To confirm")</f>
        <v>Reference – units only</v>
      </c>
      <c r="AA954" s="127" t="str">
        <f>IF(MasterFees[[#This Row],[Pricing Basis]]="Fixed fee schedule","Yes","No")</f>
        <v>No</v>
      </c>
      <c r="AB954" s="127" t="str">
        <f>IF(OR(MasterFees[[#This Row],[Fee Basis]]="Add-on",MasterFees[[#This Row],[Fee Basis]]="Time band",MasterFees[[#This Row],[Fee Basis]]="Other"),MasterFees[[#This Row],[Fee Basis]],"Base")</f>
        <v>Base</v>
      </c>
      <c r="AC954" s="141" t="str">
        <f>IF(MasterFees[[#This Row],[Fixed Fee?]]="Yes",MasterFees[[#This Row],[Fee Excl. GST]],"")</f>
        <v/>
      </c>
    </row>
    <row r="955" spans="1:29" x14ac:dyDescent="0.2">
      <c r="A955" s="67" t="s">
        <v>2355</v>
      </c>
      <c r="B955" s="31">
        <f>IF(MasterFees[[#This Row],[RVG Code]]="","",_xlfn.XLOOKUP(MasterFees[[#This Row],[RVG Code]],RVGCodes[Code],RVGCodes[Base Units],"Code not found"))</f>
        <v>6</v>
      </c>
      <c r="C95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5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Urology</v>
      </c>
      <c r="E955" s="125" t="s">
        <v>2566</v>
      </c>
      <c r="F955" s="48" t="s">
        <v>2567</v>
      </c>
      <c r="G955" s="30" t="s">
        <v>270</v>
      </c>
      <c r="H955" s="37" t="s">
        <v>1095</v>
      </c>
      <c r="I955" s="37"/>
      <c r="J955" s="37" t="s">
        <v>1096</v>
      </c>
      <c r="K955" s="32">
        <v>6</v>
      </c>
      <c r="L955" s="32">
        <v>13</v>
      </c>
      <c r="M955" s="32">
        <v>7</v>
      </c>
      <c r="N955" s="32">
        <v>26</v>
      </c>
      <c r="O955" s="33">
        <v>1430</v>
      </c>
      <c r="P955" s="38" t="s">
        <v>1014</v>
      </c>
      <c r="Q955" s="34" t="str">
        <f>IF(MasterFees[[#This Row],[GST Basis]]="Excl",MasterFees[[#This Row],[Fee as Printed]],IF(MasterFees[[#This Row],[GST Basis]]="Incl",MasterFees[[#This Row],[Fee as Printed]]/(1+GST_Rate),""))</f>
        <v/>
      </c>
      <c r="R955" s="34" t="str">
        <f>IF(MasterFees[[#This Row],[GST Basis]]="Incl",MasterFees[[#This Row],[Fee as Printed]],IF(MasterFees[[#This Row],[GST Basis]]="Excl",MasterFees[[#This Row],[Fee as Printed]]*(1+GST_Rate),""))</f>
        <v/>
      </c>
      <c r="S955" s="35">
        <f>IF(N(MasterFees[[#This Row],[Total Units]])=0,"",MasterFees[[#This Row],[Fee as Printed]]/MasterFees[[#This Row],[Total Units]])</f>
        <v>55</v>
      </c>
      <c r="T955" s="36"/>
      <c r="U955" s="39" t="s">
        <v>1012</v>
      </c>
      <c r="V955" s="39" t="s">
        <v>1364</v>
      </c>
      <c r="W955" s="30"/>
      <c r="X955" s="73" t="s">
        <v>3154</v>
      </c>
      <c r="Y955" s="127" t="str">
        <f>_xlfn.XLOOKUP(MasterFees[[#This Row],[Provider / Payer]],Contracts[Contract Name],Contracts[Contract ID],"No contract")</f>
        <v>CON-01</v>
      </c>
      <c r="Z955" s="127" t="str">
        <f>_xlfn.XLOOKUP(MasterFees[[#This Row],[Provider / Payer]],Contracts[Contract Name],Contracts[Pricing Basis],"To confirm")</f>
        <v>To confirm</v>
      </c>
      <c r="AA955" s="127" t="str">
        <f>IF(MasterFees[[#This Row],[Pricing Basis]]="Fixed fee schedule","Yes","No")</f>
        <v>No</v>
      </c>
      <c r="AB955" s="127" t="str">
        <f>IF(OR(MasterFees[[#This Row],[Fee Basis]]="Add-on",MasterFees[[#This Row],[Fee Basis]]="Time band",MasterFees[[#This Row],[Fee Basis]]="Other"),MasterFees[[#This Row],[Fee Basis]],"Base")</f>
        <v>Base</v>
      </c>
      <c r="AC955" s="141" t="str">
        <f>IF(MasterFees[[#This Row],[Fixed Fee?]]="Yes",MasterFees[[#This Row],[Fee Excl. GST]],"")</f>
        <v/>
      </c>
    </row>
    <row r="956" spans="1:29" x14ac:dyDescent="0.2">
      <c r="A956" s="67" t="s">
        <v>2355</v>
      </c>
      <c r="B956" s="31">
        <f>IF(MasterFees[[#This Row],[RVG Code]]="","",_xlfn.XLOOKUP(MasterFees[[#This Row],[RVG Code]],RVGCodes[Code],RVGCodes[Base Units],"Code not found"))</f>
        <v>6</v>
      </c>
      <c r="C95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5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Urology</v>
      </c>
      <c r="E956" s="125" t="s">
        <v>2566</v>
      </c>
      <c r="F956" s="48" t="s">
        <v>2567</v>
      </c>
      <c r="G956" s="30" t="s">
        <v>417</v>
      </c>
      <c r="H956" s="37" t="s">
        <v>1095</v>
      </c>
      <c r="I956" s="37"/>
      <c r="J956" s="37" t="s">
        <v>1096</v>
      </c>
      <c r="K956" s="32">
        <v>5.9</v>
      </c>
      <c r="L956" s="32">
        <v>5</v>
      </c>
      <c r="M956" s="32">
        <v>1</v>
      </c>
      <c r="N956" s="32">
        <v>12</v>
      </c>
      <c r="O956" s="33">
        <v>657.8</v>
      </c>
      <c r="P956" s="38" t="s">
        <v>1014</v>
      </c>
      <c r="Q956" s="34" t="str">
        <f>IF(MasterFees[[#This Row],[GST Basis]]="Excl",MasterFees[[#This Row],[Fee as Printed]],IF(MasterFees[[#This Row],[GST Basis]]="Incl",MasterFees[[#This Row],[Fee as Printed]]/(1+GST_Rate),""))</f>
        <v/>
      </c>
      <c r="R956" s="34" t="str">
        <f>IF(MasterFees[[#This Row],[GST Basis]]="Incl",MasterFees[[#This Row],[Fee as Printed]],IF(MasterFees[[#This Row],[GST Basis]]="Excl",MasterFees[[#This Row],[Fee as Printed]]*(1+GST_Rate),""))</f>
        <v/>
      </c>
      <c r="S956" s="35">
        <f>IF(N(MasterFees[[#This Row],[Total Units]])=0,"",MasterFees[[#This Row],[Fee as Printed]]/MasterFees[[#This Row],[Total Units]])</f>
        <v>54.816666666666663</v>
      </c>
      <c r="T956" s="36"/>
      <c r="U956" s="39" t="s">
        <v>1012</v>
      </c>
      <c r="V956" s="39" t="s">
        <v>1512</v>
      </c>
      <c r="W956" s="30"/>
      <c r="X956" s="73" t="s">
        <v>3305</v>
      </c>
      <c r="Y956" s="127" t="str">
        <f>_xlfn.XLOOKUP(MasterFees[[#This Row],[Provider / Payer]],Contracts[Contract Name],Contracts[Contract ID],"No contract")</f>
        <v>CON-01</v>
      </c>
      <c r="Z956" s="127" t="str">
        <f>_xlfn.XLOOKUP(MasterFees[[#This Row],[Provider / Payer]],Contracts[Contract Name],Contracts[Pricing Basis],"To confirm")</f>
        <v>To confirm</v>
      </c>
      <c r="AA956" s="127" t="str">
        <f>IF(MasterFees[[#This Row],[Pricing Basis]]="Fixed fee schedule","Yes","No")</f>
        <v>No</v>
      </c>
      <c r="AB956" s="127" t="str">
        <f>IF(OR(MasterFees[[#This Row],[Fee Basis]]="Add-on",MasterFees[[#This Row],[Fee Basis]]="Time band",MasterFees[[#This Row],[Fee Basis]]="Other"),MasterFees[[#This Row],[Fee Basis]],"Base")</f>
        <v>Base</v>
      </c>
      <c r="AC956" s="141" t="str">
        <f>IF(MasterFees[[#This Row],[Fixed Fee?]]="Yes",MasterFees[[#This Row],[Fee Excl. GST]],"")</f>
        <v/>
      </c>
    </row>
    <row r="957" spans="1:29" x14ac:dyDescent="0.2">
      <c r="A957" s="67" t="s">
        <v>2355</v>
      </c>
      <c r="B957" s="31">
        <f>IF(MasterFees[[#This Row],[RVG Code]]="","",_xlfn.XLOOKUP(MasterFees[[#This Row],[RVG Code]],RVGCodes[Code],RVGCodes[Base Units],"Code not found"))</f>
        <v>6</v>
      </c>
      <c r="C95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5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Urology</v>
      </c>
      <c r="E957" s="125" t="s">
        <v>2566</v>
      </c>
      <c r="F957" s="48" t="s">
        <v>2567</v>
      </c>
      <c r="G957" s="30" t="s">
        <v>9</v>
      </c>
      <c r="H957" s="37" t="s">
        <v>1095</v>
      </c>
      <c r="I957" s="37"/>
      <c r="J957" s="37" t="s">
        <v>1096</v>
      </c>
      <c r="K957" s="32">
        <v>6</v>
      </c>
      <c r="L957" s="32">
        <v>3.5</v>
      </c>
      <c r="M957" s="32">
        <v>4</v>
      </c>
      <c r="N957" s="32">
        <v>13.5</v>
      </c>
      <c r="O957" s="33">
        <v>742.5</v>
      </c>
      <c r="P957" s="38" t="s">
        <v>1014</v>
      </c>
      <c r="Q957" s="34" t="str">
        <f>IF(MasterFees[[#This Row],[GST Basis]]="Excl",MasterFees[[#This Row],[Fee as Printed]],IF(MasterFees[[#This Row],[GST Basis]]="Incl",MasterFees[[#This Row],[Fee as Printed]]/(1+GST_Rate),""))</f>
        <v/>
      </c>
      <c r="R957" s="34" t="str">
        <f>IF(MasterFees[[#This Row],[GST Basis]]="Incl",MasterFees[[#This Row],[Fee as Printed]],IF(MasterFees[[#This Row],[GST Basis]]="Excl",MasterFees[[#This Row],[Fee as Printed]]*(1+GST_Rate),""))</f>
        <v/>
      </c>
      <c r="S957" s="35">
        <f>IF(N(MasterFees[[#This Row],[Total Units]])=0,"",MasterFees[[#This Row],[Fee as Printed]]/MasterFees[[#This Row],[Total Units]])</f>
        <v>55</v>
      </c>
      <c r="T957" s="36"/>
      <c r="U957" s="39" t="s">
        <v>1012</v>
      </c>
      <c r="V957" s="39" t="s">
        <v>1098</v>
      </c>
      <c r="W957" s="30"/>
      <c r="X957" s="73" t="s">
        <v>2880</v>
      </c>
      <c r="Y957" s="127" t="str">
        <f>_xlfn.XLOOKUP(MasterFees[[#This Row],[Provider / Payer]],Contracts[Contract Name],Contracts[Contract ID],"No contract")</f>
        <v>CON-01</v>
      </c>
      <c r="Z957" s="127" t="str">
        <f>_xlfn.XLOOKUP(MasterFees[[#This Row],[Provider / Payer]],Contracts[Contract Name],Contracts[Pricing Basis],"To confirm")</f>
        <v>To confirm</v>
      </c>
      <c r="AA957" s="127" t="str">
        <f>IF(MasterFees[[#This Row],[Pricing Basis]]="Fixed fee schedule","Yes","No")</f>
        <v>No</v>
      </c>
      <c r="AB957" s="127" t="str">
        <f>IF(OR(MasterFees[[#This Row],[Fee Basis]]="Add-on",MasterFees[[#This Row],[Fee Basis]]="Time band",MasterFees[[#This Row],[Fee Basis]]="Other"),MasterFees[[#This Row],[Fee Basis]],"Base")</f>
        <v>Base</v>
      </c>
      <c r="AC957" s="141" t="str">
        <f>IF(MasterFees[[#This Row],[Fixed Fee?]]="Yes",MasterFees[[#This Row],[Fee Excl. GST]],"")</f>
        <v/>
      </c>
    </row>
    <row r="958" spans="1:29" x14ac:dyDescent="0.2">
      <c r="A958" s="67" t="s">
        <v>2359</v>
      </c>
      <c r="B958" s="31">
        <f>IF(MasterFees[[#This Row],[RVG Code]]="","",_xlfn.XLOOKUP(MasterFees[[#This Row],[RVG Code]],RVGCodes[Code],RVGCodes[Base Units],"Code not found"))</f>
        <v>10</v>
      </c>
      <c r="C95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5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Urology</v>
      </c>
      <c r="E958" s="125" t="s">
        <v>2618</v>
      </c>
      <c r="F958" s="48" t="s">
        <v>2569</v>
      </c>
      <c r="G958" s="30" t="s">
        <v>497</v>
      </c>
      <c r="H958" s="37" t="s">
        <v>1095</v>
      </c>
      <c r="I958" s="37"/>
      <c r="J958" s="37" t="s">
        <v>1096</v>
      </c>
      <c r="K958" s="32">
        <v>9.3000000000000007</v>
      </c>
      <c r="L958" s="32">
        <v>11.3</v>
      </c>
      <c r="M958" s="32">
        <v>0.8</v>
      </c>
      <c r="N958" s="32">
        <v>21.3</v>
      </c>
      <c r="O958" s="33">
        <v>1173.1500000000001</v>
      </c>
      <c r="P958" s="38" t="s">
        <v>1014</v>
      </c>
      <c r="Q958" s="34" t="str">
        <f>IF(MasterFees[[#This Row],[GST Basis]]="Excl",MasterFees[[#This Row],[Fee as Printed]],IF(MasterFees[[#This Row],[GST Basis]]="Incl",MasterFees[[#This Row],[Fee as Printed]]/(1+GST_Rate),""))</f>
        <v/>
      </c>
      <c r="R958" s="34" t="str">
        <f>IF(MasterFees[[#This Row],[GST Basis]]="Incl",MasterFees[[#This Row],[Fee as Printed]],IF(MasterFees[[#This Row],[GST Basis]]="Excl",MasterFees[[#This Row],[Fee as Printed]]*(1+GST_Rate),""))</f>
        <v/>
      </c>
      <c r="S958" s="35">
        <f>IF(N(MasterFees[[#This Row],[Total Units]])=0,"",MasterFees[[#This Row],[Fee as Printed]]/MasterFees[[#This Row],[Total Units]])</f>
        <v>55.077464788732399</v>
      </c>
      <c r="T958" s="36"/>
      <c r="U958" s="39" t="s">
        <v>1012</v>
      </c>
      <c r="V958" s="39" t="s">
        <v>1592</v>
      </c>
      <c r="W958" s="30"/>
      <c r="X958" s="73" t="s">
        <v>3386</v>
      </c>
      <c r="Y958" s="127" t="str">
        <f>_xlfn.XLOOKUP(MasterFees[[#This Row],[Provider / Payer]],Contracts[Contract Name],Contracts[Contract ID],"No contract")</f>
        <v>CON-01</v>
      </c>
      <c r="Z958" s="127" t="str">
        <f>_xlfn.XLOOKUP(MasterFees[[#This Row],[Provider / Payer]],Contracts[Contract Name],Contracts[Pricing Basis],"To confirm")</f>
        <v>To confirm</v>
      </c>
      <c r="AA958" s="127" t="str">
        <f>IF(MasterFees[[#This Row],[Pricing Basis]]="Fixed fee schedule","Yes","No")</f>
        <v>No</v>
      </c>
      <c r="AB958" s="127" t="str">
        <f>IF(OR(MasterFees[[#This Row],[Fee Basis]]="Add-on",MasterFees[[#This Row],[Fee Basis]]="Time band",MasterFees[[#This Row],[Fee Basis]]="Other"),MasterFees[[#This Row],[Fee Basis]],"Base")</f>
        <v>Base</v>
      </c>
      <c r="AC958" s="141" t="str">
        <f>IF(MasterFees[[#This Row],[Fixed Fee?]]="Yes",MasterFees[[#This Row],[Fee Excl. GST]],"")</f>
        <v/>
      </c>
    </row>
    <row r="959" spans="1:29" x14ac:dyDescent="0.2">
      <c r="A959" s="67" t="s">
        <v>2355</v>
      </c>
      <c r="B959" s="31">
        <f>IF(MasterFees[[#This Row],[RVG Code]]="","",_xlfn.XLOOKUP(MasterFees[[#This Row],[RVG Code]],RVGCodes[Code],RVGCodes[Base Units],"Code not found"))</f>
        <v>6</v>
      </c>
      <c r="C95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5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Urology</v>
      </c>
      <c r="E959" s="125" t="s">
        <v>2566</v>
      </c>
      <c r="F959" s="48" t="s">
        <v>2569</v>
      </c>
      <c r="G959" s="30" t="s">
        <v>521</v>
      </c>
      <c r="H959" s="37" t="s">
        <v>1095</v>
      </c>
      <c r="I959" s="37"/>
      <c r="J959" s="37" t="s">
        <v>1096</v>
      </c>
      <c r="K959" s="32">
        <v>5.3</v>
      </c>
      <c r="L959" s="32">
        <v>4.7</v>
      </c>
      <c r="M959" s="32">
        <v>1.3</v>
      </c>
      <c r="N959" s="32">
        <v>11.3</v>
      </c>
      <c r="O959" s="33">
        <v>622.6</v>
      </c>
      <c r="P959" s="38" t="s">
        <v>1014</v>
      </c>
      <c r="Q959" s="34" t="str">
        <f>IF(MasterFees[[#This Row],[GST Basis]]="Excl",MasterFees[[#This Row],[Fee as Printed]],IF(MasterFees[[#This Row],[GST Basis]]="Incl",MasterFees[[#This Row],[Fee as Printed]]/(1+GST_Rate),""))</f>
        <v/>
      </c>
      <c r="R959" s="34" t="str">
        <f>IF(MasterFees[[#This Row],[GST Basis]]="Incl",MasterFees[[#This Row],[Fee as Printed]],IF(MasterFees[[#This Row],[GST Basis]]="Excl",MasterFees[[#This Row],[Fee as Printed]]*(1+GST_Rate),""))</f>
        <v/>
      </c>
      <c r="S959" s="35">
        <f>IF(N(MasterFees[[#This Row],[Total Units]])=0,"",MasterFees[[#This Row],[Fee as Printed]]/MasterFees[[#This Row],[Total Units]])</f>
        <v>55.097345132743364</v>
      </c>
      <c r="T959" s="36"/>
      <c r="U959" s="39" t="s">
        <v>1012</v>
      </c>
      <c r="V959" s="39" t="s">
        <v>1616</v>
      </c>
      <c r="W959" s="30"/>
      <c r="X959" s="73" t="s">
        <v>3412</v>
      </c>
      <c r="Y959" s="127" t="str">
        <f>_xlfn.XLOOKUP(MasterFees[[#This Row],[Provider / Payer]],Contracts[Contract Name],Contracts[Contract ID],"No contract")</f>
        <v>CON-01</v>
      </c>
      <c r="Z959" s="127" t="str">
        <f>_xlfn.XLOOKUP(MasterFees[[#This Row],[Provider / Payer]],Contracts[Contract Name],Contracts[Pricing Basis],"To confirm")</f>
        <v>To confirm</v>
      </c>
      <c r="AA959" s="127" t="str">
        <f>IF(MasterFees[[#This Row],[Pricing Basis]]="Fixed fee schedule","Yes","No")</f>
        <v>No</v>
      </c>
      <c r="AB959" s="127" t="str">
        <f>IF(OR(MasterFees[[#This Row],[Fee Basis]]="Add-on",MasterFees[[#This Row],[Fee Basis]]="Time band",MasterFees[[#This Row],[Fee Basis]]="Other"),MasterFees[[#This Row],[Fee Basis]],"Base")</f>
        <v>Base</v>
      </c>
      <c r="AC959" s="141" t="str">
        <f>IF(MasterFees[[#This Row],[Fixed Fee?]]="Yes",MasterFees[[#This Row],[Fee Excl. GST]],"")</f>
        <v/>
      </c>
    </row>
    <row r="960" spans="1:29" x14ac:dyDescent="0.2">
      <c r="A960" s="67" t="s">
        <v>2357</v>
      </c>
      <c r="B960" s="31">
        <f>IF(MasterFees[[#This Row],[RVG Code]]="","",_xlfn.XLOOKUP(MasterFees[[#This Row],[RVG Code]],RVGCodes[Code],RVGCodes[Base Units],"Code not found"))</f>
        <v>8</v>
      </c>
      <c r="C96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6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Urology</v>
      </c>
      <c r="E960" s="125" t="s">
        <v>2711</v>
      </c>
      <c r="F960" s="48" t="s">
        <v>2565</v>
      </c>
      <c r="G960" s="30" t="s">
        <v>2358</v>
      </c>
      <c r="H960" s="37" t="s">
        <v>2630</v>
      </c>
      <c r="I960" s="37" t="s">
        <v>2357</v>
      </c>
      <c r="J960" s="37" t="s">
        <v>1096</v>
      </c>
      <c r="K960" s="32">
        <v>8</v>
      </c>
      <c r="L960" s="32"/>
      <c r="M960" s="32"/>
      <c r="N960" s="32">
        <v>8</v>
      </c>
      <c r="O960" s="33"/>
      <c r="P960" s="38"/>
      <c r="Q960" s="34" t="str">
        <f>IF(MasterFees[[#This Row],[GST Basis]]="Excl",MasterFees[[#This Row],[Fee as Printed]],IF(MasterFees[[#This Row],[GST Basis]]="Incl",MasterFees[[#This Row],[Fee as Printed]]/(1+GST_Rate),""))</f>
        <v/>
      </c>
      <c r="R960" s="34" t="str">
        <f>IF(MasterFees[[#This Row],[GST Basis]]="Incl",MasterFees[[#This Row],[Fee as Printed]],IF(MasterFees[[#This Row],[GST Basis]]="Excl",MasterFees[[#This Row],[Fee as Printed]]*(1+GST_Rate),""))</f>
        <v/>
      </c>
      <c r="S960" s="35">
        <f>IF(N(MasterFees[[#This Row],[Total Units]])=0,"",MasterFees[[#This Row],[Fee as Printed]]/MasterFees[[#This Row],[Total Units]])</f>
        <v>0</v>
      </c>
      <c r="T960" s="36"/>
      <c r="U960" s="39" t="s">
        <v>1016</v>
      </c>
      <c r="V960" s="39" t="s">
        <v>2644</v>
      </c>
      <c r="W960" s="30" t="s">
        <v>2632</v>
      </c>
      <c r="X960" s="73" t="s">
        <v>3947</v>
      </c>
      <c r="Y960" s="127" t="str">
        <f>_xlfn.XLOOKUP(MasterFees[[#This Row],[Provider / Payer]],Contracts[Contract Name],Contracts[Contract ID],"No contract")</f>
        <v>CON-10</v>
      </c>
      <c r="Z960" s="127" t="str">
        <f>_xlfn.XLOOKUP(MasterFees[[#This Row],[Provider / Payer]],Contracts[Contract Name],Contracts[Pricing Basis],"To confirm")</f>
        <v>Reference – units only</v>
      </c>
      <c r="AA960" s="127" t="str">
        <f>IF(MasterFees[[#This Row],[Pricing Basis]]="Fixed fee schedule","Yes","No")</f>
        <v>No</v>
      </c>
      <c r="AB960" s="127" t="str">
        <f>IF(OR(MasterFees[[#This Row],[Fee Basis]]="Add-on",MasterFees[[#This Row],[Fee Basis]]="Time band",MasterFees[[#This Row],[Fee Basis]]="Other"),MasterFees[[#This Row],[Fee Basis]],"Base")</f>
        <v>Base</v>
      </c>
      <c r="AC960" s="141" t="str">
        <f>IF(MasterFees[[#This Row],[Fixed Fee?]]="Yes",MasterFees[[#This Row],[Fee Excl. GST]],"")</f>
        <v/>
      </c>
    </row>
    <row r="961" spans="1:29" x14ac:dyDescent="0.2">
      <c r="A961" s="67" t="s">
        <v>2353</v>
      </c>
      <c r="B961" s="31">
        <f>IF(MasterFees[[#This Row],[RVG Code]]="","",_xlfn.XLOOKUP(MasterFees[[#This Row],[RVG Code]],RVGCodes[Code],RVGCodes[Base Units],"Code not found"))</f>
        <v>4</v>
      </c>
      <c r="C96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6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Urology</v>
      </c>
      <c r="E961" s="125" t="s">
        <v>2588</v>
      </c>
      <c r="F961" s="48" t="s">
        <v>2629</v>
      </c>
      <c r="G961" s="30" t="s">
        <v>2354</v>
      </c>
      <c r="H961" s="37" t="s">
        <v>2630</v>
      </c>
      <c r="I961" s="37" t="s">
        <v>2353</v>
      </c>
      <c r="J961" s="37" t="s">
        <v>1096</v>
      </c>
      <c r="K961" s="32">
        <v>4</v>
      </c>
      <c r="L961" s="32"/>
      <c r="M961" s="32"/>
      <c r="N961" s="32">
        <v>4</v>
      </c>
      <c r="O961" s="33"/>
      <c r="P961" s="38"/>
      <c r="Q961" s="34" t="str">
        <f>IF(MasterFees[[#This Row],[GST Basis]]="Excl",MasterFees[[#This Row],[Fee as Printed]],IF(MasterFees[[#This Row],[GST Basis]]="Incl",MasterFees[[#This Row],[Fee as Printed]]/(1+GST_Rate),""))</f>
        <v/>
      </c>
      <c r="R961" s="34" t="str">
        <f>IF(MasterFees[[#This Row],[GST Basis]]="Incl",MasterFees[[#This Row],[Fee as Printed]],IF(MasterFees[[#This Row],[GST Basis]]="Excl",MasterFees[[#This Row],[Fee as Printed]]*(1+GST_Rate),""))</f>
        <v/>
      </c>
      <c r="S961" s="35">
        <f>IF(N(MasterFees[[#This Row],[Total Units]])=0,"",MasterFees[[#This Row],[Fee as Printed]]/MasterFees[[#This Row],[Total Units]])</f>
        <v>0</v>
      </c>
      <c r="T961" s="36"/>
      <c r="U961" s="39" t="s">
        <v>1016</v>
      </c>
      <c r="V961" s="39" t="s">
        <v>2644</v>
      </c>
      <c r="W961" s="30" t="s">
        <v>2632</v>
      </c>
      <c r="X961" s="73" t="s">
        <v>3870</v>
      </c>
      <c r="Y961" s="127" t="str">
        <f>_xlfn.XLOOKUP(MasterFees[[#This Row],[Provider / Payer]],Contracts[Contract Name],Contracts[Contract ID],"No contract")</f>
        <v>CON-10</v>
      </c>
      <c r="Z961" s="127" t="str">
        <f>_xlfn.XLOOKUP(MasterFees[[#This Row],[Provider / Payer]],Contracts[Contract Name],Contracts[Pricing Basis],"To confirm")</f>
        <v>Reference – units only</v>
      </c>
      <c r="AA961" s="127" t="str">
        <f>IF(MasterFees[[#This Row],[Pricing Basis]]="Fixed fee schedule","Yes","No")</f>
        <v>No</v>
      </c>
      <c r="AB961" s="127" t="str">
        <f>IF(OR(MasterFees[[#This Row],[Fee Basis]]="Add-on",MasterFees[[#This Row],[Fee Basis]]="Time band",MasterFees[[#This Row],[Fee Basis]]="Other"),MasterFees[[#This Row],[Fee Basis]],"Base")</f>
        <v>Base</v>
      </c>
      <c r="AC961" s="141" t="str">
        <f>IF(MasterFees[[#This Row],[Fixed Fee?]]="Yes",MasterFees[[#This Row],[Fee Excl. GST]],"")</f>
        <v/>
      </c>
    </row>
    <row r="962" spans="1:29" x14ac:dyDescent="0.2">
      <c r="A962" s="67" t="s">
        <v>2355</v>
      </c>
      <c r="B962" s="31">
        <f>IF(MasterFees[[#This Row],[RVG Code]]="","",_xlfn.XLOOKUP(MasterFees[[#This Row],[RVG Code]],RVGCodes[Code],RVGCodes[Base Units],"Code not found"))</f>
        <v>6</v>
      </c>
      <c r="C96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6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Urology</v>
      </c>
      <c r="E962" s="125" t="s">
        <v>2566</v>
      </c>
      <c r="F962" s="48" t="s">
        <v>2629</v>
      </c>
      <c r="G962" s="30" t="s">
        <v>2356</v>
      </c>
      <c r="H962" s="37" t="s">
        <v>2630</v>
      </c>
      <c r="I962" s="37" t="s">
        <v>2355</v>
      </c>
      <c r="J962" s="37" t="s">
        <v>1096</v>
      </c>
      <c r="K962" s="32">
        <v>6</v>
      </c>
      <c r="L962" s="32"/>
      <c r="M962" s="32"/>
      <c r="N962" s="32">
        <v>6</v>
      </c>
      <c r="O962" s="33"/>
      <c r="P962" s="38"/>
      <c r="Q962" s="34" t="str">
        <f>IF(MasterFees[[#This Row],[GST Basis]]="Excl",MasterFees[[#This Row],[Fee as Printed]],IF(MasterFees[[#This Row],[GST Basis]]="Incl",MasterFees[[#This Row],[Fee as Printed]]/(1+GST_Rate),""))</f>
        <v/>
      </c>
      <c r="R962" s="34" t="str">
        <f>IF(MasterFees[[#This Row],[GST Basis]]="Incl",MasterFees[[#This Row],[Fee as Printed]],IF(MasterFees[[#This Row],[GST Basis]]="Excl",MasterFees[[#This Row],[Fee as Printed]]*(1+GST_Rate),""))</f>
        <v/>
      </c>
      <c r="S962" s="35">
        <f>IF(N(MasterFees[[#This Row],[Total Units]])=0,"",MasterFees[[#This Row],[Fee as Printed]]/MasterFees[[#This Row],[Total Units]])</f>
        <v>0</v>
      </c>
      <c r="T962" s="36"/>
      <c r="U962" s="39" t="s">
        <v>1016</v>
      </c>
      <c r="V962" s="39" t="s">
        <v>2644</v>
      </c>
      <c r="W962" s="30" t="s">
        <v>2632</v>
      </c>
      <c r="X962" s="73" t="s">
        <v>3878</v>
      </c>
      <c r="Y962" s="127" t="str">
        <f>_xlfn.XLOOKUP(MasterFees[[#This Row],[Provider / Payer]],Contracts[Contract Name],Contracts[Contract ID],"No contract")</f>
        <v>CON-10</v>
      </c>
      <c r="Z962" s="127" t="str">
        <f>_xlfn.XLOOKUP(MasterFees[[#This Row],[Provider / Payer]],Contracts[Contract Name],Contracts[Pricing Basis],"To confirm")</f>
        <v>Reference – units only</v>
      </c>
      <c r="AA962" s="127" t="str">
        <f>IF(MasterFees[[#This Row],[Pricing Basis]]="Fixed fee schedule","Yes","No")</f>
        <v>No</v>
      </c>
      <c r="AB962" s="127" t="str">
        <f>IF(OR(MasterFees[[#This Row],[Fee Basis]]="Add-on",MasterFees[[#This Row],[Fee Basis]]="Time band",MasterFees[[#This Row],[Fee Basis]]="Other"),MasterFees[[#This Row],[Fee Basis]],"Base")</f>
        <v>Base</v>
      </c>
      <c r="AC962" s="141" t="str">
        <f>IF(MasterFees[[#This Row],[Fixed Fee?]]="Yes",MasterFees[[#This Row],[Fee Excl. GST]],"")</f>
        <v/>
      </c>
    </row>
    <row r="963" spans="1:29" x14ac:dyDescent="0.2">
      <c r="A963" s="67" t="s">
        <v>2359</v>
      </c>
      <c r="B963" s="31">
        <f>IF(MasterFees[[#This Row],[RVG Code]]="","",_xlfn.XLOOKUP(MasterFees[[#This Row],[RVG Code]],RVGCodes[Code],RVGCodes[Base Units],"Code not found"))</f>
        <v>10</v>
      </c>
      <c r="C96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6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Urology</v>
      </c>
      <c r="E963" s="125" t="s">
        <v>2618</v>
      </c>
      <c r="F963" s="48" t="s">
        <v>2629</v>
      </c>
      <c r="G963" s="30" t="s">
        <v>2363</v>
      </c>
      <c r="H963" s="37" t="s">
        <v>2630</v>
      </c>
      <c r="I963" s="37" t="s">
        <v>2359</v>
      </c>
      <c r="J963" s="37" t="s">
        <v>1096</v>
      </c>
      <c r="K963" s="32">
        <v>4</v>
      </c>
      <c r="L963" s="32"/>
      <c r="M963" s="32"/>
      <c r="N963" s="32">
        <v>4</v>
      </c>
      <c r="O963" s="33"/>
      <c r="P963" s="38"/>
      <c r="Q963" s="34" t="str">
        <f>IF(MasterFees[[#This Row],[GST Basis]]="Excl",MasterFees[[#This Row],[Fee as Printed]],IF(MasterFees[[#This Row],[GST Basis]]="Incl",MasterFees[[#This Row],[Fee as Printed]]/(1+GST_Rate),""))</f>
        <v/>
      </c>
      <c r="R963" s="34" t="str">
        <f>IF(MasterFees[[#This Row],[GST Basis]]="Incl",MasterFees[[#This Row],[Fee as Printed]],IF(MasterFees[[#This Row],[GST Basis]]="Excl",MasterFees[[#This Row],[Fee as Printed]]*(1+GST_Rate),""))</f>
        <v/>
      </c>
      <c r="S963" s="35">
        <f>IF(N(MasterFees[[#This Row],[Total Units]])=0,"",MasterFees[[#This Row],[Fee as Printed]]/MasterFees[[#This Row],[Total Units]])</f>
        <v>0</v>
      </c>
      <c r="T963" s="36"/>
      <c r="U963" s="39" t="s">
        <v>1016</v>
      </c>
      <c r="V963" s="39" t="s">
        <v>2660</v>
      </c>
      <c r="W963" s="30" t="s">
        <v>2661</v>
      </c>
      <c r="X963" s="73" t="s">
        <v>3757</v>
      </c>
      <c r="Y963" s="127" t="str">
        <f>_xlfn.XLOOKUP(MasterFees[[#This Row],[Provider / Payer]],Contracts[Contract Name],Contracts[Contract ID],"No contract")</f>
        <v>CON-10</v>
      </c>
      <c r="Z963" s="127" t="str">
        <f>_xlfn.XLOOKUP(MasterFees[[#This Row],[Provider / Payer]],Contracts[Contract Name],Contracts[Pricing Basis],"To confirm")</f>
        <v>Reference – units only</v>
      </c>
      <c r="AA963" s="127" t="str">
        <f>IF(MasterFees[[#This Row],[Pricing Basis]]="Fixed fee schedule","Yes","No")</f>
        <v>No</v>
      </c>
      <c r="AB963" s="127" t="str">
        <f>IF(OR(MasterFees[[#This Row],[Fee Basis]]="Add-on",MasterFees[[#This Row],[Fee Basis]]="Time band",MasterFees[[#This Row],[Fee Basis]]="Other"),MasterFees[[#This Row],[Fee Basis]],"Base")</f>
        <v>Base</v>
      </c>
      <c r="AC963" s="141" t="str">
        <f>IF(MasterFees[[#This Row],[Fixed Fee?]]="Yes",MasterFees[[#This Row],[Fee Excl. GST]],"")</f>
        <v/>
      </c>
    </row>
    <row r="964" spans="1:29" x14ac:dyDescent="0.2">
      <c r="A964" s="67" t="s">
        <v>2359</v>
      </c>
      <c r="B964" s="31">
        <f>IF(MasterFees[[#This Row],[RVG Code]]="","",_xlfn.XLOOKUP(MasterFees[[#This Row],[RVG Code]],RVGCodes[Code],RVGCodes[Base Units],"Code not found"))</f>
        <v>10</v>
      </c>
      <c r="C96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6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Urology</v>
      </c>
      <c r="E964" s="125" t="s">
        <v>2618</v>
      </c>
      <c r="F964" s="48" t="s">
        <v>2569</v>
      </c>
      <c r="G964" s="30" t="s">
        <v>708</v>
      </c>
      <c r="H964" s="37" t="s">
        <v>1095</v>
      </c>
      <c r="I964" s="79"/>
      <c r="J964" s="37" t="s">
        <v>1096</v>
      </c>
      <c r="K964" s="32">
        <v>9.1999999999999993</v>
      </c>
      <c r="L964" s="32">
        <v>9.8000000000000007</v>
      </c>
      <c r="M964" s="32">
        <v>0.8</v>
      </c>
      <c r="N964" s="32">
        <v>19.8</v>
      </c>
      <c r="O964" s="33">
        <v>1086.8</v>
      </c>
      <c r="P964" s="38" t="s">
        <v>1014</v>
      </c>
      <c r="Q964" s="34" t="str">
        <f>IF(MasterFees[[#This Row],[GST Basis]]="Excl",MasterFees[[#This Row],[Fee as Printed]],IF(MasterFees[[#This Row],[GST Basis]]="Incl",MasterFees[[#This Row],[Fee as Printed]]/(1+GST_Rate),""))</f>
        <v/>
      </c>
      <c r="R964" s="34" t="str">
        <f>IF(MasterFees[[#This Row],[GST Basis]]="Incl",MasterFees[[#This Row],[Fee as Printed]],IF(MasterFees[[#This Row],[GST Basis]]="Excl",MasterFees[[#This Row],[Fee as Printed]]*(1+GST_Rate),""))</f>
        <v/>
      </c>
      <c r="S964" s="35">
        <f>IF(N(MasterFees[[#This Row],[Total Units]])=0,"",MasterFees[[#This Row],[Fee as Printed]]/MasterFees[[#This Row],[Total Units]])</f>
        <v>54.888888888888886</v>
      </c>
      <c r="T964" s="36"/>
      <c r="U964" s="39" t="s">
        <v>1012</v>
      </c>
      <c r="V964" s="39" t="s">
        <v>1805</v>
      </c>
      <c r="W964" s="30"/>
      <c r="X964" s="73" t="s">
        <v>3608</v>
      </c>
      <c r="Y964" s="127" t="str">
        <f>_xlfn.XLOOKUP(MasterFees[[#This Row],[Provider / Payer]],Contracts[Contract Name],Contracts[Contract ID],"No contract")</f>
        <v>CON-01</v>
      </c>
      <c r="Z964" s="127" t="str">
        <f>_xlfn.XLOOKUP(MasterFees[[#This Row],[Provider / Payer]],Contracts[Contract Name],Contracts[Pricing Basis],"To confirm")</f>
        <v>To confirm</v>
      </c>
      <c r="AA964" s="127" t="str">
        <f>IF(MasterFees[[#This Row],[Pricing Basis]]="Fixed fee schedule","Yes","No")</f>
        <v>No</v>
      </c>
      <c r="AB964" s="127" t="str">
        <f>IF(OR(MasterFees[[#This Row],[Fee Basis]]="Add-on",MasterFees[[#This Row],[Fee Basis]]="Time band",MasterFees[[#This Row],[Fee Basis]]="Other"),MasterFees[[#This Row],[Fee Basis]],"Base")</f>
        <v>Base</v>
      </c>
      <c r="AC964" s="141" t="str">
        <f>IF(MasterFees[[#This Row],[Fixed Fee?]]="Yes",MasterFees[[#This Row],[Fee Excl. GST]],"")</f>
        <v/>
      </c>
    </row>
    <row r="965" spans="1:29" x14ac:dyDescent="0.2">
      <c r="A965" s="67" t="s">
        <v>2359</v>
      </c>
      <c r="B965" s="31">
        <f>IF(MasterFees[[#This Row],[RVG Code]]="","",_xlfn.XLOOKUP(MasterFees[[#This Row],[RVG Code]],RVGCodes[Code],RVGCodes[Base Units],"Code not found"))</f>
        <v>10</v>
      </c>
      <c r="C96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6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Urology</v>
      </c>
      <c r="E965" s="125" t="s">
        <v>2618</v>
      </c>
      <c r="F965" s="48" t="s">
        <v>2567</v>
      </c>
      <c r="G965" s="30" t="s">
        <v>803</v>
      </c>
      <c r="H965" s="37" t="s">
        <v>1095</v>
      </c>
      <c r="I965" s="37"/>
      <c r="J965" s="37" t="s">
        <v>1096</v>
      </c>
      <c r="K965" s="32">
        <v>8</v>
      </c>
      <c r="L965" s="32">
        <v>21</v>
      </c>
      <c r="M965" s="32">
        <v>0</v>
      </c>
      <c r="N965" s="32">
        <v>29</v>
      </c>
      <c r="O965" s="33">
        <v>1595</v>
      </c>
      <c r="P965" s="38" t="s">
        <v>1014</v>
      </c>
      <c r="Q965" s="34" t="str">
        <f>IF(MasterFees[[#This Row],[GST Basis]]="Excl",MasterFees[[#This Row],[Fee as Printed]],IF(MasterFees[[#This Row],[GST Basis]]="Incl",MasterFees[[#This Row],[Fee as Printed]]/(1+GST_Rate),""))</f>
        <v/>
      </c>
      <c r="R965" s="34" t="str">
        <f>IF(MasterFees[[#This Row],[GST Basis]]="Incl",MasterFees[[#This Row],[Fee as Printed]],IF(MasterFees[[#This Row],[GST Basis]]="Excl",MasterFees[[#This Row],[Fee as Printed]]*(1+GST_Rate),""))</f>
        <v/>
      </c>
      <c r="S965" s="35">
        <f>IF(N(MasterFees[[#This Row],[Total Units]])=0,"",MasterFees[[#This Row],[Fee as Printed]]/MasterFees[[#This Row],[Total Units]])</f>
        <v>55</v>
      </c>
      <c r="T965" s="36"/>
      <c r="U965" s="39" t="s">
        <v>1012</v>
      </c>
      <c r="V965" s="39" t="s">
        <v>1906</v>
      </c>
      <c r="W965" s="30"/>
      <c r="X965" s="73" t="s">
        <v>3713</v>
      </c>
      <c r="Y965" s="127" t="str">
        <f>_xlfn.XLOOKUP(MasterFees[[#This Row],[Provider / Payer]],Contracts[Contract Name],Contracts[Contract ID],"No contract")</f>
        <v>CON-01</v>
      </c>
      <c r="Z965" s="127" t="str">
        <f>_xlfn.XLOOKUP(MasterFees[[#This Row],[Provider / Payer]],Contracts[Contract Name],Contracts[Pricing Basis],"To confirm")</f>
        <v>To confirm</v>
      </c>
      <c r="AA965" s="127" t="str">
        <f>IF(MasterFees[[#This Row],[Pricing Basis]]="Fixed fee schedule","Yes","No")</f>
        <v>No</v>
      </c>
      <c r="AB965" s="127" t="str">
        <f>IF(OR(MasterFees[[#This Row],[Fee Basis]]="Add-on",MasterFees[[#This Row],[Fee Basis]]="Time band",MasterFees[[#This Row],[Fee Basis]]="Other"),MasterFees[[#This Row],[Fee Basis]],"Base")</f>
        <v>Base</v>
      </c>
      <c r="AC965" s="141" t="str">
        <f>IF(MasterFees[[#This Row],[Fixed Fee?]]="Yes",MasterFees[[#This Row],[Fee Excl. GST]],"")</f>
        <v/>
      </c>
    </row>
    <row r="966" spans="1:29" x14ac:dyDescent="0.2">
      <c r="A966" s="67" t="s">
        <v>2359</v>
      </c>
      <c r="B966" s="31">
        <f>IF(MasterFees[[#This Row],[RVG Code]]="","",_xlfn.XLOOKUP(MasterFees[[#This Row],[RVG Code]],RVGCodes[Code],RVGCodes[Base Units],"Code not found"))</f>
        <v>10</v>
      </c>
      <c r="C96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6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Urology</v>
      </c>
      <c r="E966" s="125" t="s">
        <v>2618</v>
      </c>
      <c r="F966" s="48" t="s">
        <v>2569</v>
      </c>
      <c r="G966" s="30" t="s">
        <v>837</v>
      </c>
      <c r="H966" s="37" t="s">
        <v>1095</v>
      </c>
      <c r="I966" s="37"/>
      <c r="J966" s="37" t="s">
        <v>1096</v>
      </c>
      <c r="K966" s="32">
        <v>10</v>
      </c>
      <c r="L966" s="32">
        <v>15.2</v>
      </c>
      <c r="M966" s="32">
        <v>0.4</v>
      </c>
      <c r="N966" s="32">
        <v>25.6</v>
      </c>
      <c r="O966" s="33">
        <v>1409.65</v>
      </c>
      <c r="P966" s="38" t="s">
        <v>1014</v>
      </c>
      <c r="Q966" s="34" t="str">
        <f>IF(MasterFees[[#This Row],[GST Basis]]="Excl",MasterFees[[#This Row],[Fee as Printed]],IF(MasterFees[[#This Row],[GST Basis]]="Incl",MasterFees[[#This Row],[Fee as Printed]]/(1+GST_Rate),""))</f>
        <v/>
      </c>
      <c r="R966" s="34" t="str">
        <f>IF(MasterFees[[#This Row],[GST Basis]]="Incl",MasterFees[[#This Row],[Fee as Printed]],IF(MasterFees[[#This Row],[GST Basis]]="Excl",MasterFees[[#This Row],[Fee as Printed]]*(1+GST_Rate),""))</f>
        <v/>
      </c>
      <c r="S966" s="35">
        <f>IF(N(MasterFees[[#This Row],[Total Units]])=0,"",MasterFees[[#This Row],[Fee as Printed]]/MasterFees[[#This Row],[Total Units]])</f>
        <v>55.064453125</v>
      </c>
      <c r="T966" s="36"/>
      <c r="U966" s="39" t="s">
        <v>1012</v>
      </c>
      <c r="V966" s="39" t="s">
        <v>1940</v>
      </c>
      <c r="W966" s="30"/>
      <c r="X966" s="73" t="s">
        <v>3750</v>
      </c>
      <c r="Y966" s="127" t="str">
        <f>_xlfn.XLOOKUP(MasterFees[[#This Row],[Provider / Payer]],Contracts[Contract Name],Contracts[Contract ID],"No contract")</f>
        <v>CON-01</v>
      </c>
      <c r="Z966" s="127" t="str">
        <f>_xlfn.XLOOKUP(MasterFees[[#This Row],[Provider / Payer]],Contracts[Contract Name],Contracts[Pricing Basis],"To confirm")</f>
        <v>To confirm</v>
      </c>
      <c r="AA966" s="127" t="str">
        <f>IF(MasterFees[[#This Row],[Pricing Basis]]="Fixed fee schedule","Yes","No")</f>
        <v>No</v>
      </c>
      <c r="AB966" s="127" t="str">
        <f>IF(OR(MasterFees[[#This Row],[Fee Basis]]="Add-on",MasterFees[[#This Row],[Fee Basis]]="Time band",MasterFees[[#This Row],[Fee Basis]]="Other"),MasterFees[[#This Row],[Fee Basis]],"Base")</f>
        <v>Base</v>
      </c>
      <c r="AC966" s="141" t="str">
        <f>IF(MasterFees[[#This Row],[Fixed Fee?]]="Yes",MasterFees[[#This Row],[Fee Excl. GST]],"")</f>
        <v/>
      </c>
    </row>
    <row r="967" spans="1:29" x14ac:dyDescent="0.2">
      <c r="A967" s="67" t="s">
        <v>2359</v>
      </c>
      <c r="B967" s="31">
        <f>IF(MasterFees[[#This Row],[RVG Code]]="","",_xlfn.XLOOKUP(MasterFees[[#This Row],[RVG Code]],RVGCodes[Code],RVGCodes[Base Units],"Code not found"))</f>
        <v>10</v>
      </c>
      <c r="C96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6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Urology</v>
      </c>
      <c r="E967" s="125" t="s">
        <v>2618</v>
      </c>
      <c r="F967" s="48" t="s">
        <v>2569</v>
      </c>
      <c r="G967" s="30" t="s">
        <v>838</v>
      </c>
      <c r="H967" s="37" t="s">
        <v>1095</v>
      </c>
      <c r="I967" s="37"/>
      <c r="J967" s="37" t="s">
        <v>1096</v>
      </c>
      <c r="K967" s="32">
        <v>9.9</v>
      </c>
      <c r="L967" s="32">
        <v>15.4</v>
      </c>
      <c r="M967" s="32">
        <v>0.6</v>
      </c>
      <c r="N967" s="32">
        <v>25.9</v>
      </c>
      <c r="O967" s="33">
        <v>1423.95</v>
      </c>
      <c r="P967" s="38" t="s">
        <v>1014</v>
      </c>
      <c r="Q967" s="34" t="str">
        <f>IF(MasterFees[[#This Row],[GST Basis]]="Excl",MasterFees[[#This Row],[Fee as Printed]],IF(MasterFees[[#This Row],[GST Basis]]="Incl",MasterFees[[#This Row],[Fee as Printed]]/(1+GST_Rate),""))</f>
        <v/>
      </c>
      <c r="R967" s="34" t="str">
        <f>IF(MasterFees[[#This Row],[GST Basis]]="Incl",MasterFees[[#This Row],[Fee as Printed]],IF(MasterFees[[#This Row],[GST Basis]]="Excl",MasterFees[[#This Row],[Fee as Printed]]*(1+GST_Rate),""))</f>
        <v/>
      </c>
      <c r="S967" s="35">
        <f>IF(N(MasterFees[[#This Row],[Total Units]])=0,"",MasterFees[[#This Row],[Fee as Printed]]/MasterFees[[#This Row],[Total Units]])</f>
        <v>54.978764478764482</v>
      </c>
      <c r="T967" s="36"/>
      <c r="U967" s="39" t="s">
        <v>1012</v>
      </c>
      <c r="V967" s="39" t="s">
        <v>1941</v>
      </c>
      <c r="W967" s="30"/>
      <c r="X967" s="73" t="s">
        <v>3751</v>
      </c>
      <c r="Y967" s="127" t="str">
        <f>_xlfn.XLOOKUP(MasterFees[[#This Row],[Provider / Payer]],Contracts[Contract Name],Contracts[Contract ID],"No contract")</f>
        <v>CON-01</v>
      </c>
      <c r="Z967" s="127" t="str">
        <f>_xlfn.XLOOKUP(MasterFees[[#This Row],[Provider / Payer]],Contracts[Contract Name],Contracts[Pricing Basis],"To confirm")</f>
        <v>To confirm</v>
      </c>
      <c r="AA967" s="127" t="str">
        <f>IF(MasterFees[[#This Row],[Pricing Basis]]="Fixed fee schedule","Yes","No")</f>
        <v>No</v>
      </c>
      <c r="AB967" s="127" t="str">
        <f>IF(OR(MasterFees[[#This Row],[Fee Basis]]="Add-on",MasterFees[[#This Row],[Fee Basis]]="Time band",MasterFees[[#This Row],[Fee Basis]]="Other"),MasterFees[[#This Row],[Fee Basis]],"Base")</f>
        <v>Base</v>
      </c>
      <c r="AC967" s="141" t="str">
        <f>IF(MasterFees[[#This Row],[Fixed Fee?]]="Yes",MasterFees[[#This Row],[Fee Excl. GST]],"")</f>
        <v/>
      </c>
    </row>
    <row r="968" spans="1:29" x14ac:dyDescent="0.2">
      <c r="A968" s="67" t="s">
        <v>2359</v>
      </c>
      <c r="B968" s="31">
        <f>IF(MasterFees[[#This Row],[RVG Code]]="","",_xlfn.XLOOKUP(MasterFees[[#This Row],[RVG Code]],RVGCodes[Code],RVGCodes[Base Units],"Code not found"))</f>
        <v>10</v>
      </c>
      <c r="C96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6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Urology</v>
      </c>
      <c r="E968" s="125" t="s">
        <v>2618</v>
      </c>
      <c r="F968" s="48" t="s">
        <v>2569</v>
      </c>
      <c r="G968" s="30" t="s">
        <v>839</v>
      </c>
      <c r="H968" s="37" t="s">
        <v>1095</v>
      </c>
      <c r="I968" s="37"/>
      <c r="J968" s="37" t="s">
        <v>1096</v>
      </c>
      <c r="K968" s="32">
        <v>10</v>
      </c>
      <c r="L968" s="32">
        <v>16.5</v>
      </c>
      <c r="M968" s="32">
        <v>0.5</v>
      </c>
      <c r="N968" s="32">
        <v>27</v>
      </c>
      <c r="O968" s="33">
        <v>1485</v>
      </c>
      <c r="P968" s="38" t="s">
        <v>1014</v>
      </c>
      <c r="Q968" s="34" t="str">
        <f>IF(MasterFees[[#This Row],[GST Basis]]="Excl",MasterFees[[#This Row],[Fee as Printed]],IF(MasterFees[[#This Row],[GST Basis]]="Incl",MasterFees[[#This Row],[Fee as Printed]]/(1+GST_Rate),""))</f>
        <v/>
      </c>
      <c r="R968" s="34" t="str">
        <f>IF(MasterFees[[#This Row],[GST Basis]]="Incl",MasterFees[[#This Row],[Fee as Printed]],IF(MasterFees[[#This Row],[GST Basis]]="Excl",MasterFees[[#This Row],[Fee as Printed]]*(1+GST_Rate),""))</f>
        <v/>
      </c>
      <c r="S968" s="35">
        <f>IF(N(MasterFees[[#This Row],[Total Units]])=0,"",MasterFees[[#This Row],[Fee as Printed]]/MasterFees[[#This Row],[Total Units]])</f>
        <v>55</v>
      </c>
      <c r="T968" s="36"/>
      <c r="U968" s="39" t="s">
        <v>1012</v>
      </c>
      <c r="V968" s="39" t="s">
        <v>1942</v>
      </c>
      <c r="W968" s="30"/>
      <c r="X968" s="73" t="s">
        <v>3752</v>
      </c>
      <c r="Y968" s="127" t="str">
        <f>_xlfn.XLOOKUP(MasterFees[[#This Row],[Provider / Payer]],Contracts[Contract Name],Contracts[Contract ID],"No contract")</f>
        <v>CON-01</v>
      </c>
      <c r="Z968" s="127" t="str">
        <f>_xlfn.XLOOKUP(MasterFees[[#This Row],[Provider / Payer]],Contracts[Contract Name],Contracts[Pricing Basis],"To confirm")</f>
        <v>To confirm</v>
      </c>
      <c r="AA968" s="127" t="str">
        <f>IF(MasterFees[[#This Row],[Pricing Basis]]="Fixed fee schedule","Yes","No")</f>
        <v>No</v>
      </c>
      <c r="AB968" s="127" t="str">
        <f>IF(OR(MasterFees[[#This Row],[Fee Basis]]="Add-on",MasterFees[[#This Row],[Fee Basis]]="Time band",MasterFees[[#This Row],[Fee Basis]]="Other"),MasterFees[[#This Row],[Fee Basis]],"Base")</f>
        <v>Base</v>
      </c>
      <c r="AC968" s="141" t="str">
        <f>IF(MasterFees[[#This Row],[Fixed Fee?]]="Yes",MasterFees[[#This Row],[Fee Excl. GST]],"")</f>
        <v/>
      </c>
    </row>
    <row r="969" spans="1:29" x14ac:dyDescent="0.2">
      <c r="A969" s="67" t="s">
        <v>2359</v>
      </c>
      <c r="B969" s="31">
        <f>IF(MasterFees[[#This Row],[RVG Code]]="","",_xlfn.XLOOKUP(MasterFees[[#This Row],[RVG Code]],RVGCodes[Code],RVGCodes[Base Units],"Code not found"))</f>
        <v>10</v>
      </c>
      <c r="C96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6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Urology</v>
      </c>
      <c r="E969" s="125" t="s">
        <v>2618</v>
      </c>
      <c r="F969" s="48" t="s">
        <v>2569</v>
      </c>
      <c r="G969" s="30" t="s">
        <v>840</v>
      </c>
      <c r="H969" s="37" t="s">
        <v>1095</v>
      </c>
      <c r="I969" s="37"/>
      <c r="J969" s="37" t="s">
        <v>1096</v>
      </c>
      <c r="K969" s="32">
        <v>9.9</v>
      </c>
      <c r="L969" s="32">
        <v>17.5</v>
      </c>
      <c r="M969" s="32">
        <v>0.5</v>
      </c>
      <c r="N969" s="32">
        <v>28</v>
      </c>
      <c r="O969" s="33">
        <v>1537.25</v>
      </c>
      <c r="P969" s="38" t="s">
        <v>1014</v>
      </c>
      <c r="Q969" s="34" t="str">
        <f>IF(MasterFees[[#This Row],[GST Basis]]="Excl",MasterFees[[#This Row],[Fee as Printed]],IF(MasterFees[[#This Row],[GST Basis]]="Incl",MasterFees[[#This Row],[Fee as Printed]]/(1+GST_Rate),""))</f>
        <v/>
      </c>
      <c r="R969" s="34" t="str">
        <f>IF(MasterFees[[#This Row],[GST Basis]]="Incl",MasterFees[[#This Row],[Fee as Printed]],IF(MasterFees[[#This Row],[GST Basis]]="Excl",MasterFees[[#This Row],[Fee as Printed]]*(1+GST_Rate),""))</f>
        <v/>
      </c>
      <c r="S969" s="35">
        <f>IF(N(MasterFees[[#This Row],[Total Units]])=0,"",MasterFees[[#This Row],[Fee as Printed]]/MasterFees[[#This Row],[Total Units]])</f>
        <v>54.901785714285715</v>
      </c>
      <c r="T969" s="36"/>
      <c r="U969" s="39" t="s">
        <v>1012</v>
      </c>
      <c r="V969" s="39" t="s">
        <v>1943</v>
      </c>
      <c r="W969" s="30"/>
      <c r="X969" s="73" t="s">
        <v>3753</v>
      </c>
      <c r="Y969" s="127" t="str">
        <f>_xlfn.XLOOKUP(MasterFees[[#This Row],[Provider / Payer]],Contracts[Contract Name],Contracts[Contract ID],"No contract")</f>
        <v>CON-01</v>
      </c>
      <c r="Z969" s="127" t="str">
        <f>_xlfn.XLOOKUP(MasterFees[[#This Row],[Provider / Payer]],Contracts[Contract Name],Contracts[Pricing Basis],"To confirm")</f>
        <v>To confirm</v>
      </c>
      <c r="AA969" s="127" t="str">
        <f>IF(MasterFees[[#This Row],[Pricing Basis]]="Fixed fee schedule","Yes","No")</f>
        <v>No</v>
      </c>
      <c r="AB969" s="127" t="str">
        <f>IF(OR(MasterFees[[#This Row],[Fee Basis]]="Add-on",MasterFees[[#This Row],[Fee Basis]]="Time band",MasterFees[[#This Row],[Fee Basis]]="Other"),MasterFees[[#This Row],[Fee Basis]],"Base")</f>
        <v>Base</v>
      </c>
      <c r="AC969" s="141" t="str">
        <f>IF(MasterFees[[#This Row],[Fixed Fee?]]="Yes",MasterFees[[#This Row],[Fee Excl. GST]],"")</f>
        <v/>
      </c>
    </row>
    <row r="970" spans="1:29" x14ac:dyDescent="0.2">
      <c r="A970" s="67" t="s">
        <v>2359</v>
      </c>
      <c r="B970" s="31">
        <f>IF(MasterFees[[#This Row],[RVG Code]]="","",_xlfn.XLOOKUP(MasterFees[[#This Row],[RVG Code]],RVGCodes[Code],RVGCodes[Base Units],"Code not found"))</f>
        <v>10</v>
      </c>
      <c r="C97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7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Urology</v>
      </c>
      <c r="E970" s="125" t="s">
        <v>2618</v>
      </c>
      <c r="F970" s="48" t="s">
        <v>2569</v>
      </c>
      <c r="G970" s="30" t="s">
        <v>841</v>
      </c>
      <c r="H970" s="37" t="s">
        <v>1095</v>
      </c>
      <c r="I970" s="37"/>
      <c r="J970" s="37" t="s">
        <v>1096</v>
      </c>
      <c r="K970" s="32">
        <v>9.8000000000000007</v>
      </c>
      <c r="L970" s="32">
        <v>15.1</v>
      </c>
      <c r="M970" s="32">
        <v>0.4</v>
      </c>
      <c r="N970" s="32">
        <v>25.4</v>
      </c>
      <c r="O970" s="33">
        <v>1394.8</v>
      </c>
      <c r="P970" s="38" t="s">
        <v>1014</v>
      </c>
      <c r="Q970" s="34" t="str">
        <f>IF(MasterFees[[#This Row],[GST Basis]]="Excl",MasterFees[[#This Row],[Fee as Printed]],IF(MasterFees[[#This Row],[GST Basis]]="Incl",MasterFees[[#This Row],[Fee as Printed]]/(1+GST_Rate),""))</f>
        <v/>
      </c>
      <c r="R970" s="34" t="str">
        <f>IF(MasterFees[[#This Row],[GST Basis]]="Incl",MasterFees[[#This Row],[Fee as Printed]],IF(MasterFees[[#This Row],[GST Basis]]="Excl",MasterFees[[#This Row],[Fee as Printed]]*(1+GST_Rate),""))</f>
        <v/>
      </c>
      <c r="S970" s="35">
        <f>IF(N(MasterFees[[#This Row],[Total Units]])=0,"",MasterFees[[#This Row],[Fee as Printed]]/MasterFees[[#This Row],[Total Units]])</f>
        <v>54.913385826771652</v>
      </c>
      <c r="T970" s="36"/>
      <c r="U970" s="39" t="s">
        <v>1012</v>
      </c>
      <c r="V970" s="39" t="s">
        <v>1944</v>
      </c>
      <c r="W970" s="30"/>
      <c r="X970" s="73" t="s">
        <v>3754</v>
      </c>
      <c r="Y970" s="127" t="str">
        <f>_xlfn.XLOOKUP(MasterFees[[#This Row],[Provider / Payer]],Contracts[Contract Name],Contracts[Contract ID],"No contract")</f>
        <v>CON-01</v>
      </c>
      <c r="Z970" s="127" t="str">
        <f>_xlfn.XLOOKUP(MasterFees[[#This Row],[Provider / Payer]],Contracts[Contract Name],Contracts[Pricing Basis],"To confirm")</f>
        <v>To confirm</v>
      </c>
      <c r="AA970" s="127" t="str">
        <f>IF(MasterFees[[#This Row],[Pricing Basis]]="Fixed fee schedule","Yes","No")</f>
        <v>No</v>
      </c>
      <c r="AB970" s="127" t="str">
        <f>IF(OR(MasterFees[[#This Row],[Fee Basis]]="Add-on",MasterFees[[#This Row],[Fee Basis]]="Time band",MasterFees[[#This Row],[Fee Basis]]="Other"),MasterFees[[#This Row],[Fee Basis]],"Base")</f>
        <v>Base</v>
      </c>
      <c r="AC970" s="141" t="str">
        <f>IF(MasterFees[[#This Row],[Fixed Fee?]]="Yes",MasterFees[[#This Row],[Fee Excl. GST]],"")</f>
        <v/>
      </c>
    </row>
    <row r="971" spans="1:29" x14ac:dyDescent="0.2">
      <c r="A971" s="67" t="s">
        <v>2359</v>
      </c>
      <c r="B971" s="31">
        <f>IF(MasterFees[[#This Row],[RVG Code]]="","",_xlfn.XLOOKUP(MasterFees[[#This Row],[RVG Code]],RVGCodes[Code],RVGCodes[Base Units],"Code not found"))</f>
        <v>10</v>
      </c>
      <c r="C97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7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Urology</v>
      </c>
      <c r="E971" s="125" t="s">
        <v>2618</v>
      </c>
      <c r="F971" s="48" t="s">
        <v>2569</v>
      </c>
      <c r="G971" s="30" t="s">
        <v>842</v>
      </c>
      <c r="H971" s="37" t="s">
        <v>1095</v>
      </c>
      <c r="I971" s="37"/>
      <c r="J971" s="37" t="s">
        <v>1096</v>
      </c>
      <c r="K971" s="32">
        <v>9.5</v>
      </c>
      <c r="L971" s="32">
        <v>15.5</v>
      </c>
      <c r="M971" s="32">
        <v>0.7</v>
      </c>
      <c r="N971" s="32">
        <v>25.8</v>
      </c>
      <c r="O971" s="33">
        <v>1418.45</v>
      </c>
      <c r="P971" s="38" t="s">
        <v>1014</v>
      </c>
      <c r="Q971" s="34" t="str">
        <f>IF(MasterFees[[#This Row],[GST Basis]]="Excl",MasterFees[[#This Row],[Fee as Printed]],IF(MasterFees[[#This Row],[GST Basis]]="Incl",MasterFees[[#This Row],[Fee as Printed]]/(1+GST_Rate),""))</f>
        <v/>
      </c>
      <c r="R971" s="34" t="str">
        <f>IF(MasterFees[[#This Row],[GST Basis]]="Incl",MasterFees[[#This Row],[Fee as Printed]],IF(MasterFees[[#This Row],[GST Basis]]="Excl",MasterFees[[#This Row],[Fee as Printed]]*(1+GST_Rate),""))</f>
        <v/>
      </c>
      <c r="S971" s="35">
        <f>IF(N(MasterFees[[#This Row],[Total Units]])=0,"",MasterFees[[#This Row],[Fee as Printed]]/MasterFees[[#This Row],[Total Units]])</f>
        <v>54.978682170542633</v>
      </c>
      <c r="T971" s="36"/>
      <c r="U971" s="39" t="s">
        <v>1012</v>
      </c>
      <c r="V971" s="39" t="s">
        <v>1945</v>
      </c>
      <c r="W971" s="30"/>
      <c r="X971" s="73" t="s">
        <v>3755</v>
      </c>
      <c r="Y971" s="127" t="str">
        <f>_xlfn.XLOOKUP(MasterFees[[#This Row],[Provider / Payer]],Contracts[Contract Name],Contracts[Contract ID],"No contract")</f>
        <v>CON-01</v>
      </c>
      <c r="Z971" s="127" t="str">
        <f>_xlfn.XLOOKUP(MasterFees[[#This Row],[Provider / Payer]],Contracts[Contract Name],Contracts[Pricing Basis],"To confirm")</f>
        <v>To confirm</v>
      </c>
      <c r="AA971" s="127" t="str">
        <f>IF(MasterFees[[#This Row],[Pricing Basis]]="Fixed fee schedule","Yes","No")</f>
        <v>No</v>
      </c>
      <c r="AB971" s="127" t="str">
        <f>IF(OR(MasterFees[[#This Row],[Fee Basis]]="Add-on",MasterFees[[#This Row],[Fee Basis]]="Time band",MasterFees[[#This Row],[Fee Basis]]="Other"),MasterFees[[#This Row],[Fee Basis]],"Base")</f>
        <v>Base</v>
      </c>
      <c r="AC971" s="141" t="str">
        <f>IF(MasterFees[[#This Row],[Fixed Fee?]]="Yes",MasterFees[[#This Row],[Fee Excl. GST]],"")</f>
        <v/>
      </c>
    </row>
    <row r="972" spans="1:29" x14ac:dyDescent="0.2">
      <c r="A972" s="67" t="s">
        <v>2353</v>
      </c>
      <c r="B972" s="31">
        <f>IF(MasterFees[[#This Row],[RVG Code]]="","",_xlfn.XLOOKUP(MasterFees[[#This Row],[RVG Code]],RVGCodes[Code],RVGCodes[Base Units],"Code not found"))</f>
        <v>4</v>
      </c>
      <c r="C97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7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Urology</v>
      </c>
      <c r="E972" s="125" t="s">
        <v>2588</v>
      </c>
      <c r="F972" s="48" t="s">
        <v>2569</v>
      </c>
      <c r="G972" s="30" t="s">
        <v>850</v>
      </c>
      <c r="H972" s="37" t="s">
        <v>1095</v>
      </c>
      <c r="I972" s="37"/>
      <c r="J972" s="37" t="s">
        <v>1096</v>
      </c>
      <c r="K972" s="32">
        <v>0</v>
      </c>
      <c r="L972" s="32">
        <v>0</v>
      </c>
      <c r="M972" s="32">
        <v>0</v>
      </c>
      <c r="N972" s="32">
        <v>0</v>
      </c>
      <c r="O972" s="33">
        <v>0</v>
      </c>
      <c r="P972" s="38" t="s">
        <v>1014</v>
      </c>
      <c r="Q972" s="34" t="str">
        <f>IF(MasterFees[[#This Row],[GST Basis]]="Excl",MasterFees[[#This Row],[Fee as Printed]],IF(MasterFees[[#This Row],[GST Basis]]="Incl",MasterFees[[#This Row],[Fee as Printed]]/(1+GST_Rate),""))</f>
        <v/>
      </c>
      <c r="R972" s="34" t="str">
        <f>IF(MasterFees[[#This Row],[GST Basis]]="Incl",MasterFees[[#This Row],[Fee as Printed]],IF(MasterFees[[#This Row],[GST Basis]]="Excl",MasterFees[[#This Row],[Fee as Printed]]*(1+GST_Rate),""))</f>
        <v/>
      </c>
      <c r="S972" s="35" t="str">
        <f>IF(N(MasterFees[[#This Row],[Total Units]])=0,"",MasterFees[[#This Row],[Fee as Printed]]/MasterFees[[#This Row],[Total Units]])</f>
        <v/>
      </c>
      <c r="T972" s="36"/>
      <c r="U972" s="39" t="s">
        <v>1012</v>
      </c>
      <c r="V972" s="39" t="s">
        <v>1953</v>
      </c>
      <c r="W972" s="30"/>
      <c r="X972" s="73" t="s">
        <v>3767</v>
      </c>
      <c r="Y972" s="127" t="str">
        <f>_xlfn.XLOOKUP(MasterFees[[#This Row],[Provider / Payer]],Contracts[Contract Name],Contracts[Contract ID],"No contract")</f>
        <v>CON-01</v>
      </c>
      <c r="Z972" s="127" t="str">
        <f>_xlfn.XLOOKUP(MasterFees[[#This Row],[Provider / Payer]],Contracts[Contract Name],Contracts[Pricing Basis],"To confirm")</f>
        <v>To confirm</v>
      </c>
      <c r="AA972" s="127" t="str">
        <f>IF(MasterFees[[#This Row],[Pricing Basis]]="Fixed fee schedule","Yes","No")</f>
        <v>No</v>
      </c>
      <c r="AB972" s="127" t="str">
        <f>IF(OR(MasterFees[[#This Row],[Fee Basis]]="Add-on",MasterFees[[#This Row],[Fee Basis]]="Time band",MasterFees[[#This Row],[Fee Basis]]="Other"),MasterFees[[#This Row],[Fee Basis]],"Base")</f>
        <v>Base</v>
      </c>
      <c r="AC972" s="141" t="str">
        <f>IF(MasterFees[[#This Row],[Fixed Fee?]]="Yes",MasterFees[[#This Row],[Fee Excl. GST]],"")</f>
        <v/>
      </c>
    </row>
    <row r="973" spans="1:29" x14ac:dyDescent="0.2">
      <c r="A973" s="67" t="s">
        <v>2353</v>
      </c>
      <c r="B973" s="31">
        <f>IF(MasterFees[[#This Row],[RVG Code]]="","",_xlfn.XLOOKUP(MasterFees[[#This Row],[RVG Code]],RVGCodes[Code],RVGCodes[Base Units],"Code not found"))</f>
        <v>4</v>
      </c>
      <c r="C97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7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Urology</v>
      </c>
      <c r="E973" s="125" t="s">
        <v>2588</v>
      </c>
      <c r="F973" s="48" t="s">
        <v>2569</v>
      </c>
      <c r="G973" s="30" t="s">
        <v>933</v>
      </c>
      <c r="H973" s="37" t="s">
        <v>1095</v>
      </c>
      <c r="I973" s="37"/>
      <c r="J973" s="37" t="s">
        <v>1096</v>
      </c>
      <c r="K973" s="32">
        <v>4.0999999999999996</v>
      </c>
      <c r="L973" s="32">
        <v>2.5</v>
      </c>
      <c r="M973" s="32">
        <v>0.6</v>
      </c>
      <c r="N973" s="32">
        <v>7.2</v>
      </c>
      <c r="O973" s="33">
        <v>395.45</v>
      </c>
      <c r="P973" s="38" t="s">
        <v>1014</v>
      </c>
      <c r="Q973" s="34" t="str">
        <f>IF(MasterFees[[#This Row],[GST Basis]]="Excl",MasterFees[[#This Row],[Fee as Printed]],IF(MasterFees[[#This Row],[GST Basis]]="Incl",MasterFees[[#This Row],[Fee as Printed]]/(1+GST_Rate),""))</f>
        <v/>
      </c>
      <c r="R973" s="34" t="str">
        <f>IF(MasterFees[[#This Row],[GST Basis]]="Incl",MasterFees[[#This Row],[Fee as Printed]],IF(MasterFees[[#This Row],[GST Basis]]="Excl",MasterFees[[#This Row],[Fee as Printed]]*(1+GST_Rate),""))</f>
        <v/>
      </c>
      <c r="S973" s="35">
        <f>IF(N(MasterFees[[#This Row],[Total Units]])=0,"",MasterFees[[#This Row],[Fee as Printed]]/MasterFees[[#This Row],[Total Units]])</f>
        <v>54.923611111111107</v>
      </c>
      <c r="T973" s="36"/>
      <c r="U973" s="39" t="s">
        <v>1012</v>
      </c>
      <c r="V973" s="39" t="s">
        <v>2036</v>
      </c>
      <c r="W973" s="30"/>
      <c r="X973" s="73" t="s">
        <v>3868</v>
      </c>
      <c r="Y973" s="127" t="str">
        <f>_xlfn.XLOOKUP(MasterFees[[#This Row],[Provider / Payer]],Contracts[Contract Name],Contracts[Contract ID],"No contract")</f>
        <v>CON-01</v>
      </c>
      <c r="Z973" s="127" t="str">
        <f>_xlfn.XLOOKUP(MasterFees[[#This Row],[Provider / Payer]],Contracts[Contract Name],Contracts[Pricing Basis],"To confirm")</f>
        <v>To confirm</v>
      </c>
      <c r="AA973" s="127" t="str">
        <f>IF(MasterFees[[#This Row],[Pricing Basis]]="Fixed fee schedule","Yes","No")</f>
        <v>No</v>
      </c>
      <c r="AB973" s="127" t="str">
        <f>IF(OR(MasterFees[[#This Row],[Fee Basis]]="Add-on",MasterFees[[#This Row],[Fee Basis]]="Time band",MasterFees[[#This Row],[Fee Basis]]="Other"),MasterFees[[#This Row],[Fee Basis]],"Base")</f>
        <v>Base</v>
      </c>
      <c r="AC973" s="141" t="str">
        <f>IF(MasterFees[[#This Row],[Fixed Fee?]]="Yes",MasterFees[[#This Row],[Fee Excl. GST]],"")</f>
        <v/>
      </c>
    </row>
    <row r="974" spans="1:29" x14ac:dyDescent="0.2">
      <c r="A974" s="67" t="s">
        <v>2353</v>
      </c>
      <c r="B974" s="31">
        <f>IF(MasterFees[[#This Row],[RVG Code]]="","",_xlfn.XLOOKUP(MasterFees[[#This Row],[RVG Code]],RVGCodes[Code],RVGCodes[Base Units],"Code not found"))</f>
        <v>4</v>
      </c>
      <c r="C97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7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Urology</v>
      </c>
      <c r="E974" s="125" t="s">
        <v>2588</v>
      </c>
      <c r="F974" s="48" t="s">
        <v>2569</v>
      </c>
      <c r="G974" s="30" t="s">
        <v>934</v>
      </c>
      <c r="H974" s="37" t="s">
        <v>1095</v>
      </c>
      <c r="I974" s="37"/>
      <c r="J974" s="37" t="s">
        <v>1096</v>
      </c>
      <c r="K974" s="32">
        <v>4.0999999999999996</v>
      </c>
      <c r="L974" s="32">
        <v>2.6</v>
      </c>
      <c r="M974" s="32">
        <v>0.8</v>
      </c>
      <c r="N974" s="32">
        <v>7.5</v>
      </c>
      <c r="O974" s="33">
        <v>414.15</v>
      </c>
      <c r="P974" s="38" t="s">
        <v>1014</v>
      </c>
      <c r="Q974" s="34" t="str">
        <f>IF(MasterFees[[#This Row],[GST Basis]]="Excl",MasterFees[[#This Row],[Fee as Printed]],IF(MasterFees[[#This Row],[GST Basis]]="Incl",MasterFees[[#This Row],[Fee as Printed]]/(1+GST_Rate),""))</f>
        <v/>
      </c>
      <c r="R974" s="34" t="str">
        <f>IF(MasterFees[[#This Row],[GST Basis]]="Incl",MasterFees[[#This Row],[Fee as Printed]],IF(MasterFees[[#This Row],[GST Basis]]="Excl",MasterFees[[#This Row],[Fee as Printed]]*(1+GST_Rate),""))</f>
        <v/>
      </c>
      <c r="S974" s="35">
        <f>IF(N(MasterFees[[#This Row],[Total Units]])=0,"",MasterFees[[#This Row],[Fee as Printed]]/MasterFees[[#This Row],[Total Units]])</f>
        <v>55.22</v>
      </c>
      <c r="T974" s="36"/>
      <c r="U974" s="39" t="s">
        <v>1012</v>
      </c>
      <c r="V974" s="39" t="s">
        <v>2037</v>
      </c>
      <c r="W974" s="30"/>
      <c r="X974" s="73" t="s">
        <v>3869</v>
      </c>
      <c r="Y974" s="127" t="str">
        <f>_xlfn.XLOOKUP(MasterFees[[#This Row],[Provider / Payer]],Contracts[Contract Name],Contracts[Contract ID],"No contract")</f>
        <v>CON-01</v>
      </c>
      <c r="Z974" s="127" t="str">
        <f>_xlfn.XLOOKUP(MasterFees[[#This Row],[Provider / Payer]],Contracts[Contract Name],Contracts[Pricing Basis],"To confirm")</f>
        <v>To confirm</v>
      </c>
      <c r="AA974" s="127" t="str">
        <f>IF(MasterFees[[#This Row],[Pricing Basis]]="Fixed fee schedule","Yes","No")</f>
        <v>No</v>
      </c>
      <c r="AB974" s="127" t="str">
        <f>IF(OR(MasterFees[[#This Row],[Fee Basis]]="Add-on",MasterFees[[#This Row],[Fee Basis]]="Time band",MasterFees[[#This Row],[Fee Basis]]="Other"),MasterFees[[#This Row],[Fee Basis]],"Base")</f>
        <v>Base</v>
      </c>
      <c r="AC974" s="141" t="str">
        <f>IF(MasterFees[[#This Row],[Fixed Fee?]]="Yes",MasterFees[[#This Row],[Fee Excl. GST]],"")</f>
        <v/>
      </c>
    </row>
    <row r="975" spans="1:29" x14ac:dyDescent="0.2">
      <c r="A975" s="67" t="s">
        <v>2355</v>
      </c>
      <c r="B975" s="31">
        <f>IF(MasterFees[[#This Row],[RVG Code]]="","",_xlfn.XLOOKUP(MasterFees[[#This Row],[RVG Code]],RVGCodes[Code],RVGCodes[Base Units],"Code not found"))</f>
        <v>6</v>
      </c>
      <c r="C97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7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Urology</v>
      </c>
      <c r="E975" s="125" t="s">
        <v>2566</v>
      </c>
      <c r="F975" s="48" t="s">
        <v>2569</v>
      </c>
      <c r="G975" s="30" t="s">
        <v>935</v>
      </c>
      <c r="H975" s="37" t="s">
        <v>1095</v>
      </c>
      <c r="I975" s="37"/>
      <c r="J975" s="37" t="s">
        <v>1096</v>
      </c>
      <c r="K975" s="32">
        <v>5.7</v>
      </c>
      <c r="L975" s="32">
        <v>4.4000000000000004</v>
      </c>
      <c r="M975" s="32">
        <v>1.2</v>
      </c>
      <c r="N975" s="32">
        <v>11.4</v>
      </c>
      <c r="O975" s="33">
        <v>624.25</v>
      </c>
      <c r="P975" s="38" t="s">
        <v>1014</v>
      </c>
      <c r="Q975" s="34" t="str">
        <f>IF(MasterFees[[#This Row],[GST Basis]]="Excl",MasterFees[[#This Row],[Fee as Printed]],IF(MasterFees[[#This Row],[GST Basis]]="Incl",MasterFees[[#This Row],[Fee as Printed]]/(1+GST_Rate),""))</f>
        <v/>
      </c>
      <c r="R975" s="34" t="str">
        <f>IF(MasterFees[[#This Row],[GST Basis]]="Incl",MasterFees[[#This Row],[Fee as Printed]],IF(MasterFees[[#This Row],[GST Basis]]="Excl",MasterFees[[#This Row],[Fee as Printed]]*(1+GST_Rate),""))</f>
        <v/>
      </c>
      <c r="S975" s="35">
        <f>IF(N(MasterFees[[#This Row],[Total Units]])=0,"",MasterFees[[#This Row],[Fee as Printed]]/MasterFees[[#This Row],[Total Units]])</f>
        <v>54.758771929824562</v>
      </c>
      <c r="T975" s="36"/>
      <c r="U975" s="39" t="s">
        <v>1012</v>
      </c>
      <c r="V975" s="39" t="s">
        <v>2038</v>
      </c>
      <c r="W975" s="30"/>
      <c r="X975" s="73" t="s">
        <v>3871</v>
      </c>
      <c r="Y975" s="127" t="str">
        <f>_xlfn.XLOOKUP(MasterFees[[#This Row],[Provider / Payer]],Contracts[Contract Name],Contracts[Contract ID],"No contract")</f>
        <v>CON-01</v>
      </c>
      <c r="Z975" s="127" t="str">
        <f>_xlfn.XLOOKUP(MasterFees[[#This Row],[Provider / Payer]],Contracts[Contract Name],Contracts[Pricing Basis],"To confirm")</f>
        <v>To confirm</v>
      </c>
      <c r="AA975" s="127" t="str">
        <f>IF(MasterFees[[#This Row],[Pricing Basis]]="Fixed fee schedule","Yes","No")</f>
        <v>No</v>
      </c>
      <c r="AB975" s="127" t="str">
        <f>IF(OR(MasterFees[[#This Row],[Fee Basis]]="Add-on",MasterFees[[#This Row],[Fee Basis]]="Time band",MasterFees[[#This Row],[Fee Basis]]="Other"),MasterFees[[#This Row],[Fee Basis]],"Base")</f>
        <v>Base</v>
      </c>
      <c r="AC975" s="141" t="str">
        <f>IF(MasterFees[[#This Row],[Fixed Fee?]]="Yes",MasterFees[[#This Row],[Fee Excl. GST]],"")</f>
        <v/>
      </c>
    </row>
    <row r="976" spans="1:29" x14ac:dyDescent="0.2">
      <c r="A976" s="67" t="s">
        <v>2355</v>
      </c>
      <c r="B976" s="31">
        <f>IF(MasterFees[[#This Row],[RVG Code]]="","",_xlfn.XLOOKUP(MasterFees[[#This Row],[RVG Code]],RVGCodes[Code],RVGCodes[Base Units],"Code not found"))</f>
        <v>6</v>
      </c>
      <c r="C97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7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Urology</v>
      </c>
      <c r="E976" s="125" t="s">
        <v>2566</v>
      </c>
      <c r="F976" s="48" t="s">
        <v>2569</v>
      </c>
      <c r="G976" s="30" t="s">
        <v>936</v>
      </c>
      <c r="H976" s="37" t="s">
        <v>1095</v>
      </c>
      <c r="I976" s="37"/>
      <c r="J976" s="37" t="s">
        <v>1096</v>
      </c>
      <c r="K976" s="32">
        <v>6</v>
      </c>
      <c r="L976" s="32">
        <v>4.0999999999999996</v>
      </c>
      <c r="M976" s="32">
        <v>1.1000000000000001</v>
      </c>
      <c r="N976" s="32">
        <v>11.2</v>
      </c>
      <c r="O976" s="33">
        <v>613.79999999999995</v>
      </c>
      <c r="P976" s="38" t="s">
        <v>1014</v>
      </c>
      <c r="Q976" s="34" t="str">
        <f>IF(MasterFees[[#This Row],[GST Basis]]="Excl",MasterFees[[#This Row],[Fee as Printed]],IF(MasterFees[[#This Row],[GST Basis]]="Incl",MasterFees[[#This Row],[Fee as Printed]]/(1+GST_Rate),""))</f>
        <v/>
      </c>
      <c r="R976" s="34" t="str">
        <f>IF(MasterFees[[#This Row],[GST Basis]]="Incl",MasterFees[[#This Row],[Fee as Printed]],IF(MasterFees[[#This Row],[GST Basis]]="Excl",MasterFees[[#This Row],[Fee as Printed]]*(1+GST_Rate),""))</f>
        <v/>
      </c>
      <c r="S976" s="35">
        <f>IF(N(MasterFees[[#This Row],[Total Units]])=0,"",MasterFees[[#This Row],[Fee as Printed]]/MasterFees[[#This Row],[Total Units]])</f>
        <v>54.803571428571431</v>
      </c>
      <c r="T976" s="36"/>
      <c r="U976" s="39" t="s">
        <v>1012</v>
      </c>
      <c r="V976" s="39" t="s">
        <v>2039</v>
      </c>
      <c r="W976" s="30"/>
      <c r="X976" s="73" t="s">
        <v>3872</v>
      </c>
      <c r="Y976" s="127" t="str">
        <f>_xlfn.XLOOKUP(MasterFees[[#This Row],[Provider / Payer]],Contracts[Contract Name],Contracts[Contract ID],"No contract")</f>
        <v>CON-01</v>
      </c>
      <c r="Z976" s="127" t="str">
        <f>_xlfn.XLOOKUP(MasterFees[[#This Row],[Provider / Payer]],Contracts[Contract Name],Contracts[Pricing Basis],"To confirm")</f>
        <v>To confirm</v>
      </c>
      <c r="AA976" s="127" t="str">
        <f>IF(MasterFees[[#This Row],[Pricing Basis]]="Fixed fee schedule","Yes","No")</f>
        <v>No</v>
      </c>
      <c r="AB976" s="127" t="str">
        <f>IF(OR(MasterFees[[#This Row],[Fee Basis]]="Add-on",MasterFees[[#This Row],[Fee Basis]]="Time band",MasterFees[[#This Row],[Fee Basis]]="Other"),MasterFees[[#This Row],[Fee Basis]],"Base")</f>
        <v>Base</v>
      </c>
      <c r="AC976" s="141" t="str">
        <f>IF(MasterFees[[#This Row],[Fixed Fee?]]="Yes",MasterFees[[#This Row],[Fee Excl. GST]],"")</f>
        <v/>
      </c>
    </row>
    <row r="977" spans="1:29" x14ac:dyDescent="0.2">
      <c r="A977" s="67" t="s">
        <v>2355</v>
      </c>
      <c r="B977" s="31">
        <f>IF(MasterFees[[#This Row],[RVG Code]]="","",_xlfn.XLOOKUP(MasterFees[[#This Row],[RVG Code]],RVGCodes[Code],RVGCodes[Base Units],"Code not found"))</f>
        <v>6</v>
      </c>
      <c r="C97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07 - Perineum</v>
      </c>
      <c r="D97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Urology</v>
      </c>
      <c r="E977" s="125" t="s">
        <v>2566</v>
      </c>
      <c r="F977" s="48" t="s">
        <v>2569</v>
      </c>
      <c r="G977" s="30" t="s">
        <v>941</v>
      </c>
      <c r="H977" s="37" t="s">
        <v>1095</v>
      </c>
      <c r="I977" s="37"/>
      <c r="J977" s="37" t="s">
        <v>1096</v>
      </c>
      <c r="K977" s="32">
        <v>5.9</v>
      </c>
      <c r="L977" s="32">
        <v>4</v>
      </c>
      <c r="M977" s="32">
        <v>1.2</v>
      </c>
      <c r="N977" s="32">
        <v>11.1</v>
      </c>
      <c r="O977" s="33">
        <v>609.4</v>
      </c>
      <c r="P977" s="38" t="s">
        <v>1014</v>
      </c>
      <c r="Q977" s="34" t="str">
        <f>IF(MasterFees[[#This Row],[GST Basis]]="Excl",MasterFees[[#This Row],[Fee as Printed]],IF(MasterFees[[#This Row],[GST Basis]]="Incl",MasterFees[[#This Row],[Fee as Printed]]/(1+GST_Rate),""))</f>
        <v/>
      </c>
      <c r="R977" s="34" t="str">
        <f>IF(MasterFees[[#This Row],[GST Basis]]="Incl",MasterFees[[#This Row],[Fee as Printed]],IF(MasterFees[[#This Row],[GST Basis]]="Excl",MasterFees[[#This Row],[Fee as Printed]]*(1+GST_Rate),""))</f>
        <v/>
      </c>
      <c r="S977" s="35">
        <f>IF(N(MasterFees[[#This Row],[Total Units]])=0,"",MasterFees[[#This Row],[Fee as Printed]]/MasterFees[[#This Row],[Total Units]])</f>
        <v>54.900900900900901</v>
      </c>
      <c r="T977" s="36"/>
      <c r="U977" s="39" t="s">
        <v>1012</v>
      </c>
      <c r="V977" s="39" t="s">
        <v>2044</v>
      </c>
      <c r="W977" s="30"/>
      <c r="X977" s="73" t="s">
        <v>3877</v>
      </c>
      <c r="Y977" s="127" t="str">
        <f>_xlfn.XLOOKUP(MasterFees[[#This Row],[Provider / Payer]],Contracts[Contract Name],Contracts[Contract ID],"No contract")</f>
        <v>CON-01</v>
      </c>
      <c r="Z977" s="127" t="str">
        <f>_xlfn.XLOOKUP(MasterFees[[#This Row],[Provider / Payer]],Contracts[Contract Name],Contracts[Pricing Basis],"To confirm")</f>
        <v>To confirm</v>
      </c>
      <c r="AA977" s="127" t="str">
        <f>IF(MasterFees[[#This Row],[Pricing Basis]]="Fixed fee schedule","Yes","No")</f>
        <v>No</v>
      </c>
      <c r="AB977" s="127" t="str">
        <f>IF(OR(MasterFees[[#This Row],[Fee Basis]]="Add-on",MasterFees[[#This Row],[Fee Basis]]="Time band",MasterFees[[#This Row],[Fee Basis]]="Other"),MasterFees[[#This Row],[Fee Basis]],"Base")</f>
        <v>Base</v>
      </c>
      <c r="AC977" s="141" t="str">
        <f>IF(MasterFees[[#This Row],[Fixed Fee?]]="Yes",MasterFees[[#This Row],[Fee Excl. GST]],"")</f>
        <v/>
      </c>
    </row>
    <row r="978" spans="1:29" x14ac:dyDescent="0.2">
      <c r="A978" s="67" t="s">
        <v>2370</v>
      </c>
      <c r="B978" s="31">
        <f>IF(MasterFees[[#This Row],[RVG Code]]="","",_xlfn.XLOOKUP(MasterFees[[#This Row],[RVG Code]],RVGCodes[Code],RVGCodes[Base Units],"Code not found"))</f>
        <v>4</v>
      </c>
      <c r="C97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08 - Pelvic</v>
      </c>
      <c r="D97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78" s="125" t="s">
        <v>2714</v>
      </c>
      <c r="F978" s="48" t="s">
        <v>2565</v>
      </c>
      <c r="G978" s="30" t="s">
        <v>2371</v>
      </c>
      <c r="H978" s="37" t="s">
        <v>2630</v>
      </c>
      <c r="I978" s="37" t="s">
        <v>2370</v>
      </c>
      <c r="J978" s="37" t="s">
        <v>1096</v>
      </c>
      <c r="K978" s="32">
        <v>4</v>
      </c>
      <c r="L978" s="32"/>
      <c r="M978" s="32"/>
      <c r="N978" s="32">
        <v>4</v>
      </c>
      <c r="O978" s="33"/>
      <c r="P978" s="38"/>
      <c r="Q978" s="34" t="str">
        <f>IF(MasterFees[[#This Row],[GST Basis]]="Excl",MasterFees[[#This Row],[Fee as Printed]],IF(MasterFees[[#This Row],[GST Basis]]="Incl",MasterFees[[#This Row],[Fee as Printed]]/(1+GST_Rate),""))</f>
        <v/>
      </c>
      <c r="R978" s="34" t="str">
        <f>IF(MasterFees[[#This Row],[GST Basis]]="Incl",MasterFees[[#This Row],[Fee as Printed]],IF(MasterFees[[#This Row],[GST Basis]]="Excl",MasterFees[[#This Row],[Fee as Printed]]*(1+GST_Rate),""))</f>
        <v/>
      </c>
      <c r="S978" s="35">
        <f>IF(N(MasterFees[[#This Row],[Total Units]])=0,"",MasterFees[[#This Row],[Fee as Printed]]/MasterFees[[#This Row],[Total Units]])</f>
        <v>0</v>
      </c>
      <c r="T978" s="36"/>
      <c r="U978" s="39" t="s">
        <v>1016</v>
      </c>
      <c r="V978" s="39" t="s">
        <v>2715</v>
      </c>
      <c r="W978" s="30" t="s">
        <v>2632</v>
      </c>
      <c r="X978" s="73" t="s">
        <v>3950</v>
      </c>
      <c r="Y978" s="127" t="str">
        <f>_xlfn.XLOOKUP(MasterFees[[#This Row],[Provider / Payer]],Contracts[Contract Name],Contracts[Contract ID],"No contract")</f>
        <v>CON-10</v>
      </c>
      <c r="Z978" s="127" t="str">
        <f>_xlfn.XLOOKUP(MasterFees[[#This Row],[Provider / Payer]],Contracts[Contract Name],Contracts[Pricing Basis],"To confirm")</f>
        <v>Reference – units only</v>
      </c>
      <c r="AA978" s="127" t="str">
        <f>IF(MasterFees[[#This Row],[Pricing Basis]]="Fixed fee schedule","Yes","No")</f>
        <v>No</v>
      </c>
      <c r="AB978" s="127" t="str">
        <f>IF(OR(MasterFees[[#This Row],[Fee Basis]]="Add-on",MasterFees[[#This Row],[Fee Basis]]="Time band",MasterFees[[#This Row],[Fee Basis]]="Other"),MasterFees[[#This Row],[Fee Basis]],"Base")</f>
        <v>Base</v>
      </c>
      <c r="AC978" s="141" t="str">
        <f>IF(MasterFees[[#This Row],[Fixed Fee?]]="Yes",MasterFees[[#This Row],[Fee Excl. GST]],"")</f>
        <v/>
      </c>
    </row>
    <row r="979" spans="1:29" x14ac:dyDescent="0.2">
      <c r="A979" s="67" t="s">
        <v>2372</v>
      </c>
      <c r="B979" s="31">
        <f>IF(MasterFees[[#This Row],[RVG Code]]="","",_xlfn.XLOOKUP(MasterFees[[#This Row],[RVG Code]],RVGCodes[Code],RVGCodes[Base Units],"Code not found"))</f>
        <v>12</v>
      </c>
      <c r="C97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08 - Pelvic</v>
      </c>
      <c r="D97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79" s="125" t="s">
        <v>2716</v>
      </c>
      <c r="F979" s="48" t="s">
        <v>2565</v>
      </c>
      <c r="G979" s="30" t="s">
        <v>2373</v>
      </c>
      <c r="H979" s="37" t="s">
        <v>2630</v>
      </c>
      <c r="I979" s="37" t="s">
        <v>2372</v>
      </c>
      <c r="J979" s="37" t="s">
        <v>1096</v>
      </c>
      <c r="K979" s="32">
        <v>12</v>
      </c>
      <c r="L979" s="32"/>
      <c r="M979" s="32"/>
      <c r="N979" s="32">
        <v>12</v>
      </c>
      <c r="O979" s="33"/>
      <c r="P979" s="38"/>
      <c r="Q979" s="34" t="str">
        <f>IF(MasterFees[[#This Row],[GST Basis]]="Excl",MasterFees[[#This Row],[Fee as Printed]],IF(MasterFees[[#This Row],[GST Basis]]="Incl",MasterFees[[#This Row],[Fee as Printed]]/(1+GST_Rate),""))</f>
        <v/>
      </c>
      <c r="R979" s="34" t="str">
        <f>IF(MasterFees[[#This Row],[GST Basis]]="Incl",MasterFees[[#This Row],[Fee as Printed]],IF(MasterFees[[#This Row],[GST Basis]]="Excl",MasterFees[[#This Row],[Fee as Printed]]*(1+GST_Rate),""))</f>
        <v/>
      </c>
      <c r="S979" s="35">
        <f>IF(N(MasterFees[[#This Row],[Total Units]])=0,"",MasterFees[[#This Row],[Fee as Printed]]/MasterFees[[#This Row],[Total Units]])</f>
        <v>0</v>
      </c>
      <c r="T979" s="36"/>
      <c r="U979" s="39" t="s">
        <v>1016</v>
      </c>
      <c r="V979" s="39" t="s">
        <v>2715</v>
      </c>
      <c r="W979" s="30" t="s">
        <v>2632</v>
      </c>
      <c r="X979" s="73" t="s">
        <v>3951</v>
      </c>
      <c r="Y979" s="127" t="str">
        <f>_xlfn.XLOOKUP(MasterFees[[#This Row],[Provider / Payer]],Contracts[Contract Name],Contracts[Contract ID],"No contract")</f>
        <v>CON-10</v>
      </c>
      <c r="Z979" s="127" t="str">
        <f>_xlfn.XLOOKUP(MasterFees[[#This Row],[Provider / Payer]],Contracts[Contract Name],Contracts[Pricing Basis],"To confirm")</f>
        <v>Reference – units only</v>
      </c>
      <c r="AA979" s="127" t="str">
        <f>IF(MasterFees[[#This Row],[Pricing Basis]]="Fixed fee schedule","Yes","No")</f>
        <v>No</v>
      </c>
      <c r="AB979" s="127" t="str">
        <f>IF(OR(MasterFees[[#This Row],[Fee Basis]]="Add-on",MasterFees[[#This Row],[Fee Basis]]="Time band",MasterFees[[#This Row],[Fee Basis]]="Other"),MasterFees[[#This Row],[Fee Basis]],"Base")</f>
        <v>Base</v>
      </c>
      <c r="AC979" s="141" t="str">
        <f>IF(MasterFees[[#This Row],[Fixed Fee?]]="Yes",MasterFees[[#This Row],[Fee Excl. GST]],"")</f>
        <v/>
      </c>
    </row>
    <row r="980" spans="1:29" x14ac:dyDescent="0.2">
      <c r="A980" s="67" t="s">
        <v>2383</v>
      </c>
      <c r="B980" s="31">
        <f>IF(MasterFees[[#This Row],[RVG Code]]="","",_xlfn.XLOOKUP(MasterFees[[#This Row],[RVG Code]],RVGCodes[Code],RVGCodes[Base Units],"Code not found"))</f>
        <v>20</v>
      </c>
      <c r="C98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09 - Vascular</v>
      </c>
      <c r="D98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80" s="125" t="s">
        <v>2585</v>
      </c>
      <c r="F980" s="48" t="s">
        <v>2567</v>
      </c>
      <c r="G980" s="30" t="s">
        <v>55</v>
      </c>
      <c r="H980" s="37" t="s">
        <v>1095</v>
      </c>
      <c r="I980" s="37"/>
      <c r="J980" s="37" t="s">
        <v>1096</v>
      </c>
      <c r="K980" s="32">
        <v>20</v>
      </c>
      <c r="L980" s="32">
        <v>24</v>
      </c>
      <c r="M980" s="32">
        <v>0</v>
      </c>
      <c r="N980" s="32">
        <v>44</v>
      </c>
      <c r="O980" s="33">
        <v>2420</v>
      </c>
      <c r="P980" s="38" t="s">
        <v>1014</v>
      </c>
      <c r="Q980" s="34" t="str">
        <f>IF(MasterFees[[#This Row],[GST Basis]]="Excl",MasterFees[[#This Row],[Fee as Printed]],IF(MasterFees[[#This Row],[GST Basis]]="Incl",MasterFees[[#This Row],[Fee as Printed]]/(1+GST_Rate),""))</f>
        <v/>
      </c>
      <c r="R980" s="34" t="str">
        <f>IF(MasterFees[[#This Row],[GST Basis]]="Incl",MasterFees[[#This Row],[Fee as Printed]],IF(MasterFees[[#This Row],[GST Basis]]="Excl",MasterFees[[#This Row],[Fee as Printed]]*(1+GST_Rate),""))</f>
        <v/>
      </c>
      <c r="S980" s="35">
        <f>IF(N(MasterFees[[#This Row],[Total Units]])=0,"",MasterFees[[#This Row],[Fee as Printed]]/MasterFees[[#This Row],[Total Units]])</f>
        <v>55</v>
      </c>
      <c r="T980" s="36"/>
      <c r="U980" s="39" t="s">
        <v>1012</v>
      </c>
      <c r="V980" s="39" t="s">
        <v>1144</v>
      </c>
      <c r="W980" s="30"/>
      <c r="X980" s="73" t="s">
        <v>2926</v>
      </c>
      <c r="Y980" s="127" t="str">
        <f>_xlfn.XLOOKUP(MasterFees[[#This Row],[Provider / Payer]],Contracts[Contract Name],Contracts[Contract ID],"No contract")</f>
        <v>CON-01</v>
      </c>
      <c r="Z980" s="127" t="str">
        <f>_xlfn.XLOOKUP(MasterFees[[#This Row],[Provider / Payer]],Contracts[Contract Name],Contracts[Pricing Basis],"To confirm")</f>
        <v>To confirm</v>
      </c>
      <c r="AA980" s="127" t="str">
        <f>IF(MasterFees[[#This Row],[Pricing Basis]]="Fixed fee schedule","Yes","No")</f>
        <v>No</v>
      </c>
      <c r="AB980" s="127" t="str">
        <f>IF(OR(MasterFees[[#This Row],[Fee Basis]]="Add-on",MasterFees[[#This Row],[Fee Basis]]="Time band",MasterFees[[#This Row],[Fee Basis]]="Other"),MasterFees[[#This Row],[Fee Basis]],"Base")</f>
        <v>Base</v>
      </c>
      <c r="AC980" s="141" t="str">
        <f>IF(MasterFees[[#This Row],[Fixed Fee?]]="Yes",MasterFees[[#This Row],[Fee Excl. GST]],"")</f>
        <v/>
      </c>
    </row>
    <row r="981" spans="1:29" x14ac:dyDescent="0.2">
      <c r="A981" s="67" t="s">
        <v>2381</v>
      </c>
      <c r="B981" s="31">
        <f>IF(MasterFees[[#This Row],[RVG Code]]="","",_xlfn.XLOOKUP(MasterFees[[#This Row],[RVG Code]],RVGCodes[Code],RVGCodes[Base Units],"Code not found"))</f>
        <v>10</v>
      </c>
      <c r="C98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09 - Vascular</v>
      </c>
      <c r="D98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81" s="125" t="s">
        <v>2596</v>
      </c>
      <c r="F981" s="48" t="s">
        <v>2569</v>
      </c>
      <c r="G981" s="30" t="s">
        <v>152</v>
      </c>
      <c r="H981" s="37" t="s">
        <v>1095</v>
      </c>
      <c r="I981" s="37"/>
      <c r="J981" s="37" t="s">
        <v>1096</v>
      </c>
      <c r="K981" s="32">
        <v>7</v>
      </c>
      <c r="L981" s="32">
        <v>12.7</v>
      </c>
      <c r="M981" s="32">
        <v>1.7</v>
      </c>
      <c r="N981" s="32">
        <v>21.3</v>
      </c>
      <c r="O981" s="33">
        <v>1172.5999999999999</v>
      </c>
      <c r="P981" s="38" t="s">
        <v>1014</v>
      </c>
      <c r="Q981" s="34" t="str">
        <f>IF(MasterFees[[#This Row],[GST Basis]]="Excl",MasterFees[[#This Row],[Fee as Printed]],IF(MasterFees[[#This Row],[GST Basis]]="Incl",MasterFees[[#This Row],[Fee as Printed]]/(1+GST_Rate),""))</f>
        <v/>
      </c>
      <c r="R981" s="34" t="str">
        <f>IF(MasterFees[[#This Row],[GST Basis]]="Incl",MasterFees[[#This Row],[Fee as Printed]],IF(MasterFees[[#This Row],[GST Basis]]="Excl",MasterFees[[#This Row],[Fee as Printed]]*(1+GST_Rate),""))</f>
        <v/>
      </c>
      <c r="S981" s="35">
        <f>IF(N(MasterFees[[#This Row],[Total Units]])=0,"",MasterFees[[#This Row],[Fee as Printed]]/MasterFees[[#This Row],[Total Units]])</f>
        <v>55.051643192488257</v>
      </c>
      <c r="T981" s="36"/>
      <c r="U981" s="39" t="s">
        <v>1012</v>
      </c>
      <c r="V981" s="39" t="s">
        <v>1245</v>
      </c>
      <c r="W981" s="30"/>
      <c r="X981" s="73" t="s">
        <v>3029</v>
      </c>
      <c r="Y981" s="127" t="str">
        <f>_xlfn.XLOOKUP(MasterFees[[#This Row],[Provider / Payer]],Contracts[Contract Name],Contracts[Contract ID],"No contract")</f>
        <v>CON-01</v>
      </c>
      <c r="Z981" s="127" t="str">
        <f>_xlfn.XLOOKUP(MasterFees[[#This Row],[Provider / Payer]],Contracts[Contract Name],Contracts[Pricing Basis],"To confirm")</f>
        <v>To confirm</v>
      </c>
      <c r="AA981" s="127" t="str">
        <f>IF(MasterFees[[#This Row],[Pricing Basis]]="Fixed fee schedule","Yes","No")</f>
        <v>No</v>
      </c>
      <c r="AB981" s="127" t="str">
        <f>IF(OR(MasterFees[[#This Row],[Fee Basis]]="Add-on",MasterFees[[#This Row],[Fee Basis]]="Time band",MasterFees[[#This Row],[Fee Basis]]="Other"),MasterFees[[#This Row],[Fee Basis]],"Base")</f>
        <v>Base</v>
      </c>
      <c r="AC981" s="141" t="str">
        <f>IF(MasterFees[[#This Row],[Fixed Fee?]]="Yes",MasterFees[[#This Row],[Fee Excl. GST]],"")</f>
        <v/>
      </c>
    </row>
    <row r="982" spans="1:29" x14ac:dyDescent="0.2">
      <c r="A982" s="67" t="s">
        <v>2383</v>
      </c>
      <c r="B982" s="31">
        <f>IF(MasterFees[[#This Row],[RVG Code]]="","",_xlfn.XLOOKUP(MasterFees[[#This Row],[RVG Code]],RVGCodes[Code],RVGCodes[Base Units],"Code not found"))</f>
        <v>20</v>
      </c>
      <c r="C98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09 - Vascular</v>
      </c>
      <c r="D98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82" s="125" t="s">
        <v>2585</v>
      </c>
      <c r="F982" s="48" t="s">
        <v>2629</v>
      </c>
      <c r="G982" s="30" t="s">
        <v>2384</v>
      </c>
      <c r="H982" s="37" t="s">
        <v>2630</v>
      </c>
      <c r="I982" s="37" t="s">
        <v>2383</v>
      </c>
      <c r="J982" s="37" t="s">
        <v>1096</v>
      </c>
      <c r="K982" s="32">
        <v>20</v>
      </c>
      <c r="L982" s="32"/>
      <c r="M982" s="32"/>
      <c r="N982" s="32">
        <v>20</v>
      </c>
      <c r="O982" s="33"/>
      <c r="P982" s="38"/>
      <c r="Q982" s="34" t="str">
        <f>IF(MasterFees[[#This Row],[GST Basis]]="Excl",MasterFees[[#This Row],[Fee as Printed]],IF(MasterFees[[#This Row],[GST Basis]]="Incl",MasterFees[[#This Row],[Fee as Printed]]/(1+GST_Rate),""))</f>
        <v/>
      </c>
      <c r="R982" s="34" t="str">
        <f>IF(MasterFees[[#This Row],[GST Basis]]="Incl",MasterFees[[#This Row],[Fee as Printed]],IF(MasterFees[[#This Row],[GST Basis]]="Excl",MasterFees[[#This Row],[Fee as Printed]]*(1+GST_Rate),""))</f>
        <v/>
      </c>
      <c r="S982" s="35">
        <f>IF(N(MasterFees[[#This Row],[Total Units]])=0,"",MasterFees[[#This Row],[Fee as Printed]]/MasterFees[[#This Row],[Total Units]])</f>
        <v>0</v>
      </c>
      <c r="T982" s="36"/>
      <c r="U982" s="39" t="s">
        <v>1016</v>
      </c>
      <c r="V982" s="39" t="s">
        <v>2638</v>
      </c>
      <c r="W982" s="30" t="s">
        <v>2632</v>
      </c>
      <c r="X982" s="73" t="s">
        <v>3556</v>
      </c>
      <c r="Y982" s="127" t="str">
        <f>_xlfn.XLOOKUP(MasterFees[[#This Row],[Provider / Payer]],Contracts[Contract Name],Contracts[Contract ID],"No contract")</f>
        <v>CON-10</v>
      </c>
      <c r="Z982" s="127" t="str">
        <f>_xlfn.XLOOKUP(MasterFees[[#This Row],[Provider / Payer]],Contracts[Contract Name],Contracts[Pricing Basis],"To confirm")</f>
        <v>Reference – units only</v>
      </c>
      <c r="AA982" s="127" t="str">
        <f>IF(MasterFees[[#This Row],[Pricing Basis]]="Fixed fee schedule","Yes","No")</f>
        <v>No</v>
      </c>
      <c r="AB982" s="127" t="str">
        <f>IF(OR(MasterFees[[#This Row],[Fee Basis]]="Add-on",MasterFees[[#This Row],[Fee Basis]]="Time band",MasterFees[[#This Row],[Fee Basis]]="Other"),MasterFees[[#This Row],[Fee Basis]],"Base")</f>
        <v>Base</v>
      </c>
      <c r="AC982" s="141" t="str">
        <f>IF(MasterFees[[#This Row],[Fixed Fee?]]="Yes",MasterFees[[#This Row],[Fee Excl. GST]],"")</f>
        <v/>
      </c>
    </row>
    <row r="983" spans="1:29" x14ac:dyDescent="0.2">
      <c r="A983" s="67" t="s">
        <v>2381</v>
      </c>
      <c r="B983" s="31">
        <f>IF(MasterFees[[#This Row],[RVG Code]]="","",_xlfn.XLOOKUP(MasterFees[[#This Row],[RVG Code]],RVGCodes[Code],RVGCodes[Base Units],"Code not found"))</f>
        <v>10</v>
      </c>
      <c r="C98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09 - Vascular</v>
      </c>
      <c r="D98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83" s="125" t="s">
        <v>2596</v>
      </c>
      <c r="F983" s="48" t="s">
        <v>2569</v>
      </c>
      <c r="G983" s="30" t="s">
        <v>271</v>
      </c>
      <c r="H983" s="37" t="s">
        <v>1095</v>
      </c>
      <c r="I983" s="37"/>
      <c r="J983" s="37" t="s">
        <v>1096</v>
      </c>
      <c r="K983" s="32">
        <v>14</v>
      </c>
      <c r="L983" s="32">
        <v>20</v>
      </c>
      <c r="M983" s="32">
        <v>1</v>
      </c>
      <c r="N983" s="32">
        <v>35</v>
      </c>
      <c r="O983" s="33">
        <v>1925</v>
      </c>
      <c r="P983" s="38" t="s">
        <v>1014</v>
      </c>
      <c r="Q983" s="34" t="str">
        <f>IF(MasterFees[[#This Row],[GST Basis]]="Excl",MasterFees[[#This Row],[Fee as Printed]],IF(MasterFees[[#This Row],[GST Basis]]="Incl",MasterFees[[#This Row],[Fee as Printed]]/(1+GST_Rate),""))</f>
        <v/>
      </c>
      <c r="R983" s="34" t="str">
        <f>IF(MasterFees[[#This Row],[GST Basis]]="Incl",MasterFees[[#This Row],[Fee as Printed]],IF(MasterFees[[#This Row],[GST Basis]]="Excl",MasterFees[[#This Row],[Fee as Printed]]*(1+GST_Rate),""))</f>
        <v/>
      </c>
      <c r="S983" s="35">
        <f>IF(N(MasterFees[[#This Row],[Total Units]])=0,"",MasterFees[[#This Row],[Fee as Printed]]/MasterFees[[#This Row],[Total Units]])</f>
        <v>55</v>
      </c>
      <c r="T983" s="36"/>
      <c r="U983" s="39" t="s">
        <v>1012</v>
      </c>
      <c r="V983" s="39" t="s">
        <v>1365</v>
      </c>
      <c r="W983" s="30"/>
      <c r="X983" s="73" t="s">
        <v>3155</v>
      </c>
      <c r="Y983" s="127" t="str">
        <f>_xlfn.XLOOKUP(MasterFees[[#This Row],[Provider / Payer]],Contracts[Contract Name],Contracts[Contract ID],"No contract")</f>
        <v>CON-01</v>
      </c>
      <c r="Z983" s="127" t="str">
        <f>_xlfn.XLOOKUP(MasterFees[[#This Row],[Provider / Payer]],Contracts[Contract Name],Contracts[Pricing Basis],"To confirm")</f>
        <v>To confirm</v>
      </c>
      <c r="AA983" s="127" t="str">
        <f>IF(MasterFees[[#This Row],[Pricing Basis]]="Fixed fee schedule","Yes","No")</f>
        <v>No</v>
      </c>
      <c r="AB983" s="127" t="str">
        <f>IF(OR(MasterFees[[#This Row],[Fee Basis]]="Add-on",MasterFees[[#This Row],[Fee Basis]]="Time band",MasterFees[[#This Row],[Fee Basis]]="Other"),MasterFees[[#This Row],[Fee Basis]],"Base")</f>
        <v>Base</v>
      </c>
      <c r="AC983" s="141" t="str">
        <f>IF(MasterFees[[#This Row],[Fixed Fee?]]="Yes",MasterFees[[#This Row],[Fee Excl. GST]],"")</f>
        <v/>
      </c>
    </row>
    <row r="984" spans="1:29" x14ac:dyDescent="0.2">
      <c r="A984" s="67" t="s">
        <v>2379</v>
      </c>
      <c r="B984" s="31">
        <f>IF(MasterFees[[#This Row],[RVG Code]]="","",_xlfn.XLOOKUP(MasterFees[[#This Row],[RVG Code]],RVGCodes[Code],RVGCodes[Base Units],"Code not found"))</f>
        <v>8</v>
      </c>
      <c r="C98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09 - Vascular</v>
      </c>
      <c r="D98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84" s="125" t="s">
        <v>2718</v>
      </c>
      <c r="F984" s="48" t="s">
        <v>2565</v>
      </c>
      <c r="G984" s="30" t="s">
        <v>2380</v>
      </c>
      <c r="H984" s="37" t="s">
        <v>2630</v>
      </c>
      <c r="I984" s="37" t="s">
        <v>2379</v>
      </c>
      <c r="J984" s="37" t="s">
        <v>1096</v>
      </c>
      <c r="K984" s="32">
        <v>8</v>
      </c>
      <c r="L984" s="32"/>
      <c r="M984" s="32"/>
      <c r="N984" s="32">
        <v>8</v>
      </c>
      <c r="O984" s="33"/>
      <c r="P984" s="38"/>
      <c r="Q984" s="34" t="str">
        <f>IF(MasterFees[[#This Row],[GST Basis]]="Excl",MasterFees[[#This Row],[Fee as Printed]],IF(MasterFees[[#This Row],[GST Basis]]="Incl",MasterFees[[#This Row],[Fee as Printed]]/(1+GST_Rate),""))</f>
        <v/>
      </c>
      <c r="R984" s="34" t="str">
        <f>IF(MasterFees[[#This Row],[GST Basis]]="Incl",MasterFees[[#This Row],[Fee as Printed]],IF(MasterFees[[#This Row],[GST Basis]]="Excl",MasterFees[[#This Row],[Fee as Printed]]*(1+GST_Rate),""))</f>
        <v/>
      </c>
      <c r="S984" s="35">
        <f>IF(N(MasterFees[[#This Row],[Total Units]])=0,"",MasterFees[[#This Row],[Fee as Printed]]/MasterFees[[#This Row],[Total Units]])</f>
        <v>0</v>
      </c>
      <c r="T984" s="36"/>
      <c r="U984" s="39" t="s">
        <v>1016</v>
      </c>
      <c r="V984" s="39" t="s">
        <v>2638</v>
      </c>
      <c r="W984" s="30" t="s">
        <v>2632</v>
      </c>
      <c r="X984" s="73" t="s">
        <v>3953</v>
      </c>
      <c r="Y984" s="127" t="str">
        <f>_xlfn.XLOOKUP(MasterFees[[#This Row],[Provider / Payer]],Contracts[Contract Name],Contracts[Contract ID],"No contract")</f>
        <v>CON-10</v>
      </c>
      <c r="Z984" s="127" t="str">
        <f>_xlfn.XLOOKUP(MasterFees[[#This Row],[Provider / Payer]],Contracts[Contract Name],Contracts[Pricing Basis],"To confirm")</f>
        <v>Reference – units only</v>
      </c>
      <c r="AA984" s="127" t="str">
        <f>IF(MasterFees[[#This Row],[Pricing Basis]]="Fixed fee schedule","Yes","No")</f>
        <v>No</v>
      </c>
      <c r="AB984" s="127" t="str">
        <f>IF(OR(MasterFees[[#This Row],[Fee Basis]]="Add-on",MasterFees[[#This Row],[Fee Basis]]="Time band",MasterFees[[#This Row],[Fee Basis]]="Other"),MasterFees[[#This Row],[Fee Basis]],"Base")</f>
        <v>Base</v>
      </c>
      <c r="AC984" s="141" t="str">
        <f>IF(MasterFees[[#This Row],[Fixed Fee?]]="Yes",MasterFees[[#This Row],[Fee Excl. GST]],"")</f>
        <v/>
      </c>
    </row>
    <row r="985" spans="1:29" x14ac:dyDescent="0.2">
      <c r="A985" s="67" t="s">
        <v>2375</v>
      </c>
      <c r="B985" s="31">
        <f>IF(MasterFees[[#This Row],[RVG Code]]="","",_xlfn.XLOOKUP(MasterFees[[#This Row],[RVG Code]],RVGCodes[Code],RVGCodes[Base Units],"Code not found"))</f>
        <v>4</v>
      </c>
      <c r="C98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09 - Vascular</v>
      </c>
      <c r="D98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85" s="125" t="s">
        <v>2628</v>
      </c>
      <c r="F985" s="48" t="s">
        <v>2629</v>
      </c>
      <c r="G985" s="30" t="s">
        <v>2376</v>
      </c>
      <c r="H985" s="37" t="s">
        <v>2630</v>
      </c>
      <c r="I985" s="37" t="s">
        <v>2375</v>
      </c>
      <c r="J985" s="37" t="s">
        <v>1096</v>
      </c>
      <c r="K985" s="32">
        <v>4</v>
      </c>
      <c r="L985" s="32"/>
      <c r="M985" s="32"/>
      <c r="N985" s="32">
        <v>4</v>
      </c>
      <c r="O985" s="33"/>
      <c r="P985" s="38"/>
      <c r="Q985" s="34" t="str">
        <f>IF(MasterFees[[#This Row],[GST Basis]]="Excl",MasterFees[[#This Row],[Fee as Printed]],IF(MasterFees[[#This Row],[GST Basis]]="Incl",MasterFees[[#This Row],[Fee as Printed]]/(1+GST_Rate),""))</f>
        <v/>
      </c>
      <c r="R985" s="34" t="str">
        <f>IF(MasterFees[[#This Row],[GST Basis]]="Incl",MasterFees[[#This Row],[Fee as Printed]],IF(MasterFees[[#This Row],[GST Basis]]="Excl",MasterFees[[#This Row],[Fee as Printed]]*(1+GST_Rate),""))</f>
        <v/>
      </c>
      <c r="S985" s="35">
        <f>IF(N(MasterFees[[#This Row],[Total Units]])=0,"",MasterFees[[#This Row],[Fee as Printed]]/MasterFees[[#This Row],[Total Units]])</f>
        <v>0</v>
      </c>
      <c r="T985" s="36"/>
      <c r="U985" s="39" t="s">
        <v>1016</v>
      </c>
      <c r="V985" s="39" t="s">
        <v>2638</v>
      </c>
      <c r="W985" s="30" t="s">
        <v>2632</v>
      </c>
      <c r="X985" s="73" t="s">
        <v>3904</v>
      </c>
      <c r="Y985" s="127" t="str">
        <f>_xlfn.XLOOKUP(MasterFees[[#This Row],[Provider / Payer]],Contracts[Contract Name],Contracts[Contract ID],"No contract")</f>
        <v>CON-10</v>
      </c>
      <c r="Z985" s="127" t="str">
        <f>_xlfn.XLOOKUP(MasterFees[[#This Row],[Provider / Payer]],Contracts[Contract Name],Contracts[Pricing Basis],"To confirm")</f>
        <v>Reference – units only</v>
      </c>
      <c r="AA985" s="127" t="str">
        <f>IF(MasterFees[[#This Row],[Pricing Basis]]="Fixed fee schedule","Yes","No")</f>
        <v>No</v>
      </c>
      <c r="AB985" s="127" t="str">
        <f>IF(OR(MasterFees[[#This Row],[Fee Basis]]="Add-on",MasterFees[[#This Row],[Fee Basis]]="Time band",MasterFees[[#This Row],[Fee Basis]]="Other"),MasterFees[[#This Row],[Fee Basis]],"Base")</f>
        <v>Base</v>
      </c>
      <c r="AC985" s="141" t="str">
        <f>IF(MasterFees[[#This Row],[Fixed Fee?]]="Yes",MasterFees[[#This Row],[Fee Excl. GST]],"")</f>
        <v/>
      </c>
    </row>
    <row r="986" spans="1:29" x14ac:dyDescent="0.2">
      <c r="A986" s="67" t="s">
        <v>2377</v>
      </c>
      <c r="B986" s="31">
        <f>IF(MasterFees[[#This Row],[RVG Code]]="","",_xlfn.XLOOKUP(MasterFees[[#This Row],[RVG Code]],RVGCodes[Code],RVGCodes[Base Units],"Code not found"))</f>
        <v>6</v>
      </c>
      <c r="C98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09 - Vascular</v>
      </c>
      <c r="D98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86" s="125" t="s">
        <v>2717</v>
      </c>
      <c r="F986" s="48" t="s">
        <v>2565</v>
      </c>
      <c r="G986" s="30" t="s">
        <v>2378</v>
      </c>
      <c r="H986" s="37" t="s">
        <v>2630</v>
      </c>
      <c r="I986" s="37" t="s">
        <v>2377</v>
      </c>
      <c r="J986" s="37" t="s">
        <v>1096</v>
      </c>
      <c r="K986" s="32">
        <v>6</v>
      </c>
      <c r="L986" s="32"/>
      <c r="M986" s="32"/>
      <c r="N986" s="32">
        <v>6</v>
      </c>
      <c r="O986" s="33"/>
      <c r="P986" s="38"/>
      <c r="Q986" s="34" t="str">
        <f>IF(MasterFees[[#This Row],[GST Basis]]="Excl",MasterFees[[#This Row],[Fee as Printed]],IF(MasterFees[[#This Row],[GST Basis]]="Incl",MasterFees[[#This Row],[Fee as Printed]]/(1+GST_Rate),""))</f>
        <v/>
      </c>
      <c r="R986" s="34" t="str">
        <f>IF(MasterFees[[#This Row],[GST Basis]]="Incl",MasterFees[[#This Row],[Fee as Printed]],IF(MasterFees[[#This Row],[GST Basis]]="Excl",MasterFees[[#This Row],[Fee as Printed]]*(1+GST_Rate),""))</f>
        <v/>
      </c>
      <c r="S986" s="35">
        <f>IF(N(MasterFees[[#This Row],[Total Units]])=0,"",MasterFees[[#This Row],[Fee as Printed]]/MasterFees[[#This Row],[Total Units]])</f>
        <v>0</v>
      </c>
      <c r="T986" s="36"/>
      <c r="U986" s="39" t="s">
        <v>1016</v>
      </c>
      <c r="V986" s="39" t="s">
        <v>2638</v>
      </c>
      <c r="W986" s="30" t="s">
        <v>2632</v>
      </c>
      <c r="X986" s="73" t="s">
        <v>3952</v>
      </c>
      <c r="Y986" s="127" t="str">
        <f>_xlfn.XLOOKUP(MasterFees[[#This Row],[Provider / Payer]],Contracts[Contract Name],Contracts[Contract ID],"No contract")</f>
        <v>CON-10</v>
      </c>
      <c r="Z986" s="127" t="str">
        <f>_xlfn.XLOOKUP(MasterFees[[#This Row],[Provider / Payer]],Contracts[Contract Name],Contracts[Pricing Basis],"To confirm")</f>
        <v>Reference – units only</v>
      </c>
      <c r="AA986" s="127" t="str">
        <f>IF(MasterFees[[#This Row],[Pricing Basis]]="Fixed fee schedule","Yes","No")</f>
        <v>No</v>
      </c>
      <c r="AB986" s="127" t="str">
        <f>IF(OR(MasterFees[[#This Row],[Fee Basis]]="Add-on",MasterFees[[#This Row],[Fee Basis]]="Time band",MasterFees[[#This Row],[Fee Basis]]="Other"),MasterFees[[#This Row],[Fee Basis]],"Base")</f>
        <v>Base</v>
      </c>
      <c r="AC986" s="141" t="str">
        <f>IF(MasterFees[[#This Row],[Fixed Fee?]]="Yes",MasterFees[[#This Row],[Fee Excl. GST]],"")</f>
        <v/>
      </c>
    </row>
    <row r="987" spans="1:29" x14ac:dyDescent="0.2">
      <c r="A987" s="67" t="s">
        <v>2383</v>
      </c>
      <c r="B987" s="31">
        <f>IF(MasterFees[[#This Row],[RVG Code]]="","",_xlfn.XLOOKUP(MasterFees[[#This Row],[RVG Code]],RVGCodes[Code],RVGCodes[Base Units],"Code not found"))</f>
        <v>20</v>
      </c>
      <c r="C98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09 - Vascular</v>
      </c>
      <c r="D98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87" s="125" t="s">
        <v>2585</v>
      </c>
      <c r="F987" s="48" t="s">
        <v>2569</v>
      </c>
      <c r="G987" s="30" t="s">
        <v>658</v>
      </c>
      <c r="H987" s="37" t="s">
        <v>1095</v>
      </c>
      <c r="I987" s="37"/>
      <c r="J987" s="37" t="s">
        <v>1096</v>
      </c>
      <c r="K987" s="32">
        <v>17</v>
      </c>
      <c r="L987" s="32">
        <v>27</v>
      </c>
      <c r="M987" s="32">
        <v>5</v>
      </c>
      <c r="N987" s="32">
        <v>49</v>
      </c>
      <c r="O987" s="33">
        <v>2695</v>
      </c>
      <c r="P987" s="38" t="s">
        <v>1014</v>
      </c>
      <c r="Q987" s="34" t="str">
        <f>IF(MasterFees[[#This Row],[GST Basis]]="Excl",MasterFees[[#This Row],[Fee as Printed]],IF(MasterFees[[#This Row],[GST Basis]]="Incl",MasterFees[[#This Row],[Fee as Printed]]/(1+GST_Rate),""))</f>
        <v/>
      </c>
      <c r="R987" s="34" t="str">
        <f>IF(MasterFees[[#This Row],[GST Basis]]="Incl",MasterFees[[#This Row],[Fee as Printed]],IF(MasterFees[[#This Row],[GST Basis]]="Excl",MasterFees[[#This Row],[Fee as Printed]]*(1+GST_Rate),""))</f>
        <v/>
      </c>
      <c r="S987" s="35">
        <f>IF(N(MasterFees[[#This Row],[Total Units]])=0,"",MasterFees[[#This Row],[Fee as Printed]]/MasterFees[[#This Row],[Total Units]])</f>
        <v>55</v>
      </c>
      <c r="T987" s="36"/>
      <c r="U987" s="39" t="s">
        <v>1012</v>
      </c>
      <c r="V987" s="39" t="s">
        <v>1755</v>
      </c>
      <c r="W987" s="30"/>
      <c r="X987" s="73" t="s">
        <v>3555</v>
      </c>
      <c r="Y987" s="127" t="str">
        <f>_xlfn.XLOOKUP(MasterFees[[#This Row],[Provider / Payer]],Contracts[Contract Name],Contracts[Contract ID],"No contract")</f>
        <v>CON-01</v>
      </c>
      <c r="Z987" s="127" t="str">
        <f>_xlfn.XLOOKUP(MasterFees[[#This Row],[Provider / Payer]],Contracts[Contract Name],Contracts[Pricing Basis],"To confirm")</f>
        <v>To confirm</v>
      </c>
      <c r="AA987" s="127" t="str">
        <f>IF(MasterFees[[#This Row],[Pricing Basis]]="Fixed fee schedule","Yes","No")</f>
        <v>No</v>
      </c>
      <c r="AB987" s="127" t="str">
        <f>IF(OR(MasterFees[[#This Row],[Fee Basis]]="Add-on",MasterFees[[#This Row],[Fee Basis]]="Time band",MasterFees[[#This Row],[Fee Basis]]="Other"),MasterFees[[#This Row],[Fee Basis]],"Base")</f>
        <v>Base</v>
      </c>
      <c r="AC987" s="141" t="str">
        <f>IF(MasterFees[[#This Row],[Fixed Fee?]]="Yes",MasterFees[[#This Row],[Fee Excl. GST]],"")</f>
        <v/>
      </c>
    </row>
    <row r="988" spans="1:29" x14ac:dyDescent="0.2">
      <c r="A988" s="67" t="s">
        <v>2381</v>
      </c>
      <c r="B988" s="31">
        <f>IF(MasterFees[[#This Row],[RVG Code]]="","",_xlfn.XLOOKUP(MasterFees[[#This Row],[RVG Code]],RVGCodes[Code],RVGCodes[Base Units],"Code not found"))</f>
        <v>10</v>
      </c>
      <c r="C98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09 - Vascular</v>
      </c>
      <c r="D98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88" s="125" t="s">
        <v>2596</v>
      </c>
      <c r="F988" s="48" t="s">
        <v>2629</v>
      </c>
      <c r="G988" s="30" t="s">
        <v>2382</v>
      </c>
      <c r="H988" s="37" t="s">
        <v>2630</v>
      </c>
      <c r="I988" s="37" t="s">
        <v>2381</v>
      </c>
      <c r="J988" s="37" t="s">
        <v>1096</v>
      </c>
      <c r="K988" s="32">
        <v>10</v>
      </c>
      <c r="L988" s="32"/>
      <c r="M988" s="32"/>
      <c r="N988" s="32">
        <v>10</v>
      </c>
      <c r="O988" s="33"/>
      <c r="P988" s="38"/>
      <c r="Q988" s="34" t="str">
        <f>IF(MasterFees[[#This Row],[GST Basis]]="Excl",MasterFees[[#This Row],[Fee as Printed]],IF(MasterFees[[#This Row],[GST Basis]]="Incl",MasterFees[[#This Row],[Fee as Printed]]/(1+GST_Rate),""))</f>
        <v/>
      </c>
      <c r="R988" s="34" t="str">
        <f>IF(MasterFees[[#This Row],[GST Basis]]="Incl",MasterFees[[#This Row],[Fee as Printed]],IF(MasterFees[[#This Row],[GST Basis]]="Excl",MasterFees[[#This Row],[Fee as Printed]]*(1+GST_Rate),""))</f>
        <v/>
      </c>
      <c r="S988" s="35">
        <f>IF(N(MasterFees[[#This Row],[Total Units]])=0,"",MasterFees[[#This Row],[Fee as Printed]]/MasterFees[[#This Row],[Total Units]])</f>
        <v>0</v>
      </c>
      <c r="T988" s="36"/>
      <c r="U988" s="39" t="s">
        <v>1016</v>
      </c>
      <c r="V988" s="39" t="s">
        <v>2638</v>
      </c>
      <c r="W988" s="30" t="s">
        <v>2632</v>
      </c>
      <c r="X988" s="73" t="s">
        <v>3156</v>
      </c>
      <c r="Y988" s="127" t="str">
        <f>_xlfn.XLOOKUP(MasterFees[[#This Row],[Provider / Payer]],Contracts[Contract Name],Contracts[Contract ID],"No contract")</f>
        <v>CON-10</v>
      </c>
      <c r="Z988" s="127" t="str">
        <f>_xlfn.XLOOKUP(MasterFees[[#This Row],[Provider / Payer]],Contracts[Contract Name],Contracts[Pricing Basis],"To confirm")</f>
        <v>Reference – units only</v>
      </c>
      <c r="AA988" s="127" t="str">
        <f>IF(MasterFees[[#This Row],[Pricing Basis]]="Fixed fee schedule","Yes","No")</f>
        <v>No</v>
      </c>
      <c r="AB988" s="127" t="str">
        <f>IF(OR(MasterFees[[#This Row],[Fee Basis]]="Add-on",MasterFees[[#This Row],[Fee Basis]]="Time band",MasterFees[[#This Row],[Fee Basis]]="Other"),MasterFees[[#This Row],[Fee Basis]],"Base")</f>
        <v>Base</v>
      </c>
      <c r="AC988" s="141" t="str">
        <f>IF(MasterFees[[#This Row],[Fixed Fee?]]="Yes",MasterFees[[#This Row],[Fee Excl. GST]],"")</f>
        <v/>
      </c>
    </row>
    <row r="989" spans="1:29" x14ac:dyDescent="0.2">
      <c r="A989" s="67" t="s">
        <v>2375</v>
      </c>
      <c r="B989" s="31">
        <f>IF(MasterFees[[#This Row],[RVG Code]]="","",_xlfn.XLOOKUP(MasterFees[[#This Row],[RVG Code]],RVGCodes[Code],RVGCodes[Base Units],"Code not found"))</f>
        <v>4</v>
      </c>
      <c r="C98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09 - Vascular</v>
      </c>
      <c r="D98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89" s="125" t="s">
        <v>2628</v>
      </c>
      <c r="F989" s="48" t="s">
        <v>2569</v>
      </c>
      <c r="G989" s="30" t="s">
        <v>961</v>
      </c>
      <c r="H989" s="37" t="s">
        <v>1095</v>
      </c>
      <c r="I989" s="37"/>
      <c r="J989" s="37" t="s">
        <v>1096</v>
      </c>
      <c r="K989" s="32">
        <v>4</v>
      </c>
      <c r="L989" s="32">
        <v>5.7</v>
      </c>
      <c r="M989" s="32">
        <v>0.9</v>
      </c>
      <c r="N989" s="32">
        <v>10.6</v>
      </c>
      <c r="O989" s="33">
        <v>581.35</v>
      </c>
      <c r="P989" s="38" t="s">
        <v>1014</v>
      </c>
      <c r="Q989" s="34" t="str">
        <f>IF(MasterFees[[#This Row],[GST Basis]]="Excl",MasterFees[[#This Row],[Fee as Printed]],IF(MasterFees[[#This Row],[GST Basis]]="Incl",MasterFees[[#This Row],[Fee as Printed]]/(1+GST_Rate),""))</f>
        <v/>
      </c>
      <c r="R989" s="34" t="str">
        <f>IF(MasterFees[[#This Row],[GST Basis]]="Incl",MasterFees[[#This Row],[Fee as Printed]],IF(MasterFees[[#This Row],[GST Basis]]="Excl",MasterFees[[#This Row],[Fee as Printed]]*(1+GST_Rate),""))</f>
        <v/>
      </c>
      <c r="S989" s="35">
        <f>IF(N(MasterFees[[#This Row],[Total Units]])=0,"",MasterFees[[#This Row],[Fee as Printed]]/MasterFees[[#This Row],[Total Units]])</f>
        <v>54.844339622641513</v>
      </c>
      <c r="T989" s="36"/>
      <c r="U989" s="39" t="s">
        <v>1012</v>
      </c>
      <c r="V989" s="39" t="s">
        <v>2064</v>
      </c>
      <c r="W989" s="30"/>
      <c r="X989" s="73" t="s">
        <v>3903</v>
      </c>
      <c r="Y989" s="127" t="str">
        <f>_xlfn.XLOOKUP(MasterFees[[#This Row],[Provider / Payer]],Contracts[Contract Name],Contracts[Contract ID],"No contract")</f>
        <v>CON-01</v>
      </c>
      <c r="Z989" s="127" t="str">
        <f>_xlfn.XLOOKUP(MasterFees[[#This Row],[Provider / Payer]],Contracts[Contract Name],Contracts[Pricing Basis],"To confirm")</f>
        <v>To confirm</v>
      </c>
      <c r="AA989" s="127" t="str">
        <f>IF(MasterFees[[#This Row],[Pricing Basis]]="Fixed fee schedule","Yes","No")</f>
        <v>No</v>
      </c>
      <c r="AB989" s="127" t="str">
        <f>IF(OR(MasterFees[[#This Row],[Fee Basis]]="Add-on",MasterFees[[#This Row],[Fee Basis]]="Time band",MasterFees[[#This Row],[Fee Basis]]="Other"),MasterFees[[#This Row],[Fee Basis]],"Base")</f>
        <v>Base</v>
      </c>
      <c r="AC989" s="141" t="str">
        <f>IF(MasterFees[[#This Row],[Fixed Fee?]]="Yes",MasterFees[[#This Row],[Fee Excl. GST]],"")</f>
        <v/>
      </c>
    </row>
    <row r="990" spans="1:29" x14ac:dyDescent="0.2">
      <c r="A990" s="67" t="s">
        <v>2390</v>
      </c>
      <c r="B990" s="31">
        <f>IF(MasterFees[[#This Row],[RVG Code]]="","",_xlfn.XLOOKUP(MasterFees[[#This Row],[RVG Code]],RVGCodes[Code],RVGCodes[Base Units],"Code not found"))</f>
        <v>6</v>
      </c>
      <c r="C99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99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90" s="125" t="s">
        <v>2576</v>
      </c>
      <c r="F990" s="48" t="s">
        <v>2569</v>
      </c>
      <c r="G990" s="30" t="s">
        <v>27</v>
      </c>
      <c r="H990" s="37" t="s">
        <v>1095</v>
      </c>
      <c r="I990" s="37"/>
      <c r="J990" s="37" t="s">
        <v>1096</v>
      </c>
      <c r="K990" s="32">
        <v>5.9</v>
      </c>
      <c r="L990" s="32">
        <v>6.6</v>
      </c>
      <c r="M990" s="32">
        <v>0.3</v>
      </c>
      <c r="N990" s="32">
        <v>12.7</v>
      </c>
      <c r="O990" s="33">
        <v>700.7</v>
      </c>
      <c r="P990" s="38" t="s">
        <v>1014</v>
      </c>
      <c r="Q990" s="34" t="str">
        <f>IF(MasterFees[[#This Row],[GST Basis]]="Excl",MasterFees[[#This Row],[Fee as Printed]],IF(MasterFees[[#This Row],[GST Basis]]="Incl",MasterFees[[#This Row],[Fee as Printed]]/(1+GST_Rate),""))</f>
        <v/>
      </c>
      <c r="R990" s="34" t="str">
        <f>IF(MasterFees[[#This Row],[GST Basis]]="Incl",MasterFees[[#This Row],[Fee as Printed]],IF(MasterFees[[#This Row],[GST Basis]]="Excl",MasterFees[[#This Row],[Fee as Printed]]*(1+GST_Rate),""))</f>
        <v/>
      </c>
      <c r="S990" s="35">
        <f>IF(N(MasterFees[[#This Row],[Total Units]])=0,"",MasterFees[[#This Row],[Fee as Printed]]/MasterFees[[#This Row],[Total Units]])</f>
        <v>55.173228346456696</v>
      </c>
      <c r="T990" s="36"/>
      <c r="U990" s="39" t="s">
        <v>1012</v>
      </c>
      <c r="V990" s="39" t="s">
        <v>1116</v>
      </c>
      <c r="W990" s="30"/>
      <c r="X990" s="73" t="s">
        <v>2898</v>
      </c>
      <c r="Y990" s="127" t="str">
        <f>_xlfn.XLOOKUP(MasterFees[[#This Row],[Provider / Payer]],Contracts[Contract Name],Contracts[Contract ID],"No contract")</f>
        <v>CON-01</v>
      </c>
      <c r="Z990" s="127" t="str">
        <f>_xlfn.XLOOKUP(MasterFees[[#This Row],[Provider / Payer]],Contracts[Contract Name],Contracts[Pricing Basis],"To confirm")</f>
        <v>To confirm</v>
      </c>
      <c r="AA990" s="127" t="str">
        <f>IF(MasterFees[[#This Row],[Pricing Basis]]="Fixed fee schedule","Yes","No")</f>
        <v>No</v>
      </c>
      <c r="AB990" s="127" t="str">
        <f>IF(OR(MasterFees[[#This Row],[Fee Basis]]="Add-on",MasterFees[[#This Row],[Fee Basis]]="Time band",MasterFees[[#This Row],[Fee Basis]]="Other"),MasterFees[[#This Row],[Fee Basis]],"Base")</f>
        <v>Base</v>
      </c>
      <c r="AC990" s="141" t="str">
        <f>IF(MasterFees[[#This Row],[Fixed Fee?]]="Yes",MasterFees[[#This Row],[Fee Excl. GST]],"")</f>
        <v/>
      </c>
    </row>
    <row r="991" spans="1:29" x14ac:dyDescent="0.2">
      <c r="A991" s="67" t="s">
        <v>2390</v>
      </c>
      <c r="B991" s="31">
        <f>IF(MasterFees[[#This Row],[RVG Code]]="","",_xlfn.XLOOKUP(MasterFees[[#This Row],[RVG Code]],RVGCodes[Code],RVGCodes[Base Units],"Code not found"))</f>
        <v>6</v>
      </c>
      <c r="C99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99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91" s="125" t="s">
        <v>2576</v>
      </c>
      <c r="F991" s="48" t="s">
        <v>2569</v>
      </c>
      <c r="G991" s="30" t="s">
        <v>28</v>
      </c>
      <c r="H991" s="37" t="s">
        <v>1095</v>
      </c>
      <c r="I991" s="37"/>
      <c r="J991" s="37" t="s">
        <v>1096</v>
      </c>
      <c r="K991" s="32">
        <v>5.9</v>
      </c>
      <c r="L991" s="32">
        <v>6.7</v>
      </c>
      <c r="M991" s="32">
        <v>0.3</v>
      </c>
      <c r="N991" s="32">
        <v>12.9</v>
      </c>
      <c r="O991" s="33">
        <v>709.5</v>
      </c>
      <c r="P991" s="38" t="s">
        <v>1014</v>
      </c>
      <c r="Q991" s="34" t="str">
        <f>IF(MasterFees[[#This Row],[GST Basis]]="Excl",MasterFees[[#This Row],[Fee as Printed]],IF(MasterFees[[#This Row],[GST Basis]]="Incl",MasterFees[[#This Row],[Fee as Printed]]/(1+GST_Rate),""))</f>
        <v/>
      </c>
      <c r="R991" s="34" t="str">
        <f>IF(MasterFees[[#This Row],[GST Basis]]="Incl",MasterFees[[#This Row],[Fee as Printed]],IF(MasterFees[[#This Row],[GST Basis]]="Excl",MasterFees[[#This Row],[Fee as Printed]]*(1+GST_Rate),""))</f>
        <v/>
      </c>
      <c r="S991" s="35">
        <f>IF(N(MasterFees[[#This Row],[Total Units]])=0,"",MasterFees[[#This Row],[Fee as Printed]]/MasterFees[[#This Row],[Total Units]])</f>
        <v>55</v>
      </c>
      <c r="T991" s="36"/>
      <c r="U991" s="39" t="s">
        <v>1012</v>
      </c>
      <c r="V991" s="39" t="s">
        <v>1117</v>
      </c>
      <c r="W991" s="30"/>
      <c r="X991" s="73" t="s">
        <v>2899</v>
      </c>
      <c r="Y991" s="127" t="str">
        <f>_xlfn.XLOOKUP(MasterFees[[#This Row],[Provider / Payer]],Contracts[Contract Name],Contracts[Contract ID],"No contract")</f>
        <v>CON-01</v>
      </c>
      <c r="Z991" s="127" t="str">
        <f>_xlfn.XLOOKUP(MasterFees[[#This Row],[Provider / Payer]],Contracts[Contract Name],Contracts[Pricing Basis],"To confirm")</f>
        <v>To confirm</v>
      </c>
      <c r="AA991" s="127" t="str">
        <f>IF(MasterFees[[#This Row],[Pricing Basis]]="Fixed fee schedule","Yes","No")</f>
        <v>No</v>
      </c>
      <c r="AB991" s="127" t="str">
        <f>IF(OR(MasterFees[[#This Row],[Fee Basis]]="Add-on",MasterFees[[#This Row],[Fee Basis]]="Time band",MasterFees[[#This Row],[Fee Basis]]="Other"),MasterFees[[#This Row],[Fee Basis]],"Base")</f>
        <v>Base</v>
      </c>
      <c r="AC991" s="141" t="str">
        <f>IF(MasterFees[[#This Row],[Fixed Fee?]]="Yes",MasterFees[[#This Row],[Fee Excl. GST]],"")</f>
        <v/>
      </c>
    </row>
    <row r="992" spans="1:29" x14ac:dyDescent="0.2">
      <c r="A992" s="67" t="s">
        <v>2386</v>
      </c>
      <c r="B992" s="31">
        <f>IF(MasterFees[[#This Row],[RVG Code]]="","",_xlfn.XLOOKUP(MasterFees[[#This Row],[RVG Code]],RVGCodes[Code],RVGCodes[Base Units],"Code not found"))</f>
        <v>4</v>
      </c>
      <c r="C99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99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92" s="125" t="s">
        <v>2568</v>
      </c>
      <c r="F992" s="48" t="s">
        <v>2567</v>
      </c>
      <c r="G992" s="30" t="s">
        <v>46</v>
      </c>
      <c r="H992" s="37" t="s">
        <v>1095</v>
      </c>
      <c r="I992" s="37"/>
      <c r="J992" s="37" t="s">
        <v>1096</v>
      </c>
      <c r="K992" s="32">
        <v>4.7</v>
      </c>
      <c r="L992" s="32">
        <v>4.5999999999999996</v>
      </c>
      <c r="M992" s="32">
        <v>0.4</v>
      </c>
      <c r="N992" s="32">
        <v>9.6</v>
      </c>
      <c r="O992" s="33">
        <v>528</v>
      </c>
      <c r="P992" s="38" t="s">
        <v>1014</v>
      </c>
      <c r="Q992" s="34" t="str">
        <f>IF(MasterFees[[#This Row],[GST Basis]]="Excl",MasterFees[[#This Row],[Fee as Printed]],IF(MasterFees[[#This Row],[GST Basis]]="Incl",MasterFees[[#This Row],[Fee as Printed]]/(1+GST_Rate),""))</f>
        <v/>
      </c>
      <c r="R992" s="34" t="str">
        <f>IF(MasterFees[[#This Row],[GST Basis]]="Incl",MasterFees[[#This Row],[Fee as Printed]],IF(MasterFees[[#This Row],[GST Basis]]="Excl",MasterFees[[#This Row],[Fee as Printed]]*(1+GST_Rate),""))</f>
        <v/>
      </c>
      <c r="S992" s="35">
        <f>IF(N(MasterFees[[#This Row],[Total Units]])=0,"",MasterFees[[#This Row],[Fee as Printed]]/MasterFees[[#This Row],[Total Units]])</f>
        <v>55</v>
      </c>
      <c r="T992" s="36"/>
      <c r="U992" s="39" t="s">
        <v>1012</v>
      </c>
      <c r="V992" s="39" t="s">
        <v>1135</v>
      </c>
      <c r="W992" s="30"/>
      <c r="X992" s="73" t="s">
        <v>2917</v>
      </c>
      <c r="Y992" s="127" t="str">
        <f>_xlfn.XLOOKUP(MasterFees[[#This Row],[Provider / Payer]],Contracts[Contract Name],Contracts[Contract ID],"No contract")</f>
        <v>CON-01</v>
      </c>
      <c r="Z992" s="127" t="str">
        <f>_xlfn.XLOOKUP(MasterFees[[#This Row],[Provider / Payer]],Contracts[Contract Name],Contracts[Pricing Basis],"To confirm")</f>
        <v>To confirm</v>
      </c>
      <c r="AA992" s="127" t="str">
        <f>IF(MasterFees[[#This Row],[Pricing Basis]]="Fixed fee schedule","Yes","No")</f>
        <v>No</v>
      </c>
      <c r="AB992" s="127" t="str">
        <f>IF(OR(MasterFees[[#This Row],[Fee Basis]]="Add-on",MasterFees[[#This Row],[Fee Basis]]="Time band",MasterFees[[#This Row],[Fee Basis]]="Other"),MasterFees[[#This Row],[Fee Basis]],"Base")</f>
        <v>Base</v>
      </c>
      <c r="AC992" s="141" t="str">
        <f>IF(MasterFees[[#This Row],[Fixed Fee?]]="Yes",MasterFees[[#This Row],[Fee Excl. GST]],"")</f>
        <v/>
      </c>
    </row>
    <row r="993" spans="1:29" x14ac:dyDescent="0.2">
      <c r="A993" s="67" t="s">
        <v>2390</v>
      </c>
      <c r="B993" s="31">
        <f>IF(MasterFees[[#This Row],[RVG Code]]="","",_xlfn.XLOOKUP(MasterFees[[#This Row],[RVG Code]],RVGCodes[Code],RVGCodes[Base Units],"Code not found"))</f>
        <v>6</v>
      </c>
      <c r="C99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99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93" s="125" t="s">
        <v>2576</v>
      </c>
      <c r="F993" s="48" t="s">
        <v>2567</v>
      </c>
      <c r="G993" s="30" t="s">
        <v>47</v>
      </c>
      <c r="H993" s="37" t="s">
        <v>1095</v>
      </c>
      <c r="I993" s="37"/>
      <c r="J993" s="37" t="s">
        <v>1096</v>
      </c>
      <c r="K993" s="32">
        <v>6.2</v>
      </c>
      <c r="L993" s="32">
        <v>8.1999999999999993</v>
      </c>
      <c r="M993" s="32">
        <v>1.3</v>
      </c>
      <c r="N993" s="32">
        <v>15.6</v>
      </c>
      <c r="O993" s="33">
        <v>860.2</v>
      </c>
      <c r="P993" s="38" t="s">
        <v>1014</v>
      </c>
      <c r="Q993" s="34" t="str">
        <f>IF(MasterFees[[#This Row],[GST Basis]]="Excl",MasterFees[[#This Row],[Fee as Printed]],IF(MasterFees[[#This Row],[GST Basis]]="Incl",MasterFees[[#This Row],[Fee as Printed]]/(1+GST_Rate),""))</f>
        <v/>
      </c>
      <c r="R993" s="34" t="str">
        <f>IF(MasterFees[[#This Row],[GST Basis]]="Incl",MasterFees[[#This Row],[Fee as Printed]],IF(MasterFees[[#This Row],[GST Basis]]="Excl",MasterFees[[#This Row],[Fee as Printed]]*(1+GST_Rate),""))</f>
        <v/>
      </c>
      <c r="S993" s="35">
        <f>IF(N(MasterFees[[#This Row],[Total Units]])=0,"",MasterFees[[#This Row],[Fee as Printed]]/MasterFees[[#This Row],[Total Units]])</f>
        <v>55.141025641025642</v>
      </c>
      <c r="T993" s="36"/>
      <c r="U993" s="39" t="s">
        <v>1012</v>
      </c>
      <c r="V993" s="39" t="s">
        <v>1136</v>
      </c>
      <c r="W993" s="30"/>
      <c r="X993" s="73" t="s">
        <v>2918</v>
      </c>
      <c r="Y993" s="127" t="str">
        <f>_xlfn.XLOOKUP(MasterFees[[#This Row],[Provider / Payer]],Contracts[Contract Name],Contracts[Contract ID],"No contract")</f>
        <v>CON-01</v>
      </c>
      <c r="Z993" s="127" t="str">
        <f>_xlfn.XLOOKUP(MasterFees[[#This Row],[Provider / Payer]],Contracts[Contract Name],Contracts[Pricing Basis],"To confirm")</f>
        <v>To confirm</v>
      </c>
      <c r="AA993" s="127" t="str">
        <f>IF(MasterFees[[#This Row],[Pricing Basis]]="Fixed fee schedule","Yes","No")</f>
        <v>No</v>
      </c>
      <c r="AB993" s="127" t="str">
        <f>IF(OR(MasterFees[[#This Row],[Fee Basis]]="Add-on",MasterFees[[#This Row],[Fee Basis]]="Time band",MasterFees[[#This Row],[Fee Basis]]="Other"),MasterFees[[#This Row],[Fee Basis]],"Base")</f>
        <v>Base</v>
      </c>
      <c r="AC993" s="141" t="str">
        <f>IF(MasterFees[[#This Row],[Fixed Fee?]]="Yes",MasterFees[[#This Row],[Fee Excl. GST]],"")</f>
        <v/>
      </c>
    </row>
    <row r="994" spans="1:29" x14ac:dyDescent="0.2">
      <c r="A994" s="67" t="s">
        <v>2390</v>
      </c>
      <c r="B994" s="31">
        <f>IF(MasterFees[[#This Row],[RVG Code]]="","",_xlfn.XLOOKUP(MasterFees[[#This Row],[RVG Code]],RVGCodes[Code],RVGCodes[Base Units],"Code not found"))</f>
        <v>6</v>
      </c>
      <c r="C99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99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94" s="125" t="s">
        <v>2576</v>
      </c>
      <c r="F994" s="48" t="s">
        <v>2567</v>
      </c>
      <c r="G994" s="30" t="s">
        <v>48</v>
      </c>
      <c r="H994" s="37" t="s">
        <v>1095</v>
      </c>
      <c r="I994" s="37"/>
      <c r="J994" s="37" t="s">
        <v>1096</v>
      </c>
      <c r="K994" s="32">
        <v>5.4</v>
      </c>
      <c r="L994" s="32">
        <v>5.9</v>
      </c>
      <c r="M994" s="32">
        <v>0.9</v>
      </c>
      <c r="N994" s="32">
        <v>12.2</v>
      </c>
      <c r="O994" s="33">
        <v>668.8</v>
      </c>
      <c r="P994" s="38" t="s">
        <v>1014</v>
      </c>
      <c r="Q994" s="34" t="str">
        <f>IF(MasterFees[[#This Row],[GST Basis]]="Excl",MasterFees[[#This Row],[Fee as Printed]],IF(MasterFees[[#This Row],[GST Basis]]="Incl",MasterFees[[#This Row],[Fee as Printed]]/(1+GST_Rate),""))</f>
        <v/>
      </c>
      <c r="R994" s="34" t="str">
        <f>IF(MasterFees[[#This Row],[GST Basis]]="Incl",MasterFees[[#This Row],[Fee as Printed]],IF(MasterFees[[#This Row],[GST Basis]]="Excl",MasterFees[[#This Row],[Fee as Printed]]*(1+GST_Rate),""))</f>
        <v/>
      </c>
      <c r="S994" s="35">
        <f>IF(N(MasterFees[[#This Row],[Total Units]])=0,"",MasterFees[[#This Row],[Fee as Printed]]/MasterFees[[#This Row],[Total Units]])</f>
        <v>54.819672131147541</v>
      </c>
      <c r="T994" s="36"/>
      <c r="U994" s="39" t="s">
        <v>1012</v>
      </c>
      <c r="V994" s="39" t="s">
        <v>1137</v>
      </c>
      <c r="W994" s="30"/>
      <c r="X994" s="73" t="s">
        <v>2919</v>
      </c>
      <c r="Y994" s="127" t="str">
        <f>_xlfn.XLOOKUP(MasterFees[[#This Row],[Provider / Payer]],Contracts[Contract Name],Contracts[Contract ID],"No contract")</f>
        <v>CON-01</v>
      </c>
      <c r="Z994" s="127" t="str">
        <f>_xlfn.XLOOKUP(MasterFees[[#This Row],[Provider / Payer]],Contracts[Contract Name],Contracts[Pricing Basis],"To confirm")</f>
        <v>To confirm</v>
      </c>
      <c r="AA994" s="127" t="str">
        <f>IF(MasterFees[[#This Row],[Pricing Basis]]="Fixed fee schedule","Yes","No")</f>
        <v>No</v>
      </c>
      <c r="AB994" s="127" t="str">
        <f>IF(OR(MasterFees[[#This Row],[Fee Basis]]="Add-on",MasterFees[[#This Row],[Fee Basis]]="Time band",MasterFees[[#This Row],[Fee Basis]]="Other"),MasterFees[[#This Row],[Fee Basis]],"Base")</f>
        <v>Base</v>
      </c>
      <c r="AC994" s="141" t="str">
        <f>IF(MasterFees[[#This Row],[Fixed Fee?]]="Yes",MasterFees[[#This Row],[Fee Excl. GST]],"")</f>
        <v/>
      </c>
    </row>
    <row r="995" spans="1:29" x14ac:dyDescent="0.2">
      <c r="A995" s="67" t="s">
        <v>2392</v>
      </c>
      <c r="B995" s="31">
        <f>IF(MasterFees[[#This Row],[RVG Code]]="","",_xlfn.XLOOKUP(MasterFees[[#This Row],[RVG Code]],RVGCodes[Code],RVGCodes[Base Units],"Code not found"))</f>
        <v>8</v>
      </c>
      <c r="C99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99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95" s="125" t="s">
        <v>2581</v>
      </c>
      <c r="F995" s="48" t="s">
        <v>2567</v>
      </c>
      <c r="G995" s="30" t="s">
        <v>49</v>
      </c>
      <c r="H995" s="37" t="s">
        <v>1095</v>
      </c>
      <c r="I995" s="37"/>
      <c r="J995" s="37" t="s">
        <v>1096</v>
      </c>
      <c r="K995" s="32">
        <v>8.3000000000000007</v>
      </c>
      <c r="L995" s="32">
        <v>12.9</v>
      </c>
      <c r="M995" s="32">
        <v>1.3</v>
      </c>
      <c r="N995" s="32">
        <v>22.4</v>
      </c>
      <c r="O995" s="33">
        <v>1230.3499999999999</v>
      </c>
      <c r="P995" s="38" t="s">
        <v>1014</v>
      </c>
      <c r="Q995" s="34" t="str">
        <f>IF(MasterFees[[#This Row],[GST Basis]]="Excl",MasterFees[[#This Row],[Fee as Printed]],IF(MasterFees[[#This Row],[GST Basis]]="Incl",MasterFees[[#This Row],[Fee as Printed]]/(1+GST_Rate),""))</f>
        <v/>
      </c>
      <c r="R995" s="34" t="str">
        <f>IF(MasterFees[[#This Row],[GST Basis]]="Incl",MasterFees[[#This Row],[Fee as Printed]],IF(MasterFees[[#This Row],[GST Basis]]="Excl",MasterFees[[#This Row],[Fee as Printed]]*(1+GST_Rate),""))</f>
        <v/>
      </c>
      <c r="S995" s="35">
        <f>IF(N(MasterFees[[#This Row],[Total Units]])=0,"",MasterFees[[#This Row],[Fee as Printed]]/MasterFees[[#This Row],[Total Units]])</f>
        <v>54.926339285714285</v>
      </c>
      <c r="T995" s="36"/>
      <c r="U995" s="39" t="s">
        <v>1012</v>
      </c>
      <c r="V995" s="39" t="s">
        <v>1138</v>
      </c>
      <c r="W995" s="30"/>
      <c r="X995" s="73" t="s">
        <v>2920</v>
      </c>
      <c r="Y995" s="127" t="str">
        <f>_xlfn.XLOOKUP(MasterFees[[#This Row],[Provider / Payer]],Contracts[Contract Name],Contracts[Contract ID],"No contract")</f>
        <v>CON-01</v>
      </c>
      <c r="Z995" s="127" t="str">
        <f>_xlfn.XLOOKUP(MasterFees[[#This Row],[Provider / Payer]],Contracts[Contract Name],Contracts[Pricing Basis],"To confirm")</f>
        <v>To confirm</v>
      </c>
      <c r="AA995" s="127" t="str">
        <f>IF(MasterFees[[#This Row],[Pricing Basis]]="Fixed fee schedule","Yes","No")</f>
        <v>No</v>
      </c>
      <c r="AB995" s="127" t="str">
        <f>IF(OR(MasterFees[[#This Row],[Fee Basis]]="Add-on",MasterFees[[#This Row],[Fee Basis]]="Time band",MasterFees[[#This Row],[Fee Basis]]="Other"),MasterFees[[#This Row],[Fee Basis]],"Base")</f>
        <v>Base</v>
      </c>
      <c r="AC995" s="141" t="str">
        <f>IF(MasterFees[[#This Row],[Fixed Fee?]]="Yes",MasterFees[[#This Row],[Fee Excl. GST]],"")</f>
        <v/>
      </c>
    </row>
    <row r="996" spans="1:29" x14ac:dyDescent="0.2">
      <c r="A996" s="67" t="s">
        <v>2390</v>
      </c>
      <c r="B996" s="31">
        <f>IF(MasterFees[[#This Row],[RVG Code]]="","",_xlfn.XLOOKUP(MasterFees[[#This Row],[RVG Code]],RVGCodes[Code],RVGCodes[Base Units],"Code not found"))</f>
        <v>6</v>
      </c>
      <c r="C99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99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96" s="125" t="s">
        <v>2576</v>
      </c>
      <c r="F996" s="48" t="s">
        <v>2569</v>
      </c>
      <c r="G996" s="30" t="s">
        <v>52</v>
      </c>
      <c r="H996" s="37" t="s">
        <v>1095</v>
      </c>
      <c r="I996" s="37"/>
      <c r="J996" s="37" t="s">
        <v>1096</v>
      </c>
      <c r="K996" s="32">
        <v>6</v>
      </c>
      <c r="L996" s="32">
        <v>6.2</v>
      </c>
      <c r="M996" s="32">
        <v>0.2</v>
      </c>
      <c r="N996" s="32">
        <v>12.4</v>
      </c>
      <c r="O996" s="33">
        <v>682</v>
      </c>
      <c r="P996" s="38" t="s">
        <v>1014</v>
      </c>
      <c r="Q996" s="34" t="str">
        <f>IF(MasterFees[[#This Row],[GST Basis]]="Excl",MasterFees[[#This Row],[Fee as Printed]],IF(MasterFees[[#This Row],[GST Basis]]="Incl",MasterFees[[#This Row],[Fee as Printed]]/(1+GST_Rate),""))</f>
        <v/>
      </c>
      <c r="R996" s="34" t="str">
        <f>IF(MasterFees[[#This Row],[GST Basis]]="Incl",MasterFees[[#This Row],[Fee as Printed]],IF(MasterFees[[#This Row],[GST Basis]]="Excl",MasterFees[[#This Row],[Fee as Printed]]*(1+GST_Rate),""))</f>
        <v/>
      </c>
      <c r="S996" s="35">
        <f>IF(N(MasterFees[[#This Row],[Total Units]])=0,"",MasterFees[[#This Row],[Fee as Printed]]/MasterFees[[#This Row],[Total Units]])</f>
        <v>55</v>
      </c>
      <c r="T996" s="36"/>
      <c r="U996" s="39" t="s">
        <v>1012</v>
      </c>
      <c r="V996" s="39" t="s">
        <v>1141</v>
      </c>
      <c r="W996" s="30"/>
      <c r="X996" s="73" t="s">
        <v>2923</v>
      </c>
      <c r="Y996" s="127" t="str">
        <f>_xlfn.XLOOKUP(MasterFees[[#This Row],[Provider / Payer]],Contracts[Contract Name],Contracts[Contract ID],"No contract")</f>
        <v>CON-01</v>
      </c>
      <c r="Z996" s="127" t="str">
        <f>_xlfn.XLOOKUP(MasterFees[[#This Row],[Provider / Payer]],Contracts[Contract Name],Contracts[Pricing Basis],"To confirm")</f>
        <v>To confirm</v>
      </c>
      <c r="AA996" s="127" t="str">
        <f>IF(MasterFees[[#This Row],[Pricing Basis]]="Fixed fee schedule","Yes","No")</f>
        <v>No</v>
      </c>
      <c r="AB996" s="127" t="str">
        <f>IF(OR(MasterFees[[#This Row],[Fee Basis]]="Add-on",MasterFees[[#This Row],[Fee Basis]]="Time band",MasterFees[[#This Row],[Fee Basis]]="Other"),MasterFees[[#This Row],[Fee Basis]],"Base")</f>
        <v>Base</v>
      </c>
      <c r="AC996" s="141" t="str">
        <f>IF(MasterFees[[#This Row],[Fixed Fee?]]="Yes",MasterFees[[#This Row],[Fee Excl. GST]],"")</f>
        <v/>
      </c>
    </row>
    <row r="997" spans="1:29" x14ac:dyDescent="0.2">
      <c r="A997" s="67" t="s">
        <v>2390</v>
      </c>
      <c r="B997" s="31">
        <f>IF(MasterFees[[#This Row],[RVG Code]]="","",_xlfn.XLOOKUP(MasterFees[[#This Row],[RVG Code]],RVGCodes[Code],RVGCodes[Base Units],"Code not found"))</f>
        <v>6</v>
      </c>
      <c r="C99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99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97" s="125" t="s">
        <v>2576</v>
      </c>
      <c r="F997" s="48" t="s">
        <v>2569</v>
      </c>
      <c r="G997" s="30" t="s">
        <v>58</v>
      </c>
      <c r="H997" s="37" t="s">
        <v>1095</v>
      </c>
      <c r="I997" s="37"/>
      <c r="J997" s="37" t="s">
        <v>1096</v>
      </c>
      <c r="K997" s="32">
        <v>5</v>
      </c>
      <c r="L997" s="32">
        <v>7</v>
      </c>
      <c r="M997" s="32">
        <v>0</v>
      </c>
      <c r="N997" s="32">
        <v>12</v>
      </c>
      <c r="O997" s="33">
        <v>660</v>
      </c>
      <c r="P997" s="38" t="s">
        <v>1014</v>
      </c>
      <c r="Q997" s="34" t="str">
        <f>IF(MasterFees[[#This Row],[GST Basis]]="Excl",MasterFees[[#This Row],[Fee as Printed]],IF(MasterFees[[#This Row],[GST Basis]]="Incl",MasterFees[[#This Row],[Fee as Printed]]/(1+GST_Rate),""))</f>
        <v/>
      </c>
      <c r="R997" s="34" t="str">
        <f>IF(MasterFees[[#This Row],[GST Basis]]="Incl",MasterFees[[#This Row],[Fee as Printed]],IF(MasterFees[[#This Row],[GST Basis]]="Excl",MasterFees[[#This Row],[Fee as Printed]]*(1+GST_Rate),""))</f>
        <v/>
      </c>
      <c r="S997" s="35">
        <f>IF(N(MasterFees[[#This Row],[Total Units]])=0,"",MasterFees[[#This Row],[Fee as Printed]]/MasterFees[[#This Row],[Total Units]])</f>
        <v>55</v>
      </c>
      <c r="T997" s="36"/>
      <c r="U997" s="39" t="s">
        <v>1012</v>
      </c>
      <c r="V997" s="39" t="s">
        <v>1147</v>
      </c>
      <c r="W997" s="30"/>
      <c r="X997" s="73" t="s">
        <v>2929</v>
      </c>
      <c r="Y997" s="127" t="str">
        <f>_xlfn.XLOOKUP(MasterFees[[#This Row],[Provider / Payer]],Contracts[Contract Name],Contracts[Contract ID],"No contract")</f>
        <v>CON-01</v>
      </c>
      <c r="Z997" s="127" t="str">
        <f>_xlfn.XLOOKUP(MasterFees[[#This Row],[Provider / Payer]],Contracts[Contract Name],Contracts[Pricing Basis],"To confirm")</f>
        <v>To confirm</v>
      </c>
      <c r="AA997" s="127" t="str">
        <f>IF(MasterFees[[#This Row],[Pricing Basis]]="Fixed fee schedule","Yes","No")</f>
        <v>No</v>
      </c>
      <c r="AB997" s="127" t="str">
        <f>IF(OR(MasterFees[[#This Row],[Fee Basis]]="Add-on",MasterFees[[#This Row],[Fee Basis]]="Time band",MasterFees[[#This Row],[Fee Basis]]="Other"),MasterFees[[#This Row],[Fee Basis]],"Base")</f>
        <v>Base</v>
      </c>
      <c r="AC997" s="141" t="str">
        <f>IF(MasterFees[[#This Row],[Fixed Fee?]]="Yes",MasterFees[[#This Row],[Fee Excl. GST]],"")</f>
        <v/>
      </c>
    </row>
    <row r="998" spans="1:29" x14ac:dyDescent="0.2">
      <c r="A998" s="67" t="s">
        <v>2386</v>
      </c>
      <c r="B998" s="31">
        <f>IF(MasterFees[[#This Row],[RVG Code]]="","",_xlfn.XLOOKUP(MasterFees[[#This Row],[RVG Code]],RVGCodes[Code],RVGCodes[Base Units],"Code not found"))</f>
        <v>4</v>
      </c>
      <c r="C99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99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98" s="125" t="s">
        <v>2568</v>
      </c>
      <c r="F998" s="48" t="s">
        <v>2569</v>
      </c>
      <c r="G998" s="30" t="s">
        <v>59</v>
      </c>
      <c r="H998" s="37" t="s">
        <v>1095</v>
      </c>
      <c r="I998" s="37"/>
      <c r="J998" s="37" t="s">
        <v>1096</v>
      </c>
      <c r="K998" s="32">
        <v>4.0999999999999996</v>
      </c>
      <c r="L998" s="32">
        <v>2.4</v>
      </c>
      <c r="M998" s="32">
        <v>0.5</v>
      </c>
      <c r="N998" s="32">
        <v>7</v>
      </c>
      <c r="O998" s="33">
        <v>386.1</v>
      </c>
      <c r="P998" s="38" t="s">
        <v>1014</v>
      </c>
      <c r="Q998" s="34" t="str">
        <f>IF(MasterFees[[#This Row],[GST Basis]]="Excl",MasterFees[[#This Row],[Fee as Printed]],IF(MasterFees[[#This Row],[GST Basis]]="Incl",MasterFees[[#This Row],[Fee as Printed]]/(1+GST_Rate),""))</f>
        <v/>
      </c>
      <c r="R998" s="34" t="str">
        <f>IF(MasterFees[[#This Row],[GST Basis]]="Incl",MasterFees[[#This Row],[Fee as Printed]],IF(MasterFees[[#This Row],[GST Basis]]="Excl",MasterFees[[#This Row],[Fee as Printed]]*(1+GST_Rate),""))</f>
        <v/>
      </c>
      <c r="S998" s="35">
        <f>IF(N(MasterFees[[#This Row],[Total Units]])=0,"",MasterFees[[#This Row],[Fee as Printed]]/MasterFees[[#This Row],[Total Units]])</f>
        <v>55.157142857142858</v>
      </c>
      <c r="T998" s="36"/>
      <c r="U998" s="39" t="s">
        <v>1012</v>
      </c>
      <c r="V998" s="39" t="s">
        <v>1148</v>
      </c>
      <c r="W998" s="30"/>
      <c r="X998" s="73" t="s">
        <v>2930</v>
      </c>
      <c r="Y998" s="127" t="str">
        <f>_xlfn.XLOOKUP(MasterFees[[#This Row],[Provider / Payer]],Contracts[Contract Name],Contracts[Contract ID],"No contract")</f>
        <v>CON-01</v>
      </c>
      <c r="Z998" s="127" t="str">
        <f>_xlfn.XLOOKUP(MasterFees[[#This Row],[Provider / Payer]],Contracts[Contract Name],Contracts[Pricing Basis],"To confirm")</f>
        <v>To confirm</v>
      </c>
      <c r="AA998" s="127" t="str">
        <f>IF(MasterFees[[#This Row],[Pricing Basis]]="Fixed fee schedule","Yes","No")</f>
        <v>No</v>
      </c>
      <c r="AB998" s="127" t="str">
        <f>IF(OR(MasterFees[[#This Row],[Fee Basis]]="Add-on",MasterFees[[#This Row],[Fee Basis]]="Time band",MasterFees[[#This Row],[Fee Basis]]="Other"),MasterFees[[#This Row],[Fee Basis]],"Base")</f>
        <v>Base</v>
      </c>
      <c r="AC998" s="141" t="str">
        <f>IF(MasterFees[[#This Row],[Fixed Fee?]]="Yes",MasterFees[[#This Row],[Fee Excl. GST]],"")</f>
        <v/>
      </c>
    </row>
    <row r="999" spans="1:29" x14ac:dyDescent="0.2">
      <c r="A999" s="67" t="s">
        <v>2394</v>
      </c>
      <c r="B999" s="31">
        <f>IF(MasterFees[[#This Row],[RVG Code]]="","",_xlfn.XLOOKUP(MasterFees[[#This Row],[RVG Code]],RVGCodes[Code],RVGCodes[Base Units],"Code not found"))</f>
        <v>10</v>
      </c>
      <c r="C99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99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999" s="125" t="s">
        <v>2594</v>
      </c>
      <c r="F999" s="48" t="s">
        <v>2569</v>
      </c>
      <c r="G999" s="30" t="s">
        <v>116</v>
      </c>
      <c r="H999" s="37" t="s">
        <v>1095</v>
      </c>
      <c r="I999" s="37"/>
      <c r="J999" s="37" t="s">
        <v>1096</v>
      </c>
      <c r="K999" s="32">
        <v>10</v>
      </c>
      <c r="L999" s="32">
        <v>14.8</v>
      </c>
      <c r="M999" s="32">
        <v>0.9</v>
      </c>
      <c r="N999" s="32">
        <v>25.7</v>
      </c>
      <c r="O999" s="33">
        <v>1413.5</v>
      </c>
      <c r="P999" s="38" t="s">
        <v>1014</v>
      </c>
      <c r="Q999" s="34" t="str">
        <f>IF(MasterFees[[#This Row],[GST Basis]]="Excl",MasterFees[[#This Row],[Fee as Printed]],IF(MasterFees[[#This Row],[GST Basis]]="Incl",MasterFees[[#This Row],[Fee as Printed]]/(1+GST_Rate),""))</f>
        <v/>
      </c>
      <c r="R999" s="34" t="str">
        <f>IF(MasterFees[[#This Row],[GST Basis]]="Incl",MasterFees[[#This Row],[Fee as Printed]],IF(MasterFees[[#This Row],[GST Basis]]="Excl",MasterFees[[#This Row],[Fee as Printed]]*(1+GST_Rate),""))</f>
        <v/>
      </c>
      <c r="S999" s="35">
        <f>IF(N(MasterFees[[#This Row],[Total Units]])=0,"",MasterFees[[#This Row],[Fee as Printed]]/MasterFees[[#This Row],[Total Units]])</f>
        <v>55</v>
      </c>
      <c r="T999" s="36"/>
      <c r="U999" s="39" t="s">
        <v>1012</v>
      </c>
      <c r="V999" s="39" t="s">
        <v>1207</v>
      </c>
      <c r="W999" s="30"/>
      <c r="X999" s="73" t="s">
        <v>2990</v>
      </c>
      <c r="Y999" s="127" t="str">
        <f>_xlfn.XLOOKUP(MasterFees[[#This Row],[Provider / Payer]],Contracts[Contract Name],Contracts[Contract ID],"No contract")</f>
        <v>CON-01</v>
      </c>
      <c r="Z999" s="127" t="str">
        <f>_xlfn.XLOOKUP(MasterFees[[#This Row],[Provider / Payer]],Contracts[Contract Name],Contracts[Pricing Basis],"To confirm")</f>
        <v>To confirm</v>
      </c>
      <c r="AA999" s="127" t="str">
        <f>IF(MasterFees[[#This Row],[Pricing Basis]]="Fixed fee schedule","Yes","No")</f>
        <v>No</v>
      </c>
      <c r="AB999" s="127" t="str">
        <f>IF(OR(MasterFees[[#This Row],[Fee Basis]]="Add-on",MasterFees[[#This Row],[Fee Basis]]="Time band",MasterFees[[#This Row],[Fee Basis]]="Other"),MasterFees[[#This Row],[Fee Basis]],"Base")</f>
        <v>Base</v>
      </c>
      <c r="AC999" s="141" t="str">
        <f>IF(MasterFees[[#This Row],[Fixed Fee?]]="Yes",MasterFees[[#This Row],[Fee Excl. GST]],"")</f>
        <v/>
      </c>
    </row>
    <row r="1000" spans="1:29" x14ac:dyDescent="0.2">
      <c r="A1000" s="67" t="s">
        <v>2394</v>
      </c>
      <c r="B1000" s="31">
        <f>IF(MasterFees[[#This Row],[RVG Code]]="","",_xlfn.XLOOKUP(MasterFees[[#This Row],[RVG Code]],RVGCodes[Code],RVGCodes[Base Units],"Code not found"))</f>
        <v>10</v>
      </c>
      <c r="C100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0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00" s="125" t="s">
        <v>2594</v>
      </c>
      <c r="F1000" s="48" t="s">
        <v>2569</v>
      </c>
      <c r="G1000" s="30" t="s">
        <v>117</v>
      </c>
      <c r="H1000" s="37" t="s">
        <v>1095</v>
      </c>
      <c r="I1000" s="37"/>
      <c r="J1000" s="37" t="s">
        <v>1096</v>
      </c>
      <c r="K1000" s="32">
        <v>9.8000000000000007</v>
      </c>
      <c r="L1000" s="32">
        <v>12.1</v>
      </c>
      <c r="M1000" s="32">
        <v>1.8</v>
      </c>
      <c r="N1000" s="32">
        <v>23.7</v>
      </c>
      <c r="O1000" s="33">
        <v>1301.8499999999999</v>
      </c>
      <c r="P1000" s="38" t="s">
        <v>1014</v>
      </c>
      <c r="Q1000" s="34" t="str">
        <f>IF(MasterFees[[#This Row],[GST Basis]]="Excl",MasterFees[[#This Row],[Fee as Printed]],IF(MasterFees[[#This Row],[GST Basis]]="Incl",MasterFees[[#This Row],[Fee as Printed]]/(1+GST_Rate),""))</f>
        <v/>
      </c>
      <c r="R1000" s="34" t="str">
        <f>IF(MasterFees[[#This Row],[GST Basis]]="Incl",MasterFees[[#This Row],[Fee as Printed]],IF(MasterFees[[#This Row],[GST Basis]]="Excl",MasterFees[[#This Row],[Fee as Printed]]*(1+GST_Rate),""))</f>
        <v/>
      </c>
      <c r="S1000" s="35">
        <f>IF(N(MasterFees[[#This Row],[Total Units]])=0,"",MasterFees[[#This Row],[Fee as Printed]]/MasterFees[[#This Row],[Total Units]])</f>
        <v>54.930379746835442</v>
      </c>
      <c r="T1000" s="36"/>
      <c r="U1000" s="39" t="s">
        <v>1012</v>
      </c>
      <c r="V1000" s="39" t="s">
        <v>1208</v>
      </c>
      <c r="W1000" s="30"/>
      <c r="X1000" s="73" t="s">
        <v>2991</v>
      </c>
      <c r="Y1000" s="127" t="str">
        <f>_xlfn.XLOOKUP(MasterFees[[#This Row],[Provider / Payer]],Contracts[Contract Name],Contracts[Contract ID],"No contract")</f>
        <v>CON-01</v>
      </c>
      <c r="Z1000" s="127" t="str">
        <f>_xlfn.XLOOKUP(MasterFees[[#This Row],[Provider / Payer]],Contracts[Contract Name],Contracts[Pricing Basis],"To confirm")</f>
        <v>To confirm</v>
      </c>
      <c r="AA1000" s="127" t="str">
        <f>IF(MasterFees[[#This Row],[Pricing Basis]]="Fixed fee schedule","Yes","No")</f>
        <v>No</v>
      </c>
      <c r="AB1000" s="127" t="str">
        <f>IF(OR(MasterFees[[#This Row],[Fee Basis]]="Add-on",MasterFees[[#This Row],[Fee Basis]]="Time band",MasterFees[[#This Row],[Fee Basis]]="Other"),MasterFees[[#This Row],[Fee Basis]],"Base")</f>
        <v>Base</v>
      </c>
      <c r="AC1000" s="141" t="str">
        <f>IF(MasterFees[[#This Row],[Fixed Fee?]]="Yes",MasterFees[[#This Row],[Fee Excl. GST]],"")</f>
        <v/>
      </c>
    </row>
    <row r="1001" spans="1:29" x14ac:dyDescent="0.2">
      <c r="A1001" s="67" t="s">
        <v>2390</v>
      </c>
      <c r="B1001" s="31">
        <f>IF(MasterFees[[#This Row],[RVG Code]]="","",_xlfn.XLOOKUP(MasterFees[[#This Row],[RVG Code]],RVGCodes[Code],RVGCodes[Base Units],"Code not found"))</f>
        <v>6</v>
      </c>
      <c r="C100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0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01" s="125" t="s">
        <v>2576</v>
      </c>
      <c r="F1001" s="48" t="s">
        <v>2567</v>
      </c>
      <c r="G1001" s="30" t="s">
        <v>147</v>
      </c>
      <c r="H1001" s="37" t="s">
        <v>1095</v>
      </c>
      <c r="I1001" s="37"/>
      <c r="J1001" s="37" t="s">
        <v>1096</v>
      </c>
      <c r="K1001" s="32">
        <v>4</v>
      </c>
      <c r="L1001" s="32">
        <v>4.2</v>
      </c>
      <c r="M1001" s="32">
        <v>0.6</v>
      </c>
      <c r="N1001" s="32">
        <v>8.8000000000000007</v>
      </c>
      <c r="O1001" s="33">
        <v>484</v>
      </c>
      <c r="P1001" s="38" t="s">
        <v>1014</v>
      </c>
      <c r="Q1001" s="34" t="str">
        <f>IF(MasterFees[[#This Row],[GST Basis]]="Excl",MasterFees[[#This Row],[Fee as Printed]],IF(MasterFees[[#This Row],[GST Basis]]="Incl",MasterFees[[#This Row],[Fee as Printed]]/(1+GST_Rate),""))</f>
        <v/>
      </c>
      <c r="R1001" s="34" t="str">
        <f>IF(MasterFees[[#This Row],[GST Basis]]="Incl",MasterFees[[#This Row],[Fee as Printed]],IF(MasterFees[[#This Row],[GST Basis]]="Excl",MasterFees[[#This Row],[Fee as Printed]]*(1+GST_Rate),""))</f>
        <v/>
      </c>
      <c r="S1001" s="35">
        <f>IF(N(MasterFees[[#This Row],[Total Units]])=0,"",MasterFees[[#This Row],[Fee as Printed]]/MasterFees[[#This Row],[Total Units]])</f>
        <v>54.999999999999993</v>
      </c>
      <c r="T1001" s="36"/>
      <c r="U1001" s="39" t="s">
        <v>1012</v>
      </c>
      <c r="V1001" s="39" t="s">
        <v>1240</v>
      </c>
      <c r="W1001" s="30"/>
      <c r="X1001" s="73" t="s">
        <v>3023</v>
      </c>
      <c r="Y1001" s="127" t="str">
        <f>_xlfn.XLOOKUP(MasterFees[[#This Row],[Provider / Payer]],Contracts[Contract Name],Contracts[Contract ID],"No contract")</f>
        <v>CON-01</v>
      </c>
      <c r="Z1001" s="127" t="str">
        <f>_xlfn.XLOOKUP(MasterFees[[#This Row],[Provider / Payer]],Contracts[Contract Name],Contracts[Pricing Basis],"To confirm")</f>
        <v>To confirm</v>
      </c>
      <c r="AA1001" s="127" t="str">
        <f>IF(MasterFees[[#This Row],[Pricing Basis]]="Fixed fee schedule","Yes","No")</f>
        <v>No</v>
      </c>
      <c r="AB1001" s="127" t="str">
        <f>IF(OR(MasterFees[[#This Row],[Fee Basis]]="Add-on",MasterFees[[#This Row],[Fee Basis]]="Time band",MasterFees[[#This Row],[Fee Basis]]="Other"),MasterFees[[#This Row],[Fee Basis]],"Base")</f>
        <v>Base</v>
      </c>
      <c r="AC1001" s="141" t="str">
        <f>IF(MasterFees[[#This Row],[Fixed Fee?]]="Yes",MasterFees[[#This Row],[Fee Excl. GST]],"")</f>
        <v/>
      </c>
    </row>
    <row r="1002" spans="1:29" x14ac:dyDescent="0.2">
      <c r="A1002" s="67" t="s">
        <v>2394</v>
      </c>
      <c r="B1002" s="31">
        <f>IF(MasterFees[[#This Row],[RVG Code]]="","",_xlfn.XLOOKUP(MasterFees[[#This Row],[RVG Code]],RVGCodes[Code],RVGCodes[Base Units],"Code not found"))</f>
        <v>10</v>
      </c>
      <c r="C100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0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02" s="125" t="s">
        <v>2594</v>
      </c>
      <c r="F1002" s="48" t="s">
        <v>2629</v>
      </c>
      <c r="G1002" s="30" t="s">
        <v>2395</v>
      </c>
      <c r="H1002" s="37" t="s">
        <v>2630</v>
      </c>
      <c r="I1002" s="37" t="s">
        <v>2394</v>
      </c>
      <c r="J1002" s="37" t="s">
        <v>1096</v>
      </c>
      <c r="K1002" s="32">
        <v>10</v>
      </c>
      <c r="L1002" s="32"/>
      <c r="M1002" s="32"/>
      <c r="N1002" s="32">
        <v>10</v>
      </c>
      <c r="O1002" s="33"/>
      <c r="P1002" s="38"/>
      <c r="Q1002" s="34" t="str">
        <f>IF(MasterFees[[#This Row],[GST Basis]]="Excl",MasterFees[[#This Row],[Fee as Printed]],IF(MasterFees[[#This Row],[GST Basis]]="Incl",MasterFees[[#This Row],[Fee as Printed]]/(1+GST_Rate),""))</f>
        <v/>
      </c>
      <c r="R1002" s="34" t="str">
        <f>IF(MasterFees[[#This Row],[GST Basis]]="Incl",MasterFees[[#This Row],[Fee as Printed]],IF(MasterFees[[#This Row],[GST Basis]]="Excl",MasterFees[[#This Row],[Fee as Printed]]*(1+GST_Rate),""))</f>
        <v/>
      </c>
      <c r="S1002" s="35">
        <f>IF(N(MasterFees[[#This Row],[Total Units]])=0,"",MasterFees[[#This Row],[Fee as Printed]]/MasterFees[[#This Row],[Total Units]])</f>
        <v>0</v>
      </c>
      <c r="T1002" s="36"/>
      <c r="U1002" s="39" t="s">
        <v>1016</v>
      </c>
      <c r="V1002" s="39" t="s">
        <v>2646</v>
      </c>
      <c r="W1002" s="30" t="s">
        <v>2632</v>
      </c>
      <c r="X1002" s="73" t="s">
        <v>3857</v>
      </c>
      <c r="Y1002" s="127" t="str">
        <f>_xlfn.XLOOKUP(MasterFees[[#This Row],[Provider / Payer]],Contracts[Contract Name],Contracts[Contract ID],"No contract")</f>
        <v>CON-10</v>
      </c>
      <c r="Z1002" s="127" t="str">
        <f>_xlfn.XLOOKUP(MasterFees[[#This Row],[Provider / Payer]],Contracts[Contract Name],Contracts[Pricing Basis],"To confirm")</f>
        <v>Reference – units only</v>
      </c>
      <c r="AA1002" s="127" t="str">
        <f>IF(MasterFees[[#This Row],[Pricing Basis]]="Fixed fee schedule","Yes","No")</f>
        <v>No</v>
      </c>
      <c r="AB1002" s="127" t="str">
        <f>IF(OR(MasterFees[[#This Row],[Fee Basis]]="Add-on",MasterFees[[#This Row],[Fee Basis]]="Time band",MasterFees[[#This Row],[Fee Basis]]="Other"),MasterFees[[#This Row],[Fee Basis]],"Base")</f>
        <v>Base</v>
      </c>
      <c r="AC1002" s="141" t="str">
        <f>IF(MasterFees[[#This Row],[Fixed Fee?]]="Yes",MasterFees[[#This Row],[Fee Excl. GST]],"")</f>
        <v/>
      </c>
    </row>
    <row r="1003" spans="1:29" x14ac:dyDescent="0.2">
      <c r="A1003" s="67" t="s">
        <v>2390</v>
      </c>
      <c r="B1003" s="31">
        <f>IF(MasterFees[[#This Row],[RVG Code]]="","",_xlfn.XLOOKUP(MasterFees[[#This Row],[RVG Code]],RVGCodes[Code],RVGCodes[Base Units],"Code not found"))</f>
        <v>6</v>
      </c>
      <c r="C100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0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03" s="125" t="s">
        <v>2576</v>
      </c>
      <c r="F1003" s="48" t="s">
        <v>2567</v>
      </c>
      <c r="G1003" s="30" t="s">
        <v>217</v>
      </c>
      <c r="H1003" s="37" t="s">
        <v>1095</v>
      </c>
      <c r="I1003" s="37"/>
      <c r="J1003" s="37" t="s">
        <v>1096</v>
      </c>
      <c r="K1003" s="32">
        <v>5</v>
      </c>
      <c r="L1003" s="32">
        <v>7</v>
      </c>
      <c r="M1003" s="32">
        <v>0.5</v>
      </c>
      <c r="N1003" s="32">
        <v>12.5</v>
      </c>
      <c r="O1003" s="33">
        <v>687.5</v>
      </c>
      <c r="P1003" s="38" t="s">
        <v>1014</v>
      </c>
      <c r="Q1003" s="34" t="str">
        <f>IF(MasterFees[[#This Row],[GST Basis]]="Excl",MasterFees[[#This Row],[Fee as Printed]],IF(MasterFees[[#This Row],[GST Basis]]="Incl",MasterFees[[#This Row],[Fee as Printed]]/(1+GST_Rate),""))</f>
        <v/>
      </c>
      <c r="R1003" s="34" t="str">
        <f>IF(MasterFees[[#This Row],[GST Basis]]="Incl",MasterFees[[#This Row],[Fee as Printed]],IF(MasterFees[[#This Row],[GST Basis]]="Excl",MasterFees[[#This Row],[Fee as Printed]]*(1+GST_Rate),""))</f>
        <v/>
      </c>
      <c r="S1003" s="35">
        <f>IF(N(MasterFees[[#This Row],[Total Units]])=0,"",MasterFees[[#This Row],[Fee as Printed]]/MasterFees[[#This Row],[Total Units]])</f>
        <v>55</v>
      </c>
      <c r="T1003" s="36"/>
      <c r="U1003" s="39" t="s">
        <v>1012</v>
      </c>
      <c r="V1003" s="39" t="s">
        <v>1311</v>
      </c>
      <c r="W1003" s="30"/>
      <c r="X1003" s="73" t="s">
        <v>3097</v>
      </c>
      <c r="Y1003" s="127" t="str">
        <f>_xlfn.XLOOKUP(MasterFees[[#This Row],[Provider / Payer]],Contracts[Contract Name],Contracts[Contract ID],"No contract")</f>
        <v>CON-01</v>
      </c>
      <c r="Z1003" s="127" t="str">
        <f>_xlfn.XLOOKUP(MasterFees[[#This Row],[Provider / Payer]],Contracts[Contract Name],Contracts[Pricing Basis],"To confirm")</f>
        <v>To confirm</v>
      </c>
      <c r="AA1003" s="127" t="str">
        <f>IF(MasterFees[[#This Row],[Pricing Basis]]="Fixed fee schedule","Yes","No")</f>
        <v>No</v>
      </c>
      <c r="AB1003" s="127" t="str">
        <f>IF(OR(MasterFees[[#This Row],[Fee Basis]]="Add-on",MasterFees[[#This Row],[Fee Basis]]="Time band",MasterFees[[#This Row],[Fee Basis]]="Other"),MasterFees[[#This Row],[Fee Basis]],"Base")</f>
        <v>Base</v>
      </c>
      <c r="AC1003" s="141" t="str">
        <f>IF(MasterFees[[#This Row],[Fixed Fee?]]="Yes",MasterFees[[#This Row],[Fee Excl. GST]],"")</f>
        <v/>
      </c>
    </row>
    <row r="1004" spans="1:29" x14ac:dyDescent="0.2">
      <c r="A1004" s="67" t="s">
        <v>2390</v>
      </c>
      <c r="B1004" s="31">
        <f>IF(MasterFees[[#This Row],[RVG Code]]="","",_xlfn.XLOOKUP(MasterFees[[#This Row],[RVG Code]],RVGCodes[Code],RVGCodes[Base Units],"Code not found"))</f>
        <v>6</v>
      </c>
      <c r="C100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0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04" s="125" t="s">
        <v>2576</v>
      </c>
      <c r="F1004" s="48" t="s">
        <v>2569</v>
      </c>
      <c r="G1004" s="30" t="s">
        <v>221</v>
      </c>
      <c r="H1004" s="37" t="s">
        <v>1095</v>
      </c>
      <c r="I1004" s="37"/>
      <c r="J1004" s="37" t="s">
        <v>1096</v>
      </c>
      <c r="K1004" s="32">
        <v>6</v>
      </c>
      <c r="L1004" s="32">
        <v>5.6</v>
      </c>
      <c r="M1004" s="32">
        <v>0.1</v>
      </c>
      <c r="N1004" s="32">
        <v>11.6</v>
      </c>
      <c r="O1004" s="33">
        <v>639.1</v>
      </c>
      <c r="P1004" s="38" t="s">
        <v>1014</v>
      </c>
      <c r="Q1004" s="34" t="str">
        <f>IF(MasterFees[[#This Row],[GST Basis]]="Excl",MasterFees[[#This Row],[Fee as Printed]],IF(MasterFees[[#This Row],[GST Basis]]="Incl",MasterFees[[#This Row],[Fee as Printed]]/(1+GST_Rate),""))</f>
        <v/>
      </c>
      <c r="R1004" s="34" t="str">
        <f>IF(MasterFees[[#This Row],[GST Basis]]="Incl",MasterFees[[#This Row],[Fee as Printed]],IF(MasterFees[[#This Row],[GST Basis]]="Excl",MasterFees[[#This Row],[Fee as Printed]]*(1+GST_Rate),""))</f>
        <v/>
      </c>
      <c r="S1004" s="35">
        <f>IF(N(MasterFees[[#This Row],[Total Units]])=0,"",MasterFees[[#This Row],[Fee as Printed]]/MasterFees[[#This Row],[Total Units]])</f>
        <v>55.094827586206897</v>
      </c>
      <c r="T1004" s="36"/>
      <c r="U1004" s="39" t="s">
        <v>1012</v>
      </c>
      <c r="V1004" s="39" t="s">
        <v>1315</v>
      </c>
      <c r="W1004" s="30"/>
      <c r="X1004" s="73" t="s">
        <v>3102</v>
      </c>
      <c r="Y1004" s="127" t="str">
        <f>_xlfn.XLOOKUP(MasterFees[[#This Row],[Provider / Payer]],Contracts[Contract Name],Contracts[Contract ID],"No contract")</f>
        <v>CON-01</v>
      </c>
      <c r="Z1004" s="127" t="str">
        <f>_xlfn.XLOOKUP(MasterFees[[#This Row],[Provider / Payer]],Contracts[Contract Name],Contracts[Pricing Basis],"To confirm")</f>
        <v>To confirm</v>
      </c>
      <c r="AA1004" s="127" t="str">
        <f>IF(MasterFees[[#This Row],[Pricing Basis]]="Fixed fee schedule","Yes","No")</f>
        <v>No</v>
      </c>
      <c r="AB1004" s="127" t="str">
        <f>IF(OR(MasterFees[[#This Row],[Fee Basis]]="Add-on",MasterFees[[#This Row],[Fee Basis]]="Time band",MasterFees[[#This Row],[Fee Basis]]="Other"),MasterFees[[#This Row],[Fee Basis]],"Base")</f>
        <v>Base</v>
      </c>
      <c r="AC1004" s="141" t="str">
        <f>IF(MasterFees[[#This Row],[Fixed Fee?]]="Yes",MasterFees[[#This Row],[Fee Excl. GST]],"")</f>
        <v/>
      </c>
    </row>
    <row r="1005" spans="1:29" x14ac:dyDescent="0.2">
      <c r="A1005" s="67" t="s">
        <v>2390</v>
      </c>
      <c r="B1005" s="31">
        <f>IF(MasterFees[[#This Row],[RVG Code]]="","",_xlfn.XLOOKUP(MasterFees[[#This Row],[RVG Code]],RVGCodes[Code],RVGCodes[Base Units],"Code not found"))</f>
        <v>6</v>
      </c>
      <c r="C100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0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05" s="125" t="s">
        <v>2576</v>
      </c>
      <c r="F1005" s="48" t="s">
        <v>2569</v>
      </c>
      <c r="G1005" s="30" t="s">
        <v>222</v>
      </c>
      <c r="H1005" s="37" t="s">
        <v>1095</v>
      </c>
      <c r="I1005" s="37"/>
      <c r="J1005" s="37" t="s">
        <v>1096</v>
      </c>
      <c r="K1005" s="32">
        <v>5.9</v>
      </c>
      <c r="L1005" s="32">
        <v>5.8</v>
      </c>
      <c r="M1005" s="32">
        <v>0.1</v>
      </c>
      <c r="N1005" s="32">
        <v>11.8</v>
      </c>
      <c r="O1005" s="33">
        <v>651.20000000000005</v>
      </c>
      <c r="P1005" s="38" t="s">
        <v>1014</v>
      </c>
      <c r="Q1005" s="34" t="str">
        <f>IF(MasterFees[[#This Row],[GST Basis]]="Excl",MasterFees[[#This Row],[Fee as Printed]],IF(MasterFees[[#This Row],[GST Basis]]="Incl",MasterFees[[#This Row],[Fee as Printed]]/(1+GST_Rate),""))</f>
        <v/>
      </c>
      <c r="R1005" s="34" t="str">
        <f>IF(MasterFees[[#This Row],[GST Basis]]="Incl",MasterFees[[#This Row],[Fee as Printed]],IF(MasterFees[[#This Row],[GST Basis]]="Excl",MasterFees[[#This Row],[Fee as Printed]]*(1+GST_Rate),""))</f>
        <v/>
      </c>
      <c r="S1005" s="35">
        <f>IF(N(MasterFees[[#This Row],[Total Units]])=0,"",MasterFees[[#This Row],[Fee as Printed]]/MasterFees[[#This Row],[Total Units]])</f>
        <v>55.186440677966104</v>
      </c>
      <c r="T1005" s="36"/>
      <c r="U1005" s="39" t="s">
        <v>1012</v>
      </c>
      <c r="V1005" s="39" t="s">
        <v>1316</v>
      </c>
      <c r="W1005" s="30"/>
      <c r="X1005" s="73" t="s">
        <v>3103</v>
      </c>
      <c r="Y1005" s="127" t="str">
        <f>_xlfn.XLOOKUP(MasterFees[[#This Row],[Provider / Payer]],Contracts[Contract Name],Contracts[Contract ID],"No contract")</f>
        <v>CON-01</v>
      </c>
      <c r="Z1005" s="127" t="str">
        <f>_xlfn.XLOOKUP(MasterFees[[#This Row],[Provider / Payer]],Contracts[Contract Name],Contracts[Pricing Basis],"To confirm")</f>
        <v>To confirm</v>
      </c>
      <c r="AA1005" s="127" t="str">
        <f>IF(MasterFees[[#This Row],[Pricing Basis]]="Fixed fee schedule","Yes","No")</f>
        <v>No</v>
      </c>
      <c r="AB1005" s="127" t="str">
        <f>IF(OR(MasterFees[[#This Row],[Fee Basis]]="Add-on",MasterFees[[#This Row],[Fee Basis]]="Time band",MasterFees[[#This Row],[Fee Basis]]="Other"),MasterFees[[#This Row],[Fee Basis]],"Base")</f>
        <v>Base</v>
      </c>
      <c r="AC1005" s="141" t="str">
        <f>IF(MasterFees[[#This Row],[Fixed Fee?]]="Yes",MasterFees[[#This Row],[Fee Excl. GST]],"")</f>
        <v/>
      </c>
    </row>
    <row r="1006" spans="1:29" x14ac:dyDescent="0.2">
      <c r="A1006" s="67" t="s">
        <v>2388</v>
      </c>
      <c r="B1006" s="31">
        <f>IF(MasterFees[[#This Row],[RVG Code]]="","",_xlfn.XLOOKUP(MasterFees[[#This Row],[RVG Code]],RVGCodes[Code],RVGCodes[Base Units],"Code not found"))</f>
        <v>5</v>
      </c>
      <c r="C100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0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06" s="125" t="s">
        <v>2606</v>
      </c>
      <c r="F1006" s="48" t="s">
        <v>2567</v>
      </c>
      <c r="G1006" s="30" t="s">
        <v>236</v>
      </c>
      <c r="H1006" s="37" t="s">
        <v>1095</v>
      </c>
      <c r="I1006" s="37"/>
      <c r="J1006" s="37" t="s">
        <v>1096</v>
      </c>
      <c r="K1006" s="32">
        <v>5</v>
      </c>
      <c r="L1006" s="32">
        <v>3</v>
      </c>
      <c r="M1006" s="32">
        <v>1</v>
      </c>
      <c r="N1006" s="32">
        <v>9</v>
      </c>
      <c r="O1006" s="33">
        <v>495</v>
      </c>
      <c r="P1006" s="38" t="s">
        <v>1014</v>
      </c>
      <c r="Q1006" s="34" t="str">
        <f>IF(MasterFees[[#This Row],[GST Basis]]="Excl",MasterFees[[#This Row],[Fee as Printed]],IF(MasterFees[[#This Row],[GST Basis]]="Incl",MasterFees[[#This Row],[Fee as Printed]]/(1+GST_Rate),""))</f>
        <v/>
      </c>
      <c r="R1006" s="34" t="str">
        <f>IF(MasterFees[[#This Row],[GST Basis]]="Incl",MasterFees[[#This Row],[Fee as Printed]],IF(MasterFees[[#This Row],[GST Basis]]="Excl",MasterFees[[#This Row],[Fee as Printed]]*(1+GST_Rate),""))</f>
        <v/>
      </c>
      <c r="S1006" s="35">
        <f>IF(N(MasterFees[[#This Row],[Total Units]])=0,"",MasterFees[[#This Row],[Fee as Printed]]/MasterFees[[#This Row],[Total Units]])</f>
        <v>55</v>
      </c>
      <c r="T1006" s="36"/>
      <c r="U1006" s="39" t="s">
        <v>1012</v>
      </c>
      <c r="V1006" s="39" t="s">
        <v>1330</v>
      </c>
      <c r="W1006" s="30"/>
      <c r="X1006" s="73" t="s">
        <v>3120</v>
      </c>
      <c r="Y1006" s="127" t="str">
        <f>_xlfn.XLOOKUP(MasterFees[[#This Row],[Provider / Payer]],Contracts[Contract Name],Contracts[Contract ID],"No contract")</f>
        <v>CON-01</v>
      </c>
      <c r="Z1006" s="127" t="str">
        <f>_xlfn.XLOOKUP(MasterFees[[#This Row],[Provider / Payer]],Contracts[Contract Name],Contracts[Pricing Basis],"To confirm")</f>
        <v>To confirm</v>
      </c>
      <c r="AA1006" s="127" t="str">
        <f>IF(MasterFees[[#This Row],[Pricing Basis]]="Fixed fee schedule","Yes","No")</f>
        <v>No</v>
      </c>
      <c r="AB1006" s="127" t="str">
        <f>IF(OR(MasterFees[[#This Row],[Fee Basis]]="Add-on",MasterFees[[#This Row],[Fee Basis]]="Time band",MasterFees[[#This Row],[Fee Basis]]="Other"),MasterFees[[#This Row],[Fee Basis]],"Base")</f>
        <v>Base</v>
      </c>
      <c r="AC1006" s="141" t="str">
        <f>IF(MasterFees[[#This Row],[Fixed Fee?]]="Yes",MasterFees[[#This Row],[Fee Excl. GST]],"")</f>
        <v/>
      </c>
    </row>
    <row r="1007" spans="1:29" x14ac:dyDescent="0.2">
      <c r="A1007" s="67" t="s">
        <v>2388</v>
      </c>
      <c r="B1007" s="31">
        <f>IF(MasterFees[[#This Row],[RVG Code]]="","",_xlfn.XLOOKUP(MasterFees[[#This Row],[RVG Code]],RVGCodes[Code],RVGCodes[Base Units],"Code not found"))</f>
        <v>5</v>
      </c>
      <c r="C100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0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07" s="125" t="s">
        <v>2606</v>
      </c>
      <c r="F1007" s="48" t="s">
        <v>2567</v>
      </c>
      <c r="G1007" s="30" t="s">
        <v>317</v>
      </c>
      <c r="H1007" s="37" t="s">
        <v>1095</v>
      </c>
      <c r="I1007" s="37"/>
      <c r="J1007" s="37" t="s">
        <v>1096</v>
      </c>
      <c r="K1007" s="32">
        <v>4</v>
      </c>
      <c r="L1007" s="32">
        <v>4</v>
      </c>
      <c r="M1007" s="32">
        <v>0.7</v>
      </c>
      <c r="N1007" s="32">
        <v>8.6999999999999993</v>
      </c>
      <c r="O1007" s="33">
        <v>476.3</v>
      </c>
      <c r="P1007" s="38" t="s">
        <v>1014</v>
      </c>
      <c r="Q1007" s="34" t="str">
        <f>IF(MasterFees[[#This Row],[GST Basis]]="Excl",MasterFees[[#This Row],[Fee as Printed]],IF(MasterFees[[#This Row],[GST Basis]]="Incl",MasterFees[[#This Row],[Fee as Printed]]/(1+GST_Rate),""))</f>
        <v/>
      </c>
      <c r="R1007" s="34" t="str">
        <f>IF(MasterFees[[#This Row],[GST Basis]]="Incl",MasterFees[[#This Row],[Fee as Printed]],IF(MasterFees[[#This Row],[GST Basis]]="Excl",MasterFees[[#This Row],[Fee as Printed]]*(1+GST_Rate),""))</f>
        <v/>
      </c>
      <c r="S1007" s="35">
        <f>IF(N(MasterFees[[#This Row],[Total Units]])=0,"",MasterFees[[#This Row],[Fee as Printed]]/MasterFees[[#This Row],[Total Units]])</f>
        <v>54.747126436781613</v>
      </c>
      <c r="T1007" s="36"/>
      <c r="U1007" s="39" t="s">
        <v>1012</v>
      </c>
      <c r="V1007" s="39" t="s">
        <v>1411</v>
      </c>
      <c r="W1007" s="30"/>
      <c r="X1007" s="73" t="s">
        <v>3203</v>
      </c>
      <c r="Y1007" s="127" t="str">
        <f>_xlfn.XLOOKUP(MasterFees[[#This Row],[Provider / Payer]],Contracts[Contract Name],Contracts[Contract ID],"No contract")</f>
        <v>CON-01</v>
      </c>
      <c r="Z1007" s="127" t="str">
        <f>_xlfn.XLOOKUP(MasterFees[[#This Row],[Provider / Payer]],Contracts[Contract Name],Contracts[Pricing Basis],"To confirm")</f>
        <v>To confirm</v>
      </c>
      <c r="AA1007" s="127" t="str">
        <f>IF(MasterFees[[#This Row],[Pricing Basis]]="Fixed fee schedule","Yes","No")</f>
        <v>No</v>
      </c>
      <c r="AB1007" s="127" t="str">
        <f>IF(OR(MasterFees[[#This Row],[Fee Basis]]="Add-on",MasterFees[[#This Row],[Fee Basis]]="Time band",MasterFees[[#This Row],[Fee Basis]]="Other"),MasterFees[[#This Row],[Fee Basis]],"Base")</f>
        <v>Base</v>
      </c>
      <c r="AC1007" s="141" t="str">
        <f>IF(MasterFees[[#This Row],[Fixed Fee?]]="Yes",MasterFees[[#This Row],[Fee Excl. GST]],"")</f>
        <v/>
      </c>
    </row>
    <row r="1008" spans="1:29" x14ac:dyDescent="0.2">
      <c r="A1008" s="67" t="s">
        <v>2390</v>
      </c>
      <c r="B1008" s="31">
        <f>IF(MasterFees[[#This Row],[RVG Code]]="","",_xlfn.XLOOKUP(MasterFees[[#This Row],[RVG Code]],RVGCodes[Code],RVGCodes[Base Units],"Code not found"))</f>
        <v>6</v>
      </c>
      <c r="C100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0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08" s="125" t="s">
        <v>2576</v>
      </c>
      <c r="F1008" s="48" t="s">
        <v>2569</v>
      </c>
      <c r="G1008" s="30" t="s">
        <v>363</v>
      </c>
      <c r="H1008" s="37" t="s">
        <v>1095</v>
      </c>
      <c r="I1008" s="37"/>
      <c r="J1008" s="37" t="s">
        <v>1096</v>
      </c>
      <c r="K1008" s="32">
        <v>8</v>
      </c>
      <c r="L1008" s="32">
        <v>16</v>
      </c>
      <c r="M1008" s="32">
        <v>0</v>
      </c>
      <c r="N1008" s="32">
        <v>24</v>
      </c>
      <c r="O1008" s="33">
        <v>1320</v>
      </c>
      <c r="P1008" s="38" t="s">
        <v>1014</v>
      </c>
      <c r="Q1008" s="34" t="str">
        <f>IF(MasterFees[[#This Row],[GST Basis]]="Excl",MasterFees[[#This Row],[Fee as Printed]],IF(MasterFees[[#This Row],[GST Basis]]="Incl",MasterFees[[#This Row],[Fee as Printed]]/(1+GST_Rate),""))</f>
        <v/>
      </c>
      <c r="R1008" s="34" t="str">
        <f>IF(MasterFees[[#This Row],[GST Basis]]="Incl",MasterFees[[#This Row],[Fee as Printed]],IF(MasterFees[[#This Row],[GST Basis]]="Excl",MasterFees[[#This Row],[Fee as Printed]]*(1+GST_Rate),""))</f>
        <v/>
      </c>
      <c r="S1008" s="35">
        <f>IF(N(MasterFees[[#This Row],[Total Units]])=0,"",MasterFees[[#This Row],[Fee as Printed]]/MasterFees[[#This Row],[Total Units]])</f>
        <v>55</v>
      </c>
      <c r="T1008" s="36"/>
      <c r="U1008" s="39" t="s">
        <v>1012</v>
      </c>
      <c r="V1008" s="39" t="s">
        <v>1458</v>
      </c>
      <c r="W1008" s="30"/>
      <c r="X1008" s="73" t="s">
        <v>3250</v>
      </c>
      <c r="Y1008" s="127" t="str">
        <f>_xlfn.XLOOKUP(MasterFees[[#This Row],[Provider / Payer]],Contracts[Contract Name],Contracts[Contract ID],"No contract")</f>
        <v>CON-01</v>
      </c>
      <c r="Z1008" s="127" t="str">
        <f>_xlfn.XLOOKUP(MasterFees[[#This Row],[Provider / Payer]],Contracts[Contract Name],Contracts[Pricing Basis],"To confirm")</f>
        <v>To confirm</v>
      </c>
      <c r="AA1008" s="127" t="str">
        <f>IF(MasterFees[[#This Row],[Pricing Basis]]="Fixed fee schedule","Yes","No")</f>
        <v>No</v>
      </c>
      <c r="AB1008" s="127" t="str">
        <f>IF(OR(MasterFees[[#This Row],[Fee Basis]]="Add-on",MasterFees[[#This Row],[Fee Basis]]="Time band",MasterFees[[#This Row],[Fee Basis]]="Other"),MasterFees[[#This Row],[Fee Basis]],"Base")</f>
        <v>Base</v>
      </c>
      <c r="AC1008" s="141" t="str">
        <f>IF(MasterFees[[#This Row],[Fixed Fee?]]="Yes",MasterFees[[#This Row],[Fee Excl. GST]],"")</f>
        <v/>
      </c>
    </row>
    <row r="1009" spans="1:29" x14ac:dyDescent="0.2">
      <c r="A1009" s="67" t="s">
        <v>2390</v>
      </c>
      <c r="B1009" s="31">
        <f>IF(MasterFees[[#This Row],[RVG Code]]="","",_xlfn.XLOOKUP(MasterFees[[#This Row],[RVG Code]],RVGCodes[Code],RVGCodes[Base Units],"Code not found"))</f>
        <v>6</v>
      </c>
      <c r="C100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0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09" s="125" t="s">
        <v>2576</v>
      </c>
      <c r="F1009" s="48" t="s">
        <v>2567</v>
      </c>
      <c r="G1009" s="30" t="s">
        <v>391</v>
      </c>
      <c r="H1009" s="37" t="s">
        <v>1095</v>
      </c>
      <c r="I1009" s="37"/>
      <c r="J1009" s="37" t="s">
        <v>1096</v>
      </c>
      <c r="K1009" s="32">
        <v>0</v>
      </c>
      <c r="L1009" s="32">
        <v>1</v>
      </c>
      <c r="M1009" s="32">
        <v>1</v>
      </c>
      <c r="N1009" s="32">
        <v>2</v>
      </c>
      <c r="O1009" s="33">
        <v>110</v>
      </c>
      <c r="P1009" s="38" t="s">
        <v>1014</v>
      </c>
      <c r="Q1009" s="34" t="str">
        <f>IF(MasterFees[[#This Row],[GST Basis]]="Excl",MasterFees[[#This Row],[Fee as Printed]],IF(MasterFees[[#This Row],[GST Basis]]="Incl",MasterFees[[#This Row],[Fee as Printed]]/(1+GST_Rate),""))</f>
        <v/>
      </c>
      <c r="R1009" s="34" t="str">
        <f>IF(MasterFees[[#This Row],[GST Basis]]="Incl",MasterFees[[#This Row],[Fee as Printed]],IF(MasterFees[[#This Row],[GST Basis]]="Excl",MasterFees[[#This Row],[Fee as Printed]]*(1+GST_Rate),""))</f>
        <v/>
      </c>
      <c r="S1009" s="35">
        <f>IF(N(MasterFees[[#This Row],[Total Units]])=0,"",MasterFees[[#This Row],[Fee as Printed]]/MasterFees[[#This Row],[Total Units]])</f>
        <v>55</v>
      </c>
      <c r="T1009" s="36"/>
      <c r="U1009" s="39" t="s">
        <v>1012</v>
      </c>
      <c r="V1009" s="39" t="s">
        <v>1486</v>
      </c>
      <c r="W1009" s="30"/>
      <c r="X1009" s="73" t="s">
        <v>3279</v>
      </c>
      <c r="Y1009" s="127" t="str">
        <f>_xlfn.XLOOKUP(MasterFees[[#This Row],[Provider / Payer]],Contracts[Contract Name],Contracts[Contract ID],"No contract")</f>
        <v>CON-01</v>
      </c>
      <c r="Z1009" s="127" t="str">
        <f>_xlfn.XLOOKUP(MasterFees[[#This Row],[Provider / Payer]],Contracts[Contract Name],Contracts[Pricing Basis],"To confirm")</f>
        <v>To confirm</v>
      </c>
      <c r="AA1009" s="127" t="str">
        <f>IF(MasterFees[[#This Row],[Pricing Basis]]="Fixed fee schedule","Yes","No")</f>
        <v>No</v>
      </c>
      <c r="AB1009" s="127" t="str">
        <f>IF(OR(MasterFees[[#This Row],[Fee Basis]]="Add-on",MasterFees[[#This Row],[Fee Basis]]="Time band",MasterFees[[#This Row],[Fee Basis]]="Other"),MasterFees[[#This Row],[Fee Basis]],"Base")</f>
        <v>Base</v>
      </c>
      <c r="AC1009" s="141" t="str">
        <f>IF(MasterFees[[#This Row],[Fixed Fee?]]="Yes",MasterFees[[#This Row],[Fee Excl. GST]],"")</f>
        <v/>
      </c>
    </row>
    <row r="1010" spans="1:29" x14ac:dyDescent="0.2">
      <c r="A1010" s="67" t="s">
        <v>2390</v>
      </c>
      <c r="B1010" s="31">
        <f>IF(MasterFees[[#This Row],[RVG Code]]="","",_xlfn.XLOOKUP(MasterFees[[#This Row],[RVG Code]],RVGCodes[Code],RVGCodes[Base Units],"Code not found"))</f>
        <v>6</v>
      </c>
      <c r="C101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1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10" s="125" t="s">
        <v>2576</v>
      </c>
      <c r="F1010" s="48" t="s">
        <v>2567</v>
      </c>
      <c r="G1010" s="30" t="s">
        <v>399</v>
      </c>
      <c r="H1010" s="37" t="s">
        <v>1095</v>
      </c>
      <c r="I1010" s="37"/>
      <c r="J1010" s="37" t="s">
        <v>1096</v>
      </c>
      <c r="K1010" s="32">
        <v>4</v>
      </c>
      <c r="L1010" s="32">
        <v>5.8</v>
      </c>
      <c r="M1010" s="32">
        <v>0.6</v>
      </c>
      <c r="N1010" s="32">
        <v>10.4</v>
      </c>
      <c r="O1010" s="33">
        <v>572</v>
      </c>
      <c r="P1010" s="38" t="s">
        <v>1014</v>
      </c>
      <c r="Q1010" s="34" t="str">
        <f>IF(MasterFees[[#This Row],[GST Basis]]="Excl",MasterFees[[#This Row],[Fee as Printed]],IF(MasterFees[[#This Row],[GST Basis]]="Incl",MasterFees[[#This Row],[Fee as Printed]]/(1+GST_Rate),""))</f>
        <v/>
      </c>
      <c r="R1010" s="34" t="str">
        <f>IF(MasterFees[[#This Row],[GST Basis]]="Incl",MasterFees[[#This Row],[Fee as Printed]],IF(MasterFees[[#This Row],[GST Basis]]="Excl",MasterFees[[#This Row],[Fee as Printed]]*(1+GST_Rate),""))</f>
        <v/>
      </c>
      <c r="S1010" s="35">
        <f>IF(N(MasterFees[[#This Row],[Total Units]])=0,"",MasterFees[[#This Row],[Fee as Printed]]/MasterFees[[#This Row],[Total Units]])</f>
        <v>55</v>
      </c>
      <c r="T1010" s="36"/>
      <c r="U1010" s="39" t="s">
        <v>1012</v>
      </c>
      <c r="V1010" s="39" t="s">
        <v>1494</v>
      </c>
      <c r="W1010" s="30"/>
      <c r="X1010" s="73" t="s">
        <v>3287</v>
      </c>
      <c r="Y1010" s="127" t="str">
        <f>_xlfn.XLOOKUP(MasterFees[[#This Row],[Provider / Payer]],Contracts[Contract Name],Contracts[Contract ID],"No contract")</f>
        <v>CON-01</v>
      </c>
      <c r="Z1010" s="127" t="str">
        <f>_xlfn.XLOOKUP(MasterFees[[#This Row],[Provider / Payer]],Contracts[Contract Name],Contracts[Pricing Basis],"To confirm")</f>
        <v>To confirm</v>
      </c>
      <c r="AA1010" s="127" t="str">
        <f>IF(MasterFees[[#This Row],[Pricing Basis]]="Fixed fee schedule","Yes","No")</f>
        <v>No</v>
      </c>
      <c r="AB1010" s="127" t="str">
        <f>IF(OR(MasterFees[[#This Row],[Fee Basis]]="Add-on",MasterFees[[#This Row],[Fee Basis]]="Time band",MasterFees[[#This Row],[Fee Basis]]="Other"),MasterFees[[#This Row],[Fee Basis]],"Base")</f>
        <v>Base</v>
      </c>
      <c r="AC1010" s="141" t="str">
        <f>IF(MasterFees[[#This Row],[Fixed Fee?]]="Yes",MasterFees[[#This Row],[Fee Excl. GST]],"")</f>
        <v/>
      </c>
    </row>
    <row r="1011" spans="1:29" x14ac:dyDescent="0.2">
      <c r="A1011" s="67" t="s">
        <v>2392</v>
      </c>
      <c r="B1011" s="31">
        <f>IF(MasterFees[[#This Row],[RVG Code]]="","",_xlfn.XLOOKUP(MasterFees[[#This Row],[RVG Code]],RVGCodes[Code],RVGCodes[Base Units],"Code not found"))</f>
        <v>8</v>
      </c>
      <c r="C101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1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11" s="125" t="s">
        <v>2581</v>
      </c>
      <c r="F1011" s="48" t="s">
        <v>2569</v>
      </c>
      <c r="G1011" s="30" t="s">
        <v>406</v>
      </c>
      <c r="H1011" s="37" t="s">
        <v>1095</v>
      </c>
      <c r="I1011" s="37"/>
      <c r="J1011" s="37" t="s">
        <v>1096</v>
      </c>
      <c r="K1011" s="32">
        <v>8</v>
      </c>
      <c r="L1011" s="32">
        <v>6.9</v>
      </c>
      <c r="M1011" s="32">
        <v>1</v>
      </c>
      <c r="N1011" s="32">
        <v>15.9</v>
      </c>
      <c r="O1011" s="33">
        <v>872.85</v>
      </c>
      <c r="P1011" s="38" t="s">
        <v>1014</v>
      </c>
      <c r="Q1011" s="34" t="str">
        <f>IF(MasterFees[[#This Row],[GST Basis]]="Excl",MasterFees[[#This Row],[Fee as Printed]],IF(MasterFees[[#This Row],[GST Basis]]="Incl",MasterFees[[#This Row],[Fee as Printed]]/(1+GST_Rate),""))</f>
        <v/>
      </c>
      <c r="R1011" s="34" t="str">
        <f>IF(MasterFees[[#This Row],[GST Basis]]="Incl",MasterFees[[#This Row],[Fee as Printed]],IF(MasterFees[[#This Row],[GST Basis]]="Excl",MasterFees[[#This Row],[Fee as Printed]]*(1+GST_Rate),""))</f>
        <v/>
      </c>
      <c r="S1011" s="35">
        <f>IF(N(MasterFees[[#This Row],[Total Units]])=0,"",MasterFees[[#This Row],[Fee as Printed]]/MasterFees[[#This Row],[Total Units]])</f>
        <v>54.89622641509434</v>
      </c>
      <c r="T1011" s="36"/>
      <c r="U1011" s="39" t="s">
        <v>1012</v>
      </c>
      <c r="V1011" s="39" t="s">
        <v>1501</v>
      </c>
      <c r="W1011" s="30"/>
      <c r="X1011" s="73" t="s">
        <v>3294</v>
      </c>
      <c r="Y1011" s="127" t="str">
        <f>_xlfn.XLOOKUP(MasterFees[[#This Row],[Provider / Payer]],Contracts[Contract Name],Contracts[Contract ID],"No contract")</f>
        <v>CON-01</v>
      </c>
      <c r="Z1011" s="127" t="str">
        <f>_xlfn.XLOOKUP(MasterFees[[#This Row],[Provider / Payer]],Contracts[Contract Name],Contracts[Pricing Basis],"To confirm")</f>
        <v>To confirm</v>
      </c>
      <c r="AA1011" s="127" t="str">
        <f>IF(MasterFees[[#This Row],[Pricing Basis]]="Fixed fee schedule","Yes","No")</f>
        <v>No</v>
      </c>
      <c r="AB1011" s="127" t="str">
        <f>IF(OR(MasterFees[[#This Row],[Fee Basis]]="Add-on",MasterFees[[#This Row],[Fee Basis]]="Time band",MasterFees[[#This Row],[Fee Basis]]="Other"),MasterFees[[#This Row],[Fee Basis]],"Base")</f>
        <v>Base</v>
      </c>
      <c r="AC1011" s="141" t="str">
        <f>IF(MasterFees[[#This Row],[Fixed Fee?]]="Yes",MasterFees[[#This Row],[Fee Excl. GST]],"")</f>
        <v/>
      </c>
    </row>
    <row r="1012" spans="1:29" x14ac:dyDescent="0.2">
      <c r="A1012" s="67" t="s">
        <v>2392</v>
      </c>
      <c r="B1012" s="31">
        <f>IF(MasterFees[[#This Row],[RVG Code]]="","",_xlfn.XLOOKUP(MasterFees[[#This Row],[RVG Code]],RVGCodes[Code],RVGCodes[Base Units],"Code not found"))</f>
        <v>8</v>
      </c>
      <c r="C101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1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12" s="125" t="s">
        <v>2581</v>
      </c>
      <c r="F1012" s="48" t="s">
        <v>2569</v>
      </c>
      <c r="G1012" s="30" t="s">
        <v>407</v>
      </c>
      <c r="H1012" s="37" t="s">
        <v>1095</v>
      </c>
      <c r="I1012" s="37"/>
      <c r="J1012" s="37" t="s">
        <v>1096</v>
      </c>
      <c r="K1012" s="32">
        <v>8</v>
      </c>
      <c r="L1012" s="32">
        <v>6.4</v>
      </c>
      <c r="M1012" s="32">
        <v>1.6</v>
      </c>
      <c r="N1012" s="32">
        <v>15.9</v>
      </c>
      <c r="O1012" s="33">
        <v>875.05</v>
      </c>
      <c r="P1012" s="38" t="s">
        <v>1014</v>
      </c>
      <c r="Q1012" s="34" t="str">
        <f>IF(MasterFees[[#This Row],[GST Basis]]="Excl",MasterFees[[#This Row],[Fee as Printed]],IF(MasterFees[[#This Row],[GST Basis]]="Incl",MasterFees[[#This Row],[Fee as Printed]]/(1+GST_Rate),""))</f>
        <v/>
      </c>
      <c r="R1012" s="34" t="str">
        <f>IF(MasterFees[[#This Row],[GST Basis]]="Incl",MasterFees[[#This Row],[Fee as Printed]],IF(MasterFees[[#This Row],[GST Basis]]="Excl",MasterFees[[#This Row],[Fee as Printed]]*(1+GST_Rate),""))</f>
        <v/>
      </c>
      <c r="S1012" s="35">
        <f>IF(N(MasterFees[[#This Row],[Total Units]])=0,"",MasterFees[[#This Row],[Fee as Printed]]/MasterFees[[#This Row],[Total Units]])</f>
        <v>55.034591194968549</v>
      </c>
      <c r="T1012" s="36"/>
      <c r="U1012" s="39" t="s">
        <v>1012</v>
      </c>
      <c r="V1012" s="39" t="s">
        <v>1502</v>
      </c>
      <c r="W1012" s="30"/>
      <c r="X1012" s="73" t="s">
        <v>3295</v>
      </c>
      <c r="Y1012" s="127" t="str">
        <f>_xlfn.XLOOKUP(MasterFees[[#This Row],[Provider / Payer]],Contracts[Contract Name],Contracts[Contract ID],"No contract")</f>
        <v>CON-01</v>
      </c>
      <c r="Z1012" s="127" t="str">
        <f>_xlfn.XLOOKUP(MasterFees[[#This Row],[Provider / Payer]],Contracts[Contract Name],Contracts[Pricing Basis],"To confirm")</f>
        <v>To confirm</v>
      </c>
      <c r="AA1012" s="127" t="str">
        <f>IF(MasterFees[[#This Row],[Pricing Basis]]="Fixed fee schedule","Yes","No")</f>
        <v>No</v>
      </c>
      <c r="AB1012" s="127" t="str">
        <f>IF(OR(MasterFees[[#This Row],[Fee Basis]]="Add-on",MasterFees[[#This Row],[Fee Basis]]="Time band",MasterFees[[#This Row],[Fee Basis]]="Other"),MasterFees[[#This Row],[Fee Basis]],"Base")</f>
        <v>Base</v>
      </c>
      <c r="AC1012" s="141" t="str">
        <f>IF(MasterFees[[#This Row],[Fixed Fee?]]="Yes",MasterFees[[#This Row],[Fee Excl. GST]],"")</f>
        <v/>
      </c>
    </row>
    <row r="1013" spans="1:29" x14ac:dyDescent="0.2">
      <c r="A1013" s="67" t="s">
        <v>2386</v>
      </c>
      <c r="B1013" s="31">
        <f>IF(MasterFees[[#This Row],[RVG Code]]="","",_xlfn.XLOOKUP(MasterFees[[#This Row],[RVG Code]],RVGCodes[Code],RVGCodes[Base Units],"Code not found"))</f>
        <v>4</v>
      </c>
      <c r="C101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1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13" s="125" t="s">
        <v>2568</v>
      </c>
      <c r="F1013" s="48" t="s">
        <v>2569</v>
      </c>
      <c r="G1013" s="30" t="s">
        <v>413</v>
      </c>
      <c r="H1013" s="37" t="s">
        <v>1095</v>
      </c>
      <c r="I1013" s="37"/>
      <c r="J1013" s="37" t="s">
        <v>1096</v>
      </c>
      <c r="K1013" s="32">
        <v>7.5</v>
      </c>
      <c r="L1013" s="32">
        <v>10.5</v>
      </c>
      <c r="M1013" s="32">
        <v>1</v>
      </c>
      <c r="N1013" s="32">
        <v>18.899999999999999</v>
      </c>
      <c r="O1013" s="33">
        <v>1037.8499999999999</v>
      </c>
      <c r="P1013" s="38" t="s">
        <v>1014</v>
      </c>
      <c r="Q1013" s="34" t="str">
        <f>IF(MasterFees[[#This Row],[GST Basis]]="Excl",MasterFees[[#This Row],[Fee as Printed]],IF(MasterFees[[#This Row],[GST Basis]]="Incl",MasterFees[[#This Row],[Fee as Printed]]/(1+GST_Rate),""))</f>
        <v/>
      </c>
      <c r="R1013" s="34" t="str">
        <f>IF(MasterFees[[#This Row],[GST Basis]]="Incl",MasterFees[[#This Row],[Fee as Printed]],IF(MasterFees[[#This Row],[GST Basis]]="Excl",MasterFees[[#This Row],[Fee as Printed]]*(1+GST_Rate),""))</f>
        <v/>
      </c>
      <c r="S1013" s="35">
        <f>IF(N(MasterFees[[#This Row],[Total Units]])=0,"",MasterFees[[#This Row],[Fee as Printed]]/MasterFees[[#This Row],[Total Units]])</f>
        <v>54.912698412698411</v>
      </c>
      <c r="T1013" s="36"/>
      <c r="U1013" s="39" t="s">
        <v>1012</v>
      </c>
      <c r="V1013" s="39" t="s">
        <v>1508</v>
      </c>
      <c r="W1013" s="30"/>
      <c r="X1013" s="73" t="s">
        <v>3301</v>
      </c>
      <c r="Y1013" s="127" t="str">
        <f>_xlfn.XLOOKUP(MasterFees[[#This Row],[Provider / Payer]],Contracts[Contract Name],Contracts[Contract ID],"No contract")</f>
        <v>CON-01</v>
      </c>
      <c r="Z1013" s="127" t="str">
        <f>_xlfn.XLOOKUP(MasterFees[[#This Row],[Provider / Payer]],Contracts[Contract Name],Contracts[Pricing Basis],"To confirm")</f>
        <v>To confirm</v>
      </c>
      <c r="AA1013" s="127" t="str">
        <f>IF(MasterFees[[#This Row],[Pricing Basis]]="Fixed fee schedule","Yes","No")</f>
        <v>No</v>
      </c>
      <c r="AB1013" s="127" t="str">
        <f>IF(OR(MasterFees[[#This Row],[Fee Basis]]="Add-on",MasterFees[[#This Row],[Fee Basis]]="Time band",MasterFees[[#This Row],[Fee Basis]]="Other"),MasterFees[[#This Row],[Fee Basis]],"Base")</f>
        <v>Base</v>
      </c>
      <c r="AC1013" s="141" t="str">
        <f>IF(MasterFees[[#This Row],[Fixed Fee?]]="Yes",MasterFees[[#This Row],[Fee Excl. GST]],"")</f>
        <v/>
      </c>
    </row>
    <row r="1014" spans="1:29" x14ac:dyDescent="0.2">
      <c r="A1014" s="67" t="s">
        <v>2392</v>
      </c>
      <c r="B1014" s="31">
        <f>IF(MasterFees[[#This Row],[RVG Code]]="","",_xlfn.XLOOKUP(MasterFees[[#This Row],[RVG Code]],RVGCodes[Code],RVGCodes[Base Units],"Code not found"))</f>
        <v>8</v>
      </c>
      <c r="C101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1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14" s="125" t="s">
        <v>2581</v>
      </c>
      <c r="F1014" s="48" t="s">
        <v>2569</v>
      </c>
      <c r="G1014" s="30" t="s">
        <v>415</v>
      </c>
      <c r="H1014" s="37" t="s">
        <v>1095</v>
      </c>
      <c r="I1014" s="37"/>
      <c r="J1014" s="37" t="s">
        <v>1096</v>
      </c>
      <c r="K1014" s="32">
        <v>8</v>
      </c>
      <c r="L1014" s="32">
        <v>6.9</v>
      </c>
      <c r="M1014" s="32">
        <v>1.8</v>
      </c>
      <c r="N1014" s="32">
        <v>16.7</v>
      </c>
      <c r="O1014" s="33">
        <v>919.6</v>
      </c>
      <c r="P1014" s="38" t="s">
        <v>1014</v>
      </c>
      <c r="Q1014" s="34" t="str">
        <f>IF(MasterFees[[#This Row],[GST Basis]]="Excl",MasterFees[[#This Row],[Fee as Printed]],IF(MasterFees[[#This Row],[GST Basis]]="Incl",MasterFees[[#This Row],[Fee as Printed]]/(1+GST_Rate),""))</f>
        <v/>
      </c>
      <c r="R1014" s="34" t="str">
        <f>IF(MasterFees[[#This Row],[GST Basis]]="Incl",MasterFees[[#This Row],[Fee as Printed]],IF(MasterFees[[#This Row],[GST Basis]]="Excl",MasterFees[[#This Row],[Fee as Printed]]*(1+GST_Rate),""))</f>
        <v/>
      </c>
      <c r="S1014" s="35">
        <f>IF(N(MasterFees[[#This Row],[Total Units]])=0,"",MasterFees[[#This Row],[Fee as Printed]]/MasterFees[[#This Row],[Total Units]])</f>
        <v>55.065868263473057</v>
      </c>
      <c r="T1014" s="36"/>
      <c r="U1014" s="39" t="s">
        <v>1012</v>
      </c>
      <c r="V1014" s="39" t="s">
        <v>1510</v>
      </c>
      <c r="W1014" s="30"/>
      <c r="X1014" s="73" t="s">
        <v>3303</v>
      </c>
      <c r="Y1014" s="127" t="str">
        <f>_xlfn.XLOOKUP(MasterFees[[#This Row],[Provider / Payer]],Contracts[Contract Name],Contracts[Contract ID],"No contract")</f>
        <v>CON-01</v>
      </c>
      <c r="Z1014" s="127" t="str">
        <f>_xlfn.XLOOKUP(MasterFees[[#This Row],[Provider / Payer]],Contracts[Contract Name],Contracts[Pricing Basis],"To confirm")</f>
        <v>To confirm</v>
      </c>
      <c r="AA1014" s="127" t="str">
        <f>IF(MasterFees[[#This Row],[Pricing Basis]]="Fixed fee schedule","Yes","No")</f>
        <v>No</v>
      </c>
      <c r="AB1014" s="127" t="str">
        <f>IF(OR(MasterFees[[#This Row],[Fee Basis]]="Add-on",MasterFees[[#This Row],[Fee Basis]]="Time band",MasterFees[[#This Row],[Fee Basis]]="Other"),MasterFees[[#This Row],[Fee Basis]],"Base")</f>
        <v>Base</v>
      </c>
      <c r="AC1014" s="141" t="str">
        <f>IF(MasterFees[[#This Row],[Fixed Fee?]]="Yes",MasterFees[[#This Row],[Fee Excl. GST]],"")</f>
        <v/>
      </c>
    </row>
    <row r="1015" spans="1:29" x14ac:dyDescent="0.2">
      <c r="A1015" s="67" t="s">
        <v>2394</v>
      </c>
      <c r="B1015" s="31">
        <f>IF(MasterFees[[#This Row],[RVG Code]]="","",_xlfn.XLOOKUP(MasterFees[[#This Row],[RVG Code]],RVGCodes[Code],RVGCodes[Base Units],"Code not found"))</f>
        <v>10</v>
      </c>
      <c r="C101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1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15" s="125" t="s">
        <v>2594</v>
      </c>
      <c r="F1015" s="48" t="s">
        <v>2567</v>
      </c>
      <c r="G1015" s="30" t="s">
        <v>416</v>
      </c>
      <c r="H1015" s="37" t="s">
        <v>1095</v>
      </c>
      <c r="I1015" s="37"/>
      <c r="J1015" s="37" t="s">
        <v>1096</v>
      </c>
      <c r="K1015" s="32">
        <v>10</v>
      </c>
      <c r="L1015" s="32">
        <v>12.1</v>
      </c>
      <c r="M1015" s="32">
        <v>1.6</v>
      </c>
      <c r="N1015" s="32">
        <v>23.7</v>
      </c>
      <c r="O1015" s="33">
        <v>1304.05</v>
      </c>
      <c r="P1015" s="38" t="s">
        <v>1014</v>
      </c>
      <c r="Q1015" s="34" t="str">
        <f>IF(MasterFees[[#This Row],[GST Basis]]="Excl",MasterFees[[#This Row],[Fee as Printed]],IF(MasterFees[[#This Row],[GST Basis]]="Incl",MasterFees[[#This Row],[Fee as Printed]]/(1+GST_Rate),""))</f>
        <v/>
      </c>
      <c r="R1015" s="34" t="str">
        <f>IF(MasterFees[[#This Row],[GST Basis]]="Incl",MasterFees[[#This Row],[Fee as Printed]],IF(MasterFees[[#This Row],[GST Basis]]="Excl",MasterFees[[#This Row],[Fee as Printed]]*(1+GST_Rate),""))</f>
        <v/>
      </c>
      <c r="S1015" s="35">
        <f>IF(N(MasterFees[[#This Row],[Total Units]])=0,"",MasterFees[[#This Row],[Fee as Printed]]/MasterFees[[#This Row],[Total Units]])</f>
        <v>55.02320675105485</v>
      </c>
      <c r="T1015" s="36"/>
      <c r="U1015" s="39" t="s">
        <v>1012</v>
      </c>
      <c r="V1015" s="39" t="s">
        <v>1511</v>
      </c>
      <c r="W1015" s="30"/>
      <c r="X1015" s="73" t="s">
        <v>3304</v>
      </c>
      <c r="Y1015" s="127" t="str">
        <f>_xlfn.XLOOKUP(MasterFees[[#This Row],[Provider / Payer]],Contracts[Contract Name],Contracts[Contract ID],"No contract")</f>
        <v>CON-01</v>
      </c>
      <c r="Z1015" s="127" t="str">
        <f>_xlfn.XLOOKUP(MasterFees[[#This Row],[Provider / Payer]],Contracts[Contract Name],Contracts[Pricing Basis],"To confirm")</f>
        <v>To confirm</v>
      </c>
      <c r="AA1015" s="127" t="str">
        <f>IF(MasterFees[[#This Row],[Pricing Basis]]="Fixed fee schedule","Yes","No")</f>
        <v>No</v>
      </c>
      <c r="AB1015" s="127" t="str">
        <f>IF(OR(MasterFees[[#This Row],[Fee Basis]]="Add-on",MasterFees[[#This Row],[Fee Basis]]="Time band",MasterFees[[#This Row],[Fee Basis]]="Other"),MasterFees[[#This Row],[Fee Basis]],"Base")</f>
        <v>Base</v>
      </c>
      <c r="AC1015" s="141" t="str">
        <f>IF(MasterFees[[#This Row],[Fixed Fee?]]="Yes",MasterFees[[#This Row],[Fee Excl. GST]],"")</f>
        <v/>
      </c>
    </row>
    <row r="1016" spans="1:29" x14ac:dyDescent="0.2">
      <c r="A1016" s="67" t="s">
        <v>2386</v>
      </c>
      <c r="B1016" s="31">
        <f>IF(MasterFees[[#This Row],[RVG Code]]="","",_xlfn.XLOOKUP(MasterFees[[#This Row],[RVG Code]],RVGCodes[Code],RVGCodes[Base Units],"Code not found"))</f>
        <v>4</v>
      </c>
      <c r="C101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1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16" s="125" t="s">
        <v>2568</v>
      </c>
      <c r="F1016" s="48" t="s">
        <v>2569</v>
      </c>
      <c r="G1016" s="30" t="s">
        <v>447</v>
      </c>
      <c r="H1016" s="37" t="s">
        <v>1095</v>
      </c>
      <c r="I1016" s="37"/>
      <c r="J1016" s="37" t="s">
        <v>1096</v>
      </c>
      <c r="K1016" s="32">
        <v>4</v>
      </c>
      <c r="L1016" s="32">
        <v>3</v>
      </c>
      <c r="M1016" s="32">
        <v>0.2</v>
      </c>
      <c r="N1016" s="32">
        <v>7.2</v>
      </c>
      <c r="O1016" s="33">
        <v>393.8</v>
      </c>
      <c r="P1016" s="38" t="s">
        <v>1014</v>
      </c>
      <c r="Q1016" s="34" t="str">
        <f>IF(MasterFees[[#This Row],[GST Basis]]="Excl",MasterFees[[#This Row],[Fee as Printed]],IF(MasterFees[[#This Row],[GST Basis]]="Incl",MasterFees[[#This Row],[Fee as Printed]]/(1+GST_Rate),""))</f>
        <v/>
      </c>
      <c r="R1016" s="34" t="str">
        <f>IF(MasterFees[[#This Row],[GST Basis]]="Incl",MasterFees[[#This Row],[Fee as Printed]],IF(MasterFees[[#This Row],[GST Basis]]="Excl",MasterFees[[#This Row],[Fee as Printed]]*(1+GST_Rate),""))</f>
        <v/>
      </c>
      <c r="S1016" s="35">
        <f>IF(N(MasterFees[[#This Row],[Total Units]])=0,"",MasterFees[[#This Row],[Fee as Printed]]/MasterFees[[#This Row],[Total Units]])</f>
        <v>54.694444444444443</v>
      </c>
      <c r="T1016" s="36"/>
      <c r="U1016" s="39" t="s">
        <v>1012</v>
      </c>
      <c r="V1016" s="39" t="s">
        <v>1542</v>
      </c>
      <c r="W1016" s="30"/>
      <c r="X1016" s="73" t="s">
        <v>3335</v>
      </c>
      <c r="Y1016" s="127" t="str">
        <f>_xlfn.XLOOKUP(MasterFees[[#This Row],[Provider / Payer]],Contracts[Contract Name],Contracts[Contract ID],"No contract")</f>
        <v>CON-01</v>
      </c>
      <c r="Z1016" s="127" t="str">
        <f>_xlfn.XLOOKUP(MasterFees[[#This Row],[Provider / Payer]],Contracts[Contract Name],Contracts[Pricing Basis],"To confirm")</f>
        <v>To confirm</v>
      </c>
      <c r="AA1016" s="127" t="str">
        <f>IF(MasterFees[[#This Row],[Pricing Basis]]="Fixed fee schedule","Yes","No")</f>
        <v>No</v>
      </c>
      <c r="AB1016" s="127" t="str">
        <f>IF(OR(MasterFees[[#This Row],[Fee Basis]]="Add-on",MasterFees[[#This Row],[Fee Basis]]="Time band",MasterFees[[#This Row],[Fee Basis]]="Other"),MasterFees[[#This Row],[Fee Basis]],"Base")</f>
        <v>Base</v>
      </c>
      <c r="AC1016" s="141" t="str">
        <f>IF(MasterFees[[#This Row],[Fixed Fee?]]="Yes",MasterFees[[#This Row],[Fee Excl. GST]],"")</f>
        <v/>
      </c>
    </row>
    <row r="1017" spans="1:29" x14ac:dyDescent="0.2">
      <c r="A1017" s="67" t="s">
        <v>2386</v>
      </c>
      <c r="B1017" s="31">
        <f>IF(MasterFees[[#This Row],[RVG Code]]="","",_xlfn.XLOOKUP(MasterFees[[#This Row],[RVG Code]],RVGCodes[Code],RVGCodes[Base Units],"Code not found"))</f>
        <v>4</v>
      </c>
      <c r="C101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1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17" s="125" t="s">
        <v>2568</v>
      </c>
      <c r="F1017" s="48" t="s">
        <v>2569</v>
      </c>
      <c r="G1017" s="30" t="s">
        <v>448</v>
      </c>
      <c r="H1017" s="37" t="s">
        <v>1095</v>
      </c>
      <c r="I1017" s="37"/>
      <c r="J1017" s="37" t="s">
        <v>1096</v>
      </c>
      <c r="K1017" s="32">
        <v>4</v>
      </c>
      <c r="L1017" s="32">
        <v>3</v>
      </c>
      <c r="M1017" s="32">
        <v>0</v>
      </c>
      <c r="N1017" s="32">
        <v>7</v>
      </c>
      <c r="O1017" s="33">
        <v>385</v>
      </c>
      <c r="P1017" s="38" t="s">
        <v>1014</v>
      </c>
      <c r="Q1017" s="34" t="str">
        <f>IF(MasterFees[[#This Row],[GST Basis]]="Excl",MasterFees[[#This Row],[Fee as Printed]],IF(MasterFees[[#This Row],[GST Basis]]="Incl",MasterFees[[#This Row],[Fee as Printed]]/(1+GST_Rate),""))</f>
        <v/>
      </c>
      <c r="R1017" s="34" t="str">
        <f>IF(MasterFees[[#This Row],[GST Basis]]="Incl",MasterFees[[#This Row],[Fee as Printed]],IF(MasterFees[[#This Row],[GST Basis]]="Excl",MasterFees[[#This Row],[Fee as Printed]]*(1+GST_Rate),""))</f>
        <v/>
      </c>
      <c r="S1017" s="35">
        <f>IF(N(MasterFees[[#This Row],[Total Units]])=0,"",MasterFees[[#This Row],[Fee as Printed]]/MasterFees[[#This Row],[Total Units]])</f>
        <v>55</v>
      </c>
      <c r="T1017" s="36"/>
      <c r="U1017" s="39" t="s">
        <v>1012</v>
      </c>
      <c r="V1017" s="39" t="s">
        <v>1543</v>
      </c>
      <c r="W1017" s="30"/>
      <c r="X1017" s="73" t="s">
        <v>3336</v>
      </c>
      <c r="Y1017" s="127" t="str">
        <f>_xlfn.XLOOKUP(MasterFees[[#This Row],[Provider / Payer]],Contracts[Contract Name],Contracts[Contract ID],"No contract")</f>
        <v>CON-01</v>
      </c>
      <c r="Z1017" s="127" t="str">
        <f>_xlfn.XLOOKUP(MasterFees[[#This Row],[Provider / Payer]],Contracts[Contract Name],Contracts[Pricing Basis],"To confirm")</f>
        <v>To confirm</v>
      </c>
      <c r="AA1017" s="127" t="str">
        <f>IF(MasterFees[[#This Row],[Pricing Basis]]="Fixed fee schedule","Yes","No")</f>
        <v>No</v>
      </c>
      <c r="AB1017" s="127" t="str">
        <f>IF(OR(MasterFees[[#This Row],[Fee Basis]]="Add-on",MasterFees[[#This Row],[Fee Basis]]="Time band",MasterFees[[#This Row],[Fee Basis]]="Other"),MasterFees[[#This Row],[Fee Basis]],"Base")</f>
        <v>Base</v>
      </c>
      <c r="AC1017" s="141" t="str">
        <f>IF(MasterFees[[#This Row],[Fixed Fee?]]="Yes",MasterFees[[#This Row],[Fee Excl. GST]],"")</f>
        <v/>
      </c>
    </row>
    <row r="1018" spans="1:29" x14ac:dyDescent="0.2">
      <c r="A1018" s="67" t="s">
        <v>2386</v>
      </c>
      <c r="B1018" s="31">
        <f>IF(MasterFees[[#This Row],[RVG Code]]="","",_xlfn.XLOOKUP(MasterFees[[#This Row],[RVG Code]],RVGCodes[Code],RVGCodes[Base Units],"Code not found"))</f>
        <v>4</v>
      </c>
      <c r="C101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1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18" s="125" t="s">
        <v>2568</v>
      </c>
      <c r="F1018" s="48" t="s">
        <v>2569</v>
      </c>
      <c r="G1018" s="30" t="s">
        <v>449</v>
      </c>
      <c r="H1018" s="37" t="s">
        <v>1095</v>
      </c>
      <c r="I1018" s="37"/>
      <c r="J1018" s="37" t="s">
        <v>1096</v>
      </c>
      <c r="K1018" s="32">
        <v>4.0999999999999996</v>
      </c>
      <c r="L1018" s="32">
        <v>3.2</v>
      </c>
      <c r="M1018" s="32">
        <v>0.7</v>
      </c>
      <c r="N1018" s="32">
        <v>8</v>
      </c>
      <c r="O1018" s="33">
        <v>438.9</v>
      </c>
      <c r="P1018" s="38" t="s">
        <v>1014</v>
      </c>
      <c r="Q1018" s="34" t="str">
        <f>IF(MasterFees[[#This Row],[GST Basis]]="Excl",MasterFees[[#This Row],[Fee as Printed]],IF(MasterFees[[#This Row],[GST Basis]]="Incl",MasterFees[[#This Row],[Fee as Printed]]/(1+GST_Rate),""))</f>
        <v/>
      </c>
      <c r="R1018" s="34" t="str">
        <f>IF(MasterFees[[#This Row],[GST Basis]]="Incl",MasterFees[[#This Row],[Fee as Printed]],IF(MasterFees[[#This Row],[GST Basis]]="Excl",MasterFees[[#This Row],[Fee as Printed]]*(1+GST_Rate),""))</f>
        <v/>
      </c>
      <c r="S1018" s="35">
        <f>IF(N(MasterFees[[#This Row],[Total Units]])=0,"",MasterFees[[#This Row],[Fee as Printed]]/MasterFees[[#This Row],[Total Units]])</f>
        <v>54.862499999999997</v>
      </c>
      <c r="T1018" s="36"/>
      <c r="U1018" s="39" t="s">
        <v>1012</v>
      </c>
      <c r="V1018" s="39" t="s">
        <v>1544</v>
      </c>
      <c r="W1018" s="30"/>
      <c r="X1018" s="73" t="s">
        <v>3337</v>
      </c>
      <c r="Y1018" s="127" t="str">
        <f>_xlfn.XLOOKUP(MasterFees[[#This Row],[Provider / Payer]],Contracts[Contract Name],Contracts[Contract ID],"No contract")</f>
        <v>CON-01</v>
      </c>
      <c r="Z1018" s="127" t="str">
        <f>_xlfn.XLOOKUP(MasterFees[[#This Row],[Provider / Payer]],Contracts[Contract Name],Contracts[Pricing Basis],"To confirm")</f>
        <v>To confirm</v>
      </c>
      <c r="AA1018" s="127" t="str">
        <f>IF(MasterFees[[#This Row],[Pricing Basis]]="Fixed fee schedule","Yes","No")</f>
        <v>No</v>
      </c>
      <c r="AB1018" s="127" t="str">
        <f>IF(OR(MasterFees[[#This Row],[Fee Basis]]="Add-on",MasterFees[[#This Row],[Fee Basis]]="Time band",MasterFees[[#This Row],[Fee Basis]]="Other"),MasterFees[[#This Row],[Fee Basis]],"Base")</f>
        <v>Base</v>
      </c>
      <c r="AC1018" s="141" t="str">
        <f>IF(MasterFees[[#This Row],[Fixed Fee?]]="Yes",MasterFees[[#This Row],[Fee Excl. GST]],"")</f>
        <v/>
      </c>
    </row>
    <row r="1019" spans="1:29" x14ac:dyDescent="0.2">
      <c r="A1019" s="67" t="s">
        <v>2390</v>
      </c>
      <c r="B1019" s="31">
        <f>IF(MasterFees[[#This Row],[RVG Code]]="","",_xlfn.XLOOKUP(MasterFees[[#This Row],[RVG Code]],RVGCodes[Code],RVGCodes[Base Units],"Code not found"))</f>
        <v>6</v>
      </c>
      <c r="C101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1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19" s="125" t="s">
        <v>2576</v>
      </c>
      <c r="F1019" s="48" t="s">
        <v>2567</v>
      </c>
      <c r="G1019" s="30" t="s">
        <v>525</v>
      </c>
      <c r="H1019" s="37" t="s">
        <v>1095</v>
      </c>
      <c r="I1019" s="37"/>
      <c r="J1019" s="37" t="s">
        <v>1096</v>
      </c>
      <c r="K1019" s="32">
        <v>4</v>
      </c>
      <c r="L1019" s="32">
        <v>3.3</v>
      </c>
      <c r="M1019" s="32">
        <v>0.5</v>
      </c>
      <c r="N1019" s="32">
        <v>7.8</v>
      </c>
      <c r="O1019" s="33">
        <v>426.25</v>
      </c>
      <c r="P1019" s="38" t="s">
        <v>1014</v>
      </c>
      <c r="Q1019" s="34" t="str">
        <f>IF(MasterFees[[#This Row],[GST Basis]]="Excl",MasterFees[[#This Row],[Fee as Printed]],IF(MasterFees[[#This Row],[GST Basis]]="Incl",MasterFees[[#This Row],[Fee as Printed]]/(1+GST_Rate),""))</f>
        <v/>
      </c>
      <c r="R1019" s="34" t="str">
        <f>IF(MasterFees[[#This Row],[GST Basis]]="Incl",MasterFees[[#This Row],[Fee as Printed]],IF(MasterFees[[#This Row],[GST Basis]]="Excl",MasterFees[[#This Row],[Fee as Printed]]*(1+GST_Rate),""))</f>
        <v/>
      </c>
      <c r="S1019" s="35">
        <f>IF(N(MasterFees[[#This Row],[Total Units]])=0,"",MasterFees[[#This Row],[Fee as Printed]]/MasterFees[[#This Row],[Total Units]])</f>
        <v>54.647435897435898</v>
      </c>
      <c r="T1019" s="36"/>
      <c r="U1019" s="39" t="s">
        <v>1012</v>
      </c>
      <c r="V1019" s="39" t="s">
        <v>1620</v>
      </c>
      <c r="W1019" s="30"/>
      <c r="X1019" s="73" t="s">
        <v>3416</v>
      </c>
      <c r="Y1019" s="127" t="str">
        <f>_xlfn.XLOOKUP(MasterFees[[#This Row],[Provider / Payer]],Contracts[Contract Name],Contracts[Contract ID],"No contract")</f>
        <v>CON-01</v>
      </c>
      <c r="Z1019" s="127" t="str">
        <f>_xlfn.XLOOKUP(MasterFees[[#This Row],[Provider / Payer]],Contracts[Contract Name],Contracts[Pricing Basis],"To confirm")</f>
        <v>To confirm</v>
      </c>
      <c r="AA1019" s="127" t="str">
        <f>IF(MasterFees[[#This Row],[Pricing Basis]]="Fixed fee schedule","Yes","No")</f>
        <v>No</v>
      </c>
      <c r="AB1019" s="127" t="str">
        <f>IF(OR(MasterFees[[#This Row],[Fee Basis]]="Add-on",MasterFees[[#This Row],[Fee Basis]]="Time band",MasterFees[[#This Row],[Fee Basis]]="Other"),MasterFees[[#This Row],[Fee Basis]],"Base")</f>
        <v>Base</v>
      </c>
      <c r="AC1019" s="141" t="str">
        <f>IF(MasterFees[[#This Row],[Fixed Fee?]]="Yes",MasterFees[[#This Row],[Fee Excl. GST]],"")</f>
        <v/>
      </c>
    </row>
    <row r="1020" spans="1:29" x14ac:dyDescent="0.2">
      <c r="A1020" s="67" t="s">
        <v>2392</v>
      </c>
      <c r="B1020" s="31">
        <f>IF(MasterFees[[#This Row],[RVG Code]]="","",_xlfn.XLOOKUP(MasterFees[[#This Row],[RVG Code]],RVGCodes[Code],RVGCodes[Base Units],"Code not found"))</f>
        <v>8</v>
      </c>
      <c r="C102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2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20" s="125" t="s">
        <v>2581</v>
      </c>
      <c r="F1020" s="48" t="s">
        <v>2569</v>
      </c>
      <c r="G1020" s="30" t="s">
        <v>552</v>
      </c>
      <c r="H1020" s="37" t="s">
        <v>1095</v>
      </c>
      <c r="I1020" s="37"/>
      <c r="J1020" s="37" t="s">
        <v>1096</v>
      </c>
      <c r="K1020" s="32">
        <v>7.9</v>
      </c>
      <c r="L1020" s="32">
        <v>7.5</v>
      </c>
      <c r="M1020" s="32">
        <v>0.9</v>
      </c>
      <c r="N1020" s="32">
        <v>16.399999999999999</v>
      </c>
      <c r="O1020" s="33">
        <v>900.35</v>
      </c>
      <c r="P1020" s="38" t="s">
        <v>1014</v>
      </c>
      <c r="Q1020" s="34" t="str">
        <f>IF(MasterFees[[#This Row],[GST Basis]]="Excl",MasterFees[[#This Row],[Fee as Printed]],IF(MasterFees[[#This Row],[GST Basis]]="Incl",MasterFees[[#This Row],[Fee as Printed]]/(1+GST_Rate),""))</f>
        <v/>
      </c>
      <c r="R1020" s="34" t="str">
        <f>IF(MasterFees[[#This Row],[GST Basis]]="Incl",MasterFees[[#This Row],[Fee as Printed]],IF(MasterFees[[#This Row],[GST Basis]]="Excl",MasterFees[[#This Row],[Fee as Printed]]*(1+GST_Rate),""))</f>
        <v/>
      </c>
      <c r="S1020" s="35">
        <f>IF(N(MasterFees[[#This Row],[Total Units]])=0,"",MasterFees[[#This Row],[Fee as Printed]]/MasterFees[[#This Row],[Total Units]])</f>
        <v>54.899390243902445</v>
      </c>
      <c r="T1020" s="36"/>
      <c r="U1020" s="39" t="s">
        <v>1012</v>
      </c>
      <c r="V1020" s="39" t="s">
        <v>1648</v>
      </c>
      <c r="W1020" s="30"/>
      <c r="X1020" s="73" t="s">
        <v>3445</v>
      </c>
      <c r="Y1020" s="127" t="str">
        <f>_xlfn.XLOOKUP(MasterFees[[#This Row],[Provider / Payer]],Contracts[Contract Name],Contracts[Contract ID],"No contract")</f>
        <v>CON-01</v>
      </c>
      <c r="Z1020" s="127" t="str">
        <f>_xlfn.XLOOKUP(MasterFees[[#This Row],[Provider / Payer]],Contracts[Contract Name],Contracts[Pricing Basis],"To confirm")</f>
        <v>To confirm</v>
      </c>
      <c r="AA1020" s="127" t="str">
        <f>IF(MasterFees[[#This Row],[Pricing Basis]]="Fixed fee schedule","Yes","No")</f>
        <v>No</v>
      </c>
      <c r="AB1020" s="127" t="str">
        <f>IF(OR(MasterFees[[#This Row],[Fee Basis]]="Add-on",MasterFees[[#This Row],[Fee Basis]]="Time band",MasterFees[[#This Row],[Fee Basis]]="Other"),MasterFees[[#This Row],[Fee Basis]],"Base")</f>
        <v>Base</v>
      </c>
      <c r="AC1020" s="141" t="str">
        <f>IF(MasterFees[[#This Row],[Fixed Fee?]]="Yes",MasterFees[[#This Row],[Fee Excl. GST]],"")</f>
        <v/>
      </c>
    </row>
    <row r="1021" spans="1:29" x14ac:dyDescent="0.2">
      <c r="A1021" s="67" t="s">
        <v>2390</v>
      </c>
      <c r="B1021" s="31">
        <f>IF(MasterFees[[#This Row],[RVG Code]]="","",_xlfn.XLOOKUP(MasterFees[[#This Row],[RVG Code]],RVGCodes[Code],RVGCodes[Base Units],"Code not found"))</f>
        <v>6</v>
      </c>
      <c r="C102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2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21" s="125" t="s">
        <v>2576</v>
      </c>
      <c r="F1021" s="48" t="s">
        <v>2567</v>
      </c>
      <c r="G1021" s="30" t="s">
        <v>556</v>
      </c>
      <c r="H1021" s="37" t="s">
        <v>1095</v>
      </c>
      <c r="I1021" s="37"/>
      <c r="J1021" s="37" t="s">
        <v>1096</v>
      </c>
      <c r="K1021" s="32">
        <v>6</v>
      </c>
      <c r="L1021" s="32">
        <v>7.5</v>
      </c>
      <c r="M1021" s="32">
        <v>0.8</v>
      </c>
      <c r="N1021" s="32">
        <v>14.3</v>
      </c>
      <c r="O1021" s="33">
        <v>783.75</v>
      </c>
      <c r="P1021" s="38" t="s">
        <v>1014</v>
      </c>
      <c r="Q1021" s="34" t="str">
        <f>IF(MasterFees[[#This Row],[GST Basis]]="Excl",MasterFees[[#This Row],[Fee as Printed]],IF(MasterFees[[#This Row],[GST Basis]]="Incl",MasterFees[[#This Row],[Fee as Printed]]/(1+GST_Rate),""))</f>
        <v/>
      </c>
      <c r="R1021" s="34" t="str">
        <f>IF(MasterFees[[#This Row],[GST Basis]]="Incl",MasterFees[[#This Row],[Fee as Printed]],IF(MasterFees[[#This Row],[GST Basis]]="Excl",MasterFees[[#This Row],[Fee as Printed]]*(1+GST_Rate),""))</f>
        <v/>
      </c>
      <c r="S1021" s="35">
        <f>IF(N(MasterFees[[#This Row],[Total Units]])=0,"",MasterFees[[#This Row],[Fee as Printed]]/MasterFees[[#This Row],[Total Units]])</f>
        <v>54.807692307692307</v>
      </c>
      <c r="T1021" s="36"/>
      <c r="U1021" s="39" t="s">
        <v>1012</v>
      </c>
      <c r="V1021" s="39" t="s">
        <v>1652</v>
      </c>
      <c r="W1021" s="30"/>
      <c r="X1021" s="73" t="s">
        <v>3449</v>
      </c>
      <c r="Y1021" s="127" t="str">
        <f>_xlfn.XLOOKUP(MasterFees[[#This Row],[Provider / Payer]],Contracts[Contract Name],Contracts[Contract ID],"No contract")</f>
        <v>CON-01</v>
      </c>
      <c r="Z1021" s="127" t="str">
        <f>_xlfn.XLOOKUP(MasterFees[[#This Row],[Provider / Payer]],Contracts[Contract Name],Contracts[Pricing Basis],"To confirm")</f>
        <v>To confirm</v>
      </c>
      <c r="AA1021" s="127" t="str">
        <f>IF(MasterFees[[#This Row],[Pricing Basis]]="Fixed fee schedule","Yes","No")</f>
        <v>No</v>
      </c>
      <c r="AB1021" s="127" t="str">
        <f>IF(OR(MasterFees[[#This Row],[Fee Basis]]="Add-on",MasterFees[[#This Row],[Fee Basis]]="Time band",MasterFees[[#This Row],[Fee Basis]]="Other"),MasterFees[[#This Row],[Fee Basis]],"Base")</f>
        <v>Base</v>
      </c>
      <c r="AC1021" s="141" t="str">
        <f>IF(MasterFees[[#This Row],[Fixed Fee?]]="Yes",MasterFees[[#This Row],[Fee Excl. GST]],"")</f>
        <v/>
      </c>
    </row>
    <row r="1022" spans="1:29" x14ac:dyDescent="0.2">
      <c r="A1022" s="67" t="s">
        <v>2388</v>
      </c>
      <c r="B1022" s="31">
        <f>IF(MasterFees[[#This Row],[RVG Code]]="","",_xlfn.XLOOKUP(MasterFees[[#This Row],[RVG Code]],RVGCodes[Code],RVGCodes[Base Units],"Code not found"))</f>
        <v>5</v>
      </c>
      <c r="C102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2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22" s="125" t="s">
        <v>2606</v>
      </c>
      <c r="F1022" s="48" t="s">
        <v>2567</v>
      </c>
      <c r="G1022" s="30" t="s">
        <v>558</v>
      </c>
      <c r="H1022" s="37" t="s">
        <v>1095</v>
      </c>
      <c r="I1022" s="37"/>
      <c r="J1022" s="37" t="s">
        <v>1096</v>
      </c>
      <c r="K1022" s="32">
        <v>4</v>
      </c>
      <c r="L1022" s="32">
        <v>3</v>
      </c>
      <c r="M1022" s="32">
        <v>0</v>
      </c>
      <c r="N1022" s="32">
        <v>7</v>
      </c>
      <c r="O1022" s="33">
        <v>385</v>
      </c>
      <c r="P1022" s="38" t="s">
        <v>1014</v>
      </c>
      <c r="Q1022" s="34" t="str">
        <f>IF(MasterFees[[#This Row],[GST Basis]]="Excl",MasterFees[[#This Row],[Fee as Printed]],IF(MasterFees[[#This Row],[GST Basis]]="Incl",MasterFees[[#This Row],[Fee as Printed]]/(1+GST_Rate),""))</f>
        <v/>
      </c>
      <c r="R1022" s="34" t="str">
        <f>IF(MasterFees[[#This Row],[GST Basis]]="Incl",MasterFees[[#This Row],[Fee as Printed]],IF(MasterFees[[#This Row],[GST Basis]]="Excl",MasterFees[[#This Row],[Fee as Printed]]*(1+GST_Rate),""))</f>
        <v/>
      </c>
      <c r="S1022" s="35">
        <f>IF(N(MasterFees[[#This Row],[Total Units]])=0,"",MasterFees[[#This Row],[Fee as Printed]]/MasterFees[[#This Row],[Total Units]])</f>
        <v>55</v>
      </c>
      <c r="T1022" s="36"/>
      <c r="U1022" s="39" t="s">
        <v>1012</v>
      </c>
      <c r="V1022" s="39" t="s">
        <v>1654</v>
      </c>
      <c r="W1022" s="30"/>
      <c r="X1022" s="73" t="s">
        <v>3451</v>
      </c>
      <c r="Y1022" s="127" t="str">
        <f>_xlfn.XLOOKUP(MasterFees[[#This Row],[Provider / Payer]],Contracts[Contract Name],Contracts[Contract ID],"No contract")</f>
        <v>CON-01</v>
      </c>
      <c r="Z1022" s="127" t="str">
        <f>_xlfn.XLOOKUP(MasterFees[[#This Row],[Provider / Payer]],Contracts[Contract Name],Contracts[Pricing Basis],"To confirm")</f>
        <v>To confirm</v>
      </c>
      <c r="AA1022" s="127" t="str">
        <f>IF(MasterFees[[#This Row],[Pricing Basis]]="Fixed fee schedule","Yes","No")</f>
        <v>No</v>
      </c>
      <c r="AB1022" s="127" t="str">
        <f>IF(OR(MasterFees[[#This Row],[Fee Basis]]="Add-on",MasterFees[[#This Row],[Fee Basis]]="Time band",MasterFees[[#This Row],[Fee Basis]]="Other"),MasterFees[[#This Row],[Fee Basis]],"Base")</f>
        <v>Base</v>
      </c>
      <c r="AC1022" s="141" t="str">
        <f>IF(MasterFees[[#This Row],[Fixed Fee?]]="Yes",MasterFees[[#This Row],[Fee Excl. GST]],"")</f>
        <v/>
      </c>
    </row>
    <row r="1023" spans="1:29" x14ac:dyDescent="0.2">
      <c r="A1023" s="67" t="s">
        <v>2392</v>
      </c>
      <c r="B1023" s="31">
        <f>IF(MasterFees[[#This Row],[RVG Code]]="","",_xlfn.XLOOKUP(MasterFees[[#This Row],[RVG Code]],RVGCodes[Code],RVGCodes[Base Units],"Code not found"))</f>
        <v>8</v>
      </c>
      <c r="C102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2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23" s="125" t="s">
        <v>2581</v>
      </c>
      <c r="F1023" s="48" t="s">
        <v>2569</v>
      </c>
      <c r="G1023" s="30" t="s">
        <v>559</v>
      </c>
      <c r="H1023" s="37" t="s">
        <v>1095</v>
      </c>
      <c r="I1023" s="37"/>
      <c r="J1023" s="37" t="s">
        <v>1096</v>
      </c>
      <c r="K1023" s="32">
        <v>8</v>
      </c>
      <c r="L1023" s="32">
        <v>7.3</v>
      </c>
      <c r="M1023" s="32">
        <v>1.8</v>
      </c>
      <c r="N1023" s="32">
        <v>17.100000000000001</v>
      </c>
      <c r="O1023" s="33">
        <v>938.85</v>
      </c>
      <c r="P1023" s="38" t="s">
        <v>1014</v>
      </c>
      <c r="Q1023" s="34" t="str">
        <f>IF(MasterFees[[#This Row],[GST Basis]]="Excl",MasterFees[[#This Row],[Fee as Printed]],IF(MasterFees[[#This Row],[GST Basis]]="Incl",MasterFees[[#This Row],[Fee as Printed]]/(1+GST_Rate),""))</f>
        <v/>
      </c>
      <c r="R1023" s="34" t="str">
        <f>IF(MasterFees[[#This Row],[GST Basis]]="Incl",MasterFees[[#This Row],[Fee as Printed]],IF(MasterFees[[#This Row],[GST Basis]]="Excl",MasterFees[[#This Row],[Fee as Printed]]*(1+GST_Rate),""))</f>
        <v/>
      </c>
      <c r="S1023" s="35">
        <f>IF(N(MasterFees[[#This Row],[Total Units]])=0,"",MasterFees[[#This Row],[Fee as Printed]]/MasterFees[[#This Row],[Total Units]])</f>
        <v>54.903508771929822</v>
      </c>
      <c r="T1023" s="36"/>
      <c r="U1023" s="39" t="s">
        <v>1012</v>
      </c>
      <c r="V1023" s="39" t="s">
        <v>1655</v>
      </c>
      <c r="W1023" s="30"/>
      <c r="X1023" s="73" t="s">
        <v>3452</v>
      </c>
      <c r="Y1023" s="127" t="str">
        <f>_xlfn.XLOOKUP(MasterFees[[#This Row],[Provider / Payer]],Contracts[Contract Name],Contracts[Contract ID],"No contract")</f>
        <v>CON-01</v>
      </c>
      <c r="Z1023" s="127" t="str">
        <f>_xlfn.XLOOKUP(MasterFees[[#This Row],[Provider / Payer]],Contracts[Contract Name],Contracts[Pricing Basis],"To confirm")</f>
        <v>To confirm</v>
      </c>
      <c r="AA1023" s="127" t="str">
        <f>IF(MasterFees[[#This Row],[Pricing Basis]]="Fixed fee schedule","Yes","No")</f>
        <v>No</v>
      </c>
      <c r="AB1023" s="127" t="str">
        <f>IF(OR(MasterFees[[#This Row],[Fee Basis]]="Add-on",MasterFees[[#This Row],[Fee Basis]]="Time band",MasterFees[[#This Row],[Fee Basis]]="Other"),MasterFees[[#This Row],[Fee Basis]],"Base")</f>
        <v>Base</v>
      </c>
      <c r="AC1023" s="141" t="str">
        <f>IF(MasterFees[[#This Row],[Fixed Fee?]]="Yes",MasterFees[[#This Row],[Fee Excl. GST]],"")</f>
        <v/>
      </c>
    </row>
    <row r="1024" spans="1:29" x14ac:dyDescent="0.2">
      <c r="A1024" s="67" t="s">
        <v>2390</v>
      </c>
      <c r="B1024" s="31">
        <f>IF(MasterFees[[#This Row],[RVG Code]]="","",_xlfn.XLOOKUP(MasterFees[[#This Row],[RVG Code]],RVGCodes[Code],RVGCodes[Base Units],"Code not found"))</f>
        <v>6</v>
      </c>
      <c r="C102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2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24" s="125" t="s">
        <v>2576</v>
      </c>
      <c r="F1024" s="48" t="s">
        <v>2569</v>
      </c>
      <c r="G1024" s="30" t="s">
        <v>563</v>
      </c>
      <c r="H1024" s="37" t="s">
        <v>1095</v>
      </c>
      <c r="I1024" s="37"/>
      <c r="J1024" s="37" t="s">
        <v>1096</v>
      </c>
      <c r="K1024" s="32">
        <v>6</v>
      </c>
      <c r="L1024" s="32">
        <v>6.3</v>
      </c>
      <c r="M1024" s="32">
        <v>0.3</v>
      </c>
      <c r="N1024" s="32">
        <v>12.6</v>
      </c>
      <c r="O1024" s="33">
        <v>690.8</v>
      </c>
      <c r="P1024" s="38" t="s">
        <v>1014</v>
      </c>
      <c r="Q1024" s="34" t="str">
        <f>IF(MasterFees[[#This Row],[GST Basis]]="Excl",MasterFees[[#This Row],[Fee as Printed]],IF(MasterFees[[#This Row],[GST Basis]]="Incl",MasterFees[[#This Row],[Fee as Printed]]/(1+GST_Rate),""))</f>
        <v/>
      </c>
      <c r="R1024" s="34" t="str">
        <f>IF(MasterFees[[#This Row],[GST Basis]]="Incl",MasterFees[[#This Row],[Fee as Printed]],IF(MasterFees[[#This Row],[GST Basis]]="Excl",MasterFees[[#This Row],[Fee as Printed]]*(1+GST_Rate),""))</f>
        <v/>
      </c>
      <c r="S1024" s="35">
        <f>IF(N(MasterFees[[#This Row],[Total Units]])=0,"",MasterFees[[#This Row],[Fee as Printed]]/MasterFees[[#This Row],[Total Units]])</f>
        <v>54.825396825396822</v>
      </c>
      <c r="T1024" s="36"/>
      <c r="U1024" s="39" t="s">
        <v>1012</v>
      </c>
      <c r="V1024" s="39" t="s">
        <v>1659</v>
      </c>
      <c r="W1024" s="30"/>
      <c r="X1024" s="73" t="s">
        <v>3456</v>
      </c>
      <c r="Y1024" s="127" t="str">
        <f>_xlfn.XLOOKUP(MasterFees[[#This Row],[Provider / Payer]],Contracts[Contract Name],Contracts[Contract ID],"No contract")</f>
        <v>CON-01</v>
      </c>
      <c r="Z1024" s="127" t="str">
        <f>_xlfn.XLOOKUP(MasterFees[[#This Row],[Provider / Payer]],Contracts[Contract Name],Contracts[Pricing Basis],"To confirm")</f>
        <v>To confirm</v>
      </c>
      <c r="AA1024" s="127" t="str">
        <f>IF(MasterFees[[#This Row],[Pricing Basis]]="Fixed fee schedule","Yes","No")</f>
        <v>No</v>
      </c>
      <c r="AB1024" s="127" t="str">
        <f>IF(OR(MasterFees[[#This Row],[Fee Basis]]="Add-on",MasterFees[[#This Row],[Fee Basis]]="Time band",MasterFees[[#This Row],[Fee Basis]]="Other"),MasterFees[[#This Row],[Fee Basis]],"Base")</f>
        <v>Base</v>
      </c>
      <c r="AC1024" s="141" t="str">
        <f>IF(MasterFees[[#This Row],[Fixed Fee?]]="Yes",MasterFees[[#This Row],[Fee Excl. GST]],"")</f>
        <v/>
      </c>
    </row>
    <row r="1025" spans="1:29" x14ac:dyDescent="0.2">
      <c r="A1025" s="67" t="s">
        <v>2386</v>
      </c>
      <c r="B1025" s="31">
        <f>IF(MasterFees[[#This Row],[RVG Code]]="","",_xlfn.XLOOKUP(MasterFees[[#This Row],[RVG Code]],RVGCodes[Code],RVGCodes[Base Units],"Code not found"))</f>
        <v>4</v>
      </c>
      <c r="C102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2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25" s="125" t="s">
        <v>2568</v>
      </c>
      <c r="F1025" s="48" t="s">
        <v>2569</v>
      </c>
      <c r="G1025" s="30" t="s">
        <v>564</v>
      </c>
      <c r="H1025" s="37" t="s">
        <v>1095</v>
      </c>
      <c r="I1025" s="37"/>
      <c r="J1025" s="37" t="s">
        <v>1096</v>
      </c>
      <c r="K1025" s="32">
        <v>4.0999999999999996</v>
      </c>
      <c r="L1025" s="32">
        <v>3.2</v>
      </c>
      <c r="M1025" s="32">
        <v>0.3</v>
      </c>
      <c r="N1025" s="32">
        <v>7.5</v>
      </c>
      <c r="O1025" s="33">
        <v>412.5</v>
      </c>
      <c r="P1025" s="38" t="s">
        <v>1014</v>
      </c>
      <c r="Q1025" s="34" t="str">
        <f>IF(MasterFees[[#This Row],[GST Basis]]="Excl",MasterFees[[#This Row],[Fee as Printed]],IF(MasterFees[[#This Row],[GST Basis]]="Incl",MasterFees[[#This Row],[Fee as Printed]]/(1+GST_Rate),""))</f>
        <v/>
      </c>
      <c r="R1025" s="34" t="str">
        <f>IF(MasterFees[[#This Row],[GST Basis]]="Incl",MasterFees[[#This Row],[Fee as Printed]],IF(MasterFees[[#This Row],[GST Basis]]="Excl",MasterFees[[#This Row],[Fee as Printed]]*(1+GST_Rate),""))</f>
        <v/>
      </c>
      <c r="S1025" s="35">
        <f>IF(N(MasterFees[[#This Row],[Total Units]])=0,"",MasterFees[[#This Row],[Fee as Printed]]/MasterFees[[#This Row],[Total Units]])</f>
        <v>55</v>
      </c>
      <c r="T1025" s="36"/>
      <c r="U1025" s="39" t="s">
        <v>1012</v>
      </c>
      <c r="V1025" s="39" t="s">
        <v>1660</v>
      </c>
      <c r="W1025" s="30"/>
      <c r="X1025" s="73" t="s">
        <v>3457</v>
      </c>
      <c r="Y1025" s="127" t="str">
        <f>_xlfn.XLOOKUP(MasterFees[[#This Row],[Provider / Payer]],Contracts[Contract Name],Contracts[Contract ID],"No contract")</f>
        <v>CON-01</v>
      </c>
      <c r="Z1025" s="127" t="str">
        <f>_xlfn.XLOOKUP(MasterFees[[#This Row],[Provider / Payer]],Contracts[Contract Name],Contracts[Pricing Basis],"To confirm")</f>
        <v>To confirm</v>
      </c>
      <c r="AA1025" s="127" t="str">
        <f>IF(MasterFees[[#This Row],[Pricing Basis]]="Fixed fee schedule","Yes","No")</f>
        <v>No</v>
      </c>
      <c r="AB1025" s="127" t="str">
        <f>IF(OR(MasterFees[[#This Row],[Fee Basis]]="Add-on",MasterFees[[#This Row],[Fee Basis]]="Time band",MasterFees[[#This Row],[Fee Basis]]="Other"),MasterFees[[#This Row],[Fee Basis]],"Base")</f>
        <v>Base</v>
      </c>
      <c r="AC1025" s="141" t="str">
        <f>IF(MasterFees[[#This Row],[Fixed Fee?]]="Yes",MasterFees[[#This Row],[Fee Excl. GST]],"")</f>
        <v/>
      </c>
    </row>
    <row r="1026" spans="1:29" x14ac:dyDescent="0.2">
      <c r="A1026" s="67" t="s">
        <v>2386</v>
      </c>
      <c r="B1026" s="31">
        <f>IF(MasterFees[[#This Row],[RVG Code]]="","",_xlfn.XLOOKUP(MasterFees[[#This Row],[RVG Code]],RVGCodes[Code],RVGCodes[Base Units],"Code not found"))</f>
        <v>4</v>
      </c>
      <c r="C102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2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26" s="125" t="s">
        <v>2568</v>
      </c>
      <c r="F1026" s="48" t="s">
        <v>2569</v>
      </c>
      <c r="G1026" s="30" t="s">
        <v>565</v>
      </c>
      <c r="H1026" s="37" t="s">
        <v>1095</v>
      </c>
      <c r="I1026" s="37"/>
      <c r="J1026" s="37" t="s">
        <v>1096</v>
      </c>
      <c r="K1026" s="32">
        <v>4</v>
      </c>
      <c r="L1026" s="32">
        <v>2.9</v>
      </c>
      <c r="M1026" s="32">
        <v>0.2</v>
      </c>
      <c r="N1026" s="32">
        <v>7.2</v>
      </c>
      <c r="O1026" s="33">
        <v>396</v>
      </c>
      <c r="P1026" s="38" t="s">
        <v>1014</v>
      </c>
      <c r="Q1026" s="34" t="str">
        <f>IF(MasterFees[[#This Row],[GST Basis]]="Excl",MasterFees[[#This Row],[Fee as Printed]],IF(MasterFees[[#This Row],[GST Basis]]="Incl",MasterFees[[#This Row],[Fee as Printed]]/(1+GST_Rate),""))</f>
        <v/>
      </c>
      <c r="R1026" s="34" t="str">
        <f>IF(MasterFees[[#This Row],[GST Basis]]="Incl",MasterFees[[#This Row],[Fee as Printed]],IF(MasterFees[[#This Row],[GST Basis]]="Excl",MasterFees[[#This Row],[Fee as Printed]]*(1+GST_Rate),""))</f>
        <v/>
      </c>
      <c r="S1026" s="35">
        <f>IF(N(MasterFees[[#This Row],[Total Units]])=0,"",MasterFees[[#This Row],[Fee as Printed]]/MasterFees[[#This Row],[Total Units]])</f>
        <v>55</v>
      </c>
      <c r="T1026" s="36"/>
      <c r="U1026" s="39" t="s">
        <v>1012</v>
      </c>
      <c r="V1026" s="39" t="s">
        <v>1661</v>
      </c>
      <c r="W1026" s="30"/>
      <c r="X1026" s="73" t="s">
        <v>3458</v>
      </c>
      <c r="Y1026" s="127" t="str">
        <f>_xlfn.XLOOKUP(MasterFees[[#This Row],[Provider / Payer]],Contracts[Contract Name],Contracts[Contract ID],"No contract")</f>
        <v>CON-01</v>
      </c>
      <c r="Z1026" s="127" t="str">
        <f>_xlfn.XLOOKUP(MasterFees[[#This Row],[Provider / Payer]],Contracts[Contract Name],Contracts[Pricing Basis],"To confirm")</f>
        <v>To confirm</v>
      </c>
      <c r="AA1026" s="127" t="str">
        <f>IF(MasterFees[[#This Row],[Pricing Basis]]="Fixed fee schedule","Yes","No")</f>
        <v>No</v>
      </c>
      <c r="AB1026" s="127" t="str">
        <f>IF(OR(MasterFees[[#This Row],[Fee Basis]]="Add-on",MasterFees[[#This Row],[Fee Basis]]="Time band",MasterFees[[#This Row],[Fee Basis]]="Other"),MasterFees[[#This Row],[Fee Basis]],"Base")</f>
        <v>Base</v>
      </c>
      <c r="AC1026" s="141" t="str">
        <f>IF(MasterFees[[#This Row],[Fixed Fee?]]="Yes",MasterFees[[#This Row],[Fee Excl. GST]],"")</f>
        <v/>
      </c>
    </row>
    <row r="1027" spans="1:29" x14ac:dyDescent="0.2">
      <c r="A1027" s="67" t="s">
        <v>2386</v>
      </c>
      <c r="B1027" s="31">
        <f>IF(MasterFees[[#This Row],[RVG Code]]="","",_xlfn.XLOOKUP(MasterFees[[#This Row],[RVG Code]],RVGCodes[Code],RVGCodes[Base Units],"Code not found"))</f>
        <v>4</v>
      </c>
      <c r="C102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2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27" s="125" t="s">
        <v>2568</v>
      </c>
      <c r="F1027" s="48" t="s">
        <v>2569</v>
      </c>
      <c r="G1027" s="30" t="s">
        <v>566</v>
      </c>
      <c r="H1027" s="37" t="s">
        <v>1095</v>
      </c>
      <c r="I1027" s="37"/>
      <c r="J1027" s="37" t="s">
        <v>1096</v>
      </c>
      <c r="K1027" s="32">
        <v>3.9</v>
      </c>
      <c r="L1027" s="32">
        <v>2.5</v>
      </c>
      <c r="M1027" s="32">
        <v>0.6</v>
      </c>
      <c r="N1027" s="32">
        <v>6.9</v>
      </c>
      <c r="O1027" s="33">
        <v>381.15</v>
      </c>
      <c r="P1027" s="38" t="s">
        <v>1014</v>
      </c>
      <c r="Q1027" s="34" t="str">
        <f>IF(MasterFees[[#This Row],[GST Basis]]="Excl",MasterFees[[#This Row],[Fee as Printed]],IF(MasterFees[[#This Row],[GST Basis]]="Incl",MasterFees[[#This Row],[Fee as Printed]]/(1+GST_Rate),""))</f>
        <v/>
      </c>
      <c r="R1027" s="34" t="str">
        <f>IF(MasterFees[[#This Row],[GST Basis]]="Incl",MasterFees[[#This Row],[Fee as Printed]],IF(MasterFees[[#This Row],[GST Basis]]="Excl",MasterFees[[#This Row],[Fee as Printed]]*(1+GST_Rate),""))</f>
        <v/>
      </c>
      <c r="S1027" s="35">
        <f>IF(N(MasterFees[[#This Row],[Total Units]])=0,"",MasterFees[[#This Row],[Fee as Printed]]/MasterFees[[#This Row],[Total Units]])</f>
        <v>55.239130434782602</v>
      </c>
      <c r="T1027" s="36"/>
      <c r="U1027" s="39" t="s">
        <v>1012</v>
      </c>
      <c r="V1027" s="39" t="s">
        <v>1662</v>
      </c>
      <c r="W1027" s="30"/>
      <c r="X1027" s="73" t="s">
        <v>3459</v>
      </c>
      <c r="Y1027" s="127" t="str">
        <f>_xlfn.XLOOKUP(MasterFees[[#This Row],[Provider / Payer]],Contracts[Contract Name],Contracts[Contract ID],"No contract")</f>
        <v>CON-01</v>
      </c>
      <c r="Z1027" s="127" t="str">
        <f>_xlfn.XLOOKUP(MasterFees[[#This Row],[Provider / Payer]],Contracts[Contract Name],Contracts[Pricing Basis],"To confirm")</f>
        <v>To confirm</v>
      </c>
      <c r="AA1027" s="127" t="str">
        <f>IF(MasterFees[[#This Row],[Pricing Basis]]="Fixed fee schedule","Yes","No")</f>
        <v>No</v>
      </c>
      <c r="AB1027" s="127" t="str">
        <f>IF(OR(MasterFees[[#This Row],[Fee Basis]]="Add-on",MasterFees[[#This Row],[Fee Basis]]="Time band",MasterFees[[#This Row],[Fee Basis]]="Other"),MasterFees[[#This Row],[Fee Basis]],"Base")</f>
        <v>Base</v>
      </c>
      <c r="AC1027" s="141" t="str">
        <f>IF(MasterFees[[#This Row],[Fixed Fee?]]="Yes",MasterFees[[#This Row],[Fee Excl. GST]],"")</f>
        <v/>
      </c>
    </row>
    <row r="1028" spans="1:29" x14ac:dyDescent="0.2">
      <c r="A1028" s="67" t="s">
        <v>2386</v>
      </c>
      <c r="B1028" s="31">
        <f>IF(MasterFees[[#This Row],[RVG Code]]="","",_xlfn.XLOOKUP(MasterFees[[#This Row],[RVG Code]],RVGCodes[Code],RVGCodes[Base Units],"Code not found"))</f>
        <v>4</v>
      </c>
      <c r="C102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2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28" s="125" t="s">
        <v>2568</v>
      </c>
      <c r="F1028" s="48" t="s">
        <v>2569</v>
      </c>
      <c r="G1028" s="30" t="s">
        <v>567</v>
      </c>
      <c r="H1028" s="37" t="s">
        <v>1095</v>
      </c>
      <c r="I1028" s="37"/>
      <c r="J1028" s="37" t="s">
        <v>1096</v>
      </c>
      <c r="K1028" s="32">
        <v>4.0999999999999996</v>
      </c>
      <c r="L1028" s="32">
        <v>3.1</v>
      </c>
      <c r="M1028" s="32">
        <v>0.6</v>
      </c>
      <c r="N1028" s="32">
        <v>7.7</v>
      </c>
      <c r="O1028" s="33">
        <v>425.7</v>
      </c>
      <c r="P1028" s="38" t="s">
        <v>1014</v>
      </c>
      <c r="Q1028" s="34" t="str">
        <f>IF(MasterFees[[#This Row],[GST Basis]]="Excl",MasterFees[[#This Row],[Fee as Printed]],IF(MasterFees[[#This Row],[GST Basis]]="Incl",MasterFees[[#This Row],[Fee as Printed]]/(1+GST_Rate),""))</f>
        <v/>
      </c>
      <c r="R1028" s="34" t="str">
        <f>IF(MasterFees[[#This Row],[GST Basis]]="Incl",MasterFees[[#This Row],[Fee as Printed]],IF(MasterFees[[#This Row],[GST Basis]]="Excl",MasterFees[[#This Row],[Fee as Printed]]*(1+GST_Rate),""))</f>
        <v/>
      </c>
      <c r="S1028" s="35">
        <f>IF(N(MasterFees[[#This Row],[Total Units]])=0,"",MasterFees[[#This Row],[Fee as Printed]]/MasterFees[[#This Row],[Total Units]])</f>
        <v>55.285714285714285</v>
      </c>
      <c r="T1028" s="36"/>
      <c r="U1028" s="39" t="s">
        <v>1012</v>
      </c>
      <c r="V1028" s="39" t="s">
        <v>1663</v>
      </c>
      <c r="W1028" s="30"/>
      <c r="X1028" s="73" t="s">
        <v>3460</v>
      </c>
      <c r="Y1028" s="127" t="str">
        <f>_xlfn.XLOOKUP(MasterFees[[#This Row],[Provider / Payer]],Contracts[Contract Name],Contracts[Contract ID],"No contract")</f>
        <v>CON-01</v>
      </c>
      <c r="Z1028" s="127" t="str">
        <f>_xlfn.XLOOKUP(MasterFees[[#This Row],[Provider / Payer]],Contracts[Contract Name],Contracts[Pricing Basis],"To confirm")</f>
        <v>To confirm</v>
      </c>
      <c r="AA1028" s="127" t="str">
        <f>IF(MasterFees[[#This Row],[Pricing Basis]]="Fixed fee schedule","Yes","No")</f>
        <v>No</v>
      </c>
      <c r="AB1028" s="127" t="str">
        <f>IF(OR(MasterFees[[#This Row],[Fee Basis]]="Add-on",MasterFees[[#This Row],[Fee Basis]]="Time band",MasterFees[[#This Row],[Fee Basis]]="Other"),MasterFees[[#This Row],[Fee Basis]],"Base")</f>
        <v>Base</v>
      </c>
      <c r="AC1028" s="141" t="str">
        <f>IF(MasterFees[[#This Row],[Fixed Fee?]]="Yes",MasterFees[[#This Row],[Fee Excl. GST]],"")</f>
        <v/>
      </c>
    </row>
    <row r="1029" spans="1:29" x14ac:dyDescent="0.2">
      <c r="A1029" s="67" t="s">
        <v>2386</v>
      </c>
      <c r="B1029" s="31">
        <f>IF(MasterFees[[#This Row],[RVG Code]]="","",_xlfn.XLOOKUP(MasterFees[[#This Row],[RVG Code]],RVGCodes[Code],RVGCodes[Base Units],"Code not found"))</f>
        <v>4</v>
      </c>
      <c r="C102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2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29" s="125" t="s">
        <v>2568</v>
      </c>
      <c r="F1029" s="48" t="s">
        <v>2569</v>
      </c>
      <c r="G1029" s="30" t="s">
        <v>568</v>
      </c>
      <c r="H1029" s="37" t="s">
        <v>1095</v>
      </c>
      <c r="I1029" s="37"/>
      <c r="J1029" s="37" t="s">
        <v>1096</v>
      </c>
      <c r="K1029" s="32">
        <v>4.2</v>
      </c>
      <c r="L1029" s="32">
        <v>3.6</v>
      </c>
      <c r="M1029" s="32">
        <v>0.3</v>
      </c>
      <c r="N1029" s="32">
        <v>8.1</v>
      </c>
      <c r="O1029" s="33">
        <v>442.75</v>
      </c>
      <c r="P1029" s="38" t="s">
        <v>1014</v>
      </c>
      <c r="Q1029" s="34" t="str">
        <f>IF(MasterFees[[#This Row],[GST Basis]]="Excl",MasterFees[[#This Row],[Fee as Printed]],IF(MasterFees[[#This Row],[GST Basis]]="Incl",MasterFees[[#This Row],[Fee as Printed]]/(1+GST_Rate),""))</f>
        <v/>
      </c>
      <c r="R1029" s="34" t="str">
        <f>IF(MasterFees[[#This Row],[GST Basis]]="Incl",MasterFees[[#This Row],[Fee as Printed]],IF(MasterFees[[#This Row],[GST Basis]]="Excl",MasterFees[[#This Row],[Fee as Printed]]*(1+GST_Rate),""))</f>
        <v/>
      </c>
      <c r="S1029" s="35">
        <f>IF(N(MasterFees[[#This Row],[Total Units]])=0,"",MasterFees[[#This Row],[Fee as Printed]]/MasterFees[[#This Row],[Total Units]])</f>
        <v>54.660493827160494</v>
      </c>
      <c r="T1029" s="36"/>
      <c r="U1029" s="39" t="s">
        <v>1012</v>
      </c>
      <c r="V1029" s="39" t="s">
        <v>1664</v>
      </c>
      <c r="W1029" s="30"/>
      <c r="X1029" s="73" t="s">
        <v>3461</v>
      </c>
      <c r="Y1029" s="127" t="str">
        <f>_xlfn.XLOOKUP(MasterFees[[#This Row],[Provider / Payer]],Contracts[Contract Name],Contracts[Contract ID],"No contract")</f>
        <v>CON-01</v>
      </c>
      <c r="Z1029" s="127" t="str">
        <f>_xlfn.XLOOKUP(MasterFees[[#This Row],[Provider / Payer]],Contracts[Contract Name],Contracts[Pricing Basis],"To confirm")</f>
        <v>To confirm</v>
      </c>
      <c r="AA1029" s="127" t="str">
        <f>IF(MasterFees[[#This Row],[Pricing Basis]]="Fixed fee schedule","Yes","No")</f>
        <v>No</v>
      </c>
      <c r="AB1029" s="127" t="str">
        <f>IF(OR(MasterFees[[#This Row],[Fee Basis]]="Add-on",MasterFees[[#This Row],[Fee Basis]]="Time band",MasterFees[[#This Row],[Fee Basis]]="Other"),MasterFees[[#This Row],[Fee Basis]],"Base")</f>
        <v>Base</v>
      </c>
      <c r="AC1029" s="141" t="str">
        <f>IF(MasterFees[[#This Row],[Fixed Fee?]]="Yes",MasterFees[[#This Row],[Fee Excl. GST]],"")</f>
        <v/>
      </c>
    </row>
    <row r="1030" spans="1:29" x14ac:dyDescent="0.2">
      <c r="A1030" s="67" t="s">
        <v>2386</v>
      </c>
      <c r="B1030" s="31">
        <f>IF(MasterFees[[#This Row],[RVG Code]]="","",_xlfn.XLOOKUP(MasterFees[[#This Row],[RVG Code]],RVGCodes[Code],RVGCodes[Base Units],"Code not found"))</f>
        <v>4</v>
      </c>
      <c r="C103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3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30" s="125" t="s">
        <v>2568</v>
      </c>
      <c r="F1030" s="48" t="s">
        <v>2569</v>
      </c>
      <c r="G1030" s="30" t="s">
        <v>569</v>
      </c>
      <c r="H1030" s="37" t="s">
        <v>1095</v>
      </c>
      <c r="I1030" s="37"/>
      <c r="J1030" s="37" t="s">
        <v>1096</v>
      </c>
      <c r="K1030" s="32">
        <v>4.0999999999999996</v>
      </c>
      <c r="L1030" s="32">
        <v>2.8</v>
      </c>
      <c r="M1030" s="32">
        <v>0.5</v>
      </c>
      <c r="N1030" s="32">
        <v>7.4</v>
      </c>
      <c r="O1030" s="33">
        <v>406.45</v>
      </c>
      <c r="P1030" s="38" t="s">
        <v>1014</v>
      </c>
      <c r="Q1030" s="34" t="str">
        <f>IF(MasterFees[[#This Row],[GST Basis]]="Excl",MasterFees[[#This Row],[Fee as Printed]],IF(MasterFees[[#This Row],[GST Basis]]="Incl",MasterFees[[#This Row],[Fee as Printed]]/(1+GST_Rate),""))</f>
        <v/>
      </c>
      <c r="R1030" s="34" t="str">
        <f>IF(MasterFees[[#This Row],[GST Basis]]="Incl",MasterFees[[#This Row],[Fee as Printed]],IF(MasterFees[[#This Row],[GST Basis]]="Excl",MasterFees[[#This Row],[Fee as Printed]]*(1+GST_Rate),""))</f>
        <v/>
      </c>
      <c r="S1030" s="35">
        <f>IF(N(MasterFees[[#This Row],[Total Units]])=0,"",MasterFees[[#This Row],[Fee as Printed]]/MasterFees[[#This Row],[Total Units]])</f>
        <v>54.92567567567567</v>
      </c>
      <c r="T1030" s="36"/>
      <c r="U1030" s="39" t="s">
        <v>1012</v>
      </c>
      <c r="V1030" s="39" t="s">
        <v>1665</v>
      </c>
      <c r="W1030" s="30"/>
      <c r="X1030" s="73" t="s">
        <v>3462</v>
      </c>
      <c r="Y1030" s="127" t="str">
        <f>_xlfn.XLOOKUP(MasterFees[[#This Row],[Provider / Payer]],Contracts[Contract Name],Contracts[Contract ID],"No contract")</f>
        <v>CON-01</v>
      </c>
      <c r="Z1030" s="127" t="str">
        <f>_xlfn.XLOOKUP(MasterFees[[#This Row],[Provider / Payer]],Contracts[Contract Name],Contracts[Pricing Basis],"To confirm")</f>
        <v>To confirm</v>
      </c>
      <c r="AA1030" s="127" t="str">
        <f>IF(MasterFees[[#This Row],[Pricing Basis]]="Fixed fee schedule","Yes","No")</f>
        <v>No</v>
      </c>
      <c r="AB1030" s="127" t="str">
        <f>IF(OR(MasterFees[[#This Row],[Fee Basis]]="Add-on",MasterFees[[#This Row],[Fee Basis]]="Time band",MasterFees[[#This Row],[Fee Basis]]="Other"),MasterFees[[#This Row],[Fee Basis]],"Base")</f>
        <v>Base</v>
      </c>
      <c r="AC1030" s="141" t="str">
        <f>IF(MasterFees[[#This Row],[Fixed Fee?]]="Yes",MasterFees[[#This Row],[Fee Excl. GST]],"")</f>
        <v/>
      </c>
    </row>
    <row r="1031" spans="1:29" x14ac:dyDescent="0.2">
      <c r="A1031" s="67" t="s">
        <v>2386</v>
      </c>
      <c r="B1031" s="31">
        <f>IF(MasterFees[[#This Row],[RVG Code]]="","",_xlfn.XLOOKUP(MasterFees[[#This Row],[RVG Code]],RVGCodes[Code],RVGCodes[Base Units],"Code not found"))</f>
        <v>4</v>
      </c>
      <c r="C103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3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31" s="125" t="s">
        <v>2568</v>
      </c>
      <c r="F1031" s="48" t="s">
        <v>2569</v>
      </c>
      <c r="G1031" s="30" t="s">
        <v>10</v>
      </c>
      <c r="H1031" s="37" t="s">
        <v>1095</v>
      </c>
      <c r="I1031" s="37"/>
      <c r="J1031" s="37" t="s">
        <v>1096</v>
      </c>
      <c r="K1031" s="32">
        <v>0</v>
      </c>
      <c r="L1031" s="32">
        <v>0</v>
      </c>
      <c r="M1031" s="32">
        <v>0</v>
      </c>
      <c r="N1031" s="32">
        <v>0</v>
      </c>
      <c r="O1031" s="33">
        <v>0</v>
      </c>
      <c r="P1031" s="38" t="s">
        <v>1014</v>
      </c>
      <c r="Q1031" s="34" t="str">
        <f>IF(MasterFees[[#This Row],[GST Basis]]="Excl",MasterFees[[#This Row],[Fee as Printed]],IF(MasterFees[[#This Row],[GST Basis]]="Incl",MasterFees[[#This Row],[Fee as Printed]]/(1+GST_Rate),""))</f>
        <v/>
      </c>
      <c r="R1031" s="34" t="str">
        <f>IF(MasterFees[[#This Row],[GST Basis]]="Incl",MasterFees[[#This Row],[Fee as Printed]],IF(MasterFees[[#This Row],[GST Basis]]="Excl",MasterFees[[#This Row],[Fee as Printed]]*(1+GST_Rate),""))</f>
        <v/>
      </c>
      <c r="S1031" s="35" t="str">
        <f>IF(N(MasterFees[[#This Row],[Total Units]])=0,"",MasterFees[[#This Row],[Fee as Printed]]/MasterFees[[#This Row],[Total Units]])</f>
        <v/>
      </c>
      <c r="T1031" s="36"/>
      <c r="U1031" s="39" t="s">
        <v>1012</v>
      </c>
      <c r="V1031" s="39" t="s">
        <v>1099</v>
      </c>
      <c r="W1031" s="30"/>
      <c r="X1031" s="73" t="s">
        <v>2881</v>
      </c>
      <c r="Y1031" s="127" t="str">
        <f>_xlfn.XLOOKUP(MasterFees[[#This Row],[Provider / Payer]],Contracts[Contract Name],Contracts[Contract ID],"No contract")</f>
        <v>CON-01</v>
      </c>
      <c r="Z1031" s="127" t="str">
        <f>_xlfn.XLOOKUP(MasterFees[[#This Row],[Provider / Payer]],Contracts[Contract Name],Contracts[Pricing Basis],"To confirm")</f>
        <v>To confirm</v>
      </c>
      <c r="AA1031" s="127" t="str">
        <f>IF(MasterFees[[#This Row],[Pricing Basis]]="Fixed fee schedule","Yes","No")</f>
        <v>No</v>
      </c>
      <c r="AB1031" s="127" t="str">
        <f>IF(OR(MasterFees[[#This Row],[Fee Basis]]="Add-on",MasterFees[[#This Row],[Fee Basis]]="Time band",MasterFees[[#This Row],[Fee Basis]]="Other"),MasterFees[[#This Row],[Fee Basis]],"Base")</f>
        <v>Base</v>
      </c>
      <c r="AC1031" s="141" t="str">
        <f>IF(MasterFees[[#This Row],[Fixed Fee?]]="Yes",MasterFees[[#This Row],[Fee Excl. GST]],"")</f>
        <v/>
      </c>
    </row>
    <row r="1032" spans="1:29" x14ac:dyDescent="0.2">
      <c r="A1032" s="67" t="s">
        <v>2392</v>
      </c>
      <c r="B1032" s="31">
        <f>IF(MasterFees[[#This Row],[RVG Code]]="","",_xlfn.XLOOKUP(MasterFees[[#This Row],[RVG Code]],RVGCodes[Code],RVGCodes[Base Units],"Code not found"))</f>
        <v>8</v>
      </c>
      <c r="C103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3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32" s="125" t="s">
        <v>2581</v>
      </c>
      <c r="F1032" s="48" t="s">
        <v>2569</v>
      </c>
      <c r="G1032" s="30" t="s">
        <v>570</v>
      </c>
      <c r="H1032" s="37" t="s">
        <v>1095</v>
      </c>
      <c r="I1032" s="37"/>
      <c r="J1032" s="37" t="s">
        <v>1096</v>
      </c>
      <c r="K1032" s="32">
        <v>2</v>
      </c>
      <c r="L1032" s="32">
        <v>5</v>
      </c>
      <c r="M1032" s="32">
        <v>0</v>
      </c>
      <c r="N1032" s="32">
        <v>7</v>
      </c>
      <c r="O1032" s="33">
        <v>385</v>
      </c>
      <c r="P1032" s="38" t="s">
        <v>1014</v>
      </c>
      <c r="Q1032" s="34" t="str">
        <f>IF(MasterFees[[#This Row],[GST Basis]]="Excl",MasterFees[[#This Row],[Fee as Printed]],IF(MasterFees[[#This Row],[GST Basis]]="Incl",MasterFees[[#This Row],[Fee as Printed]]/(1+GST_Rate),""))</f>
        <v/>
      </c>
      <c r="R1032" s="34" t="str">
        <f>IF(MasterFees[[#This Row],[GST Basis]]="Incl",MasterFees[[#This Row],[Fee as Printed]],IF(MasterFees[[#This Row],[GST Basis]]="Excl",MasterFees[[#This Row],[Fee as Printed]]*(1+GST_Rate),""))</f>
        <v/>
      </c>
      <c r="S1032" s="35">
        <f>IF(N(MasterFees[[#This Row],[Total Units]])=0,"",MasterFees[[#This Row],[Fee as Printed]]/MasterFees[[#This Row],[Total Units]])</f>
        <v>55</v>
      </c>
      <c r="T1032" s="36"/>
      <c r="U1032" s="39" t="s">
        <v>1012</v>
      </c>
      <c r="V1032" s="39" t="s">
        <v>1666</v>
      </c>
      <c r="W1032" s="30"/>
      <c r="X1032" s="73" t="s">
        <v>3463</v>
      </c>
      <c r="Y1032" s="127" t="str">
        <f>_xlfn.XLOOKUP(MasterFees[[#This Row],[Provider / Payer]],Contracts[Contract Name],Contracts[Contract ID],"No contract")</f>
        <v>CON-01</v>
      </c>
      <c r="Z1032" s="127" t="str">
        <f>_xlfn.XLOOKUP(MasterFees[[#This Row],[Provider / Payer]],Contracts[Contract Name],Contracts[Pricing Basis],"To confirm")</f>
        <v>To confirm</v>
      </c>
      <c r="AA1032" s="127" t="str">
        <f>IF(MasterFees[[#This Row],[Pricing Basis]]="Fixed fee schedule","Yes","No")</f>
        <v>No</v>
      </c>
      <c r="AB1032" s="127" t="str">
        <f>IF(OR(MasterFees[[#This Row],[Fee Basis]]="Add-on",MasterFees[[#This Row],[Fee Basis]]="Time band",MasterFees[[#This Row],[Fee Basis]]="Other"),MasterFees[[#This Row],[Fee Basis]],"Base")</f>
        <v>Base</v>
      </c>
      <c r="AC1032" s="141" t="str">
        <f>IF(MasterFees[[#This Row],[Fixed Fee?]]="Yes",MasterFees[[#This Row],[Fee Excl. GST]],"")</f>
        <v/>
      </c>
    </row>
    <row r="1033" spans="1:29" x14ac:dyDescent="0.2">
      <c r="A1033" s="67" t="s">
        <v>2386</v>
      </c>
      <c r="B1033" s="31">
        <f>IF(MasterFees[[#This Row],[RVG Code]]="","",_xlfn.XLOOKUP(MasterFees[[#This Row],[RVG Code]],RVGCodes[Code],RVGCodes[Base Units],"Code not found"))</f>
        <v>4</v>
      </c>
      <c r="C103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3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33" s="125" t="s">
        <v>2568</v>
      </c>
      <c r="F1033" s="48" t="s">
        <v>2567</v>
      </c>
      <c r="G1033" s="30" t="s">
        <v>571</v>
      </c>
      <c r="H1033" s="37" t="s">
        <v>1095</v>
      </c>
      <c r="I1033" s="37"/>
      <c r="J1033" s="37" t="s">
        <v>1096</v>
      </c>
      <c r="K1033" s="32">
        <v>4.2</v>
      </c>
      <c r="L1033" s="32">
        <v>1.9</v>
      </c>
      <c r="M1033" s="32">
        <v>0.5</v>
      </c>
      <c r="N1033" s="32">
        <v>6.6</v>
      </c>
      <c r="O1033" s="33">
        <v>362.45</v>
      </c>
      <c r="P1033" s="38" t="s">
        <v>1014</v>
      </c>
      <c r="Q1033" s="34" t="str">
        <f>IF(MasterFees[[#This Row],[GST Basis]]="Excl",MasterFees[[#This Row],[Fee as Printed]],IF(MasterFees[[#This Row],[GST Basis]]="Incl",MasterFees[[#This Row],[Fee as Printed]]/(1+GST_Rate),""))</f>
        <v/>
      </c>
      <c r="R1033" s="34" t="str">
        <f>IF(MasterFees[[#This Row],[GST Basis]]="Incl",MasterFees[[#This Row],[Fee as Printed]],IF(MasterFees[[#This Row],[GST Basis]]="Excl",MasterFees[[#This Row],[Fee as Printed]]*(1+GST_Rate),""))</f>
        <v/>
      </c>
      <c r="S1033" s="35">
        <f>IF(N(MasterFees[[#This Row],[Total Units]])=0,"",MasterFees[[#This Row],[Fee as Printed]]/MasterFees[[#This Row],[Total Units]])</f>
        <v>54.916666666666671</v>
      </c>
      <c r="T1033" s="36"/>
      <c r="U1033" s="39" t="s">
        <v>1012</v>
      </c>
      <c r="V1033" s="39" t="s">
        <v>1667</v>
      </c>
      <c r="W1033" s="30"/>
      <c r="X1033" s="73" t="s">
        <v>3464</v>
      </c>
      <c r="Y1033" s="127" t="str">
        <f>_xlfn.XLOOKUP(MasterFees[[#This Row],[Provider / Payer]],Contracts[Contract Name],Contracts[Contract ID],"No contract")</f>
        <v>CON-01</v>
      </c>
      <c r="Z1033" s="127" t="str">
        <f>_xlfn.XLOOKUP(MasterFees[[#This Row],[Provider / Payer]],Contracts[Contract Name],Contracts[Pricing Basis],"To confirm")</f>
        <v>To confirm</v>
      </c>
      <c r="AA1033" s="127" t="str">
        <f>IF(MasterFees[[#This Row],[Pricing Basis]]="Fixed fee schedule","Yes","No")</f>
        <v>No</v>
      </c>
      <c r="AB1033" s="127" t="str">
        <f>IF(OR(MasterFees[[#This Row],[Fee Basis]]="Add-on",MasterFees[[#This Row],[Fee Basis]]="Time band",MasterFees[[#This Row],[Fee Basis]]="Other"),MasterFees[[#This Row],[Fee Basis]],"Base")</f>
        <v>Base</v>
      </c>
      <c r="AC1033" s="141" t="str">
        <f>IF(MasterFees[[#This Row],[Fixed Fee?]]="Yes",MasterFees[[#This Row],[Fee Excl. GST]],"")</f>
        <v/>
      </c>
    </row>
    <row r="1034" spans="1:29" x14ac:dyDescent="0.2">
      <c r="A1034" s="67" t="s">
        <v>2392</v>
      </c>
      <c r="B1034" s="31">
        <f>IF(MasterFees[[#This Row],[RVG Code]]="","",_xlfn.XLOOKUP(MasterFees[[#This Row],[RVG Code]],RVGCodes[Code],RVGCodes[Base Units],"Code not found"))</f>
        <v>8</v>
      </c>
      <c r="C103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3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34" s="125" t="s">
        <v>2581</v>
      </c>
      <c r="F1034" s="48" t="s">
        <v>2569</v>
      </c>
      <c r="G1034" s="30" t="s">
        <v>572</v>
      </c>
      <c r="H1034" s="37" t="s">
        <v>1095</v>
      </c>
      <c r="I1034" s="37"/>
      <c r="J1034" s="37" t="s">
        <v>1096</v>
      </c>
      <c r="K1034" s="32">
        <v>7.9</v>
      </c>
      <c r="L1034" s="32">
        <v>7.7</v>
      </c>
      <c r="M1034" s="32">
        <v>1.4</v>
      </c>
      <c r="N1034" s="32">
        <v>17</v>
      </c>
      <c r="O1034" s="33">
        <v>937.2</v>
      </c>
      <c r="P1034" s="38" t="s">
        <v>1014</v>
      </c>
      <c r="Q1034" s="34" t="str">
        <f>IF(MasterFees[[#This Row],[GST Basis]]="Excl",MasterFees[[#This Row],[Fee as Printed]],IF(MasterFees[[#This Row],[GST Basis]]="Incl",MasterFees[[#This Row],[Fee as Printed]]/(1+GST_Rate),""))</f>
        <v/>
      </c>
      <c r="R1034" s="34" t="str">
        <f>IF(MasterFees[[#This Row],[GST Basis]]="Incl",MasterFees[[#This Row],[Fee as Printed]],IF(MasterFees[[#This Row],[GST Basis]]="Excl",MasterFees[[#This Row],[Fee as Printed]]*(1+GST_Rate),""))</f>
        <v/>
      </c>
      <c r="S1034" s="35">
        <f>IF(N(MasterFees[[#This Row],[Total Units]])=0,"",MasterFees[[#This Row],[Fee as Printed]]/MasterFees[[#This Row],[Total Units]])</f>
        <v>55.129411764705885</v>
      </c>
      <c r="T1034" s="36"/>
      <c r="U1034" s="39" t="s">
        <v>1012</v>
      </c>
      <c r="V1034" s="39" t="s">
        <v>1668</v>
      </c>
      <c r="W1034" s="30"/>
      <c r="X1034" s="73" t="s">
        <v>3465</v>
      </c>
      <c r="Y1034" s="127" t="str">
        <f>_xlfn.XLOOKUP(MasterFees[[#This Row],[Provider / Payer]],Contracts[Contract Name],Contracts[Contract ID],"No contract")</f>
        <v>CON-01</v>
      </c>
      <c r="Z1034" s="127" t="str">
        <f>_xlfn.XLOOKUP(MasterFees[[#This Row],[Provider / Payer]],Contracts[Contract Name],Contracts[Pricing Basis],"To confirm")</f>
        <v>To confirm</v>
      </c>
      <c r="AA1034" s="127" t="str">
        <f>IF(MasterFees[[#This Row],[Pricing Basis]]="Fixed fee schedule","Yes","No")</f>
        <v>No</v>
      </c>
      <c r="AB1034" s="127" t="str">
        <f>IF(OR(MasterFees[[#This Row],[Fee Basis]]="Add-on",MasterFees[[#This Row],[Fee Basis]]="Time band",MasterFees[[#This Row],[Fee Basis]]="Other"),MasterFees[[#This Row],[Fee Basis]],"Base")</f>
        <v>Base</v>
      </c>
      <c r="AC1034" s="141" t="str">
        <f>IF(MasterFees[[#This Row],[Fixed Fee?]]="Yes",MasterFees[[#This Row],[Fee Excl. GST]],"")</f>
        <v/>
      </c>
    </row>
    <row r="1035" spans="1:29" x14ac:dyDescent="0.2">
      <c r="A1035" s="67" t="s">
        <v>2392</v>
      </c>
      <c r="B1035" s="31">
        <f>IF(MasterFees[[#This Row],[RVG Code]]="","",_xlfn.XLOOKUP(MasterFees[[#This Row],[RVG Code]],RVGCodes[Code],RVGCodes[Base Units],"Code not found"))</f>
        <v>8</v>
      </c>
      <c r="C103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3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35" s="125" t="s">
        <v>2581</v>
      </c>
      <c r="F1035" s="48" t="s">
        <v>2567</v>
      </c>
      <c r="G1035" s="30" t="s">
        <v>594</v>
      </c>
      <c r="H1035" s="37" t="s">
        <v>1095</v>
      </c>
      <c r="I1035" s="37"/>
      <c r="J1035" s="37" t="s">
        <v>1096</v>
      </c>
      <c r="K1035" s="32">
        <v>7.6</v>
      </c>
      <c r="L1035" s="32">
        <v>12.5</v>
      </c>
      <c r="M1035" s="32">
        <v>1.3</v>
      </c>
      <c r="N1035" s="32">
        <v>21.5</v>
      </c>
      <c r="O1035" s="33">
        <v>1181.95</v>
      </c>
      <c r="P1035" s="38" t="s">
        <v>1014</v>
      </c>
      <c r="Q1035" s="34" t="str">
        <f>IF(MasterFees[[#This Row],[GST Basis]]="Excl",MasterFees[[#This Row],[Fee as Printed]],IF(MasterFees[[#This Row],[GST Basis]]="Incl",MasterFees[[#This Row],[Fee as Printed]]/(1+GST_Rate),""))</f>
        <v/>
      </c>
      <c r="R1035" s="34" t="str">
        <f>IF(MasterFees[[#This Row],[GST Basis]]="Incl",MasterFees[[#This Row],[Fee as Printed]],IF(MasterFees[[#This Row],[GST Basis]]="Excl",MasterFees[[#This Row],[Fee as Printed]]*(1+GST_Rate),""))</f>
        <v/>
      </c>
      <c r="S1035" s="35">
        <f>IF(N(MasterFees[[#This Row],[Total Units]])=0,"",MasterFees[[#This Row],[Fee as Printed]]/MasterFees[[#This Row],[Total Units]])</f>
        <v>54.974418604651163</v>
      </c>
      <c r="T1035" s="36"/>
      <c r="U1035" s="39" t="s">
        <v>1012</v>
      </c>
      <c r="V1035" s="39" t="s">
        <v>1690</v>
      </c>
      <c r="W1035" s="30"/>
      <c r="X1035" s="73" t="s">
        <v>3487</v>
      </c>
      <c r="Y1035" s="127" t="str">
        <f>_xlfn.XLOOKUP(MasterFees[[#This Row],[Provider / Payer]],Contracts[Contract Name],Contracts[Contract ID],"No contract")</f>
        <v>CON-01</v>
      </c>
      <c r="Z1035" s="127" t="str">
        <f>_xlfn.XLOOKUP(MasterFees[[#This Row],[Provider / Payer]],Contracts[Contract Name],Contracts[Pricing Basis],"To confirm")</f>
        <v>To confirm</v>
      </c>
      <c r="AA1035" s="127" t="str">
        <f>IF(MasterFees[[#This Row],[Pricing Basis]]="Fixed fee schedule","Yes","No")</f>
        <v>No</v>
      </c>
      <c r="AB1035" s="127" t="str">
        <f>IF(OR(MasterFees[[#This Row],[Fee Basis]]="Add-on",MasterFees[[#This Row],[Fee Basis]]="Time band",MasterFees[[#This Row],[Fee Basis]]="Other"),MasterFees[[#This Row],[Fee Basis]],"Base")</f>
        <v>Base</v>
      </c>
      <c r="AC1035" s="141" t="str">
        <f>IF(MasterFees[[#This Row],[Fixed Fee?]]="Yes",MasterFees[[#This Row],[Fee Excl. GST]],"")</f>
        <v/>
      </c>
    </row>
    <row r="1036" spans="1:29" x14ac:dyDescent="0.2">
      <c r="A1036" s="67" t="s">
        <v>2392</v>
      </c>
      <c r="B1036" s="31">
        <f>IF(MasterFees[[#This Row],[RVG Code]]="","",_xlfn.XLOOKUP(MasterFees[[#This Row],[RVG Code]],RVGCodes[Code],RVGCodes[Base Units],"Code not found"))</f>
        <v>8</v>
      </c>
      <c r="C103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3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36" s="125" t="s">
        <v>2581</v>
      </c>
      <c r="F1036" s="48" t="s">
        <v>2569</v>
      </c>
      <c r="G1036" s="30" t="s">
        <v>595</v>
      </c>
      <c r="H1036" s="37" t="s">
        <v>1095</v>
      </c>
      <c r="I1036" s="37"/>
      <c r="J1036" s="37" t="s">
        <v>1096</v>
      </c>
      <c r="K1036" s="32">
        <v>8</v>
      </c>
      <c r="L1036" s="32">
        <v>8</v>
      </c>
      <c r="M1036" s="32">
        <v>1.6</v>
      </c>
      <c r="N1036" s="32">
        <v>17.600000000000001</v>
      </c>
      <c r="O1036" s="33">
        <v>966.9</v>
      </c>
      <c r="P1036" s="38" t="s">
        <v>1014</v>
      </c>
      <c r="Q1036" s="34" t="str">
        <f>IF(MasterFees[[#This Row],[GST Basis]]="Excl",MasterFees[[#This Row],[Fee as Printed]],IF(MasterFees[[#This Row],[GST Basis]]="Incl",MasterFees[[#This Row],[Fee as Printed]]/(1+GST_Rate),""))</f>
        <v/>
      </c>
      <c r="R1036" s="34" t="str">
        <f>IF(MasterFees[[#This Row],[GST Basis]]="Incl",MasterFees[[#This Row],[Fee as Printed]],IF(MasterFees[[#This Row],[GST Basis]]="Excl",MasterFees[[#This Row],[Fee as Printed]]*(1+GST_Rate),""))</f>
        <v/>
      </c>
      <c r="S1036" s="35">
        <f>IF(N(MasterFees[[#This Row],[Total Units]])=0,"",MasterFees[[#This Row],[Fee as Printed]]/MasterFees[[#This Row],[Total Units]])</f>
        <v>54.937499999999993</v>
      </c>
      <c r="T1036" s="36"/>
      <c r="U1036" s="39" t="s">
        <v>1012</v>
      </c>
      <c r="V1036" s="39" t="s">
        <v>1691</v>
      </c>
      <c r="W1036" s="30"/>
      <c r="X1036" s="73" t="s">
        <v>3488</v>
      </c>
      <c r="Y1036" s="127" t="str">
        <f>_xlfn.XLOOKUP(MasterFees[[#This Row],[Provider / Payer]],Contracts[Contract Name],Contracts[Contract ID],"No contract")</f>
        <v>CON-01</v>
      </c>
      <c r="Z1036" s="127" t="str">
        <f>_xlfn.XLOOKUP(MasterFees[[#This Row],[Provider / Payer]],Contracts[Contract Name],Contracts[Pricing Basis],"To confirm")</f>
        <v>To confirm</v>
      </c>
      <c r="AA1036" s="127" t="str">
        <f>IF(MasterFees[[#This Row],[Pricing Basis]]="Fixed fee schedule","Yes","No")</f>
        <v>No</v>
      </c>
      <c r="AB1036" s="127" t="str">
        <f>IF(OR(MasterFees[[#This Row],[Fee Basis]]="Add-on",MasterFees[[#This Row],[Fee Basis]]="Time band",MasterFees[[#This Row],[Fee Basis]]="Other"),MasterFees[[#This Row],[Fee Basis]],"Base")</f>
        <v>Base</v>
      </c>
      <c r="AC1036" s="141" t="str">
        <f>IF(MasterFees[[#This Row],[Fixed Fee?]]="Yes",MasterFees[[#This Row],[Fee Excl. GST]],"")</f>
        <v/>
      </c>
    </row>
    <row r="1037" spans="1:29" x14ac:dyDescent="0.2">
      <c r="A1037" s="67" t="s">
        <v>2392</v>
      </c>
      <c r="B1037" s="31">
        <f>IF(MasterFees[[#This Row],[RVG Code]]="","",_xlfn.XLOOKUP(MasterFees[[#This Row],[RVG Code]],RVGCodes[Code],RVGCodes[Base Units],"Code not found"))</f>
        <v>8</v>
      </c>
      <c r="C103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3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37" s="125" t="s">
        <v>2581</v>
      </c>
      <c r="F1037" s="48" t="s">
        <v>2569</v>
      </c>
      <c r="G1037" s="30" t="s">
        <v>596</v>
      </c>
      <c r="H1037" s="37" t="s">
        <v>1095</v>
      </c>
      <c r="I1037" s="37"/>
      <c r="J1037" s="37" t="s">
        <v>1096</v>
      </c>
      <c r="K1037" s="32">
        <v>7.9</v>
      </c>
      <c r="L1037" s="32">
        <v>7.9</v>
      </c>
      <c r="M1037" s="32">
        <v>1.4</v>
      </c>
      <c r="N1037" s="32">
        <v>17.2</v>
      </c>
      <c r="O1037" s="33">
        <v>947.1</v>
      </c>
      <c r="P1037" s="38" t="s">
        <v>1014</v>
      </c>
      <c r="Q1037" s="34" t="str">
        <f>IF(MasterFees[[#This Row],[GST Basis]]="Excl",MasterFees[[#This Row],[Fee as Printed]],IF(MasterFees[[#This Row],[GST Basis]]="Incl",MasterFees[[#This Row],[Fee as Printed]]/(1+GST_Rate),""))</f>
        <v/>
      </c>
      <c r="R1037" s="34" t="str">
        <f>IF(MasterFees[[#This Row],[GST Basis]]="Incl",MasterFees[[#This Row],[Fee as Printed]],IF(MasterFees[[#This Row],[GST Basis]]="Excl",MasterFees[[#This Row],[Fee as Printed]]*(1+GST_Rate),""))</f>
        <v/>
      </c>
      <c r="S1037" s="35">
        <f>IF(N(MasterFees[[#This Row],[Total Units]])=0,"",MasterFees[[#This Row],[Fee as Printed]]/MasterFees[[#This Row],[Total Units]])</f>
        <v>55.0639534883721</v>
      </c>
      <c r="T1037" s="36"/>
      <c r="U1037" s="39" t="s">
        <v>1012</v>
      </c>
      <c r="V1037" s="39" t="s">
        <v>1692</v>
      </c>
      <c r="W1037" s="30"/>
      <c r="X1037" s="73" t="s">
        <v>3489</v>
      </c>
      <c r="Y1037" s="127" t="str">
        <f>_xlfn.XLOOKUP(MasterFees[[#This Row],[Provider / Payer]],Contracts[Contract Name],Contracts[Contract ID],"No contract")</f>
        <v>CON-01</v>
      </c>
      <c r="Z1037" s="127" t="str">
        <f>_xlfn.XLOOKUP(MasterFees[[#This Row],[Provider / Payer]],Contracts[Contract Name],Contracts[Pricing Basis],"To confirm")</f>
        <v>To confirm</v>
      </c>
      <c r="AA1037" s="127" t="str">
        <f>IF(MasterFees[[#This Row],[Pricing Basis]]="Fixed fee schedule","Yes","No")</f>
        <v>No</v>
      </c>
      <c r="AB1037" s="127" t="str">
        <f>IF(OR(MasterFees[[#This Row],[Fee Basis]]="Add-on",MasterFees[[#This Row],[Fee Basis]]="Time band",MasterFees[[#This Row],[Fee Basis]]="Other"),MasterFees[[#This Row],[Fee Basis]],"Base")</f>
        <v>Base</v>
      </c>
      <c r="AC1037" s="141" t="str">
        <f>IF(MasterFees[[#This Row],[Fixed Fee?]]="Yes",MasterFees[[#This Row],[Fee Excl. GST]],"")</f>
        <v/>
      </c>
    </row>
    <row r="1038" spans="1:29" x14ac:dyDescent="0.2">
      <c r="A1038" s="67" t="s">
        <v>2392</v>
      </c>
      <c r="B1038" s="31">
        <f>IF(MasterFees[[#This Row],[RVG Code]]="","",_xlfn.XLOOKUP(MasterFees[[#This Row],[RVG Code]],RVGCodes[Code],RVGCodes[Base Units],"Code not found"))</f>
        <v>8</v>
      </c>
      <c r="C103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3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38" s="125" t="s">
        <v>2581</v>
      </c>
      <c r="F1038" s="48" t="s">
        <v>2569</v>
      </c>
      <c r="G1038" s="30" t="s">
        <v>597</v>
      </c>
      <c r="H1038" s="37" t="s">
        <v>1095</v>
      </c>
      <c r="I1038" s="37"/>
      <c r="J1038" s="37" t="s">
        <v>1096</v>
      </c>
      <c r="K1038" s="32">
        <v>8.1</v>
      </c>
      <c r="L1038" s="32">
        <v>8.8000000000000007</v>
      </c>
      <c r="M1038" s="32">
        <v>1.8</v>
      </c>
      <c r="N1038" s="32">
        <v>18.600000000000001</v>
      </c>
      <c r="O1038" s="33">
        <v>1024.0999999999999</v>
      </c>
      <c r="P1038" s="38" t="s">
        <v>1014</v>
      </c>
      <c r="Q1038" s="34" t="str">
        <f>IF(MasterFees[[#This Row],[GST Basis]]="Excl",MasterFees[[#This Row],[Fee as Printed]],IF(MasterFees[[#This Row],[GST Basis]]="Incl",MasterFees[[#This Row],[Fee as Printed]]/(1+GST_Rate),""))</f>
        <v/>
      </c>
      <c r="R1038" s="34" t="str">
        <f>IF(MasterFees[[#This Row],[GST Basis]]="Incl",MasterFees[[#This Row],[Fee as Printed]],IF(MasterFees[[#This Row],[GST Basis]]="Excl",MasterFees[[#This Row],[Fee as Printed]]*(1+GST_Rate),""))</f>
        <v/>
      </c>
      <c r="S1038" s="35">
        <f>IF(N(MasterFees[[#This Row],[Total Units]])=0,"",MasterFees[[#This Row],[Fee as Printed]]/MasterFees[[#This Row],[Total Units]])</f>
        <v>55.059139784946225</v>
      </c>
      <c r="T1038" s="36"/>
      <c r="U1038" s="39" t="s">
        <v>1012</v>
      </c>
      <c r="V1038" s="39" t="s">
        <v>1693</v>
      </c>
      <c r="W1038" s="30"/>
      <c r="X1038" s="73" t="s">
        <v>3490</v>
      </c>
      <c r="Y1038" s="127" t="str">
        <f>_xlfn.XLOOKUP(MasterFees[[#This Row],[Provider / Payer]],Contracts[Contract Name],Contracts[Contract ID],"No contract")</f>
        <v>CON-01</v>
      </c>
      <c r="Z1038" s="127" t="str">
        <f>_xlfn.XLOOKUP(MasterFees[[#This Row],[Provider / Payer]],Contracts[Contract Name],Contracts[Pricing Basis],"To confirm")</f>
        <v>To confirm</v>
      </c>
      <c r="AA1038" s="127" t="str">
        <f>IF(MasterFees[[#This Row],[Pricing Basis]]="Fixed fee schedule","Yes","No")</f>
        <v>No</v>
      </c>
      <c r="AB1038" s="127" t="str">
        <f>IF(OR(MasterFees[[#This Row],[Fee Basis]]="Add-on",MasterFees[[#This Row],[Fee Basis]]="Time band",MasterFees[[#This Row],[Fee Basis]]="Other"),MasterFees[[#This Row],[Fee Basis]],"Base")</f>
        <v>Base</v>
      </c>
      <c r="AC1038" s="141" t="str">
        <f>IF(MasterFees[[#This Row],[Fixed Fee?]]="Yes",MasterFees[[#This Row],[Fee Excl. GST]],"")</f>
        <v/>
      </c>
    </row>
    <row r="1039" spans="1:29" x14ac:dyDescent="0.2">
      <c r="A1039" s="67" t="s">
        <v>2392</v>
      </c>
      <c r="B1039" s="31">
        <f>IF(MasterFees[[#This Row],[RVG Code]]="","",_xlfn.XLOOKUP(MasterFees[[#This Row],[RVG Code]],RVGCodes[Code],RVGCodes[Base Units],"Code not found"))</f>
        <v>8</v>
      </c>
      <c r="C103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3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39" s="125" t="s">
        <v>2581</v>
      </c>
      <c r="F1039" s="48" t="s">
        <v>2569</v>
      </c>
      <c r="G1039" s="30" t="s">
        <v>598</v>
      </c>
      <c r="H1039" s="37" t="s">
        <v>1095</v>
      </c>
      <c r="I1039" s="37"/>
      <c r="J1039" s="37" t="s">
        <v>1096</v>
      </c>
      <c r="K1039" s="32">
        <v>8</v>
      </c>
      <c r="L1039" s="32">
        <v>7</v>
      </c>
      <c r="M1039" s="32">
        <v>1</v>
      </c>
      <c r="N1039" s="32">
        <v>16</v>
      </c>
      <c r="O1039" s="33">
        <v>880</v>
      </c>
      <c r="P1039" s="38" t="s">
        <v>1014</v>
      </c>
      <c r="Q1039" s="34" t="str">
        <f>IF(MasterFees[[#This Row],[GST Basis]]="Excl",MasterFees[[#This Row],[Fee as Printed]],IF(MasterFees[[#This Row],[GST Basis]]="Incl",MasterFees[[#This Row],[Fee as Printed]]/(1+GST_Rate),""))</f>
        <v/>
      </c>
      <c r="R1039" s="34" t="str">
        <f>IF(MasterFees[[#This Row],[GST Basis]]="Incl",MasterFees[[#This Row],[Fee as Printed]],IF(MasterFees[[#This Row],[GST Basis]]="Excl",MasterFees[[#This Row],[Fee as Printed]]*(1+GST_Rate),""))</f>
        <v/>
      </c>
      <c r="S1039" s="35">
        <f>IF(N(MasterFees[[#This Row],[Total Units]])=0,"",MasterFees[[#This Row],[Fee as Printed]]/MasterFees[[#This Row],[Total Units]])</f>
        <v>55</v>
      </c>
      <c r="T1039" s="36"/>
      <c r="U1039" s="39" t="s">
        <v>1012</v>
      </c>
      <c r="V1039" s="39" t="s">
        <v>1694</v>
      </c>
      <c r="W1039" s="30"/>
      <c r="X1039" s="73" t="s">
        <v>3491</v>
      </c>
      <c r="Y1039" s="127" t="str">
        <f>_xlfn.XLOOKUP(MasterFees[[#This Row],[Provider / Payer]],Contracts[Contract Name],Contracts[Contract ID],"No contract")</f>
        <v>CON-01</v>
      </c>
      <c r="Z1039" s="127" t="str">
        <f>_xlfn.XLOOKUP(MasterFees[[#This Row],[Provider / Payer]],Contracts[Contract Name],Contracts[Pricing Basis],"To confirm")</f>
        <v>To confirm</v>
      </c>
      <c r="AA1039" s="127" t="str">
        <f>IF(MasterFees[[#This Row],[Pricing Basis]]="Fixed fee schedule","Yes","No")</f>
        <v>No</v>
      </c>
      <c r="AB1039" s="127" t="str">
        <f>IF(OR(MasterFees[[#This Row],[Fee Basis]]="Add-on",MasterFees[[#This Row],[Fee Basis]]="Time band",MasterFees[[#This Row],[Fee Basis]]="Other"),MasterFees[[#This Row],[Fee Basis]],"Base")</f>
        <v>Base</v>
      </c>
      <c r="AC1039" s="141" t="str">
        <f>IF(MasterFees[[#This Row],[Fixed Fee?]]="Yes",MasterFees[[#This Row],[Fee Excl. GST]],"")</f>
        <v/>
      </c>
    </row>
    <row r="1040" spans="1:29" x14ac:dyDescent="0.2">
      <c r="A1040" s="67" t="s">
        <v>2392</v>
      </c>
      <c r="B1040" s="31">
        <f>IF(MasterFees[[#This Row],[RVG Code]]="","",_xlfn.XLOOKUP(MasterFees[[#This Row],[RVG Code]],RVGCodes[Code],RVGCodes[Base Units],"Code not found"))</f>
        <v>8</v>
      </c>
      <c r="C104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4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40" s="125" t="s">
        <v>2581</v>
      </c>
      <c r="F1040" s="48" t="s">
        <v>2567</v>
      </c>
      <c r="G1040" s="30" t="s">
        <v>599</v>
      </c>
      <c r="H1040" s="37" t="s">
        <v>1095</v>
      </c>
      <c r="I1040" s="37"/>
      <c r="J1040" s="37" t="s">
        <v>1096</v>
      </c>
      <c r="K1040" s="32">
        <v>8</v>
      </c>
      <c r="L1040" s="32">
        <v>10.199999999999999</v>
      </c>
      <c r="M1040" s="32">
        <v>2.1</v>
      </c>
      <c r="N1040" s="32">
        <v>20.3</v>
      </c>
      <c r="O1040" s="33">
        <v>1116.5</v>
      </c>
      <c r="P1040" s="38" t="s">
        <v>1014</v>
      </c>
      <c r="Q1040" s="34" t="str">
        <f>IF(MasterFees[[#This Row],[GST Basis]]="Excl",MasterFees[[#This Row],[Fee as Printed]],IF(MasterFees[[#This Row],[GST Basis]]="Incl",MasterFees[[#This Row],[Fee as Printed]]/(1+GST_Rate),""))</f>
        <v/>
      </c>
      <c r="R1040" s="34" t="str">
        <f>IF(MasterFees[[#This Row],[GST Basis]]="Incl",MasterFees[[#This Row],[Fee as Printed]],IF(MasterFees[[#This Row],[GST Basis]]="Excl",MasterFees[[#This Row],[Fee as Printed]]*(1+GST_Rate),""))</f>
        <v/>
      </c>
      <c r="S1040" s="35">
        <f>IF(N(MasterFees[[#This Row],[Total Units]])=0,"",MasterFees[[#This Row],[Fee as Printed]]/MasterFees[[#This Row],[Total Units]])</f>
        <v>55</v>
      </c>
      <c r="T1040" s="36"/>
      <c r="U1040" s="39" t="s">
        <v>1012</v>
      </c>
      <c r="V1040" s="39" t="s">
        <v>1695</v>
      </c>
      <c r="W1040" s="30"/>
      <c r="X1040" s="73" t="s">
        <v>3492</v>
      </c>
      <c r="Y1040" s="127" t="str">
        <f>_xlfn.XLOOKUP(MasterFees[[#This Row],[Provider / Payer]],Contracts[Contract Name],Contracts[Contract ID],"No contract")</f>
        <v>CON-01</v>
      </c>
      <c r="Z1040" s="127" t="str">
        <f>_xlfn.XLOOKUP(MasterFees[[#This Row],[Provider / Payer]],Contracts[Contract Name],Contracts[Pricing Basis],"To confirm")</f>
        <v>To confirm</v>
      </c>
      <c r="AA1040" s="127" t="str">
        <f>IF(MasterFees[[#This Row],[Pricing Basis]]="Fixed fee schedule","Yes","No")</f>
        <v>No</v>
      </c>
      <c r="AB1040" s="127" t="str">
        <f>IF(OR(MasterFees[[#This Row],[Fee Basis]]="Add-on",MasterFees[[#This Row],[Fee Basis]]="Time band",MasterFees[[#This Row],[Fee Basis]]="Other"),MasterFees[[#This Row],[Fee Basis]],"Base")</f>
        <v>Base</v>
      </c>
      <c r="AC1040" s="141" t="str">
        <f>IF(MasterFees[[#This Row],[Fixed Fee?]]="Yes",MasterFees[[#This Row],[Fee Excl. GST]],"")</f>
        <v/>
      </c>
    </row>
    <row r="1041" spans="1:29" x14ac:dyDescent="0.2">
      <c r="A1041" s="67" t="s">
        <v>2392</v>
      </c>
      <c r="B1041" s="31">
        <f>IF(MasterFees[[#This Row],[RVG Code]]="","",_xlfn.XLOOKUP(MasterFees[[#This Row],[RVG Code]],RVGCodes[Code],RVGCodes[Base Units],"Code not found"))</f>
        <v>8</v>
      </c>
      <c r="C104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4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41" s="125" t="s">
        <v>2581</v>
      </c>
      <c r="F1041" s="48" t="s">
        <v>2567</v>
      </c>
      <c r="G1041" s="30" t="s">
        <v>600</v>
      </c>
      <c r="H1041" s="37" t="s">
        <v>1095</v>
      </c>
      <c r="I1041" s="37"/>
      <c r="J1041" s="37" t="s">
        <v>1096</v>
      </c>
      <c r="K1041" s="32">
        <v>8</v>
      </c>
      <c r="L1041" s="32">
        <v>13.8</v>
      </c>
      <c r="M1041" s="32">
        <v>2.8</v>
      </c>
      <c r="N1041" s="32">
        <v>24.5</v>
      </c>
      <c r="O1041" s="33">
        <v>1347.5</v>
      </c>
      <c r="P1041" s="38" t="s">
        <v>1014</v>
      </c>
      <c r="Q1041" s="34" t="str">
        <f>IF(MasterFees[[#This Row],[GST Basis]]="Excl",MasterFees[[#This Row],[Fee as Printed]],IF(MasterFees[[#This Row],[GST Basis]]="Incl",MasterFees[[#This Row],[Fee as Printed]]/(1+GST_Rate),""))</f>
        <v/>
      </c>
      <c r="R1041" s="34" t="str">
        <f>IF(MasterFees[[#This Row],[GST Basis]]="Incl",MasterFees[[#This Row],[Fee as Printed]],IF(MasterFees[[#This Row],[GST Basis]]="Excl",MasterFees[[#This Row],[Fee as Printed]]*(1+GST_Rate),""))</f>
        <v/>
      </c>
      <c r="S1041" s="35">
        <f>IF(N(MasterFees[[#This Row],[Total Units]])=0,"",MasterFees[[#This Row],[Fee as Printed]]/MasterFees[[#This Row],[Total Units]])</f>
        <v>55</v>
      </c>
      <c r="T1041" s="36"/>
      <c r="U1041" s="39" t="s">
        <v>1012</v>
      </c>
      <c r="V1041" s="39" t="s">
        <v>1696</v>
      </c>
      <c r="W1041" s="30"/>
      <c r="X1041" s="73" t="s">
        <v>3493</v>
      </c>
      <c r="Y1041" s="127" t="str">
        <f>_xlfn.XLOOKUP(MasterFees[[#This Row],[Provider / Payer]],Contracts[Contract Name],Contracts[Contract ID],"No contract")</f>
        <v>CON-01</v>
      </c>
      <c r="Z1041" s="127" t="str">
        <f>_xlfn.XLOOKUP(MasterFees[[#This Row],[Provider / Payer]],Contracts[Contract Name],Contracts[Pricing Basis],"To confirm")</f>
        <v>To confirm</v>
      </c>
      <c r="AA1041" s="127" t="str">
        <f>IF(MasterFees[[#This Row],[Pricing Basis]]="Fixed fee schedule","Yes","No")</f>
        <v>No</v>
      </c>
      <c r="AB1041" s="127" t="str">
        <f>IF(OR(MasterFees[[#This Row],[Fee Basis]]="Add-on",MasterFees[[#This Row],[Fee Basis]]="Time band",MasterFees[[#This Row],[Fee Basis]]="Other"),MasterFees[[#This Row],[Fee Basis]],"Base")</f>
        <v>Base</v>
      </c>
      <c r="AC1041" s="141" t="str">
        <f>IF(MasterFees[[#This Row],[Fixed Fee?]]="Yes",MasterFees[[#This Row],[Fee Excl. GST]],"")</f>
        <v/>
      </c>
    </row>
    <row r="1042" spans="1:29" x14ac:dyDescent="0.2">
      <c r="A1042" s="67" t="s">
        <v>2392</v>
      </c>
      <c r="B1042" s="31">
        <f>IF(MasterFees[[#This Row],[RVG Code]]="","",_xlfn.XLOOKUP(MasterFees[[#This Row],[RVG Code]],RVGCodes[Code],RVGCodes[Base Units],"Code not found"))</f>
        <v>8</v>
      </c>
      <c r="C104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4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42" s="125" t="s">
        <v>2581</v>
      </c>
      <c r="F1042" s="48" t="s">
        <v>2569</v>
      </c>
      <c r="G1042" s="30" t="s">
        <v>601</v>
      </c>
      <c r="H1042" s="37" t="s">
        <v>1095</v>
      </c>
      <c r="I1042" s="37"/>
      <c r="J1042" s="37" t="s">
        <v>1096</v>
      </c>
      <c r="K1042" s="32">
        <v>8</v>
      </c>
      <c r="L1042" s="32">
        <v>8.6</v>
      </c>
      <c r="M1042" s="32">
        <v>1.7</v>
      </c>
      <c r="N1042" s="32">
        <v>18.2</v>
      </c>
      <c r="O1042" s="33">
        <v>1001</v>
      </c>
      <c r="P1042" s="38" t="s">
        <v>1014</v>
      </c>
      <c r="Q1042" s="34" t="str">
        <f>IF(MasterFees[[#This Row],[GST Basis]]="Excl",MasterFees[[#This Row],[Fee as Printed]],IF(MasterFees[[#This Row],[GST Basis]]="Incl",MasterFees[[#This Row],[Fee as Printed]]/(1+GST_Rate),""))</f>
        <v/>
      </c>
      <c r="R1042" s="34" t="str">
        <f>IF(MasterFees[[#This Row],[GST Basis]]="Incl",MasterFees[[#This Row],[Fee as Printed]],IF(MasterFees[[#This Row],[GST Basis]]="Excl",MasterFees[[#This Row],[Fee as Printed]]*(1+GST_Rate),""))</f>
        <v/>
      </c>
      <c r="S1042" s="35">
        <f>IF(N(MasterFees[[#This Row],[Total Units]])=0,"",MasterFees[[#This Row],[Fee as Printed]]/MasterFees[[#This Row],[Total Units]])</f>
        <v>55</v>
      </c>
      <c r="T1042" s="36"/>
      <c r="U1042" s="39" t="s">
        <v>1012</v>
      </c>
      <c r="V1042" s="39" t="s">
        <v>1697</v>
      </c>
      <c r="W1042" s="30"/>
      <c r="X1042" s="73" t="s">
        <v>3494</v>
      </c>
      <c r="Y1042" s="127" t="str">
        <f>_xlfn.XLOOKUP(MasterFees[[#This Row],[Provider / Payer]],Contracts[Contract Name],Contracts[Contract ID],"No contract")</f>
        <v>CON-01</v>
      </c>
      <c r="Z1042" s="127" t="str">
        <f>_xlfn.XLOOKUP(MasterFees[[#This Row],[Provider / Payer]],Contracts[Contract Name],Contracts[Pricing Basis],"To confirm")</f>
        <v>To confirm</v>
      </c>
      <c r="AA1042" s="127" t="str">
        <f>IF(MasterFees[[#This Row],[Pricing Basis]]="Fixed fee schedule","Yes","No")</f>
        <v>No</v>
      </c>
      <c r="AB1042" s="127" t="str">
        <f>IF(OR(MasterFees[[#This Row],[Fee Basis]]="Add-on",MasterFees[[#This Row],[Fee Basis]]="Time band",MasterFees[[#This Row],[Fee Basis]]="Other"),MasterFees[[#This Row],[Fee Basis]],"Base")</f>
        <v>Base</v>
      </c>
      <c r="AC1042" s="141" t="str">
        <f>IF(MasterFees[[#This Row],[Fixed Fee?]]="Yes",MasterFees[[#This Row],[Fee Excl. GST]],"")</f>
        <v/>
      </c>
    </row>
    <row r="1043" spans="1:29" x14ac:dyDescent="0.2">
      <c r="A1043" s="67" t="s">
        <v>2392</v>
      </c>
      <c r="B1043" s="31">
        <f>IF(MasterFees[[#This Row],[RVG Code]]="","",_xlfn.XLOOKUP(MasterFees[[#This Row],[RVG Code]],RVGCodes[Code],RVGCodes[Base Units],"Code not found"))</f>
        <v>8</v>
      </c>
      <c r="C104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4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43" s="125" t="s">
        <v>2581</v>
      </c>
      <c r="F1043" s="48" t="s">
        <v>2569</v>
      </c>
      <c r="G1043" s="30" t="s">
        <v>602</v>
      </c>
      <c r="H1043" s="37" t="s">
        <v>1095</v>
      </c>
      <c r="I1043" s="37"/>
      <c r="J1043" s="37" t="s">
        <v>1096</v>
      </c>
      <c r="K1043" s="32">
        <v>8</v>
      </c>
      <c r="L1043" s="32">
        <v>8.1</v>
      </c>
      <c r="M1043" s="32">
        <v>1.5</v>
      </c>
      <c r="N1043" s="32">
        <v>17.600000000000001</v>
      </c>
      <c r="O1043" s="33">
        <v>965.8</v>
      </c>
      <c r="P1043" s="38" t="s">
        <v>1014</v>
      </c>
      <c r="Q1043" s="34" t="str">
        <f>IF(MasterFees[[#This Row],[GST Basis]]="Excl",MasterFees[[#This Row],[Fee as Printed]],IF(MasterFees[[#This Row],[GST Basis]]="Incl",MasterFees[[#This Row],[Fee as Printed]]/(1+GST_Rate),""))</f>
        <v/>
      </c>
      <c r="R1043" s="34" t="str">
        <f>IF(MasterFees[[#This Row],[GST Basis]]="Incl",MasterFees[[#This Row],[Fee as Printed]],IF(MasterFees[[#This Row],[GST Basis]]="Excl",MasterFees[[#This Row],[Fee as Printed]]*(1+GST_Rate),""))</f>
        <v/>
      </c>
      <c r="S1043" s="35">
        <f>IF(N(MasterFees[[#This Row],[Total Units]])=0,"",MasterFees[[#This Row],[Fee as Printed]]/MasterFees[[#This Row],[Total Units]])</f>
        <v>54.874999999999993</v>
      </c>
      <c r="T1043" s="36"/>
      <c r="U1043" s="39" t="s">
        <v>1012</v>
      </c>
      <c r="V1043" s="39" t="s">
        <v>1698</v>
      </c>
      <c r="W1043" s="30"/>
      <c r="X1043" s="73" t="s">
        <v>3495</v>
      </c>
      <c r="Y1043" s="127" t="str">
        <f>_xlfn.XLOOKUP(MasterFees[[#This Row],[Provider / Payer]],Contracts[Contract Name],Contracts[Contract ID],"No contract")</f>
        <v>CON-01</v>
      </c>
      <c r="Z1043" s="127" t="str">
        <f>_xlfn.XLOOKUP(MasterFees[[#This Row],[Provider / Payer]],Contracts[Contract Name],Contracts[Pricing Basis],"To confirm")</f>
        <v>To confirm</v>
      </c>
      <c r="AA1043" s="127" t="str">
        <f>IF(MasterFees[[#This Row],[Pricing Basis]]="Fixed fee schedule","Yes","No")</f>
        <v>No</v>
      </c>
      <c r="AB1043" s="127" t="str">
        <f>IF(OR(MasterFees[[#This Row],[Fee Basis]]="Add-on",MasterFees[[#This Row],[Fee Basis]]="Time band",MasterFees[[#This Row],[Fee Basis]]="Other"),MasterFees[[#This Row],[Fee Basis]],"Base")</f>
        <v>Base</v>
      </c>
      <c r="AC1043" s="141" t="str">
        <f>IF(MasterFees[[#This Row],[Fixed Fee?]]="Yes",MasterFees[[#This Row],[Fee Excl. GST]],"")</f>
        <v/>
      </c>
    </row>
    <row r="1044" spans="1:29" x14ac:dyDescent="0.2">
      <c r="A1044" s="67" t="s">
        <v>2392</v>
      </c>
      <c r="B1044" s="31">
        <f>IF(MasterFees[[#This Row],[RVG Code]]="","",_xlfn.XLOOKUP(MasterFees[[#This Row],[RVG Code]],RVGCodes[Code],RVGCodes[Base Units],"Code not found"))</f>
        <v>8</v>
      </c>
      <c r="C104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4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44" s="125" t="s">
        <v>2581</v>
      </c>
      <c r="F1044" s="48" t="s">
        <v>2569</v>
      </c>
      <c r="G1044" s="30" t="s">
        <v>602</v>
      </c>
      <c r="H1044" s="37" t="s">
        <v>1095</v>
      </c>
      <c r="I1044" s="37"/>
      <c r="J1044" s="37" t="s">
        <v>1096</v>
      </c>
      <c r="K1044" s="32">
        <v>8</v>
      </c>
      <c r="L1044" s="32">
        <v>8.1</v>
      </c>
      <c r="M1044" s="32">
        <v>1.5</v>
      </c>
      <c r="N1044" s="32">
        <v>17.600000000000001</v>
      </c>
      <c r="O1044" s="33">
        <v>965.8</v>
      </c>
      <c r="P1044" s="38" t="s">
        <v>1014</v>
      </c>
      <c r="Q1044" s="34" t="str">
        <f>IF(MasterFees[[#This Row],[GST Basis]]="Excl",MasterFees[[#This Row],[Fee as Printed]],IF(MasterFees[[#This Row],[GST Basis]]="Incl",MasterFees[[#This Row],[Fee as Printed]]/(1+GST_Rate),""))</f>
        <v/>
      </c>
      <c r="R1044" s="34" t="str">
        <f>IF(MasterFees[[#This Row],[GST Basis]]="Incl",MasterFees[[#This Row],[Fee as Printed]],IF(MasterFees[[#This Row],[GST Basis]]="Excl",MasterFees[[#This Row],[Fee as Printed]]*(1+GST_Rate),""))</f>
        <v/>
      </c>
      <c r="S1044" s="35">
        <f>IF(N(MasterFees[[#This Row],[Total Units]])=0,"",MasterFees[[#This Row],[Fee as Printed]]/MasterFees[[#This Row],[Total Units]])</f>
        <v>54.874999999999993</v>
      </c>
      <c r="T1044" s="36"/>
      <c r="U1044" s="39" t="s">
        <v>1012</v>
      </c>
      <c r="V1044" s="39" t="s">
        <v>1699</v>
      </c>
      <c r="W1044" s="30"/>
      <c r="X1044" s="73" t="s">
        <v>3496</v>
      </c>
      <c r="Y1044" s="127" t="str">
        <f>_xlfn.XLOOKUP(MasterFees[[#This Row],[Provider / Payer]],Contracts[Contract Name],Contracts[Contract ID],"No contract")</f>
        <v>CON-01</v>
      </c>
      <c r="Z1044" s="127" t="str">
        <f>_xlfn.XLOOKUP(MasterFees[[#This Row],[Provider / Payer]],Contracts[Contract Name],Contracts[Pricing Basis],"To confirm")</f>
        <v>To confirm</v>
      </c>
      <c r="AA1044" s="127" t="str">
        <f>IF(MasterFees[[#This Row],[Pricing Basis]]="Fixed fee schedule","Yes","No")</f>
        <v>No</v>
      </c>
      <c r="AB1044" s="127" t="str">
        <f>IF(OR(MasterFees[[#This Row],[Fee Basis]]="Add-on",MasterFees[[#This Row],[Fee Basis]]="Time band",MasterFees[[#This Row],[Fee Basis]]="Other"),MasterFees[[#This Row],[Fee Basis]],"Base")</f>
        <v>Base</v>
      </c>
      <c r="AC1044" s="141" t="str">
        <f>IF(MasterFees[[#This Row],[Fixed Fee?]]="Yes",MasterFees[[#This Row],[Fee Excl. GST]],"")</f>
        <v/>
      </c>
    </row>
    <row r="1045" spans="1:29" x14ac:dyDescent="0.2">
      <c r="A1045" s="67" t="s">
        <v>2392</v>
      </c>
      <c r="B1045" s="31">
        <f>IF(MasterFees[[#This Row],[RVG Code]]="","",_xlfn.XLOOKUP(MasterFees[[#This Row],[RVG Code]],RVGCodes[Code],RVGCodes[Base Units],"Code not found"))</f>
        <v>8</v>
      </c>
      <c r="C104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4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45" s="125" t="s">
        <v>2581</v>
      </c>
      <c r="F1045" s="48" t="s">
        <v>2629</v>
      </c>
      <c r="G1045" s="30" t="s">
        <v>2393</v>
      </c>
      <c r="H1045" s="37" t="s">
        <v>2630</v>
      </c>
      <c r="I1045" s="37" t="s">
        <v>2392</v>
      </c>
      <c r="J1045" s="37" t="s">
        <v>1096</v>
      </c>
      <c r="K1045" s="32">
        <v>8</v>
      </c>
      <c r="L1045" s="32"/>
      <c r="M1045" s="32"/>
      <c r="N1045" s="32">
        <v>8</v>
      </c>
      <c r="O1045" s="33"/>
      <c r="P1045" s="38"/>
      <c r="Q1045" s="34" t="str">
        <f>IF(MasterFees[[#This Row],[GST Basis]]="Excl",MasterFees[[#This Row],[Fee as Printed]],IF(MasterFees[[#This Row],[GST Basis]]="Incl",MasterFees[[#This Row],[Fee as Printed]]/(1+GST_Rate),""))</f>
        <v/>
      </c>
      <c r="R1045" s="34" t="str">
        <f>IF(MasterFees[[#This Row],[GST Basis]]="Incl",MasterFees[[#This Row],[Fee as Printed]],IF(MasterFees[[#This Row],[GST Basis]]="Excl",MasterFees[[#This Row],[Fee as Printed]]*(1+GST_Rate),""))</f>
        <v/>
      </c>
      <c r="S1045" s="35">
        <f>IF(N(MasterFees[[#This Row],[Total Units]])=0,"",MasterFees[[#This Row],[Fee as Printed]]/MasterFees[[#This Row],[Total Units]])</f>
        <v>0</v>
      </c>
      <c r="T1045" s="36"/>
      <c r="U1045" s="39" t="s">
        <v>1016</v>
      </c>
      <c r="V1045" s="39" t="s">
        <v>2646</v>
      </c>
      <c r="W1045" s="30" t="s">
        <v>2632</v>
      </c>
      <c r="X1045" s="73" t="s">
        <v>3863</v>
      </c>
      <c r="Y1045" s="127" t="str">
        <f>_xlfn.XLOOKUP(MasterFees[[#This Row],[Provider / Payer]],Contracts[Contract Name],Contracts[Contract ID],"No contract")</f>
        <v>CON-10</v>
      </c>
      <c r="Z1045" s="127" t="str">
        <f>_xlfn.XLOOKUP(MasterFees[[#This Row],[Provider / Payer]],Contracts[Contract Name],Contracts[Pricing Basis],"To confirm")</f>
        <v>Reference – units only</v>
      </c>
      <c r="AA1045" s="127" t="str">
        <f>IF(MasterFees[[#This Row],[Pricing Basis]]="Fixed fee schedule","Yes","No")</f>
        <v>No</v>
      </c>
      <c r="AB1045" s="127" t="str">
        <f>IF(OR(MasterFees[[#This Row],[Fee Basis]]="Add-on",MasterFees[[#This Row],[Fee Basis]]="Time band",MasterFees[[#This Row],[Fee Basis]]="Other"),MasterFees[[#This Row],[Fee Basis]],"Base")</f>
        <v>Base</v>
      </c>
      <c r="AC1045" s="141" t="str">
        <f>IF(MasterFees[[#This Row],[Fixed Fee?]]="Yes",MasterFees[[#This Row],[Fee Excl. GST]],"")</f>
        <v/>
      </c>
    </row>
    <row r="1046" spans="1:29" x14ac:dyDescent="0.2">
      <c r="A1046" s="67" t="s">
        <v>2390</v>
      </c>
      <c r="B1046" s="31">
        <f>IF(MasterFees[[#This Row],[RVG Code]]="","",_xlfn.XLOOKUP(MasterFees[[#This Row],[RVG Code]],RVGCodes[Code],RVGCodes[Base Units],"Code not found"))</f>
        <v>6</v>
      </c>
      <c r="C104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4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46" s="125" t="s">
        <v>2576</v>
      </c>
      <c r="F1046" s="48" t="s">
        <v>2567</v>
      </c>
      <c r="G1046" s="30" t="s">
        <v>636</v>
      </c>
      <c r="H1046" s="37" t="s">
        <v>1095</v>
      </c>
      <c r="I1046" s="37"/>
      <c r="J1046" s="37" t="s">
        <v>1096</v>
      </c>
      <c r="K1046" s="32">
        <v>4.5</v>
      </c>
      <c r="L1046" s="32">
        <v>4</v>
      </c>
      <c r="M1046" s="32">
        <v>1.6</v>
      </c>
      <c r="N1046" s="32">
        <v>10.1</v>
      </c>
      <c r="O1046" s="33">
        <v>553.85</v>
      </c>
      <c r="P1046" s="38" t="s">
        <v>1014</v>
      </c>
      <c r="Q1046" s="34" t="str">
        <f>IF(MasterFees[[#This Row],[GST Basis]]="Excl",MasterFees[[#This Row],[Fee as Printed]],IF(MasterFees[[#This Row],[GST Basis]]="Incl",MasterFees[[#This Row],[Fee as Printed]]/(1+GST_Rate),""))</f>
        <v/>
      </c>
      <c r="R1046" s="34" t="str">
        <f>IF(MasterFees[[#This Row],[GST Basis]]="Incl",MasterFees[[#This Row],[Fee as Printed]],IF(MasterFees[[#This Row],[GST Basis]]="Excl",MasterFees[[#This Row],[Fee as Printed]]*(1+GST_Rate),""))</f>
        <v/>
      </c>
      <c r="S1046" s="35">
        <f>IF(N(MasterFees[[#This Row],[Total Units]])=0,"",MasterFees[[#This Row],[Fee as Printed]]/MasterFees[[#This Row],[Total Units]])</f>
        <v>54.836633663366342</v>
      </c>
      <c r="T1046" s="36"/>
      <c r="U1046" s="39" t="s">
        <v>1012</v>
      </c>
      <c r="V1046" s="39" t="s">
        <v>1733</v>
      </c>
      <c r="W1046" s="30"/>
      <c r="X1046" s="73" t="s">
        <v>3532</v>
      </c>
      <c r="Y1046" s="127" t="str">
        <f>_xlfn.XLOOKUP(MasterFees[[#This Row],[Provider / Payer]],Contracts[Contract Name],Contracts[Contract ID],"No contract")</f>
        <v>CON-01</v>
      </c>
      <c r="Z1046" s="127" t="str">
        <f>_xlfn.XLOOKUP(MasterFees[[#This Row],[Provider / Payer]],Contracts[Contract Name],Contracts[Pricing Basis],"To confirm")</f>
        <v>To confirm</v>
      </c>
      <c r="AA1046" s="127" t="str">
        <f>IF(MasterFees[[#This Row],[Pricing Basis]]="Fixed fee schedule","Yes","No")</f>
        <v>No</v>
      </c>
      <c r="AB1046" s="127" t="str">
        <f>IF(OR(MasterFees[[#This Row],[Fee Basis]]="Add-on",MasterFees[[#This Row],[Fee Basis]]="Time band",MasterFees[[#This Row],[Fee Basis]]="Other"),MasterFees[[#This Row],[Fee Basis]],"Base")</f>
        <v>Base</v>
      </c>
      <c r="AC1046" s="141" t="str">
        <f>IF(MasterFees[[#This Row],[Fixed Fee?]]="Yes",MasterFees[[#This Row],[Fee Excl. GST]],"")</f>
        <v/>
      </c>
    </row>
    <row r="1047" spans="1:29" x14ac:dyDescent="0.2">
      <c r="A1047" s="67" t="s">
        <v>2386</v>
      </c>
      <c r="B1047" s="31">
        <f>IF(MasterFees[[#This Row],[RVG Code]]="","",_xlfn.XLOOKUP(MasterFees[[#This Row],[RVG Code]],RVGCodes[Code],RVGCodes[Base Units],"Code not found"))</f>
        <v>4</v>
      </c>
      <c r="C104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4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47" s="125" t="s">
        <v>2568</v>
      </c>
      <c r="F1047" s="48" t="s">
        <v>2629</v>
      </c>
      <c r="G1047" s="30" t="s">
        <v>2387</v>
      </c>
      <c r="H1047" s="37" t="s">
        <v>2630</v>
      </c>
      <c r="I1047" s="37" t="s">
        <v>2386</v>
      </c>
      <c r="J1047" s="37" t="s">
        <v>1096</v>
      </c>
      <c r="K1047" s="32">
        <v>4</v>
      </c>
      <c r="L1047" s="32"/>
      <c r="M1047" s="32"/>
      <c r="N1047" s="32">
        <v>4</v>
      </c>
      <c r="O1047" s="33"/>
      <c r="P1047" s="38"/>
      <c r="Q1047" s="34" t="str">
        <f>IF(MasterFees[[#This Row],[GST Basis]]="Excl",MasterFees[[#This Row],[Fee as Printed]],IF(MasterFees[[#This Row],[GST Basis]]="Incl",MasterFees[[#This Row],[Fee as Printed]]/(1+GST_Rate),""))</f>
        <v/>
      </c>
      <c r="R1047" s="34" t="str">
        <f>IF(MasterFees[[#This Row],[GST Basis]]="Incl",MasterFees[[#This Row],[Fee as Printed]],IF(MasterFees[[#This Row],[GST Basis]]="Excl",MasterFees[[#This Row],[Fee as Printed]]*(1+GST_Rate),""))</f>
        <v/>
      </c>
      <c r="S1047" s="35">
        <f>IF(N(MasterFees[[#This Row],[Total Units]])=0,"",MasterFees[[#This Row],[Fee as Printed]]/MasterFees[[#This Row],[Total Units]])</f>
        <v>0</v>
      </c>
      <c r="T1047" s="36"/>
      <c r="U1047" s="39" t="s">
        <v>1016</v>
      </c>
      <c r="V1047" s="39" t="s">
        <v>2631</v>
      </c>
      <c r="W1047" s="30" t="s">
        <v>2632</v>
      </c>
      <c r="X1047" s="73" t="s">
        <v>3922</v>
      </c>
      <c r="Y1047" s="127" t="str">
        <f>_xlfn.XLOOKUP(MasterFees[[#This Row],[Provider / Payer]],Contracts[Contract Name],Contracts[Contract ID],"No contract")</f>
        <v>CON-10</v>
      </c>
      <c r="Z1047" s="127" t="str">
        <f>_xlfn.XLOOKUP(MasterFees[[#This Row],[Provider / Payer]],Contracts[Contract Name],Contracts[Pricing Basis],"To confirm")</f>
        <v>Reference – units only</v>
      </c>
      <c r="AA1047" s="127" t="str">
        <f>IF(MasterFees[[#This Row],[Pricing Basis]]="Fixed fee schedule","Yes","No")</f>
        <v>No</v>
      </c>
      <c r="AB1047" s="127" t="str">
        <f>IF(OR(MasterFees[[#This Row],[Fee Basis]]="Add-on",MasterFees[[#This Row],[Fee Basis]]="Time band",MasterFees[[#This Row],[Fee Basis]]="Other"),MasterFees[[#This Row],[Fee Basis]],"Base")</f>
        <v>Base</v>
      </c>
      <c r="AC1047" s="141" t="str">
        <f>IF(MasterFees[[#This Row],[Fixed Fee?]]="Yes",MasterFees[[#This Row],[Fee Excl. GST]],"")</f>
        <v/>
      </c>
    </row>
    <row r="1048" spans="1:29" x14ac:dyDescent="0.2">
      <c r="A1048" s="67" t="s">
        <v>2390</v>
      </c>
      <c r="B1048" s="31">
        <f>IF(MasterFees[[#This Row],[RVG Code]]="","",_xlfn.XLOOKUP(MasterFees[[#This Row],[RVG Code]],RVGCodes[Code],RVGCodes[Base Units],"Code not found"))</f>
        <v>6</v>
      </c>
      <c r="C104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4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48" s="125" t="s">
        <v>2576</v>
      </c>
      <c r="F1048" s="48" t="s">
        <v>2629</v>
      </c>
      <c r="G1048" s="30" t="s">
        <v>2391</v>
      </c>
      <c r="H1048" s="37" t="s">
        <v>2630</v>
      </c>
      <c r="I1048" s="37" t="s">
        <v>2390</v>
      </c>
      <c r="J1048" s="37" t="s">
        <v>1096</v>
      </c>
      <c r="K1048" s="32">
        <v>6</v>
      </c>
      <c r="L1048" s="32"/>
      <c r="M1048" s="32"/>
      <c r="N1048" s="32">
        <v>6</v>
      </c>
      <c r="O1048" s="33"/>
      <c r="P1048" s="38"/>
      <c r="Q1048" s="34" t="str">
        <f>IF(MasterFees[[#This Row],[GST Basis]]="Excl",MasterFees[[#This Row],[Fee as Printed]],IF(MasterFees[[#This Row],[GST Basis]]="Incl",MasterFees[[#This Row],[Fee as Printed]]/(1+GST_Rate),""))</f>
        <v/>
      </c>
      <c r="R1048" s="34" t="str">
        <f>IF(MasterFees[[#This Row],[GST Basis]]="Incl",MasterFees[[#This Row],[Fee as Printed]],IF(MasterFees[[#This Row],[GST Basis]]="Excl",MasterFees[[#This Row],[Fee as Printed]]*(1+GST_Rate),""))</f>
        <v/>
      </c>
      <c r="S1048" s="35">
        <f>IF(N(MasterFees[[#This Row],[Total Units]])=0,"",MasterFees[[#This Row],[Fee as Printed]]/MasterFees[[#This Row],[Total Units]])</f>
        <v>0</v>
      </c>
      <c r="T1048" s="36"/>
      <c r="U1048" s="39" t="s">
        <v>1016</v>
      </c>
      <c r="V1048" s="39" t="s">
        <v>2646</v>
      </c>
      <c r="W1048" s="30" t="s">
        <v>2632</v>
      </c>
      <c r="X1048" s="73" t="s">
        <v>3846</v>
      </c>
      <c r="Y1048" s="127" t="str">
        <f>_xlfn.XLOOKUP(MasterFees[[#This Row],[Provider / Payer]],Contracts[Contract Name],Contracts[Contract ID],"No contract")</f>
        <v>CON-10</v>
      </c>
      <c r="Z1048" s="127" t="str">
        <f>_xlfn.XLOOKUP(MasterFees[[#This Row],[Provider / Payer]],Contracts[Contract Name],Contracts[Pricing Basis],"To confirm")</f>
        <v>Reference – units only</v>
      </c>
      <c r="AA1048" s="127" t="str">
        <f>IF(MasterFees[[#This Row],[Pricing Basis]]="Fixed fee schedule","Yes","No")</f>
        <v>No</v>
      </c>
      <c r="AB1048" s="127" t="str">
        <f>IF(OR(MasterFees[[#This Row],[Fee Basis]]="Add-on",MasterFees[[#This Row],[Fee Basis]]="Time band",MasterFees[[#This Row],[Fee Basis]]="Other"),MasterFees[[#This Row],[Fee Basis]],"Base")</f>
        <v>Base</v>
      </c>
      <c r="AC1048" s="141" t="str">
        <f>IF(MasterFees[[#This Row],[Fixed Fee?]]="Yes",MasterFees[[#This Row],[Fee Excl. GST]],"")</f>
        <v/>
      </c>
    </row>
    <row r="1049" spans="1:29" x14ac:dyDescent="0.2">
      <c r="A1049" s="67" t="s">
        <v>2388</v>
      </c>
      <c r="B1049" s="31">
        <f>IF(MasterFees[[#This Row],[RVG Code]]="","",_xlfn.XLOOKUP(MasterFees[[#This Row],[RVG Code]],RVGCodes[Code],RVGCodes[Base Units],"Code not found"))</f>
        <v>5</v>
      </c>
      <c r="C104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4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49" s="125" t="s">
        <v>2606</v>
      </c>
      <c r="F1049" s="48" t="s">
        <v>2567</v>
      </c>
      <c r="G1049" s="30" t="s">
        <v>645</v>
      </c>
      <c r="H1049" s="37" t="s">
        <v>1095</v>
      </c>
      <c r="I1049" s="37"/>
      <c r="J1049" s="37" t="s">
        <v>1096</v>
      </c>
      <c r="K1049" s="32">
        <v>3.2</v>
      </c>
      <c r="L1049" s="32">
        <v>2</v>
      </c>
      <c r="M1049" s="32">
        <v>0.4</v>
      </c>
      <c r="N1049" s="32">
        <v>5.6</v>
      </c>
      <c r="O1049" s="33">
        <v>308</v>
      </c>
      <c r="P1049" s="38" t="s">
        <v>1014</v>
      </c>
      <c r="Q1049" s="34" t="str">
        <f>IF(MasterFees[[#This Row],[GST Basis]]="Excl",MasterFees[[#This Row],[Fee as Printed]],IF(MasterFees[[#This Row],[GST Basis]]="Incl",MasterFees[[#This Row],[Fee as Printed]]/(1+GST_Rate),""))</f>
        <v/>
      </c>
      <c r="R1049" s="34" t="str">
        <f>IF(MasterFees[[#This Row],[GST Basis]]="Incl",MasterFees[[#This Row],[Fee as Printed]],IF(MasterFees[[#This Row],[GST Basis]]="Excl",MasterFees[[#This Row],[Fee as Printed]]*(1+GST_Rate),""))</f>
        <v/>
      </c>
      <c r="S1049" s="35">
        <f>IF(N(MasterFees[[#This Row],[Total Units]])=0,"",MasterFees[[#This Row],[Fee as Printed]]/MasterFees[[#This Row],[Total Units]])</f>
        <v>55</v>
      </c>
      <c r="T1049" s="36"/>
      <c r="U1049" s="39" t="s">
        <v>1012</v>
      </c>
      <c r="V1049" s="39" t="s">
        <v>1742</v>
      </c>
      <c r="W1049" s="30"/>
      <c r="X1049" s="73" t="s">
        <v>3541</v>
      </c>
      <c r="Y1049" s="127" t="str">
        <f>_xlfn.XLOOKUP(MasterFees[[#This Row],[Provider / Payer]],Contracts[Contract Name],Contracts[Contract ID],"No contract")</f>
        <v>CON-01</v>
      </c>
      <c r="Z1049" s="127" t="str">
        <f>_xlfn.XLOOKUP(MasterFees[[#This Row],[Provider / Payer]],Contracts[Contract Name],Contracts[Pricing Basis],"To confirm")</f>
        <v>To confirm</v>
      </c>
      <c r="AA1049" s="127" t="str">
        <f>IF(MasterFees[[#This Row],[Pricing Basis]]="Fixed fee schedule","Yes","No")</f>
        <v>No</v>
      </c>
      <c r="AB1049" s="127" t="str">
        <f>IF(OR(MasterFees[[#This Row],[Fee Basis]]="Add-on",MasterFees[[#This Row],[Fee Basis]]="Time band",MasterFees[[#This Row],[Fee Basis]]="Other"),MasterFees[[#This Row],[Fee Basis]],"Base")</f>
        <v>Base</v>
      </c>
      <c r="AC1049" s="141" t="str">
        <f>IF(MasterFees[[#This Row],[Fixed Fee?]]="Yes",MasterFees[[#This Row],[Fee Excl. GST]],"")</f>
        <v/>
      </c>
    </row>
    <row r="1050" spans="1:29" x14ac:dyDescent="0.2">
      <c r="A1050" s="67" t="s">
        <v>2386</v>
      </c>
      <c r="B1050" s="31">
        <f>IF(MasterFees[[#This Row],[RVG Code]]="","",_xlfn.XLOOKUP(MasterFees[[#This Row],[RVG Code]],RVGCodes[Code],RVGCodes[Base Units],"Code not found"))</f>
        <v>4</v>
      </c>
      <c r="C105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5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50" s="125" t="s">
        <v>2568</v>
      </c>
      <c r="F1050" s="48" t="s">
        <v>2567</v>
      </c>
      <c r="G1050" s="30" t="s">
        <v>648</v>
      </c>
      <c r="H1050" s="37" t="s">
        <v>1095</v>
      </c>
      <c r="I1050" s="37"/>
      <c r="J1050" s="37" t="s">
        <v>1096</v>
      </c>
      <c r="K1050" s="32">
        <v>4</v>
      </c>
      <c r="L1050" s="32">
        <v>2</v>
      </c>
      <c r="M1050" s="32">
        <v>0</v>
      </c>
      <c r="N1050" s="32">
        <v>6</v>
      </c>
      <c r="O1050" s="33">
        <v>330</v>
      </c>
      <c r="P1050" s="38" t="s">
        <v>1014</v>
      </c>
      <c r="Q1050" s="34" t="str">
        <f>IF(MasterFees[[#This Row],[GST Basis]]="Excl",MasterFees[[#This Row],[Fee as Printed]],IF(MasterFees[[#This Row],[GST Basis]]="Incl",MasterFees[[#This Row],[Fee as Printed]]/(1+GST_Rate),""))</f>
        <v/>
      </c>
      <c r="R1050" s="34" t="str">
        <f>IF(MasterFees[[#This Row],[GST Basis]]="Incl",MasterFees[[#This Row],[Fee as Printed]],IF(MasterFees[[#This Row],[GST Basis]]="Excl",MasterFees[[#This Row],[Fee as Printed]]*(1+GST_Rate),""))</f>
        <v/>
      </c>
      <c r="S1050" s="35">
        <f>IF(N(MasterFees[[#This Row],[Total Units]])=0,"",MasterFees[[#This Row],[Fee as Printed]]/MasterFees[[#This Row],[Total Units]])</f>
        <v>55</v>
      </c>
      <c r="T1050" s="36"/>
      <c r="U1050" s="39" t="s">
        <v>1012</v>
      </c>
      <c r="V1050" s="39" t="s">
        <v>1745</v>
      </c>
      <c r="W1050" s="30"/>
      <c r="X1050" s="73" t="s">
        <v>3545</v>
      </c>
      <c r="Y1050" s="127" t="str">
        <f>_xlfn.XLOOKUP(MasterFees[[#This Row],[Provider / Payer]],Contracts[Contract Name],Contracts[Contract ID],"No contract")</f>
        <v>CON-01</v>
      </c>
      <c r="Z1050" s="127" t="str">
        <f>_xlfn.XLOOKUP(MasterFees[[#This Row],[Provider / Payer]],Contracts[Contract Name],Contracts[Pricing Basis],"To confirm")</f>
        <v>To confirm</v>
      </c>
      <c r="AA1050" s="127" t="str">
        <f>IF(MasterFees[[#This Row],[Pricing Basis]]="Fixed fee schedule","Yes","No")</f>
        <v>No</v>
      </c>
      <c r="AB1050" s="127" t="str">
        <f>IF(OR(MasterFees[[#This Row],[Fee Basis]]="Add-on",MasterFees[[#This Row],[Fee Basis]]="Time band",MasterFees[[#This Row],[Fee Basis]]="Other"),MasterFees[[#This Row],[Fee Basis]],"Base")</f>
        <v>Base</v>
      </c>
      <c r="AC1050" s="141" t="str">
        <f>IF(MasterFees[[#This Row],[Fixed Fee?]]="Yes",MasterFees[[#This Row],[Fee Excl. GST]],"")</f>
        <v/>
      </c>
    </row>
    <row r="1051" spans="1:29" x14ac:dyDescent="0.2">
      <c r="A1051" s="67" t="s">
        <v>2388</v>
      </c>
      <c r="B1051" s="31">
        <f>IF(MasterFees[[#This Row],[RVG Code]]="","",_xlfn.XLOOKUP(MasterFees[[#This Row],[RVG Code]],RVGCodes[Code],RVGCodes[Base Units],"Code not found"))</f>
        <v>5</v>
      </c>
      <c r="C105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5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51" s="125" t="s">
        <v>2606</v>
      </c>
      <c r="F1051" s="48" t="s">
        <v>2567</v>
      </c>
      <c r="G1051" s="30" t="s">
        <v>660</v>
      </c>
      <c r="H1051" s="37" t="s">
        <v>1095</v>
      </c>
      <c r="I1051" s="37"/>
      <c r="J1051" s="37" t="s">
        <v>1096</v>
      </c>
      <c r="K1051" s="32">
        <v>0</v>
      </c>
      <c r="L1051" s="32">
        <v>2</v>
      </c>
      <c r="M1051" s="32">
        <v>0</v>
      </c>
      <c r="N1051" s="32">
        <v>2</v>
      </c>
      <c r="O1051" s="33">
        <v>110</v>
      </c>
      <c r="P1051" s="38" t="s">
        <v>1014</v>
      </c>
      <c r="Q1051" s="34" t="str">
        <f>IF(MasterFees[[#This Row],[GST Basis]]="Excl",MasterFees[[#This Row],[Fee as Printed]],IF(MasterFees[[#This Row],[GST Basis]]="Incl",MasterFees[[#This Row],[Fee as Printed]]/(1+GST_Rate),""))</f>
        <v/>
      </c>
      <c r="R1051" s="34" t="str">
        <f>IF(MasterFees[[#This Row],[GST Basis]]="Incl",MasterFees[[#This Row],[Fee as Printed]],IF(MasterFees[[#This Row],[GST Basis]]="Excl",MasterFees[[#This Row],[Fee as Printed]]*(1+GST_Rate),""))</f>
        <v/>
      </c>
      <c r="S1051" s="35">
        <f>IF(N(MasterFees[[#This Row],[Total Units]])=0,"",MasterFees[[#This Row],[Fee as Printed]]/MasterFees[[#This Row],[Total Units]])</f>
        <v>55</v>
      </c>
      <c r="T1051" s="36"/>
      <c r="U1051" s="39" t="s">
        <v>1012</v>
      </c>
      <c r="V1051" s="39" t="s">
        <v>1757</v>
      </c>
      <c r="W1051" s="30"/>
      <c r="X1051" s="73" t="s">
        <v>3558</v>
      </c>
      <c r="Y1051" s="127" t="str">
        <f>_xlfn.XLOOKUP(MasterFees[[#This Row],[Provider / Payer]],Contracts[Contract Name],Contracts[Contract ID],"No contract")</f>
        <v>CON-01</v>
      </c>
      <c r="Z1051" s="127" t="str">
        <f>_xlfn.XLOOKUP(MasterFees[[#This Row],[Provider / Payer]],Contracts[Contract Name],Contracts[Pricing Basis],"To confirm")</f>
        <v>To confirm</v>
      </c>
      <c r="AA1051" s="127" t="str">
        <f>IF(MasterFees[[#This Row],[Pricing Basis]]="Fixed fee schedule","Yes","No")</f>
        <v>No</v>
      </c>
      <c r="AB1051" s="127" t="str">
        <f>IF(OR(MasterFees[[#This Row],[Fee Basis]]="Add-on",MasterFees[[#This Row],[Fee Basis]]="Time band",MasterFees[[#This Row],[Fee Basis]]="Other"),MasterFees[[#This Row],[Fee Basis]],"Base")</f>
        <v>Base</v>
      </c>
      <c r="AC1051" s="141" t="str">
        <f>IF(MasterFees[[#This Row],[Fixed Fee?]]="Yes",MasterFees[[#This Row],[Fee Excl. GST]],"")</f>
        <v/>
      </c>
    </row>
    <row r="1052" spans="1:29" x14ac:dyDescent="0.2">
      <c r="A1052" s="67" t="s">
        <v>2390</v>
      </c>
      <c r="B1052" s="31">
        <f>IF(MasterFees[[#This Row],[RVG Code]]="","",_xlfn.XLOOKUP(MasterFees[[#This Row],[RVG Code]],RVGCodes[Code],RVGCodes[Base Units],"Code not found"))</f>
        <v>6</v>
      </c>
      <c r="C105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5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52" s="125" t="s">
        <v>2576</v>
      </c>
      <c r="F1052" s="48" t="s">
        <v>2569</v>
      </c>
      <c r="G1052" s="30" t="s">
        <v>692</v>
      </c>
      <c r="H1052" s="37" t="s">
        <v>1095</v>
      </c>
      <c r="I1052" s="37"/>
      <c r="J1052" s="37" t="s">
        <v>1096</v>
      </c>
      <c r="K1052" s="32">
        <v>6</v>
      </c>
      <c r="L1052" s="32">
        <v>5.5</v>
      </c>
      <c r="M1052" s="32">
        <v>0</v>
      </c>
      <c r="N1052" s="32">
        <v>11.5</v>
      </c>
      <c r="O1052" s="33">
        <v>632.5</v>
      </c>
      <c r="P1052" s="38" t="s">
        <v>1014</v>
      </c>
      <c r="Q1052" s="34" t="str">
        <f>IF(MasterFees[[#This Row],[GST Basis]]="Excl",MasterFees[[#This Row],[Fee as Printed]],IF(MasterFees[[#This Row],[GST Basis]]="Incl",MasterFees[[#This Row],[Fee as Printed]]/(1+GST_Rate),""))</f>
        <v/>
      </c>
      <c r="R1052" s="34" t="str">
        <f>IF(MasterFees[[#This Row],[GST Basis]]="Incl",MasterFees[[#This Row],[Fee as Printed]],IF(MasterFees[[#This Row],[GST Basis]]="Excl",MasterFees[[#This Row],[Fee as Printed]]*(1+GST_Rate),""))</f>
        <v/>
      </c>
      <c r="S1052" s="35">
        <f>IF(N(MasterFees[[#This Row],[Total Units]])=0,"",MasterFees[[#This Row],[Fee as Printed]]/MasterFees[[#This Row],[Total Units]])</f>
        <v>55</v>
      </c>
      <c r="T1052" s="36"/>
      <c r="U1052" s="39" t="s">
        <v>1012</v>
      </c>
      <c r="V1052" s="39" t="s">
        <v>1789</v>
      </c>
      <c r="W1052" s="30"/>
      <c r="X1052" s="73" t="s">
        <v>3591</v>
      </c>
      <c r="Y1052" s="127" t="str">
        <f>_xlfn.XLOOKUP(MasterFees[[#This Row],[Provider / Payer]],Contracts[Contract Name],Contracts[Contract ID],"No contract")</f>
        <v>CON-01</v>
      </c>
      <c r="Z1052" s="127" t="str">
        <f>_xlfn.XLOOKUP(MasterFees[[#This Row],[Provider / Payer]],Contracts[Contract Name],Contracts[Pricing Basis],"To confirm")</f>
        <v>To confirm</v>
      </c>
      <c r="AA1052" s="127" t="str">
        <f>IF(MasterFees[[#This Row],[Pricing Basis]]="Fixed fee schedule","Yes","No")</f>
        <v>No</v>
      </c>
      <c r="AB1052" s="127" t="str">
        <f>IF(OR(MasterFees[[#This Row],[Fee Basis]]="Add-on",MasterFees[[#This Row],[Fee Basis]]="Time band",MasterFees[[#This Row],[Fee Basis]]="Other"),MasterFees[[#This Row],[Fee Basis]],"Base")</f>
        <v>Base</v>
      </c>
      <c r="AC1052" s="141" t="str">
        <f>IF(MasterFees[[#This Row],[Fixed Fee?]]="Yes",MasterFees[[#This Row],[Fee Excl. GST]],"")</f>
        <v/>
      </c>
    </row>
    <row r="1053" spans="1:29" x14ac:dyDescent="0.2">
      <c r="A1053" s="67" t="s">
        <v>2392</v>
      </c>
      <c r="B1053" s="31">
        <f>IF(MasterFees[[#This Row],[RVG Code]]="","",_xlfn.XLOOKUP(MasterFees[[#This Row],[RVG Code]],RVGCodes[Code],RVGCodes[Base Units],"Code not found"))</f>
        <v>8</v>
      </c>
      <c r="C105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5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53" s="125" t="s">
        <v>2581</v>
      </c>
      <c r="F1053" s="48" t="s">
        <v>2567</v>
      </c>
      <c r="G1053" s="30" t="s">
        <v>702</v>
      </c>
      <c r="H1053" s="37" t="s">
        <v>1095</v>
      </c>
      <c r="I1053" s="37"/>
      <c r="J1053" s="37" t="s">
        <v>1096</v>
      </c>
      <c r="K1053" s="32">
        <v>12</v>
      </c>
      <c r="L1053" s="32">
        <v>49</v>
      </c>
      <c r="M1053" s="32">
        <v>0</v>
      </c>
      <c r="N1053" s="32">
        <v>61</v>
      </c>
      <c r="O1053" s="33">
        <v>3355</v>
      </c>
      <c r="P1053" s="38" t="s">
        <v>1014</v>
      </c>
      <c r="Q1053" s="34" t="str">
        <f>IF(MasterFees[[#This Row],[GST Basis]]="Excl",MasterFees[[#This Row],[Fee as Printed]],IF(MasterFees[[#This Row],[GST Basis]]="Incl",MasterFees[[#This Row],[Fee as Printed]]/(1+GST_Rate),""))</f>
        <v/>
      </c>
      <c r="R1053" s="34" t="str">
        <f>IF(MasterFees[[#This Row],[GST Basis]]="Incl",MasterFees[[#This Row],[Fee as Printed]],IF(MasterFees[[#This Row],[GST Basis]]="Excl",MasterFees[[#This Row],[Fee as Printed]]*(1+GST_Rate),""))</f>
        <v/>
      </c>
      <c r="S1053" s="35">
        <f>IF(N(MasterFees[[#This Row],[Total Units]])=0,"",MasterFees[[#This Row],[Fee as Printed]]/MasterFees[[#This Row],[Total Units]])</f>
        <v>55</v>
      </c>
      <c r="T1053" s="36"/>
      <c r="U1053" s="39" t="s">
        <v>1012</v>
      </c>
      <c r="V1053" s="39" t="s">
        <v>1799</v>
      </c>
      <c r="W1053" s="30"/>
      <c r="X1053" s="73" t="s">
        <v>3602</v>
      </c>
      <c r="Y1053" s="127" t="str">
        <f>_xlfn.XLOOKUP(MasterFees[[#This Row],[Provider / Payer]],Contracts[Contract Name],Contracts[Contract ID],"No contract")</f>
        <v>CON-01</v>
      </c>
      <c r="Z1053" s="127" t="str">
        <f>_xlfn.XLOOKUP(MasterFees[[#This Row],[Provider / Payer]],Contracts[Contract Name],Contracts[Pricing Basis],"To confirm")</f>
        <v>To confirm</v>
      </c>
      <c r="AA1053" s="127" t="str">
        <f>IF(MasterFees[[#This Row],[Pricing Basis]]="Fixed fee schedule","Yes","No")</f>
        <v>No</v>
      </c>
      <c r="AB1053" s="127" t="str">
        <f>IF(OR(MasterFees[[#This Row],[Fee Basis]]="Add-on",MasterFees[[#This Row],[Fee Basis]]="Time band",MasterFees[[#This Row],[Fee Basis]]="Other"),MasterFees[[#This Row],[Fee Basis]],"Base")</f>
        <v>Base</v>
      </c>
      <c r="AC1053" s="141" t="str">
        <f>IF(MasterFees[[#This Row],[Fixed Fee?]]="Yes",MasterFees[[#This Row],[Fee Excl. GST]],"")</f>
        <v/>
      </c>
    </row>
    <row r="1054" spans="1:29" x14ac:dyDescent="0.2">
      <c r="A1054" s="67" t="s">
        <v>2386</v>
      </c>
      <c r="B1054" s="31">
        <f>IF(MasterFees[[#This Row],[RVG Code]]="","",_xlfn.XLOOKUP(MasterFees[[#This Row],[RVG Code]],RVGCodes[Code],RVGCodes[Base Units],"Code not found"))</f>
        <v>4</v>
      </c>
      <c r="C105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5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54" s="125" t="s">
        <v>2568</v>
      </c>
      <c r="F1054" s="48" t="s">
        <v>2567</v>
      </c>
      <c r="G1054" s="30" t="s">
        <v>714</v>
      </c>
      <c r="H1054" s="37" t="s">
        <v>1095</v>
      </c>
      <c r="I1054" s="37"/>
      <c r="J1054" s="37" t="s">
        <v>1096</v>
      </c>
      <c r="K1054" s="32">
        <v>0</v>
      </c>
      <c r="L1054" s="32">
        <v>3</v>
      </c>
      <c r="M1054" s="32">
        <v>0</v>
      </c>
      <c r="N1054" s="32">
        <v>3</v>
      </c>
      <c r="O1054" s="33">
        <v>165</v>
      </c>
      <c r="P1054" s="38" t="s">
        <v>1014</v>
      </c>
      <c r="Q1054" s="34" t="str">
        <f>IF(MasterFees[[#This Row],[GST Basis]]="Excl",MasterFees[[#This Row],[Fee as Printed]],IF(MasterFees[[#This Row],[GST Basis]]="Incl",MasterFees[[#This Row],[Fee as Printed]]/(1+GST_Rate),""))</f>
        <v/>
      </c>
      <c r="R1054" s="34" t="str">
        <f>IF(MasterFees[[#This Row],[GST Basis]]="Incl",MasterFees[[#This Row],[Fee as Printed]],IF(MasterFees[[#This Row],[GST Basis]]="Excl",MasterFees[[#This Row],[Fee as Printed]]*(1+GST_Rate),""))</f>
        <v/>
      </c>
      <c r="S1054" s="35">
        <f>IF(N(MasterFees[[#This Row],[Total Units]])=0,"",MasterFees[[#This Row],[Fee as Printed]]/MasterFees[[#This Row],[Total Units]])</f>
        <v>55</v>
      </c>
      <c r="T1054" s="36"/>
      <c r="U1054" s="39" t="s">
        <v>1012</v>
      </c>
      <c r="V1054" s="39" t="s">
        <v>1811</v>
      </c>
      <c r="W1054" s="30"/>
      <c r="X1054" s="73" t="s">
        <v>3614</v>
      </c>
      <c r="Y1054" s="127" t="str">
        <f>_xlfn.XLOOKUP(MasterFees[[#This Row],[Provider / Payer]],Contracts[Contract Name],Contracts[Contract ID],"No contract")</f>
        <v>CON-01</v>
      </c>
      <c r="Z1054" s="127" t="str">
        <f>_xlfn.XLOOKUP(MasterFees[[#This Row],[Provider / Payer]],Contracts[Contract Name],Contracts[Pricing Basis],"To confirm")</f>
        <v>To confirm</v>
      </c>
      <c r="AA1054" s="127" t="str">
        <f>IF(MasterFees[[#This Row],[Pricing Basis]]="Fixed fee schedule","Yes","No")</f>
        <v>No</v>
      </c>
      <c r="AB1054" s="127" t="str">
        <f>IF(OR(MasterFees[[#This Row],[Fee Basis]]="Add-on",MasterFees[[#This Row],[Fee Basis]]="Time band",MasterFees[[#This Row],[Fee Basis]]="Other"),MasterFees[[#This Row],[Fee Basis]],"Base")</f>
        <v>Base</v>
      </c>
      <c r="AC1054" s="141" t="str">
        <f>IF(MasterFees[[#This Row],[Fixed Fee?]]="Yes",MasterFees[[#This Row],[Fee Excl. GST]],"")</f>
        <v/>
      </c>
    </row>
    <row r="1055" spans="1:29" x14ac:dyDescent="0.2">
      <c r="A1055" s="67" t="s">
        <v>2390</v>
      </c>
      <c r="B1055" s="31">
        <f>IF(MasterFees[[#This Row],[RVG Code]]="","",_xlfn.XLOOKUP(MasterFees[[#This Row],[RVG Code]],RVGCodes[Code],RVGCodes[Base Units],"Code not found"))</f>
        <v>6</v>
      </c>
      <c r="C105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5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55" s="125" t="s">
        <v>2576</v>
      </c>
      <c r="F1055" s="48" t="s">
        <v>2569</v>
      </c>
      <c r="G1055" s="30" t="s">
        <v>734</v>
      </c>
      <c r="H1055" s="37" t="s">
        <v>1095</v>
      </c>
      <c r="I1055" s="37"/>
      <c r="J1055" s="37" t="s">
        <v>1096</v>
      </c>
      <c r="K1055" s="32">
        <v>7</v>
      </c>
      <c r="L1055" s="32">
        <v>4</v>
      </c>
      <c r="M1055" s="32">
        <v>0</v>
      </c>
      <c r="N1055" s="32">
        <v>11</v>
      </c>
      <c r="O1055" s="33">
        <v>605</v>
      </c>
      <c r="P1055" s="38" t="s">
        <v>1014</v>
      </c>
      <c r="Q1055" s="34" t="str">
        <f>IF(MasterFees[[#This Row],[GST Basis]]="Excl",MasterFees[[#This Row],[Fee as Printed]],IF(MasterFees[[#This Row],[GST Basis]]="Incl",MasterFees[[#This Row],[Fee as Printed]]/(1+GST_Rate),""))</f>
        <v/>
      </c>
      <c r="R1055" s="34" t="str">
        <f>IF(MasterFees[[#This Row],[GST Basis]]="Incl",MasterFees[[#This Row],[Fee as Printed]],IF(MasterFees[[#This Row],[GST Basis]]="Excl",MasterFees[[#This Row],[Fee as Printed]]*(1+GST_Rate),""))</f>
        <v/>
      </c>
      <c r="S1055" s="35">
        <f>IF(N(MasterFees[[#This Row],[Total Units]])=0,"",MasterFees[[#This Row],[Fee as Printed]]/MasterFees[[#This Row],[Total Units]])</f>
        <v>55</v>
      </c>
      <c r="T1055" s="36"/>
      <c r="U1055" s="39" t="s">
        <v>1012</v>
      </c>
      <c r="V1055" s="39" t="s">
        <v>1831</v>
      </c>
      <c r="W1055" s="30"/>
      <c r="X1055" s="73" t="s">
        <v>3634</v>
      </c>
      <c r="Y1055" s="127" t="str">
        <f>_xlfn.XLOOKUP(MasterFees[[#This Row],[Provider / Payer]],Contracts[Contract Name],Contracts[Contract ID],"No contract")</f>
        <v>CON-01</v>
      </c>
      <c r="Z1055" s="127" t="str">
        <f>_xlfn.XLOOKUP(MasterFees[[#This Row],[Provider / Payer]],Contracts[Contract Name],Contracts[Pricing Basis],"To confirm")</f>
        <v>To confirm</v>
      </c>
      <c r="AA1055" s="127" t="str">
        <f>IF(MasterFees[[#This Row],[Pricing Basis]]="Fixed fee schedule","Yes","No")</f>
        <v>No</v>
      </c>
      <c r="AB1055" s="127" t="str">
        <f>IF(OR(MasterFees[[#This Row],[Fee Basis]]="Add-on",MasterFees[[#This Row],[Fee Basis]]="Time band",MasterFees[[#This Row],[Fee Basis]]="Other"),MasterFees[[#This Row],[Fee Basis]],"Base")</f>
        <v>Base</v>
      </c>
      <c r="AC1055" s="141" t="str">
        <f>IF(MasterFees[[#This Row],[Fixed Fee?]]="Yes",MasterFees[[#This Row],[Fee Excl. GST]],"")</f>
        <v/>
      </c>
    </row>
    <row r="1056" spans="1:29" x14ac:dyDescent="0.2">
      <c r="A1056" s="67" t="s">
        <v>2390</v>
      </c>
      <c r="B1056" s="31">
        <f>IF(MasterFees[[#This Row],[RVG Code]]="","",_xlfn.XLOOKUP(MasterFees[[#This Row],[RVG Code]],RVGCodes[Code],RVGCodes[Base Units],"Code not found"))</f>
        <v>6</v>
      </c>
      <c r="C105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5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56" s="125" t="s">
        <v>2576</v>
      </c>
      <c r="F1056" s="48" t="s">
        <v>2569</v>
      </c>
      <c r="G1056" s="30" t="s">
        <v>737</v>
      </c>
      <c r="H1056" s="37" t="s">
        <v>1095</v>
      </c>
      <c r="I1056" s="37"/>
      <c r="J1056" s="37" t="s">
        <v>1096</v>
      </c>
      <c r="K1056" s="32">
        <v>6</v>
      </c>
      <c r="L1056" s="32">
        <v>7</v>
      </c>
      <c r="M1056" s="32">
        <v>0</v>
      </c>
      <c r="N1056" s="32">
        <v>13</v>
      </c>
      <c r="O1056" s="33">
        <v>715</v>
      </c>
      <c r="P1056" s="38" t="s">
        <v>1014</v>
      </c>
      <c r="Q1056" s="34" t="str">
        <f>IF(MasterFees[[#This Row],[GST Basis]]="Excl",MasterFees[[#This Row],[Fee as Printed]],IF(MasterFees[[#This Row],[GST Basis]]="Incl",MasterFees[[#This Row],[Fee as Printed]]/(1+GST_Rate),""))</f>
        <v/>
      </c>
      <c r="R1056" s="34" t="str">
        <f>IF(MasterFees[[#This Row],[GST Basis]]="Incl",MasterFees[[#This Row],[Fee as Printed]],IF(MasterFees[[#This Row],[GST Basis]]="Excl",MasterFees[[#This Row],[Fee as Printed]]*(1+GST_Rate),""))</f>
        <v/>
      </c>
      <c r="S1056" s="35">
        <f>IF(N(MasterFees[[#This Row],[Total Units]])=0,"",MasterFees[[#This Row],[Fee as Printed]]/MasterFees[[#This Row],[Total Units]])</f>
        <v>55</v>
      </c>
      <c r="T1056" s="36"/>
      <c r="U1056" s="39" t="s">
        <v>1012</v>
      </c>
      <c r="V1056" s="39" t="s">
        <v>1834</v>
      </c>
      <c r="W1056" s="30"/>
      <c r="X1056" s="73" t="s">
        <v>3637</v>
      </c>
      <c r="Y1056" s="127" t="str">
        <f>_xlfn.XLOOKUP(MasterFees[[#This Row],[Provider / Payer]],Contracts[Contract Name],Contracts[Contract ID],"No contract")</f>
        <v>CON-01</v>
      </c>
      <c r="Z1056" s="127" t="str">
        <f>_xlfn.XLOOKUP(MasterFees[[#This Row],[Provider / Payer]],Contracts[Contract Name],Contracts[Pricing Basis],"To confirm")</f>
        <v>To confirm</v>
      </c>
      <c r="AA1056" s="127" t="str">
        <f>IF(MasterFees[[#This Row],[Pricing Basis]]="Fixed fee schedule","Yes","No")</f>
        <v>No</v>
      </c>
      <c r="AB1056" s="127" t="str">
        <f>IF(OR(MasterFees[[#This Row],[Fee Basis]]="Add-on",MasterFees[[#This Row],[Fee Basis]]="Time band",MasterFees[[#This Row],[Fee Basis]]="Other"),MasterFees[[#This Row],[Fee Basis]],"Base")</f>
        <v>Base</v>
      </c>
      <c r="AC1056" s="141" t="str">
        <f>IF(MasterFees[[#This Row],[Fixed Fee?]]="Yes",MasterFees[[#This Row],[Fee Excl. GST]],"")</f>
        <v/>
      </c>
    </row>
    <row r="1057" spans="1:29" x14ac:dyDescent="0.2">
      <c r="A1057" s="67" t="s">
        <v>2390</v>
      </c>
      <c r="B1057" s="31">
        <f>IF(MasterFees[[#This Row],[RVG Code]]="","",_xlfn.XLOOKUP(MasterFees[[#This Row],[RVG Code]],RVGCodes[Code],RVGCodes[Base Units],"Code not found"))</f>
        <v>6</v>
      </c>
      <c r="C105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5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57" s="125" t="s">
        <v>2576</v>
      </c>
      <c r="F1057" s="48" t="s">
        <v>2569</v>
      </c>
      <c r="G1057" s="30" t="s">
        <v>750</v>
      </c>
      <c r="H1057" s="37" t="s">
        <v>1095</v>
      </c>
      <c r="I1057" s="37"/>
      <c r="J1057" s="37" t="s">
        <v>1096</v>
      </c>
      <c r="K1057" s="32">
        <v>6</v>
      </c>
      <c r="L1057" s="32">
        <v>8.3000000000000007</v>
      </c>
      <c r="M1057" s="32">
        <v>0.4</v>
      </c>
      <c r="N1057" s="32">
        <v>14.8</v>
      </c>
      <c r="O1057" s="33">
        <v>812.35</v>
      </c>
      <c r="P1057" s="38" t="s">
        <v>1014</v>
      </c>
      <c r="Q1057" s="34" t="str">
        <f>IF(MasterFees[[#This Row],[GST Basis]]="Excl",MasterFees[[#This Row],[Fee as Printed]],IF(MasterFees[[#This Row],[GST Basis]]="Incl",MasterFees[[#This Row],[Fee as Printed]]/(1+GST_Rate),""))</f>
        <v/>
      </c>
      <c r="R1057" s="34" t="str">
        <f>IF(MasterFees[[#This Row],[GST Basis]]="Incl",MasterFees[[#This Row],[Fee as Printed]],IF(MasterFees[[#This Row],[GST Basis]]="Excl",MasterFees[[#This Row],[Fee as Printed]]*(1+GST_Rate),""))</f>
        <v/>
      </c>
      <c r="S1057" s="35">
        <f>IF(N(MasterFees[[#This Row],[Total Units]])=0,"",MasterFees[[#This Row],[Fee as Printed]]/MasterFees[[#This Row],[Total Units]])</f>
        <v>54.888513513513516</v>
      </c>
      <c r="T1057" s="36"/>
      <c r="U1057" s="39" t="s">
        <v>1012</v>
      </c>
      <c r="V1057" s="39" t="s">
        <v>1847</v>
      </c>
      <c r="W1057" s="30"/>
      <c r="X1057" s="73" t="s">
        <v>3652</v>
      </c>
      <c r="Y1057" s="127" t="str">
        <f>_xlfn.XLOOKUP(MasterFees[[#This Row],[Provider / Payer]],Contracts[Contract Name],Contracts[Contract ID],"No contract")</f>
        <v>CON-01</v>
      </c>
      <c r="Z1057" s="127" t="str">
        <f>_xlfn.XLOOKUP(MasterFees[[#This Row],[Provider / Payer]],Contracts[Contract Name],Contracts[Pricing Basis],"To confirm")</f>
        <v>To confirm</v>
      </c>
      <c r="AA1057" s="127" t="str">
        <f>IF(MasterFees[[#This Row],[Pricing Basis]]="Fixed fee schedule","Yes","No")</f>
        <v>No</v>
      </c>
      <c r="AB1057" s="127" t="str">
        <f>IF(OR(MasterFees[[#This Row],[Fee Basis]]="Add-on",MasterFees[[#This Row],[Fee Basis]]="Time band",MasterFees[[#This Row],[Fee Basis]]="Other"),MasterFees[[#This Row],[Fee Basis]],"Base")</f>
        <v>Base</v>
      </c>
      <c r="AC1057" s="141" t="str">
        <f>IF(MasterFees[[#This Row],[Fixed Fee?]]="Yes",MasterFees[[#This Row],[Fee Excl. GST]],"")</f>
        <v/>
      </c>
    </row>
    <row r="1058" spans="1:29" x14ac:dyDescent="0.2">
      <c r="A1058" s="67" t="s">
        <v>2394</v>
      </c>
      <c r="B1058" s="31">
        <f>IF(MasterFees[[#This Row],[RVG Code]]="","",_xlfn.XLOOKUP(MasterFees[[#This Row],[RVG Code]],RVGCodes[Code],RVGCodes[Base Units],"Code not found"))</f>
        <v>10</v>
      </c>
      <c r="C105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5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58" s="125" t="s">
        <v>2594</v>
      </c>
      <c r="F1058" s="48" t="s">
        <v>2567</v>
      </c>
      <c r="G1058" s="30" t="s">
        <v>755</v>
      </c>
      <c r="H1058" s="37" t="s">
        <v>1095</v>
      </c>
      <c r="I1058" s="37"/>
      <c r="J1058" s="37" t="s">
        <v>1096</v>
      </c>
      <c r="K1058" s="32">
        <v>12</v>
      </c>
      <c r="L1058" s="32">
        <v>14</v>
      </c>
      <c r="M1058" s="32">
        <v>1</v>
      </c>
      <c r="N1058" s="32">
        <v>27</v>
      </c>
      <c r="O1058" s="33">
        <v>1485</v>
      </c>
      <c r="P1058" s="38" t="s">
        <v>1014</v>
      </c>
      <c r="Q1058" s="34" t="str">
        <f>IF(MasterFees[[#This Row],[GST Basis]]="Excl",MasterFees[[#This Row],[Fee as Printed]],IF(MasterFees[[#This Row],[GST Basis]]="Incl",MasterFees[[#This Row],[Fee as Printed]]/(1+GST_Rate),""))</f>
        <v/>
      </c>
      <c r="R1058" s="34" t="str">
        <f>IF(MasterFees[[#This Row],[GST Basis]]="Incl",MasterFees[[#This Row],[Fee as Printed]],IF(MasterFees[[#This Row],[GST Basis]]="Excl",MasterFees[[#This Row],[Fee as Printed]]*(1+GST_Rate),""))</f>
        <v/>
      </c>
      <c r="S1058" s="35">
        <f>IF(N(MasterFees[[#This Row],[Total Units]])=0,"",MasterFees[[#This Row],[Fee as Printed]]/MasterFees[[#This Row],[Total Units]])</f>
        <v>55</v>
      </c>
      <c r="T1058" s="36"/>
      <c r="U1058" s="39" t="s">
        <v>1012</v>
      </c>
      <c r="V1058" s="39" t="s">
        <v>1852</v>
      </c>
      <c r="W1058" s="30"/>
      <c r="X1058" s="73" t="s">
        <v>3657</v>
      </c>
      <c r="Y1058" s="127" t="str">
        <f>_xlfn.XLOOKUP(MasterFees[[#This Row],[Provider / Payer]],Contracts[Contract Name],Contracts[Contract ID],"No contract")</f>
        <v>CON-01</v>
      </c>
      <c r="Z1058" s="127" t="str">
        <f>_xlfn.XLOOKUP(MasterFees[[#This Row],[Provider / Payer]],Contracts[Contract Name],Contracts[Pricing Basis],"To confirm")</f>
        <v>To confirm</v>
      </c>
      <c r="AA1058" s="127" t="str">
        <f>IF(MasterFees[[#This Row],[Pricing Basis]]="Fixed fee schedule","Yes","No")</f>
        <v>No</v>
      </c>
      <c r="AB1058" s="127" t="str">
        <f>IF(OR(MasterFees[[#This Row],[Fee Basis]]="Add-on",MasterFees[[#This Row],[Fee Basis]]="Time band",MasterFees[[#This Row],[Fee Basis]]="Other"),MasterFees[[#This Row],[Fee Basis]],"Base")</f>
        <v>Base</v>
      </c>
      <c r="AC1058" s="141" t="str">
        <f>IF(MasterFees[[#This Row],[Fixed Fee?]]="Yes",MasterFees[[#This Row],[Fee Excl. GST]],"")</f>
        <v/>
      </c>
    </row>
    <row r="1059" spans="1:29" x14ac:dyDescent="0.2">
      <c r="A1059" s="67" t="s">
        <v>2390</v>
      </c>
      <c r="B1059" s="31">
        <f>IF(MasterFees[[#This Row],[RVG Code]]="","",_xlfn.XLOOKUP(MasterFees[[#This Row],[RVG Code]],RVGCodes[Code],RVGCodes[Base Units],"Code not found"))</f>
        <v>6</v>
      </c>
      <c r="C105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5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59" s="125" t="s">
        <v>2576</v>
      </c>
      <c r="F1059" s="48" t="s">
        <v>2567</v>
      </c>
      <c r="G1059" s="30" t="s">
        <v>756</v>
      </c>
      <c r="H1059" s="37" t="s">
        <v>1095</v>
      </c>
      <c r="I1059" s="37"/>
      <c r="J1059" s="37" t="s">
        <v>1096</v>
      </c>
      <c r="K1059" s="32">
        <v>6</v>
      </c>
      <c r="L1059" s="32">
        <v>13.3</v>
      </c>
      <c r="M1059" s="32">
        <v>0.3</v>
      </c>
      <c r="N1059" s="32">
        <v>19.5</v>
      </c>
      <c r="O1059" s="33">
        <v>1072.5</v>
      </c>
      <c r="P1059" s="38" t="s">
        <v>1014</v>
      </c>
      <c r="Q1059" s="34" t="str">
        <f>IF(MasterFees[[#This Row],[GST Basis]]="Excl",MasterFees[[#This Row],[Fee as Printed]],IF(MasterFees[[#This Row],[GST Basis]]="Incl",MasterFees[[#This Row],[Fee as Printed]]/(1+GST_Rate),""))</f>
        <v/>
      </c>
      <c r="R1059" s="34" t="str">
        <f>IF(MasterFees[[#This Row],[GST Basis]]="Incl",MasterFees[[#This Row],[Fee as Printed]],IF(MasterFees[[#This Row],[GST Basis]]="Excl",MasterFees[[#This Row],[Fee as Printed]]*(1+GST_Rate),""))</f>
        <v/>
      </c>
      <c r="S1059" s="35">
        <f>IF(N(MasterFees[[#This Row],[Total Units]])=0,"",MasterFees[[#This Row],[Fee as Printed]]/MasterFees[[#This Row],[Total Units]])</f>
        <v>55</v>
      </c>
      <c r="T1059" s="36"/>
      <c r="U1059" s="39" t="s">
        <v>1012</v>
      </c>
      <c r="V1059" s="39" t="s">
        <v>1853</v>
      </c>
      <c r="W1059" s="30"/>
      <c r="X1059" s="73" t="s">
        <v>3658</v>
      </c>
      <c r="Y1059" s="127" t="str">
        <f>_xlfn.XLOOKUP(MasterFees[[#This Row],[Provider / Payer]],Contracts[Contract Name],Contracts[Contract ID],"No contract")</f>
        <v>CON-01</v>
      </c>
      <c r="Z1059" s="127" t="str">
        <f>_xlfn.XLOOKUP(MasterFees[[#This Row],[Provider / Payer]],Contracts[Contract Name],Contracts[Pricing Basis],"To confirm")</f>
        <v>To confirm</v>
      </c>
      <c r="AA1059" s="127" t="str">
        <f>IF(MasterFees[[#This Row],[Pricing Basis]]="Fixed fee schedule","Yes","No")</f>
        <v>No</v>
      </c>
      <c r="AB1059" s="127" t="str">
        <f>IF(OR(MasterFees[[#This Row],[Fee Basis]]="Add-on",MasterFees[[#This Row],[Fee Basis]]="Time band",MasterFees[[#This Row],[Fee Basis]]="Other"),MasterFees[[#This Row],[Fee Basis]],"Base")</f>
        <v>Base</v>
      </c>
      <c r="AC1059" s="141" t="str">
        <f>IF(MasterFees[[#This Row],[Fixed Fee?]]="Yes",MasterFees[[#This Row],[Fee Excl. GST]],"")</f>
        <v/>
      </c>
    </row>
    <row r="1060" spans="1:29" x14ac:dyDescent="0.2">
      <c r="A1060" s="67" t="s">
        <v>2394</v>
      </c>
      <c r="B1060" s="31">
        <f>IF(MasterFees[[#This Row],[RVG Code]]="","",_xlfn.XLOOKUP(MasterFees[[#This Row],[RVG Code]],RVGCodes[Code],RVGCodes[Base Units],"Code not found"))</f>
        <v>10</v>
      </c>
      <c r="C106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6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60" s="125" t="s">
        <v>2594</v>
      </c>
      <c r="F1060" s="48" t="s">
        <v>2567</v>
      </c>
      <c r="G1060" s="30" t="s">
        <v>757</v>
      </c>
      <c r="H1060" s="37" t="s">
        <v>1095</v>
      </c>
      <c r="I1060" s="37"/>
      <c r="J1060" s="37" t="s">
        <v>1096</v>
      </c>
      <c r="K1060" s="32">
        <v>10.1</v>
      </c>
      <c r="L1060" s="32">
        <v>13.1</v>
      </c>
      <c r="M1060" s="32">
        <v>1.9</v>
      </c>
      <c r="N1060" s="32">
        <v>25</v>
      </c>
      <c r="O1060" s="33">
        <v>1374.45</v>
      </c>
      <c r="P1060" s="38" t="s">
        <v>1014</v>
      </c>
      <c r="Q1060" s="34" t="str">
        <f>IF(MasterFees[[#This Row],[GST Basis]]="Excl",MasterFees[[#This Row],[Fee as Printed]],IF(MasterFees[[#This Row],[GST Basis]]="Incl",MasterFees[[#This Row],[Fee as Printed]]/(1+GST_Rate),""))</f>
        <v/>
      </c>
      <c r="R1060" s="34" t="str">
        <f>IF(MasterFees[[#This Row],[GST Basis]]="Incl",MasterFees[[#This Row],[Fee as Printed]],IF(MasterFees[[#This Row],[GST Basis]]="Excl",MasterFees[[#This Row],[Fee as Printed]]*(1+GST_Rate),""))</f>
        <v/>
      </c>
      <c r="S1060" s="35">
        <f>IF(N(MasterFees[[#This Row],[Total Units]])=0,"",MasterFees[[#This Row],[Fee as Printed]]/MasterFees[[#This Row],[Total Units]])</f>
        <v>54.978000000000002</v>
      </c>
      <c r="T1060" s="36"/>
      <c r="U1060" s="39" t="s">
        <v>1012</v>
      </c>
      <c r="V1060" s="39" t="s">
        <v>1854</v>
      </c>
      <c r="W1060" s="30"/>
      <c r="X1060" s="73" t="s">
        <v>3659</v>
      </c>
      <c r="Y1060" s="127" t="str">
        <f>_xlfn.XLOOKUP(MasterFees[[#This Row],[Provider / Payer]],Contracts[Contract Name],Contracts[Contract ID],"No contract")</f>
        <v>CON-01</v>
      </c>
      <c r="Z1060" s="127" t="str">
        <f>_xlfn.XLOOKUP(MasterFees[[#This Row],[Provider / Payer]],Contracts[Contract Name],Contracts[Pricing Basis],"To confirm")</f>
        <v>To confirm</v>
      </c>
      <c r="AA1060" s="127" t="str">
        <f>IF(MasterFees[[#This Row],[Pricing Basis]]="Fixed fee schedule","Yes","No")</f>
        <v>No</v>
      </c>
      <c r="AB1060" s="127" t="str">
        <f>IF(OR(MasterFees[[#This Row],[Fee Basis]]="Add-on",MasterFees[[#This Row],[Fee Basis]]="Time band",MasterFees[[#This Row],[Fee Basis]]="Other"),MasterFees[[#This Row],[Fee Basis]],"Base")</f>
        <v>Base</v>
      </c>
      <c r="AC1060" s="141" t="str">
        <f>IF(MasterFees[[#This Row],[Fixed Fee?]]="Yes",MasterFees[[#This Row],[Fee Excl. GST]],"")</f>
        <v/>
      </c>
    </row>
    <row r="1061" spans="1:29" x14ac:dyDescent="0.2">
      <c r="A1061" s="67" t="s">
        <v>2394</v>
      </c>
      <c r="B1061" s="31">
        <f>IF(MasterFees[[#This Row],[RVG Code]]="","",_xlfn.XLOOKUP(MasterFees[[#This Row],[RVG Code]],RVGCodes[Code],RVGCodes[Base Units],"Code not found"))</f>
        <v>10</v>
      </c>
      <c r="C106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6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61" s="125" t="s">
        <v>2594</v>
      </c>
      <c r="F1061" s="48" t="s">
        <v>2567</v>
      </c>
      <c r="G1061" s="30" t="s">
        <v>758</v>
      </c>
      <c r="H1061" s="37" t="s">
        <v>1095</v>
      </c>
      <c r="I1061" s="37"/>
      <c r="J1061" s="37" t="s">
        <v>1096</v>
      </c>
      <c r="K1061" s="32">
        <v>9.6999999999999993</v>
      </c>
      <c r="L1061" s="32">
        <v>12.1</v>
      </c>
      <c r="M1061" s="32">
        <v>2.1</v>
      </c>
      <c r="N1061" s="32">
        <v>23.9</v>
      </c>
      <c r="O1061" s="33">
        <v>1312.85</v>
      </c>
      <c r="P1061" s="38" t="s">
        <v>1014</v>
      </c>
      <c r="Q1061" s="34" t="str">
        <f>IF(MasterFees[[#This Row],[GST Basis]]="Excl",MasterFees[[#This Row],[Fee as Printed]],IF(MasterFees[[#This Row],[GST Basis]]="Incl",MasterFees[[#This Row],[Fee as Printed]]/(1+GST_Rate),""))</f>
        <v/>
      </c>
      <c r="R1061" s="34" t="str">
        <f>IF(MasterFees[[#This Row],[GST Basis]]="Incl",MasterFees[[#This Row],[Fee as Printed]],IF(MasterFees[[#This Row],[GST Basis]]="Excl",MasterFees[[#This Row],[Fee as Printed]]*(1+GST_Rate),""))</f>
        <v/>
      </c>
      <c r="S1061" s="35">
        <f>IF(N(MasterFees[[#This Row],[Total Units]])=0,"",MasterFees[[#This Row],[Fee as Printed]]/MasterFees[[#This Row],[Total Units]])</f>
        <v>54.930962343096233</v>
      </c>
      <c r="T1061" s="36"/>
      <c r="U1061" s="39" t="s">
        <v>1012</v>
      </c>
      <c r="V1061" s="39" t="s">
        <v>1855</v>
      </c>
      <c r="W1061" s="30"/>
      <c r="X1061" s="73" t="s">
        <v>3660</v>
      </c>
      <c r="Y1061" s="127" t="str">
        <f>_xlfn.XLOOKUP(MasterFees[[#This Row],[Provider / Payer]],Contracts[Contract Name],Contracts[Contract ID],"No contract")</f>
        <v>CON-01</v>
      </c>
      <c r="Z1061" s="127" t="str">
        <f>_xlfn.XLOOKUP(MasterFees[[#This Row],[Provider / Payer]],Contracts[Contract Name],Contracts[Pricing Basis],"To confirm")</f>
        <v>To confirm</v>
      </c>
      <c r="AA1061" s="127" t="str">
        <f>IF(MasterFees[[#This Row],[Pricing Basis]]="Fixed fee schedule","Yes","No")</f>
        <v>No</v>
      </c>
      <c r="AB1061" s="127" t="str">
        <f>IF(OR(MasterFees[[#This Row],[Fee Basis]]="Add-on",MasterFees[[#This Row],[Fee Basis]]="Time band",MasterFees[[#This Row],[Fee Basis]]="Other"),MasterFees[[#This Row],[Fee Basis]],"Base")</f>
        <v>Base</v>
      </c>
      <c r="AC1061" s="141" t="str">
        <f>IF(MasterFees[[#This Row],[Fixed Fee?]]="Yes",MasterFees[[#This Row],[Fee Excl. GST]],"")</f>
        <v/>
      </c>
    </row>
    <row r="1062" spans="1:29" x14ac:dyDescent="0.2">
      <c r="A1062" s="67" t="s">
        <v>2390</v>
      </c>
      <c r="B1062" s="31">
        <f>IF(MasterFees[[#This Row],[RVG Code]]="","",_xlfn.XLOOKUP(MasterFees[[#This Row],[RVG Code]],RVGCodes[Code],RVGCodes[Base Units],"Code not found"))</f>
        <v>6</v>
      </c>
      <c r="C106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6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62" s="125" t="s">
        <v>2576</v>
      </c>
      <c r="F1062" s="48" t="s">
        <v>2567</v>
      </c>
      <c r="G1062" s="30" t="s">
        <v>763</v>
      </c>
      <c r="H1062" s="37" t="s">
        <v>1095</v>
      </c>
      <c r="I1062" s="37"/>
      <c r="J1062" s="37" t="s">
        <v>1096</v>
      </c>
      <c r="K1062" s="32">
        <v>4.8</v>
      </c>
      <c r="L1062" s="32">
        <v>4.7</v>
      </c>
      <c r="M1062" s="32">
        <v>0.7</v>
      </c>
      <c r="N1062" s="32">
        <v>10.1</v>
      </c>
      <c r="O1062" s="33">
        <v>556.6</v>
      </c>
      <c r="P1062" s="38" t="s">
        <v>1014</v>
      </c>
      <c r="Q1062" s="34" t="str">
        <f>IF(MasterFees[[#This Row],[GST Basis]]="Excl",MasterFees[[#This Row],[Fee as Printed]],IF(MasterFees[[#This Row],[GST Basis]]="Incl",MasterFees[[#This Row],[Fee as Printed]]/(1+GST_Rate),""))</f>
        <v/>
      </c>
      <c r="R1062" s="34" t="str">
        <f>IF(MasterFees[[#This Row],[GST Basis]]="Incl",MasterFees[[#This Row],[Fee as Printed]],IF(MasterFees[[#This Row],[GST Basis]]="Excl",MasterFees[[#This Row],[Fee as Printed]]*(1+GST_Rate),""))</f>
        <v/>
      </c>
      <c r="S1062" s="35">
        <f>IF(N(MasterFees[[#This Row],[Total Units]])=0,"",MasterFees[[#This Row],[Fee as Printed]]/MasterFees[[#This Row],[Total Units]])</f>
        <v>55.10891089108911</v>
      </c>
      <c r="T1062" s="36"/>
      <c r="U1062" s="39" t="s">
        <v>1012</v>
      </c>
      <c r="V1062" s="39" t="s">
        <v>1861</v>
      </c>
      <c r="W1062" s="30"/>
      <c r="X1062" s="73" t="s">
        <v>3666</v>
      </c>
      <c r="Y1062" s="127" t="str">
        <f>_xlfn.XLOOKUP(MasterFees[[#This Row],[Provider / Payer]],Contracts[Contract Name],Contracts[Contract ID],"No contract")</f>
        <v>CON-01</v>
      </c>
      <c r="Z1062" s="127" t="str">
        <f>_xlfn.XLOOKUP(MasterFees[[#This Row],[Provider / Payer]],Contracts[Contract Name],Contracts[Pricing Basis],"To confirm")</f>
        <v>To confirm</v>
      </c>
      <c r="AA1062" s="127" t="str">
        <f>IF(MasterFees[[#This Row],[Pricing Basis]]="Fixed fee schedule","Yes","No")</f>
        <v>No</v>
      </c>
      <c r="AB1062" s="127" t="str">
        <f>IF(OR(MasterFees[[#This Row],[Fee Basis]]="Add-on",MasterFees[[#This Row],[Fee Basis]]="Time band",MasterFees[[#This Row],[Fee Basis]]="Other"),MasterFees[[#This Row],[Fee Basis]],"Base")</f>
        <v>Base</v>
      </c>
      <c r="AC1062" s="141" t="str">
        <f>IF(MasterFees[[#This Row],[Fixed Fee?]]="Yes",MasterFees[[#This Row],[Fee Excl. GST]],"")</f>
        <v/>
      </c>
    </row>
    <row r="1063" spans="1:29" x14ac:dyDescent="0.2">
      <c r="A1063" s="67" t="s">
        <v>2390</v>
      </c>
      <c r="B1063" s="31">
        <f>IF(MasterFees[[#This Row],[RVG Code]]="","",_xlfn.XLOOKUP(MasterFees[[#This Row],[RVG Code]],RVGCodes[Code],RVGCodes[Base Units],"Code not found"))</f>
        <v>6</v>
      </c>
      <c r="C106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6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63" s="125" t="s">
        <v>2576</v>
      </c>
      <c r="F1063" s="48" t="s">
        <v>2569</v>
      </c>
      <c r="G1063" s="30" t="s">
        <v>764</v>
      </c>
      <c r="H1063" s="37" t="s">
        <v>1095</v>
      </c>
      <c r="I1063" s="37"/>
      <c r="J1063" s="37" t="s">
        <v>1096</v>
      </c>
      <c r="K1063" s="32">
        <v>6</v>
      </c>
      <c r="L1063" s="32">
        <v>8</v>
      </c>
      <c r="M1063" s="32">
        <v>0</v>
      </c>
      <c r="N1063" s="32">
        <v>14</v>
      </c>
      <c r="O1063" s="33">
        <v>770</v>
      </c>
      <c r="P1063" s="38" t="s">
        <v>1014</v>
      </c>
      <c r="Q1063" s="34" t="str">
        <f>IF(MasterFees[[#This Row],[GST Basis]]="Excl",MasterFees[[#This Row],[Fee as Printed]],IF(MasterFees[[#This Row],[GST Basis]]="Incl",MasterFees[[#This Row],[Fee as Printed]]/(1+GST_Rate),""))</f>
        <v/>
      </c>
      <c r="R1063" s="34" t="str">
        <f>IF(MasterFees[[#This Row],[GST Basis]]="Incl",MasterFees[[#This Row],[Fee as Printed]],IF(MasterFees[[#This Row],[GST Basis]]="Excl",MasterFees[[#This Row],[Fee as Printed]]*(1+GST_Rate),""))</f>
        <v/>
      </c>
      <c r="S1063" s="35">
        <f>IF(N(MasterFees[[#This Row],[Total Units]])=0,"",MasterFees[[#This Row],[Fee as Printed]]/MasterFees[[#This Row],[Total Units]])</f>
        <v>55</v>
      </c>
      <c r="T1063" s="36"/>
      <c r="U1063" s="39" t="s">
        <v>1012</v>
      </c>
      <c r="V1063" s="39" t="s">
        <v>1862</v>
      </c>
      <c r="W1063" s="30"/>
      <c r="X1063" s="73" t="s">
        <v>3667</v>
      </c>
      <c r="Y1063" s="127" t="str">
        <f>_xlfn.XLOOKUP(MasterFees[[#This Row],[Provider / Payer]],Contracts[Contract Name],Contracts[Contract ID],"No contract")</f>
        <v>CON-01</v>
      </c>
      <c r="Z1063" s="127" t="str">
        <f>_xlfn.XLOOKUP(MasterFees[[#This Row],[Provider / Payer]],Contracts[Contract Name],Contracts[Pricing Basis],"To confirm")</f>
        <v>To confirm</v>
      </c>
      <c r="AA1063" s="127" t="str">
        <f>IF(MasterFees[[#This Row],[Pricing Basis]]="Fixed fee schedule","Yes","No")</f>
        <v>No</v>
      </c>
      <c r="AB1063" s="127" t="str">
        <f>IF(OR(MasterFees[[#This Row],[Fee Basis]]="Add-on",MasterFees[[#This Row],[Fee Basis]]="Time band",MasterFees[[#This Row],[Fee Basis]]="Other"),MasterFees[[#This Row],[Fee Basis]],"Base")</f>
        <v>Base</v>
      </c>
      <c r="AC1063" s="141" t="str">
        <f>IF(MasterFees[[#This Row],[Fixed Fee?]]="Yes",MasterFees[[#This Row],[Fee Excl. GST]],"")</f>
        <v/>
      </c>
    </row>
    <row r="1064" spans="1:29" x14ac:dyDescent="0.2">
      <c r="A1064" s="67" t="s">
        <v>2388</v>
      </c>
      <c r="B1064" s="31">
        <f>IF(MasterFees[[#This Row],[RVG Code]]="","",_xlfn.XLOOKUP(MasterFees[[#This Row],[RVG Code]],RVGCodes[Code],RVGCodes[Base Units],"Code not found"))</f>
        <v>5</v>
      </c>
      <c r="C106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6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64" s="125" t="s">
        <v>2606</v>
      </c>
      <c r="F1064" s="48" t="s">
        <v>2567</v>
      </c>
      <c r="G1064" s="30" t="s">
        <v>765</v>
      </c>
      <c r="H1064" s="37" t="s">
        <v>1095</v>
      </c>
      <c r="I1064" s="37"/>
      <c r="J1064" s="37" t="s">
        <v>1096</v>
      </c>
      <c r="K1064" s="32">
        <v>4.5999999999999996</v>
      </c>
      <c r="L1064" s="32">
        <v>3.8</v>
      </c>
      <c r="M1064" s="32">
        <v>0.5</v>
      </c>
      <c r="N1064" s="32">
        <v>8.8000000000000007</v>
      </c>
      <c r="O1064" s="33">
        <v>485.65</v>
      </c>
      <c r="P1064" s="38" t="s">
        <v>1014</v>
      </c>
      <c r="Q1064" s="34" t="str">
        <f>IF(MasterFees[[#This Row],[GST Basis]]="Excl",MasterFees[[#This Row],[Fee as Printed]],IF(MasterFees[[#This Row],[GST Basis]]="Incl",MasterFees[[#This Row],[Fee as Printed]]/(1+GST_Rate),""))</f>
        <v/>
      </c>
      <c r="R1064" s="34" t="str">
        <f>IF(MasterFees[[#This Row],[GST Basis]]="Incl",MasterFees[[#This Row],[Fee as Printed]],IF(MasterFees[[#This Row],[GST Basis]]="Excl",MasterFees[[#This Row],[Fee as Printed]]*(1+GST_Rate),""))</f>
        <v/>
      </c>
      <c r="S1064" s="35">
        <f>IF(N(MasterFees[[#This Row],[Total Units]])=0,"",MasterFees[[#This Row],[Fee as Printed]]/MasterFees[[#This Row],[Total Units]])</f>
        <v>55.187499999999993</v>
      </c>
      <c r="T1064" s="36"/>
      <c r="U1064" s="39" t="s">
        <v>1012</v>
      </c>
      <c r="V1064" s="39" t="s">
        <v>1863</v>
      </c>
      <c r="W1064" s="30"/>
      <c r="X1064" s="73" t="s">
        <v>3668</v>
      </c>
      <c r="Y1064" s="127" t="str">
        <f>_xlfn.XLOOKUP(MasterFees[[#This Row],[Provider / Payer]],Contracts[Contract Name],Contracts[Contract ID],"No contract")</f>
        <v>CON-01</v>
      </c>
      <c r="Z1064" s="127" t="str">
        <f>_xlfn.XLOOKUP(MasterFees[[#This Row],[Provider / Payer]],Contracts[Contract Name],Contracts[Pricing Basis],"To confirm")</f>
        <v>To confirm</v>
      </c>
      <c r="AA1064" s="127" t="str">
        <f>IF(MasterFees[[#This Row],[Pricing Basis]]="Fixed fee schedule","Yes","No")</f>
        <v>No</v>
      </c>
      <c r="AB1064" s="127" t="str">
        <f>IF(OR(MasterFees[[#This Row],[Fee Basis]]="Add-on",MasterFees[[#This Row],[Fee Basis]]="Time band",MasterFees[[#This Row],[Fee Basis]]="Other"),MasterFees[[#This Row],[Fee Basis]],"Base")</f>
        <v>Base</v>
      </c>
      <c r="AC1064" s="141" t="str">
        <f>IF(MasterFees[[#This Row],[Fixed Fee?]]="Yes",MasterFees[[#This Row],[Fee Excl. GST]],"")</f>
        <v/>
      </c>
    </row>
    <row r="1065" spans="1:29" x14ac:dyDescent="0.2">
      <c r="A1065" s="67" t="s">
        <v>2392</v>
      </c>
      <c r="B1065" s="31">
        <f>IF(MasterFees[[#This Row],[RVG Code]]="","",_xlfn.XLOOKUP(MasterFees[[#This Row],[RVG Code]],RVGCodes[Code],RVGCodes[Base Units],"Code not found"))</f>
        <v>8</v>
      </c>
      <c r="C106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6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65" s="125" t="s">
        <v>2581</v>
      </c>
      <c r="F1065" s="48" t="s">
        <v>2569</v>
      </c>
      <c r="G1065" s="30" t="s">
        <v>785</v>
      </c>
      <c r="H1065" s="37" t="s">
        <v>1095</v>
      </c>
      <c r="I1065" s="37"/>
      <c r="J1065" s="37" t="s">
        <v>1096</v>
      </c>
      <c r="K1065" s="32">
        <v>8</v>
      </c>
      <c r="L1065" s="32">
        <v>8.1</v>
      </c>
      <c r="M1065" s="32">
        <v>1</v>
      </c>
      <c r="N1065" s="32">
        <v>17.100000000000001</v>
      </c>
      <c r="O1065" s="33">
        <v>939.4</v>
      </c>
      <c r="P1065" s="38" t="s">
        <v>1014</v>
      </c>
      <c r="Q1065" s="34" t="str">
        <f>IF(MasterFees[[#This Row],[GST Basis]]="Excl",MasterFees[[#This Row],[Fee as Printed]],IF(MasterFees[[#This Row],[GST Basis]]="Incl",MasterFees[[#This Row],[Fee as Printed]]/(1+GST_Rate),""))</f>
        <v/>
      </c>
      <c r="R1065" s="34" t="str">
        <f>IF(MasterFees[[#This Row],[GST Basis]]="Incl",MasterFees[[#This Row],[Fee as Printed]],IF(MasterFees[[#This Row],[GST Basis]]="Excl",MasterFees[[#This Row],[Fee as Printed]]*(1+GST_Rate),""))</f>
        <v/>
      </c>
      <c r="S1065" s="35">
        <f>IF(N(MasterFees[[#This Row],[Total Units]])=0,"",MasterFees[[#This Row],[Fee as Printed]]/MasterFees[[#This Row],[Total Units]])</f>
        <v>54.935672514619874</v>
      </c>
      <c r="T1065" s="36"/>
      <c r="U1065" s="39" t="s">
        <v>1012</v>
      </c>
      <c r="V1065" s="39" t="s">
        <v>1888</v>
      </c>
      <c r="W1065" s="30"/>
      <c r="X1065" s="73" t="s">
        <v>3694</v>
      </c>
      <c r="Y1065" s="127" t="str">
        <f>_xlfn.XLOOKUP(MasterFees[[#This Row],[Provider / Payer]],Contracts[Contract Name],Contracts[Contract ID],"No contract")</f>
        <v>CON-01</v>
      </c>
      <c r="Z1065" s="127" t="str">
        <f>_xlfn.XLOOKUP(MasterFees[[#This Row],[Provider / Payer]],Contracts[Contract Name],Contracts[Pricing Basis],"To confirm")</f>
        <v>To confirm</v>
      </c>
      <c r="AA1065" s="127" t="str">
        <f>IF(MasterFees[[#This Row],[Pricing Basis]]="Fixed fee schedule","Yes","No")</f>
        <v>No</v>
      </c>
      <c r="AB1065" s="127" t="str">
        <f>IF(OR(MasterFees[[#This Row],[Fee Basis]]="Add-on",MasterFees[[#This Row],[Fee Basis]]="Time band",MasterFees[[#This Row],[Fee Basis]]="Other"),MasterFees[[#This Row],[Fee Basis]],"Base")</f>
        <v>Base</v>
      </c>
      <c r="AC1065" s="141" t="str">
        <f>IF(MasterFees[[#This Row],[Fixed Fee?]]="Yes",MasterFees[[#This Row],[Fee Excl. GST]],"")</f>
        <v/>
      </c>
    </row>
    <row r="1066" spans="1:29" x14ac:dyDescent="0.2">
      <c r="A1066" s="67" t="s">
        <v>2392</v>
      </c>
      <c r="B1066" s="31">
        <f>IF(MasterFees[[#This Row],[RVG Code]]="","",_xlfn.XLOOKUP(MasterFees[[#This Row],[RVG Code]],RVGCodes[Code],RVGCodes[Base Units],"Code not found"))</f>
        <v>8</v>
      </c>
      <c r="C106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6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66" s="125" t="s">
        <v>2581</v>
      </c>
      <c r="F1066" s="48" t="s">
        <v>2569</v>
      </c>
      <c r="G1066" s="30" t="s">
        <v>786</v>
      </c>
      <c r="H1066" s="37" t="s">
        <v>1095</v>
      </c>
      <c r="I1066" s="37"/>
      <c r="J1066" s="37" t="s">
        <v>1096</v>
      </c>
      <c r="K1066" s="32">
        <v>4</v>
      </c>
      <c r="L1066" s="32">
        <v>4.5</v>
      </c>
      <c r="M1066" s="32">
        <v>0</v>
      </c>
      <c r="N1066" s="32">
        <v>8.5</v>
      </c>
      <c r="O1066" s="33">
        <v>467.5</v>
      </c>
      <c r="P1066" s="38" t="s">
        <v>1014</v>
      </c>
      <c r="Q1066" s="34" t="str">
        <f>IF(MasterFees[[#This Row],[GST Basis]]="Excl",MasterFees[[#This Row],[Fee as Printed]],IF(MasterFees[[#This Row],[GST Basis]]="Incl",MasterFees[[#This Row],[Fee as Printed]]/(1+GST_Rate),""))</f>
        <v/>
      </c>
      <c r="R1066" s="34" t="str">
        <f>IF(MasterFees[[#This Row],[GST Basis]]="Incl",MasterFees[[#This Row],[Fee as Printed]],IF(MasterFees[[#This Row],[GST Basis]]="Excl",MasterFees[[#This Row],[Fee as Printed]]*(1+GST_Rate),""))</f>
        <v/>
      </c>
      <c r="S1066" s="35">
        <f>IF(N(MasterFees[[#This Row],[Total Units]])=0,"",MasterFees[[#This Row],[Fee as Printed]]/MasterFees[[#This Row],[Total Units]])</f>
        <v>55</v>
      </c>
      <c r="T1066" s="36"/>
      <c r="U1066" s="39" t="s">
        <v>1012</v>
      </c>
      <c r="V1066" s="39" t="s">
        <v>1889</v>
      </c>
      <c r="W1066" s="30"/>
      <c r="X1066" s="73" t="s">
        <v>3695</v>
      </c>
      <c r="Y1066" s="127" t="str">
        <f>_xlfn.XLOOKUP(MasterFees[[#This Row],[Provider / Payer]],Contracts[Contract Name],Contracts[Contract ID],"No contract")</f>
        <v>CON-01</v>
      </c>
      <c r="Z1066" s="127" t="str">
        <f>_xlfn.XLOOKUP(MasterFees[[#This Row],[Provider / Payer]],Contracts[Contract Name],Contracts[Pricing Basis],"To confirm")</f>
        <v>To confirm</v>
      </c>
      <c r="AA1066" s="127" t="str">
        <f>IF(MasterFees[[#This Row],[Pricing Basis]]="Fixed fee schedule","Yes","No")</f>
        <v>No</v>
      </c>
      <c r="AB1066" s="127" t="str">
        <f>IF(OR(MasterFees[[#This Row],[Fee Basis]]="Add-on",MasterFees[[#This Row],[Fee Basis]]="Time band",MasterFees[[#This Row],[Fee Basis]]="Other"),MasterFees[[#This Row],[Fee Basis]],"Base")</f>
        <v>Base</v>
      </c>
      <c r="AC1066" s="141" t="str">
        <f>IF(MasterFees[[#This Row],[Fixed Fee?]]="Yes",MasterFees[[#This Row],[Fee Excl. GST]],"")</f>
        <v/>
      </c>
    </row>
    <row r="1067" spans="1:29" x14ac:dyDescent="0.2">
      <c r="A1067" s="67" t="s">
        <v>2390</v>
      </c>
      <c r="B1067" s="31">
        <f>IF(MasterFees[[#This Row],[RVG Code]]="","",_xlfn.XLOOKUP(MasterFees[[#This Row],[RVG Code]],RVGCodes[Code],RVGCodes[Base Units],"Code not found"))</f>
        <v>6</v>
      </c>
      <c r="C106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6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67" s="125" t="s">
        <v>2576</v>
      </c>
      <c r="F1067" s="48" t="s">
        <v>2567</v>
      </c>
      <c r="G1067" s="30" t="s">
        <v>792</v>
      </c>
      <c r="H1067" s="37" t="s">
        <v>1095</v>
      </c>
      <c r="I1067" s="37"/>
      <c r="J1067" s="37" t="s">
        <v>1096</v>
      </c>
      <c r="K1067" s="32">
        <v>0</v>
      </c>
      <c r="L1067" s="32">
        <v>0</v>
      </c>
      <c r="M1067" s="32">
        <v>0</v>
      </c>
      <c r="N1067" s="32">
        <v>0</v>
      </c>
      <c r="O1067" s="33">
        <v>0</v>
      </c>
      <c r="P1067" s="38" t="s">
        <v>1014</v>
      </c>
      <c r="Q1067" s="34" t="str">
        <f>IF(MasterFees[[#This Row],[GST Basis]]="Excl",MasterFees[[#This Row],[Fee as Printed]],IF(MasterFees[[#This Row],[GST Basis]]="Incl",MasterFees[[#This Row],[Fee as Printed]]/(1+GST_Rate),""))</f>
        <v/>
      </c>
      <c r="R1067" s="34" t="str">
        <f>IF(MasterFees[[#This Row],[GST Basis]]="Incl",MasterFees[[#This Row],[Fee as Printed]],IF(MasterFees[[#This Row],[GST Basis]]="Excl",MasterFees[[#This Row],[Fee as Printed]]*(1+GST_Rate),""))</f>
        <v/>
      </c>
      <c r="S1067" s="35" t="str">
        <f>IF(N(MasterFees[[#This Row],[Total Units]])=0,"",MasterFees[[#This Row],[Fee as Printed]]/MasterFees[[#This Row],[Total Units]])</f>
        <v/>
      </c>
      <c r="T1067" s="36"/>
      <c r="U1067" s="39" t="s">
        <v>1012</v>
      </c>
      <c r="V1067" s="39" t="s">
        <v>1895</v>
      </c>
      <c r="W1067" s="30"/>
      <c r="X1067" s="73" t="s">
        <v>3702</v>
      </c>
      <c r="Y1067" s="127" t="str">
        <f>_xlfn.XLOOKUP(MasterFees[[#This Row],[Provider / Payer]],Contracts[Contract Name],Contracts[Contract ID],"No contract")</f>
        <v>CON-01</v>
      </c>
      <c r="Z1067" s="127" t="str">
        <f>_xlfn.XLOOKUP(MasterFees[[#This Row],[Provider / Payer]],Contracts[Contract Name],Contracts[Pricing Basis],"To confirm")</f>
        <v>To confirm</v>
      </c>
      <c r="AA1067" s="127" t="str">
        <f>IF(MasterFees[[#This Row],[Pricing Basis]]="Fixed fee schedule","Yes","No")</f>
        <v>No</v>
      </c>
      <c r="AB1067" s="127" t="str">
        <f>IF(OR(MasterFees[[#This Row],[Fee Basis]]="Add-on",MasterFees[[#This Row],[Fee Basis]]="Time band",MasterFees[[#This Row],[Fee Basis]]="Other"),MasterFees[[#This Row],[Fee Basis]],"Base")</f>
        <v>Base</v>
      </c>
      <c r="AC1067" s="141" t="str">
        <f>IF(MasterFees[[#This Row],[Fixed Fee?]]="Yes",MasterFees[[#This Row],[Fee Excl. GST]],"")</f>
        <v/>
      </c>
    </row>
    <row r="1068" spans="1:29" x14ac:dyDescent="0.2">
      <c r="A1068" s="67" t="s">
        <v>2392</v>
      </c>
      <c r="B1068" s="31">
        <f>IF(MasterFees[[#This Row],[RVG Code]]="","",_xlfn.XLOOKUP(MasterFees[[#This Row],[RVG Code]],RVGCodes[Code],RVGCodes[Base Units],"Code not found"))</f>
        <v>8</v>
      </c>
      <c r="C106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6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68" s="125" t="s">
        <v>2581</v>
      </c>
      <c r="F1068" s="48" t="s">
        <v>2569</v>
      </c>
      <c r="G1068" s="30" t="s">
        <v>793</v>
      </c>
      <c r="H1068" s="37" t="s">
        <v>1095</v>
      </c>
      <c r="I1068" s="37"/>
      <c r="J1068" s="37" t="s">
        <v>1096</v>
      </c>
      <c r="K1068" s="32">
        <v>7.9</v>
      </c>
      <c r="L1068" s="32">
        <v>6.7</v>
      </c>
      <c r="M1068" s="32">
        <v>1.4</v>
      </c>
      <c r="N1068" s="32">
        <v>16</v>
      </c>
      <c r="O1068" s="33">
        <v>877.25</v>
      </c>
      <c r="P1068" s="38" t="s">
        <v>1014</v>
      </c>
      <c r="Q1068" s="34" t="str">
        <f>IF(MasterFees[[#This Row],[GST Basis]]="Excl",MasterFees[[#This Row],[Fee as Printed]],IF(MasterFees[[#This Row],[GST Basis]]="Incl",MasterFees[[#This Row],[Fee as Printed]]/(1+GST_Rate),""))</f>
        <v/>
      </c>
      <c r="R1068" s="34" t="str">
        <f>IF(MasterFees[[#This Row],[GST Basis]]="Incl",MasterFees[[#This Row],[Fee as Printed]],IF(MasterFees[[#This Row],[GST Basis]]="Excl",MasterFees[[#This Row],[Fee as Printed]]*(1+GST_Rate),""))</f>
        <v/>
      </c>
      <c r="S1068" s="35">
        <f>IF(N(MasterFees[[#This Row],[Total Units]])=0,"",MasterFees[[#This Row],[Fee as Printed]]/MasterFees[[#This Row],[Total Units]])</f>
        <v>54.828125</v>
      </c>
      <c r="T1068" s="36"/>
      <c r="U1068" s="39" t="s">
        <v>1012</v>
      </c>
      <c r="V1068" s="39" t="s">
        <v>1896</v>
      </c>
      <c r="W1068" s="30"/>
      <c r="X1068" s="73" t="s">
        <v>3703</v>
      </c>
      <c r="Y1068" s="127" t="str">
        <f>_xlfn.XLOOKUP(MasterFees[[#This Row],[Provider / Payer]],Contracts[Contract Name],Contracts[Contract ID],"No contract")</f>
        <v>CON-01</v>
      </c>
      <c r="Z1068" s="127" t="str">
        <f>_xlfn.XLOOKUP(MasterFees[[#This Row],[Provider / Payer]],Contracts[Contract Name],Contracts[Pricing Basis],"To confirm")</f>
        <v>To confirm</v>
      </c>
      <c r="AA1068" s="127" t="str">
        <f>IF(MasterFees[[#This Row],[Pricing Basis]]="Fixed fee schedule","Yes","No")</f>
        <v>No</v>
      </c>
      <c r="AB1068" s="127" t="str">
        <f>IF(OR(MasterFees[[#This Row],[Fee Basis]]="Add-on",MasterFees[[#This Row],[Fee Basis]]="Time band",MasterFees[[#This Row],[Fee Basis]]="Other"),MasterFees[[#This Row],[Fee Basis]],"Base")</f>
        <v>Base</v>
      </c>
      <c r="AC1068" s="141" t="str">
        <f>IF(MasterFees[[#This Row],[Fixed Fee?]]="Yes",MasterFees[[#This Row],[Fee Excl. GST]],"")</f>
        <v/>
      </c>
    </row>
    <row r="1069" spans="1:29" x14ac:dyDescent="0.2">
      <c r="A1069" s="67" t="s">
        <v>2392</v>
      </c>
      <c r="B1069" s="31">
        <f>IF(MasterFees[[#This Row],[RVG Code]]="","",_xlfn.XLOOKUP(MasterFees[[#This Row],[RVG Code]],RVGCodes[Code],RVGCodes[Base Units],"Code not found"))</f>
        <v>8</v>
      </c>
      <c r="C106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6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69" s="125" t="s">
        <v>2581</v>
      </c>
      <c r="F1069" s="48" t="s">
        <v>2569</v>
      </c>
      <c r="G1069" s="30" t="s">
        <v>794</v>
      </c>
      <c r="H1069" s="37" t="s">
        <v>1095</v>
      </c>
      <c r="I1069" s="37"/>
      <c r="J1069" s="37" t="s">
        <v>1096</v>
      </c>
      <c r="K1069" s="32">
        <v>7.9</v>
      </c>
      <c r="L1069" s="32">
        <v>7.2</v>
      </c>
      <c r="M1069" s="32">
        <v>1.6</v>
      </c>
      <c r="N1069" s="32">
        <v>16.7</v>
      </c>
      <c r="O1069" s="33">
        <v>917.4</v>
      </c>
      <c r="P1069" s="38" t="s">
        <v>1014</v>
      </c>
      <c r="Q1069" s="34" t="str">
        <f>IF(MasterFees[[#This Row],[GST Basis]]="Excl",MasterFees[[#This Row],[Fee as Printed]],IF(MasterFees[[#This Row],[GST Basis]]="Incl",MasterFees[[#This Row],[Fee as Printed]]/(1+GST_Rate),""))</f>
        <v/>
      </c>
      <c r="R1069" s="34" t="str">
        <f>IF(MasterFees[[#This Row],[GST Basis]]="Incl",MasterFees[[#This Row],[Fee as Printed]],IF(MasterFees[[#This Row],[GST Basis]]="Excl",MasterFees[[#This Row],[Fee as Printed]]*(1+GST_Rate),""))</f>
        <v/>
      </c>
      <c r="S1069" s="35">
        <f>IF(N(MasterFees[[#This Row],[Total Units]])=0,"",MasterFees[[#This Row],[Fee as Printed]]/MasterFees[[#This Row],[Total Units]])</f>
        <v>54.93413173652695</v>
      </c>
      <c r="T1069" s="36"/>
      <c r="U1069" s="39" t="s">
        <v>1012</v>
      </c>
      <c r="V1069" s="39" t="s">
        <v>1897</v>
      </c>
      <c r="W1069" s="30"/>
      <c r="X1069" s="73" t="s">
        <v>3704</v>
      </c>
      <c r="Y1069" s="127" t="str">
        <f>_xlfn.XLOOKUP(MasterFees[[#This Row],[Provider / Payer]],Contracts[Contract Name],Contracts[Contract ID],"No contract")</f>
        <v>CON-01</v>
      </c>
      <c r="Z1069" s="127" t="str">
        <f>_xlfn.XLOOKUP(MasterFees[[#This Row],[Provider / Payer]],Contracts[Contract Name],Contracts[Pricing Basis],"To confirm")</f>
        <v>To confirm</v>
      </c>
      <c r="AA1069" s="127" t="str">
        <f>IF(MasterFees[[#This Row],[Pricing Basis]]="Fixed fee schedule","Yes","No")</f>
        <v>No</v>
      </c>
      <c r="AB1069" s="127" t="str">
        <f>IF(OR(MasterFees[[#This Row],[Fee Basis]]="Add-on",MasterFees[[#This Row],[Fee Basis]]="Time band",MasterFees[[#This Row],[Fee Basis]]="Other"),MasterFees[[#This Row],[Fee Basis]],"Base")</f>
        <v>Base</v>
      </c>
      <c r="AC1069" s="141" t="str">
        <f>IF(MasterFees[[#This Row],[Fixed Fee?]]="Yes",MasterFees[[#This Row],[Fee Excl. GST]],"")</f>
        <v/>
      </c>
    </row>
    <row r="1070" spans="1:29" x14ac:dyDescent="0.2">
      <c r="A1070" s="67" t="s">
        <v>2392</v>
      </c>
      <c r="B1070" s="31">
        <f>IF(MasterFees[[#This Row],[RVG Code]]="","",_xlfn.XLOOKUP(MasterFees[[#This Row],[RVG Code]],RVGCodes[Code],RVGCodes[Base Units],"Code not found"))</f>
        <v>8</v>
      </c>
      <c r="C107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7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70" s="125" t="s">
        <v>2581</v>
      </c>
      <c r="F1070" s="48" t="s">
        <v>2569</v>
      </c>
      <c r="G1070" s="30" t="s">
        <v>795</v>
      </c>
      <c r="H1070" s="37" t="s">
        <v>1095</v>
      </c>
      <c r="I1070" s="37"/>
      <c r="J1070" s="37" t="s">
        <v>1096</v>
      </c>
      <c r="K1070" s="32">
        <v>0</v>
      </c>
      <c r="L1070" s="32">
        <v>0</v>
      </c>
      <c r="M1070" s="32">
        <v>0</v>
      </c>
      <c r="N1070" s="32">
        <v>0</v>
      </c>
      <c r="O1070" s="33">
        <v>0</v>
      </c>
      <c r="P1070" s="38" t="s">
        <v>1014</v>
      </c>
      <c r="Q1070" s="34" t="str">
        <f>IF(MasterFees[[#This Row],[GST Basis]]="Excl",MasterFees[[#This Row],[Fee as Printed]],IF(MasterFees[[#This Row],[GST Basis]]="Incl",MasterFees[[#This Row],[Fee as Printed]]/(1+GST_Rate),""))</f>
        <v/>
      </c>
      <c r="R1070" s="34" t="str">
        <f>IF(MasterFees[[#This Row],[GST Basis]]="Incl",MasterFees[[#This Row],[Fee as Printed]],IF(MasterFees[[#This Row],[GST Basis]]="Excl",MasterFees[[#This Row],[Fee as Printed]]*(1+GST_Rate),""))</f>
        <v/>
      </c>
      <c r="S1070" s="35" t="str">
        <f>IF(N(MasterFees[[#This Row],[Total Units]])=0,"",MasterFees[[#This Row],[Fee as Printed]]/MasterFees[[#This Row],[Total Units]])</f>
        <v/>
      </c>
      <c r="T1070" s="36"/>
      <c r="U1070" s="39" t="s">
        <v>1012</v>
      </c>
      <c r="V1070" s="39" t="s">
        <v>1898</v>
      </c>
      <c r="W1070" s="30"/>
      <c r="X1070" s="73" t="s">
        <v>3705</v>
      </c>
      <c r="Y1070" s="127" t="str">
        <f>_xlfn.XLOOKUP(MasterFees[[#This Row],[Provider / Payer]],Contracts[Contract Name],Contracts[Contract ID],"No contract")</f>
        <v>CON-01</v>
      </c>
      <c r="Z1070" s="127" t="str">
        <f>_xlfn.XLOOKUP(MasterFees[[#This Row],[Provider / Payer]],Contracts[Contract Name],Contracts[Pricing Basis],"To confirm")</f>
        <v>To confirm</v>
      </c>
      <c r="AA1070" s="127" t="str">
        <f>IF(MasterFees[[#This Row],[Pricing Basis]]="Fixed fee schedule","Yes","No")</f>
        <v>No</v>
      </c>
      <c r="AB1070" s="127" t="str">
        <f>IF(OR(MasterFees[[#This Row],[Fee Basis]]="Add-on",MasterFees[[#This Row],[Fee Basis]]="Time band",MasterFees[[#This Row],[Fee Basis]]="Other"),MasterFees[[#This Row],[Fee Basis]],"Base")</f>
        <v>Base</v>
      </c>
      <c r="AC1070" s="141" t="str">
        <f>IF(MasterFees[[#This Row],[Fixed Fee?]]="Yes",MasterFees[[#This Row],[Fee Excl. GST]],"")</f>
        <v/>
      </c>
    </row>
    <row r="1071" spans="1:29" x14ac:dyDescent="0.2">
      <c r="A1071" s="67" t="s">
        <v>2390</v>
      </c>
      <c r="B1071" s="31">
        <f>IF(MasterFees[[#This Row],[RVG Code]]="","",_xlfn.XLOOKUP(MasterFees[[#This Row],[RVG Code]],RVGCodes[Code],RVGCodes[Base Units],"Code not found"))</f>
        <v>6</v>
      </c>
      <c r="C107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7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71" s="125" t="s">
        <v>2576</v>
      </c>
      <c r="F1071" s="48" t="s">
        <v>2569</v>
      </c>
      <c r="G1071" s="30" t="s">
        <v>797</v>
      </c>
      <c r="H1071" s="37" t="s">
        <v>1095</v>
      </c>
      <c r="I1071" s="37"/>
      <c r="J1071" s="37" t="s">
        <v>1096</v>
      </c>
      <c r="K1071" s="32">
        <v>6</v>
      </c>
      <c r="L1071" s="32">
        <v>6.3</v>
      </c>
      <c r="M1071" s="32">
        <v>0.2</v>
      </c>
      <c r="N1071" s="32">
        <v>12.4</v>
      </c>
      <c r="O1071" s="33">
        <v>682</v>
      </c>
      <c r="P1071" s="38" t="s">
        <v>1014</v>
      </c>
      <c r="Q1071" s="34" t="str">
        <f>IF(MasterFees[[#This Row],[GST Basis]]="Excl",MasterFees[[#This Row],[Fee as Printed]],IF(MasterFees[[#This Row],[GST Basis]]="Incl",MasterFees[[#This Row],[Fee as Printed]]/(1+GST_Rate),""))</f>
        <v/>
      </c>
      <c r="R1071" s="34" t="str">
        <f>IF(MasterFees[[#This Row],[GST Basis]]="Incl",MasterFees[[#This Row],[Fee as Printed]],IF(MasterFees[[#This Row],[GST Basis]]="Excl",MasterFees[[#This Row],[Fee as Printed]]*(1+GST_Rate),""))</f>
        <v/>
      </c>
      <c r="S1071" s="35">
        <f>IF(N(MasterFees[[#This Row],[Total Units]])=0,"",MasterFees[[#This Row],[Fee as Printed]]/MasterFees[[#This Row],[Total Units]])</f>
        <v>55</v>
      </c>
      <c r="T1071" s="36"/>
      <c r="U1071" s="39" t="s">
        <v>1012</v>
      </c>
      <c r="V1071" s="39" t="s">
        <v>1900</v>
      </c>
      <c r="W1071" s="30"/>
      <c r="X1071" s="73" t="s">
        <v>3707</v>
      </c>
      <c r="Y1071" s="127" t="str">
        <f>_xlfn.XLOOKUP(MasterFees[[#This Row],[Provider / Payer]],Contracts[Contract Name],Contracts[Contract ID],"No contract")</f>
        <v>CON-01</v>
      </c>
      <c r="Z1071" s="127" t="str">
        <f>_xlfn.XLOOKUP(MasterFees[[#This Row],[Provider / Payer]],Contracts[Contract Name],Contracts[Pricing Basis],"To confirm")</f>
        <v>To confirm</v>
      </c>
      <c r="AA1071" s="127" t="str">
        <f>IF(MasterFees[[#This Row],[Pricing Basis]]="Fixed fee schedule","Yes","No")</f>
        <v>No</v>
      </c>
      <c r="AB1071" s="127" t="str">
        <f>IF(OR(MasterFees[[#This Row],[Fee Basis]]="Add-on",MasterFees[[#This Row],[Fee Basis]]="Time band",MasterFees[[#This Row],[Fee Basis]]="Other"),MasterFees[[#This Row],[Fee Basis]],"Base")</f>
        <v>Base</v>
      </c>
      <c r="AC1071" s="141" t="str">
        <f>IF(MasterFees[[#This Row],[Fixed Fee?]]="Yes",MasterFees[[#This Row],[Fee Excl. GST]],"")</f>
        <v/>
      </c>
    </row>
    <row r="1072" spans="1:29" x14ac:dyDescent="0.2">
      <c r="A1072" s="67" t="s">
        <v>2386</v>
      </c>
      <c r="B1072" s="31">
        <f>IF(MasterFees[[#This Row],[RVG Code]]="","",_xlfn.XLOOKUP(MasterFees[[#This Row],[RVG Code]],RVGCodes[Code],RVGCodes[Base Units],"Code not found"))</f>
        <v>4</v>
      </c>
      <c r="C107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7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72" s="125" t="s">
        <v>2568</v>
      </c>
      <c r="F1072" s="48" t="s">
        <v>2569</v>
      </c>
      <c r="G1072" s="30" t="s">
        <v>798</v>
      </c>
      <c r="H1072" s="37" t="s">
        <v>1095</v>
      </c>
      <c r="I1072" s="37"/>
      <c r="J1072" s="37" t="s">
        <v>1096</v>
      </c>
      <c r="K1072" s="32">
        <v>4</v>
      </c>
      <c r="L1072" s="32">
        <v>2.5</v>
      </c>
      <c r="M1072" s="32">
        <v>0.5</v>
      </c>
      <c r="N1072" s="32">
        <v>7</v>
      </c>
      <c r="O1072" s="33">
        <v>382.25</v>
      </c>
      <c r="P1072" s="38" t="s">
        <v>1014</v>
      </c>
      <c r="Q1072" s="34" t="str">
        <f>IF(MasterFees[[#This Row],[GST Basis]]="Excl",MasterFees[[#This Row],[Fee as Printed]],IF(MasterFees[[#This Row],[GST Basis]]="Incl",MasterFees[[#This Row],[Fee as Printed]]/(1+GST_Rate),""))</f>
        <v/>
      </c>
      <c r="R1072" s="34" t="str">
        <f>IF(MasterFees[[#This Row],[GST Basis]]="Incl",MasterFees[[#This Row],[Fee as Printed]],IF(MasterFees[[#This Row],[GST Basis]]="Excl",MasterFees[[#This Row],[Fee as Printed]]*(1+GST_Rate),""))</f>
        <v/>
      </c>
      <c r="S1072" s="35">
        <f>IF(N(MasterFees[[#This Row],[Total Units]])=0,"",MasterFees[[#This Row],[Fee as Printed]]/MasterFees[[#This Row],[Total Units]])</f>
        <v>54.607142857142854</v>
      </c>
      <c r="T1072" s="36"/>
      <c r="U1072" s="39" t="s">
        <v>1012</v>
      </c>
      <c r="V1072" s="39" t="s">
        <v>1901</v>
      </c>
      <c r="W1072" s="30"/>
      <c r="X1072" s="73" t="s">
        <v>3708</v>
      </c>
      <c r="Y1072" s="127" t="str">
        <f>_xlfn.XLOOKUP(MasterFees[[#This Row],[Provider / Payer]],Contracts[Contract Name],Contracts[Contract ID],"No contract")</f>
        <v>CON-01</v>
      </c>
      <c r="Z1072" s="127" t="str">
        <f>_xlfn.XLOOKUP(MasterFees[[#This Row],[Provider / Payer]],Contracts[Contract Name],Contracts[Pricing Basis],"To confirm")</f>
        <v>To confirm</v>
      </c>
      <c r="AA1072" s="127" t="str">
        <f>IF(MasterFees[[#This Row],[Pricing Basis]]="Fixed fee schedule","Yes","No")</f>
        <v>No</v>
      </c>
      <c r="AB1072" s="127" t="str">
        <f>IF(OR(MasterFees[[#This Row],[Fee Basis]]="Add-on",MasterFees[[#This Row],[Fee Basis]]="Time band",MasterFees[[#This Row],[Fee Basis]]="Other"),MasterFees[[#This Row],[Fee Basis]],"Base")</f>
        <v>Base</v>
      </c>
      <c r="AC1072" s="141" t="str">
        <f>IF(MasterFees[[#This Row],[Fixed Fee?]]="Yes",MasterFees[[#This Row],[Fee Excl. GST]],"")</f>
        <v/>
      </c>
    </row>
    <row r="1073" spans="1:29" x14ac:dyDescent="0.2">
      <c r="A1073" s="67" t="s">
        <v>2386</v>
      </c>
      <c r="B1073" s="31">
        <f>IF(MasterFees[[#This Row],[RVG Code]]="","",_xlfn.XLOOKUP(MasterFees[[#This Row],[RVG Code]],RVGCodes[Code],RVGCodes[Base Units],"Code not found"))</f>
        <v>4</v>
      </c>
      <c r="C107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7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73" s="125" t="s">
        <v>2568</v>
      </c>
      <c r="F1073" s="48" t="s">
        <v>2569</v>
      </c>
      <c r="G1073" s="30" t="s">
        <v>799</v>
      </c>
      <c r="H1073" s="37" t="s">
        <v>1095</v>
      </c>
      <c r="I1073" s="37"/>
      <c r="J1073" s="37" t="s">
        <v>1096</v>
      </c>
      <c r="K1073" s="32">
        <v>4</v>
      </c>
      <c r="L1073" s="32">
        <v>2.9</v>
      </c>
      <c r="M1073" s="32">
        <v>0.3</v>
      </c>
      <c r="N1073" s="32">
        <v>7.1</v>
      </c>
      <c r="O1073" s="33">
        <v>392.15</v>
      </c>
      <c r="P1073" s="38" t="s">
        <v>1014</v>
      </c>
      <c r="Q1073" s="34" t="str">
        <f>IF(MasterFees[[#This Row],[GST Basis]]="Excl",MasterFees[[#This Row],[Fee as Printed]],IF(MasterFees[[#This Row],[GST Basis]]="Incl",MasterFees[[#This Row],[Fee as Printed]]/(1+GST_Rate),""))</f>
        <v/>
      </c>
      <c r="R1073" s="34" t="str">
        <f>IF(MasterFees[[#This Row],[GST Basis]]="Incl",MasterFees[[#This Row],[Fee as Printed]],IF(MasterFees[[#This Row],[GST Basis]]="Excl",MasterFees[[#This Row],[Fee as Printed]]*(1+GST_Rate),""))</f>
        <v/>
      </c>
      <c r="S1073" s="35">
        <f>IF(N(MasterFees[[#This Row],[Total Units]])=0,"",MasterFees[[#This Row],[Fee as Printed]]/MasterFees[[#This Row],[Total Units]])</f>
        <v>55.232394366197184</v>
      </c>
      <c r="T1073" s="36"/>
      <c r="U1073" s="39" t="s">
        <v>1012</v>
      </c>
      <c r="V1073" s="39" t="s">
        <v>1902</v>
      </c>
      <c r="W1073" s="30"/>
      <c r="X1073" s="73" t="s">
        <v>3709</v>
      </c>
      <c r="Y1073" s="127" t="str">
        <f>_xlfn.XLOOKUP(MasterFees[[#This Row],[Provider / Payer]],Contracts[Contract Name],Contracts[Contract ID],"No contract")</f>
        <v>CON-01</v>
      </c>
      <c r="Z1073" s="127" t="str">
        <f>_xlfn.XLOOKUP(MasterFees[[#This Row],[Provider / Payer]],Contracts[Contract Name],Contracts[Pricing Basis],"To confirm")</f>
        <v>To confirm</v>
      </c>
      <c r="AA1073" s="127" t="str">
        <f>IF(MasterFees[[#This Row],[Pricing Basis]]="Fixed fee schedule","Yes","No")</f>
        <v>No</v>
      </c>
      <c r="AB1073" s="127" t="str">
        <f>IF(OR(MasterFees[[#This Row],[Fee Basis]]="Add-on",MasterFees[[#This Row],[Fee Basis]]="Time band",MasterFees[[#This Row],[Fee Basis]]="Other"),MasterFees[[#This Row],[Fee Basis]],"Base")</f>
        <v>Base</v>
      </c>
      <c r="AC1073" s="141" t="str">
        <f>IF(MasterFees[[#This Row],[Fixed Fee?]]="Yes",MasterFees[[#This Row],[Fee Excl. GST]],"")</f>
        <v/>
      </c>
    </row>
    <row r="1074" spans="1:29" x14ac:dyDescent="0.2">
      <c r="A1074" s="67" t="s">
        <v>2392</v>
      </c>
      <c r="B1074" s="31">
        <f>IF(MasterFees[[#This Row],[RVG Code]]="","",_xlfn.XLOOKUP(MasterFees[[#This Row],[RVG Code]],RVGCodes[Code],RVGCodes[Base Units],"Code not found"))</f>
        <v>8</v>
      </c>
      <c r="C107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7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74" s="125" t="s">
        <v>2581</v>
      </c>
      <c r="F1074" s="48" t="s">
        <v>2569</v>
      </c>
      <c r="G1074" s="30" t="s">
        <v>800</v>
      </c>
      <c r="H1074" s="37" t="s">
        <v>1095</v>
      </c>
      <c r="I1074" s="37"/>
      <c r="J1074" s="37" t="s">
        <v>1096</v>
      </c>
      <c r="K1074" s="32">
        <v>8</v>
      </c>
      <c r="L1074" s="32">
        <v>5</v>
      </c>
      <c r="M1074" s="32">
        <v>0.2</v>
      </c>
      <c r="N1074" s="32">
        <v>13.2</v>
      </c>
      <c r="O1074" s="33">
        <v>727.1</v>
      </c>
      <c r="P1074" s="38" t="s">
        <v>1014</v>
      </c>
      <c r="Q1074" s="34" t="str">
        <f>IF(MasterFees[[#This Row],[GST Basis]]="Excl",MasterFees[[#This Row],[Fee as Printed]],IF(MasterFees[[#This Row],[GST Basis]]="Incl",MasterFees[[#This Row],[Fee as Printed]]/(1+GST_Rate),""))</f>
        <v/>
      </c>
      <c r="R1074" s="34" t="str">
        <f>IF(MasterFees[[#This Row],[GST Basis]]="Incl",MasterFees[[#This Row],[Fee as Printed]],IF(MasterFees[[#This Row],[GST Basis]]="Excl",MasterFees[[#This Row],[Fee as Printed]]*(1+GST_Rate),""))</f>
        <v/>
      </c>
      <c r="S1074" s="35">
        <f>IF(N(MasterFees[[#This Row],[Total Units]])=0,"",MasterFees[[#This Row],[Fee as Printed]]/MasterFees[[#This Row],[Total Units]])</f>
        <v>55.083333333333336</v>
      </c>
      <c r="T1074" s="36"/>
      <c r="U1074" s="39" t="s">
        <v>1012</v>
      </c>
      <c r="V1074" s="39" t="s">
        <v>1903</v>
      </c>
      <c r="W1074" s="30"/>
      <c r="X1074" s="73" t="s">
        <v>3710</v>
      </c>
      <c r="Y1074" s="127" t="str">
        <f>_xlfn.XLOOKUP(MasterFees[[#This Row],[Provider / Payer]],Contracts[Contract Name],Contracts[Contract ID],"No contract")</f>
        <v>CON-01</v>
      </c>
      <c r="Z1074" s="127" t="str">
        <f>_xlfn.XLOOKUP(MasterFees[[#This Row],[Provider / Payer]],Contracts[Contract Name],Contracts[Pricing Basis],"To confirm")</f>
        <v>To confirm</v>
      </c>
      <c r="AA1074" s="127" t="str">
        <f>IF(MasterFees[[#This Row],[Pricing Basis]]="Fixed fee schedule","Yes","No")</f>
        <v>No</v>
      </c>
      <c r="AB1074" s="127" t="str">
        <f>IF(OR(MasterFees[[#This Row],[Fee Basis]]="Add-on",MasterFees[[#This Row],[Fee Basis]]="Time band",MasterFees[[#This Row],[Fee Basis]]="Other"),MasterFees[[#This Row],[Fee Basis]],"Base")</f>
        <v>Base</v>
      </c>
      <c r="AC1074" s="141" t="str">
        <f>IF(MasterFees[[#This Row],[Fixed Fee?]]="Yes",MasterFees[[#This Row],[Fee Excl. GST]],"")</f>
        <v/>
      </c>
    </row>
    <row r="1075" spans="1:29" x14ac:dyDescent="0.2">
      <c r="A1075" s="67" t="s">
        <v>2392</v>
      </c>
      <c r="B1075" s="31">
        <f>IF(MasterFees[[#This Row],[RVG Code]]="","",_xlfn.XLOOKUP(MasterFees[[#This Row],[RVG Code]],RVGCodes[Code],RVGCodes[Base Units],"Code not found"))</f>
        <v>8</v>
      </c>
      <c r="C107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7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75" s="125" t="s">
        <v>2581</v>
      </c>
      <c r="F1075" s="48" t="s">
        <v>2569</v>
      </c>
      <c r="G1075" s="30" t="s">
        <v>801</v>
      </c>
      <c r="H1075" s="37" t="s">
        <v>1095</v>
      </c>
      <c r="I1075" s="37"/>
      <c r="J1075" s="37" t="s">
        <v>1096</v>
      </c>
      <c r="K1075" s="32">
        <v>7.9</v>
      </c>
      <c r="L1075" s="32">
        <v>7.4</v>
      </c>
      <c r="M1075" s="32">
        <v>1.4</v>
      </c>
      <c r="N1075" s="32">
        <v>16.7</v>
      </c>
      <c r="O1075" s="33">
        <v>917.95</v>
      </c>
      <c r="P1075" s="38" t="s">
        <v>1014</v>
      </c>
      <c r="Q1075" s="34" t="str">
        <f>IF(MasterFees[[#This Row],[GST Basis]]="Excl",MasterFees[[#This Row],[Fee as Printed]],IF(MasterFees[[#This Row],[GST Basis]]="Incl",MasterFees[[#This Row],[Fee as Printed]]/(1+GST_Rate),""))</f>
        <v/>
      </c>
      <c r="R1075" s="34" t="str">
        <f>IF(MasterFees[[#This Row],[GST Basis]]="Incl",MasterFees[[#This Row],[Fee as Printed]],IF(MasterFees[[#This Row],[GST Basis]]="Excl",MasterFees[[#This Row],[Fee as Printed]]*(1+GST_Rate),""))</f>
        <v/>
      </c>
      <c r="S1075" s="35">
        <f>IF(N(MasterFees[[#This Row],[Total Units]])=0,"",MasterFees[[#This Row],[Fee as Printed]]/MasterFees[[#This Row],[Total Units]])</f>
        <v>54.967065868263475</v>
      </c>
      <c r="T1075" s="36"/>
      <c r="U1075" s="39" t="s">
        <v>1012</v>
      </c>
      <c r="V1075" s="39" t="s">
        <v>1904</v>
      </c>
      <c r="W1075" s="30"/>
      <c r="X1075" s="73" t="s">
        <v>3711</v>
      </c>
      <c r="Y1075" s="127" t="str">
        <f>_xlfn.XLOOKUP(MasterFees[[#This Row],[Provider / Payer]],Contracts[Contract Name],Contracts[Contract ID],"No contract")</f>
        <v>CON-01</v>
      </c>
      <c r="Z1075" s="127" t="str">
        <f>_xlfn.XLOOKUP(MasterFees[[#This Row],[Provider / Payer]],Contracts[Contract Name],Contracts[Pricing Basis],"To confirm")</f>
        <v>To confirm</v>
      </c>
      <c r="AA1075" s="127" t="str">
        <f>IF(MasterFees[[#This Row],[Pricing Basis]]="Fixed fee schedule","Yes","No")</f>
        <v>No</v>
      </c>
      <c r="AB1075" s="127" t="str">
        <f>IF(OR(MasterFees[[#This Row],[Fee Basis]]="Add-on",MasterFees[[#This Row],[Fee Basis]]="Time band",MasterFees[[#This Row],[Fee Basis]]="Other"),MasterFees[[#This Row],[Fee Basis]],"Base")</f>
        <v>Base</v>
      </c>
      <c r="AC1075" s="141" t="str">
        <f>IF(MasterFees[[#This Row],[Fixed Fee?]]="Yes",MasterFees[[#This Row],[Fee Excl. GST]],"")</f>
        <v/>
      </c>
    </row>
    <row r="1076" spans="1:29" x14ac:dyDescent="0.2">
      <c r="A1076" s="67" t="s">
        <v>2392</v>
      </c>
      <c r="B1076" s="31">
        <f>IF(MasterFees[[#This Row],[RVG Code]]="","",_xlfn.XLOOKUP(MasterFees[[#This Row],[RVG Code]],RVGCodes[Code],RVGCodes[Base Units],"Code not found"))</f>
        <v>8</v>
      </c>
      <c r="C107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7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76" s="125" t="s">
        <v>2581</v>
      </c>
      <c r="F1076" s="48" t="s">
        <v>2569</v>
      </c>
      <c r="G1076" s="30" t="s">
        <v>806</v>
      </c>
      <c r="H1076" s="37" t="s">
        <v>1095</v>
      </c>
      <c r="I1076" s="37"/>
      <c r="J1076" s="37" t="s">
        <v>1096</v>
      </c>
      <c r="K1076" s="32">
        <v>8</v>
      </c>
      <c r="L1076" s="32">
        <v>6</v>
      </c>
      <c r="M1076" s="32">
        <v>0</v>
      </c>
      <c r="N1076" s="32">
        <v>14</v>
      </c>
      <c r="O1076" s="33">
        <v>770</v>
      </c>
      <c r="P1076" s="38" t="s">
        <v>1014</v>
      </c>
      <c r="Q1076" s="34" t="str">
        <f>IF(MasterFees[[#This Row],[GST Basis]]="Excl",MasterFees[[#This Row],[Fee as Printed]],IF(MasterFees[[#This Row],[GST Basis]]="Incl",MasterFees[[#This Row],[Fee as Printed]]/(1+GST_Rate),""))</f>
        <v/>
      </c>
      <c r="R1076" s="34" t="str">
        <f>IF(MasterFees[[#This Row],[GST Basis]]="Incl",MasterFees[[#This Row],[Fee as Printed]],IF(MasterFees[[#This Row],[GST Basis]]="Excl",MasterFees[[#This Row],[Fee as Printed]]*(1+GST_Rate),""))</f>
        <v/>
      </c>
      <c r="S1076" s="35">
        <f>IF(N(MasterFees[[#This Row],[Total Units]])=0,"",MasterFees[[#This Row],[Fee as Printed]]/MasterFees[[#This Row],[Total Units]])</f>
        <v>55</v>
      </c>
      <c r="T1076" s="36"/>
      <c r="U1076" s="39" t="s">
        <v>1012</v>
      </c>
      <c r="V1076" s="39" t="s">
        <v>1909</v>
      </c>
      <c r="W1076" s="30"/>
      <c r="X1076" s="73" t="s">
        <v>3716</v>
      </c>
      <c r="Y1076" s="127" t="str">
        <f>_xlfn.XLOOKUP(MasterFees[[#This Row],[Provider / Payer]],Contracts[Contract Name],Contracts[Contract ID],"No contract")</f>
        <v>CON-01</v>
      </c>
      <c r="Z1076" s="127" t="str">
        <f>_xlfn.XLOOKUP(MasterFees[[#This Row],[Provider / Payer]],Contracts[Contract Name],Contracts[Pricing Basis],"To confirm")</f>
        <v>To confirm</v>
      </c>
      <c r="AA1076" s="127" t="str">
        <f>IF(MasterFees[[#This Row],[Pricing Basis]]="Fixed fee schedule","Yes","No")</f>
        <v>No</v>
      </c>
      <c r="AB1076" s="127" t="str">
        <f>IF(OR(MasterFees[[#This Row],[Fee Basis]]="Add-on",MasterFees[[#This Row],[Fee Basis]]="Time band",MasterFees[[#This Row],[Fee Basis]]="Other"),MasterFees[[#This Row],[Fee Basis]],"Base")</f>
        <v>Base</v>
      </c>
      <c r="AC1076" s="141" t="str">
        <f>IF(MasterFees[[#This Row],[Fixed Fee?]]="Yes",MasterFees[[#This Row],[Fee Excl. GST]],"")</f>
        <v/>
      </c>
    </row>
    <row r="1077" spans="1:29" x14ac:dyDescent="0.2">
      <c r="A1077" s="67" t="s">
        <v>2392</v>
      </c>
      <c r="B1077" s="31">
        <f>IF(MasterFees[[#This Row],[RVG Code]]="","",_xlfn.XLOOKUP(MasterFees[[#This Row],[RVG Code]],RVGCodes[Code],RVGCodes[Base Units],"Code not found"))</f>
        <v>8</v>
      </c>
      <c r="C107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7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77" s="125" t="s">
        <v>2581</v>
      </c>
      <c r="F1077" s="48" t="s">
        <v>2569</v>
      </c>
      <c r="G1077" s="30" t="s">
        <v>808</v>
      </c>
      <c r="H1077" s="37" t="s">
        <v>1095</v>
      </c>
      <c r="I1077" s="37"/>
      <c r="J1077" s="37" t="s">
        <v>1096</v>
      </c>
      <c r="K1077" s="32">
        <v>8</v>
      </c>
      <c r="L1077" s="32">
        <v>4.9000000000000004</v>
      </c>
      <c r="M1077" s="32">
        <v>0.6</v>
      </c>
      <c r="N1077" s="32">
        <v>13.5</v>
      </c>
      <c r="O1077" s="33">
        <v>741.95</v>
      </c>
      <c r="P1077" s="38" t="s">
        <v>1014</v>
      </c>
      <c r="Q1077" s="34" t="str">
        <f>IF(MasterFees[[#This Row],[GST Basis]]="Excl",MasterFees[[#This Row],[Fee as Printed]],IF(MasterFees[[#This Row],[GST Basis]]="Incl",MasterFees[[#This Row],[Fee as Printed]]/(1+GST_Rate),""))</f>
        <v/>
      </c>
      <c r="R1077" s="34" t="str">
        <f>IF(MasterFees[[#This Row],[GST Basis]]="Incl",MasterFees[[#This Row],[Fee as Printed]],IF(MasterFees[[#This Row],[GST Basis]]="Excl",MasterFees[[#This Row],[Fee as Printed]]*(1+GST_Rate),""))</f>
        <v/>
      </c>
      <c r="S1077" s="35">
        <f>IF(N(MasterFees[[#This Row],[Total Units]])=0,"",MasterFees[[#This Row],[Fee as Printed]]/MasterFees[[#This Row],[Total Units]])</f>
        <v>54.959259259259262</v>
      </c>
      <c r="T1077" s="36"/>
      <c r="U1077" s="39" t="s">
        <v>1012</v>
      </c>
      <c r="V1077" s="39" t="s">
        <v>1911</v>
      </c>
      <c r="W1077" s="30"/>
      <c r="X1077" s="73" t="s">
        <v>3718</v>
      </c>
      <c r="Y1077" s="127" t="str">
        <f>_xlfn.XLOOKUP(MasterFees[[#This Row],[Provider / Payer]],Contracts[Contract Name],Contracts[Contract ID],"No contract")</f>
        <v>CON-01</v>
      </c>
      <c r="Z1077" s="127" t="str">
        <f>_xlfn.XLOOKUP(MasterFees[[#This Row],[Provider / Payer]],Contracts[Contract Name],Contracts[Pricing Basis],"To confirm")</f>
        <v>To confirm</v>
      </c>
      <c r="AA1077" s="127" t="str">
        <f>IF(MasterFees[[#This Row],[Pricing Basis]]="Fixed fee schedule","Yes","No")</f>
        <v>No</v>
      </c>
      <c r="AB1077" s="127" t="str">
        <f>IF(OR(MasterFees[[#This Row],[Fee Basis]]="Add-on",MasterFees[[#This Row],[Fee Basis]]="Time band",MasterFees[[#This Row],[Fee Basis]]="Other"),MasterFees[[#This Row],[Fee Basis]],"Base")</f>
        <v>Base</v>
      </c>
      <c r="AC1077" s="141" t="str">
        <f>IF(MasterFees[[#This Row],[Fixed Fee?]]="Yes",MasterFees[[#This Row],[Fee Excl. GST]],"")</f>
        <v/>
      </c>
    </row>
    <row r="1078" spans="1:29" x14ac:dyDescent="0.2">
      <c r="A1078" s="67" t="s">
        <v>2392</v>
      </c>
      <c r="B1078" s="31">
        <f>IF(MasterFees[[#This Row],[RVG Code]]="","",_xlfn.XLOOKUP(MasterFees[[#This Row],[RVG Code]],RVGCodes[Code],RVGCodes[Base Units],"Code not found"))</f>
        <v>8</v>
      </c>
      <c r="C107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7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78" s="125" t="s">
        <v>2581</v>
      </c>
      <c r="F1078" s="48" t="s">
        <v>2569</v>
      </c>
      <c r="G1078" s="30" t="s">
        <v>816</v>
      </c>
      <c r="H1078" s="37" t="s">
        <v>1095</v>
      </c>
      <c r="I1078" s="37"/>
      <c r="J1078" s="37" t="s">
        <v>1096</v>
      </c>
      <c r="K1078" s="32">
        <v>8</v>
      </c>
      <c r="L1078" s="32">
        <v>7.9</v>
      </c>
      <c r="M1078" s="32">
        <v>1.6</v>
      </c>
      <c r="N1078" s="32">
        <v>17.399999999999999</v>
      </c>
      <c r="O1078" s="33">
        <v>959.2</v>
      </c>
      <c r="P1078" s="38" t="s">
        <v>1014</v>
      </c>
      <c r="Q1078" s="34" t="str">
        <f>IF(MasterFees[[#This Row],[GST Basis]]="Excl",MasterFees[[#This Row],[Fee as Printed]],IF(MasterFees[[#This Row],[GST Basis]]="Incl",MasterFees[[#This Row],[Fee as Printed]]/(1+GST_Rate),""))</f>
        <v/>
      </c>
      <c r="R1078" s="34" t="str">
        <f>IF(MasterFees[[#This Row],[GST Basis]]="Incl",MasterFees[[#This Row],[Fee as Printed]],IF(MasterFees[[#This Row],[GST Basis]]="Excl",MasterFees[[#This Row],[Fee as Printed]]*(1+GST_Rate),""))</f>
        <v/>
      </c>
      <c r="S1078" s="35">
        <f>IF(N(MasterFees[[#This Row],[Total Units]])=0,"",MasterFees[[#This Row],[Fee as Printed]]/MasterFees[[#This Row],[Total Units]])</f>
        <v>55.1264367816092</v>
      </c>
      <c r="T1078" s="36"/>
      <c r="U1078" s="39" t="s">
        <v>1012</v>
      </c>
      <c r="V1078" s="39" t="s">
        <v>1919</v>
      </c>
      <c r="W1078" s="30"/>
      <c r="X1078" s="73" t="s">
        <v>3727</v>
      </c>
      <c r="Y1078" s="127" t="str">
        <f>_xlfn.XLOOKUP(MasterFees[[#This Row],[Provider / Payer]],Contracts[Contract Name],Contracts[Contract ID],"No contract")</f>
        <v>CON-01</v>
      </c>
      <c r="Z1078" s="127" t="str">
        <f>_xlfn.XLOOKUP(MasterFees[[#This Row],[Provider / Payer]],Contracts[Contract Name],Contracts[Pricing Basis],"To confirm")</f>
        <v>To confirm</v>
      </c>
      <c r="AA1078" s="127" t="str">
        <f>IF(MasterFees[[#This Row],[Pricing Basis]]="Fixed fee schedule","Yes","No")</f>
        <v>No</v>
      </c>
      <c r="AB1078" s="127" t="str">
        <f>IF(OR(MasterFees[[#This Row],[Fee Basis]]="Add-on",MasterFees[[#This Row],[Fee Basis]]="Time band",MasterFees[[#This Row],[Fee Basis]]="Other"),MasterFees[[#This Row],[Fee Basis]],"Base")</f>
        <v>Base</v>
      </c>
      <c r="AC1078" s="141" t="str">
        <f>IF(MasterFees[[#This Row],[Fixed Fee?]]="Yes",MasterFees[[#This Row],[Fee Excl. GST]],"")</f>
        <v/>
      </c>
    </row>
    <row r="1079" spans="1:29" x14ac:dyDescent="0.2">
      <c r="A1079" s="67" t="s">
        <v>2392</v>
      </c>
      <c r="B1079" s="31">
        <f>IF(MasterFees[[#This Row],[RVG Code]]="","",_xlfn.XLOOKUP(MasterFees[[#This Row],[RVG Code]],RVGCodes[Code],RVGCodes[Base Units],"Code not found"))</f>
        <v>8</v>
      </c>
      <c r="C107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7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79" s="125" t="s">
        <v>2581</v>
      </c>
      <c r="F1079" s="48" t="s">
        <v>2569</v>
      </c>
      <c r="G1079" s="30" t="s">
        <v>817</v>
      </c>
      <c r="H1079" s="37" t="s">
        <v>1095</v>
      </c>
      <c r="I1079" s="37"/>
      <c r="J1079" s="37" t="s">
        <v>1096</v>
      </c>
      <c r="K1079" s="32">
        <v>8</v>
      </c>
      <c r="L1079" s="32">
        <v>7.9</v>
      </c>
      <c r="M1079" s="32">
        <v>1.4</v>
      </c>
      <c r="N1079" s="32">
        <v>17.3</v>
      </c>
      <c r="O1079" s="33">
        <v>952.05</v>
      </c>
      <c r="P1079" s="38" t="s">
        <v>1014</v>
      </c>
      <c r="Q1079" s="34" t="str">
        <f>IF(MasterFees[[#This Row],[GST Basis]]="Excl",MasterFees[[#This Row],[Fee as Printed]],IF(MasterFees[[#This Row],[GST Basis]]="Incl",MasterFees[[#This Row],[Fee as Printed]]/(1+GST_Rate),""))</f>
        <v/>
      </c>
      <c r="R1079" s="34" t="str">
        <f>IF(MasterFees[[#This Row],[GST Basis]]="Incl",MasterFees[[#This Row],[Fee as Printed]],IF(MasterFees[[#This Row],[GST Basis]]="Excl",MasterFees[[#This Row],[Fee as Printed]]*(1+GST_Rate),""))</f>
        <v/>
      </c>
      <c r="S1079" s="35">
        <f>IF(N(MasterFees[[#This Row],[Total Units]])=0,"",MasterFees[[#This Row],[Fee as Printed]]/MasterFees[[#This Row],[Total Units]])</f>
        <v>55.031791907514446</v>
      </c>
      <c r="T1079" s="36"/>
      <c r="U1079" s="39" t="s">
        <v>1012</v>
      </c>
      <c r="V1079" s="39" t="s">
        <v>1920</v>
      </c>
      <c r="W1079" s="30"/>
      <c r="X1079" s="73" t="s">
        <v>3728</v>
      </c>
      <c r="Y1079" s="127" t="str">
        <f>_xlfn.XLOOKUP(MasterFees[[#This Row],[Provider / Payer]],Contracts[Contract Name],Contracts[Contract ID],"No contract")</f>
        <v>CON-01</v>
      </c>
      <c r="Z1079" s="127" t="str">
        <f>_xlfn.XLOOKUP(MasterFees[[#This Row],[Provider / Payer]],Contracts[Contract Name],Contracts[Pricing Basis],"To confirm")</f>
        <v>To confirm</v>
      </c>
      <c r="AA1079" s="127" t="str">
        <f>IF(MasterFees[[#This Row],[Pricing Basis]]="Fixed fee schedule","Yes","No")</f>
        <v>No</v>
      </c>
      <c r="AB1079" s="127" t="str">
        <f>IF(OR(MasterFees[[#This Row],[Fee Basis]]="Add-on",MasterFees[[#This Row],[Fee Basis]]="Time band",MasterFees[[#This Row],[Fee Basis]]="Other"),MasterFees[[#This Row],[Fee Basis]],"Base")</f>
        <v>Base</v>
      </c>
      <c r="AC1079" s="141" t="str">
        <f>IF(MasterFees[[#This Row],[Fixed Fee?]]="Yes",MasterFees[[#This Row],[Fee Excl. GST]],"")</f>
        <v/>
      </c>
    </row>
    <row r="1080" spans="1:29" x14ac:dyDescent="0.2">
      <c r="A1080" s="67" t="s">
        <v>2392</v>
      </c>
      <c r="B1080" s="31">
        <f>IF(MasterFees[[#This Row],[RVG Code]]="","",_xlfn.XLOOKUP(MasterFees[[#This Row],[RVG Code]],RVGCodes[Code],RVGCodes[Base Units],"Code not found"))</f>
        <v>8</v>
      </c>
      <c r="C108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8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80" s="125" t="s">
        <v>2581</v>
      </c>
      <c r="F1080" s="48" t="s">
        <v>2569</v>
      </c>
      <c r="G1080" s="30" t="s">
        <v>818</v>
      </c>
      <c r="H1080" s="37" t="s">
        <v>1095</v>
      </c>
      <c r="I1080" s="37"/>
      <c r="J1080" s="37" t="s">
        <v>1096</v>
      </c>
      <c r="K1080" s="32">
        <v>8</v>
      </c>
      <c r="L1080" s="32">
        <v>8</v>
      </c>
      <c r="M1080" s="32">
        <v>0</v>
      </c>
      <c r="N1080" s="32">
        <v>16</v>
      </c>
      <c r="O1080" s="33">
        <v>880</v>
      </c>
      <c r="P1080" s="38" t="s">
        <v>1014</v>
      </c>
      <c r="Q1080" s="34" t="str">
        <f>IF(MasterFees[[#This Row],[GST Basis]]="Excl",MasterFees[[#This Row],[Fee as Printed]],IF(MasterFees[[#This Row],[GST Basis]]="Incl",MasterFees[[#This Row],[Fee as Printed]]/(1+GST_Rate),""))</f>
        <v/>
      </c>
      <c r="R1080" s="34" t="str">
        <f>IF(MasterFees[[#This Row],[GST Basis]]="Incl",MasterFees[[#This Row],[Fee as Printed]],IF(MasterFees[[#This Row],[GST Basis]]="Excl",MasterFees[[#This Row],[Fee as Printed]]*(1+GST_Rate),""))</f>
        <v/>
      </c>
      <c r="S1080" s="35">
        <f>IF(N(MasterFees[[#This Row],[Total Units]])=0,"",MasterFees[[#This Row],[Fee as Printed]]/MasterFees[[#This Row],[Total Units]])</f>
        <v>55</v>
      </c>
      <c r="T1080" s="36"/>
      <c r="U1080" s="39" t="s">
        <v>1012</v>
      </c>
      <c r="V1080" s="39" t="s">
        <v>1921</v>
      </c>
      <c r="W1080" s="30"/>
      <c r="X1080" s="73" t="s">
        <v>3729</v>
      </c>
      <c r="Y1080" s="127" t="str">
        <f>_xlfn.XLOOKUP(MasterFees[[#This Row],[Provider / Payer]],Contracts[Contract Name],Contracts[Contract ID],"No contract")</f>
        <v>CON-01</v>
      </c>
      <c r="Z1080" s="127" t="str">
        <f>_xlfn.XLOOKUP(MasterFees[[#This Row],[Provider / Payer]],Contracts[Contract Name],Contracts[Pricing Basis],"To confirm")</f>
        <v>To confirm</v>
      </c>
      <c r="AA1080" s="127" t="str">
        <f>IF(MasterFees[[#This Row],[Pricing Basis]]="Fixed fee schedule","Yes","No")</f>
        <v>No</v>
      </c>
      <c r="AB1080" s="127" t="str">
        <f>IF(OR(MasterFees[[#This Row],[Fee Basis]]="Add-on",MasterFees[[#This Row],[Fee Basis]]="Time band",MasterFees[[#This Row],[Fee Basis]]="Other"),MasterFees[[#This Row],[Fee Basis]],"Base")</f>
        <v>Base</v>
      </c>
      <c r="AC1080" s="141" t="str">
        <f>IF(MasterFees[[#This Row],[Fixed Fee?]]="Yes",MasterFees[[#This Row],[Fee Excl. GST]],"")</f>
        <v/>
      </c>
    </row>
    <row r="1081" spans="1:29" x14ac:dyDescent="0.2">
      <c r="A1081" s="67" t="s">
        <v>2392</v>
      </c>
      <c r="B1081" s="31">
        <f>IF(MasterFees[[#This Row],[RVG Code]]="","",_xlfn.XLOOKUP(MasterFees[[#This Row],[RVG Code]],RVGCodes[Code],RVGCodes[Base Units],"Code not found"))</f>
        <v>8</v>
      </c>
      <c r="C108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8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81" s="125" t="s">
        <v>2581</v>
      </c>
      <c r="F1081" s="48" t="s">
        <v>2569</v>
      </c>
      <c r="G1081" s="30" t="s">
        <v>819</v>
      </c>
      <c r="H1081" s="37" t="s">
        <v>1095</v>
      </c>
      <c r="I1081" s="37"/>
      <c r="J1081" s="37" t="s">
        <v>1096</v>
      </c>
      <c r="K1081" s="32">
        <v>8</v>
      </c>
      <c r="L1081" s="32">
        <v>7</v>
      </c>
      <c r="M1081" s="32">
        <v>4</v>
      </c>
      <c r="N1081" s="32">
        <v>19</v>
      </c>
      <c r="O1081" s="33">
        <v>1045</v>
      </c>
      <c r="P1081" s="38" t="s">
        <v>1014</v>
      </c>
      <c r="Q1081" s="34" t="str">
        <f>IF(MasterFees[[#This Row],[GST Basis]]="Excl",MasterFees[[#This Row],[Fee as Printed]],IF(MasterFees[[#This Row],[GST Basis]]="Incl",MasterFees[[#This Row],[Fee as Printed]]/(1+GST_Rate),""))</f>
        <v/>
      </c>
      <c r="R1081" s="34" t="str">
        <f>IF(MasterFees[[#This Row],[GST Basis]]="Incl",MasterFees[[#This Row],[Fee as Printed]],IF(MasterFees[[#This Row],[GST Basis]]="Excl",MasterFees[[#This Row],[Fee as Printed]]*(1+GST_Rate),""))</f>
        <v/>
      </c>
      <c r="S1081" s="35">
        <f>IF(N(MasterFees[[#This Row],[Total Units]])=0,"",MasterFees[[#This Row],[Fee as Printed]]/MasterFees[[#This Row],[Total Units]])</f>
        <v>55</v>
      </c>
      <c r="T1081" s="36"/>
      <c r="U1081" s="39" t="s">
        <v>1012</v>
      </c>
      <c r="V1081" s="39" t="s">
        <v>1922</v>
      </c>
      <c r="W1081" s="30"/>
      <c r="X1081" s="73" t="s">
        <v>3730</v>
      </c>
      <c r="Y1081" s="127" t="str">
        <f>_xlfn.XLOOKUP(MasterFees[[#This Row],[Provider / Payer]],Contracts[Contract Name],Contracts[Contract ID],"No contract")</f>
        <v>CON-01</v>
      </c>
      <c r="Z1081" s="127" t="str">
        <f>_xlfn.XLOOKUP(MasterFees[[#This Row],[Provider / Payer]],Contracts[Contract Name],Contracts[Pricing Basis],"To confirm")</f>
        <v>To confirm</v>
      </c>
      <c r="AA1081" s="127" t="str">
        <f>IF(MasterFees[[#This Row],[Pricing Basis]]="Fixed fee schedule","Yes","No")</f>
        <v>No</v>
      </c>
      <c r="AB1081" s="127" t="str">
        <f>IF(OR(MasterFees[[#This Row],[Fee Basis]]="Add-on",MasterFees[[#This Row],[Fee Basis]]="Time band",MasterFees[[#This Row],[Fee Basis]]="Other"),MasterFees[[#This Row],[Fee Basis]],"Base")</f>
        <v>Base</v>
      </c>
      <c r="AC1081" s="141" t="str">
        <f>IF(MasterFees[[#This Row],[Fixed Fee?]]="Yes",MasterFees[[#This Row],[Fee Excl. GST]],"")</f>
        <v/>
      </c>
    </row>
    <row r="1082" spans="1:29" x14ac:dyDescent="0.2">
      <c r="A1082" s="67" t="s">
        <v>2392</v>
      </c>
      <c r="B1082" s="31">
        <f>IF(MasterFees[[#This Row],[RVG Code]]="","",_xlfn.XLOOKUP(MasterFees[[#This Row],[RVG Code]],RVGCodes[Code],RVGCodes[Base Units],"Code not found"))</f>
        <v>8</v>
      </c>
      <c r="C108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8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82" s="125" t="s">
        <v>2581</v>
      </c>
      <c r="F1082" s="48" t="s">
        <v>2567</v>
      </c>
      <c r="G1082" s="30" t="s">
        <v>820</v>
      </c>
      <c r="H1082" s="37" t="s">
        <v>1095</v>
      </c>
      <c r="I1082" s="37"/>
      <c r="J1082" s="37" t="s">
        <v>1096</v>
      </c>
      <c r="K1082" s="32">
        <v>8</v>
      </c>
      <c r="L1082" s="32">
        <v>8.4</v>
      </c>
      <c r="M1082" s="32">
        <v>1.6</v>
      </c>
      <c r="N1082" s="32">
        <v>18</v>
      </c>
      <c r="O1082" s="33">
        <v>989.45</v>
      </c>
      <c r="P1082" s="38" t="s">
        <v>1014</v>
      </c>
      <c r="Q1082" s="34" t="str">
        <f>IF(MasterFees[[#This Row],[GST Basis]]="Excl",MasterFees[[#This Row],[Fee as Printed]],IF(MasterFees[[#This Row],[GST Basis]]="Incl",MasterFees[[#This Row],[Fee as Printed]]/(1+GST_Rate),""))</f>
        <v/>
      </c>
      <c r="R1082" s="34" t="str">
        <f>IF(MasterFees[[#This Row],[GST Basis]]="Incl",MasterFees[[#This Row],[Fee as Printed]],IF(MasterFees[[#This Row],[GST Basis]]="Excl",MasterFees[[#This Row],[Fee as Printed]]*(1+GST_Rate),""))</f>
        <v/>
      </c>
      <c r="S1082" s="35">
        <f>IF(N(MasterFees[[#This Row],[Total Units]])=0,"",MasterFees[[#This Row],[Fee as Printed]]/MasterFees[[#This Row],[Total Units]])</f>
        <v>54.969444444444449</v>
      </c>
      <c r="T1082" s="36"/>
      <c r="U1082" s="39" t="s">
        <v>1012</v>
      </c>
      <c r="V1082" s="39" t="s">
        <v>1923</v>
      </c>
      <c r="W1082" s="30"/>
      <c r="X1082" s="73" t="s">
        <v>3731</v>
      </c>
      <c r="Y1082" s="127" t="str">
        <f>_xlfn.XLOOKUP(MasterFees[[#This Row],[Provider / Payer]],Contracts[Contract Name],Contracts[Contract ID],"No contract")</f>
        <v>CON-01</v>
      </c>
      <c r="Z1082" s="127" t="str">
        <f>_xlfn.XLOOKUP(MasterFees[[#This Row],[Provider / Payer]],Contracts[Contract Name],Contracts[Pricing Basis],"To confirm")</f>
        <v>To confirm</v>
      </c>
      <c r="AA1082" s="127" t="str">
        <f>IF(MasterFees[[#This Row],[Pricing Basis]]="Fixed fee schedule","Yes","No")</f>
        <v>No</v>
      </c>
      <c r="AB1082" s="127" t="str">
        <f>IF(OR(MasterFees[[#This Row],[Fee Basis]]="Add-on",MasterFees[[#This Row],[Fee Basis]]="Time band",MasterFees[[#This Row],[Fee Basis]]="Other"),MasterFees[[#This Row],[Fee Basis]],"Base")</f>
        <v>Base</v>
      </c>
      <c r="AC1082" s="141" t="str">
        <f>IF(MasterFees[[#This Row],[Fixed Fee?]]="Yes",MasterFees[[#This Row],[Fee Excl. GST]],"")</f>
        <v/>
      </c>
    </row>
    <row r="1083" spans="1:29" x14ac:dyDescent="0.2">
      <c r="A1083" s="67" t="s">
        <v>2392</v>
      </c>
      <c r="B1083" s="31">
        <f>IF(MasterFees[[#This Row],[RVG Code]]="","",_xlfn.XLOOKUP(MasterFees[[#This Row],[RVG Code]],RVGCodes[Code],RVGCodes[Base Units],"Code not found"))</f>
        <v>8</v>
      </c>
      <c r="C108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8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83" s="125" t="s">
        <v>2581</v>
      </c>
      <c r="F1083" s="48" t="s">
        <v>2567</v>
      </c>
      <c r="G1083" s="30" t="s">
        <v>821</v>
      </c>
      <c r="H1083" s="37" t="s">
        <v>1095</v>
      </c>
      <c r="I1083" s="37"/>
      <c r="J1083" s="37" t="s">
        <v>1096</v>
      </c>
      <c r="K1083" s="32">
        <v>8</v>
      </c>
      <c r="L1083" s="32">
        <v>11.7</v>
      </c>
      <c r="M1083" s="32">
        <v>1</v>
      </c>
      <c r="N1083" s="32">
        <v>20.7</v>
      </c>
      <c r="O1083" s="33">
        <v>1136.3</v>
      </c>
      <c r="P1083" s="38" t="s">
        <v>1014</v>
      </c>
      <c r="Q1083" s="34" t="str">
        <f>IF(MasterFees[[#This Row],[GST Basis]]="Excl",MasterFees[[#This Row],[Fee as Printed]],IF(MasterFees[[#This Row],[GST Basis]]="Incl",MasterFees[[#This Row],[Fee as Printed]]/(1+GST_Rate),""))</f>
        <v/>
      </c>
      <c r="R1083" s="34" t="str">
        <f>IF(MasterFees[[#This Row],[GST Basis]]="Incl",MasterFees[[#This Row],[Fee as Printed]],IF(MasterFees[[#This Row],[GST Basis]]="Excl",MasterFees[[#This Row],[Fee as Printed]]*(1+GST_Rate),""))</f>
        <v/>
      </c>
      <c r="S1083" s="35">
        <f>IF(N(MasterFees[[#This Row],[Total Units]])=0,"",MasterFees[[#This Row],[Fee as Printed]]/MasterFees[[#This Row],[Total Units]])</f>
        <v>54.893719806763286</v>
      </c>
      <c r="T1083" s="36"/>
      <c r="U1083" s="39" t="s">
        <v>1012</v>
      </c>
      <c r="V1083" s="39" t="s">
        <v>1924</v>
      </c>
      <c r="W1083" s="30"/>
      <c r="X1083" s="73" t="s">
        <v>3732</v>
      </c>
      <c r="Y1083" s="127" t="str">
        <f>_xlfn.XLOOKUP(MasterFees[[#This Row],[Provider / Payer]],Contracts[Contract Name],Contracts[Contract ID],"No contract")</f>
        <v>CON-01</v>
      </c>
      <c r="Z1083" s="127" t="str">
        <f>_xlfn.XLOOKUP(MasterFees[[#This Row],[Provider / Payer]],Contracts[Contract Name],Contracts[Pricing Basis],"To confirm")</f>
        <v>To confirm</v>
      </c>
      <c r="AA1083" s="127" t="str">
        <f>IF(MasterFees[[#This Row],[Pricing Basis]]="Fixed fee schedule","Yes","No")</f>
        <v>No</v>
      </c>
      <c r="AB1083" s="127" t="str">
        <f>IF(OR(MasterFees[[#This Row],[Fee Basis]]="Add-on",MasterFees[[#This Row],[Fee Basis]]="Time band",MasterFees[[#This Row],[Fee Basis]]="Other"),MasterFees[[#This Row],[Fee Basis]],"Base")</f>
        <v>Base</v>
      </c>
      <c r="AC1083" s="141" t="str">
        <f>IF(MasterFees[[#This Row],[Fixed Fee?]]="Yes",MasterFees[[#This Row],[Fee Excl. GST]],"")</f>
        <v/>
      </c>
    </row>
    <row r="1084" spans="1:29" x14ac:dyDescent="0.2">
      <c r="A1084" s="67" t="s">
        <v>2392</v>
      </c>
      <c r="B1084" s="31">
        <f>IF(MasterFees[[#This Row],[RVG Code]]="","",_xlfn.XLOOKUP(MasterFees[[#This Row],[RVG Code]],RVGCodes[Code],RVGCodes[Base Units],"Code not found"))</f>
        <v>8</v>
      </c>
      <c r="C108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8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84" s="125" t="s">
        <v>2581</v>
      </c>
      <c r="F1084" s="48" t="s">
        <v>2569</v>
      </c>
      <c r="G1084" s="30" t="s">
        <v>822</v>
      </c>
      <c r="H1084" s="37" t="s">
        <v>1095</v>
      </c>
      <c r="I1084" s="37"/>
      <c r="J1084" s="37" t="s">
        <v>1096</v>
      </c>
      <c r="K1084" s="32">
        <v>7.9</v>
      </c>
      <c r="L1084" s="32">
        <v>8.4</v>
      </c>
      <c r="M1084" s="32">
        <v>1.7</v>
      </c>
      <c r="N1084" s="32">
        <v>18.100000000000001</v>
      </c>
      <c r="O1084" s="33">
        <v>993.3</v>
      </c>
      <c r="P1084" s="38" t="s">
        <v>1014</v>
      </c>
      <c r="Q1084" s="34" t="str">
        <f>IF(MasterFees[[#This Row],[GST Basis]]="Excl",MasterFees[[#This Row],[Fee as Printed]],IF(MasterFees[[#This Row],[GST Basis]]="Incl",MasterFees[[#This Row],[Fee as Printed]]/(1+GST_Rate),""))</f>
        <v/>
      </c>
      <c r="R1084" s="34" t="str">
        <f>IF(MasterFees[[#This Row],[GST Basis]]="Incl",MasterFees[[#This Row],[Fee as Printed]],IF(MasterFees[[#This Row],[GST Basis]]="Excl",MasterFees[[#This Row],[Fee as Printed]]*(1+GST_Rate),""))</f>
        <v/>
      </c>
      <c r="S1084" s="35">
        <f>IF(N(MasterFees[[#This Row],[Total Units]])=0,"",MasterFees[[#This Row],[Fee as Printed]]/MasterFees[[#This Row],[Total Units]])</f>
        <v>54.878453038674024</v>
      </c>
      <c r="T1084" s="36"/>
      <c r="U1084" s="39" t="s">
        <v>1012</v>
      </c>
      <c r="V1084" s="39" t="s">
        <v>1925</v>
      </c>
      <c r="W1084" s="30"/>
      <c r="X1084" s="73" t="s">
        <v>3733</v>
      </c>
      <c r="Y1084" s="127" t="str">
        <f>_xlfn.XLOOKUP(MasterFees[[#This Row],[Provider / Payer]],Contracts[Contract Name],Contracts[Contract ID],"No contract")</f>
        <v>CON-01</v>
      </c>
      <c r="Z1084" s="127" t="str">
        <f>_xlfn.XLOOKUP(MasterFees[[#This Row],[Provider / Payer]],Contracts[Contract Name],Contracts[Pricing Basis],"To confirm")</f>
        <v>To confirm</v>
      </c>
      <c r="AA1084" s="127" t="str">
        <f>IF(MasterFees[[#This Row],[Pricing Basis]]="Fixed fee schedule","Yes","No")</f>
        <v>No</v>
      </c>
      <c r="AB1084" s="127" t="str">
        <f>IF(OR(MasterFees[[#This Row],[Fee Basis]]="Add-on",MasterFees[[#This Row],[Fee Basis]]="Time band",MasterFees[[#This Row],[Fee Basis]]="Other"),MasterFees[[#This Row],[Fee Basis]],"Base")</f>
        <v>Base</v>
      </c>
      <c r="AC1084" s="141" t="str">
        <f>IF(MasterFees[[#This Row],[Fixed Fee?]]="Yes",MasterFees[[#This Row],[Fee Excl. GST]],"")</f>
        <v/>
      </c>
    </row>
    <row r="1085" spans="1:29" x14ac:dyDescent="0.2">
      <c r="A1085" s="67" t="s">
        <v>2392</v>
      </c>
      <c r="B1085" s="31">
        <f>IF(MasterFees[[#This Row],[RVG Code]]="","",_xlfn.XLOOKUP(MasterFees[[#This Row],[RVG Code]],RVGCodes[Code],RVGCodes[Base Units],"Code not found"))</f>
        <v>8</v>
      </c>
      <c r="C108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8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85" s="125" t="s">
        <v>2581</v>
      </c>
      <c r="F1085" s="48" t="s">
        <v>2569</v>
      </c>
      <c r="G1085" s="30" t="s">
        <v>823</v>
      </c>
      <c r="H1085" s="37" t="s">
        <v>1095</v>
      </c>
      <c r="I1085" s="37"/>
      <c r="J1085" s="37" t="s">
        <v>1096</v>
      </c>
      <c r="K1085" s="32">
        <v>8</v>
      </c>
      <c r="L1085" s="32">
        <v>8.1</v>
      </c>
      <c r="M1085" s="32">
        <v>1.5</v>
      </c>
      <c r="N1085" s="32">
        <v>17.600000000000001</v>
      </c>
      <c r="O1085" s="33">
        <v>967.45</v>
      </c>
      <c r="P1085" s="38" t="s">
        <v>1014</v>
      </c>
      <c r="Q1085" s="34" t="str">
        <f>IF(MasterFees[[#This Row],[GST Basis]]="Excl",MasterFees[[#This Row],[Fee as Printed]],IF(MasterFees[[#This Row],[GST Basis]]="Incl",MasterFees[[#This Row],[Fee as Printed]]/(1+GST_Rate),""))</f>
        <v/>
      </c>
      <c r="R1085" s="34" t="str">
        <f>IF(MasterFees[[#This Row],[GST Basis]]="Incl",MasterFees[[#This Row],[Fee as Printed]],IF(MasterFees[[#This Row],[GST Basis]]="Excl",MasterFees[[#This Row],[Fee as Printed]]*(1+GST_Rate),""))</f>
        <v/>
      </c>
      <c r="S1085" s="35">
        <f>IF(N(MasterFees[[#This Row],[Total Units]])=0,"",MasterFees[[#This Row],[Fee as Printed]]/MasterFees[[#This Row],[Total Units]])</f>
        <v>54.96875</v>
      </c>
      <c r="T1085" s="36"/>
      <c r="U1085" s="39" t="s">
        <v>1012</v>
      </c>
      <c r="V1085" s="39" t="s">
        <v>1926</v>
      </c>
      <c r="W1085" s="30"/>
      <c r="X1085" s="73" t="s">
        <v>3734</v>
      </c>
      <c r="Y1085" s="127" t="str">
        <f>_xlfn.XLOOKUP(MasterFees[[#This Row],[Provider / Payer]],Contracts[Contract Name],Contracts[Contract ID],"No contract")</f>
        <v>CON-01</v>
      </c>
      <c r="Z1085" s="127" t="str">
        <f>_xlfn.XLOOKUP(MasterFees[[#This Row],[Provider / Payer]],Contracts[Contract Name],Contracts[Pricing Basis],"To confirm")</f>
        <v>To confirm</v>
      </c>
      <c r="AA1085" s="127" t="str">
        <f>IF(MasterFees[[#This Row],[Pricing Basis]]="Fixed fee schedule","Yes","No")</f>
        <v>No</v>
      </c>
      <c r="AB1085" s="127" t="str">
        <f>IF(OR(MasterFees[[#This Row],[Fee Basis]]="Add-on",MasterFees[[#This Row],[Fee Basis]]="Time band",MasterFees[[#This Row],[Fee Basis]]="Other"),MasterFees[[#This Row],[Fee Basis]],"Base")</f>
        <v>Base</v>
      </c>
      <c r="AC1085" s="141" t="str">
        <f>IF(MasterFees[[#This Row],[Fixed Fee?]]="Yes",MasterFees[[#This Row],[Fee Excl. GST]],"")</f>
        <v/>
      </c>
    </row>
    <row r="1086" spans="1:29" x14ac:dyDescent="0.2">
      <c r="A1086" s="67" t="s">
        <v>2392</v>
      </c>
      <c r="B1086" s="31">
        <f>IF(MasterFees[[#This Row],[RVG Code]]="","",_xlfn.XLOOKUP(MasterFees[[#This Row],[RVG Code]],RVGCodes[Code],RVGCodes[Base Units],"Code not found"))</f>
        <v>8</v>
      </c>
      <c r="C108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8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86" s="125" t="s">
        <v>2581</v>
      </c>
      <c r="F1086" s="48" t="s">
        <v>2569</v>
      </c>
      <c r="G1086" s="30" t="s">
        <v>826</v>
      </c>
      <c r="H1086" s="37" t="s">
        <v>1095</v>
      </c>
      <c r="I1086" s="37"/>
      <c r="J1086" s="37" t="s">
        <v>1096</v>
      </c>
      <c r="K1086" s="32">
        <v>8</v>
      </c>
      <c r="L1086" s="32">
        <v>6</v>
      </c>
      <c r="M1086" s="32">
        <v>1</v>
      </c>
      <c r="N1086" s="32">
        <v>15</v>
      </c>
      <c r="O1086" s="33">
        <v>825</v>
      </c>
      <c r="P1086" s="38" t="s">
        <v>1014</v>
      </c>
      <c r="Q1086" s="34" t="str">
        <f>IF(MasterFees[[#This Row],[GST Basis]]="Excl",MasterFees[[#This Row],[Fee as Printed]],IF(MasterFees[[#This Row],[GST Basis]]="Incl",MasterFees[[#This Row],[Fee as Printed]]/(1+GST_Rate),""))</f>
        <v/>
      </c>
      <c r="R1086" s="34" t="str">
        <f>IF(MasterFees[[#This Row],[GST Basis]]="Incl",MasterFees[[#This Row],[Fee as Printed]],IF(MasterFees[[#This Row],[GST Basis]]="Excl",MasterFees[[#This Row],[Fee as Printed]]*(1+GST_Rate),""))</f>
        <v/>
      </c>
      <c r="S1086" s="35">
        <f>IF(N(MasterFees[[#This Row],[Total Units]])=0,"",MasterFees[[#This Row],[Fee as Printed]]/MasterFees[[#This Row],[Total Units]])</f>
        <v>55</v>
      </c>
      <c r="T1086" s="36"/>
      <c r="U1086" s="39" t="s">
        <v>1012</v>
      </c>
      <c r="V1086" s="39" t="s">
        <v>1929</v>
      </c>
      <c r="W1086" s="30"/>
      <c r="X1086" s="73" t="s">
        <v>3738</v>
      </c>
      <c r="Y1086" s="127" t="str">
        <f>_xlfn.XLOOKUP(MasterFees[[#This Row],[Provider / Payer]],Contracts[Contract Name],Contracts[Contract ID],"No contract")</f>
        <v>CON-01</v>
      </c>
      <c r="Z1086" s="127" t="str">
        <f>_xlfn.XLOOKUP(MasterFees[[#This Row],[Provider / Payer]],Contracts[Contract Name],Contracts[Pricing Basis],"To confirm")</f>
        <v>To confirm</v>
      </c>
      <c r="AA1086" s="127" t="str">
        <f>IF(MasterFees[[#This Row],[Pricing Basis]]="Fixed fee schedule","Yes","No")</f>
        <v>No</v>
      </c>
      <c r="AB1086" s="127" t="str">
        <f>IF(OR(MasterFees[[#This Row],[Fee Basis]]="Add-on",MasterFees[[#This Row],[Fee Basis]]="Time band",MasterFees[[#This Row],[Fee Basis]]="Other"),MasterFees[[#This Row],[Fee Basis]],"Base")</f>
        <v>Base</v>
      </c>
      <c r="AC1086" s="141" t="str">
        <f>IF(MasterFees[[#This Row],[Fixed Fee?]]="Yes",MasterFees[[#This Row],[Fee Excl. GST]],"")</f>
        <v/>
      </c>
    </row>
    <row r="1087" spans="1:29" x14ac:dyDescent="0.2">
      <c r="A1087" s="67" t="s">
        <v>2392</v>
      </c>
      <c r="B1087" s="31">
        <f>IF(MasterFees[[#This Row],[RVG Code]]="","",_xlfn.XLOOKUP(MasterFees[[#This Row],[RVG Code]],RVGCodes[Code],RVGCodes[Base Units],"Code not found"))</f>
        <v>8</v>
      </c>
      <c r="C108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8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87" s="125" t="s">
        <v>2581</v>
      </c>
      <c r="F1087" s="48" t="s">
        <v>2569</v>
      </c>
      <c r="G1087" s="30" t="s">
        <v>827</v>
      </c>
      <c r="H1087" s="37" t="s">
        <v>1095</v>
      </c>
      <c r="I1087" s="37"/>
      <c r="J1087" s="37" t="s">
        <v>1096</v>
      </c>
      <c r="K1087" s="32">
        <v>8</v>
      </c>
      <c r="L1087" s="32">
        <v>6.4</v>
      </c>
      <c r="M1087" s="32">
        <v>1.4</v>
      </c>
      <c r="N1087" s="32">
        <v>15.8</v>
      </c>
      <c r="O1087" s="33">
        <v>867.35</v>
      </c>
      <c r="P1087" s="38" t="s">
        <v>1014</v>
      </c>
      <c r="Q1087" s="34" t="str">
        <f>IF(MasterFees[[#This Row],[GST Basis]]="Excl",MasterFees[[#This Row],[Fee as Printed]],IF(MasterFees[[#This Row],[GST Basis]]="Incl",MasterFees[[#This Row],[Fee as Printed]]/(1+GST_Rate),""))</f>
        <v/>
      </c>
      <c r="R1087" s="34" t="str">
        <f>IF(MasterFees[[#This Row],[GST Basis]]="Incl",MasterFees[[#This Row],[Fee as Printed]],IF(MasterFees[[#This Row],[GST Basis]]="Excl",MasterFees[[#This Row],[Fee as Printed]]*(1+GST_Rate),""))</f>
        <v/>
      </c>
      <c r="S1087" s="35">
        <f>IF(N(MasterFees[[#This Row],[Total Units]])=0,"",MasterFees[[#This Row],[Fee as Printed]]/MasterFees[[#This Row],[Total Units]])</f>
        <v>54.895569620253163</v>
      </c>
      <c r="T1087" s="36"/>
      <c r="U1087" s="39" t="s">
        <v>1012</v>
      </c>
      <c r="V1087" s="39" t="s">
        <v>1930</v>
      </c>
      <c r="W1087" s="30"/>
      <c r="X1087" s="73" t="s">
        <v>3739</v>
      </c>
      <c r="Y1087" s="127" t="str">
        <f>_xlfn.XLOOKUP(MasterFees[[#This Row],[Provider / Payer]],Contracts[Contract Name],Contracts[Contract ID],"No contract")</f>
        <v>CON-01</v>
      </c>
      <c r="Z1087" s="127" t="str">
        <f>_xlfn.XLOOKUP(MasterFees[[#This Row],[Provider / Payer]],Contracts[Contract Name],Contracts[Pricing Basis],"To confirm")</f>
        <v>To confirm</v>
      </c>
      <c r="AA1087" s="127" t="str">
        <f>IF(MasterFees[[#This Row],[Pricing Basis]]="Fixed fee schedule","Yes","No")</f>
        <v>No</v>
      </c>
      <c r="AB1087" s="127" t="str">
        <f>IF(OR(MasterFees[[#This Row],[Fee Basis]]="Add-on",MasterFees[[#This Row],[Fee Basis]]="Time band",MasterFees[[#This Row],[Fee Basis]]="Other"),MasterFees[[#This Row],[Fee Basis]],"Base")</f>
        <v>Base</v>
      </c>
      <c r="AC1087" s="141" t="str">
        <f>IF(MasterFees[[#This Row],[Fixed Fee?]]="Yes",MasterFees[[#This Row],[Fee Excl. GST]],"")</f>
        <v/>
      </c>
    </row>
    <row r="1088" spans="1:29" x14ac:dyDescent="0.2">
      <c r="A1088" s="67" t="s">
        <v>2392</v>
      </c>
      <c r="B1088" s="31">
        <f>IF(MasterFees[[#This Row],[RVG Code]]="","",_xlfn.XLOOKUP(MasterFees[[#This Row],[RVG Code]],RVGCodes[Code],RVGCodes[Base Units],"Code not found"))</f>
        <v>8</v>
      </c>
      <c r="C108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8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88" s="125" t="s">
        <v>2581</v>
      </c>
      <c r="F1088" s="48" t="s">
        <v>2569</v>
      </c>
      <c r="G1088" s="30" t="s">
        <v>828</v>
      </c>
      <c r="H1088" s="37" t="s">
        <v>1095</v>
      </c>
      <c r="I1088" s="37"/>
      <c r="J1088" s="37" t="s">
        <v>1096</v>
      </c>
      <c r="K1088" s="32">
        <v>8</v>
      </c>
      <c r="L1088" s="32">
        <v>4</v>
      </c>
      <c r="M1088" s="32">
        <v>1</v>
      </c>
      <c r="N1088" s="32">
        <v>13</v>
      </c>
      <c r="O1088" s="33">
        <v>715</v>
      </c>
      <c r="P1088" s="38" t="s">
        <v>1014</v>
      </c>
      <c r="Q1088" s="34" t="str">
        <f>IF(MasterFees[[#This Row],[GST Basis]]="Excl",MasterFees[[#This Row],[Fee as Printed]],IF(MasterFees[[#This Row],[GST Basis]]="Incl",MasterFees[[#This Row],[Fee as Printed]]/(1+GST_Rate),""))</f>
        <v/>
      </c>
      <c r="R1088" s="34" t="str">
        <f>IF(MasterFees[[#This Row],[GST Basis]]="Incl",MasterFees[[#This Row],[Fee as Printed]],IF(MasterFees[[#This Row],[GST Basis]]="Excl",MasterFees[[#This Row],[Fee as Printed]]*(1+GST_Rate),""))</f>
        <v/>
      </c>
      <c r="S1088" s="35">
        <f>IF(N(MasterFees[[#This Row],[Total Units]])=0,"",MasterFees[[#This Row],[Fee as Printed]]/MasterFees[[#This Row],[Total Units]])</f>
        <v>55</v>
      </c>
      <c r="T1088" s="36"/>
      <c r="U1088" s="39" t="s">
        <v>1012</v>
      </c>
      <c r="V1088" s="39" t="s">
        <v>1931</v>
      </c>
      <c r="W1088" s="30"/>
      <c r="X1088" s="73" t="s">
        <v>3740</v>
      </c>
      <c r="Y1088" s="127" t="str">
        <f>_xlfn.XLOOKUP(MasterFees[[#This Row],[Provider / Payer]],Contracts[Contract Name],Contracts[Contract ID],"No contract")</f>
        <v>CON-01</v>
      </c>
      <c r="Z1088" s="127" t="str">
        <f>_xlfn.XLOOKUP(MasterFees[[#This Row],[Provider / Payer]],Contracts[Contract Name],Contracts[Pricing Basis],"To confirm")</f>
        <v>To confirm</v>
      </c>
      <c r="AA1088" s="127" t="str">
        <f>IF(MasterFees[[#This Row],[Pricing Basis]]="Fixed fee schedule","Yes","No")</f>
        <v>No</v>
      </c>
      <c r="AB1088" s="127" t="str">
        <f>IF(OR(MasterFees[[#This Row],[Fee Basis]]="Add-on",MasterFees[[#This Row],[Fee Basis]]="Time band",MasterFees[[#This Row],[Fee Basis]]="Other"),MasterFees[[#This Row],[Fee Basis]],"Base")</f>
        <v>Base</v>
      </c>
      <c r="AC1088" s="141" t="str">
        <f>IF(MasterFees[[#This Row],[Fixed Fee?]]="Yes",MasterFees[[#This Row],[Fee Excl. GST]],"")</f>
        <v/>
      </c>
    </row>
    <row r="1089" spans="1:29" x14ac:dyDescent="0.2">
      <c r="A1089" s="67" t="s">
        <v>2392</v>
      </c>
      <c r="B1089" s="31">
        <f>IF(MasterFees[[#This Row],[RVG Code]]="","",_xlfn.XLOOKUP(MasterFees[[#This Row],[RVG Code]],RVGCodes[Code],RVGCodes[Base Units],"Code not found"))</f>
        <v>8</v>
      </c>
      <c r="C108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8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89" s="125" t="s">
        <v>2581</v>
      </c>
      <c r="F1089" s="48" t="s">
        <v>2569</v>
      </c>
      <c r="G1089" s="30" t="s">
        <v>829</v>
      </c>
      <c r="H1089" s="37" t="s">
        <v>1095</v>
      </c>
      <c r="I1089" s="37"/>
      <c r="J1089" s="37" t="s">
        <v>1096</v>
      </c>
      <c r="K1089" s="32">
        <v>8</v>
      </c>
      <c r="L1089" s="32">
        <v>7.3</v>
      </c>
      <c r="M1089" s="32">
        <v>2.8</v>
      </c>
      <c r="N1089" s="32">
        <v>18.2</v>
      </c>
      <c r="O1089" s="33">
        <v>998.8</v>
      </c>
      <c r="P1089" s="38" t="s">
        <v>1014</v>
      </c>
      <c r="Q1089" s="34" t="str">
        <f>IF(MasterFees[[#This Row],[GST Basis]]="Excl",MasterFees[[#This Row],[Fee as Printed]],IF(MasterFees[[#This Row],[GST Basis]]="Incl",MasterFees[[#This Row],[Fee as Printed]]/(1+GST_Rate),""))</f>
        <v/>
      </c>
      <c r="R1089" s="34" t="str">
        <f>IF(MasterFees[[#This Row],[GST Basis]]="Incl",MasterFees[[#This Row],[Fee as Printed]],IF(MasterFees[[#This Row],[GST Basis]]="Excl",MasterFees[[#This Row],[Fee as Printed]]*(1+GST_Rate),""))</f>
        <v/>
      </c>
      <c r="S1089" s="35">
        <f>IF(N(MasterFees[[#This Row],[Total Units]])=0,"",MasterFees[[#This Row],[Fee as Printed]]/MasterFees[[#This Row],[Total Units]])</f>
        <v>54.879120879120876</v>
      </c>
      <c r="T1089" s="36"/>
      <c r="U1089" s="39" t="s">
        <v>1012</v>
      </c>
      <c r="V1089" s="39" t="s">
        <v>1932</v>
      </c>
      <c r="W1089" s="30"/>
      <c r="X1089" s="73" t="s">
        <v>3741</v>
      </c>
      <c r="Y1089" s="127" t="str">
        <f>_xlfn.XLOOKUP(MasterFees[[#This Row],[Provider / Payer]],Contracts[Contract Name],Contracts[Contract ID],"No contract")</f>
        <v>CON-01</v>
      </c>
      <c r="Z1089" s="127" t="str">
        <f>_xlfn.XLOOKUP(MasterFees[[#This Row],[Provider / Payer]],Contracts[Contract Name],Contracts[Pricing Basis],"To confirm")</f>
        <v>To confirm</v>
      </c>
      <c r="AA1089" s="127" t="str">
        <f>IF(MasterFees[[#This Row],[Pricing Basis]]="Fixed fee schedule","Yes","No")</f>
        <v>No</v>
      </c>
      <c r="AB1089" s="127" t="str">
        <f>IF(OR(MasterFees[[#This Row],[Fee Basis]]="Add-on",MasterFees[[#This Row],[Fee Basis]]="Time band",MasterFees[[#This Row],[Fee Basis]]="Other"),MasterFees[[#This Row],[Fee Basis]],"Base")</f>
        <v>Base</v>
      </c>
      <c r="AC1089" s="141" t="str">
        <f>IF(MasterFees[[#This Row],[Fixed Fee?]]="Yes",MasterFees[[#This Row],[Fee Excl. GST]],"")</f>
        <v/>
      </c>
    </row>
    <row r="1090" spans="1:29" x14ac:dyDescent="0.2">
      <c r="A1090" s="67" t="s">
        <v>2396</v>
      </c>
      <c r="B1090" s="31">
        <f>IF(MasterFees[[#This Row],[RVG Code]]="","",_xlfn.XLOOKUP(MasterFees[[#This Row],[RVG Code]],RVGCodes[Code],RVGCodes[Base Units],"Code not found"))</f>
        <v>12</v>
      </c>
      <c r="C109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9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90" s="125" t="s">
        <v>2719</v>
      </c>
      <c r="F1090" s="48" t="s">
        <v>2565</v>
      </c>
      <c r="G1090" s="30" t="s">
        <v>2397</v>
      </c>
      <c r="H1090" s="37" t="s">
        <v>2630</v>
      </c>
      <c r="I1090" s="37" t="s">
        <v>2396</v>
      </c>
      <c r="J1090" s="37" t="s">
        <v>1096</v>
      </c>
      <c r="K1090" s="32">
        <v>12</v>
      </c>
      <c r="L1090" s="32"/>
      <c r="M1090" s="32"/>
      <c r="N1090" s="32">
        <v>12</v>
      </c>
      <c r="O1090" s="33"/>
      <c r="P1090" s="38"/>
      <c r="Q1090" s="34" t="str">
        <f>IF(MasterFees[[#This Row],[GST Basis]]="Excl",MasterFees[[#This Row],[Fee as Printed]],IF(MasterFees[[#This Row],[GST Basis]]="Incl",MasterFees[[#This Row],[Fee as Printed]]/(1+GST_Rate),""))</f>
        <v/>
      </c>
      <c r="R1090" s="34" t="str">
        <f>IF(MasterFees[[#This Row],[GST Basis]]="Incl",MasterFees[[#This Row],[Fee as Printed]],IF(MasterFees[[#This Row],[GST Basis]]="Excl",MasterFees[[#This Row],[Fee as Printed]]*(1+GST_Rate),""))</f>
        <v/>
      </c>
      <c r="S1090" s="35">
        <f>IF(N(MasterFees[[#This Row],[Total Units]])=0,"",MasterFees[[#This Row],[Fee as Printed]]/MasterFees[[#This Row],[Total Units]])</f>
        <v>0</v>
      </c>
      <c r="T1090" s="36"/>
      <c r="U1090" s="39" t="s">
        <v>1016</v>
      </c>
      <c r="V1090" s="39" t="s">
        <v>2646</v>
      </c>
      <c r="W1090" s="30" t="s">
        <v>2632</v>
      </c>
      <c r="X1090" s="73" t="s">
        <v>3954</v>
      </c>
      <c r="Y1090" s="127" t="str">
        <f>_xlfn.XLOOKUP(MasterFees[[#This Row],[Provider / Payer]],Contracts[Contract Name],Contracts[Contract ID],"No contract")</f>
        <v>CON-10</v>
      </c>
      <c r="Z1090" s="127" t="str">
        <f>_xlfn.XLOOKUP(MasterFees[[#This Row],[Provider / Payer]],Contracts[Contract Name],Contracts[Pricing Basis],"To confirm")</f>
        <v>Reference – units only</v>
      </c>
      <c r="AA1090" s="127" t="str">
        <f>IF(MasterFees[[#This Row],[Pricing Basis]]="Fixed fee schedule","Yes","No")</f>
        <v>No</v>
      </c>
      <c r="AB1090" s="127" t="str">
        <f>IF(OR(MasterFees[[#This Row],[Fee Basis]]="Add-on",MasterFees[[#This Row],[Fee Basis]]="Time band",MasterFees[[#This Row],[Fee Basis]]="Other"),MasterFees[[#This Row],[Fee Basis]],"Base")</f>
        <v>Base</v>
      </c>
      <c r="AC1090" s="141" t="str">
        <f>IF(MasterFees[[#This Row],[Fixed Fee?]]="Yes",MasterFees[[#This Row],[Fee Excl. GST]],"")</f>
        <v/>
      </c>
    </row>
    <row r="1091" spans="1:29" x14ac:dyDescent="0.2">
      <c r="A1091" s="67" t="s">
        <v>2388</v>
      </c>
      <c r="B1091" s="31">
        <f>IF(MasterFees[[#This Row],[RVG Code]]="","",_xlfn.XLOOKUP(MasterFees[[#This Row],[RVG Code]],RVGCodes[Code],RVGCodes[Base Units],"Code not found"))</f>
        <v>5</v>
      </c>
      <c r="C109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9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91" s="125" t="s">
        <v>2606</v>
      </c>
      <c r="F1091" s="48" t="s">
        <v>2629</v>
      </c>
      <c r="G1091" s="30" t="s">
        <v>2389</v>
      </c>
      <c r="H1091" s="37" t="s">
        <v>2630</v>
      </c>
      <c r="I1091" s="37" t="s">
        <v>2388</v>
      </c>
      <c r="J1091" s="37" t="s">
        <v>1096</v>
      </c>
      <c r="K1091" s="32">
        <v>5</v>
      </c>
      <c r="L1091" s="32"/>
      <c r="M1091" s="32"/>
      <c r="N1091" s="32">
        <v>5</v>
      </c>
      <c r="O1091" s="33"/>
      <c r="P1091" s="38"/>
      <c r="Q1091" s="34" t="str">
        <f>IF(MasterFees[[#This Row],[GST Basis]]="Excl",MasterFees[[#This Row],[Fee as Printed]],IF(MasterFees[[#This Row],[GST Basis]]="Incl",MasterFees[[#This Row],[Fee as Printed]]/(1+GST_Rate),""))</f>
        <v/>
      </c>
      <c r="R1091" s="34" t="str">
        <f>IF(MasterFees[[#This Row],[GST Basis]]="Incl",MasterFees[[#This Row],[Fee as Printed]],IF(MasterFees[[#This Row],[GST Basis]]="Excl",MasterFees[[#This Row],[Fee as Printed]]*(1+GST_Rate),""))</f>
        <v/>
      </c>
      <c r="S1091" s="35">
        <f>IF(N(MasterFees[[#This Row],[Total Units]])=0,"",MasterFees[[#This Row],[Fee as Printed]]/MasterFees[[#This Row],[Total Units]])</f>
        <v>0</v>
      </c>
      <c r="T1091" s="36"/>
      <c r="U1091" s="39" t="s">
        <v>1016</v>
      </c>
      <c r="V1091" s="39" t="s">
        <v>2631</v>
      </c>
      <c r="W1091" s="30" t="s">
        <v>2632</v>
      </c>
      <c r="X1091" s="73" t="s">
        <v>3669</v>
      </c>
      <c r="Y1091" s="127" t="str">
        <f>_xlfn.XLOOKUP(MasterFees[[#This Row],[Provider / Payer]],Contracts[Contract Name],Contracts[Contract ID],"No contract")</f>
        <v>CON-10</v>
      </c>
      <c r="Z1091" s="127" t="str">
        <f>_xlfn.XLOOKUP(MasterFees[[#This Row],[Provider / Payer]],Contracts[Contract Name],Contracts[Pricing Basis],"To confirm")</f>
        <v>Reference – units only</v>
      </c>
      <c r="AA1091" s="127" t="str">
        <f>IF(MasterFees[[#This Row],[Pricing Basis]]="Fixed fee schedule","Yes","No")</f>
        <v>No</v>
      </c>
      <c r="AB1091" s="127" t="str">
        <f>IF(OR(MasterFees[[#This Row],[Fee Basis]]="Add-on",MasterFees[[#This Row],[Fee Basis]]="Time band",MasterFees[[#This Row],[Fee Basis]]="Other"),MasterFees[[#This Row],[Fee Basis]],"Base")</f>
        <v>Base</v>
      </c>
      <c r="AC1091" s="141" t="str">
        <f>IF(MasterFees[[#This Row],[Fixed Fee?]]="Yes",MasterFees[[#This Row],[Fee Excl. GST]],"")</f>
        <v/>
      </c>
    </row>
    <row r="1092" spans="1:29" x14ac:dyDescent="0.2">
      <c r="A1092" s="67" t="s">
        <v>2386</v>
      </c>
      <c r="B1092" s="31">
        <f>IF(MasterFees[[#This Row],[RVG Code]]="","",_xlfn.XLOOKUP(MasterFees[[#This Row],[RVG Code]],RVGCodes[Code],RVGCodes[Base Units],"Code not found"))</f>
        <v>4</v>
      </c>
      <c r="C109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9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92" s="125" t="s">
        <v>2568</v>
      </c>
      <c r="F1092" s="48" t="s">
        <v>2567</v>
      </c>
      <c r="G1092" s="30" t="s">
        <v>893</v>
      </c>
      <c r="H1092" s="37" t="s">
        <v>1095</v>
      </c>
      <c r="I1092" s="37"/>
      <c r="J1092" s="37" t="s">
        <v>1096</v>
      </c>
      <c r="K1092" s="32">
        <v>6</v>
      </c>
      <c r="L1092" s="32">
        <v>4</v>
      </c>
      <c r="M1092" s="32">
        <v>0</v>
      </c>
      <c r="N1092" s="32">
        <v>10</v>
      </c>
      <c r="O1092" s="33">
        <v>550</v>
      </c>
      <c r="P1092" s="38" t="s">
        <v>1014</v>
      </c>
      <c r="Q1092" s="34" t="str">
        <f>IF(MasterFees[[#This Row],[GST Basis]]="Excl",MasterFees[[#This Row],[Fee as Printed]],IF(MasterFees[[#This Row],[GST Basis]]="Incl",MasterFees[[#This Row],[Fee as Printed]]/(1+GST_Rate),""))</f>
        <v/>
      </c>
      <c r="R1092" s="34" t="str">
        <f>IF(MasterFees[[#This Row],[GST Basis]]="Incl",MasterFees[[#This Row],[Fee as Printed]],IF(MasterFees[[#This Row],[GST Basis]]="Excl",MasterFees[[#This Row],[Fee as Printed]]*(1+GST_Rate),""))</f>
        <v/>
      </c>
      <c r="S1092" s="35">
        <f>IF(N(MasterFees[[#This Row],[Total Units]])=0,"",MasterFees[[#This Row],[Fee as Printed]]/MasterFees[[#This Row],[Total Units]])</f>
        <v>55</v>
      </c>
      <c r="T1092" s="36"/>
      <c r="U1092" s="39" t="s">
        <v>1012</v>
      </c>
      <c r="V1092" s="39" t="s">
        <v>1996</v>
      </c>
      <c r="W1092" s="30"/>
      <c r="X1092" s="73" t="s">
        <v>3819</v>
      </c>
      <c r="Y1092" s="127" t="str">
        <f>_xlfn.XLOOKUP(MasterFees[[#This Row],[Provider / Payer]],Contracts[Contract Name],Contracts[Contract ID],"No contract")</f>
        <v>CON-01</v>
      </c>
      <c r="Z1092" s="127" t="str">
        <f>_xlfn.XLOOKUP(MasterFees[[#This Row],[Provider / Payer]],Contracts[Contract Name],Contracts[Pricing Basis],"To confirm")</f>
        <v>To confirm</v>
      </c>
      <c r="AA1092" s="127" t="str">
        <f>IF(MasterFees[[#This Row],[Pricing Basis]]="Fixed fee schedule","Yes","No")</f>
        <v>No</v>
      </c>
      <c r="AB1092" s="127" t="str">
        <f>IF(OR(MasterFees[[#This Row],[Fee Basis]]="Add-on",MasterFees[[#This Row],[Fee Basis]]="Time band",MasterFees[[#This Row],[Fee Basis]]="Other"),MasterFees[[#This Row],[Fee Basis]],"Base")</f>
        <v>Base</v>
      </c>
      <c r="AC1092" s="141" t="str">
        <f>IF(MasterFees[[#This Row],[Fixed Fee?]]="Yes",MasterFees[[#This Row],[Fee Excl. GST]],"")</f>
        <v/>
      </c>
    </row>
    <row r="1093" spans="1:29" x14ac:dyDescent="0.2">
      <c r="A1093" s="67" t="s">
        <v>2390</v>
      </c>
      <c r="B1093" s="31">
        <f>IF(MasterFees[[#This Row],[RVG Code]]="","",_xlfn.XLOOKUP(MasterFees[[#This Row],[RVG Code]],RVGCodes[Code],RVGCodes[Base Units],"Code not found"))</f>
        <v>6</v>
      </c>
      <c r="C109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9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93" s="125" t="s">
        <v>2576</v>
      </c>
      <c r="F1093" s="48" t="s">
        <v>2569</v>
      </c>
      <c r="G1093" s="30" t="s">
        <v>915</v>
      </c>
      <c r="H1093" s="37" t="s">
        <v>1095</v>
      </c>
      <c r="I1093" s="37"/>
      <c r="J1093" s="37" t="s">
        <v>1096</v>
      </c>
      <c r="K1093" s="32">
        <v>6</v>
      </c>
      <c r="L1093" s="32">
        <v>6.2</v>
      </c>
      <c r="M1093" s="32">
        <v>0.2</v>
      </c>
      <c r="N1093" s="32">
        <v>12.4</v>
      </c>
      <c r="O1093" s="33">
        <v>684.2</v>
      </c>
      <c r="P1093" s="38" t="s">
        <v>1014</v>
      </c>
      <c r="Q1093" s="34" t="str">
        <f>IF(MasterFees[[#This Row],[GST Basis]]="Excl",MasterFees[[#This Row],[Fee as Printed]],IF(MasterFees[[#This Row],[GST Basis]]="Incl",MasterFees[[#This Row],[Fee as Printed]]/(1+GST_Rate),""))</f>
        <v/>
      </c>
      <c r="R1093" s="34" t="str">
        <f>IF(MasterFees[[#This Row],[GST Basis]]="Incl",MasterFees[[#This Row],[Fee as Printed]],IF(MasterFees[[#This Row],[GST Basis]]="Excl",MasterFees[[#This Row],[Fee as Printed]]*(1+GST_Rate),""))</f>
        <v/>
      </c>
      <c r="S1093" s="35">
        <f>IF(N(MasterFees[[#This Row],[Total Units]])=0,"",MasterFees[[#This Row],[Fee as Printed]]/MasterFees[[#This Row],[Total Units]])</f>
        <v>55.177419354838712</v>
      </c>
      <c r="T1093" s="36"/>
      <c r="U1093" s="39" t="s">
        <v>1012</v>
      </c>
      <c r="V1093" s="39" t="s">
        <v>2018</v>
      </c>
      <c r="W1093" s="30"/>
      <c r="X1093" s="73" t="s">
        <v>3845</v>
      </c>
      <c r="Y1093" s="127" t="str">
        <f>_xlfn.XLOOKUP(MasterFees[[#This Row],[Provider / Payer]],Contracts[Contract Name],Contracts[Contract ID],"No contract")</f>
        <v>CON-01</v>
      </c>
      <c r="Z1093" s="127" t="str">
        <f>_xlfn.XLOOKUP(MasterFees[[#This Row],[Provider / Payer]],Contracts[Contract Name],Contracts[Pricing Basis],"To confirm")</f>
        <v>To confirm</v>
      </c>
      <c r="AA1093" s="127" t="str">
        <f>IF(MasterFees[[#This Row],[Pricing Basis]]="Fixed fee schedule","Yes","No")</f>
        <v>No</v>
      </c>
      <c r="AB1093" s="127" t="str">
        <f>IF(OR(MasterFees[[#This Row],[Fee Basis]]="Add-on",MasterFees[[#This Row],[Fee Basis]]="Time band",MasterFees[[#This Row],[Fee Basis]]="Other"),MasterFees[[#This Row],[Fee Basis]],"Base")</f>
        <v>Base</v>
      </c>
      <c r="AC1093" s="141" t="str">
        <f>IF(MasterFees[[#This Row],[Fixed Fee?]]="Yes",MasterFees[[#This Row],[Fee Excl. GST]],"")</f>
        <v/>
      </c>
    </row>
    <row r="1094" spans="1:29" x14ac:dyDescent="0.2">
      <c r="A1094" s="67" t="s">
        <v>2392</v>
      </c>
      <c r="B1094" s="31">
        <f>IF(MasterFees[[#This Row],[RVG Code]]="","",_xlfn.XLOOKUP(MasterFees[[#This Row],[RVG Code]],RVGCodes[Code],RVGCodes[Base Units],"Code not found"))</f>
        <v>8</v>
      </c>
      <c r="C109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9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94" s="125" t="s">
        <v>2581</v>
      </c>
      <c r="F1094" s="48" t="s">
        <v>2569</v>
      </c>
      <c r="G1094" s="30" t="s">
        <v>922</v>
      </c>
      <c r="H1094" s="37" t="s">
        <v>1095</v>
      </c>
      <c r="I1094" s="37"/>
      <c r="J1094" s="37" t="s">
        <v>1096</v>
      </c>
      <c r="K1094" s="32">
        <v>7.9</v>
      </c>
      <c r="L1094" s="32">
        <v>7.4</v>
      </c>
      <c r="M1094" s="32">
        <v>2.1</v>
      </c>
      <c r="N1094" s="32">
        <v>17.399999999999999</v>
      </c>
      <c r="O1094" s="33">
        <v>958.65</v>
      </c>
      <c r="P1094" s="38" t="s">
        <v>1014</v>
      </c>
      <c r="Q1094" s="34" t="str">
        <f>IF(MasterFees[[#This Row],[GST Basis]]="Excl",MasterFees[[#This Row],[Fee as Printed]],IF(MasterFees[[#This Row],[GST Basis]]="Incl",MasterFees[[#This Row],[Fee as Printed]]/(1+GST_Rate),""))</f>
        <v/>
      </c>
      <c r="R1094" s="34" t="str">
        <f>IF(MasterFees[[#This Row],[GST Basis]]="Incl",MasterFees[[#This Row],[Fee as Printed]],IF(MasterFees[[#This Row],[GST Basis]]="Excl",MasterFees[[#This Row],[Fee as Printed]]*(1+GST_Rate),""))</f>
        <v/>
      </c>
      <c r="S1094" s="35">
        <f>IF(N(MasterFees[[#This Row],[Total Units]])=0,"",MasterFees[[#This Row],[Fee as Printed]]/MasterFees[[#This Row],[Total Units]])</f>
        <v>55.094827586206897</v>
      </c>
      <c r="T1094" s="36"/>
      <c r="U1094" s="39" t="s">
        <v>1012</v>
      </c>
      <c r="V1094" s="39" t="s">
        <v>2025</v>
      </c>
      <c r="W1094" s="30"/>
      <c r="X1094" s="73" t="s">
        <v>3854</v>
      </c>
      <c r="Y1094" s="127" t="str">
        <f>_xlfn.XLOOKUP(MasterFees[[#This Row],[Provider / Payer]],Contracts[Contract Name],Contracts[Contract ID],"No contract")</f>
        <v>CON-01</v>
      </c>
      <c r="Z1094" s="127" t="str">
        <f>_xlfn.XLOOKUP(MasterFees[[#This Row],[Provider / Payer]],Contracts[Contract Name],Contracts[Pricing Basis],"To confirm")</f>
        <v>To confirm</v>
      </c>
      <c r="AA1094" s="127" t="str">
        <f>IF(MasterFees[[#This Row],[Pricing Basis]]="Fixed fee schedule","Yes","No")</f>
        <v>No</v>
      </c>
      <c r="AB1094" s="127" t="str">
        <f>IF(OR(MasterFees[[#This Row],[Fee Basis]]="Add-on",MasterFees[[#This Row],[Fee Basis]]="Time band",MasterFees[[#This Row],[Fee Basis]]="Other"),MasterFees[[#This Row],[Fee Basis]],"Base")</f>
        <v>Base</v>
      </c>
      <c r="AC1094" s="141" t="str">
        <f>IF(MasterFees[[#This Row],[Fixed Fee?]]="Yes",MasterFees[[#This Row],[Fee Excl. GST]],"")</f>
        <v/>
      </c>
    </row>
    <row r="1095" spans="1:29" x14ac:dyDescent="0.2">
      <c r="A1095" s="67" t="s">
        <v>2392</v>
      </c>
      <c r="B1095" s="31">
        <f>IF(MasterFees[[#This Row],[RVG Code]]="","",_xlfn.XLOOKUP(MasterFees[[#This Row],[RVG Code]],RVGCodes[Code],RVGCodes[Base Units],"Code not found"))</f>
        <v>8</v>
      </c>
      <c r="C109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9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95" s="125" t="s">
        <v>2581</v>
      </c>
      <c r="F1095" s="48" t="s">
        <v>2569</v>
      </c>
      <c r="G1095" s="30" t="s">
        <v>923</v>
      </c>
      <c r="H1095" s="37" t="s">
        <v>1095</v>
      </c>
      <c r="I1095" s="37"/>
      <c r="J1095" s="37" t="s">
        <v>1096</v>
      </c>
      <c r="K1095" s="32">
        <v>7.9</v>
      </c>
      <c r="L1095" s="32">
        <v>7.5</v>
      </c>
      <c r="M1095" s="32">
        <v>1.4</v>
      </c>
      <c r="N1095" s="32">
        <v>16.8</v>
      </c>
      <c r="O1095" s="33">
        <v>925.1</v>
      </c>
      <c r="P1095" s="38" t="s">
        <v>1014</v>
      </c>
      <c r="Q1095" s="34" t="str">
        <f>IF(MasterFees[[#This Row],[GST Basis]]="Excl",MasterFees[[#This Row],[Fee as Printed]],IF(MasterFees[[#This Row],[GST Basis]]="Incl",MasterFees[[#This Row],[Fee as Printed]]/(1+GST_Rate),""))</f>
        <v/>
      </c>
      <c r="R1095" s="34" t="str">
        <f>IF(MasterFees[[#This Row],[GST Basis]]="Incl",MasterFees[[#This Row],[Fee as Printed]],IF(MasterFees[[#This Row],[GST Basis]]="Excl",MasterFees[[#This Row],[Fee as Printed]]*(1+GST_Rate),""))</f>
        <v/>
      </c>
      <c r="S1095" s="35">
        <f>IF(N(MasterFees[[#This Row],[Total Units]])=0,"",MasterFees[[#This Row],[Fee as Printed]]/MasterFees[[#This Row],[Total Units]])</f>
        <v>55.06547619047619</v>
      </c>
      <c r="T1095" s="36"/>
      <c r="U1095" s="39" t="s">
        <v>1012</v>
      </c>
      <c r="V1095" s="39" t="s">
        <v>2026</v>
      </c>
      <c r="W1095" s="30"/>
      <c r="X1095" s="73" t="s">
        <v>3855</v>
      </c>
      <c r="Y1095" s="127" t="str">
        <f>_xlfn.XLOOKUP(MasterFees[[#This Row],[Provider / Payer]],Contracts[Contract Name],Contracts[Contract ID],"No contract")</f>
        <v>CON-01</v>
      </c>
      <c r="Z1095" s="127" t="str">
        <f>_xlfn.XLOOKUP(MasterFees[[#This Row],[Provider / Payer]],Contracts[Contract Name],Contracts[Pricing Basis],"To confirm")</f>
        <v>To confirm</v>
      </c>
      <c r="AA1095" s="127" t="str">
        <f>IF(MasterFees[[#This Row],[Pricing Basis]]="Fixed fee schedule","Yes","No")</f>
        <v>No</v>
      </c>
      <c r="AB1095" s="127" t="str">
        <f>IF(OR(MasterFees[[#This Row],[Fee Basis]]="Add-on",MasterFees[[#This Row],[Fee Basis]]="Time band",MasterFees[[#This Row],[Fee Basis]]="Other"),MasterFees[[#This Row],[Fee Basis]],"Base")</f>
        <v>Base</v>
      </c>
      <c r="AC1095" s="141" t="str">
        <f>IF(MasterFees[[#This Row],[Fixed Fee?]]="Yes",MasterFees[[#This Row],[Fee Excl. GST]],"")</f>
        <v/>
      </c>
    </row>
    <row r="1096" spans="1:29" x14ac:dyDescent="0.2">
      <c r="A1096" s="67" t="s">
        <v>2394</v>
      </c>
      <c r="B1096" s="31">
        <f>IF(MasterFees[[#This Row],[RVG Code]]="","",_xlfn.XLOOKUP(MasterFees[[#This Row],[RVG Code]],RVGCodes[Code],RVGCodes[Base Units],"Code not found"))</f>
        <v>10</v>
      </c>
      <c r="C109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9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96" s="125" t="s">
        <v>2594</v>
      </c>
      <c r="F1096" s="48" t="s">
        <v>2567</v>
      </c>
      <c r="G1096" s="30" t="s">
        <v>924</v>
      </c>
      <c r="H1096" s="37" t="s">
        <v>1095</v>
      </c>
      <c r="I1096" s="37"/>
      <c r="J1096" s="37" t="s">
        <v>1096</v>
      </c>
      <c r="K1096" s="32">
        <v>10</v>
      </c>
      <c r="L1096" s="32">
        <v>10</v>
      </c>
      <c r="M1096" s="32">
        <v>1</v>
      </c>
      <c r="N1096" s="32">
        <v>21</v>
      </c>
      <c r="O1096" s="33">
        <v>1155</v>
      </c>
      <c r="P1096" s="38" t="s">
        <v>1014</v>
      </c>
      <c r="Q1096" s="34" t="str">
        <f>IF(MasterFees[[#This Row],[GST Basis]]="Excl",MasterFees[[#This Row],[Fee as Printed]],IF(MasterFees[[#This Row],[GST Basis]]="Incl",MasterFees[[#This Row],[Fee as Printed]]/(1+GST_Rate),""))</f>
        <v/>
      </c>
      <c r="R1096" s="34" t="str">
        <f>IF(MasterFees[[#This Row],[GST Basis]]="Incl",MasterFees[[#This Row],[Fee as Printed]],IF(MasterFees[[#This Row],[GST Basis]]="Excl",MasterFees[[#This Row],[Fee as Printed]]*(1+GST_Rate),""))</f>
        <v/>
      </c>
      <c r="S1096" s="35">
        <f>IF(N(MasterFees[[#This Row],[Total Units]])=0,"",MasterFees[[#This Row],[Fee as Printed]]/MasterFees[[#This Row],[Total Units]])</f>
        <v>55</v>
      </c>
      <c r="T1096" s="36"/>
      <c r="U1096" s="39" t="s">
        <v>1012</v>
      </c>
      <c r="V1096" s="39" t="s">
        <v>2027</v>
      </c>
      <c r="W1096" s="30"/>
      <c r="X1096" s="73" t="s">
        <v>3856</v>
      </c>
      <c r="Y1096" s="127" t="str">
        <f>_xlfn.XLOOKUP(MasterFees[[#This Row],[Provider / Payer]],Contracts[Contract Name],Contracts[Contract ID],"No contract")</f>
        <v>CON-01</v>
      </c>
      <c r="Z1096" s="127" t="str">
        <f>_xlfn.XLOOKUP(MasterFees[[#This Row],[Provider / Payer]],Contracts[Contract Name],Contracts[Pricing Basis],"To confirm")</f>
        <v>To confirm</v>
      </c>
      <c r="AA1096" s="127" t="str">
        <f>IF(MasterFees[[#This Row],[Pricing Basis]]="Fixed fee schedule","Yes","No")</f>
        <v>No</v>
      </c>
      <c r="AB1096" s="127" t="str">
        <f>IF(OR(MasterFees[[#This Row],[Fee Basis]]="Add-on",MasterFees[[#This Row],[Fee Basis]]="Time band",MasterFees[[#This Row],[Fee Basis]]="Other"),MasterFees[[#This Row],[Fee Basis]],"Base")</f>
        <v>Base</v>
      </c>
      <c r="AC1096" s="141" t="str">
        <f>IF(MasterFees[[#This Row],[Fixed Fee?]]="Yes",MasterFees[[#This Row],[Fee Excl. GST]],"")</f>
        <v/>
      </c>
    </row>
    <row r="1097" spans="1:29" x14ac:dyDescent="0.2">
      <c r="A1097" s="67" t="s">
        <v>2392</v>
      </c>
      <c r="B1097" s="31">
        <f>IF(MasterFees[[#This Row],[RVG Code]]="","",_xlfn.XLOOKUP(MasterFees[[#This Row],[RVG Code]],RVGCodes[Code],RVGCodes[Base Units],"Code not found"))</f>
        <v>8</v>
      </c>
      <c r="C109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9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97" s="125" t="s">
        <v>2581</v>
      </c>
      <c r="F1097" s="48" t="s">
        <v>2569</v>
      </c>
      <c r="G1097" s="30" t="s">
        <v>925</v>
      </c>
      <c r="H1097" s="37" t="s">
        <v>1095</v>
      </c>
      <c r="I1097" s="37"/>
      <c r="J1097" s="37" t="s">
        <v>1096</v>
      </c>
      <c r="K1097" s="32">
        <v>7.9</v>
      </c>
      <c r="L1097" s="32">
        <v>7.7</v>
      </c>
      <c r="M1097" s="32">
        <v>1.8</v>
      </c>
      <c r="N1097" s="32">
        <v>17.399999999999999</v>
      </c>
      <c r="O1097" s="33">
        <v>957</v>
      </c>
      <c r="P1097" s="38" t="s">
        <v>1014</v>
      </c>
      <c r="Q1097" s="34" t="str">
        <f>IF(MasterFees[[#This Row],[GST Basis]]="Excl",MasterFees[[#This Row],[Fee as Printed]],IF(MasterFees[[#This Row],[GST Basis]]="Incl",MasterFees[[#This Row],[Fee as Printed]]/(1+GST_Rate),""))</f>
        <v/>
      </c>
      <c r="R1097" s="34" t="str">
        <f>IF(MasterFees[[#This Row],[GST Basis]]="Incl",MasterFees[[#This Row],[Fee as Printed]],IF(MasterFees[[#This Row],[GST Basis]]="Excl",MasterFees[[#This Row],[Fee as Printed]]*(1+GST_Rate),""))</f>
        <v/>
      </c>
      <c r="S1097" s="35">
        <f>IF(N(MasterFees[[#This Row],[Total Units]])=0,"",MasterFees[[#This Row],[Fee as Printed]]/MasterFees[[#This Row],[Total Units]])</f>
        <v>55.000000000000007</v>
      </c>
      <c r="T1097" s="36"/>
      <c r="U1097" s="39" t="s">
        <v>1012</v>
      </c>
      <c r="V1097" s="39" t="s">
        <v>2028</v>
      </c>
      <c r="W1097" s="30"/>
      <c r="X1097" s="73" t="s">
        <v>3858</v>
      </c>
      <c r="Y1097" s="127" t="str">
        <f>_xlfn.XLOOKUP(MasterFees[[#This Row],[Provider / Payer]],Contracts[Contract Name],Contracts[Contract ID],"No contract")</f>
        <v>CON-01</v>
      </c>
      <c r="Z1097" s="127" t="str">
        <f>_xlfn.XLOOKUP(MasterFees[[#This Row],[Provider / Payer]],Contracts[Contract Name],Contracts[Pricing Basis],"To confirm")</f>
        <v>To confirm</v>
      </c>
      <c r="AA1097" s="127" t="str">
        <f>IF(MasterFees[[#This Row],[Pricing Basis]]="Fixed fee schedule","Yes","No")</f>
        <v>No</v>
      </c>
      <c r="AB1097" s="127" t="str">
        <f>IF(OR(MasterFees[[#This Row],[Fee Basis]]="Add-on",MasterFees[[#This Row],[Fee Basis]]="Time band",MasterFees[[#This Row],[Fee Basis]]="Other"),MasterFees[[#This Row],[Fee Basis]],"Base")</f>
        <v>Base</v>
      </c>
      <c r="AC1097" s="141" t="str">
        <f>IF(MasterFees[[#This Row],[Fixed Fee?]]="Yes",MasterFees[[#This Row],[Fee Excl. GST]],"")</f>
        <v/>
      </c>
    </row>
    <row r="1098" spans="1:29" x14ac:dyDescent="0.2">
      <c r="A1098" s="67" t="s">
        <v>2392</v>
      </c>
      <c r="B1098" s="31">
        <f>IF(MasterFees[[#This Row],[RVG Code]]="","",_xlfn.XLOOKUP(MasterFees[[#This Row],[RVG Code]],RVGCodes[Code],RVGCodes[Base Units],"Code not found"))</f>
        <v>8</v>
      </c>
      <c r="C109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9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98" s="125" t="s">
        <v>2581</v>
      </c>
      <c r="F1098" s="48" t="s">
        <v>2569</v>
      </c>
      <c r="G1098" s="30" t="s">
        <v>926</v>
      </c>
      <c r="H1098" s="37" t="s">
        <v>1095</v>
      </c>
      <c r="I1098" s="37"/>
      <c r="J1098" s="37" t="s">
        <v>1096</v>
      </c>
      <c r="K1098" s="32">
        <v>8</v>
      </c>
      <c r="L1098" s="32">
        <v>12.3</v>
      </c>
      <c r="M1098" s="32">
        <v>2.4</v>
      </c>
      <c r="N1098" s="32">
        <v>22.7</v>
      </c>
      <c r="O1098" s="33">
        <v>1248.5</v>
      </c>
      <c r="P1098" s="38" t="s">
        <v>1014</v>
      </c>
      <c r="Q1098" s="34" t="str">
        <f>IF(MasterFees[[#This Row],[GST Basis]]="Excl",MasterFees[[#This Row],[Fee as Printed]],IF(MasterFees[[#This Row],[GST Basis]]="Incl",MasterFees[[#This Row],[Fee as Printed]]/(1+GST_Rate),""))</f>
        <v/>
      </c>
      <c r="R1098" s="34" t="str">
        <f>IF(MasterFees[[#This Row],[GST Basis]]="Incl",MasterFees[[#This Row],[Fee as Printed]],IF(MasterFees[[#This Row],[GST Basis]]="Excl",MasterFees[[#This Row],[Fee as Printed]]*(1+GST_Rate),""))</f>
        <v/>
      </c>
      <c r="S1098" s="35">
        <f>IF(N(MasterFees[[#This Row],[Total Units]])=0,"",MasterFees[[#This Row],[Fee as Printed]]/MasterFees[[#This Row],[Total Units]])</f>
        <v>55</v>
      </c>
      <c r="T1098" s="36"/>
      <c r="U1098" s="39" t="s">
        <v>1012</v>
      </c>
      <c r="V1098" s="39" t="s">
        <v>2029</v>
      </c>
      <c r="W1098" s="30"/>
      <c r="X1098" s="73" t="s">
        <v>3859</v>
      </c>
      <c r="Y1098" s="127" t="str">
        <f>_xlfn.XLOOKUP(MasterFees[[#This Row],[Provider / Payer]],Contracts[Contract Name],Contracts[Contract ID],"No contract")</f>
        <v>CON-01</v>
      </c>
      <c r="Z1098" s="127" t="str">
        <f>_xlfn.XLOOKUP(MasterFees[[#This Row],[Provider / Payer]],Contracts[Contract Name],Contracts[Pricing Basis],"To confirm")</f>
        <v>To confirm</v>
      </c>
      <c r="AA1098" s="127" t="str">
        <f>IF(MasterFees[[#This Row],[Pricing Basis]]="Fixed fee schedule","Yes","No")</f>
        <v>No</v>
      </c>
      <c r="AB1098" s="127" t="str">
        <f>IF(OR(MasterFees[[#This Row],[Fee Basis]]="Add-on",MasterFees[[#This Row],[Fee Basis]]="Time band",MasterFees[[#This Row],[Fee Basis]]="Other"),MasterFees[[#This Row],[Fee Basis]],"Base")</f>
        <v>Base</v>
      </c>
      <c r="AC1098" s="141" t="str">
        <f>IF(MasterFees[[#This Row],[Fixed Fee?]]="Yes",MasterFees[[#This Row],[Fee Excl. GST]],"")</f>
        <v/>
      </c>
    </row>
    <row r="1099" spans="1:29" x14ac:dyDescent="0.2">
      <c r="A1099" s="67" t="s">
        <v>2392</v>
      </c>
      <c r="B1099" s="31">
        <f>IF(MasterFees[[#This Row],[RVG Code]]="","",_xlfn.XLOOKUP(MasterFees[[#This Row],[RVG Code]],RVGCodes[Code],RVGCodes[Base Units],"Code not found"))</f>
        <v>8</v>
      </c>
      <c r="C109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09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099" s="125" t="s">
        <v>2581</v>
      </c>
      <c r="F1099" s="48" t="s">
        <v>2569</v>
      </c>
      <c r="G1099" s="30" t="s">
        <v>927</v>
      </c>
      <c r="H1099" s="37" t="s">
        <v>1095</v>
      </c>
      <c r="I1099" s="37"/>
      <c r="J1099" s="37" t="s">
        <v>1096</v>
      </c>
      <c r="K1099" s="32">
        <v>8.1</v>
      </c>
      <c r="L1099" s="32">
        <v>10.3</v>
      </c>
      <c r="M1099" s="32">
        <v>1.9</v>
      </c>
      <c r="N1099" s="32">
        <v>20.3</v>
      </c>
      <c r="O1099" s="33">
        <v>1115.4000000000001</v>
      </c>
      <c r="P1099" s="38" t="s">
        <v>1014</v>
      </c>
      <c r="Q1099" s="34" t="str">
        <f>IF(MasterFees[[#This Row],[GST Basis]]="Excl",MasterFees[[#This Row],[Fee as Printed]],IF(MasterFees[[#This Row],[GST Basis]]="Incl",MasterFees[[#This Row],[Fee as Printed]]/(1+GST_Rate),""))</f>
        <v/>
      </c>
      <c r="R1099" s="34" t="str">
        <f>IF(MasterFees[[#This Row],[GST Basis]]="Incl",MasterFees[[#This Row],[Fee as Printed]],IF(MasterFees[[#This Row],[GST Basis]]="Excl",MasterFees[[#This Row],[Fee as Printed]]*(1+GST_Rate),""))</f>
        <v/>
      </c>
      <c r="S1099" s="35">
        <f>IF(N(MasterFees[[#This Row],[Total Units]])=0,"",MasterFees[[#This Row],[Fee as Printed]]/MasterFees[[#This Row],[Total Units]])</f>
        <v>54.945812807881779</v>
      </c>
      <c r="T1099" s="36"/>
      <c r="U1099" s="39" t="s">
        <v>1012</v>
      </c>
      <c r="V1099" s="39" t="s">
        <v>2030</v>
      </c>
      <c r="W1099" s="30"/>
      <c r="X1099" s="73" t="s">
        <v>3860</v>
      </c>
      <c r="Y1099" s="127" t="str">
        <f>_xlfn.XLOOKUP(MasterFees[[#This Row],[Provider / Payer]],Contracts[Contract Name],Contracts[Contract ID],"No contract")</f>
        <v>CON-01</v>
      </c>
      <c r="Z1099" s="127" t="str">
        <f>_xlfn.XLOOKUP(MasterFees[[#This Row],[Provider / Payer]],Contracts[Contract Name],Contracts[Pricing Basis],"To confirm")</f>
        <v>To confirm</v>
      </c>
      <c r="AA1099" s="127" t="str">
        <f>IF(MasterFees[[#This Row],[Pricing Basis]]="Fixed fee schedule","Yes","No")</f>
        <v>No</v>
      </c>
      <c r="AB1099" s="127" t="str">
        <f>IF(OR(MasterFees[[#This Row],[Fee Basis]]="Add-on",MasterFees[[#This Row],[Fee Basis]]="Time band",MasterFees[[#This Row],[Fee Basis]]="Other"),MasterFees[[#This Row],[Fee Basis]],"Base")</f>
        <v>Base</v>
      </c>
      <c r="AC1099" s="141" t="str">
        <f>IF(MasterFees[[#This Row],[Fixed Fee?]]="Yes",MasterFees[[#This Row],[Fee Excl. GST]],"")</f>
        <v/>
      </c>
    </row>
    <row r="1100" spans="1:29" x14ac:dyDescent="0.2">
      <c r="A1100" s="67" t="s">
        <v>2392</v>
      </c>
      <c r="B1100" s="31">
        <f>IF(MasterFees[[#This Row],[RVG Code]]="","",_xlfn.XLOOKUP(MasterFees[[#This Row],[RVG Code]],RVGCodes[Code],RVGCodes[Base Units],"Code not found"))</f>
        <v>8</v>
      </c>
      <c r="C110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10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100" s="125" t="s">
        <v>2581</v>
      </c>
      <c r="F1100" s="48" t="s">
        <v>2569</v>
      </c>
      <c r="G1100" s="30" t="s">
        <v>929</v>
      </c>
      <c r="H1100" s="37" t="s">
        <v>1095</v>
      </c>
      <c r="I1100" s="37"/>
      <c r="J1100" s="37" t="s">
        <v>1096</v>
      </c>
      <c r="K1100" s="32">
        <v>8</v>
      </c>
      <c r="L1100" s="32">
        <v>13</v>
      </c>
      <c r="M1100" s="32">
        <v>2</v>
      </c>
      <c r="N1100" s="32">
        <v>23</v>
      </c>
      <c r="O1100" s="33">
        <v>1265</v>
      </c>
      <c r="P1100" s="38" t="s">
        <v>1014</v>
      </c>
      <c r="Q1100" s="34" t="str">
        <f>IF(MasterFees[[#This Row],[GST Basis]]="Excl",MasterFees[[#This Row],[Fee as Printed]],IF(MasterFees[[#This Row],[GST Basis]]="Incl",MasterFees[[#This Row],[Fee as Printed]]/(1+GST_Rate),""))</f>
        <v/>
      </c>
      <c r="R1100" s="34" t="str">
        <f>IF(MasterFees[[#This Row],[GST Basis]]="Incl",MasterFees[[#This Row],[Fee as Printed]],IF(MasterFees[[#This Row],[GST Basis]]="Excl",MasterFees[[#This Row],[Fee as Printed]]*(1+GST_Rate),""))</f>
        <v/>
      </c>
      <c r="S1100" s="35">
        <f>IF(N(MasterFees[[#This Row],[Total Units]])=0,"",MasterFees[[#This Row],[Fee as Printed]]/MasterFees[[#This Row],[Total Units]])</f>
        <v>55</v>
      </c>
      <c r="T1100" s="36"/>
      <c r="U1100" s="39" t="s">
        <v>1012</v>
      </c>
      <c r="V1100" s="39" t="s">
        <v>2032</v>
      </c>
      <c r="W1100" s="30"/>
      <c r="X1100" s="73" t="s">
        <v>3862</v>
      </c>
      <c r="Y1100" s="127" t="str">
        <f>_xlfn.XLOOKUP(MasterFees[[#This Row],[Provider / Payer]],Contracts[Contract Name],Contracts[Contract ID],"No contract")</f>
        <v>CON-01</v>
      </c>
      <c r="Z1100" s="127" t="str">
        <f>_xlfn.XLOOKUP(MasterFees[[#This Row],[Provider / Payer]],Contracts[Contract Name],Contracts[Pricing Basis],"To confirm")</f>
        <v>To confirm</v>
      </c>
      <c r="AA1100" s="127" t="str">
        <f>IF(MasterFees[[#This Row],[Pricing Basis]]="Fixed fee schedule","Yes","No")</f>
        <v>No</v>
      </c>
      <c r="AB1100" s="127" t="str">
        <f>IF(OR(MasterFees[[#This Row],[Fee Basis]]="Add-on",MasterFees[[#This Row],[Fee Basis]]="Time band",MasterFees[[#This Row],[Fee Basis]]="Other"),MasterFees[[#This Row],[Fee Basis]],"Base")</f>
        <v>Base</v>
      </c>
      <c r="AC1100" s="141" t="str">
        <f>IF(MasterFees[[#This Row],[Fixed Fee?]]="Yes",MasterFees[[#This Row],[Fee Excl. GST]],"")</f>
        <v/>
      </c>
    </row>
    <row r="1101" spans="1:29" x14ac:dyDescent="0.2">
      <c r="A1101" s="67" t="s">
        <v>2386</v>
      </c>
      <c r="B1101" s="31">
        <f>IF(MasterFees[[#This Row],[RVG Code]]="","",_xlfn.XLOOKUP(MasterFees[[#This Row],[RVG Code]],RVGCodes[Code],RVGCodes[Base Units],"Code not found"))</f>
        <v>4</v>
      </c>
      <c r="C110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10 - Lower Limb</v>
      </c>
      <c r="D110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101" s="125" t="s">
        <v>2568</v>
      </c>
      <c r="F1101" s="48" t="s">
        <v>2567</v>
      </c>
      <c r="G1101" s="30" t="s">
        <v>974</v>
      </c>
      <c r="H1101" s="37" t="s">
        <v>1095</v>
      </c>
      <c r="I1101" s="37"/>
      <c r="J1101" s="37" t="s">
        <v>1096</v>
      </c>
      <c r="K1101" s="32">
        <v>0</v>
      </c>
      <c r="L1101" s="32">
        <v>0</v>
      </c>
      <c r="M1101" s="32">
        <v>0</v>
      </c>
      <c r="N1101" s="32">
        <v>0</v>
      </c>
      <c r="O1101" s="33">
        <v>0</v>
      </c>
      <c r="P1101" s="38" t="s">
        <v>1014</v>
      </c>
      <c r="Q1101" s="34" t="str">
        <f>IF(MasterFees[[#This Row],[GST Basis]]="Excl",MasterFees[[#This Row],[Fee as Printed]],IF(MasterFees[[#This Row],[GST Basis]]="Incl",MasterFees[[#This Row],[Fee as Printed]]/(1+GST_Rate),""))</f>
        <v/>
      </c>
      <c r="R1101" s="34" t="str">
        <f>IF(MasterFees[[#This Row],[GST Basis]]="Incl",MasterFees[[#This Row],[Fee as Printed]],IF(MasterFees[[#This Row],[GST Basis]]="Excl",MasterFees[[#This Row],[Fee as Printed]]*(1+GST_Rate),""))</f>
        <v/>
      </c>
      <c r="S1101" s="35" t="str">
        <f>IF(N(MasterFees[[#This Row],[Total Units]])=0,"",MasterFees[[#This Row],[Fee as Printed]]/MasterFees[[#This Row],[Total Units]])</f>
        <v/>
      </c>
      <c r="T1101" s="36"/>
      <c r="U1101" s="39" t="s">
        <v>1012</v>
      </c>
      <c r="V1101" s="39" t="s">
        <v>2077</v>
      </c>
      <c r="W1101" s="30"/>
      <c r="X1101" s="73" t="s">
        <v>3921</v>
      </c>
      <c r="Y1101" s="127" t="str">
        <f>_xlfn.XLOOKUP(MasterFees[[#This Row],[Provider / Payer]],Contracts[Contract Name],Contracts[Contract ID],"No contract")</f>
        <v>CON-01</v>
      </c>
      <c r="Z1101" s="127" t="str">
        <f>_xlfn.XLOOKUP(MasterFees[[#This Row],[Provider / Payer]],Contracts[Contract Name],Contracts[Pricing Basis],"To confirm")</f>
        <v>To confirm</v>
      </c>
      <c r="AA1101" s="127" t="str">
        <f>IF(MasterFees[[#This Row],[Pricing Basis]]="Fixed fee schedule","Yes","No")</f>
        <v>No</v>
      </c>
      <c r="AB1101" s="127" t="str">
        <f>IF(OR(MasterFees[[#This Row],[Fee Basis]]="Add-on",MasterFees[[#This Row],[Fee Basis]]="Time band",MasterFees[[#This Row],[Fee Basis]]="Other"),MasterFees[[#This Row],[Fee Basis]],"Base")</f>
        <v>Base</v>
      </c>
      <c r="AC1101" s="141" t="str">
        <f>IF(MasterFees[[#This Row],[Fixed Fee?]]="Yes",MasterFees[[#This Row],[Fee Excl. GST]],"")</f>
        <v/>
      </c>
    </row>
    <row r="1102" spans="1:29" x14ac:dyDescent="0.2">
      <c r="A1102" s="67" t="s">
        <v>2409</v>
      </c>
      <c r="B1102" s="31">
        <f>IF(MasterFees[[#This Row],[RVG Code]]="","",_xlfn.XLOOKUP(MasterFees[[#This Row],[RVG Code]],RVGCodes[Code],RVGCodes[Base Units],"Code not found"))</f>
        <v>6</v>
      </c>
      <c r="C110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0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Cardiology</v>
      </c>
      <c r="E1102" s="125" t="s">
        <v>2721</v>
      </c>
      <c r="F1102" s="48" t="s">
        <v>2565</v>
      </c>
      <c r="G1102" s="30" t="s">
        <v>2410</v>
      </c>
      <c r="H1102" s="37" t="s">
        <v>2630</v>
      </c>
      <c r="I1102" s="37" t="s">
        <v>2409</v>
      </c>
      <c r="J1102" s="37" t="s">
        <v>1096</v>
      </c>
      <c r="K1102" s="32">
        <v>6</v>
      </c>
      <c r="L1102" s="32"/>
      <c r="M1102" s="32"/>
      <c r="N1102" s="32">
        <v>6</v>
      </c>
      <c r="O1102" s="33"/>
      <c r="P1102" s="38"/>
      <c r="Q1102" s="34" t="str">
        <f>IF(MasterFees[[#This Row],[GST Basis]]="Excl",MasterFees[[#This Row],[Fee as Printed]],IF(MasterFees[[#This Row],[GST Basis]]="Incl",MasterFees[[#This Row],[Fee as Printed]]/(1+GST_Rate),""))</f>
        <v/>
      </c>
      <c r="R1102" s="34" t="str">
        <f>IF(MasterFees[[#This Row],[GST Basis]]="Incl",MasterFees[[#This Row],[Fee as Printed]],IF(MasterFees[[#This Row],[GST Basis]]="Excl",MasterFees[[#This Row],[Fee as Printed]]*(1+GST_Rate),""))</f>
        <v/>
      </c>
      <c r="S1102" s="35">
        <f>IF(N(MasterFees[[#This Row],[Total Units]])=0,"",MasterFees[[#This Row],[Fee as Printed]]/MasterFees[[#This Row],[Total Units]])</f>
        <v>0</v>
      </c>
      <c r="T1102" s="36"/>
      <c r="U1102" s="39" t="s">
        <v>1016</v>
      </c>
      <c r="V1102" s="39" t="s">
        <v>2681</v>
      </c>
      <c r="W1102" s="30" t="s">
        <v>2632</v>
      </c>
      <c r="X1102" s="73" t="s">
        <v>3956</v>
      </c>
      <c r="Y1102" s="127" t="str">
        <f>_xlfn.XLOOKUP(MasterFees[[#This Row],[Provider / Payer]],Contracts[Contract Name],Contracts[Contract ID],"No contract")</f>
        <v>CON-10</v>
      </c>
      <c r="Z1102" s="127" t="str">
        <f>_xlfn.XLOOKUP(MasterFees[[#This Row],[Provider / Payer]],Contracts[Contract Name],Contracts[Pricing Basis],"To confirm")</f>
        <v>Reference – units only</v>
      </c>
      <c r="AA1102" s="127" t="str">
        <f>IF(MasterFees[[#This Row],[Pricing Basis]]="Fixed fee schedule","Yes","No")</f>
        <v>No</v>
      </c>
      <c r="AB1102" s="127" t="str">
        <f>IF(OR(MasterFees[[#This Row],[Fee Basis]]="Add-on",MasterFees[[#This Row],[Fee Basis]]="Time band",MasterFees[[#This Row],[Fee Basis]]="Other"),MasterFees[[#This Row],[Fee Basis]],"Base")</f>
        <v>Base</v>
      </c>
      <c r="AC1102" s="141" t="str">
        <f>IF(MasterFees[[#This Row],[Fixed Fee?]]="Yes",MasterFees[[#This Row],[Fee Excl. GST]],"")</f>
        <v/>
      </c>
    </row>
    <row r="1103" spans="1:29" x14ac:dyDescent="0.2">
      <c r="A1103" s="67" t="s">
        <v>2407</v>
      </c>
      <c r="B1103" s="31">
        <f>IF(MasterFees[[#This Row],[RVG Code]]="","",_xlfn.XLOOKUP(MasterFees[[#This Row],[RVG Code]],RVGCodes[Code],RVGCodes[Base Units],"Code not found"))</f>
        <v>4</v>
      </c>
      <c r="C110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0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Cardiology</v>
      </c>
      <c r="E1103" s="125" t="s">
        <v>2595</v>
      </c>
      <c r="F1103" s="48" t="s">
        <v>2569</v>
      </c>
      <c r="G1103" s="30" t="s">
        <v>151</v>
      </c>
      <c r="H1103" s="37" t="s">
        <v>1095</v>
      </c>
      <c r="I1103" s="37"/>
      <c r="J1103" s="37" t="s">
        <v>1096</v>
      </c>
      <c r="K1103" s="32">
        <v>3.6</v>
      </c>
      <c r="L1103" s="32">
        <v>1</v>
      </c>
      <c r="M1103" s="32">
        <v>2.1</v>
      </c>
      <c r="N1103" s="32">
        <v>6.7</v>
      </c>
      <c r="O1103" s="33">
        <v>366.3</v>
      </c>
      <c r="P1103" s="38" t="s">
        <v>1014</v>
      </c>
      <c r="Q1103" s="34" t="str">
        <f>IF(MasterFees[[#This Row],[GST Basis]]="Excl",MasterFees[[#This Row],[Fee as Printed]],IF(MasterFees[[#This Row],[GST Basis]]="Incl",MasterFees[[#This Row],[Fee as Printed]]/(1+GST_Rate),""))</f>
        <v/>
      </c>
      <c r="R1103" s="34" t="str">
        <f>IF(MasterFees[[#This Row],[GST Basis]]="Incl",MasterFees[[#This Row],[Fee as Printed]],IF(MasterFees[[#This Row],[GST Basis]]="Excl",MasterFees[[#This Row],[Fee as Printed]]*(1+GST_Rate),""))</f>
        <v/>
      </c>
      <c r="S1103" s="35">
        <f>IF(N(MasterFees[[#This Row],[Total Units]])=0,"",MasterFees[[#This Row],[Fee as Printed]]/MasterFees[[#This Row],[Total Units]])</f>
        <v>54.671641791044777</v>
      </c>
      <c r="T1103" s="36"/>
      <c r="U1103" s="39" t="s">
        <v>1012</v>
      </c>
      <c r="V1103" s="39" t="s">
        <v>1244</v>
      </c>
      <c r="W1103" s="30"/>
      <c r="X1103" s="73" t="s">
        <v>3027</v>
      </c>
      <c r="Y1103" s="127" t="str">
        <f>_xlfn.XLOOKUP(MasterFees[[#This Row],[Provider / Payer]],Contracts[Contract Name],Contracts[Contract ID],"No contract")</f>
        <v>CON-01</v>
      </c>
      <c r="Z1103" s="127" t="str">
        <f>_xlfn.XLOOKUP(MasterFees[[#This Row],[Provider / Payer]],Contracts[Contract Name],Contracts[Pricing Basis],"To confirm")</f>
        <v>To confirm</v>
      </c>
      <c r="AA1103" s="127" t="str">
        <f>IF(MasterFees[[#This Row],[Pricing Basis]]="Fixed fee schedule","Yes","No")</f>
        <v>No</v>
      </c>
      <c r="AB1103" s="127" t="str">
        <f>IF(OR(MasterFees[[#This Row],[Fee Basis]]="Add-on",MasterFees[[#This Row],[Fee Basis]]="Time band",MasterFees[[#This Row],[Fee Basis]]="Other"),MasterFees[[#This Row],[Fee Basis]],"Base")</f>
        <v>Base</v>
      </c>
      <c r="AC1103" s="141" t="str">
        <f>IF(MasterFees[[#This Row],[Fixed Fee?]]="Yes",MasterFees[[#This Row],[Fee Excl. GST]],"")</f>
        <v/>
      </c>
    </row>
    <row r="1104" spans="1:29" x14ac:dyDescent="0.2">
      <c r="A1104" s="67" t="s">
        <v>2413</v>
      </c>
      <c r="B1104" s="31">
        <f>IF(MasterFees[[#This Row],[RVG Code]]="","",_xlfn.XLOOKUP(MasterFees[[#This Row],[RVG Code]],RVGCodes[Code],RVGCodes[Base Units],"Code not found"))</f>
        <v>12</v>
      </c>
      <c r="C110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0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Cardiology</v>
      </c>
      <c r="E1104" s="125" t="s">
        <v>2723</v>
      </c>
      <c r="F1104" s="48" t="s">
        <v>2565</v>
      </c>
      <c r="G1104" s="30" t="s">
        <v>2414</v>
      </c>
      <c r="H1104" s="37" t="s">
        <v>2630</v>
      </c>
      <c r="I1104" s="37" t="s">
        <v>2413</v>
      </c>
      <c r="J1104" s="37" t="s">
        <v>1096</v>
      </c>
      <c r="K1104" s="32">
        <v>12</v>
      </c>
      <c r="L1104" s="32"/>
      <c r="M1104" s="32"/>
      <c r="N1104" s="32">
        <v>12</v>
      </c>
      <c r="O1104" s="33"/>
      <c r="P1104" s="38"/>
      <c r="Q1104" s="34" t="str">
        <f>IF(MasterFees[[#This Row],[GST Basis]]="Excl",MasterFees[[#This Row],[Fee as Printed]],IF(MasterFees[[#This Row],[GST Basis]]="Incl",MasterFees[[#This Row],[Fee as Printed]]/(1+GST_Rate),""))</f>
        <v/>
      </c>
      <c r="R1104" s="34" t="str">
        <f>IF(MasterFees[[#This Row],[GST Basis]]="Incl",MasterFees[[#This Row],[Fee as Printed]],IF(MasterFees[[#This Row],[GST Basis]]="Excl",MasterFees[[#This Row],[Fee as Printed]]*(1+GST_Rate),""))</f>
        <v/>
      </c>
      <c r="S1104" s="35">
        <f>IF(N(MasterFees[[#This Row],[Total Units]])=0,"",MasterFees[[#This Row],[Fee as Printed]]/MasterFees[[#This Row],[Total Units]])</f>
        <v>0</v>
      </c>
      <c r="T1104" s="36"/>
      <c r="U1104" s="39" t="s">
        <v>1016</v>
      </c>
      <c r="V1104" s="39" t="s">
        <v>2681</v>
      </c>
      <c r="W1104" s="30" t="s">
        <v>2632</v>
      </c>
      <c r="X1104" s="73" t="s">
        <v>3958</v>
      </c>
      <c r="Y1104" s="127" t="str">
        <f>_xlfn.XLOOKUP(MasterFees[[#This Row],[Provider / Payer]],Contracts[Contract Name],Contracts[Contract ID],"No contract")</f>
        <v>CON-10</v>
      </c>
      <c r="Z1104" s="127" t="str">
        <f>_xlfn.XLOOKUP(MasterFees[[#This Row],[Provider / Payer]],Contracts[Contract Name],Contracts[Pricing Basis],"To confirm")</f>
        <v>Reference – units only</v>
      </c>
      <c r="AA1104" s="127" t="str">
        <f>IF(MasterFees[[#This Row],[Pricing Basis]]="Fixed fee schedule","Yes","No")</f>
        <v>No</v>
      </c>
      <c r="AB1104" s="127" t="str">
        <f>IF(OR(MasterFees[[#This Row],[Fee Basis]]="Add-on",MasterFees[[#This Row],[Fee Basis]]="Time band",MasterFees[[#This Row],[Fee Basis]]="Other"),MasterFees[[#This Row],[Fee Basis]],"Base")</f>
        <v>Base</v>
      </c>
      <c r="AC1104" s="141" t="str">
        <f>IF(MasterFees[[#This Row],[Fixed Fee?]]="Yes",MasterFees[[#This Row],[Fee Excl. GST]],"")</f>
        <v/>
      </c>
    </row>
    <row r="1105" spans="1:29" x14ac:dyDescent="0.2">
      <c r="A1105" s="67" t="s">
        <v>2407</v>
      </c>
      <c r="B1105" s="31">
        <f>IF(MasterFees[[#This Row],[RVG Code]]="","",_xlfn.XLOOKUP(MasterFees[[#This Row],[RVG Code]],RVGCodes[Code],RVGCodes[Base Units],"Code not found"))</f>
        <v>4</v>
      </c>
      <c r="C110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0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Cardiology</v>
      </c>
      <c r="E1105" s="125" t="s">
        <v>2595</v>
      </c>
      <c r="F1105" s="48" t="s">
        <v>2629</v>
      </c>
      <c r="G1105" s="30" t="s">
        <v>2408</v>
      </c>
      <c r="H1105" s="37" t="s">
        <v>2630</v>
      </c>
      <c r="I1105" s="37" t="s">
        <v>2407</v>
      </c>
      <c r="J1105" s="37" t="s">
        <v>1096</v>
      </c>
      <c r="K1105" s="32">
        <v>4</v>
      </c>
      <c r="L1105" s="32"/>
      <c r="M1105" s="32"/>
      <c r="N1105" s="32">
        <v>4</v>
      </c>
      <c r="O1105" s="33"/>
      <c r="P1105" s="38"/>
      <c r="Q1105" s="34" t="str">
        <f>IF(MasterFees[[#This Row],[GST Basis]]="Excl",MasterFees[[#This Row],[Fee as Printed]],IF(MasterFees[[#This Row],[GST Basis]]="Incl",MasterFees[[#This Row],[Fee as Printed]]/(1+GST_Rate),""))</f>
        <v/>
      </c>
      <c r="R1105" s="34" t="str">
        <f>IF(MasterFees[[#This Row],[GST Basis]]="Incl",MasterFees[[#This Row],[Fee as Printed]],IF(MasterFees[[#This Row],[GST Basis]]="Excl",MasterFees[[#This Row],[Fee as Printed]]*(1+GST_Rate),""))</f>
        <v/>
      </c>
      <c r="S1105" s="35">
        <f>IF(N(MasterFees[[#This Row],[Total Units]])=0,"",MasterFees[[#This Row],[Fee as Printed]]/MasterFees[[#This Row],[Total Units]])</f>
        <v>0</v>
      </c>
      <c r="T1105" s="36"/>
      <c r="U1105" s="39" t="s">
        <v>1016</v>
      </c>
      <c r="V1105" s="39" t="s">
        <v>2681</v>
      </c>
      <c r="W1105" s="30" t="s">
        <v>2632</v>
      </c>
      <c r="X1105" s="73" t="s">
        <v>3028</v>
      </c>
      <c r="Y1105" s="127" t="str">
        <f>_xlfn.XLOOKUP(MasterFees[[#This Row],[Provider / Payer]],Contracts[Contract Name],Contracts[Contract ID],"No contract")</f>
        <v>CON-10</v>
      </c>
      <c r="Z1105" s="127" t="str">
        <f>_xlfn.XLOOKUP(MasterFees[[#This Row],[Provider / Payer]],Contracts[Contract Name],Contracts[Pricing Basis],"To confirm")</f>
        <v>Reference – units only</v>
      </c>
      <c r="AA1105" s="127" t="str">
        <f>IF(MasterFees[[#This Row],[Pricing Basis]]="Fixed fee schedule","Yes","No")</f>
        <v>No</v>
      </c>
      <c r="AB1105" s="127" t="str">
        <f>IF(OR(MasterFees[[#This Row],[Fee Basis]]="Add-on",MasterFees[[#This Row],[Fee Basis]]="Time band",MasterFees[[#This Row],[Fee Basis]]="Other"),MasterFees[[#This Row],[Fee Basis]],"Base")</f>
        <v>Base</v>
      </c>
      <c r="AC1105" s="141" t="str">
        <f>IF(MasterFees[[#This Row],[Fixed Fee?]]="Yes",MasterFees[[#This Row],[Fee Excl. GST]],"")</f>
        <v/>
      </c>
    </row>
    <row r="1106" spans="1:29" x14ac:dyDescent="0.2">
      <c r="A1106" s="67" t="s">
        <v>2411</v>
      </c>
      <c r="B1106" s="31">
        <f>IF(MasterFees[[#This Row],[RVG Code]]="","",_xlfn.XLOOKUP(MasterFees[[#This Row],[RVG Code]],RVGCodes[Code],RVGCodes[Base Units],"Code not found"))</f>
        <v>10</v>
      </c>
      <c r="C110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0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Cardiology</v>
      </c>
      <c r="E1106" s="125" t="s">
        <v>2722</v>
      </c>
      <c r="F1106" s="48" t="s">
        <v>2565</v>
      </c>
      <c r="G1106" s="30" t="s">
        <v>2412</v>
      </c>
      <c r="H1106" s="37" t="s">
        <v>2630</v>
      </c>
      <c r="I1106" s="37" t="s">
        <v>2411</v>
      </c>
      <c r="J1106" s="37" t="s">
        <v>1096</v>
      </c>
      <c r="K1106" s="32">
        <v>10</v>
      </c>
      <c r="L1106" s="32"/>
      <c r="M1106" s="32"/>
      <c r="N1106" s="32">
        <v>10</v>
      </c>
      <c r="O1106" s="33"/>
      <c r="P1106" s="38"/>
      <c r="Q1106" s="34" t="str">
        <f>IF(MasterFees[[#This Row],[GST Basis]]="Excl",MasterFees[[#This Row],[Fee as Printed]],IF(MasterFees[[#This Row],[GST Basis]]="Incl",MasterFees[[#This Row],[Fee as Printed]]/(1+GST_Rate),""))</f>
        <v/>
      </c>
      <c r="R1106" s="34" t="str">
        <f>IF(MasterFees[[#This Row],[GST Basis]]="Incl",MasterFees[[#This Row],[Fee as Printed]],IF(MasterFees[[#This Row],[GST Basis]]="Excl",MasterFees[[#This Row],[Fee as Printed]]*(1+GST_Rate),""))</f>
        <v/>
      </c>
      <c r="S1106" s="35">
        <f>IF(N(MasterFees[[#This Row],[Total Units]])=0,"",MasterFees[[#This Row],[Fee as Printed]]/MasterFees[[#This Row],[Total Units]])</f>
        <v>0</v>
      </c>
      <c r="T1106" s="36"/>
      <c r="U1106" s="39" t="s">
        <v>1016</v>
      </c>
      <c r="V1106" s="39" t="s">
        <v>2681</v>
      </c>
      <c r="W1106" s="30" t="s">
        <v>2632</v>
      </c>
      <c r="X1106" s="73" t="s">
        <v>3957</v>
      </c>
      <c r="Y1106" s="127" t="str">
        <f>_xlfn.XLOOKUP(MasterFees[[#This Row],[Provider / Payer]],Contracts[Contract Name],Contracts[Contract ID],"No contract")</f>
        <v>CON-10</v>
      </c>
      <c r="Z1106" s="127" t="str">
        <f>_xlfn.XLOOKUP(MasterFees[[#This Row],[Provider / Payer]],Contracts[Contract Name],Contracts[Pricing Basis],"To confirm")</f>
        <v>Reference – units only</v>
      </c>
      <c r="AA1106" s="127" t="str">
        <f>IF(MasterFees[[#This Row],[Pricing Basis]]="Fixed fee schedule","Yes","No")</f>
        <v>No</v>
      </c>
      <c r="AB1106" s="127" t="str">
        <f>IF(OR(MasterFees[[#This Row],[Fee Basis]]="Add-on",MasterFees[[#This Row],[Fee Basis]]="Time band",MasterFees[[#This Row],[Fee Basis]]="Other"),MasterFees[[#This Row],[Fee Basis]],"Base")</f>
        <v>Base</v>
      </c>
      <c r="AC1106" s="141" t="str">
        <f>IF(MasterFees[[#This Row],[Fixed Fee?]]="Yes",MasterFees[[#This Row],[Fee Excl. GST]],"")</f>
        <v/>
      </c>
    </row>
    <row r="1107" spans="1:29" x14ac:dyDescent="0.2">
      <c r="A1107" s="67" t="s">
        <v>2400</v>
      </c>
      <c r="B1107" s="31">
        <f>IF(MasterFees[[#This Row],[RVG Code]]="","",_xlfn.XLOOKUP(MasterFees[[#This Row],[RVG Code]],RVGCodes[Code],RVGCodes[Base Units],"Code not found"))</f>
        <v>4</v>
      </c>
      <c r="C110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0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07" s="125" t="s">
        <v>2600</v>
      </c>
      <c r="F1107" s="48" t="s">
        <v>2567</v>
      </c>
      <c r="G1107" s="30" t="s">
        <v>179</v>
      </c>
      <c r="H1107" s="37" t="s">
        <v>1095</v>
      </c>
      <c r="I1107" s="37"/>
      <c r="J1107" s="37" t="s">
        <v>1096</v>
      </c>
      <c r="K1107" s="32">
        <v>4.3</v>
      </c>
      <c r="L1107" s="32">
        <v>2.5</v>
      </c>
      <c r="M1107" s="32">
        <v>0.5</v>
      </c>
      <c r="N1107" s="32">
        <v>7.4</v>
      </c>
      <c r="O1107" s="33">
        <v>406.45</v>
      </c>
      <c r="P1107" s="38" t="s">
        <v>1014</v>
      </c>
      <c r="Q1107" s="34" t="str">
        <f>IF(MasterFees[[#This Row],[GST Basis]]="Excl",MasterFees[[#This Row],[Fee as Printed]],IF(MasterFees[[#This Row],[GST Basis]]="Incl",MasterFees[[#This Row],[Fee as Printed]]/(1+GST_Rate),""))</f>
        <v/>
      </c>
      <c r="R1107" s="34" t="str">
        <f>IF(MasterFees[[#This Row],[GST Basis]]="Incl",MasterFees[[#This Row],[Fee as Printed]],IF(MasterFees[[#This Row],[GST Basis]]="Excl",MasterFees[[#This Row],[Fee as Printed]]*(1+GST_Rate),""))</f>
        <v/>
      </c>
      <c r="S1107" s="35">
        <f>IF(N(MasterFees[[#This Row],[Total Units]])=0,"",MasterFees[[#This Row],[Fee as Printed]]/MasterFees[[#This Row],[Total Units]])</f>
        <v>54.92567567567567</v>
      </c>
      <c r="T1107" s="36"/>
      <c r="U1107" s="39" t="s">
        <v>1012</v>
      </c>
      <c r="V1107" s="39" t="s">
        <v>1273</v>
      </c>
      <c r="W1107" s="30"/>
      <c r="X1107" s="73" t="s">
        <v>3058</v>
      </c>
      <c r="Y1107" s="127" t="str">
        <f>_xlfn.XLOOKUP(MasterFees[[#This Row],[Provider / Payer]],Contracts[Contract Name],Contracts[Contract ID],"No contract")</f>
        <v>CON-01</v>
      </c>
      <c r="Z1107" s="127" t="str">
        <f>_xlfn.XLOOKUP(MasterFees[[#This Row],[Provider / Payer]],Contracts[Contract Name],Contracts[Pricing Basis],"To confirm")</f>
        <v>To confirm</v>
      </c>
      <c r="AA1107" s="127" t="str">
        <f>IF(MasterFees[[#This Row],[Pricing Basis]]="Fixed fee schedule","Yes","No")</f>
        <v>No</v>
      </c>
      <c r="AB1107" s="127" t="str">
        <f>IF(OR(MasterFees[[#This Row],[Fee Basis]]="Add-on",MasterFees[[#This Row],[Fee Basis]]="Time band",MasterFees[[#This Row],[Fee Basis]]="Other"),MasterFees[[#This Row],[Fee Basis]],"Base")</f>
        <v>Base</v>
      </c>
      <c r="AC1107" s="141" t="str">
        <f>IF(MasterFees[[#This Row],[Fixed Fee?]]="Yes",MasterFees[[#This Row],[Fee Excl. GST]],"")</f>
        <v/>
      </c>
    </row>
    <row r="1108" spans="1:29" x14ac:dyDescent="0.2">
      <c r="A1108" s="67" t="s">
        <v>2400</v>
      </c>
      <c r="B1108" s="31">
        <f>IF(MasterFees[[#This Row],[RVG Code]]="","",_xlfn.XLOOKUP(MasterFees[[#This Row],[RVG Code]],RVGCodes[Code],RVGCodes[Base Units],"Code not found"))</f>
        <v>4</v>
      </c>
      <c r="C110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0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08" s="125" t="s">
        <v>2600</v>
      </c>
      <c r="F1108" s="48" t="s">
        <v>2567</v>
      </c>
      <c r="G1108" s="30" t="s">
        <v>180</v>
      </c>
      <c r="H1108" s="37" t="s">
        <v>1095</v>
      </c>
      <c r="I1108" s="37"/>
      <c r="J1108" s="37" t="s">
        <v>1096</v>
      </c>
      <c r="K1108" s="32">
        <v>4.8</v>
      </c>
      <c r="L1108" s="32">
        <v>3.4</v>
      </c>
      <c r="M1108" s="32">
        <v>1</v>
      </c>
      <c r="N1108" s="32">
        <v>9.1</v>
      </c>
      <c r="O1108" s="33">
        <v>501.6</v>
      </c>
      <c r="P1108" s="38" t="s">
        <v>1014</v>
      </c>
      <c r="Q1108" s="34" t="str">
        <f>IF(MasterFees[[#This Row],[GST Basis]]="Excl",MasterFees[[#This Row],[Fee as Printed]],IF(MasterFees[[#This Row],[GST Basis]]="Incl",MasterFees[[#This Row],[Fee as Printed]]/(1+GST_Rate),""))</f>
        <v/>
      </c>
      <c r="R1108" s="34" t="str">
        <f>IF(MasterFees[[#This Row],[GST Basis]]="Incl",MasterFees[[#This Row],[Fee as Printed]],IF(MasterFees[[#This Row],[GST Basis]]="Excl",MasterFees[[#This Row],[Fee as Printed]]*(1+GST_Rate),""))</f>
        <v/>
      </c>
      <c r="S1108" s="35">
        <f>IF(N(MasterFees[[#This Row],[Total Units]])=0,"",MasterFees[[#This Row],[Fee as Printed]]/MasterFees[[#This Row],[Total Units]])</f>
        <v>55.120879120879124</v>
      </c>
      <c r="T1108" s="36"/>
      <c r="U1108" s="39" t="s">
        <v>1012</v>
      </c>
      <c r="V1108" s="39" t="s">
        <v>1274</v>
      </c>
      <c r="W1108" s="30"/>
      <c r="X1108" s="73" t="s">
        <v>3059</v>
      </c>
      <c r="Y1108" s="127" t="str">
        <f>_xlfn.XLOOKUP(MasterFees[[#This Row],[Provider / Payer]],Contracts[Contract Name],Contracts[Contract ID],"No contract")</f>
        <v>CON-01</v>
      </c>
      <c r="Z1108" s="127" t="str">
        <f>_xlfn.XLOOKUP(MasterFees[[#This Row],[Provider / Payer]],Contracts[Contract Name],Contracts[Pricing Basis],"To confirm")</f>
        <v>To confirm</v>
      </c>
      <c r="AA1108" s="127" t="str">
        <f>IF(MasterFees[[#This Row],[Pricing Basis]]="Fixed fee schedule","Yes","No")</f>
        <v>No</v>
      </c>
      <c r="AB1108" s="127" t="str">
        <f>IF(OR(MasterFees[[#This Row],[Fee Basis]]="Add-on",MasterFees[[#This Row],[Fee Basis]]="Time band",MasterFees[[#This Row],[Fee Basis]]="Other"),MasterFees[[#This Row],[Fee Basis]],"Base")</f>
        <v>Base</v>
      </c>
      <c r="AC1108" s="141" t="str">
        <f>IF(MasterFees[[#This Row],[Fixed Fee?]]="Yes",MasterFees[[#This Row],[Fee Excl. GST]],"")</f>
        <v/>
      </c>
    </row>
    <row r="1109" spans="1:29" x14ac:dyDescent="0.2">
      <c r="A1109" s="67" t="s">
        <v>2400</v>
      </c>
      <c r="B1109" s="31">
        <f>IF(MasterFees[[#This Row],[RVG Code]]="","",_xlfn.XLOOKUP(MasterFees[[#This Row],[RVG Code]],RVGCodes[Code],RVGCodes[Base Units],"Code not found"))</f>
        <v>4</v>
      </c>
      <c r="C110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0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09" s="125" t="s">
        <v>2600</v>
      </c>
      <c r="F1109" s="48" t="s">
        <v>2567</v>
      </c>
      <c r="G1109" s="30" t="s">
        <v>182</v>
      </c>
      <c r="H1109" s="37" t="s">
        <v>1095</v>
      </c>
      <c r="I1109" s="37"/>
      <c r="J1109" s="37" t="s">
        <v>1096</v>
      </c>
      <c r="K1109" s="32">
        <v>4.8</v>
      </c>
      <c r="L1109" s="32">
        <v>2.9</v>
      </c>
      <c r="M1109" s="32">
        <v>0.3</v>
      </c>
      <c r="N1109" s="32">
        <v>8</v>
      </c>
      <c r="O1109" s="33">
        <v>441.65</v>
      </c>
      <c r="P1109" s="38" t="s">
        <v>1014</v>
      </c>
      <c r="Q1109" s="34" t="str">
        <f>IF(MasterFees[[#This Row],[GST Basis]]="Excl",MasterFees[[#This Row],[Fee as Printed]],IF(MasterFees[[#This Row],[GST Basis]]="Incl",MasterFees[[#This Row],[Fee as Printed]]/(1+GST_Rate),""))</f>
        <v/>
      </c>
      <c r="R1109" s="34" t="str">
        <f>IF(MasterFees[[#This Row],[GST Basis]]="Incl",MasterFees[[#This Row],[Fee as Printed]],IF(MasterFees[[#This Row],[GST Basis]]="Excl",MasterFees[[#This Row],[Fee as Printed]]*(1+GST_Rate),""))</f>
        <v/>
      </c>
      <c r="S1109" s="35">
        <f>IF(N(MasterFees[[#This Row],[Total Units]])=0,"",MasterFees[[#This Row],[Fee as Printed]]/MasterFees[[#This Row],[Total Units]])</f>
        <v>55.206249999999997</v>
      </c>
      <c r="T1109" s="36"/>
      <c r="U1109" s="39" t="s">
        <v>1012</v>
      </c>
      <c r="V1109" s="39" t="s">
        <v>1276</v>
      </c>
      <c r="W1109" s="30"/>
      <c r="X1109" s="73" t="s">
        <v>3061</v>
      </c>
      <c r="Y1109" s="127" t="str">
        <f>_xlfn.XLOOKUP(MasterFees[[#This Row],[Provider / Payer]],Contracts[Contract Name],Contracts[Contract ID],"No contract")</f>
        <v>CON-01</v>
      </c>
      <c r="Z1109" s="127" t="str">
        <f>_xlfn.XLOOKUP(MasterFees[[#This Row],[Provider / Payer]],Contracts[Contract Name],Contracts[Pricing Basis],"To confirm")</f>
        <v>To confirm</v>
      </c>
      <c r="AA1109" s="127" t="str">
        <f>IF(MasterFees[[#This Row],[Pricing Basis]]="Fixed fee schedule","Yes","No")</f>
        <v>No</v>
      </c>
      <c r="AB1109" s="127" t="str">
        <f>IF(OR(MasterFees[[#This Row],[Fee Basis]]="Add-on",MasterFees[[#This Row],[Fee Basis]]="Time band",MasterFees[[#This Row],[Fee Basis]]="Other"),MasterFees[[#This Row],[Fee Basis]],"Base")</f>
        <v>Base</v>
      </c>
      <c r="AC1109" s="141" t="str">
        <f>IF(MasterFees[[#This Row],[Fixed Fee?]]="Yes",MasterFees[[#This Row],[Fee Excl. GST]],"")</f>
        <v/>
      </c>
    </row>
    <row r="1110" spans="1:29" x14ac:dyDescent="0.2">
      <c r="A1110" s="67" t="s">
        <v>2400</v>
      </c>
      <c r="B1110" s="31">
        <f>IF(MasterFees[[#This Row],[RVG Code]]="","",_xlfn.XLOOKUP(MasterFees[[#This Row],[RVG Code]],RVGCodes[Code],RVGCodes[Base Units],"Code not found"))</f>
        <v>4</v>
      </c>
      <c r="C111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1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10" s="125" t="s">
        <v>2600</v>
      </c>
      <c r="F1110" s="48" t="s">
        <v>2567</v>
      </c>
      <c r="G1110" s="30" t="s">
        <v>183</v>
      </c>
      <c r="H1110" s="37" t="s">
        <v>1095</v>
      </c>
      <c r="I1110" s="37"/>
      <c r="J1110" s="37" t="s">
        <v>1096</v>
      </c>
      <c r="K1110" s="32">
        <v>4.9000000000000004</v>
      </c>
      <c r="L1110" s="32">
        <v>3</v>
      </c>
      <c r="M1110" s="32">
        <v>0.4</v>
      </c>
      <c r="N1110" s="32">
        <v>8.3000000000000007</v>
      </c>
      <c r="O1110" s="33">
        <v>457.05</v>
      </c>
      <c r="P1110" s="38" t="s">
        <v>1014</v>
      </c>
      <c r="Q1110" s="34" t="str">
        <f>IF(MasterFees[[#This Row],[GST Basis]]="Excl",MasterFees[[#This Row],[Fee as Printed]],IF(MasterFees[[#This Row],[GST Basis]]="Incl",MasterFees[[#This Row],[Fee as Printed]]/(1+GST_Rate),""))</f>
        <v/>
      </c>
      <c r="R1110" s="34" t="str">
        <f>IF(MasterFees[[#This Row],[GST Basis]]="Incl",MasterFees[[#This Row],[Fee as Printed]],IF(MasterFees[[#This Row],[GST Basis]]="Excl",MasterFees[[#This Row],[Fee as Printed]]*(1+GST_Rate),""))</f>
        <v/>
      </c>
      <c r="S1110" s="35">
        <f>IF(N(MasterFees[[#This Row],[Total Units]])=0,"",MasterFees[[#This Row],[Fee as Printed]]/MasterFees[[#This Row],[Total Units]])</f>
        <v>55.066265060240958</v>
      </c>
      <c r="T1110" s="36"/>
      <c r="U1110" s="39" t="s">
        <v>1012</v>
      </c>
      <c r="V1110" s="39" t="s">
        <v>1277</v>
      </c>
      <c r="W1110" s="30"/>
      <c r="X1110" s="73" t="s">
        <v>3062</v>
      </c>
      <c r="Y1110" s="127" t="str">
        <f>_xlfn.XLOOKUP(MasterFees[[#This Row],[Provider / Payer]],Contracts[Contract Name],Contracts[Contract ID],"No contract")</f>
        <v>CON-01</v>
      </c>
      <c r="Z1110" s="127" t="str">
        <f>_xlfn.XLOOKUP(MasterFees[[#This Row],[Provider / Payer]],Contracts[Contract Name],Contracts[Pricing Basis],"To confirm")</f>
        <v>To confirm</v>
      </c>
      <c r="AA1110" s="127" t="str">
        <f>IF(MasterFees[[#This Row],[Pricing Basis]]="Fixed fee schedule","Yes","No")</f>
        <v>No</v>
      </c>
      <c r="AB1110" s="127" t="str">
        <f>IF(OR(MasterFees[[#This Row],[Fee Basis]]="Add-on",MasterFees[[#This Row],[Fee Basis]]="Time band",MasterFees[[#This Row],[Fee Basis]]="Other"),MasterFees[[#This Row],[Fee Basis]],"Base")</f>
        <v>Base</v>
      </c>
      <c r="AC1110" s="141" t="str">
        <f>IF(MasterFees[[#This Row],[Fixed Fee?]]="Yes",MasterFees[[#This Row],[Fee Excl. GST]],"")</f>
        <v/>
      </c>
    </row>
    <row r="1111" spans="1:29" x14ac:dyDescent="0.2">
      <c r="A1111" s="67" t="s">
        <v>2400</v>
      </c>
      <c r="B1111" s="31">
        <f>IF(MasterFees[[#This Row],[RVG Code]]="","",_xlfn.XLOOKUP(MasterFees[[#This Row],[RVG Code]],RVGCodes[Code],RVGCodes[Base Units],"Code not found"))</f>
        <v>4</v>
      </c>
      <c r="C111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1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11" s="125" t="s">
        <v>2600</v>
      </c>
      <c r="F1111" s="48" t="s">
        <v>2567</v>
      </c>
      <c r="G1111" s="30" t="s">
        <v>184</v>
      </c>
      <c r="H1111" s="37" t="s">
        <v>1095</v>
      </c>
      <c r="I1111" s="37"/>
      <c r="J1111" s="37" t="s">
        <v>1096</v>
      </c>
      <c r="K1111" s="32">
        <v>4.4000000000000004</v>
      </c>
      <c r="L1111" s="32">
        <v>3</v>
      </c>
      <c r="M1111" s="32">
        <v>0.7</v>
      </c>
      <c r="N1111" s="32">
        <v>8.1999999999999993</v>
      </c>
      <c r="O1111" s="33">
        <v>448.25</v>
      </c>
      <c r="P1111" s="38" t="s">
        <v>1014</v>
      </c>
      <c r="Q1111" s="34" t="str">
        <f>IF(MasterFees[[#This Row],[GST Basis]]="Excl",MasterFees[[#This Row],[Fee as Printed]],IF(MasterFees[[#This Row],[GST Basis]]="Incl",MasterFees[[#This Row],[Fee as Printed]]/(1+GST_Rate),""))</f>
        <v/>
      </c>
      <c r="R1111" s="34" t="str">
        <f>IF(MasterFees[[#This Row],[GST Basis]]="Incl",MasterFees[[#This Row],[Fee as Printed]],IF(MasterFees[[#This Row],[GST Basis]]="Excl",MasterFees[[#This Row],[Fee as Printed]]*(1+GST_Rate),""))</f>
        <v/>
      </c>
      <c r="S1111" s="35">
        <f>IF(N(MasterFees[[#This Row],[Total Units]])=0,"",MasterFees[[#This Row],[Fee as Printed]]/MasterFees[[#This Row],[Total Units]])</f>
        <v>54.66463414634147</v>
      </c>
      <c r="T1111" s="36"/>
      <c r="U1111" s="39" t="s">
        <v>1012</v>
      </c>
      <c r="V1111" s="39" t="s">
        <v>1278</v>
      </c>
      <c r="W1111" s="30"/>
      <c r="X1111" s="73" t="s">
        <v>3063</v>
      </c>
      <c r="Y1111" s="127" t="str">
        <f>_xlfn.XLOOKUP(MasterFees[[#This Row],[Provider / Payer]],Contracts[Contract Name],Contracts[Contract ID],"No contract")</f>
        <v>CON-01</v>
      </c>
      <c r="Z1111" s="127" t="str">
        <f>_xlfn.XLOOKUP(MasterFees[[#This Row],[Provider / Payer]],Contracts[Contract Name],Contracts[Pricing Basis],"To confirm")</f>
        <v>To confirm</v>
      </c>
      <c r="AA1111" s="127" t="str">
        <f>IF(MasterFees[[#This Row],[Pricing Basis]]="Fixed fee schedule","Yes","No")</f>
        <v>No</v>
      </c>
      <c r="AB1111" s="127" t="str">
        <f>IF(OR(MasterFees[[#This Row],[Fee Basis]]="Add-on",MasterFees[[#This Row],[Fee Basis]]="Time band",MasterFees[[#This Row],[Fee Basis]]="Other"),MasterFees[[#This Row],[Fee Basis]],"Base")</f>
        <v>Base</v>
      </c>
      <c r="AC1111" s="141" t="str">
        <f>IF(MasterFees[[#This Row],[Fixed Fee?]]="Yes",MasterFees[[#This Row],[Fee Excl. GST]],"")</f>
        <v/>
      </c>
    </row>
    <row r="1112" spans="1:29" x14ac:dyDescent="0.2">
      <c r="A1112" s="67" t="s">
        <v>2400</v>
      </c>
      <c r="B1112" s="31">
        <f>IF(MasterFees[[#This Row],[RVG Code]]="","",_xlfn.XLOOKUP(MasterFees[[#This Row],[RVG Code]],RVGCodes[Code],RVGCodes[Base Units],"Code not found"))</f>
        <v>4</v>
      </c>
      <c r="C111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1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12" s="125" t="s">
        <v>2600</v>
      </c>
      <c r="F1112" s="48" t="s">
        <v>2567</v>
      </c>
      <c r="G1112" s="30" t="s">
        <v>185</v>
      </c>
      <c r="H1112" s="37" t="s">
        <v>1095</v>
      </c>
      <c r="I1112" s="37"/>
      <c r="J1112" s="37" t="s">
        <v>1096</v>
      </c>
      <c r="K1112" s="32">
        <v>4.7</v>
      </c>
      <c r="L1112" s="32">
        <v>4.3</v>
      </c>
      <c r="M1112" s="32">
        <v>0.5</v>
      </c>
      <c r="N1112" s="32">
        <v>9.5</v>
      </c>
      <c r="O1112" s="33">
        <v>521.4</v>
      </c>
      <c r="P1112" s="38" t="s">
        <v>1014</v>
      </c>
      <c r="Q1112" s="34" t="str">
        <f>IF(MasterFees[[#This Row],[GST Basis]]="Excl",MasterFees[[#This Row],[Fee as Printed]],IF(MasterFees[[#This Row],[GST Basis]]="Incl",MasterFees[[#This Row],[Fee as Printed]]/(1+GST_Rate),""))</f>
        <v/>
      </c>
      <c r="R1112" s="34" t="str">
        <f>IF(MasterFees[[#This Row],[GST Basis]]="Incl",MasterFees[[#This Row],[Fee as Printed]],IF(MasterFees[[#This Row],[GST Basis]]="Excl",MasterFees[[#This Row],[Fee as Printed]]*(1+GST_Rate),""))</f>
        <v/>
      </c>
      <c r="S1112" s="35">
        <f>IF(N(MasterFees[[#This Row],[Total Units]])=0,"",MasterFees[[#This Row],[Fee as Printed]]/MasterFees[[#This Row],[Total Units]])</f>
        <v>54.88421052631579</v>
      </c>
      <c r="T1112" s="36"/>
      <c r="U1112" s="39" t="s">
        <v>1012</v>
      </c>
      <c r="V1112" s="39" t="s">
        <v>1279</v>
      </c>
      <c r="W1112" s="30"/>
      <c r="X1112" s="73" t="s">
        <v>3064</v>
      </c>
      <c r="Y1112" s="127" t="str">
        <f>_xlfn.XLOOKUP(MasterFees[[#This Row],[Provider / Payer]],Contracts[Contract Name],Contracts[Contract ID],"No contract")</f>
        <v>CON-01</v>
      </c>
      <c r="Z1112" s="127" t="str">
        <f>_xlfn.XLOOKUP(MasterFees[[#This Row],[Provider / Payer]],Contracts[Contract Name],Contracts[Pricing Basis],"To confirm")</f>
        <v>To confirm</v>
      </c>
      <c r="AA1112" s="127" t="str">
        <f>IF(MasterFees[[#This Row],[Pricing Basis]]="Fixed fee schedule","Yes","No")</f>
        <v>No</v>
      </c>
      <c r="AB1112" s="127" t="str">
        <f>IF(OR(MasterFees[[#This Row],[Fee Basis]]="Add-on",MasterFees[[#This Row],[Fee Basis]]="Time band",MasterFees[[#This Row],[Fee Basis]]="Other"),MasterFees[[#This Row],[Fee Basis]],"Base")</f>
        <v>Base</v>
      </c>
      <c r="AC1112" s="141" t="str">
        <f>IF(MasterFees[[#This Row],[Fixed Fee?]]="Yes",MasterFees[[#This Row],[Fee Excl. GST]],"")</f>
        <v/>
      </c>
    </row>
    <row r="1113" spans="1:29" x14ac:dyDescent="0.2">
      <c r="A1113" s="67" t="s">
        <v>2400</v>
      </c>
      <c r="B1113" s="31">
        <f>IF(MasterFees[[#This Row],[RVG Code]]="","",_xlfn.XLOOKUP(MasterFees[[#This Row],[RVG Code]],RVGCodes[Code],RVGCodes[Base Units],"Code not found"))</f>
        <v>4</v>
      </c>
      <c r="C111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1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13" s="125" t="s">
        <v>2600</v>
      </c>
      <c r="F1113" s="48" t="s">
        <v>2567</v>
      </c>
      <c r="G1113" s="30" t="s">
        <v>186</v>
      </c>
      <c r="H1113" s="37" t="s">
        <v>1095</v>
      </c>
      <c r="I1113" s="37"/>
      <c r="J1113" s="37" t="s">
        <v>1096</v>
      </c>
      <c r="K1113" s="32">
        <v>0</v>
      </c>
      <c r="L1113" s="32">
        <v>0</v>
      </c>
      <c r="M1113" s="32">
        <v>0</v>
      </c>
      <c r="N1113" s="32">
        <v>0</v>
      </c>
      <c r="O1113" s="33">
        <v>0</v>
      </c>
      <c r="P1113" s="38" t="s">
        <v>1014</v>
      </c>
      <c r="Q1113" s="34" t="str">
        <f>IF(MasterFees[[#This Row],[GST Basis]]="Excl",MasterFees[[#This Row],[Fee as Printed]],IF(MasterFees[[#This Row],[GST Basis]]="Incl",MasterFees[[#This Row],[Fee as Printed]]/(1+GST_Rate),""))</f>
        <v/>
      </c>
      <c r="R1113" s="34" t="str">
        <f>IF(MasterFees[[#This Row],[GST Basis]]="Incl",MasterFees[[#This Row],[Fee as Printed]],IF(MasterFees[[#This Row],[GST Basis]]="Excl",MasterFees[[#This Row],[Fee as Printed]]*(1+GST_Rate),""))</f>
        <v/>
      </c>
      <c r="S1113" s="35" t="str">
        <f>IF(N(MasterFees[[#This Row],[Total Units]])=0,"",MasterFees[[#This Row],[Fee as Printed]]/MasterFees[[#This Row],[Total Units]])</f>
        <v/>
      </c>
      <c r="T1113" s="36"/>
      <c r="U1113" s="39" t="s">
        <v>1012</v>
      </c>
      <c r="V1113" s="39" t="s">
        <v>1280</v>
      </c>
      <c r="W1113" s="30"/>
      <c r="X1113" s="73" t="s">
        <v>3065</v>
      </c>
      <c r="Y1113" s="127" t="str">
        <f>_xlfn.XLOOKUP(MasterFees[[#This Row],[Provider / Payer]],Contracts[Contract Name],Contracts[Contract ID],"No contract")</f>
        <v>CON-01</v>
      </c>
      <c r="Z1113" s="127" t="str">
        <f>_xlfn.XLOOKUP(MasterFees[[#This Row],[Provider / Payer]],Contracts[Contract Name],Contracts[Pricing Basis],"To confirm")</f>
        <v>To confirm</v>
      </c>
      <c r="AA1113" s="127" t="str">
        <f>IF(MasterFees[[#This Row],[Pricing Basis]]="Fixed fee schedule","Yes","No")</f>
        <v>No</v>
      </c>
      <c r="AB1113" s="127" t="str">
        <f>IF(OR(MasterFees[[#This Row],[Fee Basis]]="Add-on",MasterFees[[#This Row],[Fee Basis]]="Time band",MasterFees[[#This Row],[Fee Basis]]="Other"),MasterFees[[#This Row],[Fee Basis]],"Base")</f>
        <v>Base</v>
      </c>
      <c r="AC1113" s="141" t="str">
        <f>IF(MasterFees[[#This Row],[Fixed Fee?]]="Yes",MasterFees[[#This Row],[Fee Excl. GST]],"")</f>
        <v/>
      </c>
    </row>
    <row r="1114" spans="1:29" x14ac:dyDescent="0.2">
      <c r="A1114" s="67" t="s">
        <v>2400</v>
      </c>
      <c r="B1114" s="31">
        <f>IF(MasterFees[[#This Row],[RVG Code]]="","",_xlfn.XLOOKUP(MasterFees[[#This Row],[RVG Code]],RVGCodes[Code],RVGCodes[Base Units],"Code not found"))</f>
        <v>4</v>
      </c>
      <c r="C111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1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14" s="125" t="s">
        <v>2600</v>
      </c>
      <c r="F1114" s="48" t="s">
        <v>2567</v>
      </c>
      <c r="G1114" s="30" t="s">
        <v>187</v>
      </c>
      <c r="H1114" s="37" t="s">
        <v>1095</v>
      </c>
      <c r="I1114" s="37"/>
      <c r="J1114" s="37" t="s">
        <v>1096</v>
      </c>
      <c r="K1114" s="32">
        <v>0</v>
      </c>
      <c r="L1114" s="32">
        <v>0</v>
      </c>
      <c r="M1114" s="32">
        <v>0</v>
      </c>
      <c r="N1114" s="32">
        <v>0</v>
      </c>
      <c r="O1114" s="33">
        <v>0</v>
      </c>
      <c r="P1114" s="38" t="s">
        <v>1014</v>
      </c>
      <c r="Q1114" s="34" t="str">
        <f>IF(MasterFees[[#This Row],[GST Basis]]="Excl",MasterFees[[#This Row],[Fee as Printed]],IF(MasterFees[[#This Row],[GST Basis]]="Incl",MasterFees[[#This Row],[Fee as Printed]]/(1+GST_Rate),""))</f>
        <v/>
      </c>
      <c r="R1114" s="34" t="str">
        <f>IF(MasterFees[[#This Row],[GST Basis]]="Incl",MasterFees[[#This Row],[Fee as Printed]],IF(MasterFees[[#This Row],[GST Basis]]="Excl",MasterFees[[#This Row],[Fee as Printed]]*(1+GST_Rate),""))</f>
        <v/>
      </c>
      <c r="S1114" s="35" t="str">
        <f>IF(N(MasterFees[[#This Row],[Total Units]])=0,"",MasterFees[[#This Row],[Fee as Printed]]/MasterFees[[#This Row],[Total Units]])</f>
        <v/>
      </c>
      <c r="T1114" s="36"/>
      <c r="U1114" s="39" t="s">
        <v>1012</v>
      </c>
      <c r="V1114" s="39" t="s">
        <v>1281</v>
      </c>
      <c r="W1114" s="30"/>
      <c r="X1114" s="73" t="s">
        <v>3066</v>
      </c>
      <c r="Y1114" s="127" t="str">
        <f>_xlfn.XLOOKUP(MasterFees[[#This Row],[Provider / Payer]],Contracts[Contract Name],Contracts[Contract ID],"No contract")</f>
        <v>CON-01</v>
      </c>
      <c r="Z1114" s="127" t="str">
        <f>_xlfn.XLOOKUP(MasterFees[[#This Row],[Provider / Payer]],Contracts[Contract Name],Contracts[Pricing Basis],"To confirm")</f>
        <v>To confirm</v>
      </c>
      <c r="AA1114" s="127" t="str">
        <f>IF(MasterFees[[#This Row],[Pricing Basis]]="Fixed fee schedule","Yes","No")</f>
        <v>No</v>
      </c>
      <c r="AB1114" s="127" t="str">
        <f>IF(OR(MasterFees[[#This Row],[Fee Basis]]="Add-on",MasterFees[[#This Row],[Fee Basis]]="Time band",MasterFees[[#This Row],[Fee Basis]]="Other"),MasterFees[[#This Row],[Fee Basis]],"Base")</f>
        <v>Base</v>
      </c>
      <c r="AC1114" s="141" t="str">
        <f>IF(MasterFees[[#This Row],[Fixed Fee?]]="Yes",MasterFees[[#This Row],[Fee Excl. GST]],"")</f>
        <v/>
      </c>
    </row>
    <row r="1115" spans="1:29" x14ac:dyDescent="0.2">
      <c r="A1115" s="67" t="s">
        <v>2400</v>
      </c>
      <c r="B1115" s="31">
        <f>IF(MasterFees[[#This Row],[RVG Code]]="","",_xlfn.XLOOKUP(MasterFees[[#This Row],[RVG Code]],RVGCodes[Code],RVGCodes[Base Units],"Code not found"))</f>
        <v>4</v>
      </c>
      <c r="C111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1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15" s="125" t="s">
        <v>2600</v>
      </c>
      <c r="F1115" s="48" t="s">
        <v>2567</v>
      </c>
      <c r="G1115" s="30" t="s">
        <v>188</v>
      </c>
      <c r="H1115" s="37" t="s">
        <v>1095</v>
      </c>
      <c r="I1115" s="37"/>
      <c r="J1115" s="37" t="s">
        <v>1096</v>
      </c>
      <c r="K1115" s="32">
        <v>0</v>
      </c>
      <c r="L1115" s="32">
        <v>0</v>
      </c>
      <c r="M1115" s="32">
        <v>0</v>
      </c>
      <c r="N1115" s="32">
        <v>0</v>
      </c>
      <c r="O1115" s="33">
        <v>0</v>
      </c>
      <c r="P1115" s="38" t="s">
        <v>1014</v>
      </c>
      <c r="Q1115" s="34" t="str">
        <f>IF(MasterFees[[#This Row],[GST Basis]]="Excl",MasterFees[[#This Row],[Fee as Printed]],IF(MasterFees[[#This Row],[GST Basis]]="Incl",MasterFees[[#This Row],[Fee as Printed]]/(1+GST_Rate),""))</f>
        <v/>
      </c>
      <c r="R1115" s="34" t="str">
        <f>IF(MasterFees[[#This Row],[GST Basis]]="Incl",MasterFees[[#This Row],[Fee as Printed]],IF(MasterFees[[#This Row],[GST Basis]]="Excl",MasterFees[[#This Row],[Fee as Printed]]*(1+GST_Rate),""))</f>
        <v/>
      </c>
      <c r="S1115" s="35" t="str">
        <f>IF(N(MasterFees[[#This Row],[Total Units]])=0,"",MasterFees[[#This Row],[Fee as Printed]]/MasterFees[[#This Row],[Total Units]])</f>
        <v/>
      </c>
      <c r="T1115" s="36"/>
      <c r="U1115" s="39" t="s">
        <v>1012</v>
      </c>
      <c r="V1115" s="39" t="s">
        <v>1282</v>
      </c>
      <c r="W1115" s="30"/>
      <c r="X1115" s="73" t="s">
        <v>3067</v>
      </c>
      <c r="Y1115" s="127" t="str">
        <f>_xlfn.XLOOKUP(MasterFees[[#This Row],[Provider / Payer]],Contracts[Contract Name],Contracts[Contract ID],"No contract")</f>
        <v>CON-01</v>
      </c>
      <c r="Z1115" s="127" t="str">
        <f>_xlfn.XLOOKUP(MasterFees[[#This Row],[Provider / Payer]],Contracts[Contract Name],Contracts[Pricing Basis],"To confirm")</f>
        <v>To confirm</v>
      </c>
      <c r="AA1115" s="127" t="str">
        <f>IF(MasterFees[[#This Row],[Pricing Basis]]="Fixed fee schedule","Yes","No")</f>
        <v>No</v>
      </c>
      <c r="AB1115" s="127" t="str">
        <f>IF(OR(MasterFees[[#This Row],[Fee Basis]]="Add-on",MasterFees[[#This Row],[Fee Basis]]="Time band",MasterFees[[#This Row],[Fee Basis]]="Other"),MasterFees[[#This Row],[Fee Basis]],"Base")</f>
        <v>Base</v>
      </c>
      <c r="AC1115" s="141" t="str">
        <f>IF(MasterFees[[#This Row],[Fixed Fee?]]="Yes",MasterFees[[#This Row],[Fee Excl. GST]],"")</f>
        <v/>
      </c>
    </row>
    <row r="1116" spans="1:29" x14ac:dyDescent="0.2">
      <c r="A1116" s="67" t="s">
        <v>2400</v>
      </c>
      <c r="B1116" s="31">
        <f>IF(MasterFees[[#This Row],[RVG Code]]="","",_xlfn.XLOOKUP(MasterFees[[#This Row],[RVG Code]],RVGCodes[Code],RVGCodes[Base Units],"Code not found"))</f>
        <v>4</v>
      </c>
      <c r="C111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1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16" s="125" t="s">
        <v>2600</v>
      </c>
      <c r="F1116" s="48" t="s">
        <v>2567</v>
      </c>
      <c r="G1116" s="30" t="s">
        <v>189</v>
      </c>
      <c r="H1116" s="37" t="s">
        <v>1095</v>
      </c>
      <c r="I1116" s="37"/>
      <c r="J1116" s="37" t="s">
        <v>1096</v>
      </c>
      <c r="K1116" s="32">
        <v>4</v>
      </c>
      <c r="L1116" s="32">
        <v>3</v>
      </c>
      <c r="M1116" s="32">
        <v>0</v>
      </c>
      <c r="N1116" s="32">
        <v>7</v>
      </c>
      <c r="O1116" s="33">
        <v>385</v>
      </c>
      <c r="P1116" s="38" t="s">
        <v>1014</v>
      </c>
      <c r="Q1116" s="34" t="str">
        <f>IF(MasterFees[[#This Row],[GST Basis]]="Excl",MasterFees[[#This Row],[Fee as Printed]],IF(MasterFees[[#This Row],[GST Basis]]="Incl",MasterFees[[#This Row],[Fee as Printed]]/(1+GST_Rate),""))</f>
        <v/>
      </c>
      <c r="R1116" s="34" t="str">
        <f>IF(MasterFees[[#This Row],[GST Basis]]="Incl",MasterFees[[#This Row],[Fee as Printed]],IF(MasterFees[[#This Row],[GST Basis]]="Excl",MasterFees[[#This Row],[Fee as Printed]]*(1+GST_Rate),""))</f>
        <v/>
      </c>
      <c r="S1116" s="35">
        <f>IF(N(MasterFees[[#This Row],[Total Units]])=0,"",MasterFees[[#This Row],[Fee as Printed]]/MasterFees[[#This Row],[Total Units]])</f>
        <v>55</v>
      </c>
      <c r="T1116" s="36"/>
      <c r="U1116" s="39" t="s">
        <v>1012</v>
      </c>
      <c r="V1116" s="39" t="s">
        <v>1283</v>
      </c>
      <c r="W1116" s="30"/>
      <c r="X1116" s="73" t="s">
        <v>3068</v>
      </c>
      <c r="Y1116" s="127" t="str">
        <f>_xlfn.XLOOKUP(MasterFees[[#This Row],[Provider / Payer]],Contracts[Contract Name],Contracts[Contract ID],"No contract")</f>
        <v>CON-01</v>
      </c>
      <c r="Z1116" s="127" t="str">
        <f>_xlfn.XLOOKUP(MasterFees[[#This Row],[Provider / Payer]],Contracts[Contract Name],Contracts[Pricing Basis],"To confirm")</f>
        <v>To confirm</v>
      </c>
      <c r="AA1116" s="127" t="str">
        <f>IF(MasterFees[[#This Row],[Pricing Basis]]="Fixed fee schedule","Yes","No")</f>
        <v>No</v>
      </c>
      <c r="AB1116" s="127" t="str">
        <f>IF(OR(MasterFees[[#This Row],[Fee Basis]]="Add-on",MasterFees[[#This Row],[Fee Basis]]="Time band",MasterFees[[#This Row],[Fee Basis]]="Other"),MasterFees[[#This Row],[Fee Basis]],"Base")</f>
        <v>Base</v>
      </c>
      <c r="AC1116" s="141" t="str">
        <f>IF(MasterFees[[#This Row],[Fixed Fee?]]="Yes",MasterFees[[#This Row],[Fee Excl. GST]],"")</f>
        <v/>
      </c>
    </row>
    <row r="1117" spans="1:29" x14ac:dyDescent="0.2">
      <c r="A1117" s="67" t="s">
        <v>2400</v>
      </c>
      <c r="B1117" s="31">
        <f>IF(MasterFees[[#This Row],[RVG Code]]="","",_xlfn.XLOOKUP(MasterFees[[#This Row],[RVG Code]],RVGCodes[Code],RVGCodes[Base Units],"Code not found"))</f>
        <v>4</v>
      </c>
      <c r="C111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1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17" s="125" t="s">
        <v>2600</v>
      </c>
      <c r="F1117" s="48" t="s">
        <v>2567</v>
      </c>
      <c r="G1117" s="30" t="s">
        <v>190</v>
      </c>
      <c r="H1117" s="37" t="s">
        <v>1095</v>
      </c>
      <c r="I1117" s="37"/>
      <c r="J1117" s="37" t="s">
        <v>1096</v>
      </c>
      <c r="K1117" s="32">
        <v>5</v>
      </c>
      <c r="L1117" s="32">
        <v>3.5</v>
      </c>
      <c r="M1117" s="32">
        <v>0</v>
      </c>
      <c r="N1117" s="32">
        <v>8.5</v>
      </c>
      <c r="O1117" s="33">
        <v>467.5</v>
      </c>
      <c r="P1117" s="38" t="s">
        <v>1014</v>
      </c>
      <c r="Q1117" s="34" t="str">
        <f>IF(MasterFees[[#This Row],[GST Basis]]="Excl",MasterFees[[#This Row],[Fee as Printed]],IF(MasterFees[[#This Row],[GST Basis]]="Incl",MasterFees[[#This Row],[Fee as Printed]]/(1+GST_Rate),""))</f>
        <v/>
      </c>
      <c r="R1117" s="34" t="str">
        <f>IF(MasterFees[[#This Row],[GST Basis]]="Incl",MasterFees[[#This Row],[Fee as Printed]],IF(MasterFees[[#This Row],[GST Basis]]="Excl",MasterFees[[#This Row],[Fee as Printed]]*(1+GST_Rate),""))</f>
        <v/>
      </c>
      <c r="S1117" s="35">
        <f>IF(N(MasterFees[[#This Row],[Total Units]])=0,"",MasterFees[[#This Row],[Fee as Printed]]/MasterFees[[#This Row],[Total Units]])</f>
        <v>55</v>
      </c>
      <c r="T1117" s="36"/>
      <c r="U1117" s="39" t="s">
        <v>1012</v>
      </c>
      <c r="V1117" s="39" t="s">
        <v>1284</v>
      </c>
      <c r="W1117" s="30"/>
      <c r="X1117" s="73" t="s">
        <v>3069</v>
      </c>
      <c r="Y1117" s="127" t="str">
        <f>_xlfn.XLOOKUP(MasterFees[[#This Row],[Provider / Payer]],Contracts[Contract Name],Contracts[Contract ID],"No contract")</f>
        <v>CON-01</v>
      </c>
      <c r="Z1117" s="127" t="str">
        <f>_xlfn.XLOOKUP(MasterFees[[#This Row],[Provider / Payer]],Contracts[Contract Name],Contracts[Pricing Basis],"To confirm")</f>
        <v>To confirm</v>
      </c>
      <c r="AA1117" s="127" t="str">
        <f>IF(MasterFees[[#This Row],[Pricing Basis]]="Fixed fee schedule","Yes","No")</f>
        <v>No</v>
      </c>
      <c r="AB1117" s="127" t="str">
        <f>IF(OR(MasterFees[[#This Row],[Fee Basis]]="Add-on",MasterFees[[#This Row],[Fee Basis]]="Time band",MasterFees[[#This Row],[Fee Basis]]="Other"),MasterFees[[#This Row],[Fee Basis]],"Base")</f>
        <v>Base</v>
      </c>
      <c r="AC1117" s="141" t="str">
        <f>IF(MasterFees[[#This Row],[Fixed Fee?]]="Yes",MasterFees[[#This Row],[Fee Excl. GST]],"")</f>
        <v/>
      </c>
    </row>
    <row r="1118" spans="1:29" x14ac:dyDescent="0.2">
      <c r="A1118" s="67" t="s">
        <v>2400</v>
      </c>
      <c r="B1118" s="31">
        <f>IF(MasterFees[[#This Row],[RVG Code]]="","",_xlfn.XLOOKUP(MasterFees[[#This Row],[RVG Code]],RVGCodes[Code],RVGCodes[Base Units],"Code not found"))</f>
        <v>4</v>
      </c>
      <c r="C111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1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18" s="125" t="s">
        <v>2600</v>
      </c>
      <c r="F1118" s="48" t="s">
        <v>2567</v>
      </c>
      <c r="G1118" s="30" t="s">
        <v>191</v>
      </c>
      <c r="H1118" s="37" t="s">
        <v>1095</v>
      </c>
      <c r="I1118" s="37"/>
      <c r="J1118" s="37" t="s">
        <v>1096</v>
      </c>
      <c r="K1118" s="32">
        <v>4.4000000000000004</v>
      </c>
      <c r="L1118" s="32">
        <v>2.5</v>
      </c>
      <c r="M1118" s="32">
        <v>0.5</v>
      </c>
      <c r="N1118" s="32">
        <v>7.5</v>
      </c>
      <c r="O1118" s="33">
        <v>410.3</v>
      </c>
      <c r="P1118" s="38" t="s">
        <v>1014</v>
      </c>
      <c r="Q1118" s="34" t="str">
        <f>IF(MasterFees[[#This Row],[GST Basis]]="Excl",MasterFees[[#This Row],[Fee as Printed]],IF(MasterFees[[#This Row],[GST Basis]]="Incl",MasterFees[[#This Row],[Fee as Printed]]/(1+GST_Rate),""))</f>
        <v/>
      </c>
      <c r="R1118" s="34" t="str">
        <f>IF(MasterFees[[#This Row],[GST Basis]]="Incl",MasterFees[[#This Row],[Fee as Printed]],IF(MasterFees[[#This Row],[GST Basis]]="Excl",MasterFees[[#This Row],[Fee as Printed]]*(1+GST_Rate),""))</f>
        <v/>
      </c>
      <c r="S1118" s="35">
        <f>IF(N(MasterFees[[#This Row],[Total Units]])=0,"",MasterFees[[#This Row],[Fee as Printed]]/MasterFees[[#This Row],[Total Units]])</f>
        <v>54.706666666666671</v>
      </c>
      <c r="T1118" s="36"/>
      <c r="U1118" s="39" t="s">
        <v>1012</v>
      </c>
      <c r="V1118" s="39" t="s">
        <v>1285</v>
      </c>
      <c r="W1118" s="30"/>
      <c r="X1118" s="73" t="s">
        <v>3070</v>
      </c>
      <c r="Y1118" s="127" t="str">
        <f>_xlfn.XLOOKUP(MasterFees[[#This Row],[Provider / Payer]],Contracts[Contract Name],Contracts[Contract ID],"No contract")</f>
        <v>CON-01</v>
      </c>
      <c r="Z1118" s="127" t="str">
        <f>_xlfn.XLOOKUP(MasterFees[[#This Row],[Provider / Payer]],Contracts[Contract Name],Contracts[Pricing Basis],"To confirm")</f>
        <v>To confirm</v>
      </c>
      <c r="AA1118" s="127" t="str">
        <f>IF(MasterFees[[#This Row],[Pricing Basis]]="Fixed fee schedule","Yes","No")</f>
        <v>No</v>
      </c>
      <c r="AB1118" s="127" t="str">
        <f>IF(OR(MasterFees[[#This Row],[Fee Basis]]="Add-on",MasterFees[[#This Row],[Fee Basis]]="Time band",MasterFees[[#This Row],[Fee Basis]]="Other"),MasterFees[[#This Row],[Fee Basis]],"Base")</f>
        <v>Base</v>
      </c>
      <c r="AC1118" s="141" t="str">
        <f>IF(MasterFees[[#This Row],[Fixed Fee?]]="Yes",MasterFees[[#This Row],[Fee Excl. GST]],"")</f>
        <v/>
      </c>
    </row>
    <row r="1119" spans="1:29" x14ac:dyDescent="0.2">
      <c r="A1119" s="67" t="s">
        <v>2400</v>
      </c>
      <c r="B1119" s="31">
        <f>IF(MasterFees[[#This Row],[RVG Code]]="","",_xlfn.XLOOKUP(MasterFees[[#This Row],[RVG Code]],RVGCodes[Code],RVGCodes[Base Units],"Code not found"))</f>
        <v>4</v>
      </c>
      <c r="C111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1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19" s="125" t="s">
        <v>2600</v>
      </c>
      <c r="F1119" s="48" t="s">
        <v>2567</v>
      </c>
      <c r="G1119" s="30" t="s">
        <v>193</v>
      </c>
      <c r="H1119" s="37" t="s">
        <v>1095</v>
      </c>
      <c r="I1119" s="37"/>
      <c r="J1119" s="37" t="s">
        <v>1096</v>
      </c>
      <c r="K1119" s="32">
        <v>5</v>
      </c>
      <c r="L1119" s="32">
        <v>2</v>
      </c>
      <c r="M1119" s="32">
        <v>0</v>
      </c>
      <c r="N1119" s="32">
        <v>7</v>
      </c>
      <c r="O1119" s="33">
        <v>385</v>
      </c>
      <c r="P1119" s="38" t="s">
        <v>1014</v>
      </c>
      <c r="Q1119" s="34" t="str">
        <f>IF(MasterFees[[#This Row],[GST Basis]]="Excl",MasterFees[[#This Row],[Fee as Printed]],IF(MasterFees[[#This Row],[GST Basis]]="Incl",MasterFees[[#This Row],[Fee as Printed]]/(1+GST_Rate),""))</f>
        <v/>
      </c>
      <c r="R1119" s="34" t="str">
        <f>IF(MasterFees[[#This Row],[GST Basis]]="Incl",MasterFees[[#This Row],[Fee as Printed]],IF(MasterFees[[#This Row],[GST Basis]]="Excl",MasterFees[[#This Row],[Fee as Printed]]*(1+GST_Rate),""))</f>
        <v/>
      </c>
      <c r="S1119" s="35">
        <f>IF(N(MasterFees[[#This Row],[Total Units]])=0,"",MasterFees[[#This Row],[Fee as Printed]]/MasterFees[[#This Row],[Total Units]])</f>
        <v>55</v>
      </c>
      <c r="T1119" s="36"/>
      <c r="U1119" s="39" t="s">
        <v>1012</v>
      </c>
      <c r="V1119" s="39" t="s">
        <v>1287</v>
      </c>
      <c r="W1119" s="30"/>
      <c r="X1119" s="73" t="s">
        <v>3072</v>
      </c>
      <c r="Y1119" s="127" t="str">
        <f>_xlfn.XLOOKUP(MasterFees[[#This Row],[Provider / Payer]],Contracts[Contract Name],Contracts[Contract ID],"No contract")</f>
        <v>CON-01</v>
      </c>
      <c r="Z1119" s="127" t="str">
        <f>_xlfn.XLOOKUP(MasterFees[[#This Row],[Provider / Payer]],Contracts[Contract Name],Contracts[Pricing Basis],"To confirm")</f>
        <v>To confirm</v>
      </c>
      <c r="AA1119" s="127" t="str">
        <f>IF(MasterFees[[#This Row],[Pricing Basis]]="Fixed fee schedule","Yes","No")</f>
        <v>No</v>
      </c>
      <c r="AB1119" s="127" t="str">
        <f>IF(OR(MasterFees[[#This Row],[Fee Basis]]="Add-on",MasterFees[[#This Row],[Fee Basis]]="Time band",MasterFees[[#This Row],[Fee Basis]]="Other"),MasterFees[[#This Row],[Fee Basis]],"Base")</f>
        <v>Base</v>
      </c>
      <c r="AC1119" s="141" t="str">
        <f>IF(MasterFees[[#This Row],[Fixed Fee?]]="Yes",MasterFees[[#This Row],[Fee Excl. GST]],"")</f>
        <v/>
      </c>
    </row>
    <row r="1120" spans="1:29" x14ac:dyDescent="0.2">
      <c r="A1120" s="67" t="s">
        <v>2400</v>
      </c>
      <c r="B1120" s="31">
        <f>IF(MasterFees[[#This Row],[RVG Code]]="","",_xlfn.XLOOKUP(MasterFees[[#This Row],[RVG Code]],RVGCodes[Code],RVGCodes[Base Units],"Code not found"))</f>
        <v>4</v>
      </c>
      <c r="C112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2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20" s="125" t="s">
        <v>2600</v>
      </c>
      <c r="F1120" s="48" t="s">
        <v>2567</v>
      </c>
      <c r="G1120" s="30" t="s">
        <v>192</v>
      </c>
      <c r="H1120" s="37" t="s">
        <v>1095</v>
      </c>
      <c r="I1120" s="37"/>
      <c r="J1120" s="37" t="s">
        <v>1096</v>
      </c>
      <c r="K1120" s="32">
        <v>4.9000000000000004</v>
      </c>
      <c r="L1120" s="32">
        <v>2.9</v>
      </c>
      <c r="M1120" s="32">
        <v>0.4</v>
      </c>
      <c r="N1120" s="32">
        <v>8.1</v>
      </c>
      <c r="O1120" s="33">
        <v>447.7</v>
      </c>
      <c r="P1120" s="38" t="s">
        <v>1014</v>
      </c>
      <c r="Q1120" s="34" t="str">
        <f>IF(MasterFees[[#This Row],[GST Basis]]="Excl",MasterFees[[#This Row],[Fee as Printed]],IF(MasterFees[[#This Row],[GST Basis]]="Incl",MasterFees[[#This Row],[Fee as Printed]]/(1+GST_Rate),""))</f>
        <v/>
      </c>
      <c r="R1120" s="34" t="str">
        <f>IF(MasterFees[[#This Row],[GST Basis]]="Incl",MasterFees[[#This Row],[Fee as Printed]],IF(MasterFees[[#This Row],[GST Basis]]="Excl",MasterFees[[#This Row],[Fee as Printed]]*(1+GST_Rate),""))</f>
        <v/>
      </c>
      <c r="S1120" s="35">
        <f>IF(N(MasterFees[[#This Row],[Total Units]])=0,"",MasterFees[[#This Row],[Fee as Printed]]/MasterFees[[#This Row],[Total Units]])</f>
        <v>55.271604938271608</v>
      </c>
      <c r="T1120" s="36"/>
      <c r="U1120" s="39" t="s">
        <v>1012</v>
      </c>
      <c r="V1120" s="39" t="s">
        <v>1286</v>
      </c>
      <c r="W1120" s="30"/>
      <c r="X1120" s="73" t="s">
        <v>3071</v>
      </c>
      <c r="Y1120" s="127" t="str">
        <f>_xlfn.XLOOKUP(MasterFees[[#This Row],[Provider / Payer]],Contracts[Contract Name],Contracts[Contract ID],"No contract")</f>
        <v>CON-01</v>
      </c>
      <c r="Z1120" s="127" t="str">
        <f>_xlfn.XLOOKUP(MasterFees[[#This Row],[Provider / Payer]],Contracts[Contract Name],Contracts[Pricing Basis],"To confirm")</f>
        <v>To confirm</v>
      </c>
      <c r="AA1120" s="127" t="str">
        <f>IF(MasterFees[[#This Row],[Pricing Basis]]="Fixed fee schedule","Yes","No")</f>
        <v>No</v>
      </c>
      <c r="AB1120" s="127" t="str">
        <f>IF(OR(MasterFees[[#This Row],[Fee Basis]]="Add-on",MasterFees[[#This Row],[Fee Basis]]="Time band",MasterFees[[#This Row],[Fee Basis]]="Other"),MasterFees[[#This Row],[Fee Basis]],"Base")</f>
        <v>Base</v>
      </c>
      <c r="AC1120" s="141" t="str">
        <f>IF(MasterFees[[#This Row],[Fixed Fee?]]="Yes",MasterFees[[#This Row],[Fee Excl. GST]],"")</f>
        <v/>
      </c>
    </row>
    <row r="1121" spans="1:29" x14ac:dyDescent="0.2">
      <c r="A1121" s="67" t="s">
        <v>2400</v>
      </c>
      <c r="B1121" s="31">
        <f>IF(MasterFees[[#This Row],[RVG Code]]="","",_xlfn.XLOOKUP(MasterFees[[#This Row],[RVG Code]],RVGCodes[Code],RVGCodes[Base Units],"Code not found"))</f>
        <v>4</v>
      </c>
      <c r="C112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2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21" s="125" t="s">
        <v>2600</v>
      </c>
      <c r="F1121" s="48" t="s">
        <v>2567</v>
      </c>
      <c r="G1121" s="30" t="s">
        <v>194</v>
      </c>
      <c r="H1121" s="37" t="s">
        <v>1095</v>
      </c>
      <c r="I1121" s="37"/>
      <c r="J1121" s="37" t="s">
        <v>1096</v>
      </c>
      <c r="K1121" s="32">
        <v>5</v>
      </c>
      <c r="L1121" s="32">
        <v>2</v>
      </c>
      <c r="M1121" s="32">
        <v>0</v>
      </c>
      <c r="N1121" s="32">
        <v>7</v>
      </c>
      <c r="O1121" s="33">
        <v>385</v>
      </c>
      <c r="P1121" s="38" t="s">
        <v>1014</v>
      </c>
      <c r="Q1121" s="34" t="str">
        <f>IF(MasterFees[[#This Row],[GST Basis]]="Excl",MasterFees[[#This Row],[Fee as Printed]],IF(MasterFees[[#This Row],[GST Basis]]="Incl",MasterFees[[#This Row],[Fee as Printed]]/(1+GST_Rate),""))</f>
        <v/>
      </c>
      <c r="R1121" s="34" t="str">
        <f>IF(MasterFees[[#This Row],[GST Basis]]="Incl",MasterFees[[#This Row],[Fee as Printed]],IF(MasterFees[[#This Row],[GST Basis]]="Excl",MasterFees[[#This Row],[Fee as Printed]]*(1+GST_Rate),""))</f>
        <v/>
      </c>
      <c r="S1121" s="35">
        <f>IF(N(MasterFees[[#This Row],[Total Units]])=0,"",MasterFees[[#This Row],[Fee as Printed]]/MasterFees[[#This Row],[Total Units]])</f>
        <v>55</v>
      </c>
      <c r="T1121" s="36"/>
      <c r="U1121" s="39" t="s">
        <v>1012</v>
      </c>
      <c r="V1121" s="39" t="s">
        <v>1288</v>
      </c>
      <c r="W1121" s="30"/>
      <c r="X1121" s="73" t="s">
        <v>3073</v>
      </c>
      <c r="Y1121" s="127" t="str">
        <f>_xlfn.XLOOKUP(MasterFees[[#This Row],[Provider / Payer]],Contracts[Contract Name],Contracts[Contract ID],"No contract")</f>
        <v>CON-01</v>
      </c>
      <c r="Z1121" s="127" t="str">
        <f>_xlfn.XLOOKUP(MasterFees[[#This Row],[Provider / Payer]],Contracts[Contract Name],Contracts[Pricing Basis],"To confirm")</f>
        <v>To confirm</v>
      </c>
      <c r="AA1121" s="127" t="str">
        <f>IF(MasterFees[[#This Row],[Pricing Basis]]="Fixed fee schedule","Yes","No")</f>
        <v>No</v>
      </c>
      <c r="AB1121" s="127" t="str">
        <f>IF(OR(MasterFees[[#This Row],[Fee Basis]]="Add-on",MasterFees[[#This Row],[Fee Basis]]="Time band",MasterFees[[#This Row],[Fee Basis]]="Other"),MasterFees[[#This Row],[Fee Basis]],"Base")</f>
        <v>Base</v>
      </c>
      <c r="AC1121" s="141" t="str">
        <f>IF(MasterFees[[#This Row],[Fixed Fee?]]="Yes",MasterFees[[#This Row],[Fee Excl. GST]],"")</f>
        <v/>
      </c>
    </row>
    <row r="1122" spans="1:29" x14ac:dyDescent="0.2">
      <c r="A1122" s="67" t="s">
        <v>2400</v>
      </c>
      <c r="B1122" s="31">
        <f>IF(MasterFees[[#This Row],[RVG Code]]="","",_xlfn.XLOOKUP(MasterFees[[#This Row],[RVG Code]],RVGCodes[Code],RVGCodes[Base Units],"Code not found"))</f>
        <v>4</v>
      </c>
      <c r="C112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2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22" s="125" t="s">
        <v>2600</v>
      </c>
      <c r="F1122" s="48" t="s">
        <v>2567</v>
      </c>
      <c r="G1122" s="30" t="s">
        <v>195</v>
      </c>
      <c r="H1122" s="37" t="s">
        <v>1095</v>
      </c>
      <c r="I1122" s="37"/>
      <c r="J1122" s="37" t="s">
        <v>1096</v>
      </c>
      <c r="K1122" s="32">
        <v>4.8</v>
      </c>
      <c r="L1122" s="32">
        <v>4.0999999999999996</v>
      </c>
      <c r="M1122" s="32">
        <v>1</v>
      </c>
      <c r="N1122" s="32">
        <v>9.9</v>
      </c>
      <c r="O1122" s="33">
        <v>544.5</v>
      </c>
      <c r="P1122" s="38" t="s">
        <v>1014</v>
      </c>
      <c r="Q1122" s="34" t="str">
        <f>IF(MasterFees[[#This Row],[GST Basis]]="Excl",MasterFees[[#This Row],[Fee as Printed]],IF(MasterFees[[#This Row],[GST Basis]]="Incl",MasterFees[[#This Row],[Fee as Printed]]/(1+GST_Rate),""))</f>
        <v/>
      </c>
      <c r="R1122" s="34" t="str">
        <f>IF(MasterFees[[#This Row],[GST Basis]]="Incl",MasterFees[[#This Row],[Fee as Printed]],IF(MasterFees[[#This Row],[GST Basis]]="Excl",MasterFees[[#This Row],[Fee as Printed]]*(1+GST_Rate),""))</f>
        <v/>
      </c>
      <c r="S1122" s="35">
        <f>IF(N(MasterFees[[#This Row],[Total Units]])=0,"",MasterFees[[#This Row],[Fee as Printed]]/MasterFees[[#This Row],[Total Units]])</f>
        <v>55</v>
      </c>
      <c r="T1122" s="36"/>
      <c r="U1122" s="39" t="s">
        <v>1012</v>
      </c>
      <c r="V1122" s="39" t="s">
        <v>1289</v>
      </c>
      <c r="W1122" s="30"/>
      <c r="X1122" s="73" t="s">
        <v>3074</v>
      </c>
      <c r="Y1122" s="127" t="str">
        <f>_xlfn.XLOOKUP(MasterFees[[#This Row],[Provider / Payer]],Contracts[Contract Name],Contracts[Contract ID],"No contract")</f>
        <v>CON-01</v>
      </c>
      <c r="Z1122" s="127" t="str">
        <f>_xlfn.XLOOKUP(MasterFees[[#This Row],[Provider / Payer]],Contracts[Contract Name],Contracts[Pricing Basis],"To confirm")</f>
        <v>To confirm</v>
      </c>
      <c r="AA1122" s="127" t="str">
        <f>IF(MasterFees[[#This Row],[Pricing Basis]]="Fixed fee schedule","Yes","No")</f>
        <v>No</v>
      </c>
      <c r="AB1122" s="127" t="str">
        <f>IF(OR(MasterFees[[#This Row],[Fee Basis]]="Add-on",MasterFees[[#This Row],[Fee Basis]]="Time band",MasterFees[[#This Row],[Fee Basis]]="Other"),MasterFees[[#This Row],[Fee Basis]],"Base")</f>
        <v>Base</v>
      </c>
      <c r="AC1122" s="141" t="str">
        <f>IF(MasterFees[[#This Row],[Fixed Fee?]]="Yes",MasterFees[[#This Row],[Fee Excl. GST]],"")</f>
        <v/>
      </c>
    </row>
    <row r="1123" spans="1:29" x14ac:dyDescent="0.2">
      <c r="A1123" s="67" t="s">
        <v>2400</v>
      </c>
      <c r="B1123" s="31">
        <f>IF(MasterFees[[#This Row],[RVG Code]]="","",_xlfn.XLOOKUP(MasterFees[[#This Row],[RVG Code]],RVGCodes[Code],RVGCodes[Base Units],"Code not found"))</f>
        <v>4</v>
      </c>
      <c r="C112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2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23" s="125" t="s">
        <v>2600</v>
      </c>
      <c r="F1123" s="48" t="s">
        <v>2567</v>
      </c>
      <c r="G1123" s="30" t="s">
        <v>196</v>
      </c>
      <c r="H1123" s="37" t="s">
        <v>1095</v>
      </c>
      <c r="I1123" s="37"/>
      <c r="J1123" s="37" t="s">
        <v>1096</v>
      </c>
      <c r="K1123" s="32">
        <v>4.5</v>
      </c>
      <c r="L1123" s="32">
        <v>2.5</v>
      </c>
      <c r="M1123" s="32">
        <v>0.7</v>
      </c>
      <c r="N1123" s="32">
        <v>7.6</v>
      </c>
      <c r="O1123" s="33">
        <v>419.1</v>
      </c>
      <c r="P1123" s="38" t="s">
        <v>1014</v>
      </c>
      <c r="Q1123" s="34" t="str">
        <f>IF(MasterFees[[#This Row],[GST Basis]]="Excl",MasterFees[[#This Row],[Fee as Printed]],IF(MasterFees[[#This Row],[GST Basis]]="Incl",MasterFees[[#This Row],[Fee as Printed]]/(1+GST_Rate),""))</f>
        <v/>
      </c>
      <c r="R1123" s="34" t="str">
        <f>IF(MasterFees[[#This Row],[GST Basis]]="Incl",MasterFees[[#This Row],[Fee as Printed]],IF(MasterFees[[#This Row],[GST Basis]]="Excl",MasterFees[[#This Row],[Fee as Printed]]*(1+GST_Rate),""))</f>
        <v/>
      </c>
      <c r="S1123" s="35">
        <f>IF(N(MasterFees[[#This Row],[Total Units]])=0,"",MasterFees[[#This Row],[Fee as Printed]]/MasterFees[[#This Row],[Total Units]])</f>
        <v>55.144736842105267</v>
      </c>
      <c r="T1123" s="36"/>
      <c r="U1123" s="39" t="s">
        <v>1012</v>
      </c>
      <c r="V1123" s="39" t="s">
        <v>1290</v>
      </c>
      <c r="W1123" s="30"/>
      <c r="X1123" s="73" t="s">
        <v>3075</v>
      </c>
      <c r="Y1123" s="127" t="str">
        <f>_xlfn.XLOOKUP(MasterFees[[#This Row],[Provider / Payer]],Contracts[Contract Name],Contracts[Contract ID],"No contract")</f>
        <v>CON-01</v>
      </c>
      <c r="Z1123" s="127" t="str">
        <f>_xlfn.XLOOKUP(MasterFees[[#This Row],[Provider / Payer]],Contracts[Contract Name],Contracts[Pricing Basis],"To confirm")</f>
        <v>To confirm</v>
      </c>
      <c r="AA1123" s="127" t="str">
        <f>IF(MasterFees[[#This Row],[Pricing Basis]]="Fixed fee schedule","Yes","No")</f>
        <v>No</v>
      </c>
      <c r="AB1123" s="127" t="str">
        <f>IF(OR(MasterFees[[#This Row],[Fee Basis]]="Add-on",MasterFees[[#This Row],[Fee Basis]]="Time band",MasterFees[[#This Row],[Fee Basis]]="Other"),MasterFees[[#This Row],[Fee Basis]],"Base")</f>
        <v>Base</v>
      </c>
      <c r="AC1123" s="141" t="str">
        <f>IF(MasterFees[[#This Row],[Fixed Fee?]]="Yes",MasterFees[[#This Row],[Fee Excl. GST]],"")</f>
        <v/>
      </c>
    </row>
    <row r="1124" spans="1:29" x14ac:dyDescent="0.2">
      <c r="A1124" s="67" t="s">
        <v>2400</v>
      </c>
      <c r="B1124" s="31">
        <f>IF(MasterFees[[#This Row],[RVG Code]]="","",_xlfn.XLOOKUP(MasterFees[[#This Row],[RVG Code]],RVGCodes[Code],RVGCodes[Base Units],"Code not found"))</f>
        <v>4</v>
      </c>
      <c r="C112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2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24" s="125" t="s">
        <v>2600</v>
      </c>
      <c r="F1124" s="48" t="s">
        <v>2567</v>
      </c>
      <c r="G1124" s="30" t="s">
        <v>197</v>
      </c>
      <c r="H1124" s="37" t="s">
        <v>1095</v>
      </c>
      <c r="I1124" s="37"/>
      <c r="J1124" s="37" t="s">
        <v>1096</v>
      </c>
      <c r="K1124" s="32">
        <v>4</v>
      </c>
      <c r="L1124" s="32">
        <v>3</v>
      </c>
      <c r="M1124" s="32">
        <v>0</v>
      </c>
      <c r="N1124" s="32">
        <v>7</v>
      </c>
      <c r="O1124" s="33">
        <v>385</v>
      </c>
      <c r="P1124" s="38" t="s">
        <v>1014</v>
      </c>
      <c r="Q1124" s="34" t="str">
        <f>IF(MasterFees[[#This Row],[GST Basis]]="Excl",MasterFees[[#This Row],[Fee as Printed]],IF(MasterFees[[#This Row],[GST Basis]]="Incl",MasterFees[[#This Row],[Fee as Printed]]/(1+GST_Rate),""))</f>
        <v/>
      </c>
      <c r="R1124" s="34" t="str">
        <f>IF(MasterFees[[#This Row],[GST Basis]]="Incl",MasterFees[[#This Row],[Fee as Printed]],IF(MasterFees[[#This Row],[GST Basis]]="Excl",MasterFees[[#This Row],[Fee as Printed]]*(1+GST_Rate),""))</f>
        <v/>
      </c>
      <c r="S1124" s="35">
        <f>IF(N(MasterFees[[#This Row],[Total Units]])=0,"",MasterFees[[#This Row],[Fee as Printed]]/MasterFees[[#This Row],[Total Units]])</f>
        <v>55</v>
      </c>
      <c r="T1124" s="36"/>
      <c r="U1124" s="39" t="s">
        <v>1012</v>
      </c>
      <c r="V1124" s="39" t="s">
        <v>1291</v>
      </c>
      <c r="W1124" s="30"/>
      <c r="X1124" s="73" t="s">
        <v>3076</v>
      </c>
      <c r="Y1124" s="127" t="str">
        <f>_xlfn.XLOOKUP(MasterFees[[#This Row],[Provider / Payer]],Contracts[Contract Name],Contracts[Contract ID],"No contract")</f>
        <v>CON-01</v>
      </c>
      <c r="Z1124" s="127" t="str">
        <f>_xlfn.XLOOKUP(MasterFees[[#This Row],[Provider / Payer]],Contracts[Contract Name],Contracts[Pricing Basis],"To confirm")</f>
        <v>To confirm</v>
      </c>
      <c r="AA1124" s="127" t="str">
        <f>IF(MasterFees[[#This Row],[Pricing Basis]]="Fixed fee schedule","Yes","No")</f>
        <v>No</v>
      </c>
      <c r="AB1124" s="127" t="str">
        <f>IF(OR(MasterFees[[#This Row],[Fee Basis]]="Add-on",MasterFees[[#This Row],[Fee Basis]]="Time band",MasterFees[[#This Row],[Fee Basis]]="Other"),MasterFees[[#This Row],[Fee Basis]],"Base")</f>
        <v>Base</v>
      </c>
      <c r="AC1124" s="141" t="str">
        <f>IF(MasterFees[[#This Row],[Fixed Fee?]]="Yes",MasterFees[[#This Row],[Fee Excl. GST]],"")</f>
        <v/>
      </c>
    </row>
    <row r="1125" spans="1:29" x14ac:dyDescent="0.2">
      <c r="A1125" s="67" t="s">
        <v>2400</v>
      </c>
      <c r="B1125" s="31">
        <f>IF(MasterFees[[#This Row],[RVG Code]]="","",_xlfn.XLOOKUP(MasterFees[[#This Row],[RVG Code]],RVGCodes[Code],RVGCodes[Base Units],"Code not found"))</f>
        <v>4</v>
      </c>
      <c r="C112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2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25" s="125" t="s">
        <v>2600</v>
      </c>
      <c r="F1125" s="48" t="s">
        <v>2567</v>
      </c>
      <c r="G1125" s="30" t="s">
        <v>181</v>
      </c>
      <c r="H1125" s="37" t="s">
        <v>1095</v>
      </c>
      <c r="I1125" s="37"/>
      <c r="J1125" s="37" t="s">
        <v>1096</v>
      </c>
      <c r="K1125" s="32">
        <v>4.5</v>
      </c>
      <c r="L1125" s="32">
        <v>3</v>
      </c>
      <c r="M1125" s="32">
        <v>0</v>
      </c>
      <c r="N1125" s="32">
        <v>7.5</v>
      </c>
      <c r="O1125" s="33">
        <v>412.5</v>
      </c>
      <c r="P1125" s="38" t="s">
        <v>1014</v>
      </c>
      <c r="Q1125" s="34" t="str">
        <f>IF(MasterFees[[#This Row],[GST Basis]]="Excl",MasterFees[[#This Row],[Fee as Printed]],IF(MasterFees[[#This Row],[GST Basis]]="Incl",MasterFees[[#This Row],[Fee as Printed]]/(1+GST_Rate),""))</f>
        <v/>
      </c>
      <c r="R1125" s="34" t="str">
        <f>IF(MasterFees[[#This Row],[GST Basis]]="Incl",MasterFees[[#This Row],[Fee as Printed]],IF(MasterFees[[#This Row],[GST Basis]]="Excl",MasterFees[[#This Row],[Fee as Printed]]*(1+GST_Rate),""))</f>
        <v/>
      </c>
      <c r="S1125" s="35">
        <f>IF(N(MasterFees[[#This Row],[Total Units]])=0,"",MasterFees[[#This Row],[Fee as Printed]]/MasterFees[[#This Row],[Total Units]])</f>
        <v>55</v>
      </c>
      <c r="T1125" s="36"/>
      <c r="U1125" s="39" t="s">
        <v>1012</v>
      </c>
      <c r="V1125" s="39" t="s">
        <v>1275</v>
      </c>
      <c r="W1125" s="30"/>
      <c r="X1125" s="73" t="s">
        <v>3060</v>
      </c>
      <c r="Y1125" s="127" t="str">
        <f>_xlfn.XLOOKUP(MasterFees[[#This Row],[Provider / Payer]],Contracts[Contract Name],Contracts[Contract ID],"No contract")</f>
        <v>CON-01</v>
      </c>
      <c r="Z1125" s="127" t="str">
        <f>_xlfn.XLOOKUP(MasterFees[[#This Row],[Provider / Payer]],Contracts[Contract Name],Contracts[Pricing Basis],"To confirm")</f>
        <v>To confirm</v>
      </c>
      <c r="AA1125" s="127" t="str">
        <f>IF(MasterFees[[#This Row],[Pricing Basis]]="Fixed fee schedule","Yes","No")</f>
        <v>No</v>
      </c>
      <c r="AB1125" s="127" t="str">
        <f>IF(OR(MasterFees[[#This Row],[Fee Basis]]="Add-on",MasterFees[[#This Row],[Fee Basis]]="Time band",MasterFees[[#This Row],[Fee Basis]]="Other"),MasterFees[[#This Row],[Fee Basis]],"Base")</f>
        <v>Base</v>
      </c>
      <c r="AC1125" s="141" t="str">
        <f>IF(MasterFees[[#This Row],[Fixed Fee?]]="Yes",MasterFees[[#This Row],[Fee Excl. GST]],"")</f>
        <v/>
      </c>
    </row>
    <row r="1126" spans="1:29" x14ac:dyDescent="0.2">
      <c r="A1126" s="67" t="s">
        <v>2400</v>
      </c>
      <c r="B1126" s="31">
        <f>IF(MasterFees[[#This Row],[RVG Code]]="","",_xlfn.XLOOKUP(MasterFees[[#This Row],[RVG Code]],RVGCodes[Code],RVGCodes[Base Units],"Code not found"))</f>
        <v>4</v>
      </c>
      <c r="C112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2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26" s="125" t="s">
        <v>2600</v>
      </c>
      <c r="F1126" s="48" t="s">
        <v>2567</v>
      </c>
      <c r="G1126" s="30" t="s">
        <v>198</v>
      </c>
      <c r="H1126" s="37" t="s">
        <v>1095</v>
      </c>
      <c r="I1126" s="37"/>
      <c r="J1126" s="37" t="s">
        <v>1096</v>
      </c>
      <c r="K1126" s="32">
        <v>5</v>
      </c>
      <c r="L1126" s="32">
        <v>2</v>
      </c>
      <c r="M1126" s="32">
        <v>4</v>
      </c>
      <c r="N1126" s="32">
        <v>11</v>
      </c>
      <c r="O1126" s="33">
        <v>605</v>
      </c>
      <c r="P1126" s="38" t="s">
        <v>1014</v>
      </c>
      <c r="Q1126" s="34" t="str">
        <f>IF(MasterFees[[#This Row],[GST Basis]]="Excl",MasterFees[[#This Row],[Fee as Printed]],IF(MasterFees[[#This Row],[GST Basis]]="Incl",MasterFees[[#This Row],[Fee as Printed]]/(1+GST_Rate),""))</f>
        <v/>
      </c>
      <c r="R1126" s="34" t="str">
        <f>IF(MasterFees[[#This Row],[GST Basis]]="Incl",MasterFees[[#This Row],[Fee as Printed]],IF(MasterFees[[#This Row],[GST Basis]]="Excl",MasterFees[[#This Row],[Fee as Printed]]*(1+GST_Rate),""))</f>
        <v/>
      </c>
      <c r="S1126" s="35">
        <f>IF(N(MasterFees[[#This Row],[Total Units]])=0,"",MasterFees[[#This Row],[Fee as Printed]]/MasterFees[[#This Row],[Total Units]])</f>
        <v>55</v>
      </c>
      <c r="T1126" s="36"/>
      <c r="U1126" s="39" t="s">
        <v>1012</v>
      </c>
      <c r="V1126" s="39" t="s">
        <v>1292</v>
      </c>
      <c r="W1126" s="30"/>
      <c r="X1126" s="73" t="s">
        <v>3077</v>
      </c>
      <c r="Y1126" s="127" t="str">
        <f>_xlfn.XLOOKUP(MasterFees[[#This Row],[Provider / Payer]],Contracts[Contract Name],Contracts[Contract ID],"No contract")</f>
        <v>CON-01</v>
      </c>
      <c r="Z1126" s="127" t="str">
        <f>_xlfn.XLOOKUP(MasterFees[[#This Row],[Provider / Payer]],Contracts[Contract Name],Contracts[Pricing Basis],"To confirm")</f>
        <v>To confirm</v>
      </c>
      <c r="AA1126" s="127" t="str">
        <f>IF(MasterFees[[#This Row],[Pricing Basis]]="Fixed fee schedule","Yes","No")</f>
        <v>No</v>
      </c>
      <c r="AB1126" s="127" t="str">
        <f>IF(OR(MasterFees[[#This Row],[Fee Basis]]="Add-on",MasterFees[[#This Row],[Fee Basis]]="Time band",MasterFees[[#This Row],[Fee Basis]]="Other"),MasterFees[[#This Row],[Fee Basis]],"Base")</f>
        <v>Base</v>
      </c>
      <c r="AC1126" s="141" t="str">
        <f>IF(MasterFees[[#This Row],[Fixed Fee?]]="Yes",MasterFees[[#This Row],[Fee Excl. GST]],"")</f>
        <v/>
      </c>
    </row>
    <row r="1127" spans="1:29" x14ac:dyDescent="0.2">
      <c r="A1127" s="67" t="s">
        <v>2400</v>
      </c>
      <c r="B1127" s="31">
        <f>IF(MasterFees[[#This Row],[RVG Code]]="","",_xlfn.XLOOKUP(MasterFees[[#This Row],[RVG Code]],RVGCodes[Code],RVGCodes[Base Units],"Code not found"))</f>
        <v>4</v>
      </c>
      <c r="C112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2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27" s="125" t="s">
        <v>2600</v>
      </c>
      <c r="F1127" s="48" t="s">
        <v>2567</v>
      </c>
      <c r="G1127" s="30" t="s">
        <v>199</v>
      </c>
      <c r="H1127" s="37" t="s">
        <v>1095</v>
      </c>
      <c r="I1127" s="37"/>
      <c r="J1127" s="37" t="s">
        <v>1096</v>
      </c>
      <c r="K1127" s="32">
        <v>0</v>
      </c>
      <c r="L1127" s="32">
        <v>0</v>
      </c>
      <c r="M1127" s="32">
        <v>0</v>
      </c>
      <c r="N1127" s="32">
        <v>0</v>
      </c>
      <c r="O1127" s="33">
        <v>0</v>
      </c>
      <c r="P1127" s="38" t="s">
        <v>1014</v>
      </c>
      <c r="Q1127" s="34" t="str">
        <f>IF(MasterFees[[#This Row],[GST Basis]]="Excl",MasterFees[[#This Row],[Fee as Printed]],IF(MasterFees[[#This Row],[GST Basis]]="Incl",MasterFees[[#This Row],[Fee as Printed]]/(1+GST_Rate),""))</f>
        <v/>
      </c>
      <c r="R1127" s="34" t="str">
        <f>IF(MasterFees[[#This Row],[GST Basis]]="Incl",MasterFees[[#This Row],[Fee as Printed]],IF(MasterFees[[#This Row],[GST Basis]]="Excl",MasterFees[[#This Row],[Fee as Printed]]*(1+GST_Rate),""))</f>
        <v/>
      </c>
      <c r="S1127" s="35" t="str">
        <f>IF(N(MasterFees[[#This Row],[Total Units]])=0,"",MasterFees[[#This Row],[Fee as Printed]]/MasterFees[[#This Row],[Total Units]])</f>
        <v/>
      </c>
      <c r="T1127" s="36"/>
      <c r="U1127" s="39" t="s">
        <v>1012</v>
      </c>
      <c r="V1127" s="39" t="s">
        <v>1293</v>
      </c>
      <c r="W1127" s="30"/>
      <c r="X1127" s="73" t="s">
        <v>3078</v>
      </c>
      <c r="Y1127" s="127" t="str">
        <f>_xlfn.XLOOKUP(MasterFees[[#This Row],[Provider / Payer]],Contracts[Contract Name],Contracts[Contract ID],"No contract")</f>
        <v>CON-01</v>
      </c>
      <c r="Z1127" s="127" t="str">
        <f>_xlfn.XLOOKUP(MasterFees[[#This Row],[Provider / Payer]],Contracts[Contract Name],Contracts[Pricing Basis],"To confirm")</f>
        <v>To confirm</v>
      </c>
      <c r="AA1127" s="127" t="str">
        <f>IF(MasterFees[[#This Row],[Pricing Basis]]="Fixed fee schedule","Yes","No")</f>
        <v>No</v>
      </c>
      <c r="AB1127" s="127" t="str">
        <f>IF(OR(MasterFees[[#This Row],[Fee Basis]]="Add-on",MasterFees[[#This Row],[Fee Basis]]="Time band",MasterFees[[#This Row],[Fee Basis]]="Other"),MasterFees[[#This Row],[Fee Basis]],"Base")</f>
        <v>Base</v>
      </c>
      <c r="AC1127" s="141" t="str">
        <f>IF(MasterFees[[#This Row],[Fixed Fee?]]="Yes",MasterFees[[#This Row],[Fee Excl. GST]],"")</f>
        <v/>
      </c>
    </row>
    <row r="1128" spans="1:29" x14ac:dyDescent="0.2">
      <c r="A1128" s="67" t="s">
        <v>2400</v>
      </c>
      <c r="B1128" s="31">
        <f>IF(MasterFees[[#This Row],[RVG Code]]="","",_xlfn.XLOOKUP(MasterFees[[#This Row],[RVG Code]],RVGCodes[Code],RVGCodes[Base Units],"Code not found"))</f>
        <v>4</v>
      </c>
      <c r="C112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2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28" s="125" t="s">
        <v>2600</v>
      </c>
      <c r="F1128" s="48" t="s">
        <v>2567</v>
      </c>
      <c r="G1128" s="30" t="s">
        <v>200</v>
      </c>
      <c r="H1128" s="37" t="s">
        <v>1095</v>
      </c>
      <c r="I1128" s="37"/>
      <c r="J1128" s="37" t="s">
        <v>1096</v>
      </c>
      <c r="K1128" s="32">
        <v>4</v>
      </c>
      <c r="L1128" s="32">
        <v>2</v>
      </c>
      <c r="M1128" s="32">
        <v>2</v>
      </c>
      <c r="N1128" s="32">
        <v>8</v>
      </c>
      <c r="O1128" s="33">
        <v>440</v>
      </c>
      <c r="P1128" s="38" t="s">
        <v>1014</v>
      </c>
      <c r="Q1128" s="34" t="str">
        <f>IF(MasterFees[[#This Row],[GST Basis]]="Excl",MasterFees[[#This Row],[Fee as Printed]],IF(MasterFees[[#This Row],[GST Basis]]="Incl",MasterFees[[#This Row],[Fee as Printed]]/(1+GST_Rate),""))</f>
        <v/>
      </c>
      <c r="R1128" s="34" t="str">
        <f>IF(MasterFees[[#This Row],[GST Basis]]="Incl",MasterFees[[#This Row],[Fee as Printed]],IF(MasterFees[[#This Row],[GST Basis]]="Excl",MasterFees[[#This Row],[Fee as Printed]]*(1+GST_Rate),""))</f>
        <v/>
      </c>
      <c r="S1128" s="35">
        <f>IF(N(MasterFees[[#This Row],[Total Units]])=0,"",MasterFees[[#This Row],[Fee as Printed]]/MasterFees[[#This Row],[Total Units]])</f>
        <v>55</v>
      </c>
      <c r="T1128" s="36"/>
      <c r="U1128" s="39" t="s">
        <v>1012</v>
      </c>
      <c r="V1128" s="39" t="s">
        <v>1294</v>
      </c>
      <c r="W1128" s="30"/>
      <c r="X1128" s="73" t="s">
        <v>3079</v>
      </c>
      <c r="Y1128" s="127" t="str">
        <f>_xlfn.XLOOKUP(MasterFees[[#This Row],[Provider / Payer]],Contracts[Contract Name],Contracts[Contract ID],"No contract")</f>
        <v>CON-01</v>
      </c>
      <c r="Z1128" s="127" t="str">
        <f>_xlfn.XLOOKUP(MasterFees[[#This Row],[Provider / Payer]],Contracts[Contract Name],Contracts[Pricing Basis],"To confirm")</f>
        <v>To confirm</v>
      </c>
      <c r="AA1128" s="127" t="str">
        <f>IF(MasterFees[[#This Row],[Pricing Basis]]="Fixed fee schedule","Yes","No")</f>
        <v>No</v>
      </c>
      <c r="AB1128" s="127" t="str">
        <f>IF(OR(MasterFees[[#This Row],[Fee Basis]]="Add-on",MasterFees[[#This Row],[Fee Basis]]="Time band",MasterFees[[#This Row],[Fee Basis]]="Other"),MasterFees[[#This Row],[Fee Basis]],"Base")</f>
        <v>Base</v>
      </c>
      <c r="AC1128" s="141" t="str">
        <f>IF(MasterFees[[#This Row],[Fixed Fee?]]="Yes",MasterFees[[#This Row],[Fee Excl. GST]],"")</f>
        <v/>
      </c>
    </row>
    <row r="1129" spans="1:29" x14ac:dyDescent="0.2">
      <c r="A1129" s="67" t="s">
        <v>2400</v>
      </c>
      <c r="B1129" s="31">
        <f>IF(MasterFees[[#This Row],[RVG Code]]="","",_xlfn.XLOOKUP(MasterFees[[#This Row],[RVG Code]],RVGCodes[Code],RVGCodes[Base Units],"Code not found"))</f>
        <v>4</v>
      </c>
      <c r="C112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2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29" s="125" t="s">
        <v>2600</v>
      </c>
      <c r="F1129" s="48" t="s">
        <v>2567</v>
      </c>
      <c r="G1129" s="30" t="s">
        <v>201</v>
      </c>
      <c r="H1129" s="37" t="s">
        <v>1095</v>
      </c>
      <c r="I1129" s="37"/>
      <c r="J1129" s="37" t="s">
        <v>1096</v>
      </c>
      <c r="K1129" s="32">
        <v>0</v>
      </c>
      <c r="L1129" s="32">
        <v>0</v>
      </c>
      <c r="M1129" s="32">
        <v>0</v>
      </c>
      <c r="N1129" s="32">
        <v>0</v>
      </c>
      <c r="O1129" s="33">
        <v>0</v>
      </c>
      <c r="P1129" s="38" t="s">
        <v>1014</v>
      </c>
      <c r="Q1129" s="34" t="str">
        <f>IF(MasterFees[[#This Row],[GST Basis]]="Excl",MasterFees[[#This Row],[Fee as Printed]],IF(MasterFees[[#This Row],[GST Basis]]="Incl",MasterFees[[#This Row],[Fee as Printed]]/(1+GST_Rate),""))</f>
        <v/>
      </c>
      <c r="R1129" s="34" t="str">
        <f>IF(MasterFees[[#This Row],[GST Basis]]="Incl",MasterFees[[#This Row],[Fee as Printed]],IF(MasterFees[[#This Row],[GST Basis]]="Excl",MasterFees[[#This Row],[Fee as Printed]]*(1+GST_Rate),""))</f>
        <v/>
      </c>
      <c r="S1129" s="35" t="str">
        <f>IF(N(MasterFees[[#This Row],[Total Units]])=0,"",MasterFees[[#This Row],[Fee as Printed]]/MasterFees[[#This Row],[Total Units]])</f>
        <v/>
      </c>
      <c r="T1129" s="36"/>
      <c r="U1129" s="39" t="s">
        <v>1012</v>
      </c>
      <c r="V1129" s="39" t="s">
        <v>1295</v>
      </c>
      <c r="W1129" s="30"/>
      <c r="X1129" s="73" t="s">
        <v>3080</v>
      </c>
      <c r="Y1129" s="127" t="str">
        <f>_xlfn.XLOOKUP(MasterFees[[#This Row],[Provider / Payer]],Contracts[Contract Name],Contracts[Contract ID],"No contract")</f>
        <v>CON-01</v>
      </c>
      <c r="Z1129" s="127" t="str">
        <f>_xlfn.XLOOKUP(MasterFees[[#This Row],[Provider / Payer]],Contracts[Contract Name],Contracts[Pricing Basis],"To confirm")</f>
        <v>To confirm</v>
      </c>
      <c r="AA1129" s="127" t="str">
        <f>IF(MasterFees[[#This Row],[Pricing Basis]]="Fixed fee schedule","Yes","No")</f>
        <v>No</v>
      </c>
      <c r="AB1129" s="127" t="str">
        <f>IF(OR(MasterFees[[#This Row],[Fee Basis]]="Add-on",MasterFees[[#This Row],[Fee Basis]]="Time band",MasterFees[[#This Row],[Fee Basis]]="Other"),MasterFees[[#This Row],[Fee Basis]],"Base")</f>
        <v>Base</v>
      </c>
      <c r="AC1129" s="141" t="str">
        <f>IF(MasterFees[[#This Row],[Fixed Fee?]]="Yes",MasterFees[[#This Row],[Fee Excl. GST]],"")</f>
        <v/>
      </c>
    </row>
    <row r="1130" spans="1:29" x14ac:dyDescent="0.2">
      <c r="A1130" s="67" t="s">
        <v>2400</v>
      </c>
      <c r="B1130" s="31">
        <f>IF(MasterFees[[#This Row],[RVG Code]]="","",_xlfn.XLOOKUP(MasterFees[[#This Row],[RVG Code]],RVGCodes[Code],RVGCodes[Base Units],"Code not found"))</f>
        <v>4</v>
      </c>
      <c r="C113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3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30" s="125" t="s">
        <v>2600</v>
      </c>
      <c r="F1130" s="48" t="s">
        <v>2567</v>
      </c>
      <c r="G1130" s="30" t="s">
        <v>202</v>
      </c>
      <c r="H1130" s="37" t="s">
        <v>1095</v>
      </c>
      <c r="I1130" s="37"/>
      <c r="J1130" s="37" t="s">
        <v>1096</v>
      </c>
      <c r="K1130" s="32">
        <v>4.5999999999999996</v>
      </c>
      <c r="L1130" s="32">
        <v>2.7</v>
      </c>
      <c r="M1130" s="32">
        <v>0.3</v>
      </c>
      <c r="N1130" s="32">
        <v>7.6</v>
      </c>
      <c r="O1130" s="33">
        <v>415.8</v>
      </c>
      <c r="P1130" s="38" t="s">
        <v>1014</v>
      </c>
      <c r="Q1130" s="34" t="str">
        <f>IF(MasterFees[[#This Row],[GST Basis]]="Excl",MasterFees[[#This Row],[Fee as Printed]],IF(MasterFees[[#This Row],[GST Basis]]="Incl",MasterFees[[#This Row],[Fee as Printed]]/(1+GST_Rate),""))</f>
        <v/>
      </c>
      <c r="R1130" s="34" t="str">
        <f>IF(MasterFees[[#This Row],[GST Basis]]="Incl",MasterFees[[#This Row],[Fee as Printed]],IF(MasterFees[[#This Row],[GST Basis]]="Excl",MasterFees[[#This Row],[Fee as Printed]]*(1+GST_Rate),""))</f>
        <v/>
      </c>
      <c r="S1130" s="35">
        <f>IF(N(MasterFees[[#This Row],[Total Units]])=0,"",MasterFees[[#This Row],[Fee as Printed]]/MasterFees[[#This Row],[Total Units]])</f>
        <v>54.71052631578948</v>
      </c>
      <c r="T1130" s="36"/>
      <c r="U1130" s="39" t="s">
        <v>1012</v>
      </c>
      <c r="V1130" s="39" t="s">
        <v>1296</v>
      </c>
      <c r="W1130" s="30"/>
      <c r="X1130" s="73" t="s">
        <v>3081</v>
      </c>
      <c r="Y1130" s="127" t="str">
        <f>_xlfn.XLOOKUP(MasterFees[[#This Row],[Provider / Payer]],Contracts[Contract Name],Contracts[Contract ID],"No contract")</f>
        <v>CON-01</v>
      </c>
      <c r="Z1130" s="127" t="str">
        <f>_xlfn.XLOOKUP(MasterFees[[#This Row],[Provider / Payer]],Contracts[Contract Name],Contracts[Pricing Basis],"To confirm")</f>
        <v>To confirm</v>
      </c>
      <c r="AA1130" s="127" t="str">
        <f>IF(MasterFees[[#This Row],[Pricing Basis]]="Fixed fee schedule","Yes","No")</f>
        <v>No</v>
      </c>
      <c r="AB1130" s="127" t="str">
        <f>IF(OR(MasterFees[[#This Row],[Fee Basis]]="Add-on",MasterFees[[#This Row],[Fee Basis]]="Time band",MasterFees[[#This Row],[Fee Basis]]="Other"),MasterFees[[#This Row],[Fee Basis]],"Base")</f>
        <v>Base</v>
      </c>
      <c r="AC1130" s="141" t="str">
        <f>IF(MasterFees[[#This Row],[Fixed Fee?]]="Yes",MasterFees[[#This Row],[Fee Excl. GST]],"")</f>
        <v/>
      </c>
    </row>
    <row r="1131" spans="1:29" x14ac:dyDescent="0.2">
      <c r="A1131" s="67" t="s">
        <v>2400</v>
      </c>
      <c r="B1131" s="31">
        <f>IF(MasterFees[[#This Row],[RVG Code]]="","",_xlfn.XLOOKUP(MasterFees[[#This Row],[RVG Code]],RVGCodes[Code],RVGCodes[Base Units],"Code not found"))</f>
        <v>4</v>
      </c>
      <c r="C113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3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31" s="125" t="s">
        <v>2600</v>
      </c>
      <c r="F1131" s="48" t="s">
        <v>2567</v>
      </c>
      <c r="G1131" s="30" t="s">
        <v>203</v>
      </c>
      <c r="H1131" s="37" t="s">
        <v>1095</v>
      </c>
      <c r="I1131" s="37"/>
      <c r="J1131" s="37" t="s">
        <v>1096</v>
      </c>
      <c r="K1131" s="32">
        <v>4.0999999999999996</v>
      </c>
      <c r="L1131" s="32">
        <v>2.7</v>
      </c>
      <c r="M1131" s="32">
        <v>0.9</v>
      </c>
      <c r="N1131" s="32">
        <v>7.7</v>
      </c>
      <c r="O1131" s="33">
        <v>423.5</v>
      </c>
      <c r="P1131" s="38" t="s">
        <v>1014</v>
      </c>
      <c r="Q1131" s="34" t="str">
        <f>IF(MasterFees[[#This Row],[GST Basis]]="Excl",MasterFees[[#This Row],[Fee as Printed]],IF(MasterFees[[#This Row],[GST Basis]]="Incl",MasterFees[[#This Row],[Fee as Printed]]/(1+GST_Rate),""))</f>
        <v/>
      </c>
      <c r="R1131" s="34" t="str">
        <f>IF(MasterFees[[#This Row],[GST Basis]]="Incl",MasterFees[[#This Row],[Fee as Printed]],IF(MasterFees[[#This Row],[GST Basis]]="Excl",MasterFees[[#This Row],[Fee as Printed]]*(1+GST_Rate),""))</f>
        <v/>
      </c>
      <c r="S1131" s="35">
        <f>IF(N(MasterFees[[#This Row],[Total Units]])=0,"",MasterFees[[#This Row],[Fee as Printed]]/MasterFees[[#This Row],[Total Units]])</f>
        <v>55</v>
      </c>
      <c r="T1131" s="36"/>
      <c r="U1131" s="39" t="s">
        <v>1012</v>
      </c>
      <c r="V1131" s="39" t="s">
        <v>1297</v>
      </c>
      <c r="W1131" s="30"/>
      <c r="X1131" s="73" t="s">
        <v>3082</v>
      </c>
      <c r="Y1131" s="127" t="str">
        <f>_xlfn.XLOOKUP(MasterFees[[#This Row],[Provider / Payer]],Contracts[Contract Name],Contracts[Contract ID],"No contract")</f>
        <v>CON-01</v>
      </c>
      <c r="Z1131" s="127" t="str">
        <f>_xlfn.XLOOKUP(MasterFees[[#This Row],[Provider / Payer]],Contracts[Contract Name],Contracts[Pricing Basis],"To confirm")</f>
        <v>To confirm</v>
      </c>
      <c r="AA1131" s="127" t="str">
        <f>IF(MasterFees[[#This Row],[Pricing Basis]]="Fixed fee schedule","Yes","No")</f>
        <v>No</v>
      </c>
      <c r="AB1131" s="127" t="str">
        <f>IF(OR(MasterFees[[#This Row],[Fee Basis]]="Add-on",MasterFees[[#This Row],[Fee Basis]]="Time band",MasterFees[[#This Row],[Fee Basis]]="Other"),MasterFees[[#This Row],[Fee Basis]],"Base")</f>
        <v>Base</v>
      </c>
      <c r="AC1131" s="141" t="str">
        <f>IF(MasterFees[[#This Row],[Fixed Fee?]]="Yes",MasterFees[[#This Row],[Fee Excl. GST]],"")</f>
        <v/>
      </c>
    </row>
    <row r="1132" spans="1:29" x14ac:dyDescent="0.2">
      <c r="A1132" s="67" t="s">
        <v>2400</v>
      </c>
      <c r="B1132" s="31">
        <f>IF(MasterFees[[#This Row],[RVG Code]]="","",_xlfn.XLOOKUP(MasterFees[[#This Row],[RVG Code]],RVGCodes[Code],RVGCodes[Base Units],"Code not found"))</f>
        <v>4</v>
      </c>
      <c r="C113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3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32" s="125" t="s">
        <v>2600</v>
      </c>
      <c r="F1132" s="48" t="s">
        <v>2567</v>
      </c>
      <c r="G1132" s="30" t="s">
        <v>204</v>
      </c>
      <c r="H1132" s="37" t="s">
        <v>1095</v>
      </c>
      <c r="I1132" s="37"/>
      <c r="J1132" s="37" t="s">
        <v>1096</v>
      </c>
      <c r="K1132" s="32">
        <v>0</v>
      </c>
      <c r="L1132" s="32">
        <v>0</v>
      </c>
      <c r="M1132" s="32">
        <v>0</v>
      </c>
      <c r="N1132" s="32">
        <v>0</v>
      </c>
      <c r="O1132" s="33">
        <v>0</v>
      </c>
      <c r="P1132" s="38" t="s">
        <v>1014</v>
      </c>
      <c r="Q1132" s="34" t="str">
        <f>IF(MasterFees[[#This Row],[GST Basis]]="Excl",MasterFees[[#This Row],[Fee as Printed]],IF(MasterFees[[#This Row],[GST Basis]]="Incl",MasterFees[[#This Row],[Fee as Printed]]/(1+GST_Rate),""))</f>
        <v/>
      </c>
      <c r="R1132" s="34" t="str">
        <f>IF(MasterFees[[#This Row],[GST Basis]]="Incl",MasterFees[[#This Row],[Fee as Printed]],IF(MasterFees[[#This Row],[GST Basis]]="Excl",MasterFees[[#This Row],[Fee as Printed]]*(1+GST_Rate),""))</f>
        <v/>
      </c>
      <c r="S1132" s="35" t="str">
        <f>IF(N(MasterFees[[#This Row],[Total Units]])=0,"",MasterFees[[#This Row],[Fee as Printed]]/MasterFees[[#This Row],[Total Units]])</f>
        <v/>
      </c>
      <c r="T1132" s="36"/>
      <c r="U1132" s="39" t="s">
        <v>1012</v>
      </c>
      <c r="V1132" s="39" t="s">
        <v>1298</v>
      </c>
      <c r="W1132" s="30"/>
      <c r="X1132" s="73" t="s">
        <v>3083</v>
      </c>
      <c r="Y1132" s="127" t="str">
        <f>_xlfn.XLOOKUP(MasterFees[[#This Row],[Provider / Payer]],Contracts[Contract Name],Contracts[Contract ID],"No contract")</f>
        <v>CON-01</v>
      </c>
      <c r="Z1132" s="127" t="str">
        <f>_xlfn.XLOOKUP(MasterFees[[#This Row],[Provider / Payer]],Contracts[Contract Name],Contracts[Pricing Basis],"To confirm")</f>
        <v>To confirm</v>
      </c>
      <c r="AA1132" s="127" t="str">
        <f>IF(MasterFees[[#This Row],[Pricing Basis]]="Fixed fee schedule","Yes","No")</f>
        <v>No</v>
      </c>
      <c r="AB1132" s="127" t="str">
        <f>IF(OR(MasterFees[[#This Row],[Fee Basis]]="Add-on",MasterFees[[#This Row],[Fee Basis]]="Time band",MasterFees[[#This Row],[Fee Basis]]="Other"),MasterFees[[#This Row],[Fee Basis]],"Base")</f>
        <v>Base</v>
      </c>
      <c r="AC1132" s="141" t="str">
        <f>IF(MasterFees[[#This Row],[Fixed Fee?]]="Yes",MasterFees[[#This Row],[Fee Excl. GST]],"")</f>
        <v/>
      </c>
    </row>
    <row r="1133" spans="1:29" x14ac:dyDescent="0.2">
      <c r="A1133" s="67" t="s">
        <v>2400</v>
      </c>
      <c r="B1133" s="31">
        <f>IF(MasterFees[[#This Row],[RVG Code]]="","",_xlfn.XLOOKUP(MasterFees[[#This Row],[RVG Code]],RVGCodes[Code],RVGCodes[Base Units],"Code not found"))</f>
        <v>4</v>
      </c>
      <c r="C113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3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33" s="125" t="s">
        <v>2600</v>
      </c>
      <c r="F1133" s="48" t="s">
        <v>2567</v>
      </c>
      <c r="G1133" s="30" t="s">
        <v>205</v>
      </c>
      <c r="H1133" s="37" t="s">
        <v>1095</v>
      </c>
      <c r="I1133" s="37"/>
      <c r="J1133" s="37" t="s">
        <v>1096</v>
      </c>
      <c r="K1133" s="32">
        <v>4.2</v>
      </c>
      <c r="L1133" s="32">
        <v>2.7</v>
      </c>
      <c r="M1133" s="32">
        <v>0.2</v>
      </c>
      <c r="N1133" s="32">
        <v>7.1</v>
      </c>
      <c r="O1133" s="33">
        <v>388.85</v>
      </c>
      <c r="P1133" s="38" t="s">
        <v>1014</v>
      </c>
      <c r="Q1133" s="34" t="str">
        <f>IF(MasterFees[[#This Row],[GST Basis]]="Excl",MasterFees[[#This Row],[Fee as Printed]],IF(MasterFees[[#This Row],[GST Basis]]="Incl",MasterFees[[#This Row],[Fee as Printed]]/(1+GST_Rate),""))</f>
        <v/>
      </c>
      <c r="R1133" s="34" t="str">
        <f>IF(MasterFees[[#This Row],[GST Basis]]="Incl",MasterFees[[#This Row],[Fee as Printed]],IF(MasterFees[[#This Row],[GST Basis]]="Excl",MasterFees[[#This Row],[Fee as Printed]]*(1+GST_Rate),""))</f>
        <v/>
      </c>
      <c r="S1133" s="35">
        <f>IF(N(MasterFees[[#This Row],[Total Units]])=0,"",MasterFees[[#This Row],[Fee as Printed]]/MasterFees[[#This Row],[Total Units]])</f>
        <v>54.767605633802823</v>
      </c>
      <c r="T1133" s="36"/>
      <c r="U1133" s="39" t="s">
        <v>1012</v>
      </c>
      <c r="V1133" s="39" t="s">
        <v>1299</v>
      </c>
      <c r="W1133" s="30"/>
      <c r="X1133" s="73" t="s">
        <v>3084</v>
      </c>
      <c r="Y1133" s="127" t="str">
        <f>_xlfn.XLOOKUP(MasterFees[[#This Row],[Provider / Payer]],Contracts[Contract Name],Contracts[Contract ID],"No contract")</f>
        <v>CON-01</v>
      </c>
      <c r="Z1133" s="127" t="str">
        <f>_xlfn.XLOOKUP(MasterFees[[#This Row],[Provider / Payer]],Contracts[Contract Name],Contracts[Pricing Basis],"To confirm")</f>
        <v>To confirm</v>
      </c>
      <c r="AA1133" s="127" t="str">
        <f>IF(MasterFees[[#This Row],[Pricing Basis]]="Fixed fee schedule","Yes","No")</f>
        <v>No</v>
      </c>
      <c r="AB1133" s="127" t="str">
        <f>IF(OR(MasterFees[[#This Row],[Fee Basis]]="Add-on",MasterFees[[#This Row],[Fee Basis]]="Time band",MasterFees[[#This Row],[Fee Basis]]="Other"),MasterFees[[#This Row],[Fee Basis]],"Base")</f>
        <v>Base</v>
      </c>
      <c r="AC1133" s="141" t="str">
        <f>IF(MasterFees[[#This Row],[Fixed Fee?]]="Yes",MasterFees[[#This Row],[Fee Excl. GST]],"")</f>
        <v/>
      </c>
    </row>
    <row r="1134" spans="1:29" x14ac:dyDescent="0.2">
      <c r="A1134" s="67" t="s">
        <v>2400</v>
      </c>
      <c r="B1134" s="31">
        <f>IF(MasterFees[[#This Row],[RVG Code]]="","",_xlfn.XLOOKUP(MasterFees[[#This Row],[RVG Code]],RVGCodes[Code],RVGCodes[Base Units],"Code not found"))</f>
        <v>4</v>
      </c>
      <c r="C113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3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34" s="125" t="s">
        <v>2600</v>
      </c>
      <c r="F1134" s="48" t="s">
        <v>2567</v>
      </c>
      <c r="G1134" s="30" t="s">
        <v>206</v>
      </c>
      <c r="H1134" s="37" t="s">
        <v>1095</v>
      </c>
      <c r="I1134" s="37"/>
      <c r="J1134" s="37" t="s">
        <v>1096</v>
      </c>
      <c r="K1134" s="32">
        <v>5</v>
      </c>
      <c r="L1134" s="32">
        <v>4.5</v>
      </c>
      <c r="M1134" s="32">
        <v>2</v>
      </c>
      <c r="N1134" s="32">
        <v>11.5</v>
      </c>
      <c r="O1134" s="33">
        <v>632.5</v>
      </c>
      <c r="P1134" s="38" t="s">
        <v>1014</v>
      </c>
      <c r="Q1134" s="34" t="str">
        <f>IF(MasterFees[[#This Row],[GST Basis]]="Excl",MasterFees[[#This Row],[Fee as Printed]],IF(MasterFees[[#This Row],[GST Basis]]="Incl",MasterFees[[#This Row],[Fee as Printed]]/(1+GST_Rate),""))</f>
        <v/>
      </c>
      <c r="R1134" s="34" t="str">
        <f>IF(MasterFees[[#This Row],[GST Basis]]="Incl",MasterFees[[#This Row],[Fee as Printed]],IF(MasterFees[[#This Row],[GST Basis]]="Excl",MasterFees[[#This Row],[Fee as Printed]]*(1+GST_Rate),""))</f>
        <v/>
      </c>
      <c r="S1134" s="35">
        <f>IF(N(MasterFees[[#This Row],[Total Units]])=0,"",MasterFees[[#This Row],[Fee as Printed]]/MasterFees[[#This Row],[Total Units]])</f>
        <v>55</v>
      </c>
      <c r="T1134" s="36"/>
      <c r="U1134" s="39" t="s">
        <v>1012</v>
      </c>
      <c r="V1134" s="39" t="s">
        <v>1300</v>
      </c>
      <c r="W1134" s="30"/>
      <c r="X1134" s="73" t="s">
        <v>3085</v>
      </c>
      <c r="Y1134" s="127" t="str">
        <f>_xlfn.XLOOKUP(MasterFees[[#This Row],[Provider / Payer]],Contracts[Contract Name],Contracts[Contract ID],"No contract")</f>
        <v>CON-01</v>
      </c>
      <c r="Z1134" s="127" t="str">
        <f>_xlfn.XLOOKUP(MasterFees[[#This Row],[Provider / Payer]],Contracts[Contract Name],Contracts[Pricing Basis],"To confirm")</f>
        <v>To confirm</v>
      </c>
      <c r="AA1134" s="127" t="str">
        <f>IF(MasterFees[[#This Row],[Pricing Basis]]="Fixed fee schedule","Yes","No")</f>
        <v>No</v>
      </c>
      <c r="AB1134" s="127" t="str">
        <f>IF(OR(MasterFees[[#This Row],[Fee Basis]]="Add-on",MasterFees[[#This Row],[Fee Basis]]="Time band",MasterFees[[#This Row],[Fee Basis]]="Other"),MasterFees[[#This Row],[Fee Basis]],"Base")</f>
        <v>Base</v>
      </c>
      <c r="AC1134" s="141" t="str">
        <f>IF(MasterFees[[#This Row],[Fixed Fee?]]="Yes",MasterFees[[#This Row],[Fee Excl. GST]],"")</f>
        <v/>
      </c>
    </row>
    <row r="1135" spans="1:29" x14ac:dyDescent="0.2">
      <c r="A1135" s="67" t="s">
        <v>2400</v>
      </c>
      <c r="B1135" s="31">
        <f>IF(MasterFees[[#This Row],[RVG Code]]="","",_xlfn.XLOOKUP(MasterFees[[#This Row],[RVG Code]],RVGCodes[Code],RVGCodes[Base Units],"Code not found"))</f>
        <v>4</v>
      </c>
      <c r="C113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3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35" s="125" t="s">
        <v>2600</v>
      </c>
      <c r="F1135" s="48" t="s">
        <v>2567</v>
      </c>
      <c r="G1135" s="30" t="s">
        <v>207</v>
      </c>
      <c r="H1135" s="37" t="s">
        <v>1095</v>
      </c>
      <c r="I1135" s="37"/>
      <c r="J1135" s="37" t="s">
        <v>1096</v>
      </c>
      <c r="K1135" s="32">
        <v>0</v>
      </c>
      <c r="L1135" s="32">
        <v>0</v>
      </c>
      <c r="M1135" s="32">
        <v>0</v>
      </c>
      <c r="N1135" s="32">
        <v>0</v>
      </c>
      <c r="O1135" s="33">
        <v>0</v>
      </c>
      <c r="P1135" s="38" t="s">
        <v>1014</v>
      </c>
      <c r="Q1135" s="34" t="str">
        <f>IF(MasterFees[[#This Row],[GST Basis]]="Excl",MasterFees[[#This Row],[Fee as Printed]],IF(MasterFees[[#This Row],[GST Basis]]="Incl",MasterFees[[#This Row],[Fee as Printed]]/(1+GST_Rate),""))</f>
        <v/>
      </c>
      <c r="R1135" s="34" t="str">
        <f>IF(MasterFees[[#This Row],[GST Basis]]="Incl",MasterFees[[#This Row],[Fee as Printed]],IF(MasterFees[[#This Row],[GST Basis]]="Excl",MasterFees[[#This Row],[Fee as Printed]]*(1+GST_Rate),""))</f>
        <v/>
      </c>
      <c r="S1135" s="35" t="str">
        <f>IF(N(MasterFees[[#This Row],[Total Units]])=0,"",MasterFees[[#This Row],[Fee as Printed]]/MasterFees[[#This Row],[Total Units]])</f>
        <v/>
      </c>
      <c r="T1135" s="36"/>
      <c r="U1135" s="39" t="s">
        <v>1012</v>
      </c>
      <c r="V1135" s="39" t="s">
        <v>1301</v>
      </c>
      <c r="W1135" s="30"/>
      <c r="X1135" s="73" t="s">
        <v>3086</v>
      </c>
      <c r="Y1135" s="127" t="str">
        <f>_xlfn.XLOOKUP(MasterFees[[#This Row],[Provider / Payer]],Contracts[Contract Name],Contracts[Contract ID],"No contract")</f>
        <v>CON-01</v>
      </c>
      <c r="Z1135" s="127" t="str">
        <f>_xlfn.XLOOKUP(MasterFees[[#This Row],[Provider / Payer]],Contracts[Contract Name],Contracts[Pricing Basis],"To confirm")</f>
        <v>To confirm</v>
      </c>
      <c r="AA1135" s="127" t="str">
        <f>IF(MasterFees[[#This Row],[Pricing Basis]]="Fixed fee schedule","Yes","No")</f>
        <v>No</v>
      </c>
      <c r="AB1135" s="127" t="str">
        <f>IF(OR(MasterFees[[#This Row],[Fee Basis]]="Add-on",MasterFees[[#This Row],[Fee Basis]]="Time band",MasterFees[[#This Row],[Fee Basis]]="Other"),MasterFees[[#This Row],[Fee Basis]],"Base")</f>
        <v>Base</v>
      </c>
      <c r="AC1135" s="141" t="str">
        <f>IF(MasterFees[[#This Row],[Fixed Fee?]]="Yes",MasterFees[[#This Row],[Fee Excl. GST]],"")</f>
        <v/>
      </c>
    </row>
    <row r="1136" spans="1:29" x14ac:dyDescent="0.2">
      <c r="A1136" s="67" t="s">
        <v>2400</v>
      </c>
      <c r="B1136" s="31">
        <f>IF(MasterFees[[#This Row],[RVG Code]]="","",_xlfn.XLOOKUP(MasterFees[[#This Row],[RVG Code]],RVGCodes[Code],RVGCodes[Base Units],"Code not found"))</f>
        <v>4</v>
      </c>
      <c r="C113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3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36" s="125" t="s">
        <v>2600</v>
      </c>
      <c r="F1136" s="48" t="s">
        <v>2567</v>
      </c>
      <c r="G1136" s="30" t="s">
        <v>213</v>
      </c>
      <c r="H1136" s="37" t="s">
        <v>1095</v>
      </c>
      <c r="I1136" s="37"/>
      <c r="J1136" s="37" t="s">
        <v>1096</v>
      </c>
      <c r="K1136" s="32">
        <v>4</v>
      </c>
      <c r="L1136" s="32">
        <v>2</v>
      </c>
      <c r="M1136" s="32">
        <v>0</v>
      </c>
      <c r="N1136" s="32">
        <v>6</v>
      </c>
      <c r="O1136" s="33">
        <v>330</v>
      </c>
      <c r="P1136" s="38" t="s">
        <v>1014</v>
      </c>
      <c r="Q1136" s="34" t="str">
        <f>IF(MasterFees[[#This Row],[GST Basis]]="Excl",MasterFees[[#This Row],[Fee as Printed]],IF(MasterFees[[#This Row],[GST Basis]]="Incl",MasterFees[[#This Row],[Fee as Printed]]/(1+GST_Rate),""))</f>
        <v/>
      </c>
      <c r="R1136" s="34" t="str">
        <f>IF(MasterFees[[#This Row],[GST Basis]]="Incl",MasterFees[[#This Row],[Fee as Printed]],IF(MasterFees[[#This Row],[GST Basis]]="Excl",MasterFees[[#This Row],[Fee as Printed]]*(1+GST_Rate),""))</f>
        <v/>
      </c>
      <c r="S1136" s="35">
        <f>IF(N(MasterFees[[#This Row],[Total Units]])=0,"",MasterFees[[#This Row],[Fee as Printed]]/MasterFees[[#This Row],[Total Units]])</f>
        <v>55</v>
      </c>
      <c r="T1136" s="36"/>
      <c r="U1136" s="39" t="s">
        <v>1012</v>
      </c>
      <c r="V1136" s="39" t="s">
        <v>1307</v>
      </c>
      <c r="W1136" s="30"/>
      <c r="X1136" s="73" t="s">
        <v>3093</v>
      </c>
      <c r="Y1136" s="127" t="str">
        <f>_xlfn.XLOOKUP(MasterFees[[#This Row],[Provider / Payer]],Contracts[Contract Name],Contracts[Contract ID],"No contract")</f>
        <v>CON-01</v>
      </c>
      <c r="Z1136" s="127" t="str">
        <f>_xlfn.XLOOKUP(MasterFees[[#This Row],[Provider / Payer]],Contracts[Contract Name],Contracts[Pricing Basis],"To confirm")</f>
        <v>To confirm</v>
      </c>
      <c r="AA1136" s="127" t="str">
        <f>IF(MasterFees[[#This Row],[Pricing Basis]]="Fixed fee schedule","Yes","No")</f>
        <v>No</v>
      </c>
      <c r="AB1136" s="127" t="str">
        <f>IF(OR(MasterFees[[#This Row],[Fee Basis]]="Add-on",MasterFees[[#This Row],[Fee Basis]]="Time band",MasterFees[[#This Row],[Fee Basis]]="Other"),MasterFees[[#This Row],[Fee Basis]],"Base")</f>
        <v>Base</v>
      </c>
      <c r="AC1136" s="141" t="str">
        <f>IF(MasterFees[[#This Row],[Fixed Fee?]]="Yes",MasterFees[[#This Row],[Fee Excl. GST]],"")</f>
        <v/>
      </c>
    </row>
    <row r="1137" spans="1:29" x14ac:dyDescent="0.2">
      <c r="A1137" s="67" t="s">
        <v>2402</v>
      </c>
      <c r="B1137" s="31">
        <f>IF(MasterFees[[#This Row],[RVG Code]]="","",_xlfn.XLOOKUP(MasterFees[[#This Row],[RVG Code]],RVGCodes[Code],RVGCodes[Base Units],"Code not found"))</f>
        <v>5</v>
      </c>
      <c r="C113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3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37" s="125" t="s">
        <v>2720</v>
      </c>
      <c r="F1137" s="48" t="s">
        <v>2565</v>
      </c>
      <c r="G1137" s="30" t="s">
        <v>2403</v>
      </c>
      <c r="H1137" s="37" t="s">
        <v>2630</v>
      </c>
      <c r="I1137" s="37" t="s">
        <v>2402</v>
      </c>
      <c r="J1137" s="37" t="s">
        <v>1096</v>
      </c>
      <c r="K1137" s="32">
        <v>5</v>
      </c>
      <c r="L1137" s="32"/>
      <c r="M1137" s="32"/>
      <c r="N1137" s="32">
        <v>5</v>
      </c>
      <c r="O1137" s="33"/>
      <c r="P1137" s="38"/>
      <c r="Q1137" s="34" t="str">
        <f>IF(MasterFees[[#This Row],[GST Basis]]="Excl",MasterFees[[#This Row],[Fee as Printed]],IF(MasterFees[[#This Row],[GST Basis]]="Incl",MasterFees[[#This Row],[Fee as Printed]]/(1+GST_Rate),""))</f>
        <v/>
      </c>
      <c r="R1137" s="34" t="str">
        <f>IF(MasterFees[[#This Row],[GST Basis]]="Incl",MasterFees[[#This Row],[Fee as Printed]],IF(MasterFees[[#This Row],[GST Basis]]="Excl",MasterFees[[#This Row],[Fee as Printed]]*(1+GST_Rate),""))</f>
        <v/>
      </c>
      <c r="S1137" s="35">
        <f>IF(N(MasterFees[[#This Row],[Total Units]])=0,"",MasterFees[[#This Row],[Fee as Printed]]/MasterFees[[#This Row],[Total Units]])</f>
        <v>0</v>
      </c>
      <c r="T1137" s="36"/>
      <c r="U1137" s="39" t="s">
        <v>1016</v>
      </c>
      <c r="V1137" s="39" t="s">
        <v>2652</v>
      </c>
      <c r="W1137" s="30" t="s">
        <v>2632</v>
      </c>
      <c r="X1137" s="73" t="s">
        <v>3955</v>
      </c>
      <c r="Y1137" s="127" t="str">
        <f>_xlfn.XLOOKUP(MasterFees[[#This Row],[Provider / Payer]],Contracts[Contract Name],Contracts[Contract ID],"No contract")</f>
        <v>CON-10</v>
      </c>
      <c r="Z1137" s="127" t="str">
        <f>_xlfn.XLOOKUP(MasterFees[[#This Row],[Provider / Payer]],Contracts[Contract Name],Contracts[Pricing Basis],"To confirm")</f>
        <v>Reference – units only</v>
      </c>
      <c r="AA1137" s="127" t="str">
        <f>IF(MasterFees[[#This Row],[Pricing Basis]]="Fixed fee schedule","Yes","No")</f>
        <v>No</v>
      </c>
      <c r="AB1137" s="127" t="str">
        <f>IF(OR(MasterFees[[#This Row],[Fee Basis]]="Add-on",MasterFees[[#This Row],[Fee Basis]]="Time band",MasterFees[[#This Row],[Fee Basis]]="Other"),MasterFees[[#This Row],[Fee Basis]],"Base")</f>
        <v>Base</v>
      </c>
      <c r="AC1137" s="141" t="str">
        <f>IF(MasterFees[[#This Row],[Fixed Fee?]]="Yes",MasterFees[[#This Row],[Fee Excl. GST]],"")</f>
        <v/>
      </c>
    </row>
    <row r="1138" spans="1:29" x14ac:dyDescent="0.2">
      <c r="A1138" s="67" t="s">
        <v>2400</v>
      </c>
      <c r="B1138" s="31">
        <f>IF(MasterFees[[#This Row],[RVG Code]]="","",_xlfn.XLOOKUP(MasterFees[[#This Row],[RVG Code]],RVGCodes[Code],RVGCodes[Base Units],"Code not found"))</f>
        <v>4</v>
      </c>
      <c r="C113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3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38" s="125" t="s">
        <v>2600</v>
      </c>
      <c r="F1138" s="48" t="s">
        <v>2629</v>
      </c>
      <c r="G1138" s="30" t="s">
        <v>2401</v>
      </c>
      <c r="H1138" s="37" t="s">
        <v>2630</v>
      </c>
      <c r="I1138" s="37" t="s">
        <v>2400</v>
      </c>
      <c r="J1138" s="37" t="s">
        <v>1096</v>
      </c>
      <c r="K1138" s="32">
        <v>4</v>
      </c>
      <c r="L1138" s="32"/>
      <c r="M1138" s="32"/>
      <c r="N1138" s="32">
        <v>4</v>
      </c>
      <c r="O1138" s="33"/>
      <c r="P1138" s="38"/>
      <c r="Q1138" s="34" t="str">
        <f>IF(MasterFees[[#This Row],[GST Basis]]="Excl",MasterFees[[#This Row],[Fee as Printed]],IF(MasterFees[[#This Row],[GST Basis]]="Incl",MasterFees[[#This Row],[Fee as Printed]]/(1+GST_Rate),""))</f>
        <v/>
      </c>
      <c r="R1138" s="34" t="str">
        <f>IF(MasterFees[[#This Row],[GST Basis]]="Incl",MasterFees[[#This Row],[Fee as Printed]],IF(MasterFees[[#This Row],[GST Basis]]="Excl",MasterFees[[#This Row],[Fee as Printed]]*(1+GST_Rate),""))</f>
        <v/>
      </c>
      <c r="S1138" s="35">
        <f>IF(N(MasterFees[[#This Row],[Total Units]])=0,"",MasterFees[[#This Row],[Fee as Printed]]/MasterFees[[#This Row],[Total Units]])</f>
        <v>0</v>
      </c>
      <c r="T1138" s="36"/>
      <c r="U1138" s="39" t="s">
        <v>1016</v>
      </c>
      <c r="V1138" s="39" t="s">
        <v>2652</v>
      </c>
      <c r="W1138" s="30" t="s">
        <v>2632</v>
      </c>
      <c r="X1138" s="73" t="s">
        <v>3811</v>
      </c>
      <c r="Y1138" s="127" t="str">
        <f>_xlfn.XLOOKUP(MasterFees[[#This Row],[Provider / Payer]],Contracts[Contract Name],Contracts[Contract ID],"No contract")</f>
        <v>CON-10</v>
      </c>
      <c r="Z1138" s="127" t="str">
        <f>_xlfn.XLOOKUP(MasterFees[[#This Row],[Provider / Payer]],Contracts[Contract Name],Contracts[Pricing Basis],"To confirm")</f>
        <v>Reference – units only</v>
      </c>
      <c r="AA1138" s="127" t="str">
        <f>IF(MasterFees[[#This Row],[Pricing Basis]]="Fixed fee schedule","Yes","No")</f>
        <v>No</v>
      </c>
      <c r="AB1138" s="127" t="str">
        <f>IF(OR(MasterFees[[#This Row],[Fee Basis]]="Add-on",MasterFees[[#This Row],[Fee Basis]]="Time band",MasterFees[[#This Row],[Fee Basis]]="Other"),MasterFees[[#This Row],[Fee Basis]],"Base")</f>
        <v>Base</v>
      </c>
      <c r="AC1138" s="141" t="str">
        <f>IF(MasterFees[[#This Row],[Fixed Fee?]]="Yes",MasterFees[[#This Row],[Fee Excl. GST]],"")</f>
        <v/>
      </c>
    </row>
    <row r="1139" spans="1:29" x14ac:dyDescent="0.2">
      <c r="A1139" s="67" t="s">
        <v>2404</v>
      </c>
      <c r="B1139" s="31">
        <f>IF(MasterFees[[#This Row],[RVG Code]]="","",_xlfn.XLOOKUP(MasterFees[[#This Row],[RVG Code]],RVGCodes[Code],RVGCodes[Base Units],"Code not found"))</f>
        <v>6</v>
      </c>
      <c r="C113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3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39" s="125" t="s">
        <v>2609</v>
      </c>
      <c r="F1139" s="48" t="s">
        <v>2569</v>
      </c>
      <c r="G1139" s="30" t="s">
        <v>284</v>
      </c>
      <c r="H1139" s="37" t="s">
        <v>1095</v>
      </c>
      <c r="I1139" s="37"/>
      <c r="J1139" s="37" t="s">
        <v>1096</v>
      </c>
      <c r="K1139" s="32">
        <v>5</v>
      </c>
      <c r="L1139" s="32">
        <v>3.8</v>
      </c>
      <c r="M1139" s="32">
        <v>1.1000000000000001</v>
      </c>
      <c r="N1139" s="32">
        <v>9.9</v>
      </c>
      <c r="O1139" s="33">
        <v>545.6</v>
      </c>
      <c r="P1139" s="38" t="s">
        <v>1014</v>
      </c>
      <c r="Q1139" s="34" t="str">
        <f>IF(MasterFees[[#This Row],[GST Basis]]="Excl",MasterFees[[#This Row],[Fee as Printed]],IF(MasterFees[[#This Row],[GST Basis]]="Incl",MasterFees[[#This Row],[Fee as Printed]]/(1+GST_Rate),""))</f>
        <v/>
      </c>
      <c r="R1139" s="34" t="str">
        <f>IF(MasterFees[[#This Row],[GST Basis]]="Incl",MasterFees[[#This Row],[Fee as Printed]],IF(MasterFees[[#This Row],[GST Basis]]="Excl",MasterFees[[#This Row],[Fee as Printed]]*(1+GST_Rate),""))</f>
        <v/>
      </c>
      <c r="S1139" s="35">
        <f>IF(N(MasterFees[[#This Row],[Total Units]])=0,"",MasterFees[[#This Row],[Fee as Printed]]/MasterFees[[#This Row],[Total Units]])</f>
        <v>55.111111111111114</v>
      </c>
      <c r="T1139" s="36"/>
      <c r="U1139" s="39" t="s">
        <v>1012</v>
      </c>
      <c r="V1139" s="39" t="s">
        <v>1378</v>
      </c>
      <c r="W1139" s="30"/>
      <c r="X1139" s="73" t="s">
        <v>3169</v>
      </c>
      <c r="Y1139" s="127" t="str">
        <f>_xlfn.XLOOKUP(MasterFees[[#This Row],[Provider / Payer]],Contracts[Contract Name],Contracts[Contract ID],"No contract")</f>
        <v>CON-01</v>
      </c>
      <c r="Z1139" s="127" t="str">
        <f>_xlfn.XLOOKUP(MasterFees[[#This Row],[Provider / Payer]],Contracts[Contract Name],Contracts[Pricing Basis],"To confirm")</f>
        <v>To confirm</v>
      </c>
      <c r="AA1139" s="127" t="str">
        <f>IF(MasterFees[[#This Row],[Pricing Basis]]="Fixed fee schedule","Yes","No")</f>
        <v>No</v>
      </c>
      <c r="AB1139" s="127" t="str">
        <f>IF(OR(MasterFees[[#This Row],[Fee Basis]]="Add-on",MasterFees[[#This Row],[Fee Basis]]="Time band",MasterFees[[#This Row],[Fee Basis]]="Other"),MasterFees[[#This Row],[Fee Basis]],"Base")</f>
        <v>Base</v>
      </c>
      <c r="AC1139" s="141" t="str">
        <f>IF(MasterFees[[#This Row],[Fixed Fee?]]="Yes",MasterFees[[#This Row],[Fee Excl. GST]],"")</f>
        <v/>
      </c>
    </row>
    <row r="1140" spans="1:29" x14ac:dyDescent="0.2">
      <c r="A1140" s="67" t="s">
        <v>2400</v>
      </c>
      <c r="B1140" s="31">
        <f>IF(MasterFees[[#This Row],[RVG Code]]="","",_xlfn.XLOOKUP(MasterFees[[#This Row],[RVG Code]],RVGCodes[Code],RVGCodes[Base Units],"Code not found"))</f>
        <v>4</v>
      </c>
      <c r="C114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4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40" s="125" t="s">
        <v>2600</v>
      </c>
      <c r="F1140" s="48" t="s">
        <v>2567</v>
      </c>
      <c r="G1140" s="30" t="s">
        <v>368</v>
      </c>
      <c r="H1140" s="37" t="s">
        <v>1095</v>
      </c>
      <c r="I1140" s="37"/>
      <c r="J1140" s="37" t="s">
        <v>1096</v>
      </c>
      <c r="K1140" s="32">
        <v>5</v>
      </c>
      <c r="L1140" s="32">
        <v>2</v>
      </c>
      <c r="M1140" s="32">
        <v>2</v>
      </c>
      <c r="N1140" s="32">
        <v>9</v>
      </c>
      <c r="O1140" s="33">
        <v>495</v>
      </c>
      <c r="P1140" s="38" t="s">
        <v>1014</v>
      </c>
      <c r="Q1140" s="34" t="str">
        <f>IF(MasterFees[[#This Row],[GST Basis]]="Excl",MasterFees[[#This Row],[Fee as Printed]],IF(MasterFees[[#This Row],[GST Basis]]="Incl",MasterFees[[#This Row],[Fee as Printed]]/(1+GST_Rate),""))</f>
        <v/>
      </c>
      <c r="R1140" s="34" t="str">
        <f>IF(MasterFees[[#This Row],[GST Basis]]="Incl",MasterFees[[#This Row],[Fee as Printed]],IF(MasterFees[[#This Row],[GST Basis]]="Excl",MasterFees[[#This Row],[Fee as Printed]]*(1+GST_Rate),""))</f>
        <v/>
      </c>
      <c r="S1140" s="35">
        <f>IF(N(MasterFees[[#This Row],[Total Units]])=0,"",MasterFees[[#This Row],[Fee as Printed]]/MasterFees[[#This Row],[Total Units]])</f>
        <v>55</v>
      </c>
      <c r="T1140" s="36"/>
      <c r="U1140" s="39" t="s">
        <v>1012</v>
      </c>
      <c r="V1140" s="39" t="s">
        <v>1463</v>
      </c>
      <c r="W1140" s="30"/>
      <c r="X1140" s="73" t="s">
        <v>3255</v>
      </c>
      <c r="Y1140" s="127" t="str">
        <f>_xlfn.XLOOKUP(MasterFees[[#This Row],[Provider / Payer]],Contracts[Contract Name],Contracts[Contract ID],"No contract")</f>
        <v>CON-01</v>
      </c>
      <c r="Z1140" s="127" t="str">
        <f>_xlfn.XLOOKUP(MasterFees[[#This Row],[Provider / Payer]],Contracts[Contract Name],Contracts[Pricing Basis],"To confirm")</f>
        <v>To confirm</v>
      </c>
      <c r="AA1140" s="127" t="str">
        <f>IF(MasterFees[[#This Row],[Pricing Basis]]="Fixed fee schedule","Yes","No")</f>
        <v>No</v>
      </c>
      <c r="AB1140" s="127" t="str">
        <f>IF(OR(MasterFees[[#This Row],[Fee Basis]]="Add-on",MasterFees[[#This Row],[Fee Basis]]="Time band",MasterFees[[#This Row],[Fee Basis]]="Other"),MasterFees[[#This Row],[Fee Basis]],"Base")</f>
        <v>Base</v>
      </c>
      <c r="AC1140" s="141" t="str">
        <f>IF(MasterFees[[#This Row],[Fixed Fee?]]="Yes",MasterFees[[#This Row],[Fee Excl. GST]],"")</f>
        <v/>
      </c>
    </row>
    <row r="1141" spans="1:29" x14ac:dyDescent="0.2">
      <c r="A1141" s="67" t="s">
        <v>2400</v>
      </c>
      <c r="B1141" s="31">
        <f>IF(MasterFees[[#This Row],[RVG Code]]="","",_xlfn.XLOOKUP(MasterFees[[#This Row],[RVG Code]],RVGCodes[Code],RVGCodes[Base Units],"Code not found"))</f>
        <v>4</v>
      </c>
      <c r="C114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4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41" s="125" t="s">
        <v>2600</v>
      </c>
      <c r="F1141" s="48" t="s">
        <v>2567</v>
      </c>
      <c r="G1141" s="30" t="s">
        <v>369</v>
      </c>
      <c r="H1141" s="37" t="s">
        <v>1095</v>
      </c>
      <c r="I1141" s="37"/>
      <c r="J1141" s="37" t="s">
        <v>1096</v>
      </c>
      <c r="K1141" s="32">
        <v>4.3</v>
      </c>
      <c r="L1141" s="32">
        <v>2.2000000000000002</v>
      </c>
      <c r="M1141" s="32">
        <v>0.6</v>
      </c>
      <c r="N1141" s="32">
        <v>7.2</v>
      </c>
      <c r="O1141" s="33">
        <v>393.8</v>
      </c>
      <c r="P1141" s="38" t="s">
        <v>1014</v>
      </c>
      <c r="Q1141" s="34" t="str">
        <f>IF(MasterFees[[#This Row],[GST Basis]]="Excl",MasterFees[[#This Row],[Fee as Printed]],IF(MasterFees[[#This Row],[GST Basis]]="Incl",MasterFees[[#This Row],[Fee as Printed]]/(1+GST_Rate),""))</f>
        <v/>
      </c>
      <c r="R1141" s="34" t="str">
        <f>IF(MasterFees[[#This Row],[GST Basis]]="Incl",MasterFees[[#This Row],[Fee as Printed]],IF(MasterFees[[#This Row],[GST Basis]]="Excl",MasterFees[[#This Row],[Fee as Printed]]*(1+GST_Rate),""))</f>
        <v/>
      </c>
      <c r="S1141" s="35">
        <f>IF(N(MasterFees[[#This Row],[Total Units]])=0,"",MasterFees[[#This Row],[Fee as Printed]]/MasterFees[[#This Row],[Total Units]])</f>
        <v>54.694444444444443</v>
      </c>
      <c r="T1141" s="36"/>
      <c r="U1141" s="39" t="s">
        <v>1012</v>
      </c>
      <c r="V1141" s="39" t="s">
        <v>1464</v>
      </c>
      <c r="W1141" s="30"/>
      <c r="X1141" s="73" t="s">
        <v>3256</v>
      </c>
      <c r="Y1141" s="127" t="str">
        <f>_xlfn.XLOOKUP(MasterFees[[#This Row],[Provider / Payer]],Contracts[Contract Name],Contracts[Contract ID],"No contract")</f>
        <v>CON-01</v>
      </c>
      <c r="Z1141" s="127" t="str">
        <f>_xlfn.XLOOKUP(MasterFees[[#This Row],[Provider / Payer]],Contracts[Contract Name],Contracts[Pricing Basis],"To confirm")</f>
        <v>To confirm</v>
      </c>
      <c r="AA1141" s="127" t="str">
        <f>IF(MasterFees[[#This Row],[Pricing Basis]]="Fixed fee schedule","Yes","No")</f>
        <v>No</v>
      </c>
      <c r="AB1141" s="127" t="str">
        <f>IF(OR(MasterFees[[#This Row],[Fee Basis]]="Add-on",MasterFees[[#This Row],[Fee Basis]]="Time band",MasterFees[[#This Row],[Fee Basis]]="Other"),MasterFees[[#This Row],[Fee Basis]],"Base")</f>
        <v>Base</v>
      </c>
      <c r="AC1141" s="141" t="str">
        <f>IF(MasterFees[[#This Row],[Fixed Fee?]]="Yes",MasterFees[[#This Row],[Fee Excl. GST]],"")</f>
        <v/>
      </c>
    </row>
    <row r="1142" spans="1:29" x14ac:dyDescent="0.2">
      <c r="A1142" s="67" t="s">
        <v>2400</v>
      </c>
      <c r="B1142" s="31">
        <f>IF(MasterFees[[#This Row],[RVG Code]]="","",_xlfn.XLOOKUP(MasterFees[[#This Row],[RVG Code]],RVGCodes[Code],RVGCodes[Base Units],"Code not found"))</f>
        <v>4</v>
      </c>
      <c r="C114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4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42" s="125" t="s">
        <v>2600</v>
      </c>
      <c r="F1142" s="48" t="s">
        <v>2567</v>
      </c>
      <c r="G1142" s="30" t="s">
        <v>371</v>
      </c>
      <c r="H1142" s="37" t="s">
        <v>1095</v>
      </c>
      <c r="I1142" s="37"/>
      <c r="J1142" s="37" t="s">
        <v>1096</v>
      </c>
      <c r="K1142" s="32">
        <v>5</v>
      </c>
      <c r="L1142" s="32">
        <v>2</v>
      </c>
      <c r="M1142" s="32">
        <v>1</v>
      </c>
      <c r="N1142" s="32">
        <v>8</v>
      </c>
      <c r="O1142" s="33">
        <v>440</v>
      </c>
      <c r="P1142" s="38" t="s">
        <v>1014</v>
      </c>
      <c r="Q1142" s="34" t="str">
        <f>IF(MasterFees[[#This Row],[GST Basis]]="Excl",MasterFees[[#This Row],[Fee as Printed]],IF(MasterFees[[#This Row],[GST Basis]]="Incl",MasterFees[[#This Row],[Fee as Printed]]/(1+GST_Rate),""))</f>
        <v/>
      </c>
      <c r="R1142" s="34" t="str">
        <f>IF(MasterFees[[#This Row],[GST Basis]]="Incl",MasterFees[[#This Row],[Fee as Printed]],IF(MasterFees[[#This Row],[GST Basis]]="Excl",MasterFees[[#This Row],[Fee as Printed]]*(1+GST_Rate),""))</f>
        <v/>
      </c>
      <c r="S1142" s="35">
        <f>IF(N(MasterFees[[#This Row],[Total Units]])=0,"",MasterFees[[#This Row],[Fee as Printed]]/MasterFees[[#This Row],[Total Units]])</f>
        <v>55</v>
      </c>
      <c r="T1142" s="36"/>
      <c r="U1142" s="39" t="s">
        <v>1012</v>
      </c>
      <c r="V1142" s="39" t="s">
        <v>1466</v>
      </c>
      <c r="W1142" s="30"/>
      <c r="X1142" s="73" t="s">
        <v>3258</v>
      </c>
      <c r="Y1142" s="127" t="str">
        <f>_xlfn.XLOOKUP(MasterFees[[#This Row],[Provider / Payer]],Contracts[Contract Name],Contracts[Contract ID],"No contract")</f>
        <v>CON-01</v>
      </c>
      <c r="Z1142" s="127" t="str">
        <f>_xlfn.XLOOKUP(MasterFees[[#This Row],[Provider / Payer]],Contracts[Contract Name],Contracts[Pricing Basis],"To confirm")</f>
        <v>To confirm</v>
      </c>
      <c r="AA1142" s="127" t="str">
        <f>IF(MasterFees[[#This Row],[Pricing Basis]]="Fixed fee schedule","Yes","No")</f>
        <v>No</v>
      </c>
      <c r="AB1142" s="127" t="str">
        <f>IF(OR(MasterFees[[#This Row],[Fee Basis]]="Add-on",MasterFees[[#This Row],[Fee Basis]]="Time band",MasterFees[[#This Row],[Fee Basis]]="Other"),MasterFees[[#This Row],[Fee Basis]],"Base")</f>
        <v>Base</v>
      </c>
      <c r="AC1142" s="141" t="str">
        <f>IF(MasterFees[[#This Row],[Fixed Fee?]]="Yes",MasterFees[[#This Row],[Fee Excl. GST]],"")</f>
        <v/>
      </c>
    </row>
    <row r="1143" spans="1:29" x14ac:dyDescent="0.2">
      <c r="A1143" s="67" t="s">
        <v>2400</v>
      </c>
      <c r="B1143" s="31">
        <f>IF(MasterFees[[#This Row],[RVG Code]]="","",_xlfn.XLOOKUP(MasterFees[[#This Row],[RVG Code]],RVGCodes[Code],RVGCodes[Base Units],"Code not found"))</f>
        <v>4</v>
      </c>
      <c r="C114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4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43" s="125" t="s">
        <v>2600</v>
      </c>
      <c r="F1143" s="48" t="s">
        <v>2567</v>
      </c>
      <c r="G1143" s="30" t="s">
        <v>372</v>
      </c>
      <c r="H1143" s="37" t="s">
        <v>1095</v>
      </c>
      <c r="I1143" s="37"/>
      <c r="J1143" s="37" t="s">
        <v>1096</v>
      </c>
      <c r="K1143" s="32">
        <v>4</v>
      </c>
      <c r="L1143" s="32">
        <v>1.7</v>
      </c>
      <c r="M1143" s="32">
        <v>1</v>
      </c>
      <c r="N1143" s="32">
        <v>6.7</v>
      </c>
      <c r="O1143" s="33">
        <v>366.3</v>
      </c>
      <c r="P1143" s="38" t="s">
        <v>1014</v>
      </c>
      <c r="Q1143" s="34" t="str">
        <f>IF(MasterFees[[#This Row],[GST Basis]]="Excl",MasterFees[[#This Row],[Fee as Printed]],IF(MasterFees[[#This Row],[GST Basis]]="Incl",MasterFees[[#This Row],[Fee as Printed]]/(1+GST_Rate),""))</f>
        <v/>
      </c>
      <c r="R1143" s="34" t="str">
        <f>IF(MasterFees[[#This Row],[GST Basis]]="Incl",MasterFees[[#This Row],[Fee as Printed]],IF(MasterFees[[#This Row],[GST Basis]]="Excl",MasterFees[[#This Row],[Fee as Printed]]*(1+GST_Rate),""))</f>
        <v/>
      </c>
      <c r="S1143" s="35">
        <f>IF(N(MasterFees[[#This Row],[Total Units]])=0,"",MasterFees[[#This Row],[Fee as Printed]]/MasterFees[[#This Row],[Total Units]])</f>
        <v>54.671641791044777</v>
      </c>
      <c r="T1143" s="36"/>
      <c r="U1143" s="39" t="s">
        <v>1012</v>
      </c>
      <c r="V1143" s="39" t="s">
        <v>1467</v>
      </c>
      <c r="W1143" s="30"/>
      <c r="X1143" s="73" t="s">
        <v>3259</v>
      </c>
      <c r="Y1143" s="127" t="str">
        <f>_xlfn.XLOOKUP(MasterFees[[#This Row],[Provider / Payer]],Contracts[Contract Name],Contracts[Contract ID],"No contract")</f>
        <v>CON-01</v>
      </c>
      <c r="Z1143" s="127" t="str">
        <f>_xlfn.XLOOKUP(MasterFees[[#This Row],[Provider / Payer]],Contracts[Contract Name],Contracts[Pricing Basis],"To confirm")</f>
        <v>To confirm</v>
      </c>
      <c r="AA1143" s="127" t="str">
        <f>IF(MasterFees[[#This Row],[Pricing Basis]]="Fixed fee schedule","Yes","No")</f>
        <v>No</v>
      </c>
      <c r="AB1143" s="127" t="str">
        <f>IF(OR(MasterFees[[#This Row],[Fee Basis]]="Add-on",MasterFees[[#This Row],[Fee Basis]]="Time band",MasterFees[[#This Row],[Fee Basis]]="Other"),MasterFees[[#This Row],[Fee Basis]],"Base")</f>
        <v>Base</v>
      </c>
      <c r="AC1143" s="141" t="str">
        <f>IF(MasterFees[[#This Row],[Fixed Fee?]]="Yes",MasterFees[[#This Row],[Fee Excl. GST]],"")</f>
        <v/>
      </c>
    </row>
    <row r="1144" spans="1:29" x14ac:dyDescent="0.2">
      <c r="A1144" s="67" t="s">
        <v>2400</v>
      </c>
      <c r="B1144" s="31">
        <f>IF(MasterFees[[#This Row],[RVG Code]]="","",_xlfn.XLOOKUP(MasterFees[[#This Row],[RVG Code]],RVGCodes[Code],RVGCodes[Base Units],"Code not found"))</f>
        <v>4</v>
      </c>
      <c r="C114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4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44" s="125" t="s">
        <v>2600</v>
      </c>
      <c r="F1144" s="48" t="s">
        <v>2567</v>
      </c>
      <c r="G1144" s="30" t="s">
        <v>380</v>
      </c>
      <c r="H1144" s="37" t="s">
        <v>1095</v>
      </c>
      <c r="I1144" s="37"/>
      <c r="J1144" s="37" t="s">
        <v>1096</v>
      </c>
      <c r="K1144" s="32">
        <v>4.4000000000000004</v>
      </c>
      <c r="L1144" s="32">
        <v>2</v>
      </c>
      <c r="M1144" s="32">
        <v>0.5</v>
      </c>
      <c r="N1144" s="32">
        <v>6.9</v>
      </c>
      <c r="O1144" s="33">
        <v>379.5</v>
      </c>
      <c r="P1144" s="38" t="s">
        <v>1014</v>
      </c>
      <c r="Q1144" s="34" t="str">
        <f>IF(MasterFees[[#This Row],[GST Basis]]="Excl",MasterFees[[#This Row],[Fee as Printed]],IF(MasterFees[[#This Row],[GST Basis]]="Incl",MasterFees[[#This Row],[Fee as Printed]]/(1+GST_Rate),""))</f>
        <v/>
      </c>
      <c r="R1144" s="34" t="str">
        <f>IF(MasterFees[[#This Row],[GST Basis]]="Incl",MasterFees[[#This Row],[Fee as Printed]],IF(MasterFees[[#This Row],[GST Basis]]="Excl",MasterFees[[#This Row],[Fee as Printed]]*(1+GST_Rate),""))</f>
        <v/>
      </c>
      <c r="S1144" s="35">
        <f>IF(N(MasterFees[[#This Row],[Total Units]])=0,"",MasterFees[[#This Row],[Fee as Printed]]/MasterFees[[#This Row],[Total Units]])</f>
        <v>55</v>
      </c>
      <c r="T1144" s="36"/>
      <c r="U1144" s="39" t="s">
        <v>1012</v>
      </c>
      <c r="V1144" s="39" t="s">
        <v>1475</v>
      </c>
      <c r="W1144" s="30"/>
      <c r="X1144" s="73" t="s">
        <v>3268</v>
      </c>
      <c r="Y1144" s="127" t="str">
        <f>_xlfn.XLOOKUP(MasterFees[[#This Row],[Provider / Payer]],Contracts[Contract Name],Contracts[Contract ID],"No contract")</f>
        <v>CON-01</v>
      </c>
      <c r="Z1144" s="127" t="str">
        <f>_xlfn.XLOOKUP(MasterFees[[#This Row],[Provider / Payer]],Contracts[Contract Name],Contracts[Pricing Basis],"To confirm")</f>
        <v>To confirm</v>
      </c>
      <c r="AA1144" s="127" t="str">
        <f>IF(MasterFees[[#This Row],[Pricing Basis]]="Fixed fee schedule","Yes","No")</f>
        <v>No</v>
      </c>
      <c r="AB1144" s="127" t="str">
        <f>IF(OR(MasterFees[[#This Row],[Fee Basis]]="Add-on",MasterFees[[#This Row],[Fee Basis]]="Time band",MasterFees[[#This Row],[Fee Basis]]="Other"),MasterFees[[#This Row],[Fee Basis]],"Base")</f>
        <v>Base</v>
      </c>
      <c r="AC1144" s="141" t="str">
        <f>IF(MasterFees[[#This Row],[Fixed Fee?]]="Yes",MasterFees[[#This Row],[Fee Excl. GST]],"")</f>
        <v/>
      </c>
    </row>
    <row r="1145" spans="1:29" x14ac:dyDescent="0.2">
      <c r="A1145" s="67" t="s">
        <v>2400</v>
      </c>
      <c r="B1145" s="31">
        <f>IF(MasterFees[[#This Row],[RVG Code]]="","",_xlfn.XLOOKUP(MasterFees[[#This Row],[RVG Code]],RVGCodes[Code],RVGCodes[Base Units],"Code not found"))</f>
        <v>4</v>
      </c>
      <c r="C114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4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45" s="125" t="s">
        <v>2600</v>
      </c>
      <c r="F1145" s="48" t="s">
        <v>2567</v>
      </c>
      <c r="G1145" s="30" t="s">
        <v>382</v>
      </c>
      <c r="H1145" s="37" t="s">
        <v>1095</v>
      </c>
      <c r="I1145" s="37"/>
      <c r="J1145" s="37" t="s">
        <v>1096</v>
      </c>
      <c r="K1145" s="32">
        <v>4.5</v>
      </c>
      <c r="L1145" s="32">
        <v>3.3</v>
      </c>
      <c r="M1145" s="32">
        <v>0.5</v>
      </c>
      <c r="N1145" s="32">
        <v>8.1999999999999993</v>
      </c>
      <c r="O1145" s="33">
        <v>453.2</v>
      </c>
      <c r="P1145" s="38" t="s">
        <v>1014</v>
      </c>
      <c r="Q1145" s="34" t="str">
        <f>IF(MasterFees[[#This Row],[GST Basis]]="Excl",MasterFees[[#This Row],[Fee as Printed]],IF(MasterFees[[#This Row],[GST Basis]]="Incl",MasterFees[[#This Row],[Fee as Printed]]/(1+GST_Rate),""))</f>
        <v/>
      </c>
      <c r="R1145" s="34" t="str">
        <f>IF(MasterFees[[#This Row],[GST Basis]]="Incl",MasterFees[[#This Row],[Fee as Printed]],IF(MasterFees[[#This Row],[GST Basis]]="Excl",MasterFees[[#This Row],[Fee as Printed]]*(1+GST_Rate),""))</f>
        <v/>
      </c>
      <c r="S1145" s="35">
        <f>IF(N(MasterFees[[#This Row],[Total Units]])=0,"",MasterFees[[#This Row],[Fee as Printed]]/MasterFees[[#This Row],[Total Units]])</f>
        <v>55.268292682926834</v>
      </c>
      <c r="T1145" s="36"/>
      <c r="U1145" s="39" t="s">
        <v>1012</v>
      </c>
      <c r="V1145" s="39" t="s">
        <v>1477</v>
      </c>
      <c r="W1145" s="30"/>
      <c r="X1145" s="73" t="s">
        <v>3270</v>
      </c>
      <c r="Y1145" s="127" t="str">
        <f>_xlfn.XLOOKUP(MasterFees[[#This Row],[Provider / Payer]],Contracts[Contract Name],Contracts[Contract ID],"No contract")</f>
        <v>CON-01</v>
      </c>
      <c r="Z1145" s="127" t="str">
        <f>_xlfn.XLOOKUP(MasterFees[[#This Row],[Provider / Payer]],Contracts[Contract Name],Contracts[Pricing Basis],"To confirm")</f>
        <v>To confirm</v>
      </c>
      <c r="AA1145" s="127" t="str">
        <f>IF(MasterFees[[#This Row],[Pricing Basis]]="Fixed fee schedule","Yes","No")</f>
        <v>No</v>
      </c>
      <c r="AB1145" s="127" t="str">
        <f>IF(OR(MasterFees[[#This Row],[Fee Basis]]="Add-on",MasterFees[[#This Row],[Fee Basis]]="Time band",MasterFees[[#This Row],[Fee Basis]]="Other"),MasterFees[[#This Row],[Fee Basis]],"Base")</f>
        <v>Base</v>
      </c>
      <c r="AC1145" s="141" t="str">
        <f>IF(MasterFees[[#This Row],[Fixed Fee?]]="Yes",MasterFees[[#This Row],[Fee Excl. GST]],"")</f>
        <v/>
      </c>
    </row>
    <row r="1146" spans="1:29" x14ac:dyDescent="0.2">
      <c r="A1146" s="67" t="s">
        <v>2400</v>
      </c>
      <c r="B1146" s="31">
        <f>IF(MasterFees[[#This Row],[RVG Code]]="","",_xlfn.XLOOKUP(MasterFees[[#This Row],[RVG Code]],RVGCodes[Code],RVGCodes[Base Units],"Code not found"))</f>
        <v>4</v>
      </c>
      <c r="C114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4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46" s="125" t="s">
        <v>2600</v>
      </c>
      <c r="F1146" s="48" t="s">
        <v>2567</v>
      </c>
      <c r="G1146" s="30" t="s">
        <v>383</v>
      </c>
      <c r="H1146" s="37" t="s">
        <v>1095</v>
      </c>
      <c r="I1146" s="37"/>
      <c r="J1146" s="37" t="s">
        <v>1096</v>
      </c>
      <c r="K1146" s="32">
        <v>4.9000000000000004</v>
      </c>
      <c r="L1146" s="32">
        <v>3.2</v>
      </c>
      <c r="M1146" s="32">
        <v>0.3</v>
      </c>
      <c r="N1146" s="32">
        <v>8.4</v>
      </c>
      <c r="O1146" s="33">
        <v>464.2</v>
      </c>
      <c r="P1146" s="38" t="s">
        <v>1014</v>
      </c>
      <c r="Q1146" s="34" t="str">
        <f>IF(MasterFees[[#This Row],[GST Basis]]="Excl",MasterFees[[#This Row],[Fee as Printed]],IF(MasterFees[[#This Row],[GST Basis]]="Incl",MasterFees[[#This Row],[Fee as Printed]]/(1+GST_Rate),""))</f>
        <v/>
      </c>
      <c r="R1146" s="34" t="str">
        <f>IF(MasterFees[[#This Row],[GST Basis]]="Incl",MasterFees[[#This Row],[Fee as Printed]],IF(MasterFees[[#This Row],[GST Basis]]="Excl",MasterFees[[#This Row],[Fee as Printed]]*(1+GST_Rate),""))</f>
        <v/>
      </c>
      <c r="S1146" s="35">
        <f>IF(N(MasterFees[[#This Row],[Total Units]])=0,"",MasterFees[[#This Row],[Fee as Printed]]/MasterFees[[#This Row],[Total Units]])</f>
        <v>55.261904761904759</v>
      </c>
      <c r="T1146" s="36"/>
      <c r="U1146" s="39" t="s">
        <v>1012</v>
      </c>
      <c r="V1146" s="39" t="s">
        <v>1478</v>
      </c>
      <c r="W1146" s="30"/>
      <c r="X1146" s="73" t="s">
        <v>3271</v>
      </c>
      <c r="Y1146" s="127" t="str">
        <f>_xlfn.XLOOKUP(MasterFees[[#This Row],[Provider / Payer]],Contracts[Contract Name],Contracts[Contract ID],"No contract")</f>
        <v>CON-01</v>
      </c>
      <c r="Z1146" s="127" t="str">
        <f>_xlfn.XLOOKUP(MasterFees[[#This Row],[Provider / Payer]],Contracts[Contract Name],Contracts[Pricing Basis],"To confirm")</f>
        <v>To confirm</v>
      </c>
      <c r="AA1146" s="127" t="str">
        <f>IF(MasterFees[[#This Row],[Pricing Basis]]="Fixed fee schedule","Yes","No")</f>
        <v>No</v>
      </c>
      <c r="AB1146" s="127" t="str">
        <f>IF(OR(MasterFees[[#This Row],[Fee Basis]]="Add-on",MasterFees[[#This Row],[Fee Basis]]="Time band",MasterFees[[#This Row],[Fee Basis]]="Other"),MasterFees[[#This Row],[Fee Basis]],"Base")</f>
        <v>Base</v>
      </c>
      <c r="AC1146" s="141" t="str">
        <f>IF(MasterFees[[#This Row],[Fixed Fee?]]="Yes",MasterFees[[#This Row],[Fee Excl. GST]],"")</f>
        <v/>
      </c>
    </row>
    <row r="1147" spans="1:29" x14ac:dyDescent="0.2">
      <c r="A1147" s="67" t="s">
        <v>2404</v>
      </c>
      <c r="B1147" s="31">
        <f>IF(MasterFees[[#This Row],[RVG Code]]="","",_xlfn.XLOOKUP(MasterFees[[#This Row],[RVG Code]],RVGCodes[Code],RVGCodes[Base Units],"Code not found"))</f>
        <v>6</v>
      </c>
      <c r="C114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4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47" s="125" t="s">
        <v>2609</v>
      </c>
      <c r="F1147" s="48" t="s">
        <v>2567</v>
      </c>
      <c r="G1147" s="30" t="s">
        <v>384</v>
      </c>
      <c r="H1147" s="37" t="s">
        <v>1095</v>
      </c>
      <c r="I1147" s="37"/>
      <c r="J1147" s="37" t="s">
        <v>1096</v>
      </c>
      <c r="K1147" s="32">
        <v>6</v>
      </c>
      <c r="L1147" s="32">
        <v>3</v>
      </c>
      <c r="M1147" s="32">
        <v>2</v>
      </c>
      <c r="N1147" s="32">
        <v>11</v>
      </c>
      <c r="O1147" s="33">
        <v>605</v>
      </c>
      <c r="P1147" s="38" t="s">
        <v>1014</v>
      </c>
      <c r="Q1147" s="34" t="str">
        <f>IF(MasterFees[[#This Row],[GST Basis]]="Excl",MasterFees[[#This Row],[Fee as Printed]],IF(MasterFees[[#This Row],[GST Basis]]="Incl",MasterFees[[#This Row],[Fee as Printed]]/(1+GST_Rate),""))</f>
        <v/>
      </c>
      <c r="R1147" s="34" t="str">
        <f>IF(MasterFees[[#This Row],[GST Basis]]="Incl",MasterFees[[#This Row],[Fee as Printed]],IF(MasterFees[[#This Row],[GST Basis]]="Excl",MasterFees[[#This Row],[Fee as Printed]]*(1+GST_Rate),""))</f>
        <v/>
      </c>
      <c r="S1147" s="35">
        <f>IF(N(MasterFees[[#This Row],[Total Units]])=0,"",MasterFees[[#This Row],[Fee as Printed]]/MasterFees[[#This Row],[Total Units]])</f>
        <v>55</v>
      </c>
      <c r="T1147" s="36"/>
      <c r="U1147" s="39" t="s">
        <v>1012</v>
      </c>
      <c r="V1147" s="39" t="s">
        <v>1479</v>
      </c>
      <c r="W1147" s="30"/>
      <c r="X1147" s="73" t="s">
        <v>3272</v>
      </c>
      <c r="Y1147" s="127" t="str">
        <f>_xlfn.XLOOKUP(MasterFees[[#This Row],[Provider / Payer]],Contracts[Contract Name],Contracts[Contract ID],"No contract")</f>
        <v>CON-01</v>
      </c>
      <c r="Z1147" s="127" t="str">
        <f>_xlfn.XLOOKUP(MasterFees[[#This Row],[Provider / Payer]],Contracts[Contract Name],Contracts[Pricing Basis],"To confirm")</f>
        <v>To confirm</v>
      </c>
      <c r="AA1147" s="127" t="str">
        <f>IF(MasterFees[[#This Row],[Pricing Basis]]="Fixed fee schedule","Yes","No")</f>
        <v>No</v>
      </c>
      <c r="AB1147" s="127" t="str">
        <f>IF(OR(MasterFees[[#This Row],[Fee Basis]]="Add-on",MasterFees[[#This Row],[Fee Basis]]="Time band",MasterFees[[#This Row],[Fee Basis]]="Other"),MasterFees[[#This Row],[Fee Basis]],"Base")</f>
        <v>Base</v>
      </c>
      <c r="AC1147" s="141" t="str">
        <f>IF(MasterFees[[#This Row],[Fixed Fee?]]="Yes",MasterFees[[#This Row],[Fee Excl. GST]],"")</f>
        <v/>
      </c>
    </row>
    <row r="1148" spans="1:29" x14ac:dyDescent="0.2">
      <c r="A1148" s="67" t="s">
        <v>2400</v>
      </c>
      <c r="B1148" s="31">
        <f>IF(MasterFees[[#This Row],[RVG Code]]="","",_xlfn.XLOOKUP(MasterFees[[#This Row],[RVG Code]],RVGCodes[Code],RVGCodes[Base Units],"Code not found"))</f>
        <v>4</v>
      </c>
      <c r="C114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4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48" s="125" t="s">
        <v>2600</v>
      </c>
      <c r="F1148" s="48" t="s">
        <v>2567</v>
      </c>
      <c r="G1148" s="30" t="s">
        <v>385</v>
      </c>
      <c r="H1148" s="37" t="s">
        <v>1095</v>
      </c>
      <c r="I1148" s="37"/>
      <c r="J1148" s="37" t="s">
        <v>1096</v>
      </c>
      <c r="K1148" s="32">
        <v>4</v>
      </c>
      <c r="L1148" s="32">
        <v>2</v>
      </c>
      <c r="M1148" s="32">
        <v>0</v>
      </c>
      <c r="N1148" s="32">
        <v>6</v>
      </c>
      <c r="O1148" s="33">
        <v>330</v>
      </c>
      <c r="P1148" s="38" t="s">
        <v>1014</v>
      </c>
      <c r="Q1148" s="34" t="str">
        <f>IF(MasterFees[[#This Row],[GST Basis]]="Excl",MasterFees[[#This Row],[Fee as Printed]],IF(MasterFees[[#This Row],[GST Basis]]="Incl",MasterFees[[#This Row],[Fee as Printed]]/(1+GST_Rate),""))</f>
        <v/>
      </c>
      <c r="R1148" s="34" t="str">
        <f>IF(MasterFees[[#This Row],[GST Basis]]="Incl",MasterFees[[#This Row],[Fee as Printed]],IF(MasterFees[[#This Row],[GST Basis]]="Excl",MasterFees[[#This Row],[Fee as Printed]]*(1+GST_Rate),""))</f>
        <v/>
      </c>
      <c r="S1148" s="35">
        <f>IF(N(MasterFees[[#This Row],[Total Units]])=0,"",MasterFees[[#This Row],[Fee as Printed]]/MasterFees[[#This Row],[Total Units]])</f>
        <v>55</v>
      </c>
      <c r="T1148" s="36"/>
      <c r="U1148" s="39" t="s">
        <v>1012</v>
      </c>
      <c r="V1148" s="39" t="s">
        <v>1480</v>
      </c>
      <c r="W1148" s="30"/>
      <c r="X1148" s="73" t="s">
        <v>3273</v>
      </c>
      <c r="Y1148" s="127" t="str">
        <f>_xlfn.XLOOKUP(MasterFees[[#This Row],[Provider / Payer]],Contracts[Contract Name],Contracts[Contract ID],"No contract")</f>
        <v>CON-01</v>
      </c>
      <c r="Z1148" s="127" t="str">
        <f>_xlfn.XLOOKUP(MasterFees[[#This Row],[Provider / Payer]],Contracts[Contract Name],Contracts[Pricing Basis],"To confirm")</f>
        <v>To confirm</v>
      </c>
      <c r="AA1148" s="127" t="str">
        <f>IF(MasterFees[[#This Row],[Pricing Basis]]="Fixed fee schedule","Yes","No")</f>
        <v>No</v>
      </c>
      <c r="AB1148" s="127" t="str">
        <f>IF(OR(MasterFees[[#This Row],[Fee Basis]]="Add-on",MasterFees[[#This Row],[Fee Basis]]="Time band",MasterFees[[#This Row],[Fee Basis]]="Other"),MasterFees[[#This Row],[Fee Basis]],"Base")</f>
        <v>Base</v>
      </c>
      <c r="AC1148" s="141" t="str">
        <f>IF(MasterFees[[#This Row],[Fixed Fee?]]="Yes",MasterFees[[#This Row],[Fee Excl. GST]],"")</f>
        <v/>
      </c>
    </row>
    <row r="1149" spans="1:29" x14ac:dyDescent="0.2">
      <c r="A1149" s="67" t="s">
        <v>2400</v>
      </c>
      <c r="B1149" s="31">
        <f>IF(MasterFees[[#This Row],[RVG Code]]="","",_xlfn.XLOOKUP(MasterFees[[#This Row],[RVG Code]],RVGCodes[Code],RVGCodes[Base Units],"Code not found"))</f>
        <v>4</v>
      </c>
      <c r="C114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4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49" s="125" t="s">
        <v>2600</v>
      </c>
      <c r="F1149" s="48" t="s">
        <v>2567</v>
      </c>
      <c r="G1149" s="30" t="s">
        <v>386</v>
      </c>
      <c r="H1149" s="37" t="s">
        <v>1095</v>
      </c>
      <c r="I1149" s="37"/>
      <c r="J1149" s="37" t="s">
        <v>1096</v>
      </c>
      <c r="K1149" s="32">
        <v>4.8</v>
      </c>
      <c r="L1149" s="32">
        <v>3.7</v>
      </c>
      <c r="M1149" s="32">
        <v>0.8</v>
      </c>
      <c r="N1149" s="32">
        <v>9.1999999999999993</v>
      </c>
      <c r="O1149" s="33">
        <v>507.65</v>
      </c>
      <c r="P1149" s="38" t="s">
        <v>1014</v>
      </c>
      <c r="Q1149" s="34" t="str">
        <f>IF(MasterFees[[#This Row],[GST Basis]]="Excl",MasterFees[[#This Row],[Fee as Printed]],IF(MasterFees[[#This Row],[GST Basis]]="Incl",MasterFees[[#This Row],[Fee as Printed]]/(1+GST_Rate),""))</f>
        <v/>
      </c>
      <c r="R1149" s="34" t="str">
        <f>IF(MasterFees[[#This Row],[GST Basis]]="Incl",MasterFees[[#This Row],[Fee as Printed]],IF(MasterFees[[#This Row],[GST Basis]]="Excl",MasterFees[[#This Row],[Fee as Printed]]*(1+GST_Rate),""))</f>
        <v/>
      </c>
      <c r="S1149" s="35">
        <f>IF(N(MasterFees[[#This Row],[Total Units]])=0,"",MasterFees[[#This Row],[Fee as Printed]]/MasterFees[[#This Row],[Total Units]])</f>
        <v>55.179347826086961</v>
      </c>
      <c r="T1149" s="36"/>
      <c r="U1149" s="39" t="s">
        <v>1012</v>
      </c>
      <c r="V1149" s="39" t="s">
        <v>1481</v>
      </c>
      <c r="W1149" s="30"/>
      <c r="X1149" s="73" t="s">
        <v>3274</v>
      </c>
      <c r="Y1149" s="127" t="str">
        <f>_xlfn.XLOOKUP(MasterFees[[#This Row],[Provider / Payer]],Contracts[Contract Name],Contracts[Contract ID],"No contract")</f>
        <v>CON-01</v>
      </c>
      <c r="Z1149" s="127" t="str">
        <f>_xlfn.XLOOKUP(MasterFees[[#This Row],[Provider / Payer]],Contracts[Contract Name],Contracts[Pricing Basis],"To confirm")</f>
        <v>To confirm</v>
      </c>
      <c r="AA1149" s="127" t="str">
        <f>IF(MasterFees[[#This Row],[Pricing Basis]]="Fixed fee schedule","Yes","No")</f>
        <v>No</v>
      </c>
      <c r="AB1149" s="127" t="str">
        <f>IF(OR(MasterFees[[#This Row],[Fee Basis]]="Add-on",MasterFees[[#This Row],[Fee Basis]]="Time band",MasterFees[[#This Row],[Fee Basis]]="Other"),MasterFees[[#This Row],[Fee Basis]],"Base")</f>
        <v>Base</v>
      </c>
      <c r="AC1149" s="141" t="str">
        <f>IF(MasterFees[[#This Row],[Fixed Fee?]]="Yes",MasterFees[[#This Row],[Fee Excl. GST]],"")</f>
        <v/>
      </c>
    </row>
    <row r="1150" spans="1:29" x14ac:dyDescent="0.2">
      <c r="A1150" s="67" t="s">
        <v>2400</v>
      </c>
      <c r="B1150" s="31">
        <f>IF(MasterFees[[#This Row],[RVG Code]]="","",_xlfn.XLOOKUP(MasterFees[[#This Row],[RVG Code]],RVGCodes[Code],RVGCodes[Base Units],"Code not found"))</f>
        <v>4</v>
      </c>
      <c r="C115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5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50" s="125" t="s">
        <v>2600</v>
      </c>
      <c r="F1150" s="48" t="s">
        <v>2567</v>
      </c>
      <c r="G1150" s="30" t="s">
        <v>387</v>
      </c>
      <c r="H1150" s="37" t="s">
        <v>1095</v>
      </c>
      <c r="I1150" s="37"/>
      <c r="J1150" s="37" t="s">
        <v>1096</v>
      </c>
      <c r="K1150" s="32">
        <v>5</v>
      </c>
      <c r="L1150" s="32">
        <v>3</v>
      </c>
      <c r="M1150" s="32">
        <v>0</v>
      </c>
      <c r="N1150" s="32">
        <v>8</v>
      </c>
      <c r="O1150" s="33">
        <v>440</v>
      </c>
      <c r="P1150" s="38" t="s">
        <v>1014</v>
      </c>
      <c r="Q1150" s="34" t="str">
        <f>IF(MasterFees[[#This Row],[GST Basis]]="Excl",MasterFees[[#This Row],[Fee as Printed]],IF(MasterFees[[#This Row],[GST Basis]]="Incl",MasterFees[[#This Row],[Fee as Printed]]/(1+GST_Rate),""))</f>
        <v/>
      </c>
      <c r="R1150" s="34" t="str">
        <f>IF(MasterFees[[#This Row],[GST Basis]]="Incl",MasterFees[[#This Row],[Fee as Printed]],IF(MasterFees[[#This Row],[GST Basis]]="Excl",MasterFees[[#This Row],[Fee as Printed]]*(1+GST_Rate),""))</f>
        <v/>
      </c>
      <c r="S1150" s="35">
        <f>IF(N(MasterFees[[#This Row],[Total Units]])=0,"",MasterFees[[#This Row],[Fee as Printed]]/MasterFees[[#This Row],[Total Units]])</f>
        <v>55</v>
      </c>
      <c r="T1150" s="36"/>
      <c r="U1150" s="39" t="s">
        <v>1012</v>
      </c>
      <c r="V1150" s="39" t="s">
        <v>1482</v>
      </c>
      <c r="W1150" s="30"/>
      <c r="X1150" s="73" t="s">
        <v>3275</v>
      </c>
      <c r="Y1150" s="127" t="str">
        <f>_xlfn.XLOOKUP(MasterFees[[#This Row],[Provider / Payer]],Contracts[Contract Name],Contracts[Contract ID],"No contract")</f>
        <v>CON-01</v>
      </c>
      <c r="Z1150" s="127" t="str">
        <f>_xlfn.XLOOKUP(MasterFees[[#This Row],[Provider / Payer]],Contracts[Contract Name],Contracts[Pricing Basis],"To confirm")</f>
        <v>To confirm</v>
      </c>
      <c r="AA1150" s="127" t="str">
        <f>IF(MasterFees[[#This Row],[Pricing Basis]]="Fixed fee schedule","Yes","No")</f>
        <v>No</v>
      </c>
      <c r="AB1150" s="127" t="str">
        <f>IF(OR(MasterFees[[#This Row],[Fee Basis]]="Add-on",MasterFees[[#This Row],[Fee Basis]]="Time band",MasterFees[[#This Row],[Fee Basis]]="Other"),MasterFees[[#This Row],[Fee Basis]],"Base")</f>
        <v>Base</v>
      </c>
      <c r="AC1150" s="141" t="str">
        <f>IF(MasterFees[[#This Row],[Fixed Fee?]]="Yes",MasterFees[[#This Row],[Fee Excl. GST]],"")</f>
        <v/>
      </c>
    </row>
    <row r="1151" spans="1:29" x14ac:dyDescent="0.2">
      <c r="A1151" s="67" t="s">
        <v>2400</v>
      </c>
      <c r="B1151" s="31">
        <f>IF(MasterFees[[#This Row],[RVG Code]]="","",_xlfn.XLOOKUP(MasterFees[[#This Row],[RVG Code]],RVGCodes[Code],RVGCodes[Base Units],"Code not found"))</f>
        <v>4</v>
      </c>
      <c r="C115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5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51" s="125" t="s">
        <v>2600</v>
      </c>
      <c r="F1151" s="48" t="s">
        <v>2567</v>
      </c>
      <c r="G1151" s="30" t="s">
        <v>388</v>
      </c>
      <c r="H1151" s="37" t="s">
        <v>1095</v>
      </c>
      <c r="I1151" s="37"/>
      <c r="J1151" s="37" t="s">
        <v>1096</v>
      </c>
      <c r="K1151" s="32">
        <v>0</v>
      </c>
      <c r="L1151" s="32">
        <v>0</v>
      </c>
      <c r="M1151" s="32">
        <v>0</v>
      </c>
      <c r="N1151" s="32">
        <v>0</v>
      </c>
      <c r="O1151" s="33">
        <v>0</v>
      </c>
      <c r="P1151" s="38" t="s">
        <v>1014</v>
      </c>
      <c r="Q1151" s="34" t="str">
        <f>IF(MasterFees[[#This Row],[GST Basis]]="Excl",MasterFees[[#This Row],[Fee as Printed]],IF(MasterFees[[#This Row],[GST Basis]]="Incl",MasterFees[[#This Row],[Fee as Printed]]/(1+GST_Rate),""))</f>
        <v/>
      </c>
      <c r="R1151" s="34" t="str">
        <f>IF(MasterFees[[#This Row],[GST Basis]]="Incl",MasterFees[[#This Row],[Fee as Printed]],IF(MasterFees[[#This Row],[GST Basis]]="Excl",MasterFees[[#This Row],[Fee as Printed]]*(1+GST_Rate),""))</f>
        <v/>
      </c>
      <c r="S1151" s="35" t="str">
        <f>IF(N(MasterFees[[#This Row],[Total Units]])=0,"",MasterFees[[#This Row],[Fee as Printed]]/MasterFees[[#This Row],[Total Units]])</f>
        <v/>
      </c>
      <c r="T1151" s="36"/>
      <c r="U1151" s="39" t="s">
        <v>1012</v>
      </c>
      <c r="V1151" s="39" t="s">
        <v>1483</v>
      </c>
      <c r="W1151" s="30"/>
      <c r="X1151" s="73" t="s">
        <v>3276</v>
      </c>
      <c r="Y1151" s="127" t="str">
        <f>_xlfn.XLOOKUP(MasterFees[[#This Row],[Provider / Payer]],Contracts[Contract Name],Contracts[Contract ID],"No contract")</f>
        <v>CON-01</v>
      </c>
      <c r="Z1151" s="127" t="str">
        <f>_xlfn.XLOOKUP(MasterFees[[#This Row],[Provider / Payer]],Contracts[Contract Name],Contracts[Pricing Basis],"To confirm")</f>
        <v>To confirm</v>
      </c>
      <c r="AA1151" s="127" t="str">
        <f>IF(MasterFees[[#This Row],[Pricing Basis]]="Fixed fee schedule","Yes","No")</f>
        <v>No</v>
      </c>
      <c r="AB1151" s="127" t="str">
        <f>IF(OR(MasterFees[[#This Row],[Fee Basis]]="Add-on",MasterFees[[#This Row],[Fee Basis]]="Time band",MasterFees[[#This Row],[Fee Basis]]="Other"),MasterFees[[#This Row],[Fee Basis]],"Base")</f>
        <v>Base</v>
      </c>
      <c r="AC1151" s="141" t="str">
        <f>IF(MasterFees[[#This Row],[Fixed Fee?]]="Yes",MasterFees[[#This Row],[Fee Excl. GST]],"")</f>
        <v/>
      </c>
    </row>
    <row r="1152" spans="1:29" x14ac:dyDescent="0.2">
      <c r="A1152" s="67" t="s">
        <v>2400</v>
      </c>
      <c r="B1152" s="31">
        <f>IF(MasterFees[[#This Row],[RVG Code]]="","",_xlfn.XLOOKUP(MasterFees[[#This Row],[RVG Code]],RVGCodes[Code],RVGCodes[Base Units],"Code not found"))</f>
        <v>4</v>
      </c>
      <c r="C115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5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52" s="125" t="s">
        <v>2600</v>
      </c>
      <c r="F1152" s="48" t="s">
        <v>2567</v>
      </c>
      <c r="G1152" s="30" t="s">
        <v>381</v>
      </c>
      <c r="H1152" s="37" t="s">
        <v>1095</v>
      </c>
      <c r="I1152" s="37"/>
      <c r="J1152" s="37" t="s">
        <v>1096</v>
      </c>
      <c r="K1152" s="32">
        <v>5</v>
      </c>
      <c r="L1152" s="32">
        <v>2</v>
      </c>
      <c r="M1152" s="32">
        <v>0</v>
      </c>
      <c r="N1152" s="32">
        <v>7</v>
      </c>
      <c r="O1152" s="33">
        <v>385</v>
      </c>
      <c r="P1152" s="38" t="s">
        <v>1014</v>
      </c>
      <c r="Q1152" s="34" t="str">
        <f>IF(MasterFees[[#This Row],[GST Basis]]="Excl",MasterFees[[#This Row],[Fee as Printed]],IF(MasterFees[[#This Row],[GST Basis]]="Incl",MasterFees[[#This Row],[Fee as Printed]]/(1+GST_Rate),""))</f>
        <v/>
      </c>
      <c r="R1152" s="34" t="str">
        <f>IF(MasterFees[[#This Row],[GST Basis]]="Incl",MasterFees[[#This Row],[Fee as Printed]],IF(MasterFees[[#This Row],[GST Basis]]="Excl",MasterFees[[#This Row],[Fee as Printed]]*(1+GST_Rate),""))</f>
        <v/>
      </c>
      <c r="S1152" s="35">
        <f>IF(N(MasterFees[[#This Row],[Total Units]])=0,"",MasterFees[[#This Row],[Fee as Printed]]/MasterFees[[#This Row],[Total Units]])</f>
        <v>55</v>
      </c>
      <c r="T1152" s="36"/>
      <c r="U1152" s="39" t="s">
        <v>1012</v>
      </c>
      <c r="V1152" s="39" t="s">
        <v>1476</v>
      </c>
      <c r="W1152" s="30"/>
      <c r="X1152" s="73" t="s">
        <v>3269</v>
      </c>
      <c r="Y1152" s="127" t="str">
        <f>_xlfn.XLOOKUP(MasterFees[[#This Row],[Provider / Payer]],Contracts[Contract Name],Contracts[Contract ID],"No contract")</f>
        <v>CON-01</v>
      </c>
      <c r="Z1152" s="127" t="str">
        <f>_xlfn.XLOOKUP(MasterFees[[#This Row],[Provider / Payer]],Contracts[Contract Name],Contracts[Pricing Basis],"To confirm")</f>
        <v>To confirm</v>
      </c>
      <c r="AA1152" s="127" t="str">
        <f>IF(MasterFees[[#This Row],[Pricing Basis]]="Fixed fee schedule","Yes","No")</f>
        <v>No</v>
      </c>
      <c r="AB1152" s="127" t="str">
        <f>IF(OR(MasterFees[[#This Row],[Fee Basis]]="Add-on",MasterFees[[#This Row],[Fee Basis]]="Time band",MasterFees[[#This Row],[Fee Basis]]="Other"),MasterFees[[#This Row],[Fee Basis]],"Base")</f>
        <v>Base</v>
      </c>
      <c r="AC1152" s="141" t="str">
        <f>IF(MasterFees[[#This Row],[Fixed Fee?]]="Yes",MasterFees[[#This Row],[Fee Excl. GST]],"")</f>
        <v/>
      </c>
    </row>
    <row r="1153" spans="1:29" x14ac:dyDescent="0.2">
      <c r="A1153" s="67" t="s">
        <v>2400</v>
      </c>
      <c r="B1153" s="31">
        <f>IF(MasterFees[[#This Row],[RVG Code]]="","",_xlfn.XLOOKUP(MasterFees[[#This Row],[RVG Code]],RVGCodes[Code],RVGCodes[Base Units],"Code not found"))</f>
        <v>4</v>
      </c>
      <c r="C115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5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53" s="125" t="s">
        <v>2600</v>
      </c>
      <c r="F1153" s="48" t="s">
        <v>2567</v>
      </c>
      <c r="G1153" s="30" t="s">
        <v>389</v>
      </c>
      <c r="H1153" s="37" t="s">
        <v>1095</v>
      </c>
      <c r="I1153" s="37"/>
      <c r="J1153" s="37" t="s">
        <v>1096</v>
      </c>
      <c r="K1153" s="32">
        <v>5</v>
      </c>
      <c r="L1153" s="32">
        <v>4</v>
      </c>
      <c r="M1153" s="32">
        <v>0.1</v>
      </c>
      <c r="N1153" s="32">
        <v>9.1</v>
      </c>
      <c r="O1153" s="33">
        <v>501.6</v>
      </c>
      <c r="P1153" s="38" t="s">
        <v>1014</v>
      </c>
      <c r="Q1153" s="34" t="str">
        <f>IF(MasterFees[[#This Row],[GST Basis]]="Excl",MasterFees[[#This Row],[Fee as Printed]],IF(MasterFees[[#This Row],[GST Basis]]="Incl",MasterFees[[#This Row],[Fee as Printed]]/(1+GST_Rate),""))</f>
        <v/>
      </c>
      <c r="R1153" s="34" t="str">
        <f>IF(MasterFees[[#This Row],[GST Basis]]="Incl",MasterFees[[#This Row],[Fee as Printed]],IF(MasterFees[[#This Row],[GST Basis]]="Excl",MasterFees[[#This Row],[Fee as Printed]]*(1+GST_Rate),""))</f>
        <v/>
      </c>
      <c r="S1153" s="35">
        <f>IF(N(MasterFees[[#This Row],[Total Units]])=0,"",MasterFees[[#This Row],[Fee as Printed]]/MasterFees[[#This Row],[Total Units]])</f>
        <v>55.120879120879124</v>
      </c>
      <c r="T1153" s="36"/>
      <c r="U1153" s="39" t="s">
        <v>1012</v>
      </c>
      <c r="V1153" s="39" t="s">
        <v>1484</v>
      </c>
      <c r="W1153" s="30"/>
      <c r="X1153" s="73" t="s">
        <v>3277</v>
      </c>
      <c r="Y1153" s="127" t="str">
        <f>_xlfn.XLOOKUP(MasterFees[[#This Row],[Provider / Payer]],Contracts[Contract Name],Contracts[Contract ID],"No contract")</f>
        <v>CON-01</v>
      </c>
      <c r="Z1153" s="127" t="str">
        <f>_xlfn.XLOOKUP(MasterFees[[#This Row],[Provider / Payer]],Contracts[Contract Name],Contracts[Pricing Basis],"To confirm")</f>
        <v>To confirm</v>
      </c>
      <c r="AA1153" s="127" t="str">
        <f>IF(MasterFees[[#This Row],[Pricing Basis]]="Fixed fee schedule","Yes","No")</f>
        <v>No</v>
      </c>
      <c r="AB1153" s="127" t="str">
        <f>IF(OR(MasterFees[[#This Row],[Fee Basis]]="Add-on",MasterFees[[#This Row],[Fee Basis]]="Time band",MasterFees[[#This Row],[Fee Basis]]="Other"),MasterFees[[#This Row],[Fee Basis]],"Base")</f>
        <v>Base</v>
      </c>
      <c r="AC1153" s="141" t="str">
        <f>IF(MasterFees[[#This Row],[Fixed Fee?]]="Yes",MasterFees[[#This Row],[Fee Excl. GST]],"")</f>
        <v/>
      </c>
    </row>
    <row r="1154" spans="1:29" x14ac:dyDescent="0.2">
      <c r="A1154" s="67" t="s">
        <v>2404</v>
      </c>
      <c r="B1154" s="31">
        <f>IF(MasterFees[[#This Row],[RVG Code]]="","",_xlfn.XLOOKUP(MasterFees[[#This Row],[RVG Code]],RVGCodes[Code],RVGCodes[Base Units],"Code not found"))</f>
        <v>6</v>
      </c>
      <c r="C115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5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54" s="125" t="s">
        <v>2609</v>
      </c>
      <c r="F1154" s="48" t="s">
        <v>2629</v>
      </c>
      <c r="G1154" s="30" t="s">
        <v>2405</v>
      </c>
      <c r="H1154" s="37" t="s">
        <v>2630</v>
      </c>
      <c r="I1154" s="37" t="s">
        <v>2404</v>
      </c>
      <c r="J1154" s="37" t="s">
        <v>1096</v>
      </c>
      <c r="K1154" s="32">
        <v>6</v>
      </c>
      <c r="L1154" s="32"/>
      <c r="M1154" s="32"/>
      <c r="N1154" s="32">
        <v>6</v>
      </c>
      <c r="O1154" s="33"/>
      <c r="P1154" s="38"/>
      <c r="Q1154" s="34" t="str">
        <f>IF(MasterFees[[#This Row],[GST Basis]]="Excl",MasterFees[[#This Row],[Fee as Printed]],IF(MasterFees[[#This Row],[GST Basis]]="Incl",MasterFees[[#This Row],[Fee as Printed]]/(1+GST_Rate),""))</f>
        <v/>
      </c>
      <c r="R1154" s="34" t="str">
        <f>IF(MasterFees[[#This Row],[GST Basis]]="Incl",MasterFees[[#This Row],[Fee as Printed]],IF(MasterFees[[#This Row],[GST Basis]]="Excl",MasterFees[[#This Row],[Fee as Printed]]*(1+GST_Rate),""))</f>
        <v/>
      </c>
      <c r="S1154" s="35">
        <f>IF(N(MasterFees[[#This Row],[Total Units]])=0,"",MasterFees[[#This Row],[Fee as Printed]]/MasterFees[[#This Row],[Total Units]])</f>
        <v>0</v>
      </c>
      <c r="T1154" s="36"/>
      <c r="U1154" s="39" t="s">
        <v>1016</v>
      </c>
      <c r="V1154" s="39" t="s">
        <v>2652</v>
      </c>
      <c r="W1154" s="30" t="s">
        <v>2632</v>
      </c>
      <c r="X1154" s="73" t="s">
        <v>3596</v>
      </c>
      <c r="Y1154" s="127" t="str">
        <f>_xlfn.XLOOKUP(MasterFees[[#This Row],[Provider / Payer]],Contracts[Contract Name],Contracts[Contract ID],"No contract")</f>
        <v>CON-10</v>
      </c>
      <c r="Z1154" s="127" t="str">
        <f>_xlfn.XLOOKUP(MasterFees[[#This Row],[Provider / Payer]],Contracts[Contract Name],Contracts[Pricing Basis],"To confirm")</f>
        <v>Reference – units only</v>
      </c>
      <c r="AA1154" s="127" t="str">
        <f>IF(MasterFees[[#This Row],[Pricing Basis]]="Fixed fee schedule","Yes","No")</f>
        <v>No</v>
      </c>
      <c r="AB1154" s="127" t="str">
        <f>IF(OR(MasterFees[[#This Row],[Fee Basis]]="Add-on",MasterFees[[#This Row],[Fee Basis]]="Time band",MasterFees[[#This Row],[Fee Basis]]="Other"),MasterFees[[#This Row],[Fee Basis]],"Base")</f>
        <v>Base</v>
      </c>
      <c r="AC1154" s="141" t="str">
        <f>IF(MasterFees[[#This Row],[Fixed Fee?]]="Yes",MasterFees[[#This Row],[Fee Excl. GST]],"")</f>
        <v/>
      </c>
    </row>
    <row r="1155" spans="1:29" x14ac:dyDescent="0.2">
      <c r="A1155" s="67" t="s">
        <v>2404</v>
      </c>
      <c r="B1155" s="31">
        <f>IF(MasterFees[[#This Row],[RVG Code]]="","",_xlfn.XLOOKUP(MasterFees[[#This Row],[RVG Code]],RVGCodes[Code],RVGCodes[Base Units],"Code not found"))</f>
        <v>6</v>
      </c>
      <c r="C115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5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55" s="125" t="s">
        <v>2609</v>
      </c>
      <c r="F1155" s="48" t="s">
        <v>2567</v>
      </c>
      <c r="G1155" s="30" t="s">
        <v>696</v>
      </c>
      <c r="H1155" s="37" t="s">
        <v>1095</v>
      </c>
      <c r="I1155" s="37"/>
      <c r="J1155" s="37" t="s">
        <v>1096</v>
      </c>
      <c r="K1155" s="32">
        <v>8</v>
      </c>
      <c r="L1155" s="32">
        <v>8</v>
      </c>
      <c r="M1155" s="32">
        <v>1</v>
      </c>
      <c r="N1155" s="32">
        <v>17</v>
      </c>
      <c r="O1155" s="33">
        <v>935</v>
      </c>
      <c r="P1155" s="38" t="s">
        <v>1014</v>
      </c>
      <c r="Q1155" s="34" t="str">
        <f>IF(MasterFees[[#This Row],[GST Basis]]="Excl",MasterFees[[#This Row],[Fee as Printed]],IF(MasterFees[[#This Row],[GST Basis]]="Incl",MasterFees[[#This Row],[Fee as Printed]]/(1+GST_Rate),""))</f>
        <v/>
      </c>
      <c r="R1155" s="34" t="str">
        <f>IF(MasterFees[[#This Row],[GST Basis]]="Incl",MasterFees[[#This Row],[Fee as Printed]],IF(MasterFees[[#This Row],[GST Basis]]="Excl",MasterFees[[#This Row],[Fee as Printed]]*(1+GST_Rate),""))</f>
        <v/>
      </c>
      <c r="S1155" s="35">
        <f>IF(N(MasterFees[[#This Row],[Total Units]])=0,"",MasterFees[[#This Row],[Fee as Printed]]/MasterFees[[#This Row],[Total Units]])</f>
        <v>55</v>
      </c>
      <c r="T1155" s="36"/>
      <c r="U1155" s="39" t="s">
        <v>1012</v>
      </c>
      <c r="V1155" s="39" t="s">
        <v>1793</v>
      </c>
      <c r="W1155" s="30"/>
      <c r="X1155" s="73" t="s">
        <v>3595</v>
      </c>
      <c r="Y1155" s="127" t="str">
        <f>_xlfn.XLOOKUP(MasterFees[[#This Row],[Provider / Payer]],Contracts[Contract Name],Contracts[Contract ID],"No contract")</f>
        <v>CON-01</v>
      </c>
      <c r="Z1155" s="127" t="str">
        <f>_xlfn.XLOOKUP(MasterFees[[#This Row],[Provider / Payer]],Contracts[Contract Name],Contracts[Pricing Basis],"To confirm")</f>
        <v>To confirm</v>
      </c>
      <c r="AA1155" s="127" t="str">
        <f>IF(MasterFees[[#This Row],[Pricing Basis]]="Fixed fee schedule","Yes","No")</f>
        <v>No</v>
      </c>
      <c r="AB1155" s="127" t="str">
        <f>IF(OR(MasterFees[[#This Row],[Fee Basis]]="Add-on",MasterFees[[#This Row],[Fee Basis]]="Time band",MasterFees[[#This Row],[Fee Basis]]="Other"),MasterFees[[#This Row],[Fee Basis]],"Base")</f>
        <v>Base</v>
      </c>
      <c r="AC1155" s="141" t="str">
        <f>IF(MasterFees[[#This Row],[Fixed Fee?]]="Yes",MasterFees[[#This Row],[Fee Excl. GST]],"")</f>
        <v/>
      </c>
    </row>
    <row r="1156" spans="1:29" x14ac:dyDescent="0.2">
      <c r="A1156" s="67" t="s">
        <v>2400</v>
      </c>
      <c r="B1156" s="31">
        <f>IF(MasterFees[[#This Row],[RVG Code]]="","",_xlfn.XLOOKUP(MasterFees[[#This Row],[RVG Code]],RVGCodes[Code],RVGCodes[Base Units],"Code not found"))</f>
        <v>4</v>
      </c>
      <c r="C115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5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56" s="125" t="s">
        <v>2600</v>
      </c>
      <c r="F1156" s="48" t="s">
        <v>2567</v>
      </c>
      <c r="G1156" s="30" t="s">
        <v>865</v>
      </c>
      <c r="H1156" s="37" t="s">
        <v>1095</v>
      </c>
      <c r="I1156" s="37"/>
      <c r="J1156" s="37" t="s">
        <v>1096</v>
      </c>
      <c r="K1156" s="32">
        <v>4.4000000000000004</v>
      </c>
      <c r="L1156" s="32">
        <v>3</v>
      </c>
      <c r="M1156" s="32">
        <v>0.7</v>
      </c>
      <c r="N1156" s="32">
        <v>8.1</v>
      </c>
      <c r="O1156" s="33">
        <v>447.7</v>
      </c>
      <c r="P1156" s="38" t="s">
        <v>1014</v>
      </c>
      <c r="Q1156" s="34" t="str">
        <f>IF(MasterFees[[#This Row],[GST Basis]]="Excl",MasterFees[[#This Row],[Fee as Printed]],IF(MasterFees[[#This Row],[GST Basis]]="Incl",MasterFees[[#This Row],[Fee as Printed]]/(1+GST_Rate),""))</f>
        <v/>
      </c>
      <c r="R1156" s="34" t="str">
        <f>IF(MasterFees[[#This Row],[GST Basis]]="Incl",MasterFees[[#This Row],[Fee as Printed]],IF(MasterFees[[#This Row],[GST Basis]]="Excl",MasterFees[[#This Row],[Fee as Printed]]*(1+GST_Rate),""))</f>
        <v/>
      </c>
      <c r="S1156" s="35">
        <f>IF(N(MasterFees[[#This Row],[Total Units]])=0,"",MasterFees[[#This Row],[Fee as Printed]]/MasterFees[[#This Row],[Total Units]])</f>
        <v>55.271604938271608</v>
      </c>
      <c r="T1156" s="36"/>
      <c r="U1156" s="39" t="s">
        <v>1012</v>
      </c>
      <c r="V1156" s="39" t="s">
        <v>1968</v>
      </c>
      <c r="W1156" s="30"/>
      <c r="X1156" s="73" t="s">
        <v>3783</v>
      </c>
      <c r="Y1156" s="127" t="str">
        <f>_xlfn.XLOOKUP(MasterFees[[#This Row],[Provider / Payer]],Contracts[Contract Name],Contracts[Contract ID],"No contract")</f>
        <v>CON-01</v>
      </c>
      <c r="Z1156" s="127" t="str">
        <f>_xlfn.XLOOKUP(MasterFees[[#This Row],[Provider / Payer]],Contracts[Contract Name],Contracts[Pricing Basis],"To confirm")</f>
        <v>To confirm</v>
      </c>
      <c r="AA1156" s="127" t="str">
        <f>IF(MasterFees[[#This Row],[Pricing Basis]]="Fixed fee schedule","Yes","No")</f>
        <v>No</v>
      </c>
      <c r="AB1156" s="127" t="str">
        <f>IF(OR(MasterFees[[#This Row],[Fee Basis]]="Add-on",MasterFees[[#This Row],[Fee Basis]]="Time band",MasterFees[[#This Row],[Fee Basis]]="Other"),MasterFees[[#This Row],[Fee Basis]],"Base")</f>
        <v>Base</v>
      </c>
      <c r="AC1156" s="141" t="str">
        <f>IF(MasterFees[[#This Row],[Fixed Fee?]]="Yes",MasterFees[[#This Row],[Fee Excl. GST]],"")</f>
        <v/>
      </c>
    </row>
    <row r="1157" spans="1:29" x14ac:dyDescent="0.2">
      <c r="A1157" s="67" t="s">
        <v>2400</v>
      </c>
      <c r="B1157" s="31">
        <f>IF(MasterFees[[#This Row],[RVG Code]]="","",_xlfn.XLOOKUP(MasterFees[[#This Row],[RVG Code]],RVGCodes[Code],RVGCodes[Base Units],"Code not found"))</f>
        <v>4</v>
      </c>
      <c r="C115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5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57" s="125" t="s">
        <v>2600</v>
      </c>
      <c r="F1157" s="48" t="s">
        <v>2567</v>
      </c>
      <c r="G1157" s="30" t="s">
        <v>881</v>
      </c>
      <c r="H1157" s="37" t="s">
        <v>1095</v>
      </c>
      <c r="I1157" s="37"/>
      <c r="J1157" s="37" t="s">
        <v>1096</v>
      </c>
      <c r="K1157" s="32">
        <v>4.5999999999999996</v>
      </c>
      <c r="L1157" s="32">
        <v>2.7</v>
      </c>
      <c r="M1157" s="32">
        <v>0.4</v>
      </c>
      <c r="N1157" s="32">
        <v>7.6</v>
      </c>
      <c r="O1157" s="33">
        <v>420.2</v>
      </c>
      <c r="P1157" s="38" t="s">
        <v>1014</v>
      </c>
      <c r="Q1157" s="34" t="str">
        <f>IF(MasterFees[[#This Row],[GST Basis]]="Excl",MasterFees[[#This Row],[Fee as Printed]],IF(MasterFees[[#This Row],[GST Basis]]="Incl",MasterFees[[#This Row],[Fee as Printed]]/(1+GST_Rate),""))</f>
        <v/>
      </c>
      <c r="R1157" s="34" t="str">
        <f>IF(MasterFees[[#This Row],[GST Basis]]="Incl",MasterFees[[#This Row],[Fee as Printed]],IF(MasterFees[[#This Row],[GST Basis]]="Excl",MasterFees[[#This Row],[Fee as Printed]]*(1+GST_Rate),""))</f>
        <v/>
      </c>
      <c r="S1157" s="35">
        <f>IF(N(MasterFees[[#This Row],[Total Units]])=0,"",MasterFees[[#This Row],[Fee as Printed]]/MasterFees[[#This Row],[Total Units]])</f>
        <v>55.289473684210527</v>
      </c>
      <c r="T1157" s="36"/>
      <c r="U1157" s="39" t="s">
        <v>1012</v>
      </c>
      <c r="V1157" s="39" t="s">
        <v>1984</v>
      </c>
      <c r="W1157" s="30"/>
      <c r="X1157" s="73" t="s">
        <v>3804</v>
      </c>
      <c r="Y1157" s="127" t="str">
        <f>_xlfn.XLOOKUP(MasterFees[[#This Row],[Provider / Payer]],Contracts[Contract Name],Contracts[Contract ID],"No contract")</f>
        <v>CON-01</v>
      </c>
      <c r="Z1157" s="127" t="str">
        <f>_xlfn.XLOOKUP(MasterFees[[#This Row],[Provider / Payer]],Contracts[Contract Name],Contracts[Pricing Basis],"To confirm")</f>
        <v>To confirm</v>
      </c>
      <c r="AA1157" s="127" t="str">
        <f>IF(MasterFees[[#This Row],[Pricing Basis]]="Fixed fee schedule","Yes","No")</f>
        <v>No</v>
      </c>
      <c r="AB1157" s="127" t="str">
        <f>IF(OR(MasterFees[[#This Row],[Fee Basis]]="Add-on",MasterFees[[#This Row],[Fee Basis]]="Time band",MasterFees[[#This Row],[Fee Basis]]="Other"),MasterFees[[#This Row],[Fee Basis]],"Base")</f>
        <v>Base</v>
      </c>
      <c r="AC1157" s="141" t="str">
        <f>IF(MasterFees[[#This Row],[Fixed Fee?]]="Yes",MasterFees[[#This Row],[Fee Excl. GST]],"")</f>
        <v/>
      </c>
    </row>
    <row r="1158" spans="1:29" x14ac:dyDescent="0.2">
      <c r="A1158" s="67" t="s">
        <v>2400</v>
      </c>
      <c r="B1158" s="31">
        <f>IF(MasterFees[[#This Row],[RVG Code]]="","",_xlfn.XLOOKUP(MasterFees[[#This Row],[RVG Code]],RVGCodes[Code],RVGCodes[Base Units],"Code not found"))</f>
        <v>4</v>
      </c>
      <c r="C115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5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58" s="125" t="s">
        <v>2600</v>
      </c>
      <c r="F1158" s="48" t="s">
        <v>2567</v>
      </c>
      <c r="G1158" s="30" t="s">
        <v>882</v>
      </c>
      <c r="H1158" s="37" t="s">
        <v>1095</v>
      </c>
      <c r="I1158" s="37"/>
      <c r="J1158" s="37" t="s">
        <v>1096</v>
      </c>
      <c r="K1158" s="32">
        <v>5</v>
      </c>
      <c r="L1158" s="32">
        <v>2</v>
      </c>
      <c r="M1158" s="32">
        <v>0</v>
      </c>
      <c r="N1158" s="32">
        <v>7</v>
      </c>
      <c r="O1158" s="33">
        <v>385</v>
      </c>
      <c r="P1158" s="38" t="s">
        <v>1014</v>
      </c>
      <c r="Q1158" s="34" t="str">
        <f>IF(MasterFees[[#This Row],[GST Basis]]="Excl",MasterFees[[#This Row],[Fee as Printed]],IF(MasterFees[[#This Row],[GST Basis]]="Incl",MasterFees[[#This Row],[Fee as Printed]]/(1+GST_Rate),""))</f>
        <v/>
      </c>
      <c r="R1158" s="34" t="str">
        <f>IF(MasterFees[[#This Row],[GST Basis]]="Incl",MasterFees[[#This Row],[Fee as Printed]],IF(MasterFees[[#This Row],[GST Basis]]="Excl",MasterFees[[#This Row],[Fee as Printed]]*(1+GST_Rate),""))</f>
        <v/>
      </c>
      <c r="S1158" s="35">
        <f>IF(N(MasterFees[[#This Row],[Total Units]])=0,"",MasterFees[[#This Row],[Fee as Printed]]/MasterFees[[#This Row],[Total Units]])</f>
        <v>55</v>
      </c>
      <c r="T1158" s="36"/>
      <c r="U1158" s="39" t="s">
        <v>1012</v>
      </c>
      <c r="V1158" s="39" t="s">
        <v>1985</v>
      </c>
      <c r="W1158" s="30"/>
      <c r="X1158" s="73" t="s">
        <v>3805</v>
      </c>
      <c r="Y1158" s="127" t="str">
        <f>_xlfn.XLOOKUP(MasterFees[[#This Row],[Provider / Payer]],Contracts[Contract Name],Contracts[Contract ID],"No contract")</f>
        <v>CON-01</v>
      </c>
      <c r="Z1158" s="127" t="str">
        <f>_xlfn.XLOOKUP(MasterFees[[#This Row],[Provider / Payer]],Contracts[Contract Name],Contracts[Pricing Basis],"To confirm")</f>
        <v>To confirm</v>
      </c>
      <c r="AA1158" s="127" t="str">
        <f>IF(MasterFees[[#This Row],[Pricing Basis]]="Fixed fee schedule","Yes","No")</f>
        <v>No</v>
      </c>
      <c r="AB1158" s="127" t="str">
        <f>IF(OR(MasterFees[[#This Row],[Fee Basis]]="Add-on",MasterFees[[#This Row],[Fee Basis]]="Time band",MasterFees[[#This Row],[Fee Basis]]="Other"),MasterFees[[#This Row],[Fee Basis]],"Base")</f>
        <v>Base</v>
      </c>
      <c r="AC1158" s="141" t="str">
        <f>IF(MasterFees[[#This Row],[Fixed Fee?]]="Yes",MasterFees[[#This Row],[Fee Excl. GST]],"")</f>
        <v/>
      </c>
    </row>
    <row r="1159" spans="1:29" x14ac:dyDescent="0.2">
      <c r="A1159" s="67" t="s">
        <v>2400</v>
      </c>
      <c r="B1159" s="31">
        <f>IF(MasterFees[[#This Row],[RVG Code]]="","",_xlfn.XLOOKUP(MasterFees[[#This Row],[RVG Code]],RVGCodes[Code],RVGCodes[Base Units],"Code not found"))</f>
        <v>4</v>
      </c>
      <c r="C115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5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59" s="125" t="s">
        <v>2600</v>
      </c>
      <c r="F1159" s="48" t="s">
        <v>2567</v>
      </c>
      <c r="G1159" s="30" t="s">
        <v>886</v>
      </c>
      <c r="H1159" s="37" t="s">
        <v>1095</v>
      </c>
      <c r="I1159" s="37"/>
      <c r="J1159" s="37" t="s">
        <v>1096</v>
      </c>
      <c r="K1159" s="32">
        <v>3</v>
      </c>
      <c r="L1159" s="32">
        <v>2.7</v>
      </c>
      <c r="M1159" s="32">
        <v>0</v>
      </c>
      <c r="N1159" s="32">
        <v>5.7</v>
      </c>
      <c r="O1159" s="33">
        <v>311.3</v>
      </c>
      <c r="P1159" s="38" t="s">
        <v>1014</v>
      </c>
      <c r="Q1159" s="34" t="str">
        <f>IF(MasterFees[[#This Row],[GST Basis]]="Excl",MasterFees[[#This Row],[Fee as Printed]],IF(MasterFees[[#This Row],[GST Basis]]="Incl",MasterFees[[#This Row],[Fee as Printed]]/(1+GST_Rate),""))</f>
        <v/>
      </c>
      <c r="R1159" s="34" t="str">
        <f>IF(MasterFees[[#This Row],[GST Basis]]="Incl",MasterFees[[#This Row],[Fee as Printed]],IF(MasterFees[[#This Row],[GST Basis]]="Excl",MasterFees[[#This Row],[Fee as Printed]]*(1+GST_Rate),""))</f>
        <v/>
      </c>
      <c r="S1159" s="35">
        <f>IF(N(MasterFees[[#This Row],[Total Units]])=0,"",MasterFees[[#This Row],[Fee as Printed]]/MasterFees[[#This Row],[Total Units]])</f>
        <v>54.614035087719301</v>
      </c>
      <c r="T1159" s="36"/>
      <c r="U1159" s="39" t="s">
        <v>1012</v>
      </c>
      <c r="V1159" s="39" t="s">
        <v>1989</v>
      </c>
      <c r="W1159" s="30"/>
      <c r="X1159" s="73" t="s">
        <v>3809</v>
      </c>
      <c r="Y1159" s="127" t="str">
        <f>_xlfn.XLOOKUP(MasterFees[[#This Row],[Provider / Payer]],Contracts[Contract Name],Contracts[Contract ID],"No contract")</f>
        <v>CON-01</v>
      </c>
      <c r="Z1159" s="127" t="str">
        <f>_xlfn.XLOOKUP(MasterFees[[#This Row],[Provider / Payer]],Contracts[Contract Name],Contracts[Pricing Basis],"To confirm")</f>
        <v>To confirm</v>
      </c>
      <c r="AA1159" s="127" t="str">
        <f>IF(MasterFees[[#This Row],[Pricing Basis]]="Fixed fee schedule","Yes","No")</f>
        <v>No</v>
      </c>
      <c r="AB1159" s="127" t="str">
        <f>IF(OR(MasterFees[[#This Row],[Fee Basis]]="Add-on",MasterFees[[#This Row],[Fee Basis]]="Time band",MasterFees[[#This Row],[Fee Basis]]="Other"),MasterFees[[#This Row],[Fee Basis]],"Base")</f>
        <v>Base</v>
      </c>
      <c r="AC1159" s="141" t="str">
        <f>IF(MasterFees[[#This Row],[Fixed Fee?]]="Yes",MasterFees[[#This Row],[Fee Excl. GST]],"")</f>
        <v/>
      </c>
    </row>
    <row r="1160" spans="1:29" x14ac:dyDescent="0.2">
      <c r="A1160" s="67" t="s">
        <v>2400</v>
      </c>
      <c r="B1160" s="31">
        <f>IF(MasterFees[[#This Row],[RVG Code]]="","",_xlfn.XLOOKUP(MasterFees[[#This Row],[RVG Code]],RVGCodes[Code],RVGCodes[Base Units],"Code not found"))</f>
        <v>4</v>
      </c>
      <c r="C116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6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Endoscopy</v>
      </c>
      <c r="E1160" s="125" t="s">
        <v>2600</v>
      </c>
      <c r="F1160" s="48" t="s">
        <v>2567</v>
      </c>
      <c r="G1160" s="30" t="s">
        <v>887</v>
      </c>
      <c r="H1160" s="37" t="s">
        <v>1095</v>
      </c>
      <c r="I1160" s="37"/>
      <c r="J1160" s="37" t="s">
        <v>1096</v>
      </c>
      <c r="K1160" s="32">
        <v>5</v>
      </c>
      <c r="L1160" s="32">
        <v>2.5</v>
      </c>
      <c r="M1160" s="32">
        <v>0</v>
      </c>
      <c r="N1160" s="32">
        <v>7.5</v>
      </c>
      <c r="O1160" s="33">
        <v>412.5</v>
      </c>
      <c r="P1160" s="38" t="s">
        <v>1014</v>
      </c>
      <c r="Q1160" s="34" t="str">
        <f>IF(MasterFees[[#This Row],[GST Basis]]="Excl",MasterFees[[#This Row],[Fee as Printed]],IF(MasterFees[[#This Row],[GST Basis]]="Incl",MasterFees[[#This Row],[Fee as Printed]]/(1+GST_Rate),""))</f>
        <v/>
      </c>
      <c r="R1160" s="34" t="str">
        <f>IF(MasterFees[[#This Row],[GST Basis]]="Incl",MasterFees[[#This Row],[Fee as Printed]],IF(MasterFees[[#This Row],[GST Basis]]="Excl",MasterFees[[#This Row],[Fee as Printed]]*(1+GST_Rate),""))</f>
        <v/>
      </c>
      <c r="S1160" s="35">
        <f>IF(N(MasterFees[[#This Row],[Total Units]])=0,"",MasterFees[[#This Row],[Fee as Printed]]/MasterFees[[#This Row],[Total Units]])</f>
        <v>55</v>
      </c>
      <c r="T1160" s="36"/>
      <c r="U1160" s="39" t="s">
        <v>1012</v>
      </c>
      <c r="V1160" s="39" t="s">
        <v>1990</v>
      </c>
      <c r="W1160" s="30"/>
      <c r="X1160" s="73" t="s">
        <v>3810</v>
      </c>
      <c r="Y1160" s="127" t="str">
        <f>_xlfn.XLOOKUP(MasterFees[[#This Row],[Provider / Payer]],Contracts[Contract Name],Contracts[Contract ID],"No contract")</f>
        <v>CON-01</v>
      </c>
      <c r="Z1160" s="127" t="str">
        <f>_xlfn.XLOOKUP(MasterFees[[#This Row],[Provider / Payer]],Contracts[Contract Name],Contracts[Pricing Basis],"To confirm")</f>
        <v>To confirm</v>
      </c>
      <c r="AA1160" s="127" t="str">
        <f>IF(MasterFees[[#This Row],[Pricing Basis]]="Fixed fee schedule","Yes","No")</f>
        <v>No</v>
      </c>
      <c r="AB1160" s="127" t="str">
        <f>IF(OR(MasterFees[[#This Row],[Fee Basis]]="Add-on",MasterFees[[#This Row],[Fee Basis]]="Time band",MasterFees[[#This Row],[Fee Basis]]="Other"),MasterFees[[#This Row],[Fee Basis]],"Base")</f>
        <v>Base</v>
      </c>
      <c r="AC1160" s="141" t="str">
        <f>IF(MasterFees[[#This Row],[Fixed Fee?]]="Yes",MasterFees[[#This Row],[Fee Excl. GST]],"")</f>
        <v/>
      </c>
    </row>
    <row r="1161" spans="1:29" x14ac:dyDescent="0.2">
      <c r="A1161" s="67" t="s">
        <v>2425</v>
      </c>
      <c r="B1161" s="31">
        <f>IF(MasterFees[[#This Row],[RVG Code]]="","",_xlfn.XLOOKUP(MasterFees[[#This Row],[RVG Code]],RVGCodes[Code],RVGCodes[Base Units],"Code not found"))</f>
        <v>6</v>
      </c>
      <c r="C116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6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Miscellaneous</v>
      </c>
      <c r="E1161" s="125" t="s">
        <v>2610</v>
      </c>
      <c r="F1161" s="48" t="s">
        <v>2569</v>
      </c>
      <c r="G1161" s="30" t="s">
        <v>287</v>
      </c>
      <c r="H1161" s="37" t="s">
        <v>1095</v>
      </c>
      <c r="I1161" s="37"/>
      <c r="J1161" s="37" t="s">
        <v>1096</v>
      </c>
      <c r="K1161" s="32">
        <v>5.4</v>
      </c>
      <c r="L1161" s="32">
        <v>4.8</v>
      </c>
      <c r="M1161" s="32">
        <v>0.9</v>
      </c>
      <c r="N1161" s="32">
        <v>11.2</v>
      </c>
      <c r="O1161" s="33">
        <v>613.25</v>
      </c>
      <c r="P1161" s="38" t="s">
        <v>1014</v>
      </c>
      <c r="Q1161" s="34" t="str">
        <f>IF(MasterFees[[#This Row],[GST Basis]]="Excl",MasterFees[[#This Row],[Fee as Printed]],IF(MasterFees[[#This Row],[GST Basis]]="Incl",MasterFees[[#This Row],[Fee as Printed]]/(1+GST_Rate),""))</f>
        <v/>
      </c>
      <c r="R1161" s="34" t="str">
        <f>IF(MasterFees[[#This Row],[GST Basis]]="Incl",MasterFees[[#This Row],[Fee as Printed]],IF(MasterFees[[#This Row],[GST Basis]]="Excl",MasterFees[[#This Row],[Fee as Printed]]*(1+GST_Rate),""))</f>
        <v/>
      </c>
      <c r="S1161" s="35">
        <f>IF(N(MasterFees[[#This Row],[Total Units]])=0,"",MasterFees[[#This Row],[Fee as Printed]]/MasterFees[[#This Row],[Total Units]])</f>
        <v>54.754464285714292</v>
      </c>
      <c r="T1161" s="36"/>
      <c r="U1161" s="39" t="s">
        <v>1012</v>
      </c>
      <c r="V1161" s="39" t="s">
        <v>1381</v>
      </c>
      <c r="W1161" s="30"/>
      <c r="X1161" s="73" t="s">
        <v>3172</v>
      </c>
      <c r="Y1161" s="127" t="str">
        <f>_xlfn.XLOOKUP(MasterFees[[#This Row],[Provider / Payer]],Contracts[Contract Name],Contracts[Contract ID],"No contract")</f>
        <v>CON-01</v>
      </c>
      <c r="Z1161" s="127" t="str">
        <f>_xlfn.XLOOKUP(MasterFees[[#This Row],[Provider / Payer]],Contracts[Contract Name],Contracts[Pricing Basis],"To confirm")</f>
        <v>To confirm</v>
      </c>
      <c r="AA1161" s="127" t="str">
        <f>IF(MasterFees[[#This Row],[Pricing Basis]]="Fixed fee schedule","Yes","No")</f>
        <v>No</v>
      </c>
      <c r="AB1161" s="127" t="str">
        <f>IF(OR(MasterFees[[#This Row],[Fee Basis]]="Add-on",MasterFees[[#This Row],[Fee Basis]]="Time band",MasterFees[[#This Row],[Fee Basis]]="Other"),MasterFees[[#This Row],[Fee Basis]],"Base")</f>
        <v>Base</v>
      </c>
      <c r="AC1161" s="141" t="str">
        <f>IF(MasterFees[[#This Row],[Fixed Fee?]]="Yes",MasterFees[[#This Row],[Fee Excl. GST]],"")</f>
        <v/>
      </c>
    </row>
    <row r="1162" spans="1:29" x14ac:dyDescent="0.2">
      <c r="A1162" s="67" t="s">
        <v>2425</v>
      </c>
      <c r="B1162" s="31">
        <f>IF(MasterFees[[#This Row],[RVG Code]]="","",_xlfn.XLOOKUP(MasterFees[[#This Row],[RVG Code]],RVGCodes[Code],RVGCodes[Base Units],"Code not found"))</f>
        <v>6</v>
      </c>
      <c r="C116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6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Miscellaneous</v>
      </c>
      <c r="E1162" s="125" t="s">
        <v>2610</v>
      </c>
      <c r="F1162" s="48" t="s">
        <v>2569</v>
      </c>
      <c r="G1162" s="30" t="s">
        <v>288</v>
      </c>
      <c r="H1162" s="37" t="s">
        <v>1095</v>
      </c>
      <c r="I1162" s="37"/>
      <c r="J1162" s="37" t="s">
        <v>1096</v>
      </c>
      <c r="K1162" s="32">
        <v>5.9</v>
      </c>
      <c r="L1162" s="32">
        <v>5.0999999999999996</v>
      </c>
      <c r="M1162" s="32">
        <v>0.6</v>
      </c>
      <c r="N1162" s="32">
        <v>11.6</v>
      </c>
      <c r="O1162" s="33">
        <v>636.9</v>
      </c>
      <c r="P1162" s="38" t="s">
        <v>1014</v>
      </c>
      <c r="Q1162" s="34" t="str">
        <f>IF(MasterFees[[#This Row],[GST Basis]]="Excl",MasterFees[[#This Row],[Fee as Printed]],IF(MasterFees[[#This Row],[GST Basis]]="Incl",MasterFees[[#This Row],[Fee as Printed]]/(1+GST_Rate),""))</f>
        <v/>
      </c>
      <c r="R1162" s="34" t="str">
        <f>IF(MasterFees[[#This Row],[GST Basis]]="Incl",MasterFees[[#This Row],[Fee as Printed]],IF(MasterFees[[#This Row],[GST Basis]]="Excl",MasterFees[[#This Row],[Fee as Printed]]*(1+GST_Rate),""))</f>
        <v/>
      </c>
      <c r="S1162" s="35">
        <f>IF(N(MasterFees[[#This Row],[Total Units]])=0,"",MasterFees[[#This Row],[Fee as Printed]]/MasterFees[[#This Row],[Total Units]])</f>
        <v>54.905172413793103</v>
      </c>
      <c r="T1162" s="36"/>
      <c r="U1162" s="39" t="s">
        <v>1012</v>
      </c>
      <c r="V1162" s="39" t="s">
        <v>1382</v>
      </c>
      <c r="W1162" s="30"/>
      <c r="X1162" s="73" t="s">
        <v>3173</v>
      </c>
      <c r="Y1162" s="127" t="str">
        <f>_xlfn.XLOOKUP(MasterFees[[#This Row],[Provider / Payer]],Contracts[Contract Name],Contracts[Contract ID],"No contract")</f>
        <v>CON-01</v>
      </c>
      <c r="Z1162" s="127" t="str">
        <f>_xlfn.XLOOKUP(MasterFees[[#This Row],[Provider / Payer]],Contracts[Contract Name],Contracts[Pricing Basis],"To confirm")</f>
        <v>To confirm</v>
      </c>
      <c r="AA1162" s="127" t="str">
        <f>IF(MasterFees[[#This Row],[Pricing Basis]]="Fixed fee schedule","Yes","No")</f>
        <v>No</v>
      </c>
      <c r="AB1162" s="127" t="str">
        <f>IF(OR(MasterFees[[#This Row],[Fee Basis]]="Add-on",MasterFees[[#This Row],[Fee Basis]]="Time band",MasterFees[[#This Row],[Fee Basis]]="Other"),MasterFees[[#This Row],[Fee Basis]],"Base")</f>
        <v>Base</v>
      </c>
      <c r="AC1162" s="141" t="str">
        <f>IF(MasterFees[[#This Row],[Fixed Fee?]]="Yes",MasterFees[[#This Row],[Fee Excl. GST]],"")</f>
        <v/>
      </c>
    </row>
    <row r="1163" spans="1:29" x14ac:dyDescent="0.2">
      <c r="A1163" s="67" t="s">
        <v>2425</v>
      </c>
      <c r="B1163" s="31">
        <f>IF(MasterFees[[#This Row],[RVG Code]]="","",_xlfn.XLOOKUP(MasterFees[[#This Row],[RVG Code]],RVGCodes[Code],RVGCodes[Base Units],"Code not found"))</f>
        <v>6</v>
      </c>
      <c r="C116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6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Miscellaneous</v>
      </c>
      <c r="E1163" s="125" t="s">
        <v>2610</v>
      </c>
      <c r="F1163" s="48" t="s">
        <v>2569</v>
      </c>
      <c r="G1163" s="30" t="s">
        <v>289</v>
      </c>
      <c r="H1163" s="37" t="s">
        <v>1095</v>
      </c>
      <c r="I1163" s="37"/>
      <c r="J1163" s="37" t="s">
        <v>1096</v>
      </c>
      <c r="K1163" s="32">
        <v>5.8</v>
      </c>
      <c r="L1163" s="32">
        <v>4.9000000000000004</v>
      </c>
      <c r="M1163" s="32">
        <v>0.6</v>
      </c>
      <c r="N1163" s="32">
        <v>11.4</v>
      </c>
      <c r="O1163" s="33">
        <v>627</v>
      </c>
      <c r="P1163" s="38" t="s">
        <v>1014</v>
      </c>
      <c r="Q1163" s="34" t="str">
        <f>IF(MasterFees[[#This Row],[GST Basis]]="Excl",MasterFees[[#This Row],[Fee as Printed]],IF(MasterFees[[#This Row],[GST Basis]]="Incl",MasterFees[[#This Row],[Fee as Printed]]/(1+GST_Rate),""))</f>
        <v/>
      </c>
      <c r="R1163" s="34" t="str">
        <f>IF(MasterFees[[#This Row],[GST Basis]]="Incl",MasterFees[[#This Row],[Fee as Printed]],IF(MasterFees[[#This Row],[GST Basis]]="Excl",MasterFees[[#This Row],[Fee as Printed]]*(1+GST_Rate),""))</f>
        <v/>
      </c>
      <c r="S1163" s="35">
        <f>IF(N(MasterFees[[#This Row],[Total Units]])=0,"",MasterFees[[#This Row],[Fee as Printed]]/MasterFees[[#This Row],[Total Units]])</f>
        <v>55</v>
      </c>
      <c r="T1163" s="36"/>
      <c r="U1163" s="39" t="s">
        <v>1012</v>
      </c>
      <c r="V1163" s="39" t="s">
        <v>1383</v>
      </c>
      <c r="W1163" s="30"/>
      <c r="X1163" s="73" t="s">
        <v>3174</v>
      </c>
      <c r="Y1163" s="127" t="str">
        <f>_xlfn.XLOOKUP(MasterFees[[#This Row],[Provider / Payer]],Contracts[Contract Name],Contracts[Contract ID],"No contract")</f>
        <v>CON-01</v>
      </c>
      <c r="Z1163" s="127" t="str">
        <f>_xlfn.XLOOKUP(MasterFees[[#This Row],[Provider / Payer]],Contracts[Contract Name],Contracts[Pricing Basis],"To confirm")</f>
        <v>To confirm</v>
      </c>
      <c r="AA1163" s="127" t="str">
        <f>IF(MasterFees[[#This Row],[Pricing Basis]]="Fixed fee schedule","Yes","No")</f>
        <v>No</v>
      </c>
      <c r="AB1163" s="127" t="str">
        <f>IF(OR(MasterFees[[#This Row],[Fee Basis]]="Add-on",MasterFees[[#This Row],[Fee Basis]]="Time band",MasterFees[[#This Row],[Fee Basis]]="Other"),MasterFees[[#This Row],[Fee Basis]],"Base")</f>
        <v>Base</v>
      </c>
      <c r="AC1163" s="141" t="str">
        <f>IF(MasterFees[[#This Row],[Fixed Fee?]]="Yes",MasterFees[[#This Row],[Fee Excl. GST]],"")</f>
        <v/>
      </c>
    </row>
    <row r="1164" spans="1:29" x14ac:dyDescent="0.2">
      <c r="A1164" s="67" t="s">
        <v>2425</v>
      </c>
      <c r="B1164" s="31">
        <f>IF(MasterFees[[#This Row],[RVG Code]]="","",_xlfn.XLOOKUP(MasterFees[[#This Row],[RVG Code]],RVGCodes[Code],RVGCodes[Base Units],"Code not found"))</f>
        <v>6</v>
      </c>
      <c r="C116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6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Miscellaneous</v>
      </c>
      <c r="E1164" s="125" t="s">
        <v>2610</v>
      </c>
      <c r="F1164" s="48" t="s">
        <v>2569</v>
      </c>
      <c r="G1164" s="30" t="s">
        <v>290</v>
      </c>
      <c r="H1164" s="37" t="s">
        <v>1095</v>
      </c>
      <c r="I1164" s="37"/>
      <c r="J1164" s="37" t="s">
        <v>1096</v>
      </c>
      <c r="K1164" s="32">
        <v>6</v>
      </c>
      <c r="L1164" s="32">
        <v>5</v>
      </c>
      <c r="M1164" s="32">
        <v>0</v>
      </c>
      <c r="N1164" s="32">
        <v>11</v>
      </c>
      <c r="O1164" s="33">
        <v>605</v>
      </c>
      <c r="P1164" s="38" t="s">
        <v>1014</v>
      </c>
      <c r="Q1164" s="34" t="str">
        <f>IF(MasterFees[[#This Row],[GST Basis]]="Excl",MasterFees[[#This Row],[Fee as Printed]],IF(MasterFees[[#This Row],[GST Basis]]="Incl",MasterFees[[#This Row],[Fee as Printed]]/(1+GST_Rate),""))</f>
        <v/>
      </c>
      <c r="R1164" s="34" t="str">
        <f>IF(MasterFees[[#This Row],[GST Basis]]="Incl",MasterFees[[#This Row],[Fee as Printed]],IF(MasterFees[[#This Row],[GST Basis]]="Excl",MasterFees[[#This Row],[Fee as Printed]]*(1+GST_Rate),""))</f>
        <v/>
      </c>
      <c r="S1164" s="35">
        <f>IF(N(MasterFees[[#This Row],[Total Units]])=0,"",MasterFees[[#This Row],[Fee as Printed]]/MasterFees[[#This Row],[Total Units]])</f>
        <v>55</v>
      </c>
      <c r="T1164" s="36"/>
      <c r="U1164" s="39" t="s">
        <v>1012</v>
      </c>
      <c r="V1164" s="39" t="s">
        <v>1384</v>
      </c>
      <c r="W1164" s="30"/>
      <c r="X1164" s="73" t="s">
        <v>3175</v>
      </c>
      <c r="Y1164" s="127" t="str">
        <f>_xlfn.XLOOKUP(MasterFees[[#This Row],[Provider / Payer]],Contracts[Contract Name],Contracts[Contract ID],"No contract")</f>
        <v>CON-01</v>
      </c>
      <c r="Z1164" s="127" t="str">
        <f>_xlfn.XLOOKUP(MasterFees[[#This Row],[Provider / Payer]],Contracts[Contract Name],Contracts[Pricing Basis],"To confirm")</f>
        <v>To confirm</v>
      </c>
      <c r="AA1164" s="127" t="str">
        <f>IF(MasterFees[[#This Row],[Pricing Basis]]="Fixed fee schedule","Yes","No")</f>
        <v>No</v>
      </c>
      <c r="AB1164" s="127" t="str">
        <f>IF(OR(MasterFees[[#This Row],[Fee Basis]]="Add-on",MasterFees[[#This Row],[Fee Basis]]="Time band",MasterFees[[#This Row],[Fee Basis]]="Other"),MasterFees[[#This Row],[Fee Basis]],"Base")</f>
        <v>Base</v>
      </c>
      <c r="AC1164" s="141" t="str">
        <f>IF(MasterFees[[#This Row],[Fixed Fee?]]="Yes",MasterFees[[#This Row],[Fee Excl. GST]],"")</f>
        <v/>
      </c>
    </row>
    <row r="1165" spans="1:29" x14ac:dyDescent="0.2">
      <c r="A1165" s="67" t="s">
        <v>2425</v>
      </c>
      <c r="B1165" s="31">
        <f>IF(MasterFees[[#This Row],[RVG Code]]="","",_xlfn.XLOOKUP(MasterFees[[#This Row],[RVG Code]],RVGCodes[Code],RVGCodes[Base Units],"Code not found"))</f>
        <v>6</v>
      </c>
      <c r="C116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6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Miscellaneous</v>
      </c>
      <c r="E1165" s="125" t="s">
        <v>2610</v>
      </c>
      <c r="F1165" s="48" t="s">
        <v>2629</v>
      </c>
      <c r="G1165" s="30" t="s">
        <v>2426</v>
      </c>
      <c r="H1165" s="37" t="s">
        <v>2630</v>
      </c>
      <c r="I1165" s="37" t="s">
        <v>2425</v>
      </c>
      <c r="J1165" s="37" t="s">
        <v>1096</v>
      </c>
      <c r="K1165" s="32">
        <v>6</v>
      </c>
      <c r="L1165" s="32"/>
      <c r="M1165" s="32"/>
      <c r="N1165" s="32">
        <v>6</v>
      </c>
      <c r="O1165" s="33"/>
      <c r="P1165" s="38"/>
      <c r="Q1165" s="34" t="str">
        <f>IF(MasterFees[[#This Row],[GST Basis]]="Excl",MasterFees[[#This Row],[Fee as Printed]],IF(MasterFees[[#This Row],[GST Basis]]="Incl",MasterFees[[#This Row],[Fee as Printed]]/(1+GST_Rate),""))</f>
        <v/>
      </c>
      <c r="R1165" s="34" t="str">
        <f>IF(MasterFees[[#This Row],[GST Basis]]="Incl",MasterFees[[#This Row],[Fee as Printed]],IF(MasterFees[[#This Row],[GST Basis]]="Excl",MasterFees[[#This Row],[Fee as Printed]]*(1+GST_Rate),""))</f>
        <v/>
      </c>
      <c r="S1165" s="35">
        <f>IF(N(MasterFees[[#This Row],[Total Units]])=0,"",MasterFees[[#This Row],[Fee as Printed]]/MasterFees[[#This Row],[Total Units]])</f>
        <v>0</v>
      </c>
      <c r="T1165" s="36"/>
      <c r="U1165" s="39" t="s">
        <v>1016</v>
      </c>
      <c r="V1165" s="39" t="s">
        <v>2665</v>
      </c>
      <c r="W1165" s="30" t="s">
        <v>2632</v>
      </c>
      <c r="X1165" s="73" t="s">
        <v>3701</v>
      </c>
      <c r="Y1165" s="127" t="str">
        <f>_xlfn.XLOOKUP(MasterFees[[#This Row],[Provider / Payer]],Contracts[Contract Name],Contracts[Contract ID],"No contract")</f>
        <v>CON-10</v>
      </c>
      <c r="Z1165" s="127" t="str">
        <f>_xlfn.XLOOKUP(MasterFees[[#This Row],[Provider / Payer]],Contracts[Contract Name],Contracts[Pricing Basis],"To confirm")</f>
        <v>Reference – units only</v>
      </c>
      <c r="AA1165" s="127" t="str">
        <f>IF(MasterFees[[#This Row],[Pricing Basis]]="Fixed fee schedule","Yes","No")</f>
        <v>No</v>
      </c>
      <c r="AB1165" s="127" t="str">
        <f>IF(OR(MasterFees[[#This Row],[Fee Basis]]="Add-on",MasterFees[[#This Row],[Fee Basis]]="Time band",MasterFees[[#This Row],[Fee Basis]]="Other"),MasterFees[[#This Row],[Fee Basis]],"Base")</f>
        <v>Base</v>
      </c>
      <c r="AC1165" s="141" t="str">
        <f>IF(MasterFees[[#This Row],[Fixed Fee?]]="Yes",MasterFees[[#This Row],[Fee Excl. GST]],"")</f>
        <v/>
      </c>
    </row>
    <row r="1166" spans="1:29" x14ac:dyDescent="0.2">
      <c r="A1166" s="67" t="s">
        <v>2425</v>
      </c>
      <c r="B1166" s="31">
        <f>IF(MasterFees[[#This Row],[RVG Code]]="","",_xlfn.XLOOKUP(MasterFees[[#This Row],[RVG Code]],RVGCodes[Code],RVGCodes[Base Units],"Code not found"))</f>
        <v>6</v>
      </c>
      <c r="C116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6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Miscellaneous</v>
      </c>
      <c r="E1166" s="125" t="s">
        <v>2610</v>
      </c>
      <c r="F1166" s="48" t="s">
        <v>2569</v>
      </c>
      <c r="G1166" s="30" t="s">
        <v>553</v>
      </c>
      <c r="H1166" s="37" t="s">
        <v>1095</v>
      </c>
      <c r="I1166" s="37"/>
      <c r="J1166" s="37" t="s">
        <v>1096</v>
      </c>
      <c r="K1166" s="32">
        <v>5.7</v>
      </c>
      <c r="L1166" s="32">
        <v>4.8</v>
      </c>
      <c r="M1166" s="32">
        <v>0.6</v>
      </c>
      <c r="N1166" s="32">
        <v>11.2</v>
      </c>
      <c r="O1166" s="33">
        <v>613.25</v>
      </c>
      <c r="P1166" s="38" t="s">
        <v>1014</v>
      </c>
      <c r="Q1166" s="34" t="str">
        <f>IF(MasterFees[[#This Row],[GST Basis]]="Excl",MasterFees[[#This Row],[Fee as Printed]],IF(MasterFees[[#This Row],[GST Basis]]="Incl",MasterFees[[#This Row],[Fee as Printed]]/(1+GST_Rate),""))</f>
        <v/>
      </c>
      <c r="R1166" s="34" t="str">
        <f>IF(MasterFees[[#This Row],[GST Basis]]="Incl",MasterFees[[#This Row],[Fee as Printed]],IF(MasterFees[[#This Row],[GST Basis]]="Excl",MasterFees[[#This Row],[Fee as Printed]]*(1+GST_Rate),""))</f>
        <v/>
      </c>
      <c r="S1166" s="35">
        <f>IF(N(MasterFees[[#This Row],[Total Units]])=0,"",MasterFees[[#This Row],[Fee as Printed]]/MasterFees[[#This Row],[Total Units]])</f>
        <v>54.754464285714292</v>
      </c>
      <c r="T1166" s="36"/>
      <c r="U1166" s="39" t="s">
        <v>1012</v>
      </c>
      <c r="V1166" s="39" t="s">
        <v>1649</v>
      </c>
      <c r="W1166" s="30"/>
      <c r="X1166" s="73" t="s">
        <v>3446</v>
      </c>
      <c r="Y1166" s="127" t="str">
        <f>_xlfn.XLOOKUP(MasterFees[[#This Row],[Provider / Payer]],Contracts[Contract Name],Contracts[Contract ID],"No contract")</f>
        <v>CON-01</v>
      </c>
      <c r="Z1166" s="127" t="str">
        <f>_xlfn.XLOOKUP(MasterFees[[#This Row],[Provider / Payer]],Contracts[Contract Name],Contracts[Pricing Basis],"To confirm")</f>
        <v>To confirm</v>
      </c>
      <c r="AA1166" s="127" t="str">
        <f>IF(MasterFees[[#This Row],[Pricing Basis]]="Fixed fee schedule","Yes","No")</f>
        <v>No</v>
      </c>
      <c r="AB1166" s="127" t="str">
        <f>IF(OR(MasterFees[[#This Row],[Fee Basis]]="Add-on",MasterFees[[#This Row],[Fee Basis]]="Time band",MasterFees[[#This Row],[Fee Basis]]="Other"),MasterFees[[#This Row],[Fee Basis]],"Base")</f>
        <v>Base</v>
      </c>
      <c r="AC1166" s="141" t="str">
        <f>IF(MasterFees[[#This Row],[Fixed Fee?]]="Yes",MasterFees[[#This Row],[Fee Excl. GST]],"")</f>
        <v/>
      </c>
    </row>
    <row r="1167" spans="1:29" x14ac:dyDescent="0.2">
      <c r="A1167" s="67" t="s">
        <v>2425</v>
      </c>
      <c r="B1167" s="31">
        <f>IF(MasterFees[[#This Row],[RVG Code]]="","",_xlfn.XLOOKUP(MasterFees[[#This Row],[RVG Code]],RVGCodes[Code],RVGCodes[Base Units],"Code not found"))</f>
        <v>6</v>
      </c>
      <c r="C116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6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Miscellaneous</v>
      </c>
      <c r="E1167" s="125" t="s">
        <v>2610</v>
      </c>
      <c r="F1167" s="48" t="s">
        <v>2569</v>
      </c>
      <c r="G1167" s="30" t="s">
        <v>554</v>
      </c>
      <c r="H1167" s="37" t="s">
        <v>1095</v>
      </c>
      <c r="I1167" s="37"/>
      <c r="J1167" s="37" t="s">
        <v>1096</v>
      </c>
      <c r="K1167" s="32">
        <v>5.9</v>
      </c>
      <c r="L1167" s="32">
        <v>4.8</v>
      </c>
      <c r="M1167" s="32">
        <v>0.7</v>
      </c>
      <c r="N1167" s="32">
        <v>11.4</v>
      </c>
      <c r="O1167" s="33">
        <v>624.79999999999995</v>
      </c>
      <c r="P1167" s="38" t="s">
        <v>1014</v>
      </c>
      <c r="Q1167" s="34" t="str">
        <f>IF(MasterFees[[#This Row],[GST Basis]]="Excl",MasterFees[[#This Row],[Fee as Printed]],IF(MasterFees[[#This Row],[GST Basis]]="Incl",MasterFees[[#This Row],[Fee as Printed]]/(1+GST_Rate),""))</f>
        <v/>
      </c>
      <c r="R1167" s="34" t="str">
        <f>IF(MasterFees[[#This Row],[GST Basis]]="Incl",MasterFees[[#This Row],[Fee as Printed]],IF(MasterFees[[#This Row],[GST Basis]]="Excl",MasterFees[[#This Row],[Fee as Printed]]*(1+GST_Rate),""))</f>
        <v/>
      </c>
      <c r="S1167" s="35">
        <f>IF(N(MasterFees[[#This Row],[Total Units]])=0,"",MasterFees[[#This Row],[Fee as Printed]]/MasterFees[[#This Row],[Total Units]])</f>
        <v>54.807017543859644</v>
      </c>
      <c r="T1167" s="36"/>
      <c r="U1167" s="39" t="s">
        <v>1012</v>
      </c>
      <c r="V1167" s="39" t="s">
        <v>1650</v>
      </c>
      <c r="W1167" s="30"/>
      <c r="X1167" s="73" t="s">
        <v>3447</v>
      </c>
      <c r="Y1167" s="127" t="str">
        <f>_xlfn.XLOOKUP(MasterFees[[#This Row],[Provider / Payer]],Contracts[Contract Name],Contracts[Contract ID],"No contract")</f>
        <v>CON-01</v>
      </c>
      <c r="Z1167" s="127" t="str">
        <f>_xlfn.XLOOKUP(MasterFees[[#This Row],[Provider / Payer]],Contracts[Contract Name],Contracts[Pricing Basis],"To confirm")</f>
        <v>To confirm</v>
      </c>
      <c r="AA1167" s="127" t="str">
        <f>IF(MasterFees[[#This Row],[Pricing Basis]]="Fixed fee schedule","Yes","No")</f>
        <v>No</v>
      </c>
      <c r="AB1167" s="127" t="str">
        <f>IF(OR(MasterFees[[#This Row],[Fee Basis]]="Add-on",MasterFees[[#This Row],[Fee Basis]]="Time band",MasterFees[[#This Row],[Fee Basis]]="Other"),MasterFees[[#This Row],[Fee Basis]],"Base")</f>
        <v>Base</v>
      </c>
      <c r="AC1167" s="141" t="str">
        <f>IF(MasterFees[[#This Row],[Fixed Fee?]]="Yes",MasterFees[[#This Row],[Fee Excl. GST]],"")</f>
        <v/>
      </c>
    </row>
    <row r="1168" spans="1:29" x14ac:dyDescent="0.2">
      <c r="A1168" s="67" t="s">
        <v>2425</v>
      </c>
      <c r="B1168" s="31">
        <f>IF(MasterFees[[#This Row],[RVG Code]]="","",_xlfn.XLOOKUP(MasterFees[[#This Row],[RVG Code]],RVGCodes[Code],RVGCodes[Base Units],"Code not found"))</f>
        <v>6</v>
      </c>
      <c r="C116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6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Miscellaneous</v>
      </c>
      <c r="E1168" s="125" t="s">
        <v>2610</v>
      </c>
      <c r="F1168" s="48" t="s">
        <v>2567</v>
      </c>
      <c r="G1168" s="30" t="s">
        <v>615</v>
      </c>
      <c r="H1168" s="37" t="s">
        <v>1095</v>
      </c>
      <c r="I1168" s="37"/>
      <c r="J1168" s="37" t="s">
        <v>1096</v>
      </c>
      <c r="K1168" s="32">
        <v>4.8</v>
      </c>
      <c r="L1168" s="32">
        <v>5</v>
      </c>
      <c r="M1168" s="32">
        <v>0.8</v>
      </c>
      <c r="N1168" s="32">
        <v>10.6</v>
      </c>
      <c r="O1168" s="33">
        <v>580.79999999999995</v>
      </c>
      <c r="P1168" s="38" t="s">
        <v>1014</v>
      </c>
      <c r="Q1168" s="34" t="str">
        <f>IF(MasterFees[[#This Row],[GST Basis]]="Excl",MasterFees[[#This Row],[Fee as Printed]],IF(MasterFees[[#This Row],[GST Basis]]="Incl",MasterFees[[#This Row],[Fee as Printed]]/(1+GST_Rate),""))</f>
        <v/>
      </c>
      <c r="R1168" s="34" t="str">
        <f>IF(MasterFees[[#This Row],[GST Basis]]="Incl",MasterFees[[#This Row],[Fee as Printed]],IF(MasterFees[[#This Row],[GST Basis]]="Excl",MasterFees[[#This Row],[Fee as Printed]]*(1+GST_Rate),""))</f>
        <v/>
      </c>
      <c r="S1168" s="35">
        <f>IF(N(MasterFees[[#This Row],[Total Units]])=0,"",MasterFees[[#This Row],[Fee as Printed]]/MasterFees[[#This Row],[Total Units]])</f>
        <v>54.79245283018868</v>
      </c>
      <c r="T1168" s="36"/>
      <c r="U1168" s="39" t="s">
        <v>1012</v>
      </c>
      <c r="V1168" s="39" t="s">
        <v>1712</v>
      </c>
      <c r="W1168" s="30"/>
      <c r="X1168" s="73" t="s">
        <v>3509</v>
      </c>
      <c r="Y1168" s="127" t="str">
        <f>_xlfn.XLOOKUP(MasterFees[[#This Row],[Provider / Payer]],Contracts[Contract Name],Contracts[Contract ID],"No contract")</f>
        <v>CON-01</v>
      </c>
      <c r="Z1168" s="127" t="str">
        <f>_xlfn.XLOOKUP(MasterFees[[#This Row],[Provider / Payer]],Contracts[Contract Name],Contracts[Pricing Basis],"To confirm")</f>
        <v>To confirm</v>
      </c>
      <c r="AA1168" s="127" t="str">
        <f>IF(MasterFees[[#This Row],[Pricing Basis]]="Fixed fee schedule","Yes","No")</f>
        <v>No</v>
      </c>
      <c r="AB1168" s="127" t="str">
        <f>IF(OR(MasterFees[[#This Row],[Fee Basis]]="Add-on",MasterFees[[#This Row],[Fee Basis]]="Time band",MasterFees[[#This Row],[Fee Basis]]="Other"),MasterFees[[#This Row],[Fee Basis]],"Base")</f>
        <v>Base</v>
      </c>
      <c r="AC1168" s="141" t="str">
        <f>IF(MasterFees[[#This Row],[Fixed Fee?]]="Yes",MasterFees[[#This Row],[Fee Excl. GST]],"")</f>
        <v/>
      </c>
    </row>
    <row r="1169" spans="1:29" x14ac:dyDescent="0.2">
      <c r="A1169" s="67" t="s">
        <v>2427</v>
      </c>
      <c r="B1169" s="31">
        <f>IF(MasterFees[[#This Row],[RVG Code]]="","",_xlfn.XLOOKUP(MasterFees[[#This Row],[RVG Code]],RVGCodes[Code],RVGCodes[Base Units],"Code not found"))</f>
        <v>4</v>
      </c>
      <c r="C116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6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Miscellaneous</v>
      </c>
      <c r="E1169" s="125" t="s">
        <v>2727</v>
      </c>
      <c r="F1169" s="48" t="s">
        <v>2565</v>
      </c>
      <c r="G1169" s="30" t="s">
        <v>2428</v>
      </c>
      <c r="H1169" s="37" t="s">
        <v>2630</v>
      </c>
      <c r="I1169" s="37" t="s">
        <v>2427</v>
      </c>
      <c r="J1169" s="37" t="s">
        <v>1096</v>
      </c>
      <c r="K1169" s="32">
        <v>4</v>
      </c>
      <c r="L1169" s="32"/>
      <c r="M1169" s="32"/>
      <c r="N1169" s="32"/>
      <c r="O1169" s="33"/>
      <c r="P1169" s="38"/>
      <c r="Q1169" s="34" t="str">
        <f>IF(MasterFees[[#This Row],[GST Basis]]="Excl",MasterFees[[#This Row],[Fee as Printed]],IF(MasterFees[[#This Row],[GST Basis]]="Incl",MasterFees[[#This Row],[Fee as Printed]]/(1+GST_Rate),""))</f>
        <v/>
      </c>
      <c r="R1169" s="34" t="str">
        <f>IF(MasterFees[[#This Row],[GST Basis]]="Incl",MasterFees[[#This Row],[Fee as Printed]],IF(MasterFees[[#This Row],[GST Basis]]="Excl",MasterFees[[#This Row],[Fee as Printed]]*(1+GST_Rate),""))</f>
        <v/>
      </c>
      <c r="S1169" s="35" t="str">
        <f>IF(N(MasterFees[[#This Row],[Total Units]])=0,"",MasterFees[[#This Row],[Fee as Printed]]/MasterFees[[#This Row],[Total Units]])</f>
        <v/>
      </c>
      <c r="T1169" s="36"/>
      <c r="U1169" s="39" t="s">
        <v>1016</v>
      </c>
      <c r="V1169" s="39" t="s">
        <v>2665</v>
      </c>
      <c r="W1169" s="30" t="s">
        <v>2728</v>
      </c>
      <c r="X1169" s="73" t="s">
        <v>3962</v>
      </c>
      <c r="Y1169" s="127" t="str">
        <f>_xlfn.XLOOKUP(MasterFees[[#This Row],[Provider / Payer]],Contracts[Contract Name],Contracts[Contract ID],"No contract")</f>
        <v>CON-10</v>
      </c>
      <c r="Z1169" s="127" t="str">
        <f>_xlfn.XLOOKUP(MasterFees[[#This Row],[Provider / Payer]],Contracts[Contract Name],Contracts[Pricing Basis],"To confirm")</f>
        <v>Reference – units only</v>
      </c>
      <c r="AA1169" s="127" t="str">
        <f>IF(MasterFees[[#This Row],[Pricing Basis]]="Fixed fee schedule","Yes","No")</f>
        <v>No</v>
      </c>
      <c r="AB1169" s="127" t="str">
        <f>IF(OR(MasterFees[[#This Row],[Fee Basis]]="Add-on",MasterFees[[#This Row],[Fee Basis]]="Time band",MasterFees[[#This Row],[Fee Basis]]="Other"),MasterFees[[#This Row],[Fee Basis]],"Base")</f>
        <v>Base</v>
      </c>
      <c r="AC1169" s="141" t="str">
        <f>IF(MasterFees[[#This Row],[Fixed Fee?]]="Yes",MasterFees[[#This Row],[Fee Excl. GST]],"")</f>
        <v/>
      </c>
    </row>
    <row r="1170" spans="1:29" x14ac:dyDescent="0.2">
      <c r="A1170" s="67" t="s">
        <v>2423</v>
      </c>
      <c r="B1170" s="31">
        <f>IF(MasterFees[[#This Row],[RVG Code]]="","",_xlfn.XLOOKUP(MasterFees[[#This Row],[RVG Code]],RVGCodes[Code],RVGCodes[Base Units],"Code not found"))</f>
        <v>4</v>
      </c>
      <c r="C117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7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Miscellaneous</v>
      </c>
      <c r="E1170" s="125" t="s">
        <v>2726</v>
      </c>
      <c r="F1170" s="48" t="s">
        <v>2565</v>
      </c>
      <c r="G1170" s="30" t="s">
        <v>2424</v>
      </c>
      <c r="H1170" s="37" t="s">
        <v>2630</v>
      </c>
      <c r="I1170" s="37" t="s">
        <v>2423</v>
      </c>
      <c r="J1170" s="37" t="s">
        <v>1096</v>
      </c>
      <c r="K1170" s="32">
        <v>4</v>
      </c>
      <c r="L1170" s="32"/>
      <c r="M1170" s="32"/>
      <c r="N1170" s="32">
        <v>4</v>
      </c>
      <c r="O1170" s="33"/>
      <c r="P1170" s="38"/>
      <c r="Q1170" s="34" t="str">
        <f>IF(MasterFees[[#This Row],[GST Basis]]="Excl",MasterFees[[#This Row],[Fee as Printed]],IF(MasterFees[[#This Row],[GST Basis]]="Incl",MasterFees[[#This Row],[Fee as Printed]]/(1+GST_Rate),""))</f>
        <v/>
      </c>
      <c r="R1170" s="34" t="str">
        <f>IF(MasterFees[[#This Row],[GST Basis]]="Incl",MasterFees[[#This Row],[Fee as Printed]],IF(MasterFees[[#This Row],[GST Basis]]="Excl",MasterFees[[#This Row],[Fee as Printed]]*(1+GST_Rate),""))</f>
        <v/>
      </c>
      <c r="S1170" s="35">
        <f>IF(N(MasterFees[[#This Row],[Total Units]])=0,"",MasterFees[[#This Row],[Fee as Printed]]/MasterFees[[#This Row],[Total Units]])</f>
        <v>0</v>
      </c>
      <c r="T1170" s="36"/>
      <c r="U1170" s="39" t="s">
        <v>1016</v>
      </c>
      <c r="V1170" s="39" t="s">
        <v>2665</v>
      </c>
      <c r="W1170" s="30" t="s">
        <v>2632</v>
      </c>
      <c r="X1170" s="73" t="s">
        <v>3961</v>
      </c>
      <c r="Y1170" s="127" t="str">
        <f>_xlfn.XLOOKUP(MasterFees[[#This Row],[Provider / Payer]],Contracts[Contract Name],Contracts[Contract ID],"No contract")</f>
        <v>CON-10</v>
      </c>
      <c r="Z1170" s="127" t="str">
        <f>_xlfn.XLOOKUP(MasterFees[[#This Row],[Provider / Payer]],Contracts[Contract Name],Contracts[Pricing Basis],"To confirm")</f>
        <v>Reference – units only</v>
      </c>
      <c r="AA1170" s="127" t="str">
        <f>IF(MasterFees[[#This Row],[Pricing Basis]]="Fixed fee schedule","Yes","No")</f>
        <v>No</v>
      </c>
      <c r="AB1170" s="127" t="str">
        <f>IF(OR(MasterFees[[#This Row],[Fee Basis]]="Add-on",MasterFees[[#This Row],[Fee Basis]]="Time band",MasterFees[[#This Row],[Fee Basis]]="Other"),MasterFees[[#This Row],[Fee Basis]],"Base")</f>
        <v>Base</v>
      </c>
      <c r="AC1170" s="141" t="str">
        <f>IF(MasterFees[[#This Row],[Fixed Fee?]]="Yes",MasterFees[[#This Row],[Fee Excl. GST]],"")</f>
        <v/>
      </c>
    </row>
    <row r="1171" spans="1:29" x14ac:dyDescent="0.2">
      <c r="A1171" s="67" t="s">
        <v>2425</v>
      </c>
      <c r="B1171" s="31">
        <f>IF(MasterFees[[#This Row],[RVG Code]]="","",_xlfn.XLOOKUP(MasterFees[[#This Row],[RVG Code]],RVGCodes[Code],RVGCodes[Base Units],"Code not found"))</f>
        <v>6</v>
      </c>
      <c r="C117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7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Miscellaneous</v>
      </c>
      <c r="E1171" s="125" t="s">
        <v>2610</v>
      </c>
      <c r="F1171" s="48" t="s">
        <v>2569</v>
      </c>
      <c r="G1171" s="30" t="s">
        <v>790</v>
      </c>
      <c r="H1171" s="37" t="s">
        <v>1095</v>
      </c>
      <c r="I1171" s="37"/>
      <c r="J1171" s="37" t="s">
        <v>1096</v>
      </c>
      <c r="K1171" s="32">
        <v>5.8</v>
      </c>
      <c r="L1171" s="32">
        <v>4.9000000000000004</v>
      </c>
      <c r="M1171" s="32">
        <v>0.5</v>
      </c>
      <c r="N1171" s="32">
        <v>11.2</v>
      </c>
      <c r="O1171" s="33">
        <v>614.9</v>
      </c>
      <c r="P1171" s="38" t="s">
        <v>1014</v>
      </c>
      <c r="Q1171" s="34" t="str">
        <f>IF(MasterFees[[#This Row],[GST Basis]]="Excl",MasterFees[[#This Row],[Fee as Printed]],IF(MasterFees[[#This Row],[GST Basis]]="Incl",MasterFees[[#This Row],[Fee as Printed]]/(1+GST_Rate),""))</f>
        <v/>
      </c>
      <c r="R1171" s="34" t="str">
        <f>IF(MasterFees[[#This Row],[GST Basis]]="Incl",MasterFees[[#This Row],[Fee as Printed]],IF(MasterFees[[#This Row],[GST Basis]]="Excl",MasterFees[[#This Row],[Fee as Printed]]*(1+GST_Rate),""))</f>
        <v/>
      </c>
      <c r="S1171" s="35">
        <f>IF(N(MasterFees[[#This Row],[Total Units]])=0,"",MasterFees[[#This Row],[Fee as Printed]]/MasterFees[[#This Row],[Total Units]])</f>
        <v>54.901785714285715</v>
      </c>
      <c r="T1171" s="36"/>
      <c r="U1171" s="39" t="s">
        <v>1012</v>
      </c>
      <c r="V1171" s="39" t="s">
        <v>1893</v>
      </c>
      <c r="W1171" s="30"/>
      <c r="X1171" s="73" t="s">
        <v>3699</v>
      </c>
      <c r="Y1171" s="127" t="str">
        <f>_xlfn.XLOOKUP(MasterFees[[#This Row],[Provider / Payer]],Contracts[Contract Name],Contracts[Contract ID],"No contract")</f>
        <v>CON-01</v>
      </c>
      <c r="Z1171" s="127" t="str">
        <f>_xlfn.XLOOKUP(MasterFees[[#This Row],[Provider / Payer]],Contracts[Contract Name],Contracts[Pricing Basis],"To confirm")</f>
        <v>To confirm</v>
      </c>
      <c r="AA1171" s="127" t="str">
        <f>IF(MasterFees[[#This Row],[Pricing Basis]]="Fixed fee schedule","Yes","No")</f>
        <v>No</v>
      </c>
      <c r="AB1171" s="127" t="str">
        <f>IF(OR(MasterFees[[#This Row],[Fee Basis]]="Add-on",MasterFees[[#This Row],[Fee Basis]]="Time band",MasterFees[[#This Row],[Fee Basis]]="Other"),MasterFees[[#This Row],[Fee Basis]],"Base")</f>
        <v>Base</v>
      </c>
      <c r="AC1171" s="141" t="str">
        <f>IF(MasterFees[[#This Row],[Fixed Fee?]]="Yes",MasterFees[[#This Row],[Fee Excl. GST]],"")</f>
        <v/>
      </c>
    </row>
    <row r="1172" spans="1:29" x14ac:dyDescent="0.2">
      <c r="A1172" s="67" t="s">
        <v>2425</v>
      </c>
      <c r="B1172" s="31">
        <f>IF(MasterFees[[#This Row],[RVG Code]]="","",_xlfn.XLOOKUP(MasterFees[[#This Row],[RVG Code]],RVGCodes[Code],RVGCodes[Base Units],"Code not found"))</f>
        <v>6</v>
      </c>
      <c r="C117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7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Miscellaneous</v>
      </c>
      <c r="E1172" s="125" t="s">
        <v>2610</v>
      </c>
      <c r="F1172" s="48" t="s">
        <v>2569</v>
      </c>
      <c r="G1172" s="30" t="s">
        <v>791</v>
      </c>
      <c r="H1172" s="37" t="s">
        <v>1095</v>
      </c>
      <c r="I1172" s="37"/>
      <c r="J1172" s="37" t="s">
        <v>1096</v>
      </c>
      <c r="K1172" s="32">
        <v>5.8</v>
      </c>
      <c r="L1172" s="32">
        <v>4.7</v>
      </c>
      <c r="M1172" s="32">
        <v>0.1</v>
      </c>
      <c r="N1172" s="32">
        <v>10.5</v>
      </c>
      <c r="O1172" s="33">
        <v>577.5</v>
      </c>
      <c r="P1172" s="38" t="s">
        <v>1014</v>
      </c>
      <c r="Q1172" s="34" t="str">
        <f>IF(MasterFees[[#This Row],[GST Basis]]="Excl",MasterFees[[#This Row],[Fee as Printed]],IF(MasterFees[[#This Row],[GST Basis]]="Incl",MasterFees[[#This Row],[Fee as Printed]]/(1+GST_Rate),""))</f>
        <v/>
      </c>
      <c r="R1172" s="34" t="str">
        <f>IF(MasterFees[[#This Row],[GST Basis]]="Incl",MasterFees[[#This Row],[Fee as Printed]],IF(MasterFees[[#This Row],[GST Basis]]="Excl",MasterFees[[#This Row],[Fee as Printed]]*(1+GST_Rate),""))</f>
        <v/>
      </c>
      <c r="S1172" s="35">
        <f>IF(N(MasterFees[[#This Row],[Total Units]])=0,"",MasterFees[[#This Row],[Fee as Printed]]/MasterFees[[#This Row],[Total Units]])</f>
        <v>55</v>
      </c>
      <c r="T1172" s="36"/>
      <c r="U1172" s="39" t="s">
        <v>1012</v>
      </c>
      <c r="V1172" s="39" t="s">
        <v>1894</v>
      </c>
      <c r="W1172" s="30"/>
      <c r="X1172" s="73" t="s">
        <v>3700</v>
      </c>
      <c r="Y1172" s="127" t="str">
        <f>_xlfn.XLOOKUP(MasterFees[[#This Row],[Provider / Payer]],Contracts[Contract Name],Contracts[Contract ID],"No contract")</f>
        <v>CON-01</v>
      </c>
      <c r="Z1172" s="127" t="str">
        <f>_xlfn.XLOOKUP(MasterFees[[#This Row],[Provider / Payer]],Contracts[Contract Name],Contracts[Pricing Basis],"To confirm")</f>
        <v>To confirm</v>
      </c>
      <c r="AA1172" s="127" t="str">
        <f>IF(MasterFees[[#This Row],[Pricing Basis]]="Fixed fee schedule","Yes","No")</f>
        <v>No</v>
      </c>
      <c r="AB1172" s="127" t="str">
        <f>IF(OR(MasterFees[[#This Row],[Fee Basis]]="Add-on",MasterFees[[#This Row],[Fee Basis]]="Time band",MasterFees[[#This Row],[Fee Basis]]="Other"),MasterFees[[#This Row],[Fee Basis]],"Base")</f>
        <v>Base</v>
      </c>
      <c r="AC1172" s="141" t="str">
        <f>IF(MasterFees[[#This Row],[Fixed Fee?]]="Yes",MasterFees[[#This Row],[Fee Excl. GST]],"")</f>
        <v/>
      </c>
    </row>
    <row r="1173" spans="1:29" x14ac:dyDescent="0.2">
      <c r="A1173" s="67" t="s">
        <v>2416</v>
      </c>
      <c r="B1173" s="31">
        <f>IF(MasterFees[[#This Row],[RVG Code]]="","",_xlfn.XLOOKUP(MasterFees[[#This Row],[RVG Code]],RVGCodes[Code],RVGCodes[Base Units],"Code not found"))</f>
        <v>5</v>
      </c>
      <c r="C117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7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Radiology</v>
      </c>
      <c r="E1173" s="125" t="s">
        <v>2613</v>
      </c>
      <c r="F1173" s="48" t="s">
        <v>2629</v>
      </c>
      <c r="G1173" s="30" t="s">
        <v>2417</v>
      </c>
      <c r="H1173" s="37" t="s">
        <v>2630</v>
      </c>
      <c r="I1173" s="37" t="s">
        <v>2416</v>
      </c>
      <c r="J1173" s="37" t="s">
        <v>1096</v>
      </c>
      <c r="K1173" s="32">
        <v>5</v>
      </c>
      <c r="L1173" s="32"/>
      <c r="M1173" s="32"/>
      <c r="N1173" s="32">
        <v>5</v>
      </c>
      <c r="O1173" s="33"/>
      <c r="P1173" s="38"/>
      <c r="Q1173" s="34" t="str">
        <f>IF(MasterFees[[#This Row],[GST Basis]]="Excl",MasterFees[[#This Row],[Fee as Printed]],IF(MasterFees[[#This Row],[GST Basis]]="Incl",MasterFees[[#This Row],[Fee as Printed]]/(1+GST_Rate),""))</f>
        <v/>
      </c>
      <c r="R1173" s="34" t="str">
        <f>IF(MasterFees[[#This Row],[GST Basis]]="Incl",MasterFees[[#This Row],[Fee as Printed]],IF(MasterFees[[#This Row],[GST Basis]]="Excl",MasterFees[[#This Row],[Fee as Printed]]*(1+GST_Rate),""))</f>
        <v/>
      </c>
      <c r="S1173" s="35">
        <f>IF(N(MasterFees[[#This Row],[Total Units]])=0,"",MasterFees[[#This Row],[Fee as Printed]]/MasterFees[[#This Row],[Total Units]])</f>
        <v>0</v>
      </c>
      <c r="T1173" s="36"/>
      <c r="U1173" s="39" t="s">
        <v>1016</v>
      </c>
      <c r="V1173" s="39" t="s">
        <v>2669</v>
      </c>
      <c r="W1173" s="30" t="s">
        <v>2632</v>
      </c>
      <c r="X1173" s="73" t="s">
        <v>3544</v>
      </c>
      <c r="Y1173" s="127" t="str">
        <f>_xlfn.XLOOKUP(MasterFees[[#This Row],[Provider / Payer]],Contracts[Contract Name],Contracts[Contract ID],"No contract")</f>
        <v>CON-10</v>
      </c>
      <c r="Z1173" s="127" t="str">
        <f>_xlfn.XLOOKUP(MasterFees[[#This Row],[Provider / Payer]],Contracts[Contract Name],Contracts[Pricing Basis],"To confirm")</f>
        <v>Reference – units only</v>
      </c>
      <c r="AA1173" s="127" t="str">
        <f>IF(MasterFees[[#This Row],[Pricing Basis]]="Fixed fee schedule","Yes","No")</f>
        <v>No</v>
      </c>
      <c r="AB1173" s="127" t="str">
        <f>IF(OR(MasterFees[[#This Row],[Fee Basis]]="Add-on",MasterFees[[#This Row],[Fee Basis]]="Time band",MasterFees[[#This Row],[Fee Basis]]="Other"),MasterFees[[#This Row],[Fee Basis]],"Base")</f>
        <v>Base</v>
      </c>
      <c r="AC1173" s="141" t="str">
        <f>IF(MasterFees[[#This Row],[Fixed Fee?]]="Yes",MasterFees[[#This Row],[Fee Excl. GST]],"")</f>
        <v/>
      </c>
    </row>
    <row r="1174" spans="1:29" x14ac:dyDescent="0.2">
      <c r="A1174" s="67" t="s">
        <v>2416</v>
      </c>
      <c r="B1174" s="31">
        <f>IF(MasterFees[[#This Row],[RVG Code]]="","",_xlfn.XLOOKUP(MasterFees[[#This Row],[RVG Code]],RVGCodes[Code],RVGCodes[Base Units],"Code not found"))</f>
        <v>5</v>
      </c>
      <c r="C117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7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Radiology</v>
      </c>
      <c r="E1174" s="125" t="s">
        <v>2613</v>
      </c>
      <c r="F1174" s="48" t="s">
        <v>2567</v>
      </c>
      <c r="G1174" s="30" t="s">
        <v>405</v>
      </c>
      <c r="H1174" s="37" t="s">
        <v>1095</v>
      </c>
      <c r="I1174" s="37"/>
      <c r="J1174" s="37" t="s">
        <v>1096</v>
      </c>
      <c r="K1174" s="32">
        <v>0</v>
      </c>
      <c r="L1174" s="32">
        <v>0</v>
      </c>
      <c r="M1174" s="32">
        <v>0</v>
      </c>
      <c r="N1174" s="32">
        <v>0</v>
      </c>
      <c r="O1174" s="33">
        <v>0</v>
      </c>
      <c r="P1174" s="38" t="s">
        <v>1014</v>
      </c>
      <c r="Q1174" s="34" t="str">
        <f>IF(MasterFees[[#This Row],[GST Basis]]="Excl",MasterFees[[#This Row],[Fee as Printed]],IF(MasterFees[[#This Row],[GST Basis]]="Incl",MasterFees[[#This Row],[Fee as Printed]]/(1+GST_Rate),""))</f>
        <v/>
      </c>
      <c r="R1174" s="34" t="str">
        <f>IF(MasterFees[[#This Row],[GST Basis]]="Incl",MasterFees[[#This Row],[Fee as Printed]],IF(MasterFees[[#This Row],[GST Basis]]="Excl",MasterFees[[#This Row],[Fee as Printed]]*(1+GST_Rate),""))</f>
        <v/>
      </c>
      <c r="S1174" s="35" t="str">
        <f>IF(N(MasterFees[[#This Row],[Total Units]])=0,"",MasterFees[[#This Row],[Fee as Printed]]/MasterFees[[#This Row],[Total Units]])</f>
        <v/>
      </c>
      <c r="T1174" s="36"/>
      <c r="U1174" s="39" t="s">
        <v>1012</v>
      </c>
      <c r="V1174" s="39" t="s">
        <v>1500</v>
      </c>
      <c r="W1174" s="30"/>
      <c r="X1174" s="73" t="s">
        <v>3293</v>
      </c>
      <c r="Y1174" s="127" t="str">
        <f>_xlfn.XLOOKUP(MasterFees[[#This Row],[Provider / Payer]],Contracts[Contract Name],Contracts[Contract ID],"No contract")</f>
        <v>CON-01</v>
      </c>
      <c r="Z1174" s="127" t="str">
        <f>_xlfn.XLOOKUP(MasterFees[[#This Row],[Provider / Payer]],Contracts[Contract Name],Contracts[Pricing Basis],"To confirm")</f>
        <v>To confirm</v>
      </c>
      <c r="AA1174" s="127" t="str">
        <f>IF(MasterFees[[#This Row],[Pricing Basis]]="Fixed fee schedule","Yes","No")</f>
        <v>No</v>
      </c>
      <c r="AB1174" s="127" t="str">
        <f>IF(OR(MasterFees[[#This Row],[Fee Basis]]="Add-on",MasterFees[[#This Row],[Fee Basis]]="Time band",MasterFees[[#This Row],[Fee Basis]]="Other"),MasterFees[[#This Row],[Fee Basis]],"Base")</f>
        <v>Base</v>
      </c>
      <c r="AC1174" s="141" t="str">
        <f>IF(MasterFees[[#This Row],[Fixed Fee?]]="Yes",MasterFees[[#This Row],[Fee Excl. GST]],"")</f>
        <v/>
      </c>
    </row>
    <row r="1175" spans="1:29" x14ac:dyDescent="0.2">
      <c r="A1175" s="67" t="s">
        <v>2418</v>
      </c>
      <c r="B1175" s="31">
        <f>IF(MasterFees[[#This Row],[RVG Code]]="","",_xlfn.XLOOKUP(MasterFees[[#This Row],[RVG Code]],RVGCodes[Code],RVGCodes[Base Units],"Code not found"))</f>
        <v>6</v>
      </c>
      <c r="C117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7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Radiology</v>
      </c>
      <c r="E1175" s="125" t="s">
        <v>2724</v>
      </c>
      <c r="F1175" s="48" t="s">
        <v>2565</v>
      </c>
      <c r="G1175" s="30" t="s">
        <v>2419</v>
      </c>
      <c r="H1175" s="37" t="s">
        <v>2630</v>
      </c>
      <c r="I1175" s="37" t="s">
        <v>2418</v>
      </c>
      <c r="J1175" s="37" t="s">
        <v>1096</v>
      </c>
      <c r="K1175" s="32">
        <v>6</v>
      </c>
      <c r="L1175" s="32"/>
      <c r="M1175" s="32"/>
      <c r="N1175" s="32"/>
      <c r="O1175" s="33"/>
      <c r="P1175" s="38"/>
      <c r="Q1175" s="34" t="str">
        <f>IF(MasterFees[[#This Row],[GST Basis]]="Excl",MasterFees[[#This Row],[Fee as Printed]],IF(MasterFees[[#This Row],[GST Basis]]="Incl",MasterFees[[#This Row],[Fee as Printed]]/(1+GST_Rate),""))</f>
        <v/>
      </c>
      <c r="R1175" s="34" t="str">
        <f>IF(MasterFees[[#This Row],[GST Basis]]="Incl",MasterFees[[#This Row],[Fee as Printed]],IF(MasterFees[[#This Row],[GST Basis]]="Excl",MasterFees[[#This Row],[Fee as Printed]]*(1+GST_Rate),""))</f>
        <v/>
      </c>
      <c r="S1175" s="35" t="str">
        <f>IF(N(MasterFees[[#This Row],[Total Units]])=0,"",MasterFees[[#This Row],[Fee as Printed]]/MasterFees[[#This Row],[Total Units]])</f>
        <v/>
      </c>
      <c r="T1175" s="36"/>
      <c r="U1175" s="39" t="s">
        <v>1016</v>
      </c>
      <c r="V1175" s="39" t="s">
        <v>2669</v>
      </c>
      <c r="W1175" s="30" t="s">
        <v>2639</v>
      </c>
      <c r="X1175" s="73" t="s">
        <v>3959</v>
      </c>
      <c r="Y1175" s="127" t="str">
        <f>_xlfn.XLOOKUP(MasterFees[[#This Row],[Provider / Payer]],Contracts[Contract Name],Contracts[Contract ID],"No contract")</f>
        <v>CON-10</v>
      </c>
      <c r="Z1175" s="127" t="str">
        <f>_xlfn.XLOOKUP(MasterFees[[#This Row],[Provider / Payer]],Contracts[Contract Name],Contracts[Pricing Basis],"To confirm")</f>
        <v>Reference – units only</v>
      </c>
      <c r="AA1175" s="127" t="str">
        <f>IF(MasterFees[[#This Row],[Pricing Basis]]="Fixed fee schedule","Yes","No")</f>
        <v>No</v>
      </c>
      <c r="AB1175" s="127" t="str">
        <f>IF(OR(MasterFees[[#This Row],[Fee Basis]]="Add-on",MasterFees[[#This Row],[Fee Basis]]="Time band",MasterFees[[#This Row],[Fee Basis]]="Other"),MasterFees[[#This Row],[Fee Basis]],"Base")</f>
        <v>Base</v>
      </c>
      <c r="AC1175" s="141" t="str">
        <f>IF(MasterFees[[#This Row],[Fixed Fee?]]="Yes",MasterFees[[#This Row],[Fee Excl. GST]],"")</f>
        <v/>
      </c>
    </row>
    <row r="1176" spans="1:29" x14ac:dyDescent="0.2">
      <c r="A1176" s="67" t="s">
        <v>2416</v>
      </c>
      <c r="B1176" s="31">
        <f>IF(MasterFees[[#This Row],[RVG Code]]="","",_xlfn.XLOOKUP(MasterFees[[#This Row],[RVG Code]],RVGCodes[Code],RVGCodes[Base Units],"Code not found"))</f>
        <v>5</v>
      </c>
      <c r="C117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7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Radiology</v>
      </c>
      <c r="E1176" s="125" t="s">
        <v>2613</v>
      </c>
      <c r="F1176" s="48" t="s">
        <v>2569</v>
      </c>
      <c r="G1176" s="30" t="s">
        <v>646</v>
      </c>
      <c r="H1176" s="37" t="s">
        <v>1095</v>
      </c>
      <c r="I1176" s="37"/>
      <c r="J1176" s="37" t="s">
        <v>1096</v>
      </c>
      <c r="K1176" s="32">
        <v>5</v>
      </c>
      <c r="L1176" s="32">
        <v>8.5</v>
      </c>
      <c r="M1176" s="32">
        <v>3</v>
      </c>
      <c r="N1176" s="32">
        <v>16.5</v>
      </c>
      <c r="O1176" s="33">
        <v>907.5</v>
      </c>
      <c r="P1176" s="38" t="s">
        <v>1014</v>
      </c>
      <c r="Q1176" s="34" t="str">
        <f>IF(MasterFees[[#This Row],[GST Basis]]="Excl",MasterFees[[#This Row],[Fee as Printed]],IF(MasterFees[[#This Row],[GST Basis]]="Incl",MasterFees[[#This Row],[Fee as Printed]]/(1+GST_Rate),""))</f>
        <v/>
      </c>
      <c r="R1176" s="34" t="str">
        <f>IF(MasterFees[[#This Row],[GST Basis]]="Incl",MasterFees[[#This Row],[Fee as Printed]],IF(MasterFees[[#This Row],[GST Basis]]="Excl",MasterFees[[#This Row],[Fee as Printed]]*(1+GST_Rate),""))</f>
        <v/>
      </c>
      <c r="S1176" s="35">
        <f>IF(N(MasterFees[[#This Row],[Total Units]])=0,"",MasterFees[[#This Row],[Fee as Printed]]/MasterFees[[#This Row],[Total Units]])</f>
        <v>55</v>
      </c>
      <c r="T1176" s="36"/>
      <c r="U1176" s="39" t="s">
        <v>1012</v>
      </c>
      <c r="V1176" s="39" t="s">
        <v>1743</v>
      </c>
      <c r="W1176" s="30"/>
      <c r="X1176" s="73" t="s">
        <v>3542</v>
      </c>
      <c r="Y1176" s="127" t="str">
        <f>_xlfn.XLOOKUP(MasterFees[[#This Row],[Provider / Payer]],Contracts[Contract Name],Contracts[Contract ID],"No contract")</f>
        <v>CON-01</v>
      </c>
      <c r="Z1176" s="127" t="str">
        <f>_xlfn.XLOOKUP(MasterFees[[#This Row],[Provider / Payer]],Contracts[Contract Name],Contracts[Pricing Basis],"To confirm")</f>
        <v>To confirm</v>
      </c>
      <c r="AA1176" s="127" t="str">
        <f>IF(MasterFees[[#This Row],[Pricing Basis]]="Fixed fee schedule","Yes","No")</f>
        <v>No</v>
      </c>
      <c r="AB1176" s="127" t="str">
        <f>IF(OR(MasterFees[[#This Row],[Fee Basis]]="Add-on",MasterFees[[#This Row],[Fee Basis]]="Time band",MasterFees[[#This Row],[Fee Basis]]="Other"),MasterFees[[#This Row],[Fee Basis]],"Base")</f>
        <v>Base</v>
      </c>
      <c r="AC1176" s="141" t="str">
        <f>IF(MasterFees[[#This Row],[Fixed Fee?]]="Yes",MasterFees[[#This Row],[Fee Excl. GST]],"")</f>
        <v/>
      </c>
    </row>
    <row r="1177" spans="1:29" x14ac:dyDescent="0.2">
      <c r="A1177" s="67" t="s">
        <v>2416</v>
      </c>
      <c r="B1177" s="31">
        <f>IF(MasterFees[[#This Row],[RVG Code]]="","",_xlfn.XLOOKUP(MasterFees[[#This Row],[RVG Code]],RVGCodes[Code],RVGCodes[Base Units],"Code not found"))</f>
        <v>5</v>
      </c>
      <c r="C117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7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Radiology</v>
      </c>
      <c r="E1177" s="125" t="s">
        <v>2613</v>
      </c>
      <c r="F1177" s="48" t="s">
        <v>2569</v>
      </c>
      <c r="G1177" s="30" t="s">
        <v>647</v>
      </c>
      <c r="H1177" s="37" t="s">
        <v>1095</v>
      </c>
      <c r="I1177" s="37"/>
      <c r="J1177" s="37" t="s">
        <v>1096</v>
      </c>
      <c r="K1177" s="32">
        <v>5</v>
      </c>
      <c r="L1177" s="32">
        <v>6</v>
      </c>
      <c r="M1177" s="32">
        <v>5</v>
      </c>
      <c r="N1177" s="32">
        <v>16</v>
      </c>
      <c r="O1177" s="33">
        <v>880</v>
      </c>
      <c r="P1177" s="38" t="s">
        <v>1014</v>
      </c>
      <c r="Q1177" s="34" t="str">
        <f>IF(MasterFees[[#This Row],[GST Basis]]="Excl",MasterFees[[#This Row],[Fee as Printed]],IF(MasterFees[[#This Row],[GST Basis]]="Incl",MasterFees[[#This Row],[Fee as Printed]]/(1+GST_Rate),""))</f>
        <v/>
      </c>
      <c r="R1177" s="34" t="str">
        <f>IF(MasterFees[[#This Row],[GST Basis]]="Incl",MasterFees[[#This Row],[Fee as Printed]],IF(MasterFees[[#This Row],[GST Basis]]="Excl",MasterFees[[#This Row],[Fee as Printed]]*(1+GST_Rate),""))</f>
        <v/>
      </c>
      <c r="S1177" s="35">
        <f>IF(N(MasterFees[[#This Row],[Total Units]])=0,"",MasterFees[[#This Row],[Fee as Printed]]/MasterFees[[#This Row],[Total Units]])</f>
        <v>55</v>
      </c>
      <c r="T1177" s="36"/>
      <c r="U1177" s="39" t="s">
        <v>1012</v>
      </c>
      <c r="V1177" s="39" t="s">
        <v>1744</v>
      </c>
      <c r="W1177" s="30"/>
      <c r="X1177" s="73" t="s">
        <v>3543</v>
      </c>
      <c r="Y1177" s="127" t="str">
        <f>_xlfn.XLOOKUP(MasterFees[[#This Row],[Provider / Payer]],Contracts[Contract Name],Contracts[Contract ID],"No contract")</f>
        <v>CON-01</v>
      </c>
      <c r="Z1177" s="127" t="str">
        <f>_xlfn.XLOOKUP(MasterFees[[#This Row],[Provider / Payer]],Contracts[Contract Name],Contracts[Pricing Basis],"To confirm")</f>
        <v>To confirm</v>
      </c>
      <c r="AA1177" s="127" t="str">
        <f>IF(MasterFees[[#This Row],[Pricing Basis]]="Fixed fee schedule","Yes","No")</f>
        <v>No</v>
      </c>
      <c r="AB1177" s="127" t="str">
        <f>IF(OR(MasterFees[[#This Row],[Fee Basis]]="Add-on",MasterFees[[#This Row],[Fee Basis]]="Time band",MasterFees[[#This Row],[Fee Basis]]="Other"),MasterFees[[#This Row],[Fee Basis]],"Base")</f>
        <v>Base</v>
      </c>
      <c r="AC1177" s="141" t="str">
        <f>IF(MasterFees[[#This Row],[Fixed Fee?]]="Yes",MasterFees[[#This Row],[Fee Excl. GST]],"")</f>
        <v/>
      </c>
    </row>
    <row r="1178" spans="1:29" x14ac:dyDescent="0.2">
      <c r="A1178" s="67" t="s">
        <v>2420</v>
      </c>
      <c r="B1178" s="31">
        <f>IF(MasterFees[[#This Row],[RVG Code]]="","",_xlfn.XLOOKUP(MasterFees[[#This Row],[RVG Code]],RVGCodes[Code],RVGCodes[Base Units],"Code not found"))</f>
        <v>10</v>
      </c>
      <c r="C117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11 - Anaesthesia in Remote Locations</v>
      </c>
      <c r="D117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Radiology</v>
      </c>
      <c r="E1178" s="125" t="s">
        <v>2725</v>
      </c>
      <c r="F1178" s="48" t="s">
        <v>2565</v>
      </c>
      <c r="G1178" s="30" t="s">
        <v>2421</v>
      </c>
      <c r="H1178" s="37" t="s">
        <v>2630</v>
      </c>
      <c r="I1178" s="37" t="s">
        <v>2420</v>
      </c>
      <c r="J1178" s="37" t="s">
        <v>1096</v>
      </c>
      <c r="K1178" s="32">
        <v>10</v>
      </c>
      <c r="L1178" s="32"/>
      <c r="M1178" s="32"/>
      <c r="N1178" s="32">
        <v>10</v>
      </c>
      <c r="O1178" s="33"/>
      <c r="P1178" s="38"/>
      <c r="Q1178" s="34" t="str">
        <f>IF(MasterFees[[#This Row],[GST Basis]]="Excl",MasterFees[[#This Row],[Fee as Printed]],IF(MasterFees[[#This Row],[GST Basis]]="Incl",MasterFees[[#This Row],[Fee as Printed]]/(1+GST_Rate),""))</f>
        <v/>
      </c>
      <c r="R1178" s="34" t="str">
        <f>IF(MasterFees[[#This Row],[GST Basis]]="Incl",MasterFees[[#This Row],[Fee as Printed]],IF(MasterFees[[#This Row],[GST Basis]]="Excl",MasterFees[[#This Row],[Fee as Printed]]*(1+GST_Rate),""))</f>
        <v/>
      </c>
      <c r="S1178" s="35">
        <f>IF(N(MasterFees[[#This Row],[Total Units]])=0,"",MasterFees[[#This Row],[Fee as Printed]]/MasterFees[[#This Row],[Total Units]])</f>
        <v>0</v>
      </c>
      <c r="T1178" s="36"/>
      <c r="U1178" s="39" t="s">
        <v>1016</v>
      </c>
      <c r="V1178" s="39" t="s">
        <v>2669</v>
      </c>
      <c r="W1178" s="30" t="s">
        <v>2632</v>
      </c>
      <c r="X1178" s="73" t="s">
        <v>3960</v>
      </c>
      <c r="Y1178" s="127" t="str">
        <f>_xlfn.XLOOKUP(MasterFees[[#This Row],[Provider / Payer]],Contracts[Contract Name],Contracts[Contract ID],"No contract")</f>
        <v>CON-10</v>
      </c>
      <c r="Z1178" s="127" t="str">
        <f>_xlfn.XLOOKUP(MasterFees[[#This Row],[Provider / Payer]],Contracts[Contract Name],Contracts[Pricing Basis],"To confirm")</f>
        <v>Reference – units only</v>
      </c>
      <c r="AA1178" s="127" t="str">
        <f>IF(MasterFees[[#This Row],[Pricing Basis]]="Fixed fee schedule","Yes","No")</f>
        <v>No</v>
      </c>
      <c r="AB1178" s="127" t="str">
        <f>IF(OR(MasterFees[[#This Row],[Fee Basis]]="Add-on",MasterFees[[#This Row],[Fee Basis]]="Time band",MasterFees[[#This Row],[Fee Basis]]="Other"),MasterFees[[#This Row],[Fee Basis]],"Base")</f>
        <v>Base</v>
      </c>
      <c r="AC1178" s="141" t="str">
        <f>IF(MasterFees[[#This Row],[Fixed Fee?]]="Yes",MasterFees[[#This Row],[Fee Excl. GST]],"")</f>
        <v/>
      </c>
    </row>
    <row r="1179" spans="1:29" x14ac:dyDescent="0.2">
      <c r="A1179" s="67" t="s">
        <v>2439</v>
      </c>
      <c r="B1179" s="31">
        <f>IF(MasterFees[[#This Row],[RVG Code]]="","",_xlfn.XLOOKUP(MasterFees[[#This Row],[RVG Code]],RVGCodes[Code],RVGCodes[Base Units],"Code not found"))</f>
        <v>8</v>
      </c>
      <c r="C117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12 - Pain Consultations and Procedures</v>
      </c>
      <c r="D117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Consultation</v>
      </c>
      <c r="E1179" s="125" t="s">
        <v>2734</v>
      </c>
      <c r="F1179" s="48" t="s">
        <v>2565</v>
      </c>
      <c r="G1179" s="30" t="s">
        <v>2440</v>
      </c>
      <c r="H1179" s="37" t="s">
        <v>2630</v>
      </c>
      <c r="I1179" s="37" t="s">
        <v>2439</v>
      </c>
      <c r="J1179" s="37" t="s">
        <v>1096</v>
      </c>
      <c r="K1179" s="32">
        <v>8</v>
      </c>
      <c r="L1179" s="32"/>
      <c r="M1179" s="32"/>
      <c r="N1179" s="32"/>
      <c r="O1179" s="33"/>
      <c r="P1179" s="38"/>
      <c r="Q1179" s="34" t="str">
        <f>IF(MasterFees[[#This Row],[GST Basis]]="Excl",MasterFees[[#This Row],[Fee as Printed]],IF(MasterFees[[#This Row],[GST Basis]]="Incl",MasterFees[[#This Row],[Fee as Printed]]/(1+GST_Rate),""))</f>
        <v/>
      </c>
      <c r="R1179" s="34" t="str">
        <f>IF(MasterFees[[#This Row],[GST Basis]]="Incl",MasterFees[[#This Row],[Fee as Printed]],IF(MasterFees[[#This Row],[GST Basis]]="Excl",MasterFees[[#This Row],[Fee as Printed]]*(1+GST_Rate),""))</f>
        <v/>
      </c>
      <c r="S1179" s="35" t="str">
        <f>IF(N(MasterFees[[#This Row],[Total Units]])=0,"",MasterFees[[#This Row],[Fee as Printed]]/MasterFees[[#This Row],[Total Units]])</f>
        <v/>
      </c>
      <c r="T1179" s="36"/>
      <c r="U1179" s="39" t="s">
        <v>1016</v>
      </c>
      <c r="V1179" s="39" t="s">
        <v>2730</v>
      </c>
      <c r="W1179" s="30" t="s">
        <v>2735</v>
      </c>
      <c r="X1179" s="73" t="s">
        <v>3965</v>
      </c>
      <c r="Y1179" s="127" t="str">
        <f>_xlfn.XLOOKUP(MasterFees[[#This Row],[Provider / Payer]],Contracts[Contract Name],Contracts[Contract ID],"No contract")</f>
        <v>CON-10</v>
      </c>
      <c r="Z1179" s="127" t="str">
        <f>_xlfn.XLOOKUP(MasterFees[[#This Row],[Provider / Payer]],Contracts[Contract Name],Contracts[Pricing Basis],"To confirm")</f>
        <v>Reference – units only</v>
      </c>
      <c r="AA1179" s="127" t="str">
        <f>IF(MasterFees[[#This Row],[Pricing Basis]]="Fixed fee schedule","Yes","No")</f>
        <v>No</v>
      </c>
      <c r="AB1179" s="127" t="str">
        <f>IF(OR(MasterFees[[#This Row],[Fee Basis]]="Add-on",MasterFees[[#This Row],[Fee Basis]]="Time band",MasterFees[[#This Row],[Fee Basis]]="Other"),MasterFees[[#This Row],[Fee Basis]],"Base")</f>
        <v>Base</v>
      </c>
      <c r="AC1179" s="141" t="str">
        <f>IF(MasterFees[[#This Row],[Fixed Fee?]]="Yes",MasterFees[[#This Row],[Fee Excl. GST]],"")</f>
        <v/>
      </c>
    </row>
    <row r="1180" spans="1:29" x14ac:dyDescent="0.2">
      <c r="A1180" s="67" t="s">
        <v>2433</v>
      </c>
      <c r="B1180" s="31">
        <f>IF(MasterFees[[#This Row],[RVG Code]]="","",_xlfn.XLOOKUP(MasterFees[[#This Row],[RVG Code]],RVGCodes[Code],RVGCodes[Base Units],"Code not found"))</f>
        <v>4</v>
      </c>
      <c r="C118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12 - Pain Consultations and Procedures</v>
      </c>
      <c r="D118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Consultation</v>
      </c>
      <c r="E1180" s="125" t="s">
        <v>2729</v>
      </c>
      <c r="F1180" s="48" t="s">
        <v>2565</v>
      </c>
      <c r="G1180" s="30" t="s">
        <v>2434</v>
      </c>
      <c r="H1180" s="37" t="s">
        <v>2630</v>
      </c>
      <c r="I1180" s="37" t="s">
        <v>2433</v>
      </c>
      <c r="J1180" s="37" t="s">
        <v>1096</v>
      </c>
      <c r="K1180" s="32">
        <v>4</v>
      </c>
      <c r="L1180" s="32"/>
      <c r="M1180" s="32"/>
      <c r="N1180" s="32"/>
      <c r="O1180" s="33"/>
      <c r="P1180" s="38"/>
      <c r="Q1180" s="34" t="str">
        <f>IF(MasterFees[[#This Row],[GST Basis]]="Excl",MasterFees[[#This Row],[Fee as Printed]],IF(MasterFees[[#This Row],[GST Basis]]="Incl",MasterFees[[#This Row],[Fee as Printed]]/(1+GST_Rate),""))</f>
        <v/>
      </c>
      <c r="R1180" s="34" t="str">
        <f>IF(MasterFees[[#This Row],[GST Basis]]="Incl",MasterFees[[#This Row],[Fee as Printed]],IF(MasterFees[[#This Row],[GST Basis]]="Excl",MasterFees[[#This Row],[Fee as Printed]]*(1+GST_Rate),""))</f>
        <v/>
      </c>
      <c r="S1180" s="35" t="str">
        <f>IF(N(MasterFees[[#This Row],[Total Units]])=0,"",MasterFees[[#This Row],[Fee as Printed]]/MasterFees[[#This Row],[Total Units]])</f>
        <v/>
      </c>
      <c r="T1180" s="36"/>
      <c r="U1180" s="39" t="s">
        <v>1016</v>
      </c>
      <c r="V1180" s="39" t="s">
        <v>2730</v>
      </c>
      <c r="W1180" s="30" t="s">
        <v>2731</v>
      </c>
      <c r="X1180" s="73" t="s">
        <v>3963</v>
      </c>
      <c r="Y1180" s="127" t="str">
        <f>_xlfn.XLOOKUP(MasterFees[[#This Row],[Provider / Payer]],Contracts[Contract Name],Contracts[Contract ID],"No contract")</f>
        <v>CON-10</v>
      </c>
      <c r="Z1180" s="127" t="str">
        <f>_xlfn.XLOOKUP(MasterFees[[#This Row],[Provider / Payer]],Contracts[Contract Name],Contracts[Pricing Basis],"To confirm")</f>
        <v>Reference – units only</v>
      </c>
      <c r="AA1180" s="127" t="str">
        <f>IF(MasterFees[[#This Row],[Pricing Basis]]="Fixed fee schedule","Yes","No")</f>
        <v>No</v>
      </c>
      <c r="AB1180" s="127" t="str">
        <f>IF(OR(MasterFees[[#This Row],[Fee Basis]]="Add-on",MasterFees[[#This Row],[Fee Basis]]="Time band",MasterFees[[#This Row],[Fee Basis]]="Other"),MasterFees[[#This Row],[Fee Basis]],"Base")</f>
        <v>Base</v>
      </c>
      <c r="AC1180" s="141" t="str">
        <f>IF(MasterFees[[#This Row],[Fixed Fee?]]="Yes",MasterFees[[#This Row],[Fee Excl. GST]],"")</f>
        <v/>
      </c>
    </row>
    <row r="1181" spans="1:29" x14ac:dyDescent="0.2">
      <c r="A1181" s="67" t="s">
        <v>2436</v>
      </c>
      <c r="B1181" s="31">
        <f>IF(MasterFees[[#This Row],[RVG Code]]="","",_xlfn.XLOOKUP(MasterFees[[#This Row],[RVG Code]],RVGCodes[Code],RVGCodes[Base Units],"Code not found"))</f>
        <v>6</v>
      </c>
      <c r="C118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12 - Pain Consultations and Procedures</v>
      </c>
      <c r="D118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Consultation</v>
      </c>
      <c r="E1181" s="125" t="s">
        <v>2732</v>
      </c>
      <c r="F1181" s="48" t="s">
        <v>2565</v>
      </c>
      <c r="G1181" s="30" t="s">
        <v>2437</v>
      </c>
      <c r="H1181" s="37" t="s">
        <v>2630</v>
      </c>
      <c r="I1181" s="37" t="s">
        <v>2436</v>
      </c>
      <c r="J1181" s="37" t="s">
        <v>1096</v>
      </c>
      <c r="K1181" s="32">
        <v>6</v>
      </c>
      <c r="L1181" s="32"/>
      <c r="M1181" s="32"/>
      <c r="N1181" s="32"/>
      <c r="O1181" s="33"/>
      <c r="P1181" s="38"/>
      <c r="Q1181" s="34" t="str">
        <f>IF(MasterFees[[#This Row],[GST Basis]]="Excl",MasterFees[[#This Row],[Fee as Printed]],IF(MasterFees[[#This Row],[GST Basis]]="Incl",MasterFees[[#This Row],[Fee as Printed]]/(1+GST_Rate),""))</f>
        <v/>
      </c>
      <c r="R1181" s="34" t="str">
        <f>IF(MasterFees[[#This Row],[GST Basis]]="Incl",MasterFees[[#This Row],[Fee as Printed]],IF(MasterFees[[#This Row],[GST Basis]]="Excl",MasterFees[[#This Row],[Fee as Printed]]*(1+GST_Rate),""))</f>
        <v/>
      </c>
      <c r="S1181" s="35" t="str">
        <f>IF(N(MasterFees[[#This Row],[Total Units]])=0,"",MasterFees[[#This Row],[Fee as Printed]]/MasterFees[[#This Row],[Total Units]])</f>
        <v/>
      </c>
      <c r="T1181" s="36"/>
      <c r="U1181" s="39" t="s">
        <v>1016</v>
      </c>
      <c r="V1181" s="39" t="s">
        <v>2730</v>
      </c>
      <c r="W1181" s="30" t="s">
        <v>2733</v>
      </c>
      <c r="X1181" s="73" t="s">
        <v>3964</v>
      </c>
      <c r="Y1181" s="127" t="str">
        <f>_xlfn.XLOOKUP(MasterFees[[#This Row],[Provider / Payer]],Contracts[Contract Name],Contracts[Contract ID],"No contract")</f>
        <v>CON-10</v>
      </c>
      <c r="Z1181" s="127" t="str">
        <f>_xlfn.XLOOKUP(MasterFees[[#This Row],[Provider / Payer]],Contracts[Contract Name],Contracts[Pricing Basis],"To confirm")</f>
        <v>Reference – units only</v>
      </c>
      <c r="AA1181" s="127" t="str">
        <f>IF(MasterFees[[#This Row],[Pricing Basis]]="Fixed fee schedule","Yes","No")</f>
        <v>No</v>
      </c>
      <c r="AB1181" s="127" t="str">
        <f>IF(OR(MasterFees[[#This Row],[Fee Basis]]="Add-on",MasterFees[[#This Row],[Fee Basis]]="Time band",MasterFees[[#This Row],[Fee Basis]]="Other"),MasterFees[[#This Row],[Fee Basis]],"Base")</f>
        <v>Base</v>
      </c>
      <c r="AC1181" s="141" t="str">
        <f>IF(MasterFees[[#This Row],[Fixed Fee?]]="Yes",MasterFees[[#This Row],[Fee Excl. GST]],"")</f>
        <v/>
      </c>
    </row>
    <row r="1182" spans="1:29" x14ac:dyDescent="0.2">
      <c r="A1182" s="67" t="s">
        <v>2446</v>
      </c>
      <c r="B1182" s="31">
        <f>IF(MasterFees[[#This Row],[RVG Code]]="","",_xlfn.XLOOKUP(MasterFees[[#This Row],[RVG Code]],RVGCodes[Code],RVGCodes[Base Units],"Code not found"))</f>
        <v>6</v>
      </c>
      <c r="C118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12 - Pain Consultations and Procedures</v>
      </c>
      <c r="D118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Procedures</v>
      </c>
      <c r="E1182" s="125" t="s">
        <v>2739</v>
      </c>
      <c r="F1182" s="48" t="s">
        <v>2565</v>
      </c>
      <c r="G1182" s="30" t="s">
        <v>2447</v>
      </c>
      <c r="H1182" s="37" t="s">
        <v>2630</v>
      </c>
      <c r="I1182" s="37" t="s">
        <v>2446</v>
      </c>
      <c r="J1182" s="37" t="s">
        <v>1096</v>
      </c>
      <c r="K1182" s="32">
        <v>6</v>
      </c>
      <c r="L1182" s="32"/>
      <c r="M1182" s="32"/>
      <c r="N1182" s="32"/>
      <c r="O1182" s="33"/>
      <c r="P1182" s="38"/>
      <c r="Q1182" s="34" t="str">
        <f>IF(MasterFees[[#This Row],[GST Basis]]="Excl",MasterFees[[#This Row],[Fee as Printed]],IF(MasterFees[[#This Row],[GST Basis]]="Incl",MasterFees[[#This Row],[Fee as Printed]]/(1+GST_Rate),""))</f>
        <v/>
      </c>
      <c r="R1182" s="34" t="str">
        <f>IF(MasterFees[[#This Row],[GST Basis]]="Incl",MasterFees[[#This Row],[Fee as Printed]],IF(MasterFees[[#This Row],[GST Basis]]="Excl",MasterFees[[#This Row],[Fee as Printed]]*(1+GST_Rate),""))</f>
        <v/>
      </c>
      <c r="S1182" s="35" t="str">
        <f>IF(N(MasterFees[[#This Row],[Total Units]])=0,"",MasterFees[[#This Row],[Fee as Printed]]/MasterFees[[#This Row],[Total Units]])</f>
        <v/>
      </c>
      <c r="T1182" s="36"/>
      <c r="U1182" s="39" t="s">
        <v>1016</v>
      </c>
      <c r="V1182" s="39" t="s">
        <v>2737</v>
      </c>
      <c r="W1182" s="30" t="s">
        <v>2740</v>
      </c>
      <c r="X1182" s="73" t="s">
        <v>3967</v>
      </c>
      <c r="Y1182" s="127" t="str">
        <f>_xlfn.XLOOKUP(MasterFees[[#This Row],[Provider / Payer]],Contracts[Contract Name],Contracts[Contract ID],"No contract")</f>
        <v>CON-10</v>
      </c>
      <c r="Z1182" s="127" t="str">
        <f>_xlfn.XLOOKUP(MasterFees[[#This Row],[Provider / Payer]],Contracts[Contract Name],Contracts[Pricing Basis],"To confirm")</f>
        <v>Reference – units only</v>
      </c>
      <c r="AA1182" s="127" t="str">
        <f>IF(MasterFees[[#This Row],[Pricing Basis]]="Fixed fee schedule","Yes","No")</f>
        <v>No</v>
      </c>
      <c r="AB1182" s="127" t="str">
        <f>IF(OR(MasterFees[[#This Row],[Fee Basis]]="Add-on",MasterFees[[#This Row],[Fee Basis]]="Time band",MasterFees[[#This Row],[Fee Basis]]="Other"),MasterFees[[#This Row],[Fee Basis]],"Base")</f>
        <v>Base</v>
      </c>
      <c r="AC1182" s="141" t="str">
        <f>IF(MasterFees[[#This Row],[Fixed Fee?]]="Yes",MasterFees[[#This Row],[Fee Excl. GST]],"")</f>
        <v/>
      </c>
    </row>
    <row r="1183" spans="1:29" x14ac:dyDescent="0.2">
      <c r="A1183" s="67" t="s">
        <v>2448</v>
      </c>
      <c r="B1183" s="31">
        <f>IF(MasterFees[[#This Row],[RVG Code]]="","",_xlfn.XLOOKUP(MasterFees[[#This Row],[RVG Code]],RVGCodes[Code],RVGCodes[Base Units],"Code not found"))</f>
        <v>8</v>
      </c>
      <c r="C118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12 - Pain Consultations and Procedures</v>
      </c>
      <c r="D118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Procedures</v>
      </c>
      <c r="E1183" s="125" t="s">
        <v>2741</v>
      </c>
      <c r="F1183" s="48" t="s">
        <v>2565</v>
      </c>
      <c r="G1183" s="30" t="s">
        <v>2449</v>
      </c>
      <c r="H1183" s="37" t="s">
        <v>2630</v>
      </c>
      <c r="I1183" s="37" t="s">
        <v>2448</v>
      </c>
      <c r="J1183" s="37" t="s">
        <v>1096</v>
      </c>
      <c r="K1183" s="32">
        <v>8</v>
      </c>
      <c r="L1183" s="32"/>
      <c r="M1183" s="32"/>
      <c r="N1183" s="32"/>
      <c r="O1183" s="33"/>
      <c r="P1183" s="38"/>
      <c r="Q1183" s="34" t="str">
        <f>IF(MasterFees[[#This Row],[GST Basis]]="Excl",MasterFees[[#This Row],[Fee as Printed]],IF(MasterFees[[#This Row],[GST Basis]]="Incl",MasterFees[[#This Row],[Fee as Printed]]/(1+GST_Rate),""))</f>
        <v/>
      </c>
      <c r="R1183" s="34" t="str">
        <f>IF(MasterFees[[#This Row],[GST Basis]]="Incl",MasterFees[[#This Row],[Fee as Printed]],IF(MasterFees[[#This Row],[GST Basis]]="Excl",MasterFees[[#This Row],[Fee as Printed]]*(1+GST_Rate),""))</f>
        <v/>
      </c>
      <c r="S1183" s="35" t="str">
        <f>IF(N(MasterFees[[#This Row],[Total Units]])=0,"",MasterFees[[#This Row],[Fee as Printed]]/MasterFees[[#This Row],[Total Units]])</f>
        <v/>
      </c>
      <c r="T1183" s="36"/>
      <c r="U1183" s="39" t="s">
        <v>1016</v>
      </c>
      <c r="V1183" s="39" t="s">
        <v>2737</v>
      </c>
      <c r="W1183" s="30" t="s">
        <v>2742</v>
      </c>
      <c r="X1183" s="73" t="s">
        <v>3968</v>
      </c>
      <c r="Y1183" s="127" t="str">
        <f>_xlfn.XLOOKUP(MasterFees[[#This Row],[Provider / Payer]],Contracts[Contract Name],Contracts[Contract ID],"No contract")</f>
        <v>CON-10</v>
      </c>
      <c r="Z1183" s="127" t="str">
        <f>_xlfn.XLOOKUP(MasterFees[[#This Row],[Provider / Payer]],Contracts[Contract Name],Contracts[Pricing Basis],"To confirm")</f>
        <v>Reference – units only</v>
      </c>
      <c r="AA1183" s="127" t="str">
        <f>IF(MasterFees[[#This Row],[Pricing Basis]]="Fixed fee schedule","Yes","No")</f>
        <v>No</v>
      </c>
      <c r="AB1183" s="127" t="str">
        <f>IF(OR(MasterFees[[#This Row],[Fee Basis]]="Add-on",MasterFees[[#This Row],[Fee Basis]]="Time band",MasterFees[[#This Row],[Fee Basis]]="Other"),MasterFees[[#This Row],[Fee Basis]],"Base")</f>
        <v>Base</v>
      </c>
      <c r="AC1183" s="141" t="str">
        <f>IF(MasterFees[[#This Row],[Fixed Fee?]]="Yes",MasterFees[[#This Row],[Fee Excl. GST]],"")</f>
        <v/>
      </c>
    </row>
    <row r="1184" spans="1:29" x14ac:dyDescent="0.2">
      <c r="A1184" s="67" t="s">
        <v>2443</v>
      </c>
      <c r="B1184" s="31">
        <f>IF(MasterFees[[#This Row],[RVG Code]]="","",_xlfn.XLOOKUP(MasterFees[[#This Row],[RVG Code]],RVGCodes[Code],RVGCodes[Base Units],"Code not found"))</f>
        <v>4</v>
      </c>
      <c r="C118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12 - Pain Consultations and Procedures</v>
      </c>
      <c r="D118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Procedures</v>
      </c>
      <c r="E1184" s="125" t="s">
        <v>2736</v>
      </c>
      <c r="F1184" s="48" t="s">
        <v>2565</v>
      </c>
      <c r="G1184" s="30" t="s">
        <v>2444</v>
      </c>
      <c r="H1184" s="37" t="s">
        <v>2630</v>
      </c>
      <c r="I1184" s="37" t="s">
        <v>2443</v>
      </c>
      <c r="J1184" s="37" t="s">
        <v>1096</v>
      </c>
      <c r="K1184" s="32">
        <v>4</v>
      </c>
      <c r="L1184" s="32"/>
      <c r="M1184" s="32"/>
      <c r="N1184" s="32"/>
      <c r="O1184" s="33"/>
      <c r="P1184" s="38"/>
      <c r="Q1184" s="34" t="str">
        <f>IF(MasterFees[[#This Row],[GST Basis]]="Excl",MasterFees[[#This Row],[Fee as Printed]],IF(MasterFees[[#This Row],[GST Basis]]="Incl",MasterFees[[#This Row],[Fee as Printed]]/(1+GST_Rate),""))</f>
        <v/>
      </c>
      <c r="R1184" s="34" t="str">
        <f>IF(MasterFees[[#This Row],[GST Basis]]="Incl",MasterFees[[#This Row],[Fee as Printed]],IF(MasterFees[[#This Row],[GST Basis]]="Excl",MasterFees[[#This Row],[Fee as Printed]]*(1+GST_Rate),""))</f>
        <v/>
      </c>
      <c r="S1184" s="35" t="str">
        <f>IF(N(MasterFees[[#This Row],[Total Units]])=0,"",MasterFees[[#This Row],[Fee as Printed]]/MasterFees[[#This Row],[Total Units]])</f>
        <v/>
      </c>
      <c r="T1184" s="36"/>
      <c r="U1184" s="39" t="s">
        <v>1016</v>
      </c>
      <c r="V1184" s="39" t="s">
        <v>2737</v>
      </c>
      <c r="W1184" s="30" t="s">
        <v>2738</v>
      </c>
      <c r="X1184" s="73" t="s">
        <v>3966</v>
      </c>
      <c r="Y1184" s="127" t="str">
        <f>_xlfn.XLOOKUP(MasterFees[[#This Row],[Provider / Payer]],Contracts[Contract Name],Contracts[Contract ID],"No contract")</f>
        <v>CON-10</v>
      </c>
      <c r="Z1184" s="127" t="str">
        <f>_xlfn.XLOOKUP(MasterFees[[#This Row],[Provider / Payer]],Contracts[Contract Name],Contracts[Pricing Basis],"To confirm")</f>
        <v>Reference – units only</v>
      </c>
      <c r="AA1184" s="127" t="str">
        <f>IF(MasterFees[[#This Row],[Pricing Basis]]="Fixed fee schedule","Yes","No")</f>
        <v>No</v>
      </c>
      <c r="AB1184" s="127" t="str">
        <f>IF(OR(MasterFees[[#This Row],[Fee Basis]]="Add-on",MasterFees[[#This Row],[Fee Basis]]="Time band",MasterFees[[#This Row],[Fee Basis]]="Other"),MasterFees[[#This Row],[Fee Basis]],"Base")</f>
        <v>Base</v>
      </c>
      <c r="AC1184" s="141" t="str">
        <f>IF(MasterFees[[#This Row],[Fixed Fee?]]="Yes",MasterFees[[#This Row],[Fee Excl. GST]],"")</f>
        <v/>
      </c>
    </row>
    <row r="1185" spans="1:29" x14ac:dyDescent="0.2">
      <c r="A1185" s="67" t="s">
        <v>2555</v>
      </c>
      <c r="B1185" s="31">
        <f>IF(MasterFees[[#This Row],[RVG Code]]="","",_xlfn.XLOOKUP(MasterFees[[#This Row],[RVG Code]],RVGCodes[Code],RVGCodes[Base Units],"Code not found"))</f>
        <v>1</v>
      </c>
      <c r="C118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13 - Billing for time</v>
      </c>
      <c r="D118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185" s="125" t="s">
        <v>2747</v>
      </c>
      <c r="F1185" s="48" t="s">
        <v>2565</v>
      </c>
      <c r="G1185" s="30" t="s">
        <v>2455</v>
      </c>
      <c r="H1185" s="37" t="s">
        <v>2630</v>
      </c>
      <c r="I1185" s="37" t="s">
        <v>2237</v>
      </c>
      <c r="J1185" s="37" t="s">
        <v>2744</v>
      </c>
      <c r="K1185" s="32"/>
      <c r="L1185" s="32">
        <v>1</v>
      </c>
      <c r="M1185" s="32"/>
      <c r="N1185" s="32">
        <v>1</v>
      </c>
      <c r="O1185" s="33"/>
      <c r="P1185" s="38"/>
      <c r="Q1185" s="34" t="str">
        <f>IF(MasterFees[[#This Row],[GST Basis]]="Excl",MasterFees[[#This Row],[Fee as Printed]],IF(MasterFees[[#This Row],[GST Basis]]="Incl",MasterFees[[#This Row],[Fee as Printed]]/(1+GST_Rate),""))</f>
        <v/>
      </c>
      <c r="R1185" s="34" t="str">
        <f>IF(MasterFees[[#This Row],[GST Basis]]="Incl",MasterFees[[#This Row],[Fee as Printed]],IF(MasterFees[[#This Row],[GST Basis]]="Excl",MasterFees[[#This Row],[Fee as Printed]]*(1+GST_Rate),""))</f>
        <v/>
      </c>
      <c r="S1185" s="35">
        <f>IF(N(MasterFees[[#This Row],[Total Units]])=0,"",MasterFees[[#This Row],[Fee as Printed]]/MasterFees[[#This Row],[Total Units]])</f>
        <v>0</v>
      </c>
      <c r="T1185" s="36"/>
      <c r="U1185" s="39" t="s">
        <v>1016</v>
      </c>
      <c r="V1185" s="39" t="s">
        <v>2745</v>
      </c>
      <c r="W1185" s="30" t="s">
        <v>2748</v>
      </c>
      <c r="X1185" s="73" t="s">
        <v>3970</v>
      </c>
      <c r="Y1185" s="127" t="str">
        <f>_xlfn.XLOOKUP(MasterFees[[#This Row],[Provider / Payer]],Contracts[Contract Name],Contracts[Contract ID],"No contract")</f>
        <v>CON-10</v>
      </c>
      <c r="Z1185" s="127" t="str">
        <f>_xlfn.XLOOKUP(MasterFees[[#This Row],[Provider / Payer]],Contracts[Contract Name],Contracts[Pricing Basis],"To confirm")</f>
        <v>Reference – units only</v>
      </c>
      <c r="AA1185" s="127" t="str">
        <f>IF(MasterFees[[#This Row],[Pricing Basis]]="Fixed fee schedule","Yes","No")</f>
        <v>No</v>
      </c>
      <c r="AB1185" s="127" t="str">
        <f>IF(OR(MasterFees[[#This Row],[Fee Basis]]="Add-on",MasterFees[[#This Row],[Fee Basis]]="Time band",MasterFees[[#This Row],[Fee Basis]]="Other"),MasterFees[[#This Row],[Fee Basis]],"Base")</f>
        <v>Time band</v>
      </c>
      <c r="AC1185" s="141" t="str">
        <f>IF(MasterFees[[#This Row],[Fixed Fee?]]="Yes",MasterFees[[#This Row],[Fee Excl. GST]],"")</f>
        <v/>
      </c>
    </row>
    <row r="1186" spans="1:29" x14ac:dyDescent="0.2">
      <c r="A1186" s="67" t="s">
        <v>2553</v>
      </c>
      <c r="B1186" s="31">
        <f>IF(MasterFees[[#This Row],[RVG Code]]="","",_xlfn.XLOOKUP(MasterFees[[#This Row],[RVG Code]],RVGCodes[Code],RVGCodes[Base Units],"Code not found"))</f>
        <v>1</v>
      </c>
      <c r="C118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13 - Billing for time</v>
      </c>
      <c r="D118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186" s="125" t="s">
        <v>2743</v>
      </c>
      <c r="F1186" s="48" t="s">
        <v>2565</v>
      </c>
      <c r="G1186" s="30" t="s">
        <v>2452</v>
      </c>
      <c r="H1186" s="37" t="s">
        <v>2630</v>
      </c>
      <c r="I1186" s="37" t="s">
        <v>2233</v>
      </c>
      <c r="J1186" s="37" t="s">
        <v>2744</v>
      </c>
      <c r="K1186" s="32"/>
      <c r="L1186" s="32">
        <v>1</v>
      </c>
      <c r="M1186" s="32"/>
      <c r="N1186" s="32">
        <v>1</v>
      </c>
      <c r="O1186" s="33"/>
      <c r="P1186" s="38"/>
      <c r="Q1186" s="34" t="str">
        <f>IF(MasterFees[[#This Row],[GST Basis]]="Excl",MasterFees[[#This Row],[Fee as Printed]],IF(MasterFees[[#This Row],[GST Basis]]="Incl",MasterFees[[#This Row],[Fee as Printed]]/(1+GST_Rate),""))</f>
        <v/>
      </c>
      <c r="R1186" s="34" t="str">
        <f>IF(MasterFees[[#This Row],[GST Basis]]="Incl",MasterFees[[#This Row],[Fee as Printed]],IF(MasterFees[[#This Row],[GST Basis]]="Excl",MasterFees[[#This Row],[Fee as Printed]]*(1+GST_Rate),""))</f>
        <v/>
      </c>
      <c r="S1186" s="35">
        <f>IF(N(MasterFees[[#This Row],[Total Units]])=0,"",MasterFees[[#This Row],[Fee as Printed]]/MasterFees[[#This Row],[Total Units]])</f>
        <v>0</v>
      </c>
      <c r="T1186" s="36"/>
      <c r="U1186" s="39" t="s">
        <v>1016</v>
      </c>
      <c r="V1186" s="39" t="s">
        <v>2745</v>
      </c>
      <c r="W1186" s="30" t="s">
        <v>2746</v>
      </c>
      <c r="X1186" s="73" t="s">
        <v>3969</v>
      </c>
      <c r="Y1186" s="127" t="str">
        <f>_xlfn.XLOOKUP(MasterFees[[#This Row],[Provider / Payer]],Contracts[Contract Name],Contracts[Contract ID],"No contract")</f>
        <v>CON-10</v>
      </c>
      <c r="Z1186" s="127" t="str">
        <f>_xlfn.XLOOKUP(MasterFees[[#This Row],[Provider / Payer]],Contracts[Contract Name],Contracts[Pricing Basis],"To confirm")</f>
        <v>Reference – units only</v>
      </c>
      <c r="AA1186" s="127" t="str">
        <f>IF(MasterFees[[#This Row],[Pricing Basis]]="Fixed fee schedule","Yes","No")</f>
        <v>No</v>
      </c>
      <c r="AB1186" s="127" t="str">
        <f>IF(OR(MasterFees[[#This Row],[Fee Basis]]="Add-on",MasterFees[[#This Row],[Fee Basis]]="Time band",MasterFees[[#This Row],[Fee Basis]]="Other"),MasterFees[[#This Row],[Fee Basis]],"Base")</f>
        <v>Time band</v>
      </c>
      <c r="AC1186" s="141" t="str">
        <f>IF(MasterFees[[#This Row],[Fixed Fee?]]="Yes",MasterFees[[#This Row],[Fee Excl. GST]],"")</f>
        <v/>
      </c>
    </row>
    <row r="1187" spans="1:29" x14ac:dyDescent="0.2">
      <c r="A1187" s="67" t="s">
        <v>2557</v>
      </c>
      <c r="B1187" s="31">
        <f>IF(MasterFees[[#This Row],[RVG Code]]="","",_xlfn.XLOOKUP(MasterFees[[#This Row],[RVG Code]],RVGCodes[Code],RVGCodes[Base Units],"Code not found"))</f>
        <v>2</v>
      </c>
      <c r="C118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14 - Billing for modifying factors</v>
      </c>
      <c r="D118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187" s="125" t="s">
        <v>2759</v>
      </c>
      <c r="F1187" s="48" t="s">
        <v>2565</v>
      </c>
      <c r="G1187" s="30" t="s">
        <v>2475</v>
      </c>
      <c r="H1187" s="37" t="s">
        <v>2630</v>
      </c>
      <c r="I1187" s="37" t="s">
        <v>2315</v>
      </c>
      <c r="J1187" s="37" t="s">
        <v>2678</v>
      </c>
      <c r="K1187" s="32"/>
      <c r="L1187" s="32"/>
      <c r="M1187" s="32">
        <v>2</v>
      </c>
      <c r="N1187" s="32">
        <v>2</v>
      </c>
      <c r="O1187" s="33"/>
      <c r="P1187" s="38"/>
      <c r="Q1187" s="34" t="str">
        <f>IF(MasterFees[[#This Row],[GST Basis]]="Excl",MasterFees[[#This Row],[Fee as Printed]],IF(MasterFees[[#This Row],[GST Basis]]="Incl",MasterFees[[#This Row],[Fee as Printed]]/(1+GST_Rate),""))</f>
        <v/>
      </c>
      <c r="R1187" s="34" t="str">
        <f>IF(MasterFees[[#This Row],[GST Basis]]="Incl",MasterFees[[#This Row],[Fee as Printed]],IF(MasterFees[[#This Row],[GST Basis]]="Excl",MasterFees[[#This Row],[Fee as Printed]]*(1+GST_Rate),""))</f>
        <v/>
      </c>
      <c r="S1187" s="35">
        <f>IF(N(MasterFees[[#This Row],[Total Units]])=0,"",MasterFees[[#This Row],[Fee as Printed]]/MasterFees[[#This Row],[Total Units]])</f>
        <v>0</v>
      </c>
      <c r="T1187" s="36"/>
      <c r="U1187" s="39" t="s">
        <v>1016</v>
      </c>
      <c r="V1187" s="39" t="s">
        <v>2750</v>
      </c>
      <c r="W1187" s="30" t="s">
        <v>2760</v>
      </c>
      <c r="X1187" s="73" t="s">
        <v>3977</v>
      </c>
      <c r="Y1187" s="127" t="str">
        <f>_xlfn.XLOOKUP(MasterFees[[#This Row],[Provider / Payer]],Contracts[Contract Name],Contracts[Contract ID],"No contract")</f>
        <v>CON-10</v>
      </c>
      <c r="Z1187" s="127" t="str">
        <f>_xlfn.XLOOKUP(MasterFees[[#This Row],[Provider / Payer]],Contracts[Contract Name],Contracts[Pricing Basis],"To confirm")</f>
        <v>Reference – units only</v>
      </c>
      <c r="AA1187" s="127" t="str">
        <f>IF(MasterFees[[#This Row],[Pricing Basis]]="Fixed fee schedule","Yes","No")</f>
        <v>No</v>
      </c>
      <c r="AB1187" s="127" t="str">
        <f>IF(OR(MasterFees[[#This Row],[Fee Basis]]="Add-on",MasterFees[[#This Row],[Fee Basis]]="Time band",MasterFees[[#This Row],[Fee Basis]]="Other"),MasterFees[[#This Row],[Fee Basis]],"Base")</f>
        <v>Add-on</v>
      </c>
      <c r="AC1187" s="141" t="str">
        <f>IF(MasterFees[[#This Row],[Fixed Fee?]]="Yes",MasterFees[[#This Row],[Fee Excl. GST]],"")</f>
        <v/>
      </c>
    </row>
    <row r="1188" spans="1:29" x14ac:dyDescent="0.2">
      <c r="A1188" s="67" t="s">
        <v>2556</v>
      </c>
      <c r="B1188" s="31">
        <f>IF(MasterFees[[#This Row],[RVG Code]]="","",_xlfn.XLOOKUP(MasterFees[[#This Row],[RVG Code]],RVGCodes[Code],RVGCodes[Base Units],"Code not found"))</f>
        <v>1</v>
      </c>
      <c r="C118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14 - Billing for modifying factors</v>
      </c>
      <c r="D118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188" s="125" t="s">
        <v>2757</v>
      </c>
      <c r="F1188" s="48" t="s">
        <v>2565</v>
      </c>
      <c r="G1188" s="30" t="s">
        <v>2473</v>
      </c>
      <c r="H1188" s="37" t="s">
        <v>2630</v>
      </c>
      <c r="I1188" s="37" t="s">
        <v>2312</v>
      </c>
      <c r="J1188" s="37" t="s">
        <v>2678</v>
      </c>
      <c r="K1188" s="32"/>
      <c r="L1188" s="32"/>
      <c r="M1188" s="32">
        <v>1</v>
      </c>
      <c r="N1188" s="32">
        <v>1</v>
      </c>
      <c r="O1188" s="33"/>
      <c r="P1188" s="38"/>
      <c r="Q1188" s="34" t="str">
        <f>IF(MasterFees[[#This Row],[GST Basis]]="Excl",MasterFees[[#This Row],[Fee as Printed]],IF(MasterFees[[#This Row],[GST Basis]]="Incl",MasterFees[[#This Row],[Fee as Printed]]/(1+GST_Rate),""))</f>
        <v/>
      </c>
      <c r="R1188" s="34" t="str">
        <f>IF(MasterFees[[#This Row],[GST Basis]]="Incl",MasterFees[[#This Row],[Fee as Printed]],IF(MasterFees[[#This Row],[GST Basis]]="Excl",MasterFees[[#This Row],[Fee as Printed]]*(1+GST_Rate),""))</f>
        <v/>
      </c>
      <c r="S1188" s="35">
        <f>IF(N(MasterFees[[#This Row],[Total Units]])=0,"",MasterFees[[#This Row],[Fee as Printed]]/MasterFees[[#This Row],[Total Units]])</f>
        <v>0</v>
      </c>
      <c r="T1188" s="36"/>
      <c r="U1188" s="39" t="s">
        <v>1016</v>
      </c>
      <c r="V1188" s="39" t="s">
        <v>2750</v>
      </c>
      <c r="W1188" s="30" t="s">
        <v>2758</v>
      </c>
      <c r="X1188" s="73" t="s">
        <v>3976</v>
      </c>
      <c r="Y1188" s="127" t="str">
        <f>_xlfn.XLOOKUP(MasterFees[[#This Row],[Provider / Payer]],Contracts[Contract Name],Contracts[Contract ID],"No contract")</f>
        <v>CON-10</v>
      </c>
      <c r="Z1188" s="127" t="str">
        <f>_xlfn.XLOOKUP(MasterFees[[#This Row],[Provider / Payer]],Contracts[Contract Name],Contracts[Pricing Basis],"To confirm")</f>
        <v>Reference – units only</v>
      </c>
      <c r="AA1188" s="127" t="str">
        <f>IF(MasterFees[[#This Row],[Pricing Basis]]="Fixed fee schedule","Yes","No")</f>
        <v>No</v>
      </c>
      <c r="AB1188" s="127" t="str">
        <f>IF(OR(MasterFees[[#This Row],[Fee Basis]]="Add-on",MasterFees[[#This Row],[Fee Basis]]="Time band",MasterFees[[#This Row],[Fee Basis]]="Other"),MasterFees[[#This Row],[Fee Basis]],"Base")</f>
        <v>Add-on</v>
      </c>
      <c r="AC1188" s="141" t="str">
        <f>IF(MasterFees[[#This Row],[Fixed Fee?]]="Yes",MasterFees[[#This Row],[Fee Excl. GST]],"")</f>
        <v/>
      </c>
    </row>
    <row r="1189" spans="1:29" x14ac:dyDescent="0.2">
      <c r="A1189" s="67" t="s">
        <v>2558</v>
      </c>
      <c r="B1189" s="31">
        <f>IF(MasterFees[[#This Row],[RVG Code]]="","",_xlfn.XLOOKUP(MasterFees[[#This Row],[RVG Code]],RVGCodes[Code],RVGCodes[Base Units],"Code not found"))</f>
        <v>2</v>
      </c>
      <c r="C118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14 - Billing for modifying factors</v>
      </c>
      <c r="D118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189" s="125" t="s">
        <v>2770</v>
      </c>
      <c r="F1189" s="48" t="s">
        <v>2565</v>
      </c>
      <c r="G1189" s="30" t="s">
        <v>2497</v>
      </c>
      <c r="H1189" s="37" t="s">
        <v>2630</v>
      </c>
      <c r="I1189" s="37" t="s">
        <v>2347</v>
      </c>
      <c r="J1189" s="37" t="s">
        <v>2678</v>
      </c>
      <c r="K1189" s="32"/>
      <c r="L1189" s="32"/>
      <c r="M1189" s="32">
        <v>2</v>
      </c>
      <c r="N1189" s="32">
        <v>2</v>
      </c>
      <c r="O1189" s="33"/>
      <c r="P1189" s="38"/>
      <c r="Q1189" s="34" t="str">
        <f>IF(MasterFees[[#This Row],[GST Basis]]="Excl",MasterFees[[#This Row],[Fee as Printed]],IF(MasterFees[[#This Row],[GST Basis]]="Incl",MasterFees[[#This Row],[Fee as Printed]]/(1+GST_Rate),""))</f>
        <v/>
      </c>
      <c r="R1189" s="34" t="str">
        <f>IF(MasterFees[[#This Row],[GST Basis]]="Incl",MasterFees[[#This Row],[Fee as Printed]],IF(MasterFees[[#This Row],[GST Basis]]="Excl",MasterFees[[#This Row],[Fee as Printed]]*(1+GST_Rate),""))</f>
        <v/>
      </c>
      <c r="S1189" s="35">
        <f>IF(N(MasterFees[[#This Row],[Total Units]])=0,"",MasterFees[[#This Row],[Fee as Printed]]/MasterFees[[#This Row],[Total Units]])</f>
        <v>0</v>
      </c>
      <c r="T1189" s="36"/>
      <c r="U1189" s="39" t="s">
        <v>1016</v>
      </c>
      <c r="V1189" s="39" t="s">
        <v>2750</v>
      </c>
      <c r="W1189" s="30" t="s">
        <v>2771</v>
      </c>
      <c r="X1189" s="73" t="s">
        <v>3987</v>
      </c>
      <c r="Y1189" s="127" t="str">
        <f>_xlfn.XLOOKUP(MasterFees[[#This Row],[Provider / Payer]],Contracts[Contract Name],Contracts[Contract ID],"No contract")</f>
        <v>CON-10</v>
      </c>
      <c r="Z1189" s="127" t="str">
        <f>_xlfn.XLOOKUP(MasterFees[[#This Row],[Provider / Payer]],Contracts[Contract Name],Contracts[Pricing Basis],"To confirm")</f>
        <v>Reference – units only</v>
      </c>
      <c r="AA1189" s="127" t="str">
        <f>IF(MasterFees[[#This Row],[Pricing Basis]]="Fixed fee schedule","Yes","No")</f>
        <v>No</v>
      </c>
      <c r="AB1189" s="127" t="str">
        <f>IF(OR(MasterFees[[#This Row],[Fee Basis]]="Add-on",MasterFees[[#This Row],[Fee Basis]]="Time band",MasterFees[[#This Row],[Fee Basis]]="Other"),MasterFees[[#This Row],[Fee Basis]],"Base")</f>
        <v>Add-on</v>
      </c>
      <c r="AC1189" s="141" t="str">
        <f>IF(MasterFees[[#This Row],[Fixed Fee?]]="Yes",MasterFees[[#This Row],[Fee Excl. GST]],"")</f>
        <v/>
      </c>
    </row>
    <row r="1190" spans="1:29" x14ac:dyDescent="0.2">
      <c r="A1190" s="67" t="s">
        <v>2477</v>
      </c>
      <c r="B1190" s="31">
        <f>IF(MasterFees[[#This Row],[RVG Code]]="","",_xlfn.XLOOKUP(MasterFees[[#This Row],[RVG Code]],RVGCodes[Code],RVGCodes[Base Units],"Code not found"))</f>
        <v>0</v>
      </c>
      <c r="C119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14 - Billing for modifying factors</v>
      </c>
      <c r="D119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190" s="125" t="s">
        <v>2761</v>
      </c>
      <c r="F1190" s="48" t="s">
        <v>2565</v>
      </c>
      <c r="G1190" s="30" t="s">
        <v>2478</v>
      </c>
      <c r="H1190" s="37" t="s">
        <v>2630</v>
      </c>
      <c r="I1190" s="37" t="s">
        <v>2477</v>
      </c>
      <c r="J1190" s="37" t="s">
        <v>2678</v>
      </c>
      <c r="K1190" s="32"/>
      <c r="L1190" s="32"/>
      <c r="M1190" s="32">
        <v>0</v>
      </c>
      <c r="N1190" s="32">
        <v>0</v>
      </c>
      <c r="O1190" s="33"/>
      <c r="P1190" s="38"/>
      <c r="Q1190" s="34" t="str">
        <f>IF(MasterFees[[#This Row],[GST Basis]]="Excl",MasterFees[[#This Row],[Fee as Printed]],IF(MasterFees[[#This Row],[GST Basis]]="Incl",MasterFees[[#This Row],[Fee as Printed]]/(1+GST_Rate),""))</f>
        <v/>
      </c>
      <c r="R1190" s="34" t="str">
        <f>IF(MasterFees[[#This Row],[GST Basis]]="Incl",MasterFees[[#This Row],[Fee as Printed]],IF(MasterFees[[#This Row],[GST Basis]]="Excl",MasterFees[[#This Row],[Fee as Printed]]*(1+GST_Rate),""))</f>
        <v/>
      </c>
      <c r="S1190" s="35" t="str">
        <f>IF(N(MasterFees[[#This Row],[Total Units]])=0,"",MasterFees[[#This Row],[Fee as Printed]]/MasterFees[[#This Row],[Total Units]])</f>
        <v/>
      </c>
      <c r="T1190" s="36"/>
      <c r="U1190" s="39" t="s">
        <v>1016</v>
      </c>
      <c r="V1190" s="39" t="s">
        <v>2750</v>
      </c>
      <c r="W1190" s="30" t="s">
        <v>2632</v>
      </c>
      <c r="X1190" s="73" t="s">
        <v>3978</v>
      </c>
      <c r="Y1190" s="127" t="str">
        <f>_xlfn.XLOOKUP(MasterFees[[#This Row],[Provider / Payer]],Contracts[Contract Name],Contracts[Contract ID],"No contract")</f>
        <v>CON-10</v>
      </c>
      <c r="Z1190" s="127" t="str">
        <f>_xlfn.XLOOKUP(MasterFees[[#This Row],[Provider / Payer]],Contracts[Contract Name],Contracts[Pricing Basis],"To confirm")</f>
        <v>Reference – units only</v>
      </c>
      <c r="AA1190" s="127" t="str">
        <f>IF(MasterFees[[#This Row],[Pricing Basis]]="Fixed fee schedule","Yes","No")</f>
        <v>No</v>
      </c>
      <c r="AB1190" s="127" t="str">
        <f>IF(OR(MasterFees[[#This Row],[Fee Basis]]="Add-on",MasterFees[[#This Row],[Fee Basis]]="Time band",MasterFees[[#This Row],[Fee Basis]]="Other"),MasterFees[[#This Row],[Fee Basis]],"Base")</f>
        <v>Add-on</v>
      </c>
      <c r="AC1190" s="141" t="str">
        <f>IF(MasterFees[[#This Row],[Fixed Fee?]]="Yes",MasterFees[[#This Row],[Fee Excl. GST]],"")</f>
        <v/>
      </c>
    </row>
    <row r="1191" spans="1:29" x14ac:dyDescent="0.2">
      <c r="A1191" s="67" t="s">
        <v>2480</v>
      </c>
      <c r="B1191" s="31">
        <f>IF(MasterFees[[#This Row],[RVG Code]]="","",_xlfn.XLOOKUP(MasterFees[[#This Row],[RVG Code]],RVGCodes[Code],RVGCodes[Base Units],"Code not found"))</f>
        <v>2</v>
      </c>
      <c r="C119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14 - Billing for modifying factors</v>
      </c>
      <c r="D119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191" s="125" t="s">
        <v>2762</v>
      </c>
      <c r="F1191" s="48" t="s">
        <v>2565</v>
      </c>
      <c r="G1191" s="30" t="s">
        <v>2481</v>
      </c>
      <c r="H1191" s="37" t="s">
        <v>2630</v>
      </c>
      <c r="I1191" s="37" t="s">
        <v>2480</v>
      </c>
      <c r="J1191" s="37" t="s">
        <v>2678</v>
      </c>
      <c r="K1191" s="32"/>
      <c r="L1191" s="32"/>
      <c r="M1191" s="32">
        <v>2</v>
      </c>
      <c r="N1191" s="32">
        <v>2</v>
      </c>
      <c r="O1191" s="33"/>
      <c r="P1191" s="38"/>
      <c r="Q1191" s="34" t="str">
        <f>IF(MasterFees[[#This Row],[GST Basis]]="Excl",MasterFees[[#This Row],[Fee as Printed]],IF(MasterFees[[#This Row],[GST Basis]]="Incl",MasterFees[[#This Row],[Fee as Printed]]/(1+GST_Rate),""))</f>
        <v/>
      </c>
      <c r="R1191" s="34" t="str">
        <f>IF(MasterFees[[#This Row],[GST Basis]]="Incl",MasterFees[[#This Row],[Fee as Printed]],IF(MasterFees[[#This Row],[GST Basis]]="Excl",MasterFees[[#This Row],[Fee as Printed]]*(1+GST_Rate),""))</f>
        <v/>
      </c>
      <c r="S1191" s="35">
        <f>IF(N(MasterFees[[#This Row],[Total Units]])=0,"",MasterFees[[#This Row],[Fee as Printed]]/MasterFees[[#This Row],[Total Units]])</f>
        <v>0</v>
      </c>
      <c r="T1191" s="36"/>
      <c r="U1191" s="39" t="s">
        <v>1016</v>
      </c>
      <c r="V1191" s="39" t="s">
        <v>2750</v>
      </c>
      <c r="W1191" s="30" t="s">
        <v>2632</v>
      </c>
      <c r="X1191" s="73" t="s">
        <v>3979</v>
      </c>
      <c r="Y1191" s="127" t="str">
        <f>_xlfn.XLOOKUP(MasterFees[[#This Row],[Provider / Payer]],Contracts[Contract Name],Contracts[Contract ID],"No contract")</f>
        <v>CON-10</v>
      </c>
      <c r="Z1191" s="127" t="str">
        <f>_xlfn.XLOOKUP(MasterFees[[#This Row],[Provider / Payer]],Contracts[Contract Name],Contracts[Pricing Basis],"To confirm")</f>
        <v>Reference – units only</v>
      </c>
      <c r="AA1191" s="127" t="str">
        <f>IF(MasterFees[[#This Row],[Pricing Basis]]="Fixed fee schedule","Yes","No")</f>
        <v>No</v>
      </c>
      <c r="AB1191" s="127" t="str">
        <f>IF(OR(MasterFees[[#This Row],[Fee Basis]]="Add-on",MasterFees[[#This Row],[Fee Basis]]="Time band",MasterFees[[#This Row],[Fee Basis]]="Other"),MasterFees[[#This Row],[Fee Basis]],"Base")</f>
        <v>Add-on</v>
      </c>
      <c r="AC1191" s="141" t="str">
        <f>IF(MasterFees[[#This Row],[Fixed Fee?]]="Yes",MasterFees[[#This Row],[Fee Excl. GST]],"")</f>
        <v/>
      </c>
    </row>
    <row r="1192" spans="1:29" x14ac:dyDescent="0.2">
      <c r="A1192" s="67" t="s">
        <v>2482</v>
      </c>
      <c r="B1192" s="31">
        <f>IF(MasterFees[[#This Row],[RVG Code]]="","",_xlfn.XLOOKUP(MasterFees[[#This Row],[RVG Code]],RVGCodes[Code],RVGCodes[Base Units],"Code not found"))</f>
        <v>4</v>
      </c>
      <c r="C119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14 - Billing for modifying factors</v>
      </c>
      <c r="D119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192" s="125" t="s">
        <v>2763</v>
      </c>
      <c r="F1192" s="48" t="s">
        <v>2565</v>
      </c>
      <c r="G1192" s="30" t="s">
        <v>2483</v>
      </c>
      <c r="H1192" s="37" t="s">
        <v>2630</v>
      </c>
      <c r="I1192" s="37" t="s">
        <v>2482</v>
      </c>
      <c r="J1192" s="37" t="s">
        <v>2678</v>
      </c>
      <c r="K1192" s="32"/>
      <c r="L1192" s="32"/>
      <c r="M1192" s="32">
        <v>4</v>
      </c>
      <c r="N1192" s="32">
        <v>4</v>
      </c>
      <c r="O1192" s="33"/>
      <c r="P1192" s="38"/>
      <c r="Q1192" s="34" t="str">
        <f>IF(MasterFees[[#This Row],[GST Basis]]="Excl",MasterFees[[#This Row],[Fee as Printed]],IF(MasterFees[[#This Row],[GST Basis]]="Incl",MasterFees[[#This Row],[Fee as Printed]]/(1+GST_Rate),""))</f>
        <v/>
      </c>
      <c r="R1192" s="34" t="str">
        <f>IF(MasterFees[[#This Row],[GST Basis]]="Incl",MasterFees[[#This Row],[Fee as Printed]],IF(MasterFees[[#This Row],[GST Basis]]="Excl",MasterFees[[#This Row],[Fee as Printed]]*(1+GST_Rate),""))</f>
        <v/>
      </c>
      <c r="S1192" s="35">
        <f>IF(N(MasterFees[[#This Row],[Total Units]])=0,"",MasterFees[[#This Row],[Fee as Printed]]/MasterFees[[#This Row],[Total Units]])</f>
        <v>0</v>
      </c>
      <c r="T1192" s="36"/>
      <c r="U1192" s="39" t="s">
        <v>1016</v>
      </c>
      <c r="V1192" s="39" t="s">
        <v>2750</v>
      </c>
      <c r="W1192" s="30" t="s">
        <v>2632</v>
      </c>
      <c r="X1192" s="73" t="s">
        <v>3980</v>
      </c>
      <c r="Y1192" s="127" t="str">
        <f>_xlfn.XLOOKUP(MasterFees[[#This Row],[Provider / Payer]],Contracts[Contract Name],Contracts[Contract ID],"No contract")</f>
        <v>CON-10</v>
      </c>
      <c r="Z1192" s="127" t="str">
        <f>_xlfn.XLOOKUP(MasterFees[[#This Row],[Provider / Payer]],Contracts[Contract Name],Contracts[Pricing Basis],"To confirm")</f>
        <v>Reference – units only</v>
      </c>
      <c r="AA1192" s="127" t="str">
        <f>IF(MasterFees[[#This Row],[Pricing Basis]]="Fixed fee schedule","Yes","No")</f>
        <v>No</v>
      </c>
      <c r="AB1192" s="127" t="str">
        <f>IF(OR(MasterFees[[#This Row],[Fee Basis]]="Add-on",MasterFees[[#This Row],[Fee Basis]]="Time band",MasterFees[[#This Row],[Fee Basis]]="Other"),MasterFees[[#This Row],[Fee Basis]],"Base")</f>
        <v>Add-on</v>
      </c>
      <c r="AC1192" s="141" t="str">
        <f>IF(MasterFees[[#This Row],[Fixed Fee?]]="Yes",MasterFees[[#This Row],[Fee Excl. GST]],"")</f>
        <v/>
      </c>
    </row>
    <row r="1193" spans="1:29" x14ac:dyDescent="0.2">
      <c r="A1193" s="67" t="s">
        <v>2495</v>
      </c>
      <c r="B1193" s="31">
        <f>IF(MasterFees[[#This Row],[RVG Code]]="","",_xlfn.XLOOKUP(MasterFees[[#This Row],[RVG Code]],RVGCodes[Code],RVGCodes[Base Units],"Code not found"))</f>
        <v>2</v>
      </c>
      <c r="C119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14 - Billing for modifying factors</v>
      </c>
      <c r="D119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193" s="125" t="s">
        <v>2769</v>
      </c>
      <c r="F1193" s="48" t="s">
        <v>2565</v>
      </c>
      <c r="G1193" s="30" t="s">
        <v>2496</v>
      </c>
      <c r="H1193" s="37" t="s">
        <v>2630</v>
      </c>
      <c r="I1193" s="37" t="s">
        <v>2495</v>
      </c>
      <c r="J1193" s="37" t="s">
        <v>2678</v>
      </c>
      <c r="K1193" s="32"/>
      <c r="L1193" s="32"/>
      <c r="M1193" s="32">
        <v>2</v>
      </c>
      <c r="N1193" s="32">
        <v>2</v>
      </c>
      <c r="O1193" s="33"/>
      <c r="P1193" s="38"/>
      <c r="Q1193" s="34" t="str">
        <f>IF(MasterFees[[#This Row],[GST Basis]]="Excl",MasterFees[[#This Row],[Fee as Printed]],IF(MasterFees[[#This Row],[GST Basis]]="Incl",MasterFees[[#This Row],[Fee as Printed]]/(1+GST_Rate),""))</f>
        <v/>
      </c>
      <c r="R1193" s="34" t="str">
        <f>IF(MasterFees[[#This Row],[GST Basis]]="Incl",MasterFees[[#This Row],[Fee as Printed]],IF(MasterFees[[#This Row],[GST Basis]]="Excl",MasterFees[[#This Row],[Fee as Printed]]*(1+GST_Rate),""))</f>
        <v/>
      </c>
      <c r="S1193" s="35">
        <f>IF(N(MasterFees[[#This Row],[Total Units]])=0,"",MasterFees[[#This Row],[Fee as Printed]]/MasterFees[[#This Row],[Total Units]])</f>
        <v>0</v>
      </c>
      <c r="T1193" s="36"/>
      <c r="U1193" s="39" t="s">
        <v>1016</v>
      </c>
      <c r="V1193" s="39" t="s">
        <v>2750</v>
      </c>
      <c r="W1193" s="30" t="s">
        <v>2632</v>
      </c>
      <c r="X1193" s="73" t="s">
        <v>3986</v>
      </c>
      <c r="Y1193" s="127" t="str">
        <f>_xlfn.XLOOKUP(MasterFees[[#This Row],[Provider / Payer]],Contracts[Contract Name],Contracts[Contract ID],"No contract")</f>
        <v>CON-10</v>
      </c>
      <c r="Z1193" s="127" t="str">
        <f>_xlfn.XLOOKUP(MasterFees[[#This Row],[Provider / Payer]],Contracts[Contract Name],Contracts[Pricing Basis],"To confirm")</f>
        <v>Reference – units only</v>
      </c>
      <c r="AA1193" s="127" t="str">
        <f>IF(MasterFees[[#This Row],[Pricing Basis]]="Fixed fee schedule","Yes","No")</f>
        <v>No</v>
      </c>
      <c r="AB1193" s="127" t="str">
        <f>IF(OR(MasterFees[[#This Row],[Fee Basis]]="Add-on",MasterFees[[#This Row],[Fee Basis]]="Time band",MasterFees[[#This Row],[Fee Basis]]="Other"),MasterFees[[#This Row],[Fee Basis]],"Base")</f>
        <v>Add-on</v>
      </c>
      <c r="AC1193" s="141" t="str">
        <f>IF(MasterFees[[#This Row],[Fixed Fee?]]="Yes",MasterFees[[#This Row],[Fee Excl. GST]],"")</f>
        <v/>
      </c>
    </row>
    <row r="1194" spans="1:29" x14ac:dyDescent="0.2">
      <c r="A1194" s="67" t="s">
        <v>2486</v>
      </c>
      <c r="B1194" s="31">
        <f>IF(MasterFees[[#This Row],[RVG Code]]="","",_xlfn.XLOOKUP(MasterFees[[#This Row],[RVG Code]],RVGCodes[Code],RVGCodes[Base Units],"Code not found"))</f>
        <v>0</v>
      </c>
      <c r="C119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14 - Billing for modifying factors</v>
      </c>
      <c r="D119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194" s="125" t="s">
        <v>2765</v>
      </c>
      <c r="F1194" s="48" t="s">
        <v>2565</v>
      </c>
      <c r="G1194" s="30" t="s">
        <v>2487</v>
      </c>
      <c r="H1194" s="37" t="s">
        <v>2630</v>
      </c>
      <c r="I1194" s="37" t="s">
        <v>2486</v>
      </c>
      <c r="J1194" s="37" t="s">
        <v>2678</v>
      </c>
      <c r="K1194" s="32"/>
      <c r="L1194" s="32"/>
      <c r="M1194" s="32">
        <v>0</v>
      </c>
      <c r="N1194" s="32">
        <v>0</v>
      </c>
      <c r="O1194" s="33"/>
      <c r="P1194" s="38"/>
      <c r="Q1194" s="34" t="str">
        <f>IF(MasterFees[[#This Row],[GST Basis]]="Excl",MasterFees[[#This Row],[Fee as Printed]],IF(MasterFees[[#This Row],[GST Basis]]="Incl",MasterFees[[#This Row],[Fee as Printed]]/(1+GST_Rate),""))</f>
        <v/>
      </c>
      <c r="R1194" s="34" t="str">
        <f>IF(MasterFees[[#This Row],[GST Basis]]="Incl",MasterFees[[#This Row],[Fee as Printed]],IF(MasterFees[[#This Row],[GST Basis]]="Excl",MasterFees[[#This Row],[Fee as Printed]]*(1+GST_Rate),""))</f>
        <v/>
      </c>
      <c r="S1194" s="35" t="str">
        <f>IF(N(MasterFees[[#This Row],[Total Units]])=0,"",MasterFees[[#This Row],[Fee as Printed]]/MasterFees[[#This Row],[Total Units]])</f>
        <v/>
      </c>
      <c r="T1194" s="36"/>
      <c r="U1194" s="39" t="s">
        <v>1016</v>
      </c>
      <c r="V1194" s="39" t="s">
        <v>2750</v>
      </c>
      <c r="W1194" s="30" t="s">
        <v>2632</v>
      </c>
      <c r="X1194" s="73" t="s">
        <v>3982</v>
      </c>
      <c r="Y1194" s="127" t="str">
        <f>_xlfn.XLOOKUP(MasterFees[[#This Row],[Provider / Payer]],Contracts[Contract Name],Contracts[Contract ID],"No contract")</f>
        <v>CON-10</v>
      </c>
      <c r="Z1194" s="127" t="str">
        <f>_xlfn.XLOOKUP(MasterFees[[#This Row],[Provider / Payer]],Contracts[Contract Name],Contracts[Pricing Basis],"To confirm")</f>
        <v>Reference – units only</v>
      </c>
      <c r="AA1194" s="127" t="str">
        <f>IF(MasterFees[[#This Row],[Pricing Basis]]="Fixed fee schedule","Yes","No")</f>
        <v>No</v>
      </c>
      <c r="AB1194" s="127" t="str">
        <f>IF(OR(MasterFees[[#This Row],[Fee Basis]]="Add-on",MasterFees[[#This Row],[Fee Basis]]="Time band",MasterFees[[#This Row],[Fee Basis]]="Other"),MasterFees[[#This Row],[Fee Basis]],"Base")</f>
        <v>Add-on</v>
      </c>
      <c r="AC1194" s="141" t="str">
        <f>IF(MasterFees[[#This Row],[Fixed Fee?]]="Yes",MasterFees[[#This Row],[Fee Excl. GST]],"")</f>
        <v/>
      </c>
    </row>
    <row r="1195" spans="1:29" x14ac:dyDescent="0.2">
      <c r="A1195" s="67" t="s">
        <v>2490</v>
      </c>
      <c r="B1195" s="31">
        <f>IF(MasterFees[[#This Row],[RVG Code]]="","",_xlfn.XLOOKUP(MasterFees[[#This Row],[RVG Code]],RVGCodes[Code],RVGCodes[Base Units],"Code not found"))</f>
        <v>2</v>
      </c>
      <c r="C119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14 - Billing for modifying factors</v>
      </c>
      <c r="D119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195" s="125" t="s">
        <v>2767</v>
      </c>
      <c r="F1195" s="48" t="s">
        <v>2565</v>
      </c>
      <c r="G1195" s="30" t="s">
        <v>2491</v>
      </c>
      <c r="H1195" s="37" t="s">
        <v>2630</v>
      </c>
      <c r="I1195" s="37" t="s">
        <v>2490</v>
      </c>
      <c r="J1195" s="37" t="s">
        <v>2678</v>
      </c>
      <c r="K1195" s="32"/>
      <c r="L1195" s="32"/>
      <c r="M1195" s="32">
        <v>2</v>
      </c>
      <c r="N1195" s="32">
        <v>2</v>
      </c>
      <c r="O1195" s="33"/>
      <c r="P1195" s="38"/>
      <c r="Q1195" s="34" t="str">
        <f>IF(MasterFees[[#This Row],[GST Basis]]="Excl",MasterFees[[#This Row],[Fee as Printed]],IF(MasterFees[[#This Row],[GST Basis]]="Incl",MasterFees[[#This Row],[Fee as Printed]]/(1+GST_Rate),""))</f>
        <v/>
      </c>
      <c r="R1195" s="34" t="str">
        <f>IF(MasterFees[[#This Row],[GST Basis]]="Incl",MasterFees[[#This Row],[Fee as Printed]],IF(MasterFees[[#This Row],[GST Basis]]="Excl",MasterFees[[#This Row],[Fee as Printed]]*(1+GST_Rate),""))</f>
        <v/>
      </c>
      <c r="S1195" s="35">
        <f>IF(N(MasterFees[[#This Row],[Total Units]])=0,"",MasterFees[[#This Row],[Fee as Printed]]/MasterFees[[#This Row],[Total Units]])</f>
        <v>0</v>
      </c>
      <c r="T1195" s="36"/>
      <c r="U1195" s="39" t="s">
        <v>1016</v>
      </c>
      <c r="V1195" s="39" t="s">
        <v>2750</v>
      </c>
      <c r="W1195" s="30" t="s">
        <v>2632</v>
      </c>
      <c r="X1195" s="73" t="s">
        <v>3984</v>
      </c>
      <c r="Y1195" s="127" t="str">
        <f>_xlfn.XLOOKUP(MasterFees[[#This Row],[Provider / Payer]],Contracts[Contract Name],Contracts[Contract ID],"No contract")</f>
        <v>CON-10</v>
      </c>
      <c r="Z1195" s="127" t="str">
        <f>_xlfn.XLOOKUP(MasterFees[[#This Row],[Provider / Payer]],Contracts[Contract Name],Contracts[Pricing Basis],"To confirm")</f>
        <v>Reference – units only</v>
      </c>
      <c r="AA1195" s="127" t="str">
        <f>IF(MasterFees[[#This Row],[Pricing Basis]]="Fixed fee schedule","Yes","No")</f>
        <v>No</v>
      </c>
      <c r="AB1195" s="127" t="str">
        <f>IF(OR(MasterFees[[#This Row],[Fee Basis]]="Add-on",MasterFees[[#This Row],[Fee Basis]]="Time band",MasterFees[[#This Row],[Fee Basis]]="Other"),MasterFees[[#This Row],[Fee Basis]],"Base")</f>
        <v>Add-on</v>
      </c>
      <c r="AC1195" s="141" t="str">
        <f>IF(MasterFees[[#This Row],[Fixed Fee?]]="Yes",MasterFees[[#This Row],[Fee Excl. GST]],"")</f>
        <v/>
      </c>
    </row>
    <row r="1196" spans="1:29" x14ac:dyDescent="0.2">
      <c r="A1196" s="67" t="s">
        <v>2492</v>
      </c>
      <c r="B1196" s="31">
        <f>IF(MasterFees[[#This Row],[RVG Code]]="","",_xlfn.XLOOKUP(MasterFees[[#This Row],[RVG Code]],RVGCodes[Code],RVGCodes[Base Units],"Code not found"))</f>
        <v>3</v>
      </c>
      <c r="C119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14 - Billing for modifying factors</v>
      </c>
      <c r="D119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196" s="125" t="s">
        <v>2768</v>
      </c>
      <c r="F1196" s="48" t="s">
        <v>2565</v>
      </c>
      <c r="G1196" s="30" t="s">
        <v>2493</v>
      </c>
      <c r="H1196" s="37" t="s">
        <v>2630</v>
      </c>
      <c r="I1196" s="37" t="s">
        <v>2492</v>
      </c>
      <c r="J1196" s="37" t="s">
        <v>2678</v>
      </c>
      <c r="K1196" s="32"/>
      <c r="L1196" s="32"/>
      <c r="M1196" s="32">
        <v>3</v>
      </c>
      <c r="N1196" s="32">
        <v>3</v>
      </c>
      <c r="O1196" s="33"/>
      <c r="P1196" s="38"/>
      <c r="Q1196" s="34" t="str">
        <f>IF(MasterFees[[#This Row],[GST Basis]]="Excl",MasterFees[[#This Row],[Fee as Printed]],IF(MasterFees[[#This Row],[GST Basis]]="Incl",MasterFees[[#This Row],[Fee as Printed]]/(1+GST_Rate),""))</f>
        <v/>
      </c>
      <c r="R1196" s="34" t="str">
        <f>IF(MasterFees[[#This Row],[GST Basis]]="Incl",MasterFees[[#This Row],[Fee as Printed]],IF(MasterFees[[#This Row],[GST Basis]]="Excl",MasterFees[[#This Row],[Fee as Printed]]*(1+GST_Rate),""))</f>
        <v/>
      </c>
      <c r="S1196" s="35">
        <f>IF(N(MasterFees[[#This Row],[Total Units]])=0,"",MasterFees[[#This Row],[Fee as Printed]]/MasterFees[[#This Row],[Total Units]])</f>
        <v>0</v>
      </c>
      <c r="T1196" s="36"/>
      <c r="U1196" s="39" t="s">
        <v>1016</v>
      </c>
      <c r="V1196" s="39" t="s">
        <v>2750</v>
      </c>
      <c r="W1196" s="30" t="s">
        <v>2632</v>
      </c>
      <c r="X1196" s="73" t="s">
        <v>3985</v>
      </c>
      <c r="Y1196" s="127" t="str">
        <f>_xlfn.XLOOKUP(MasterFees[[#This Row],[Provider / Payer]],Contracts[Contract Name],Contracts[Contract ID],"No contract")</f>
        <v>CON-10</v>
      </c>
      <c r="Z1196" s="127" t="str">
        <f>_xlfn.XLOOKUP(MasterFees[[#This Row],[Provider / Payer]],Contracts[Contract Name],Contracts[Pricing Basis],"To confirm")</f>
        <v>Reference – units only</v>
      </c>
      <c r="AA1196" s="127" t="str">
        <f>IF(MasterFees[[#This Row],[Pricing Basis]]="Fixed fee schedule","Yes","No")</f>
        <v>No</v>
      </c>
      <c r="AB1196" s="127" t="str">
        <f>IF(OR(MasterFees[[#This Row],[Fee Basis]]="Add-on",MasterFees[[#This Row],[Fee Basis]]="Time band",MasterFees[[#This Row],[Fee Basis]]="Other"),MasterFees[[#This Row],[Fee Basis]],"Base")</f>
        <v>Add-on</v>
      </c>
      <c r="AC1196" s="141" t="str">
        <f>IF(MasterFees[[#This Row],[Fixed Fee?]]="Yes",MasterFees[[#This Row],[Fee Excl. GST]],"")</f>
        <v/>
      </c>
    </row>
    <row r="1197" spans="1:29" x14ac:dyDescent="0.2">
      <c r="A1197" s="67" t="s">
        <v>2488</v>
      </c>
      <c r="B1197" s="31">
        <f>IF(MasterFees[[#This Row],[RVG Code]]="","",_xlfn.XLOOKUP(MasterFees[[#This Row],[RVG Code]],RVGCodes[Code],RVGCodes[Base Units],"Code not found"))</f>
        <v>1</v>
      </c>
      <c r="C119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14 - Billing for modifying factors</v>
      </c>
      <c r="D119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197" s="125" t="s">
        <v>2766</v>
      </c>
      <c r="F1197" s="48" t="s">
        <v>2565</v>
      </c>
      <c r="G1197" s="30" t="s">
        <v>2489</v>
      </c>
      <c r="H1197" s="37" t="s">
        <v>2630</v>
      </c>
      <c r="I1197" s="37" t="s">
        <v>2488</v>
      </c>
      <c r="J1197" s="37" t="s">
        <v>2678</v>
      </c>
      <c r="K1197" s="32"/>
      <c r="L1197" s="32"/>
      <c r="M1197" s="32">
        <v>1</v>
      </c>
      <c r="N1197" s="32">
        <v>1</v>
      </c>
      <c r="O1197" s="33"/>
      <c r="P1197" s="38"/>
      <c r="Q1197" s="34" t="str">
        <f>IF(MasterFees[[#This Row],[GST Basis]]="Excl",MasterFees[[#This Row],[Fee as Printed]],IF(MasterFees[[#This Row],[GST Basis]]="Incl",MasterFees[[#This Row],[Fee as Printed]]/(1+GST_Rate),""))</f>
        <v/>
      </c>
      <c r="R1197" s="34" t="str">
        <f>IF(MasterFees[[#This Row],[GST Basis]]="Incl",MasterFees[[#This Row],[Fee as Printed]],IF(MasterFees[[#This Row],[GST Basis]]="Excl",MasterFees[[#This Row],[Fee as Printed]]*(1+GST_Rate),""))</f>
        <v/>
      </c>
      <c r="S1197" s="35">
        <f>IF(N(MasterFees[[#This Row],[Total Units]])=0,"",MasterFees[[#This Row],[Fee as Printed]]/MasterFees[[#This Row],[Total Units]])</f>
        <v>0</v>
      </c>
      <c r="T1197" s="36"/>
      <c r="U1197" s="39" t="s">
        <v>1016</v>
      </c>
      <c r="V1197" s="39" t="s">
        <v>2750</v>
      </c>
      <c r="W1197" s="30" t="s">
        <v>2632</v>
      </c>
      <c r="X1197" s="73" t="s">
        <v>3983</v>
      </c>
      <c r="Y1197" s="127" t="str">
        <f>_xlfn.XLOOKUP(MasterFees[[#This Row],[Provider / Payer]],Contracts[Contract Name],Contracts[Contract ID],"No contract")</f>
        <v>CON-10</v>
      </c>
      <c r="Z1197" s="127" t="str">
        <f>_xlfn.XLOOKUP(MasterFees[[#This Row],[Provider / Payer]],Contracts[Contract Name],Contracts[Pricing Basis],"To confirm")</f>
        <v>Reference – units only</v>
      </c>
      <c r="AA1197" s="127" t="str">
        <f>IF(MasterFees[[#This Row],[Pricing Basis]]="Fixed fee schedule","Yes","No")</f>
        <v>No</v>
      </c>
      <c r="AB1197" s="127" t="str">
        <f>IF(OR(MasterFees[[#This Row],[Fee Basis]]="Add-on",MasterFees[[#This Row],[Fee Basis]]="Time band",MasterFees[[#This Row],[Fee Basis]]="Other"),MasterFees[[#This Row],[Fee Basis]],"Base")</f>
        <v>Add-on</v>
      </c>
      <c r="AC1197" s="141" t="str">
        <f>IF(MasterFees[[#This Row],[Fixed Fee?]]="Yes",MasterFees[[#This Row],[Fee Excl. GST]],"")</f>
        <v/>
      </c>
    </row>
    <row r="1198" spans="1:29" x14ac:dyDescent="0.2">
      <c r="A1198" s="67" t="s">
        <v>2469</v>
      </c>
      <c r="B1198" s="31">
        <f>IF(MasterFees[[#This Row],[RVG Code]]="","",_xlfn.XLOOKUP(MasterFees[[#This Row],[RVG Code]],RVGCodes[Code],RVGCodes[Base Units],"Code not found"))</f>
        <v>2</v>
      </c>
      <c r="C119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14 - Billing for modifying factors</v>
      </c>
      <c r="D119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198" s="125" t="s">
        <v>2755</v>
      </c>
      <c r="F1198" s="48" t="s">
        <v>2565</v>
      </c>
      <c r="G1198" s="30" t="s">
        <v>2470</v>
      </c>
      <c r="H1198" s="37" t="s">
        <v>2630</v>
      </c>
      <c r="I1198" s="37" t="s">
        <v>2469</v>
      </c>
      <c r="J1198" s="37" t="s">
        <v>2678</v>
      </c>
      <c r="K1198" s="32"/>
      <c r="L1198" s="32"/>
      <c r="M1198" s="32">
        <v>2</v>
      </c>
      <c r="N1198" s="32"/>
      <c r="O1198" s="33"/>
      <c r="P1198" s="38"/>
      <c r="Q1198" s="34" t="str">
        <f>IF(MasterFees[[#This Row],[GST Basis]]="Excl",MasterFees[[#This Row],[Fee as Printed]],IF(MasterFees[[#This Row],[GST Basis]]="Incl",MasterFees[[#This Row],[Fee as Printed]]/(1+GST_Rate),""))</f>
        <v/>
      </c>
      <c r="R1198" s="34" t="str">
        <f>IF(MasterFees[[#This Row],[GST Basis]]="Incl",MasterFees[[#This Row],[Fee as Printed]],IF(MasterFees[[#This Row],[GST Basis]]="Excl",MasterFees[[#This Row],[Fee as Printed]]*(1+GST_Rate),""))</f>
        <v/>
      </c>
      <c r="S1198" s="35" t="str">
        <f>IF(N(MasterFees[[#This Row],[Total Units]])=0,"",MasterFees[[#This Row],[Fee as Printed]]/MasterFees[[#This Row],[Total Units]])</f>
        <v/>
      </c>
      <c r="T1198" s="36"/>
      <c r="U1198" s="39" t="s">
        <v>1016</v>
      </c>
      <c r="V1198" s="39" t="s">
        <v>2750</v>
      </c>
      <c r="W1198" s="30" t="s">
        <v>2756</v>
      </c>
      <c r="X1198" s="73" t="s">
        <v>3975</v>
      </c>
      <c r="Y1198" s="127" t="str">
        <f>_xlfn.XLOOKUP(MasterFees[[#This Row],[Provider / Payer]],Contracts[Contract Name],Contracts[Contract ID],"No contract")</f>
        <v>CON-10</v>
      </c>
      <c r="Z1198" s="127" t="str">
        <f>_xlfn.XLOOKUP(MasterFees[[#This Row],[Provider / Payer]],Contracts[Contract Name],Contracts[Pricing Basis],"To confirm")</f>
        <v>Reference – units only</v>
      </c>
      <c r="AA1198" s="127" t="str">
        <f>IF(MasterFees[[#This Row],[Pricing Basis]]="Fixed fee schedule","Yes","No")</f>
        <v>No</v>
      </c>
      <c r="AB1198" s="127" t="str">
        <f>IF(OR(MasterFees[[#This Row],[Fee Basis]]="Add-on",MasterFees[[#This Row],[Fee Basis]]="Time band",MasterFees[[#This Row],[Fee Basis]]="Other"),MasterFees[[#This Row],[Fee Basis]],"Base")</f>
        <v>Add-on</v>
      </c>
      <c r="AC1198" s="141" t="str">
        <f>IF(MasterFees[[#This Row],[Fixed Fee?]]="Yes",MasterFees[[#This Row],[Fee Excl. GST]],"")</f>
        <v/>
      </c>
    </row>
    <row r="1199" spans="1:29" x14ac:dyDescent="0.2">
      <c r="A1199" s="67" t="s">
        <v>2528</v>
      </c>
      <c r="B1199" s="31">
        <f>IF(MasterFees[[#This Row],[RVG Code]]="","",_xlfn.XLOOKUP(MasterFees[[#This Row],[RVG Code]],RVGCodes[Code],RVGCodes[Base Units],"Code not found"))</f>
        <v>2</v>
      </c>
      <c r="C119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14 - Billing for modifying factors</v>
      </c>
      <c r="D119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199" s="125" t="s">
        <v>2602</v>
      </c>
      <c r="F1199" s="48" t="s">
        <v>2567</v>
      </c>
      <c r="G1199" s="30" t="s">
        <v>212</v>
      </c>
      <c r="H1199" s="37" t="s">
        <v>1095</v>
      </c>
      <c r="I1199" s="37"/>
      <c r="J1199" s="37" t="s">
        <v>1096</v>
      </c>
      <c r="K1199" s="32">
        <v>0</v>
      </c>
      <c r="L1199" s="32">
        <v>4</v>
      </c>
      <c r="M1199" s="32">
        <v>2</v>
      </c>
      <c r="N1199" s="32">
        <v>6</v>
      </c>
      <c r="O1199" s="33">
        <v>330</v>
      </c>
      <c r="P1199" s="38" t="s">
        <v>1014</v>
      </c>
      <c r="Q1199" s="34" t="str">
        <f>IF(MasterFees[[#This Row],[GST Basis]]="Excl",MasterFees[[#This Row],[Fee as Printed]],IF(MasterFees[[#This Row],[GST Basis]]="Incl",MasterFees[[#This Row],[Fee as Printed]]/(1+GST_Rate),""))</f>
        <v/>
      </c>
      <c r="R1199" s="34" t="str">
        <f>IF(MasterFees[[#This Row],[GST Basis]]="Incl",MasterFees[[#This Row],[Fee as Printed]],IF(MasterFees[[#This Row],[GST Basis]]="Excl",MasterFees[[#This Row],[Fee as Printed]]*(1+GST_Rate),""))</f>
        <v/>
      </c>
      <c r="S1199" s="35">
        <f>IF(N(MasterFees[[#This Row],[Total Units]])=0,"",MasterFees[[#This Row],[Fee as Printed]]/MasterFees[[#This Row],[Total Units]])</f>
        <v>55</v>
      </c>
      <c r="T1199" s="36"/>
      <c r="U1199" s="39" t="s">
        <v>1012</v>
      </c>
      <c r="V1199" s="39" t="s">
        <v>1306</v>
      </c>
      <c r="W1199" s="30"/>
      <c r="X1199" s="73" t="s">
        <v>3091</v>
      </c>
      <c r="Y1199" s="127" t="str">
        <f>_xlfn.XLOOKUP(MasterFees[[#This Row],[Provider / Payer]],Contracts[Contract Name],Contracts[Contract ID],"No contract")</f>
        <v>CON-01</v>
      </c>
      <c r="Z1199" s="127" t="str">
        <f>_xlfn.XLOOKUP(MasterFees[[#This Row],[Provider / Payer]],Contracts[Contract Name],Contracts[Pricing Basis],"To confirm")</f>
        <v>To confirm</v>
      </c>
      <c r="AA1199" s="127" t="str">
        <f>IF(MasterFees[[#This Row],[Pricing Basis]]="Fixed fee schedule","Yes","No")</f>
        <v>No</v>
      </c>
      <c r="AB1199" s="127" t="str">
        <f>IF(OR(MasterFees[[#This Row],[Fee Basis]]="Add-on",MasterFees[[#This Row],[Fee Basis]]="Time band",MasterFees[[#This Row],[Fee Basis]]="Other"),MasterFees[[#This Row],[Fee Basis]],"Base")</f>
        <v>Base</v>
      </c>
      <c r="AC1199" s="141" t="str">
        <f>IF(MasterFees[[#This Row],[Fixed Fee?]]="Yes",MasterFees[[#This Row],[Fee Excl. GST]],"")</f>
        <v/>
      </c>
    </row>
    <row r="1200" spans="1:29" x14ac:dyDescent="0.2">
      <c r="A1200" s="67" t="s">
        <v>2528</v>
      </c>
      <c r="B1200" s="31">
        <f>IF(MasterFees[[#This Row],[RVG Code]]="","",_xlfn.XLOOKUP(MasterFees[[#This Row],[RVG Code]],RVGCodes[Code],RVGCodes[Base Units],"Code not found"))</f>
        <v>2</v>
      </c>
      <c r="C120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14 - Billing for modifying factors</v>
      </c>
      <c r="D120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00" s="125" t="s">
        <v>2602</v>
      </c>
      <c r="F1200" s="48" t="s">
        <v>2629</v>
      </c>
      <c r="G1200" s="30" t="s">
        <v>2529</v>
      </c>
      <c r="H1200" s="37" t="s">
        <v>2630</v>
      </c>
      <c r="I1200" s="37" t="s">
        <v>2528</v>
      </c>
      <c r="J1200" s="37" t="s">
        <v>2678</v>
      </c>
      <c r="K1200" s="32"/>
      <c r="L1200" s="32"/>
      <c r="M1200" s="32">
        <v>2</v>
      </c>
      <c r="N1200" s="32"/>
      <c r="O1200" s="33"/>
      <c r="P1200" s="38"/>
      <c r="Q1200" s="34" t="str">
        <f>IF(MasterFees[[#This Row],[GST Basis]]="Excl",MasterFees[[#This Row],[Fee as Printed]],IF(MasterFees[[#This Row],[GST Basis]]="Incl",MasterFees[[#This Row],[Fee as Printed]]/(1+GST_Rate),""))</f>
        <v/>
      </c>
      <c r="R1200" s="34" t="str">
        <f>IF(MasterFees[[#This Row],[GST Basis]]="Incl",MasterFees[[#This Row],[Fee as Printed]],IF(MasterFees[[#This Row],[GST Basis]]="Excl",MasterFees[[#This Row],[Fee as Printed]]*(1+GST_Rate),""))</f>
        <v/>
      </c>
      <c r="S1200" s="35" t="str">
        <f>IF(N(MasterFees[[#This Row],[Total Units]])=0,"",MasterFees[[#This Row],[Fee as Printed]]/MasterFees[[#This Row],[Total Units]])</f>
        <v/>
      </c>
      <c r="T1200" s="36"/>
      <c r="U1200" s="39" t="s">
        <v>1016</v>
      </c>
      <c r="V1200" s="39" t="s">
        <v>2679</v>
      </c>
      <c r="W1200" s="30" t="s">
        <v>2680</v>
      </c>
      <c r="X1200" s="73" t="s">
        <v>3092</v>
      </c>
      <c r="Y1200" s="127" t="str">
        <f>_xlfn.XLOOKUP(MasterFees[[#This Row],[Provider / Payer]],Contracts[Contract Name],Contracts[Contract ID],"No contract")</f>
        <v>CON-10</v>
      </c>
      <c r="Z1200" s="127" t="str">
        <f>_xlfn.XLOOKUP(MasterFees[[#This Row],[Provider / Payer]],Contracts[Contract Name],Contracts[Pricing Basis],"To confirm")</f>
        <v>Reference – units only</v>
      </c>
      <c r="AA1200" s="127" t="str">
        <f>IF(MasterFees[[#This Row],[Pricing Basis]]="Fixed fee schedule","Yes","No")</f>
        <v>No</v>
      </c>
      <c r="AB1200" s="127" t="str">
        <f>IF(OR(MasterFees[[#This Row],[Fee Basis]]="Add-on",MasterFees[[#This Row],[Fee Basis]]="Time band",MasterFees[[#This Row],[Fee Basis]]="Other"),MasterFees[[#This Row],[Fee Basis]],"Base")</f>
        <v>Add-on</v>
      </c>
      <c r="AC1200" s="141" t="str">
        <f>IF(MasterFees[[#This Row],[Fixed Fee?]]="Yes",MasterFees[[#This Row],[Fee Excl. GST]],"")</f>
        <v/>
      </c>
    </row>
    <row r="1201" spans="1:29" x14ac:dyDescent="0.2">
      <c r="A1201" s="67" t="s">
        <v>2509</v>
      </c>
      <c r="B1201" s="31">
        <f>IF(MasterFees[[#This Row],[RVG Code]]="","",_xlfn.XLOOKUP(MasterFees[[#This Row],[RVG Code]],RVGCodes[Code],RVGCodes[Base Units],"Code not found"))</f>
        <v>4</v>
      </c>
      <c r="C120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14 - Billing for modifying factors</v>
      </c>
      <c r="D120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01" s="125" t="s">
        <v>2777</v>
      </c>
      <c r="F1201" s="48" t="s">
        <v>2565</v>
      </c>
      <c r="G1201" s="30" t="s">
        <v>2510</v>
      </c>
      <c r="H1201" s="37" t="s">
        <v>2630</v>
      </c>
      <c r="I1201" s="37" t="s">
        <v>2509</v>
      </c>
      <c r="J1201" s="37" t="s">
        <v>2678</v>
      </c>
      <c r="K1201" s="32"/>
      <c r="L1201" s="32"/>
      <c r="M1201" s="32">
        <v>4</v>
      </c>
      <c r="N1201" s="32">
        <v>4</v>
      </c>
      <c r="O1201" s="33"/>
      <c r="P1201" s="38"/>
      <c r="Q1201" s="34" t="str">
        <f>IF(MasterFees[[#This Row],[GST Basis]]="Excl",MasterFees[[#This Row],[Fee as Printed]],IF(MasterFees[[#This Row],[GST Basis]]="Incl",MasterFees[[#This Row],[Fee as Printed]]/(1+GST_Rate),""))</f>
        <v/>
      </c>
      <c r="R1201" s="34" t="str">
        <f>IF(MasterFees[[#This Row],[GST Basis]]="Incl",MasterFees[[#This Row],[Fee as Printed]],IF(MasterFees[[#This Row],[GST Basis]]="Excl",MasterFees[[#This Row],[Fee as Printed]]*(1+GST_Rate),""))</f>
        <v/>
      </c>
      <c r="S1201" s="35">
        <f>IF(N(MasterFees[[#This Row],[Total Units]])=0,"",MasterFees[[#This Row],[Fee as Printed]]/MasterFees[[#This Row],[Total Units]])</f>
        <v>0</v>
      </c>
      <c r="T1201" s="36"/>
      <c r="U1201" s="39" t="s">
        <v>1016</v>
      </c>
      <c r="V1201" s="39" t="s">
        <v>2679</v>
      </c>
      <c r="W1201" s="30" t="s">
        <v>2632</v>
      </c>
      <c r="X1201" s="73" t="s">
        <v>3992</v>
      </c>
      <c r="Y1201" s="127" t="str">
        <f>_xlfn.XLOOKUP(MasterFees[[#This Row],[Provider / Payer]],Contracts[Contract Name],Contracts[Contract ID],"No contract")</f>
        <v>CON-10</v>
      </c>
      <c r="Z1201" s="127" t="str">
        <f>_xlfn.XLOOKUP(MasterFees[[#This Row],[Provider / Payer]],Contracts[Contract Name],Contracts[Pricing Basis],"To confirm")</f>
        <v>Reference – units only</v>
      </c>
      <c r="AA1201" s="127" t="str">
        <f>IF(MasterFees[[#This Row],[Pricing Basis]]="Fixed fee schedule","Yes","No")</f>
        <v>No</v>
      </c>
      <c r="AB1201" s="127" t="str">
        <f>IF(OR(MasterFees[[#This Row],[Fee Basis]]="Add-on",MasterFees[[#This Row],[Fee Basis]]="Time band",MasterFees[[#This Row],[Fee Basis]]="Other"),MasterFees[[#This Row],[Fee Basis]],"Base")</f>
        <v>Add-on</v>
      </c>
      <c r="AC1201" s="141" t="str">
        <f>IF(MasterFees[[#This Row],[Fixed Fee?]]="Yes",MasterFees[[#This Row],[Fee Excl. GST]],"")</f>
        <v/>
      </c>
    </row>
    <row r="1202" spans="1:29" x14ac:dyDescent="0.2">
      <c r="A1202" s="67" t="s">
        <v>2484</v>
      </c>
      <c r="B1202" s="31">
        <f>IF(MasterFees[[#This Row],[RVG Code]]="","",_xlfn.XLOOKUP(MasterFees[[#This Row],[RVG Code]],RVGCodes[Code],RVGCodes[Base Units],"Code not found"))</f>
        <v>2</v>
      </c>
      <c r="C120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14 - Billing for modifying factors</v>
      </c>
      <c r="D120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02" s="125" t="s">
        <v>2764</v>
      </c>
      <c r="F1202" s="48" t="s">
        <v>2565</v>
      </c>
      <c r="G1202" s="30" t="s">
        <v>2485</v>
      </c>
      <c r="H1202" s="37" t="s">
        <v>2630</v>
      </c>
      <c r="I1202" s="37" t="s">
        <v>2484</v>
      </c>
      <c r="J1202" s="37" t="s">
        <v>2678</v>
      </c>
      <c r="K1202" s="32"/>
      <c r="L1202" s="32"/>
      <c r="M1202" s="32">
        <v>2</v>
      </c>
      <c r="N1202" s="32">
        <v>2</v>
      </c>
      <c r="O1202" s="33"/>
      <c r="P1202" s="38"/>
      <c r="Q1202" s="34" t="str">
        <f>IF(MasterFees[[#This Row],[GST Basis]]="Excl",MasterFees[[#This Row],[Fee as Printed]],IF(MasterFees[[#This Row],[GST Basis]]="Incl",MasterFees[[#This Row],[Fee as Printed]]/(1+GST_Rate),""))</f>
        <v/>
      </c>
      <c r="R1202" s="34" t="str">
        <f>IF(MasterFees[[#This Row],[GST Basis]]="Incl",MasterFees[[#This Row],[Fee as Printed]],IF(MasterFees[[#This Row],[GST Basis]]="Excl",MasterFees[[#This Row],[Fee as Printed]]*(1+GST_Rate),""))</f>
        <v/>
      </c>
      <c r="S1202" s="35">
        <f>IF(N(MasterFees[[#This Row],[Total Units]])=0,"",MasterFees[[#This Row],[Fee as Printed]]/MasterFees[[#This Row],[Total Units]])</f>
        <v>0</v>
      </c>
      <c r="T1202" s="36"/>
      <c r="U1202" s="39" t="s">
        <v>1016</v>
      </c>
      <c r="V1202" s="39" t="s">
        <v>2750</v>
      </c>
      <c r="W1202" s="30" t="s">
        <v>2632</v>
      </c>
      <c r="X1202" s="73" t="s">
        <v>3981</v>
      </c>
      <c r="Y1202" s="127" t="str">
        <f>_xlfn.XLOOKUP(MasterFees[[#This Row],[Provider / Payer]],Contracts[Contract Name],Contracts[Contract ID],"No contract")</f>
        <v>CON-10</v>
      </c>
      <c r="Z1202" s="127" t="str">
        <f>_xlfn.XLOOKUP(MasterFees[[#This Row],[Provider / Payer]],Contracts[Contract Name],Contracts[Pricing Basis],"To confirm")</f>
        <v>Reference – units only</v>
      </c>
      <c r="AA1202" s="127" t="str">
        <f>IF(MasterFees[[#This Row],[Pricing Basis]]="Fixed fee schedule","Yes","No")</f>
        <v>No</v>
      </c>
      <c r="AB1202" s="127" t="str">
        <f>IF(OR(MasterFees[[#This Row],[Fee Basis]]="Add-on",MasterFees[[#This Row],[Fee Basis]]="Time band",MasterFees[[#This Row],[Fee Basis]]="Other"),MasterFees[[#This Row],[Fee Basis]],"Base")</f>
        <v>Add-on</v>
      </c>
      <c r="AC1202" s="141" t="str">
        <f>IF(MasterFees[[#This Row],[Fixed Fee?]]="Yes",MasterFees[[#This Row],[Fee Excl. GST]],"")</f>
        <v/>
      </c>
    </row>
    <row r="1203" spans="1:29" x14ac:dyDescent="0.2">
      <c r="A1203" s="67" t="s">
        <v>2467</v>
      </c>
      <c r="B1203" s="31">
        <f>IF(MasterFees[[#This Row],[RVG Code]]="","",_xlfn.XLOOKUP(MasterFees[[#This Row],[RVG Code]],RVGCodes[Code],RVGCodes[Base Units],"Code not found"))</f>
        <v>2</v>
      </c>
      <c r="C120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14 - Billing for modifying factors</v>
      </c>
      <c r="D120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03" s="125" t="s">
        <v>2754</v>
      </c>
      <c r="F1203" s="48" t="s">
        <v>2565</v>
      </c>
      <c r="G1203" s="30" t="s">
        <v>2468</v>
      </c>
      <c r="H1203" s="37" t="s">
        <v>2630</v>
      </c>
      <c r="I1203" s="37" t="s">
        <v>2467</v>
      </c>
      <c r="J1203" s="37" t="s">
        <v>2678</v>
      </c>
      <c r="K1203" s="32"/>
      <c r="L1203" s="32"/>
      <c r="M1203" s="32">
        <v>2</v>
      </c>
      <c r="N1203" s="32">
        <v>2</v>
      </c>
      <c r="O1203" s="33"/>
      <c r="P1203" s="38"/>
      <c r="Q1203" s="34" t="str">
        <f>IF(MasterFees[[#This Row],[GST Basis]]="Excl",MasterFees[[#This Row],[Fee as Printed]],IF(MasterFees[[#This Row],[GST Basis]]="Incl",MasterFees[[#This Row],[Fee as Printed]]/(1+GST_Rate),""))</f>
        <v/>
      </c>
      <c r="R1203" s="34" t="str">
        <f>IF(MasterFees[[#This Row],[GST Basis]]="Incl",MasterFees[[#This Row],[Fee as Printed]],IF(MasterFees[[#This Row],[GST Basis]]="Excl",MasterFees[[#This Row],[Fee as Printed]]*(1+GST_Rate),""))</f>
        <v/>
      </c>
      <c r="S1203" s="35">
        <f>IF(N(MasterFees[[#This Row],[Total Units]])=0,"",MasterFees[[#This Row],[Fee as Printed]]/MasterFees[[#This Row],[Total Units]])</f>
        <v>0</v>
      </c>
      <c r="T1203" s="36"/>
      <c r="U1203" s="39" t="s">
        <v>1016</v>
      </c>
      <c r="V1203" s="39" t="s">
        <v>2750</v>
      </c>
      <c r="W1203" s="30" t="s">
        <v>2632</v>
      </c>
      <c r="X1203" s="73" t="s">
        <v>3974</v>
      </c>
      <c r="Y1203" s="127" t="str">
        <f>_xlfn.XLOOKUP(MasterFees[[#This Row],[Provider / Payer]],Contracts[Contract Name],Contracts[Contract ID],"No contract")</f>
        <v>CON-10</v>
      </c>
      <c r="Z1203" s="127" t="str">
        <f>_xlfn.XLOOKUP(MasterFees[[#This Row],[Provider / Payer]],Contracts[Contract Name],Contracts[Pricing Basis],"To confirm")</f>
        <v>Reference – units only</v>
      </c>
      <c r="AA1203" s="127" t="str">
        <f>IF(MasterFees[[#This Row],[Pricing Basis]]="Fixed fee schedule","Yes","No")</f>
        <v>No</v>
      </c>
      <c r="AB1203" s="127" t="str">
        <f>IF(OR(MasterFees[[#This Row],[Fee Basis]]="Add-on",MasterFees[[#This Row],[Fee Basis]]="Time band",MasterFees[[#This Row],[Fee Basis]]="Other"),MasterFees[[#This Row],[Fee Basis]],"Base")</f>
        <v>Add-on</v>
      </c>
      <c r="AC1203" s="141" t="str">
        <f>IF(MasterFees[[#This Row],[Fixed Fee?]]="Yes",MasterFees[[#This Row],[Fee Excl. GST]],"")</f>
        <v/>
      </c>
    </row>
    <row r="1204" spans="1:29" x14ac:dyDescent="0.2">
      <c r="A1204" s="67" t="s">
        <v>2463</v>
      </c>
      <c r="B1204" s="31">
        <f>IF(MasterFees[[#This Row],[RVG Code]]="","",_xlfn.XLOOKUP(MasterFees[[#This Row],[RVG Code]],RVGCodes[Code],RVGCodes[Base Units],"Code not found"))</f>
        <v>2</v>
      </c>
      <c r="C120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14 - Billing for modifying factors</v>
      </c>
      <c r="D120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04" s="125" t="s">
        <v>2752</v>
      </c>
      <c r="F1204" s="48" t="s">
        <v>2565</v>
      </c>
      <c r="G1204" s="30" t="s">
        <v>2464</v>
      </c>
      <c r="H1204" s="37" t="s">
        <v>2630</v>
      </c>
      <c r="I1204" s="37" t="s">
        <v>2463</v>
      </c>
      <c r="J1204" s="37" t="s">
        <v>2678</v>
      </c>
      <c r="K1204" s="32"/>
      <c r="L1204" s="32"/>
      <c r="M1204" s="32">
        <v>2</v>
      </c>
      <c r="N1204" s="32"/>
      <c r="O1204" s="33"/>
      <c r="P1204" s="38"/>
      <c r="Q1204" s="34" t="str">
        <f>IF(MasterFees[[#This Row],[GST Basis]]="Excl",MasterFees[[#This Row],[Fee as Printed]],IF(MasterFees[[#This Row],[GST Basis]]="Incl",MasterFees[[#This Row],[Fee as Printed]]/(1+GST_Rate),""))</f>
        <v/>
      </c>
      <c r="R1204" s="34" t="str">
        <f>IF(MasterFees[[#This Row],[GST Basis]]="Incl",MasterFees[[#This Row],[Fee as Printed]],IF(MasterFees[[#This Row],[GST Basis]]="Excl",MasterFees[[#This Row],[Fee as Printed]]*(1+GST_Rate),""))</f>
        <v/>
      </c>
      <c r="S1204" s="35" t="str">
        <f>IF(N(MasterFees[[#This Row],[Total Units]])=0,"",MasterFees[[#This Row],[Fee as Printed]]/MasterFees[[#This Row],[Total Units]])</f>
        <v/>
      </c>
      <c r="T1204" s="36"/>
      <c r="U1204" s="39" t="s">
        <v>1016</v>
      </c>
      <c r="V1204" s="39" t="s">
        <v>2750</v>
      </c>
      <c r="W1204" s="30" t="s">
        <v>2753</v>
      </c>
      <c r="X1204" s="73" t="s">
        <v>3973</v>
      </c>
      <c r="Y1204" s="127" t="str">
        <f>_xlfn.XLOOKUP(MasterFees[[#This Row],[Provider / Payer]],Contracts[Contract Name],Contracts[Contract ID],"No contract")</f>
        <v>CON-10</v>
      </c>
      <c r="Z1204" s="127" t="str">
        <f>_xlfn.XLOOKUP(MasterFees[[#This Row],[Provider / Payer]],Contracts[Contract Name],Contracts[Pricing Basis],"To confirm")</f>
        <v>Reference – units only</v>
      </c>
      <c r="AA1204" s="127" t="str">
        <f>IF(MasterFees[[#This Row],[Pricing Basis]]="Fixed fee schedule","Yes","No")</f>
        <v>No</v>
      </c>
      <c r="AB1204" s="127" t="str">
        <f>IF(OR(MasterFees[[#This Row],[Fee Basis]]="Add-on",MasterFees[[#This Row],[Fee Basis]]="Time band",MasterFees[[#This Row],[Fee Basis]]="Other"),MasterFees[[#This Row],[Fee Basis]],"Base")</f>
        <v>Add-on</v>
      </c>
      <c r="AC1204" s="141" t="str">
        <f>IF(MasterFees[[#This Row],[Fixed Fee?]]="Yes",MasterFees[[#This Row],[Fee Excl. GST]],"")</f>
        <v/>
      </c>
    </row>
    <row r="1205" spans="1:29" x14ac:dyDescent="0.2">
      <c r="A1205" s="67" t="s">
        <v>2515</v>
      </c>
      <c r="B1205" s="31">
        <f>IF(MasterFees[[#This Row],[RVG Code]]="","",_xlfn.XLOOKUP(MasterFees[[#This Row],[RVG Code]],RVGCodes[Code],RVGCodes[Base Units],"Code not found"))</f>
        <v>4</v>
      </c>
      <c r="C120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14 - Billing for modifying factors</v>
      </c>
      <c r="D120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05" s="125" t="s">
        <v>2780</v>
      </c>
      <c r="F1205" s="48" t="s">
        <v>2565</v>
      </c>
      <c r="G1205" s="30" t="s">
        <v>2516</v>
      </c>
      <c r="H1205" s="37" t="s">
        <v>2630</v>
      </c>
      <c r="I1205" s="37" t="s">
        <v>2515</v>
      </c>
      <c r="J1205" s="37" t="s">
        <v>2678</v>
      </c>
      <c r="K1205" s="32"/>
      <c r="L1205" s="32"/>
      <c r="M1205" s="32">
        <v>4</v>
      </c>
      <c r="N1205" s="32"/>
      <c r="O1205" s="33"/>
      <c r="P1205" s="38"/>
      <c r="Q1205" s="34" t="str">
        <f>IF(MasterFees[[#This Row],[GST Basis]]="Excl",MasterFees[[#This Row],[Fee as Printed]],IF(MasterFees[[#This Row],[GST Basis]]="Incl",MasterFees[[#This Row],[Fee as Printed]]/(1+GST_Rate),""))</f>
        <v/>
      </c>
      <c r="R1205" s="34" t="str">
        <f>IF(MasterFees[[#This Row],[GST Basis]]="Incl",MasterFees[[#This Row],[Fee as Printed]],IF(MasterFees[[#This Row],[GST Basis]]="Excl",MasterFees[[#This Row],[Fee as Printed]]*(1+GST_Rate),""))</f>
        <v/>
      </c>
      <c r="S1205" s="35" t="str">
        <f>IF(N(MasterFees[[#This Row],[Total Units]])=0,"",MasterFees[[#This Row],[Fee as Printed]]/MasterFees[[#This Row],[Total Units]])</f>
        <v/>
      </c>
      <c r="T1205" s="36"/>
      <c r="U1205" s="39" t="s">
        <v>1016</v>
      </c>
      <c r="V1205" s="39" t="s">
        <v>2679</v>
      </c>
      <c r="W1205" s="30" t="s">
        <v>2781</v>
      </c>
      <c r="X1205" s="73" t="s">
        <v>3994</v>
      </c>
      <c r="Y1205" s="127" t="str">
        <f>_xlfn.XLOOKUP(MasterFees[[#This Row],[Provider / Payer]],Contracts[Contract Name],Contracts[Contract ID],"No contract")</f>
        <v>CON-10</v>
      </c>
      <c r="Z1205" s="127" t="str">
        <f>_xlfn.XLOOKUP(MasterFees[[#This Row],[Provider / Payer]],Contracts[Contract Name],Contracts[Pricing Basis],"To confirm")</f>
        <v>Reference – units only</v>
      </c>
      <c r="AA1205" s="127" t="str">
        <f>IF(MasterFees[[#This Row],[Pricing Basis]]="Fixed fee schedule","Yes","No")</f>
        <v>No</v>
      </c>
      <c r="AB1205" s="127" t="str">
        <f>IF(OR(MasterFees[[#This Row],[Fee Basis]]="Add-on",MasterFees[[#This Row],[Fee Basis]]="Time band",MasterFees[[#This Row],[Fee Basis]]="Other"),MasterFees[[#This Row],[Fee Basis]],"Base")</f>
        <v>Add-on</v>
      </c>
      <c r="AC1205" s="141" t="str">
        <f>IF(MasterFees[[#This Row],[Fixed Fee?]]="Yes",MasterFees[[#This Row],[Fee Excl. GST]],"")</f>
        <v/>
      </c>
    </row>
    <row r="1206" spans="1:29" x14ac:dyDescent="0.2">
      <c r="A1206" s="67" t="s">
        <v>2560</v>
      </c>
      <c r="B1206" s="31">
        <f>IF(MasterFees[[#This Row],[RVG Code]]="","",_xlfn.XLOOKUP(MasterFees[[#This Row],[RVG Code]],RVGCodes[Code],RVGCodes[Base Units],"Code not found"))</f>
        <v>25</v>
      </c>
      <c r="C120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14 - Billing for modifying factors</v>
      </c>
      <c r="D120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06" s="125" t="s">
        <v>2778</v>
      </c>
      <c r="F1206" s="48" t="s">
        <v>2565</v>
      </c>
      <c r="G1206" s="30" t="s">
        <v>2512</v>
      </c>
      <c r="H1206" s="37" t="s">
        <v>2630</v>
      </c>
      <c r="I1206" s="37" t="s">
        <v>2511</v>
      </c>
      <c r="J1206" s="37" t="s">
        <v>2678</v>
      </c>
      <c r="K1206" s="32"/>
      <c r="L1206" s="32"/>
      <c r="M1206" s="32">
        <v>25</v>
      </c>
      <c r="N1206" s="32">
        <v>25</v>
      </c>
      <c r="O1206" s="33"/>
      <c r="P1206" s="38"/>
      <c r="Q1206" s="34" t="str">
        <f>IF(MasterFees[[#This Row],[GST Basis]]="Excl",MasterFees[[#This Row],[Fee as Printed]],IF(MasterFees[[#This Row],[GST Basis]]="Incl",MasterFees[[#This Row],[Fee as Printed]]/(1+GST_Rate),""))</f>
        <v/>
      </c>
      <c r="R1206" s="34" t="str">
        <f>IF(MasterFees[[#This Row],[GST Basis]]="Incl",MasterFees[[#This Row],[Fee as Printed]],IF(MasterFees[[#This Row],[GST Basis]]="Excl",MasterFees[[#This Row],[Fee as Printed]]*(1+GST_Rate),""))</f>
        <v/>
      </c>
      <c r="S1206" s="35">
        <f>IF(N(MasterFees[[#This Row],[Total Units]])=0,"",MasterFees[[#This Row],[Fee as Printed]]/MasterFees[[#This Row],[Total Units]])</f>
        <v>0</v>
      </c>
      <c r="T1206" s="36"/>
      <c r="U1206" s="39" t="s">
        <v>1016</v>
      </c>
      <c r="V1206" s="39" t="s">
        <v>2679</v>
      </c>
      <c r="W1206" s="30" t="s">
        <v>2779</v>
      </c>
      <c r="X1206" s="73" t="s">
        <v>3993</v>
      </c>
      <c r="Y1206" s="127" t="str">
        <f>_xlfn.XLOOKUP(MasterFees[[#This Row],[Provider / Payer]],Contracts[Contract Name],Contracts[Contract ID],"No contract")</f>
        <v>CON-10</v>
      </c>
      <c r="Z1206" s="127" t="str">
        <f>_xlfn.XLOOKUP(MasterFees[[#This Row],[Provider / Payer]],Contracts[Contract Name],Contracts[Pricing Basis],"To confirm")</f>
        <v>Reference – units only</v>
      </c>
      <c r="AA1206" s="127" t="str">
        <f>IF(MasterFees[[#This Row],[Pricing Basis]]="Fixed fee schedule","Yes","No")</f>
        <v>No</v>
      </c>
      <c r="AB1206" s="127" t="str">
        <f>IF(OR(MasterFees[[#This Row],[Fee Basis]]="Add-on",MasterFees[[#This Row],[Fee Basis]]="Time band",MasterFees[[#This Row],[Fee Basis]]="Other"),MasterFees[[#This Row],[Fee Basis]],"Base")</f>
        <v>Add-on</v>
      </c>
      <c r="AC1206" s="141" t="str">
        <f>IF(MasterFees[[#This Row],[Fixed Fee?]]="Yes",MasterFees[[#This Row],[Fee Excl. GST]],"")</f>
        <v/>
      </c>
    </row>
    <row r="1207" spans="1:29" x14ac:dyDescent="0.2">
      <c r="A1207" s="67" t="s">
        <v>2532</v>
      </c>
      <c r="B1207" s="31">
        <f>IF(MasterFees[[#This Row],[RVG Code]]="","",_xlfn.XLOOKUP(MasterFees[[#This Row],[RVG Code]],RVGCodes[Code],RVGCodes[Base Units],"Code not found"))</f>
        <v>1</v>
      </c>
      <c r="C120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14 - Billing for modifying factors</v>
      </c>
      <c r="D120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07" s="125" t="s">
        <v>2788</v>
      </c>
      <c r="F1207" s="48" t="s">
        <v>2565</v>
      </c>
      <c r="G1207" s="30" t="s">
        <v>2533</v>
      </c>
      <c r="H1207" s="37" t="s">
        <v>2630</v>
      </c>
      <c r="I1207" s="37" t="s">
        <v>2532</v>
      </c>
      <c r="J1207" s="37" t="s">
        <v>2678</v>
      </c>
      <c r="K1207" s="32"/>
      <c r="L1207" s="32"/>
      <c r="M1207" s="32">
        <v>1</v>
      </c>
      <c r="N1207" s="32">
        <v>1</v>
      </c>
      <c r="O1207" s="33"/>
      <c r="P1207" s="38"/>
      <c r="Q1207" s="34" t="str">
        <f>IF(MasterFees[[#This Row],[GST Basis]]="Excl",MasterFees[[#This Row],[Fee as Printed]],IF(MasterFees[[#This Row],[GST Basis]]="Incl",MasterFees[[#This Row],[Fee as Printed]]/(1+GST_Rate),""))</f>
        <v/>
      </c>
      <c r="R1207" s="34" t="str">
        <f>IF(MasterFees[[#This Row],[GST Basis]]="Incl",MasterFees[[#This Row],[Fee as Printed]],IF(MasterFees[[#This Row],[GST Basis]]="Excl",MasterFees[[#This Row],[Fee as Printed]]*(1+GST_Rate),""))</f>
        <v/>
      </c>
      <c r="S1207" s="35">
        <f>IF(N(MasterFees[[#This Row],[Total Units]])=0,"",MasterFees[[#This Row],[Fee as Printed]]/MasterFees[[#This Row],[Total Units]])</f>
        <v>0</v>
      </c>
      <c r="T1207" s="36"/>
      <c r="U1207" s="39" t="s">
        <v>1016</v>
      </c>
      <c r="V1207" s="39" t="s">
        <v>2679</v>
      </c>
      <c r="W1207" s="30" t="s">
        <v>2789</v>
      </c>
      <c r="X1207" s="73" t="s">
        <v>3999</v>
      </c>
      <c r="Y1207" s="127" t="str">
        <f>_xlfn.XLOOKUP(MasterFees[[#This Row],[Provider / Payer]],Contracts[Contract Name],Contracts[Contract ID],"No contract")</f>
        <v>CON-10</v>
      </c>
      <c r="Z1207" s="127" t="str">
        <f>_xlfn.XLOOKUP(MasterFees[[#This Row],[Provider / Payer]],Contracts[Contract Name],Contracts[Pricing Basis],"To confirm")</f>
        <v>Reference – units only</v>
      </c>
      <c r="AA1207" s="127" t="str">
        <f>IF(MasterFees[[#This Row],[Pricing Basis]]="Fixed fee schedule","Yes","No")</f>
        <v>No</v>
      </c>
      <c r="AB1207" s="127" t="str">
        <f>IF(OR(MasterFees[[#This Row],[Fee Basis]]="Add-on",MasterFees[[#This Row],[Fee Basis]]="Time band",MasterFees[[#This Row],[Fee Basis]]="Other"),MasterFees[[#This Row],[Fee Basis]],"Base")</f>
        <v>Add-on</v>
      </c>
      <c r="AC1207" s="141" t="str">
        <f>IF(MasterFees[[#This Row],[Fixed Fee?]]="Yes",MasterFees[[#This Row],[Fee Excl. GST]],"")</f>
        <v/>
      </c>
    </row>
    <row r="1208" spans="1:29" x14ac:dyDescent="0.2">
      <c r="A1208" s="67" t="s">
        <v>2530</v>
      </c>
      <c r="B1208" s="31">
        <f>IF(MasterFees[[#This Row],[RVG Code]]="","",_xlfn.XLOOKUP(MasterFees[[#This Row],[RVG Code]],RVGCodes[Code],RVGCodes[Base Units],"Code not found"))</f>
        <v>1</v>
      </c>
      <c r="C120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14 - Billing for modifying factors</v>
      </c>
      <c r="D120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08" s="125" t="s">
        <v>2787</v>
      </c>
      <c r="F1208" s="48" t="s">
        <v>2565</v>
      </c>
      <c r="G1208" s="30" t="s">
        <v>2531</v>
      </c>
      <c r="H1208" s="37" t="s">
        <v>2630</v>
      </c>
      <c r="I1208" s="37" t="s">
        <v>2530</v>
      </c>
      <c r="J1208" s="37" t="s">
        <v>2678</v>
      </c>
      <c r="K1208" s="32"/>
      <c r="L1208" s="32"/>
      <c r="M1208" s="32">
        <v>1</v>
      </c>
      <c r="N1208" s="32">
        <v>1</v>
      </c>
      <c r="O1208" s="33"/>
      <c r="P1208" s="38"/>
      <c r="Q1208" s="34" t="str">
        <f>IF(MasterFees[[#This Row],[GST Basis]]="Excl",MasterFees[[#This Row],[Fee as Printed]],IF(MasterFees[[#This Row],[GST Basis]]="Incl",MasterFees[[#This Row],[Fee as Printed]]/(1+GST_Rate),""))</f>
        <v/>
      </c>
      <c r="R1208" s="34" t="str">
        <f>IF(MasterFees[[#This Row],[GST Basis]]="Incl",MasterFees[[#This Row],[Fee as Printed]],IF(MasterFees[[#This Row],[GST Basis]]="Excl",MasterFees[[#This Row],[Fee as Printed]]*(1+GST_Rate),""))</f>
        <v/>
      </c>
      <c r="S1208" s="35">
        <f>IF(N(MasterFees[[#This Row],[Total Units]])=0,"",MasterFees[[#This Row],[Fee as Printed]]/MasterFees[[#This Row],[Total Units]])</f>
        <v>0</v>
      </c>
      <c r="T1208" s="36"/>
      <c r="U1208" s="39" t="s">
        <v>1016</v>
      </c>
      <c r="V1208" s="39" t="s">
        <v>2679</v>
      </c>
      <c r="W1208" s="30" t="s">
        <v>2632</v>
      </c>
      <c r="X1208" s="73" t="s">
        <v>3998</v>
      </c>
      <c r="Y1208" s="127" t="str">
        <f>_xlfn.XLOOKUP(MasterFees[[#This Row],[Provider / Payer]],Contracts[Contract Name],Contracts[Contract ID],"No contract")</f>
        <v>CON-10</v>
      </c>
      <c r="Z1208" s="127" t="str">
        <f>_xlfn.XLOOKUP(MasterFees[[#This Row],[Provider / Payer]],Contracts[Contract Name],Contracts[Pricing Basis],"To confirm")</f>
        <v>Reference – units only</v>
      </c>
      <c r="AA1208" s="127" t="str">
        <f>IF(MasterFees[[#This Row],[Pricing Basis]]="Fixed fee schedule","Yes","No")</f>
        <v>No</v>
      </c>
      <c r="AB1208" s="127" t="str">
        <f>IF(OR(MasterFees[[#This Row],[Fee Basis]]="Add-on",MasterFees[[#This Row],[Fee Basis]]="Time band",MasterFees[[#This Row],[Fee Basis]]="Other"),MasterFees[[#This Row],[Fee Basis]],"Base")</f>
        <v>Add-on</v>
      </c>
      <c r="AC1208" s="141" t="str">
        <f>IF(MasterFees[[#This Row],[Fixed Fee?]]="Yes",MasterFees[[#This Row],[Fee Excl. GST]],"")</f>
        <v/>
      </c>
    </row>
    <row r="1209" spans="1:29" x14ac:dyDescent="0.2">
      <c r="A1209" s="67" t="s">
        <v>2525</v>
      </c>
      <c r="B1209" s="31">
        <f>IF(MasterFees[[#This Row],[RVG Code]]="","",_xlfn.XLOOKUP(MasterFees[[#This Row],[RVG Code]],RVGCodes[Code],RVGCodes[Base Units],"Code not found"))</f>
        <v>1</v>
      </c>
      <c r="C120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14 - Billing for modifying factors</v>
      </c>
      <c r="D120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09" s="125" t="s">
        <v>2785</v>
      </c>
      <c r="F1209" s="48" t="s">
        <v>2565</v>
      </c>
      <c r="G1209" s="30" t="s">
        <v>2526</v>
      </c>
      <c r="H1209" s="37" t="s">
        <v>2630</v>
      </c>
      <c r="I1209" s="37" t="s">
        <v>2525</v>
      </c>
      <c r="J1209" s="37" t="s">
        <v>2678</v>
      </c>
      <c r="K1209" s="32"/>
      <c r="L1209" s="32"/>
      <c r="M1209" s="32">
        <v>1</v>
      </c>
      <c r="N1209" s="32"/>
      <c r="O1209" s="33"/>
      <c r="P1209" s="38"/>
      <c r="Q1209" s="34" t="str">
        <f>IF(MasterFees[[#This Row],[GST Basis]]="Excl",MasterFees[[#This Row],[Fee as Printed]],IF(MasterFees[[#This Row],[GST Basis]]="Incl",MasterFees[[#This Row],[Fee as Printed]]/(1+GST_Rate),""))</f>
        <v/>
      </c>
      <c r="R1209" s="34" t="str">
        <f>IF(MasterFees[[#This Row],[GST Basis]]="Incl",MasterFees[[#This Row],[Fee as Printed]],IF(MasterFees[[#This Row],[GST Basis]]="Excl",MasterFees[[#This Row],[Fee as Printed]]*(1+GST_Rate),""))</f>
        <v/>
      </c>
      <c r="S1209" s="35" t="str">
        <f>IF(N(MasterFees[[#This Row],[Total Units]])=0,"",MasterFees[[#This Row],[Fee as Printed]]/MasterFees[[#This Row],[Total Units]])</f>
        <v/>
      </c>
      <c r="T1209" s="36"/>
      <c r="U1209" s="39" t="s">
        <v>1016</v>
      </c>
      <c r="V1209" s="39" t="s">
        <v>2679</v>
      </c>
      <c r="W1209" s="30" t="s">
        <v>2786</v>
      </c>
      <c r="X1209" s="73" t="s">
        <v>3997</v>
      </c>
      <c r="Y1209" s="127" t="str">
        <f>_xlfn.XLOOKUP(MasterFees[[#This Row],[Provider / Payer]],Contracts[Contract Name],Contracts[Contract ID],"No contract")</f>
        <v>CON-10</v>
      </c>
      <c r="Z1209" s="127" t="str">
        <f>_xlfn.XLOOKUP(MasterFees[[#This Row],[Provider / Payer]],Contracts[Contract Name],Contracts[Pricing Basis],"To confirm")</f>
        <v>Reference – units only</v>
      </c>
      <c r="AA1209" s="127" t="str">
        <f>IF(MasterFees[[#This Row],[Pricing Basis]]="Fixed fee schedule","Yes","No")</f>
        <v>No</v>
      </c>
      <c r="AB1209" s="127" t="str">
        <f>IF(OR(MasterFees[[#This Row],[Fee Basis]]="Add-on",MasterFees[[#This Row],[Fee Basis]]="Time band",MasterFees[[#This Row],[Fee Basis]]="Other"),MasterFees[[#This Row],[Fee Basis]],"Base")</f>
        <v>Add-on</v>
      </c>
      <c r="AC1209" s="141" t="str">
        <f>IF(MasterFees[[#This Row],[Fixed Fee?]]="Yes",MasterFees[[#This Row],[Fee Excl. GST]],"")</f>
        <v/>
      </c>
    </row>
    <row r="1210" spans="1:29" x14ac:dyDescent="0.2">
      <c r="A1210" s="67" t="s">
        <v>2503</v>
      </c>
      <c r="B1210" s="31">
        <f>IF(MasterFees[[#This Row],[RVG Code]]="","",_xlfn.XLOOKUP(MasterFees[[#This Row],[RVG Code]],RVGCodes[Code],RVGCodes[Base Units],"Code not found"))</f>
        <v>2</v>
      </c>
      <c r="C121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14 - Billing for modifying factors</v>
      </c>
      <c r="D121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10" s="125" t="s">
        <v>2774</v>
      </c>
      <c r="F1210" s="48" t="s">
        <v>2565</v>
      </c>
      <c r="G1210" s="30" t="s">
        <v>2504</v>
      </c>
      <c r="H1210" s="37" t="s">
        <v>2630</v>
      </c>
      <c r="I1210" s="37" t="s">
        <v>2503</v>
      </c>
      <c r="J1210" s="37" t="s">
        <v>2678</v>
      </c>
      <c r="K1210" s="32"/>
      <c r="L1210" s="32"/>
      <c r="M1210" s="32">
        <v>2</v>
      </c>
      <c r="N1210" s="32">
        <v>2</v>
      </c>
      <c r="O1210" s="33"/>
      <c r="P1210" s="38"/>
      <c r="Q1210" s="34" t="str">
        <f>IF(MasterFees[[#This Row],[GST Basis]]="Excl",MasterFees[[#This Row],[Fee as Printed]],IF(MasterFees[[#This Row],[GST Basis]]="Incl",MasterFees[[#This Row],[Fee as Printed]]/(1+GST_Rate),""))</f>
        <v/>
      </c>
      <c r="R1210" s="34" t="str">
        <f>IF(MasterFees[[#This Row],[GST Basis]]="Incl",MasterFees[[#This Row],[Fee as Printed]],IF(MasterFees[[#This Row],[GST Basis]]="Excl",MasterFees[[#This Row],[Fee as Printed]]*(1+GST_Rate),""))</f>
        <v/>
      </c>
      <c r="S1210" s="35">
        <f>IF(N(MasterFees[[#This Row],[Total Units]])=0,"",MasterFees[[#This Row],[Fee as Printed]]/MasterFees[[#This Row],[Total Units]])</f>
        <v>0</v>
      </c>
      <c r="T1210" s="36"/>
      <c r="U1210" s="39" t="s">
        <v>1016</v>
      </c>
      <c r="V1210" s="39" t="s">
        <v>2679</v>
      </c>
      <c r="W1210" s="30" t="s">
        <v>2632</v>
      </c>
      <c r="X1210" s="73" t="s">
        <v>3990</v>
      </c>
      <c r="Y1210" s="127" t="str">
        <f>_xlfn.XLOOKUP(MasterFees[[#This Row],[Provider / Payer]],Contracts[Contract Name],Contracts[Contract ID],"No contract")</f>
        <v>CON-10</v>
      </c>
      <c r="Z1210" s="127" t="str">
        <f>_xlfn.XLOOKUP(MasterFees[[#This Row],[Provider / Payer]],Contracts[Contract Name],Contracts[Pricing Basis],"To confirm")</f>
        <v>Reference – units only</v>
      </c>
      <c r="AA1210" s="127" t="str">
        <f>IF(MasterFees[[#This Row],[Pricing Basis]]="Fixed fee schedule","Yes","No")</f>
        <v>No</v>
      </c>
      <c r="AB1210" s="127" t="str">
        <f>IF(OR(MasterFees[[#This Row],[Fee Basis]]="Add-on",MasterFees[[#This Row],[Fee Basis]]="Time band",MasterFees[[#This Row],[Fee Basis]]="Other"),MasterFees[[#This Row],[Fee Basis]],"Base")</f>
        <v>Add-on</v>
      </c>
      <c r="AC1210" s="141" t="str">
        <f>IF(MasterFees[[#This Row],[Fixed Fee?]]="Yes",MasterFees[[#This Row],[Fee Excl. GST]],"")</f>
        <v/>
      </c>
    </row>
    <row r="1211" spans="1:29" x14ac:dyDescent="0.2">
      <c r="A1211" s="67" t="s">
        <v>2501</v>
      </c>
      <c r="B1211" s="31">
        <f>IF(MasterFees[[#This Row],[RVG Code]]="","",_xlfn.XLOOKUP(MasterFees[[#This Row],[RVG Code]],RVGCodes[Code],RVGCodes[Base Units],"Code not found"))</f>
        <v>6</v>
      </c>
      <c r="C121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14 - Billing for modifying factors</v>
      </c>
      <c r="D121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11" s="125" t="s">
        <v>2773</v>
      </c>
      <c r="F1211" s="48" t="s">
        <v>2565</v>
      </c>
      <c r="G1211" s="30" t="s">
        <v>2502</v>
      </c>
      <c r="H1211" s="37" t="s">
        <v>2630</v>
      </c>
      <c r="I1211" s="37" t="s">
        <v>2501</v>
      </c>
      <c r="J1211" s="37" t="s">
        <v>2678</v>
      </c>
      <c r="K1211" s="32"/>
      <c r="L1211" s="32"/>
      <c r="M1211" s="32">
        <v>6</v>
      </c>
      <c r="N1211" s="32">
        <v>6</v>
      </c>
      <c r="O1211" s="33"/>
      <c r="P1211" s="38"/>
      <c r="Q1211" s="34" t="str">
        <f>IF(MasterFees[[#This Row],[GST Basis]]="Excl",MasterFees[[#This Row],[Fee as Printed]],IF(MasterFees[[#This Row],[GST Basis]]="Incl",MasterFees[[#This Row],[Fee as Printed]]/(1+GST_Rate),""))</f>
        <v/>
      </c>
      <c r="R1211" s="34" t="str">
        <f>IF(MasterFees[[#This Row],[GST Basis]]="Incl",MasterFees[[#This Row],[Fee as Printed]],IF(MasterFees[[#This Row],[GST Basis]]="Excl",MasterFees[[#This Row],[Fee as Printed]]*(1+GST_Rate),""))</f>
        <v/>
      </c>
      <c r="S1211" s="35">
        <f>IF(N(MasterFees[[#This Row],[Total Units]])=0,"",MasterFees[[#This Row],[Fee as Printed]]/MasterFees[[#This Row],[Total Units]])</f>
        <v>0</v>
      </c>
      <c r="T1211" s="36"/>
      <c r="U1211" s="39" t="s">
        <v>1016</v>
      </c>
      <c r="V1211" s="39" t="s">
        <v>2679</v>
      </c>
      <c r="W1211" s="30" t="s">
        <v>2632</v>
      </c>
      <c r="X1211" s="73" t="s">
        <v>3989</v>
      </c>
      <c r="Y1211" s="127" t="str">
        <f>_xlfn.XLOOKUP(MasterFees[[#This Row],[Provider / Payer]],Contracts[Contract Name],Contracts[Contract ID],"No contract")</f>
        <v>CON-10</v>
      </c>
      <c r="Z1211" s="127" t="str">
        <f>_xlfn.XLOOKUP(MasterFees[[#This Row],[Provider / Payer]],Contracts[Contract Name],Contracts[Pricing Basis],"To confirm")</f>
        <v>Reference – units only</v>
      </c>
      <c r="AA1211" s="127" t="str">
        <f>IF(MasterFees[[#This Row],[Pricing Basis]]="Fixed fee schedule","Yes","No")</f>
        <v>No</v>
      </c>
      <c r="AB1211" s="127" t="str">
        <f>IF(OR(MasterFees[[#This Row],[Fee Basis]]="Add-on",MasterFees[[#This Row],[Fee Basis]]="Time band",MasterFees[[#This Row],[Fee Basis]]="Other"),MasterFees[[#This Row],[Fee Basis]],"Base")</f>
        <v>Add-on</v>
      </c>
      <c r="AC1211" s="141" t="str">
        <f>IF(MasterFees[[#This Row],[Fixed Fee?]]="Yes",MasterFees[[#This Row],[Fee Excl. GST]],"")</f>
        <v/>
      </c>
    </row>
    <row r="1212" spans="1:29" x14ac:dyDescent="0.2">
      <c r="A1212" s="67" t="s">
        <v>2523</v>
      </c>
      <c r="B1212" s="31">
        <f>IF(MasterFees[[#This Row],[RVG Code]]="","",_xlfn.XLOOKUP(MasterFees[[#This Row],[RVG Code]],RVGCodes[Code],RVGCodes[Base Units],"Code not found"))</f>
        <v>4</v>
      </c>
      <c r="C121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14 - Billing for modifying factors</v>
      </c>
      <c r="D121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12" s="125" t="s">
        <v>2784</v>
      </c>
      <c r="F1212" s="48" t="s">
        <v>2565</v>
      </c>
      <c r="G1212" s="30" t="s">
        <v>2524</v>
      </c>
      <c r="H1212" s="37" t="s">
        <v>2630</v>
      </c>
      <c r="I1212" s="37" t="s">
        <v>2523</v>
      </c>
      <c r="J1212" s="37" t="s">
        <v>2678</v>
      </c>
      <c r="K1212" s="32"/>
      <c r="L1212" s="32"/>
      <c r="M1212" s="32">
        <v>4</v>
      </c>
      <c r="N1212" s="32"/>
      <c r="O1212" s="33"/>
      <c r="P1212" s="38"/>
      <c r="Q1212" s="34" t="str">
        <f>IF(MasterFees[[#This Row],[GST Basis]]="Excl",MasterFees[[#This Row],[Fee as Printed]],IF(MasterFees[[#This Row],[GST Basis]]="Incl",MasterFees[[#This Row],[Fee as Printed]]/(1+GST_Rate),""))</f>
        <v/>
      </c>
      <c r="R1212" s="34" t="str">
        <f>IF(MasterFees[[#This Row],[GST Basis]]="Incl",MasterFees[[#This Row],[Fee as Printed]],IF(MasterFees[[#This Row],[GST Basis]]="Excl",MasterFees[[#This Row],[Fee as Printed]]*(1+GST_Rate),""))</f>
        <v/>
      </c>
      <c r="S1212" s="35" t="str">
        <f>IF(N(MasterFees[[#This Row],[Total Units]])=0,"",MasterFees[[#This Row],[Fee as Printed]]/MasterFees[[#This Row],[Total Units]])</f>
        <v/>
      </c>
      <c r="T1212" s="36"/>
      <c r="U1212" s="39" t="s">
        <v>1016</v>
      </c>
      <c r="V1212" s="39" t="s">
        <v>2679</v>
      </c>
      <c r="W1212" s="30" t="s">
        <v>2728</v>
      </c>
      <c r="X1212" s="73" t="s">
        <v>3996</v>
      </c>
      <c r="Y1212" s="127" t="str">
        <f>_xlfn.XLOOKUP(MasterFees[[#This Row],[Provider / Payer]],Contracts[Contract Name],Contracts[Contract ID],"No contract")</f>
        <v>CON-10</v>
      </c>
      <c r="Z1212" s="127" t="str">
        <f>_xlfn.XLOOKUP(MasterFees[[#This Row],[Provider / Payer]],Contracts[Contract Name],Contracts[Pricing Basis],"To confirm")</f>
        <v>Reference – units only</v>
      </c>
      <c r="AA1212" s="127" t="str">
        <f>IF(MasterFees[[#This Row],[Pricing Basis]]="Fixed fee schedule","Yes","No")</f>
        <v>No</v>
      </c>
      <c r="AB1212" s="127" t="str">
        <f>IF(OR(MasterFees[[#This Row],[Fee Basis]]="Add-on",MasterFees[[#This Row],[Fee Basis]]="Time band",MasterFees[[#This Row],[Fee Basis]]="Other"),MasterFees[[#This Row],[Fee Basis]],"Base")</f>
        <v>Add-on</v>
      </c>
      <c r="AC1212" s="141" t="str">
        <f>IF(MasterFees[[#This Row],[Fixed Fee?]]="Yes",MasterFees[[#This Row],[Fee Excl. GST]],"")</f>
        <v/>
      </c>
    </row>
    <row r="1213" spans="1:29" x14ac:dyDescent="0.2">
      <c r="A1213" s="67" t="s">
        <v>2519</v>
      </c>
      <c r="B1213" s="31">
        <f>IF(MasterFees[[#This Row],[RVG Code]]="","",_xlfn.XLOOKUP(MasterFees[[#This Row],[RVG Code]],RVGCodes[Code],RVGCodes[Base Units],"Code not found"))</f>
        <v>1</v>
      </c>
      <c r="C121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14 - Billing for modifying factors</v>
      </c>
      <c r="D121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13" s="125" t="s">
        <v>2782</v>
      </c>
      <c r="F1213" s="48" t="s">
        <v>2565</v>
      </c>
      <c r="G1213" s="30" t="s">
        <v>2520</v>
      </c>
      <c r="H1213" s="37" t="s">
        <v>2630</v>
      </c>
      <c r="I1213" s="37" t="s">
        <v>2519</v>
      </c>
      <c r="J1213" s="37" t="s">
        <v>2678</v>
      </c>
      <c r="K1213" s="32"/>
      <c r="L1213" s="32"/>
      <c r="M1213" s="32">
        <v>1</v>
      </c>
      <c r="N1213" s="32"/>
      <c r="O1213" s="33"/>
      <c r="P1213" s="38"/>
      <c r="Q1213" s="34" t="str">
        <f>IF(MasterFees[[#This Row],[GST Basis]]="Excl",MasterFees[[#This Row],[Fee as Printed]],IF(MasterFees[[#This Row],[GST Basis]]="Incl",MasterFees[[#This Row],[Fee as Printed]]/(1+GST_Rate),""))</f>
        <v/>
      </c>
      <c r="R1213" s="34" t="str">
        <f>IF(MasterFees[[#This Row],[GST Basis]]="Incl",MasterFees[[#This Row],[Fee as Printed]],IF(MasterFees[[#This Row],[GST Basis]]="Excl",MasterFees[[#This Row],[Fee as Printed]]*(1+GST_Rate),""))</f>
        <v/>
      </c>
      <c r="S1213" s="35" t="str">
        <f>IF(N(MasterFees[[#This Row],[Total Units]])=0,"",MasterFees[[#This Row],[Fee as Printed]]/MasterFees[[#This Row],[Total Units]])</f>
        <v/>
      </c>
      <c r="T1213" s="36"/>
      <c r="U1213" s="39" t="s">
        <v>1016</v>
      </c>
      <c r="V1213" s="39" t="s">
        <v>2679</v>
      </c>
      <c r="W1213" s="30" t="s">
        <v>2783</v>
      </c>
      <c r="X1213" s="73" t="s">
        <v>3995</v>
      </c>
      <c r="Y1213" s="127" t="str">
        <f>_xlfn.XLOOKUP(MasterFees[[#This Row],[Provider / Payer]],Contracts[Contract Name],Contracts[Contract ID],"No contract")</f>
        <v>CON-10</v>
      </c>
      <c r="Z1213" s="127" t="str">
        <f>_xlfn.XLOOKUP(MasterFees[[#This Row],[Provider / Payer]],Contracts[Contract Name],Contracts[Pricing Basis],"To confirm")</f>
        <v>Reference – units only</v>
      </c>
      <c r="AA1213" s="127" t="str">
        <f>IF(MasterFees[[#This Row],[Pricing Basis]]="Fixed fee schedule","Yes","No")</f>
        <v>No</v>
      </c>
      <c r="AB1213" s="127" t="str">
        <f>IF(OR(MasterFees[[#This Row],[Fee Basis]]="Add-on",MasterFees[[#This Row],[Fee Basis]]="Time band",MasterFees[[#This Row],[Fee Basis]]="Other"),MasterFees[[#This Row],[Fee Basis]],"Base")</f>
        <v>Add-on</v>
      </c>
      <c r="AC1213" s="141" t="str">
        <f>IF(MasterFees[[#This Row],[Fixed Fee?]]="Yes",MasterFees[[#This Row],[Fee Excl. GST]],"")</f>
        <v/>
      </c>
    </row>
    <row r="1214" spans="1:29" x14ac:dyDescent="0.2">
      <c r="A1214" s="67" t="s">
        <v>2505</v>
      </c>
      <c r="B1214" s="31">
        <f>IF(MasterFees[[#This Row],[RVG Code]]="","",_xlfn.XLOOKUP(MasterFees[[#This Row],[RVG Code]],RVGCodes[Code],RVGCodes[Base Units],"Code not found"))</f>
        <v>0</v>
      </c>
      <c r="C121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14 - Billing for modifying factors</v>
      </c>
      <c r="D121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14" s="125" t="s">
        <v>2775</v>
      </c>
      <c r="F1214" s="48" t="s">
        <v>2565</v>
      </c>
      <c r="G1214" s="30" t="s">
        <v>2506</v>
      </c>
      <c r="H1214" s="37" t="s">
        <v>2630</v>
      </c>
      <c r="I1214" s="37" t="s">
        <v>2505</v>
      </c>
      <c r="J1214" s="37" t="s">
        <v>2678</v>
      </c>
      <c r="K1214" s="32"/>
      <c r="L1214" s="32"/>
      <c r="M1214" s="32"/>
      <c r="N1214" s="32"/>
      <c r="O1214" s="33"/>
      <c r="P1214" s="38"/>
      <c r="Q1214" s="34" t="str">
        <f>IF(MasterFees[[#This Row],[GST Basis]]="Excl",MasterFees[[#This Row],[Fee as Printed]],IF(MasterFees[[#This Row],[GST Basis]]="Incl",MasterFees[[#This Row],[Fee as Printed]]/(1+GST_Rate),""))</f>
        <v/>
      </c>
      <c r="R1214" s="34" t="str">
        <f>IF(MasterFees[[#This Row],[GST Basis]]="Incl",MasterFees[[#This Row],[Fee as Printed]],IF(MasterFees[[#This Row],[GST Basis]]="Excl",MasterFees[[#This Row],[Fee as Printed]]*(1+GST_Rate),""))</f>
        <v/>
      </c>
      <c r="S1214" s="35" t="str">
        <f>IF(N(MasterFees[[#This Row],[Total Units]])=0,"",MasterFees[[#This Row],[Fee as Printed]]/MasterFees[[#This Row],[Total Units]])</f>
        <v/>
      </c>
      <c r="T1214" s="36"/>
      <c r="U1214" s="39" t="s">
        <v>1016</v>
      </c>
      <c r="V1214" s="39" t="s">
        <v>2679</v>
      </c>
      <c r="W1214" s="30" t="s">
        <v>2776</v>
      </c>
      <c r="X1214" s="73" t="s">
        <v>3991</v>
      </c>
      <c r="Y1214" s="127" t="str">
        <f>_xlfn.XLOOKUP(MasterFees[[#This Row],[Provider / Payer]],Contracts[Contract Name],Contracts[Contract ID],"No contract")</f>
        <v>CON-10</v>
      </c>
      <c r="Z1214" s="127" t="str">
        <f>_xlfn.XLOOKUP(MasterFees[[#This Row],[Provider / Payer]],Contracts[Contract Name],Contracts[Pricing Basis],"To confirm")</f>
        <v>Reference – units only</v>
      </c>
      <c r="AA1214" s="127" t="str">
        <f>IF(MasterFees[[#This Row],[Pricing Basis]]="Fixed fee schedule","Yes","No")</f>
        <v>No</v>
      </c>
      <c r="AB1214" s="127" t="str">
        <f>IF(OR(MasterFees[[#This Row],[Fee Basis]]="Add-on",MasterFees[[#This Row],[Fee Basis]]="Time band",MasterFees[[#This Row],[Fee Basis]]="Other"),MasterFees[[#This Row],[Fee Basis]],"Base")</f>
        <v>Add-on</v>
      </c>
      <c r="AC1214" s="141" t="str">
        <f>IF(MasterFees[[#This Row],[Fixed Fee?]]="Yes",MasterFees[[#This Row],[Fee Excl. GST]],"")</f>
        <v/>
      </c>
    </row>
    <row r="1215" spans="1:29" x14ac:dyDescent="0.2">
      <c r="A1215" s="67" t="s">
        <v>2461</v>
      </c>
      <c r="B1215" s="31">
        <f>IF(MasterFees[[#This Row],[RVG Code]]="","",_xlfn.XLOOKUP(MasterFees[[#This Row],[RVG Code]],RVGCodes[Code],RVGCodes[Base Units],"Code not found"))</f>
        <v>2</v>
      </c>
      <c r="C121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14 - Billing for modifying factors</v>
      </c>
      <c r="D121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15" s="125" t="s">
        <v>2751</v>
      </c>
      <c r="F1215" s="48" t="s">
        <v>2565</v>
      </c>
      <c r="G1215" s="30" t="s">
        <v>2462</v>
      </c>
      <c r="H1215" s="37" t="s">
        <v>2630</v>
      </c>
      <c r="I1215" s="37" t="s">
        <v>2461</v>
      </c>
      <c r="J1215" s="37" t="s">
        <v>2678</v>
      </c>
      <c r="K1215" s="32"/>
      <c r="L1215" s="32"/>
      <c r="M1215" s="32">
        <v>2</v>
      </c>
      <c r="N1215" s="32">
        <v>2</v>
      </c>
      <c r="O1215" s="33"/>
      <c r="P1215" s="38"/>
      <c r="Q1215" s="34" t="str">
        <f>IF(MasterFees[[#This Row],[GST Basis]]="Excl",MasterFees[[#This Row],[Fee as Printed]],IF(MasterFees[[#This Row],[GST Basis]]="Incl",MasterFees[[#This Row],[Fee as Printed]]/(1+GST_Rate),""))</f>
        <v/>
      </c>
      <c r="R1215" s="34" t="str">
        <f>IF(MasterFees[[#This Row],[GST Basis]]="Incl",MasterFees[[#This Row],[Fee as Printed]],IF(MasterFees[[#This Row],[GST Basis]]="Excl",MasterFees[[#This Row],[Fee as Printed]]*(1+GST_Rate),""))</f>
        <v/>
      </c>
      <c r="S1215" s="35">
        <f>IF(N(MasterFees[[#This Row],[Total Units]])=0,"",MasterFees[[#This Row],[Fee as Printed]]/MasterFees[[#This Row],[Total Units]])</f>
        <v>0</v>
      </c>
      <c r="T1215" s="36"/>
      <c r="U1215" s="39" t="s">
        <v>1016</v>
      </c>
      <c r="V1215" s="39" t="s">
        <v>2750</v>
      </c>
      <c r="W1215" s="30" t="s">
        <v>2632</v>
      </c>
      <c r="X1215" s="73" t="s">
        <v>3972</v>
      </c>
      <c r="Y1215" s="127" t="str">
        <f>_xlfn.XLOOKUP(MasterFees[[#This Row],[Provider / Payer]],Contracts[Contract Name],Contracts[Contract ID],"No contract")</f>
        <v>CON-10</v>
      </c>
      <c r="Z1215" s="127" t="str">
        <f>_xlfn.XLOOKUP(MasterFees[[#This Row],[Provider / Payer]],Contracts[Contract Name],Contracts[Pricing Basis],"To confirm")</f>
        <v>Reference – units only</v>
      </c>
      <c r="AA1215" s="127" t="str">
        <f>IF(MasterFees[[#This Row],[Pricing Basis]]="Fixed fee schedule","Yes","No")</f>
        <v>No</v>
      </c>
      <c r="AB1215" s="127" t="str">
        <f>IF(OR(MasterFees[[#This Row],[Fee Basis]]="Add-on",MasterFees[[#This Row],[Fee Basis]]="Time band",MasterFees[[#This Row],[Fee Basis]]="Other"),MasterFees[[#This Row],[Fee Basis]],"Base")</f>
        <v>Add-on</v>
      </c>
      <c r="AC1215" s="141" t="str">
        <f>IF(MasterFees[[#This Row],[Fixed Fee?]]="Yes",MasterFees[[#This Row],[Fee Excl. GST]],"")</f>
        <v/>
      </c>
    </row>
    <row r="1216" spans="1:29" x14ac:dyDescent="0.2">
      <c r="A1216" s="67" t="s">
        <v>2458</v>
      </c>
      <c r="B1216" s="31">
        <f>IF(MasterFees[[#This Row],[RVG Code]]="","",_xlfn.XLOOKUP(MasterFees[[#This Row],[RVG Code]],RVGCodes[Code],RVGCodes[Base Units],"Code not found"))</f>
        <v>1</v>
      </c>
      <c r="C121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14 - Billing for modifying factors</v>
      </c>
      <c r="D121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16" s="125" t="s">
        <v>2749</v>
      </c>
      <c r="F1216" s="48" t="s">
        <v>2565</v>
      </c>
      <c r="G1216" s="30" t="s">
        <v>2459</v>
      </c>
      <c r="H1216" s="37" t="s">
        <v>2630</v>
      </c>
      <c r="I1216" s="37" t="s">
        <v>2458</v>
      </c>
      <c r="J1216" s="37" t="s">
        <v>2678</v>
      </c>
      <c r="K1216" s="32"/>
      <c r="L1216" s="32"/>
      <c r="M1216" s="32">
        <v>1</v>
      </c>
      <c r="N1216" s="32">
        <v>1</v>
      </c>
      <c r="O1216" s="33"/>
      <c r="P1216" s="38"/>
      <c r="Q1216" s="34" t="str">
        <f>IF(MasterFees[[#This Row],[GST Basis]]="Excl",MasterFees[[#This Row],[Fee as Printed]],IF(MasterFees[[#This Row],[GST Basis]]="Incl",MasterFees[[#This Row],[Fee as Printed]]/(1+GST_Rate),""))</f>
        <v/>
      </c>
      <c r="R1216" s="34" t="str">
        <f>IF(MasterFees[[#This Row],[GST Basis]]="Incl",MasterFees[[#This Row],[Fee as Printed]],IF(MasterFees[[#This Row],[GST Basis]]="Excl",MasterFees[[#This Row],[Fee as Printed]]*(1+GST_Rate),""))</f>
        <v/>
      </c>
      <c r="S1216" s="35">
        <f>IF(N(MasterFees[[#This Row],[Total Units]])=0,"",MasterFees[[#This Row],[Fee as Printed]]/MasterFees[[#This Row],[Total Units]])</f>
        <v>0</v>
      </c>
      <c r="T1216" s="36"/>
      <c r="U1216" s="39" t="s">
        <v>1016</v>
      </c>
      <c r="V1216" s="39" t="s">
        <v>2750</v>
      </c>
      <c r="W1216" s="30" t="s">
        <v>2632</v>
      </c>
      <c r="X1216" s="73" t="s">
        <v>3971</v>
      </c>
      <c r="Y1216" s="127" t="str">
        <f>_xlfn.XLOOKUP(MasterFees[[#This Row],[Provider / Payer]],Contracts[Contract Name],Contracts[Contract ID],"No contract")</f>
        <v>CON-10</v>
      </c>
      <c r="Z1216" s="127" t="str">
        <f>_xlfn.XLOOKUP(MasterFees[[#This Row],[Provider / Payer]],Contracts[Contract Name],Contracts[Pricing Basis],"To confirm")</f>
        <v>Reference – units only</v>
      </c>
      <c r="AA1216" s="127" t="str">
        <f>IF(MasterFees[[#This Row],[Pricing Basis]]="Fixed fee schedule","Yes","No")</f>
        <v>No</v>
      </c>
      <c r="AB1216" s="127" t="str">
        <f>IF(OR(MasterFees[[#This Row],[Fee Basis]]="Add-on",MasterFees[[#This Row],[Fee Basis]]="Time band",MasterFees[[#This Row],[Fee Basis]]="Other"),MasterFees[[#This Row],[Fee Basis]],"Base")</f>
        <v>Add-on</v>
      </c>
      <c r="AC1216" s="141" t="str">
        <f>IF(MasterFees[[#This Row],[Fixed Fee?]]="Yes",MasterFees[[#This Row],[Fee Excl. GST]],"")</f>
        <v/>
      </c>
    </row>
    <row r="1217" spans="1:29" x14ac:dyDescent="0.2">
      <c r="A1217" s="67" t="s">
        <v>2499</v>
      </c>
      <c r="B1217" s="31">
        <f>IF(MasterFees[[#This Row],[RVG Code]]="","",_xlfn.XLOOKUP(MasterFees[[#This Row],[RVG Code]],RVGCodes[Code],RVGCodes[Base Units],"Code not found"))</f>
        <v>2</v>
      </c>
      <c r="C121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14 - Billing for modifying factors</v>
      </c>
      <c r="D121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17" s="125" t="s">
        <v>2772</v>
      </c>
      <c r="F1217" s="48" t="s">
        <v>2565</v>
      </c>
      <c r="G1217" s="30" t="s">
        <v>2500</v>
      </c>
      <c r="H1217" s="37" t="s">
        <v>2630</v>
      </c>
      <c r="I1217" s="37" t="s">
        <v>2499</v>
      </c>
      <c r="J1217" s="37" t="s">
        <v>2678</v>
      </c>
      <c r="K1217" s="32"/>
      <c r="L1217" s="32"/>
      <c r="M1217" s="32">
        <v>2</v>
      </c>
      <c r="N1217" s="32">
        <v>2</v>
      </c>
      <c r="O1217" s="33"/>
      <c r="P1217" s="38"/>
      <c r="Q1217" s="34" t="str">
        <f>IF(MasterFees[[#This Row],[GST Basis]]="Excl",MasterFees[[#This Row],[Fee as Printed]],IF(MasterFees[[#This Row],[GST Basis]]="Incl",MasterFees[[#This Row],[Fee as Printed]]/(1+GST_Rate),""))</f>
        <v/>
      </c>
      <c r="R1217" s="34" t="str">
        <f>IF(MasterFees[[#This Row],[GST Basis]]="Incl",MasterFees[[#This Row],[Fee as Printed]],IF(MasterFees[[#This Row],[GST Basis]]="Excl",MasterFees[[#This Row],[Fee as Printed]]*(1+GST_Rate),""))</f>
        <v/>
      </c>
      <c r="S1217" s="35">
        <f>IF(N(MasterFees[[#This Row],[Total Units]])=0,"",MasterFees[[#This Row],[Fee as Printed]]/MasterFees[[#This Row],[Total Units]])</f>
        <v>0</v>
      </c>
      <c r="T1217" s="36"/>
      <c r="U1217" s="39" t="s">
        <v>1016</v>
      </c>
      <c r="V1217" s="39" t="s">
        <v>2679</v>
      </c>
      <c r="W1217" s="30" t="s">
        <v>2632</v>
      </c>
      <c r="X1217" s="73" t="s">
        <v>3988</v>
      </c>
      <c r="Y1217" s="127" t="str">
        <f>_xlfn.XLOOKUP(MasterFees[[#This Row],[Provider / Payer]],Contracts[Contract Name],Contracts[Contract ID],"No contract")</f>
        <v>CON-10</v>
      </c>
      <c r="Z1217" s="127" t="str">
        <f>_xlfn.XLOOKUP(MasterFees[[#This Row],[Provider / Payer]],Contracts[Contract Name],Contracts[Pricing Basis],"To confirm")</f>
        <v>Reference – units only</v>
      </c>
      <c r="AA1217" s="127" t="str">
        <f>IF(MasterFees[[#This Row],[Pricing Basis]]="Fixed fee schedule","Yes","No")</f>
        <v>No</v>
      </c>
      <c r="AB1217" s="127" t="str">
        <f>IF(OR(MasterFees[[#This Row],[Fee Basis]]="Add-on",MasterFees[[#This Row],[Fee Basis]]="Time band",MasterFees[[#This Row],[Fee Basis]]="Other"),MasterFees[[#This Row],[Fee Basis]],"Base")</f>
        <v>Add-on</v>
      </c>
      <c r="AC1217" s="141" t="str">
        <f>IF(MasterFees[[#This Row],[Fixed Fee?]]="Yes",MasterFees[[#This Row],[Fee Excl. GST]],"")</f>
        <v/>
      </c>
    </row>
    <row r="1218" spans="1:29" x14ac:dyDescent="0.2">
      <c r="A1218" s="67"/>
      <c r="B1218" s="31" t="str">
        <f>IF(MasterFees[[#This Row],[RVG Code]]="","",_xlfn.XLOOKUP(MasterFees[[#This Row],[RVG Code]],RVGCodes[Code],RVGCodes[Base Units],"Code not found"))</f>
        <v/>
      </c>
      <c r="C121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15 - Preoperative consultations for ACC Patients</v>
      </c>
      <c r="D121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ACC Clinical Services Table 2</v>
      </c>
      <c r="E1218" s="125" t="s">
        <v>2579</v>
      </c>
      <c r="F1218" s="48" t="s">
        <v>2569</v>
      </c>
      <c r="G1218" s="30" t="s">
        <v>2544</v>
      </c>
      <c r="H1218" s="37" t="s">
        <v>2674</v>
      </c>
      <c r="I1218" s="37" t="s">
        <v>2543</v>
      </c>
      <c r="J1218" s="37" t="s">
        <v>2675</v>
      </c>
      <c r="K1218" s="32"/>
      <c r="L1218" s="32"/>
      <c r="M1218" s="32"/>
      <c r="N1218" s="32"/>
      <c r="O1218" s="33"/>
      <c r="P1218" s="38"/>
      <c r="Q1218" s="34" t="str">
        <f>IF(MasterFees[[#This Row],[GST Basis]]="Excl",MasterFees[[#This Row],[Fee as Printed]],IF(MasterFees[[#This Row],[GST Basis]]="Incl",MasterFees[[#This Row],[Fee as Printed]]/(1+GST_Rate),""))</f>
        <v/>
      </c>
      <c r="R1218" s="34" t="str">
        <f>IF(MasterFees[[#This Row],[GST Basis]]="Incl",MasterFees[[#This Row],[Fee as Printed]],IF(MasterFees[[#This Row],[GST Basis]]="Excl",MasterFees[[#This Row],[Fee as Printed]]*(1+GST_Rate),""))</f>
        <v/>
      </c>
      <c r="S1218" s="35" t="str">
        <f>IF(N(MasterFees[[#This Row],[Total Units]])=0,"",MasterFees[[#This Row],[Fee as Printed]]/MasterFees[[#This Row],[Total Units]])</f>
        <v/>
      </c>
      <c r="T1218" s="36"/>
      <c r="U1218" s="39" t="s">
        <v>1016</v>
      </c>
      <c r="V1218" s="39" t="s">
        <v>2676</v>
      </c>
      <c r="W1218" s="30" t="s">
        <v>2677</v>
      </c>
      <c r="X1218" s="73" t="s">
        <v>3108</v>
      </c>
      <c r="Y1218" s="127" t="str">
        <f>_xlfn.XLOOKUP(MasterFees[[#This Row],[Provider / Payer]],Contracts[Contract Name],Contracts[Contract ID],"No contract")</f>
        <v>CON-09</v>
      </c>
      <c r="Z1218" s="127" t="str">
        <f>_xlfn.XLOOKUP(MasterFees[[#This Row],[Provider / Payer]],Contracts[Contract Name],Contracts[Pricing Basis],"To confirm")</f>
        <v>To confirm</v>
      </c>
      <c r="AA1218" s="127" t="str">
        <f>IF(MasterFees[[#This Row],[Pricing Basis]]="Fixed fee schedule","Yes","No")</f>
        <v>No</v>
      </c>
      <c r="AB1218" s="127" t="str">
        <f>IF(OR(MasterFees[[#This Row],[Fee Basis]]="Add-on",MasterFees[[#This Row],[Fee Basis]]="Time band",MasterFees[[#This Row],[Fee Basis]]="Other"),MasterFees[[#This Row],[Fee Basis]],"Base")</f>
        <v>Other</v>
      </c>
      <c r="AC1218" s="141" t="str">
        <f>IF(MasterFees[[#This Row],[Fixed Fee?]]="Yes",MasterFees[[#This Row],[Fee Excl. GST]],"")</f>
        <v/>
      </c>
    </row>
    <row r="1219" spans="1:29" x14ac:dyDescent="0.2">
      <c r="A1219" s="67" t="s">
        <v>2183</v>
      </c>
      <c r="B1219" s="31" t="str">
        <f>IF(MasterFees[[#This Row],[RVG Code]]="","",_xlfn.XLOOKUP(MasterFees[[#This Row],[RVG Code]],RVGCodes[Code],RVGCodes[Base Units],"Code not found"))</f>
        <v/>
      </c>
      <c r="C121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15 - Preoperative consultations for ACC Patients</v>
      </c>
      <c r="D121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ACC Clinical Services Table 2</v>
      </c>
      <c r="E1219" s="125" t="s">
        <v>2579</v>
      </c>
      <c r="F1219" s="48" t="s">
        <v>2567</v>
      </c>
      <c r="G1219" s="30" t="s">
        <v>43</v>
      </c>
      <c r="H1219" s="37" t="s">
        <v>1095</v>
      </c>
      <c r="I1219" s="37"/>
      <c r="J1219" s="37" t="s">
        <v>1096</v>
      </c>
      <c r="K1219" s="32">
        <v>0</v>
      </c>
      <c r="L1219" s="32">
        <v>0</v>
      </c>
      <c r="M1219" s="32">
        <v>0</v>
      </c>
      <c r="N1219" s="32">
        <v>0</v>
      </c>
      <c r="O1219" s="33">
        <v>0</v>
      </c>
      <c r="P1219" s="38" t="s">
        <v>1014</v>
      </c>
      <c r="Q1219" s="34" t="str">
        <f>IF(MasterFees[[#This Row],[GST Basis]]="Excl",MasterFees[[#This Row],[Fee as Printed]],IF(MasterFees[[#This Row],[GST Basis]]="Incl",MasterFees[[#This Row],[Fee as Printed]]/(1+GST_Rate),""))</f>
        <v/>
      </c>
      <c r="R1219" s="34" t="str">
        <f>IF(MasterFees[[#This Row],[GST Basis]]="Incl",MasterFees[[#This Row],[Fee as Printed]],IF(MasterFees[[#This Row],[GST Basis]]="Excl",MasterFees[[#This Row],[Fee as Printed]]*(1+GST_Rate),""))</f>
        <v/>
      </c>
      <c r="S1219" s="35" t="str">
        <f>IF(N(MasterFees[[#This Row],[Total Units]])=0,"",MasterFees[[#This Row],[Fee as Printed]]/MasterFees[[#This Row],[Total Units]])</f>
        <v/>
      </c>
      <c r="T1219" s="36"/>
      <c r="U1219" s="39" t="s">
        <v>1012</v>
      </c>
      <c r="V1219" s="39" t="s">
        <v>1132</v>
      </c>
      <c r="W1219" s="30"/>
      <c r="X1219" s="73" t="s">
        <v>2914</v>
      </c>
      <c r="Y1219" s="127" t="str">
        <f>_xlfn.XLOOKUP(MasterFees[[#This Row],[Provider / Payer]],Contracts[Contract Name],Contracts[Contract ID],"No contract")</f>
        <v>CON-01</v>
      </c>
      <c r="Z1219" s="127" t="str">
        <f>_xlfn.XLOOKUP(MasterFees[[#This Row],[Provider / Payer]],Contracts[Contract Name],Contracts[Pricing Basis],"To confirm")</f>
        <v>To confirm</v>
      </c>
      <c r="AA1219" s="127" t="str">
        <f>IF(MasterFees[[#This Row],[Pricing Basis]]="Fixed fee schedule","Yes","No")</f>
        <v>No</v>
      </c>
      <c r="AB1219" s="127" t="str">
        <f>IF(OR(MasterFees[[#This Row],[Fee Basis]]="Add-on",MasterFees[[#This Row],[Fee Basis]]="Time band",MasterFees[[#This Row],[Fee Basis]]="Other"),MasterFees[[#This Row],[Fee Basis]],"Base")</f>
        <v>Base</v>
      </c>
      <c r="AC1219" s="141" t="str">
        <f>IF(MasterFees[[#This Row],[Fixed Fee?]]="Yes",MasterFees[[#This Row],[Fee Excl. GST]],"")</f>
        <v/>
      </c>
    </row>
    <row r="1220" spans="1:29" x14ac:dyDescent="0.2">
      <c r="A1220" s="67"/>
      <c r="B1220" s="31" t="str">
        <f>IF(MasterFees[[#This Row],[RVG Code]]="","",_xlfn.XLOOKUP(MasterFees[[#This Row],[RVG Code]],RVGCodes[Code],RVGCodes[Base Units],"Code not found"))</f>
        <v/>
      </c>
      <c r="C122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15 - Preoperative consultations for ACC Patients</v>
      </c>
      <c r="D122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ACC Clinical Services Table 2</v>
      </c>
      <c r="E1220" s="125" t="s">
        <v>2790</v>
      </c>
      <c r="F1220" s="48" t="s">
        <v>2565</v>
      </c>
      <c r="G1220" s="30" t="s">
        <v>2542</v>
      </c>
      <c r="H1220" s="37" t="s">
        <v>2674</v>
      </c>
      <c r="I1220" s="37" t="s">
        <v>2541</v>
      </c>
      <c r="J1220" s="37" t="s">
        <v>2675</v>
      </c>
      <c r="K1220" s="32"/>
      <c r="L1220" s="32"/>
      <c r="M1220" s="32"/>
      <c r="N1220" s="32"/>
      <c r="O1220" s="33"/>
      <c r="P1220" s="38"/>
      <c r="Q1220" s="34" t="str">
        <f>IF(MasterFees[[#This Row],[GST Basis]]="Excl",MasterFees[[#This Row],[Fee as Printed]],IF(MasterFees[[#This Row],[GST Basis]]="Incl",MasterFees[[#This Row],[Fee as Printed]]/(1+GST_Rate),""))</f>
        <v/>
      </c>
      <c r="R1220" s="34" t="str">
        <f>IF(MasterFees[[#This Row],[GST Basis]]="Incl",MasterFees[[#This Row],[Fee as Printed]],IF(MasterFees[[#This Row],[GST Basis]]="Excl",MasterFees[[#This Row],[Fee as Printed]]*(1+GST_Rate),""))</f>
        <v/>
      </c>
      <c r="S1220" s="35" t="str">
        <f>IF(N(MasterFees[[#This Row],[Total Units]])=0,"",MasterFees[[#This Row],[Fee as Printed]]/MasterFees[[#This Row],[Total Units]])</f>
        <v/>
      </c>
      <c r="T1220" s="36"/>
      <c r="U1220" s="39" t="s">
        <v>1016</v>
      </c>
      <c r="V1220" s="39" t="s">
        <v>2676</v>
      </c>
      <c r="W1220" s="30" t="s">
        <v>2677</v>
      </c>
      <c r="X1220" s="73" t="s">
        <v>4000</v>
      </c>
      <c r="Y1220" s="127" t="str">
        <f>_xlfn.XLOOKUP(MasterFees[[#This Row],[Provider / Payer]],Contracts[Contract Name],Contracts[Contract ID],"No contract")</f>
        <v>CON-09</v>
      </c>
      <c r="Z1220" s="127" t="str">
        <f>_xlfn.XLOOKUP(MasterFees[[#This Row],[Provider / Payer]],Contracts[Contract Name],Contracts[Pricing Basis],"To confirm")</f>
        <v>To confirm</v>
      </c>
      <c r="AA1220" s="127" t="str">
        <f>IF(MasterFees[[#This Row],[Pricing Basis]]="Fixed fee schedule","Yes","No")</f>
        <v>No</v>
      </c>
      <c r="AB1220" s="127" t="str">
        <f>IF(OR(MasterFees[[#This Row],[Fee Basis]]="Add-on",MasterFees[[#This Row],[Fee Basis]]="Time band",MasterFees[[#This Row],[Fee Basis]]="Other"),MasterFees[[#This Row],[Fee Basis]],"Base")</f>
        <v>Other</v>
      </c>
      <c r="AC1220" s="141" t="str">
        <f>IF(MasterFees[[#This Row],[Fixed Fee?]]="Yes",MasterFees[[#This Row],[Fee Excl. GST]],"")</f>
        <v/>
      </c>
    </row>
    <row r="1221" spans="1:29" x14ac:dyDescent="0.2">
      <c r="A1221" s="67" t="s">
        <v>2183</v>
      </c>
      <c r="B1221" s="31" t="str">
        <f>IF(MasterFees[[#This Row],[RVG Code]]="","",_xlfn.XLOOKUP(MasterFees[[#This Row],[RVG Code]],RVGCodes[Code],RVGCodes[Base Units],"Code not found"))</f>
        <v/>
      </c>
      <c r="C122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15 - Preoperative consultations for ACC Patients</v>
      </c>
      <c r="D122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ACC Clinical Services Table 2</v>
      </c>
      <c r="E1221" s="125" t="s">
        <v>2579</v>
      </c>
      <c r="F1221" s="48" t="s">
        <v>2569</v>
      </c>
      <c r="G1221" s="30" t="s">
        <v>223</v>
      </c>
      <c r="H1221" s="37" t="s">
        <v>1095</v>
      </c>
      <c r="I1221" s="37"/>
      <c r="J1221" s="37" t="s">
        <v>1096</v>
      </c>
      <c r="K1221" s="32">
        <v>0</v>
      </c>
      <c r="L1221" s="32">
        <v>0.2</v>
      </c>
      <c r="M1221" s="32">
        <v>0</v>
      </c>
      <c r="N1221" s="32">
        <v>0.2</v>
      </c>
      <c r="O1221" s="33">
        <v>12.1</v>
      </c>
      <c r="P1221" s="38" t="s">
        <v>1014</v>
      </c>
      <c r="Q1221" s="34" t="str">
        <f>IF(MasterFees[[#This Row],[GST Basis]]="Excl",MasterFees[[#This Row],[Fee as Printed]],IF(MasterFees[[#This Row],[GST Basis]]="Incl",MasterFees[[#This Row],[Fee as Printed]]/(1+GST_Rate),""))</f>
        <v/>
      </c>
      <c r="R1221" s="34" t="str">
        <f>IF(MasterFees[[#This Row],[GST Basis]]="Incl",MasterFees[[#This Row],[Fee as Printed]],IF(MasterFees[[#This Row],[GST Basis]]="Excl",MasterFees[[#This Row],[Fee as Printed]]*(1+GST_Rate),""))</f>
        <v/>
      </c>
      <c r="S1221" s="35">
        <f>IF(N(MasterFees[[#This Row],[Total Units]])=0,"",MasterFees[[#This Row],[Fee as Printed]]/MasterFees[[#This Row],[Total Units]])</f>
        <v>60.499999999999993</v>
      </c>
      <c r="T1221" s="36"/>
      <c r="U1221" s="39" t="s">
        <v>1012</v>
      </c>
      <c r="V1221" s="39" t="s">
        <v>1317</v>
      </c>
      <c r="W1221" s="30"/>
      <c r="X1221" s="73" t="s">
        <v>3104</v>
      </c>
      <c r="Y1221" s="127" t="str">
        <f>_xlfn.XLOOKUP(MasterFees[[#This Row],[Provider / Payer]],Contracts[Contract Name],Contracts[Contract ID],"No contract")</f>
        <v>CON-01</v>
      </c>
      <c r="Z1221" s="127" t="str">
        <f>_xlfn.XLOOKUP(MasterFees[[#This Row],[Provider / Payer]],Contracts[Contract Name],Contracts[Pricing Basis],"To confirm")</f>
        <v>To confirm</v>
      </c>
      <c r="AA1221" s="127" t="str">
        <f>IF(MasterFees[[#This Row],[Pricing Basis]]="Fixed fee schedule","Yes","No")</f>
        <v>No</v>
      </c>
      <c r="AB1221" s="127" t="str">
        <f>IF(OR(MasterFees[[#This Row],[Fee Basis]]="Add-on",MasterFees[[#This Row],[Fee Basis]]="Time band",MasterFees[[#This Row],[Fee Basis]]="Other"),MasterFees[[#This Row],[Fee Basis]],"Base")</f>
        <v>Base</v>
      </c>
      <c r="AC1221" s="141" t="str">
        <f>IF(MasterFees[[#This Row],[Fixed Fee?]]="Yes",MasterFees[[#This Row],[Fee Excl. GST]],"")</f>
        <v/>
      </c>
    </row>
    <row r="1222" spans="1:29" x14ac:dyDescent="0.2">
      <c r="A1222" s="67" t="s">
        <v>2183</v>
      </c>
      <c r="B1222" s="31" t="str">
        <f>IF(MasterFees[[#This Row],[RVG Code]]="","",_xlfn.XLOOKUP(MasterFees[[#This Row],[RVG Code]],RVGCodes[Code],RVGCodes[Base Units],"Code not found"))</f>
        <v/>
      </c>
      <c r="C122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15 - Preoperative consultations for ACC Patients</v>
      </c>
      <c r="D122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ACC Clinical Services Table 2</v>
      </c>
      <c r="E1222" s="125" t="s">
        <v>2605</v>
      </c>
      <c r="F1222" s="48" t="s">
        <v>2569</v>
      </c>
      <c r="G1222" s="30" t="s">
        <v>224</v>
      </c>
      <c r="H1222" s="37" t="s">
        <v>1095</v>
      </c>
      <c r="I1222" s="37"/>
      <c r="J1222" s="37" t="s">
        <v>1096</v>
      </c>
      <c r="K1222" s="32">
        <v>0</v>
      </c>
      <c r="L1222" s="32">
        <v>0</v>
      </c>
      <c r="M1222" s="32">
        <v>0.1</v>
      </c>
      <c r="N1222" s="32">
        <v>0.1</v>
      </c>
      <c r="O1222" s="33">
        <v>5.5</v>
      </c>
      <c r="P1222" s="38" t="s">
        <v>1014</v>
      </c>
      <c r="Q1222" s="34" t="str">
        <f>IF(MasterFees[[#This Row],[GST Basis]]="Excl",MasterFees[[#This Row],[Fee as Printed]],IF(MasterFees[[#This Row],[GST Basis]]="Incl",MasterFees[[#This Row],[Fee as Printed]]/(1+GST_Rate),""))</f>
        <v/>
      </c>
      <c r="R1222" s="34" t="str">
        <f>IF(MasterFees[[#This Row],[GST Basis]]="Incl",MasterFees[[#This Row],[Fee as Printed]],IF(MasterFees[[#This Row],[GST Basis]]="Excl",MasterFees[[#This Row],[Fee as Printed]]*(1+GST_Rate),""))</f>
        <v/>
      </c>
      <c r="S1222" s="35">
        <f>IF(N(MasterFees[[#This Row],[Total Units]])=0,"",MasterFees[[#This Row],[Fee as Printed]]/MasterFees[[#This Row],[Total Units]])</f>
        <v>55</v>
      </c>
      <c r="T1222" s="36"/>
      <c r="U1222" s="39" t="s">
        <v>1012</v>
      </c>
      <c r="V1222" s="39" t="s">
        <v>1318</v>
      </c>
      <c r="W1222" s="30"/>
      <c r="X1222" s="73" t="s">
        <v>3105</v>
      </c>
      <c r="Y1222" s="127" t="str">
        <f>_xlfn.XLOOKUP(MasterFees[[#This Row],[Provider / Payer]],Contracts[Contract Name],Contracts[Contract ID],"No contract")</f>
        <v>CON-01</v>
      </c>
      <c r="Z1222" s="127" t="str">
        <f>_xlfn.XLOOKUP(MasterFees[[#This Row],[Provider / Payer]],Contracts[Contract Name],Contracts[Pricing Basis],"To confirm")</f>
        <v>To confirm</v>
      </c>
      <c r="AA1222" s="127" t="str">
        <f>IF(MasterFees[[#This Row],[Pricing Basis]]="Fixed fee schedule","Yes","No")</f>
        <v>No</v>
      </c>
      <c r="AB1222" s="127" t="str">
        <f>IF(OR(MasterFees[[#This Row],[Fee Basis]]="Add-on",MasterFees[[#This Row],[Fee Basis]]="Time band",MasterFees[[#This Row],[Fee Basis]]="Other"),MasterFees[[#This Row],[Fee Basis]],"Base")</f>
        <v>Base</v>
      </c>
      <c r="AC1222" s="141" t="str">
        <f>IF(MasterFees[[#This Row],[Fixed Fee?]]="Yes",MasterFees[[#This Row],[Fee Excl. GST]],"")</f>
        <v/>
      </c>
    </row>
    <row r="1223" spans="1:29" x14ac:dyDescent="0.2">
      <c r="A1223" s="67" t="s">
        <v>2183</v>
      </c>
      <c r="B1223" s="31" t="str">
        <f>IF(MasterFees[[#This Row],[RVG Code]]="","",_xlfn.XLOOKUP(MasterFees[[#This Row],[RVG Code]],RVGCodes[Code],RVGCodes[Base Units],"Code not found"))</f>
        <v/>
      </c>
      <c r="C122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15 - Preoperative consultations for ACC Patients</v>
      </c>
      <c r="D122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ACC Clinical Services Table 2</v>
      </c>
      <c r="E1223" s="125" t="s">
        <v>2579</v>
      </c>
      <c r="F1223" s="48" t="s">
        <v>2569</v>
      </c>
      <c r="G1223" s="30" t="s">
        <v>225</v>
      </c>
      <c r="H1223" s="37" t="s">
        <v>1095</v>
      </c>
      <c r="I1223" s="37"/>
      <c r="J1223" s="37" t="s">
        <v>1096</v>
      </c>
      <c r="K1223" s="32">
        <v>0</v>
      </c>
      <c r="L1223" s="32">
        <v>0</v>
      </c>
      <c r="M1223" s="32">
        <v>0</v>
      </c>
      <c r="N1223" s="32">
        <v>0</v>
      </c>
      <c r="O1223" s="33">
        <v>0</v>
      </c>
      <c r="P1223" s="38" t="s">
        <v>1014</v>
      </c>
      <c r="Q1223" s="34" t="str">
        <f>IF(MasterFees[[#This Row],[GST Basis]]="Excl",MasterFees[[#This Row],[Fee as Printed]],IF(MasterFees[[#This Row],[GST Basis]]="Incl",MasterFees[[#This Row],[Fee as Printed]]/(1+GST_Rate),""))</f>
        <v/>
      </c>
      <c r="R1223" s="34" t="str">
        <f>IF(MasterFees[[#This Row],[GST Basis]]="Incl",MasterFees[[#This Row],[Fee as Printed]],IF(MasterFees[[#This Row],[GST Basis]]="Excl",MasterFees[[#This Row],[Fee as Printed]]*(1+GST_Rate),""))</f>
        <v/>
      </c>
      <c r="S1223" s="35" t="str">
        <f>IF(N(MasterFees[[#This Row],[Total Units]])=0,"",MasterFees[[#This Row],[Fee as Printed]]/MasterFees[[#This Row],[Total Units]])</f>
        <v/>
      </c>
      <c r="T1223" s="36"/>
      <c r="U1223" s="39" t="s">
        <v>1012</v>
      </c>
      <c r="V1223" s="39" t="s">
        <v>1319</v>
      </c>
      <c r="W1223" s="30"/>
      <c r="X1223" s="73" t="s">
        <v>3107</v>
      </c>
      <c r="Y1223" s="127" t="str">
        <f>_xlfn.XLOOKUP(MasterFees[[#This Row],[Provider / Payer]],Contracts[Contract Name],Contracts[Contract ID],"No contract")</f>
        <v>CON-01</v>
      </c>
      <c r="Z1223" s="127" t="str">
        <f>_xlfn.XLOOKUP(MasterFees[[#This Row],[Provider / Payer]],Contracts[Contract Name],Contracts[Pricing Basis],"To confirm")</f>
        <v>To confirm</v>
      </c>
      <c r="AA1223" s="127" t="str">
        <f>IF(MasterFees[[#This Row],[Pricing Basis]]="Fixed fee schedule","Yes","No")</f>
        <v>No</v>
      </c>
      <c r="AB1223" s="127" t="str">
        <f>IF(OR(MasterFees[[#This Row],[Fee Basis]]="Add-on",MasterFees[[#This Row],[Fee Basis]]="Time band",MasterFees[[#This Row],[Fee Basis]]="Other"),MasterFees[[#This Row],[Fee Basis]],"Base")</f>
        <v>Base</v>
      </c>
      <c r="AC1223" s="141" t="str">
        <f>IF(MasterFees[[#This Row],[Fixed Fee?]]="Yes",MasterFees[[#This Row],[Fee Excl. GST]],"")</f>
        <v/>
      </c>
    </row>
    <row r="1224" spans="1:29" x14ac:dyDescent="0.2">
      <c r="A1224" s="67"/>
      <c r="B1224" s="31" t="str">
        <f>IF(MasterFees[[#This Row],[RVG Code]]="","",_xlfn.XLOOKUP(MasterFees[[#This Row],[RVG Code]],RVGCodes[Code],RVGCodes[Base Units],"Code not found"))</f>
        <v/>
      </c>
      <c r="C122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15 - Preoperative consultations for ACC Patients</v>
      </c>
      <c r="D122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ACC Clinical Services Table 2</v>
      </c>
      <c r="E1224" s="125" t="s">
        <v>2605</v>
      </c>
      <c r="F1224" s="48" t="s">
        <v>2569</v>
      </c>
      <c r="G1224" s="30" t="s">
        <v>2538</v>
      </c>
      <c r="H1224" s="37" t="s">
        <v>2674</v>
      </c>
      <c r="I1224" s="37" t="s">
        <v>2537</v>
      </c>
      <c r="J1224" s="37" t="s">
        <v>2675</v>
      </c>
      <c r="K1224" s="32"/>
      <c r="L1224" s="32"/>
      <c r="M1224" s="32"/>
      <c r="N1224" s="32"/>
      <c r="O1224" s="33"/>
      <c r="P1224" s="38"/>
      <c r="Q1224" s="34" t="str">
        <f>IF(MasterFees[[#This Row],[GST Basis]]="Excl",MasterFees[[#This Row],[Fee as Printed]],IF(MasterFees[[#This Row],[GST Basis]]="Incl",MasterFees[[#This Row],[Fee as Printed]]/(1+GST_Rate),""))</f>
        <v/>
      </c>
      <c r="R1224" s="34" t="str">
        <f>IF(MasterFees[[#This Row],[GST Basis]]="Incl",MasterFees[[#This Row],[Fee as Printed]],IF(MasterFees[[#This Row],[GST Basis]]="Excl",MasterFees[[#This Row],[Fee as Printed]]*(1+GST_Rate),""))</f>
        <v/>
      </c>
      <c r="S1224" s="35" t="str">
        <f>IF(N(MasterFees[[#This Row],[Total Units]])=0,"",MasterFees[[#This Row],[Fee as Printed]]/MasterFees[[#This Row],[Total Units]])</f>
        <v/>
      </c>
      <c r="T1224" s="36"/>
      <c r="U1224" s="39" t="s">
        <v>1016</v>
      </c>
      <c r="V1224" s="39" t="s">
        <v>2676</v>
      </c>
      <c r="W1224" s="30" t="s">
        <v>2677</v>
      </c>
      <c r="X1224" s="73" t="s">
        <v>3106</v>
      </c>
      <c r="Y1224" s="127" t="str">
        <f>_xlfn.XLOOKUP(MasterFees[[#This Row],[Provider / Payer]],Contracts[Contract Name],Contracts[Contract ID],"No contract")</f>
        <v>CON-09</v>
      </c>
      <c r="Z1224" s="127" t="str">
        <f>_xlfn.XLOOKUP(MasterFees[[#This Row],[Provider / Payer]],Contracts[Contract Name],Contracts[Pricing Basis],"To confirm")</f>
        <v>To confirm</v>
      </c>
      <c r="AA1224" s="127" t="str">
        <f>IF(MasterFees[[#This Row],[Pricing Basis]]="Fixed fee schedule","Yes","No")</f>
        <v>No</v>
      </c>
      <c r="AB1224" s="127" t="str">
        <f>IF(OR(MasterFees[[#This Row],[Fee Basis]]="Add-on",MasterFees[[#This Row],[Fee Basis]]="Time band",MasterFees[[#This Row],[Fee Basis]]="Other"),MasterFees[[#This Row],[Fee Basis]],"Base")</f>
        <v>Other</v>
      </c>
      <c r="AC1224" s="141" t="str">
        <f>IF(MasterFees[[#This Row],[Fixed Fee?]]="Yes",MasterFees[[#This Row],[Fee Excl. GST]],"")</f>
        <v/>
      </c>
    </row>
    <row r="1225" spans="1:29" x14ac:dyDescent="0.2">
      <c r="A1225" s="67" t="s">
        <v>2183</v>
      </c>
      <c r="B1225" s="31" t="str">
        <f>IF(MasterFees[[#This Row],[RVG Code]]="","",_xlfn.XLOOKUP(MasterFees[[#This Row],[RVG Code]],RVGCodes[Code],RVGCodes[Base Units],"Code not found"))</f>
        <v/>
      </c>
      <c r="C122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2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25" s="125"/>
      <c r="F1225" s="48" t="s">
        <v>2565</v>
      </c>
      <c r="G1225" s="30" t="s">
        <v>14</v>
      </c>
      <c r="H1225" s="37" t="s">
        <v>1095</v>
      </c>
      <c r="I1225" s="37"/>
      <c r="J1225" s="37" t="s">
        <v>1096</v>
      </c>
      <c r="K1225" s="32">
        <v>0</v>
      </c>
      <c r="L1225" s="32">
        <v>0</v>
      </c>
      <c r="M1225" s="32">
        <v>0</v>
      </c>
      <c r="N1225" s="32">
        <v>0</v>
      </c>
      <c r="O1225" s="33">
        <v>0</v>
      </c>
      <c r="P1225" s="38" t="s">
        <v>1014</v>
      </c>
      <c r="Q1225" s="34" t="str">
        <f>IF(MasterFees[[#This Row],[GST Basis]]="Excl",MasterFees[[#This Row],[Fee as Printed]],IF(MasterFees[[#This Row],[GST Basis]]="Incl",MasterFees[[#This Row],[Fee as Printed]]/(1+GST_Rate),""))</f>
        <v/>
      </c>
      <c r="R1225" s="34" t="str">
        <f>IF(MasterFees[[#This Row],[GST Basis]]="Incl",MasterFees[[#This Row],[Fee as Printed]],IF(MasterFees[[#This Row],[GST Basis]]="Excl",MasterFees[[#This Row],[Fee as Printed]]*(1+GST_Rate),""))</f>
        <v/>
      </c>
      <c r="S1225" s="35" t="str">
        <f>IF(N(MasterFees[[#This Row],[Total Units]])=0,"",MasterFees[[#This Row],[Fee as Printed]]/MasterFees[[#This Row],[Total Units]])</f>
        <v/>
      </c>
      <c r="T1225" s="36"/>
      <c r="U1225" s="39" t="s">
        <v>1012</v>
      </c>
      <c r="V1225" s="39" t="s">
        <v>1103</v>
      </c>
      <c r="W1225" s="30"/>
      <c r="X1225" s="73" t="s">
        <v>2885</v>
      </c>
      <c r="Y1225" s="127" t="str">
        <f>_xlfn.XLOOKUP(MasterFees[[#This Row],[Provider / Payer]],Contracts[Contract Name],Contracts[Contract ID],"No contract")</f>
        <v>CON-01</v>
      </c>
      <c r="Z1225" s="127" t="str">
        <f>_xlfn.XLOOKUP(MasterFees[[#This Row],[Provider / Payer]],Contracts[Contract Name],Contracts[Pricing Basis],"To confirm")</f>
        <v>To confirm</v>
      </c>
      <c r="AA1225" s="127" t="str">
        <f>IF(MasterFees[[#This Row],[Pricing Basis]]="Fixed fee schedule","Yes","No")</f>
        <v>No</v>
      </c>
      <c r="AB1225" s="127" t="str">
        <f>IF(OR(MasterFees[[#This Row],[Fee Basis]]="Add-on",MasterFees[[#This Row],[Fee Basis]]="Time band",MasterFees[[#This Row],[Fee Basis]]="Other"),MasterFees[[#This Row],[Fee Basis]],"Base")</f>
        <v>Base</v>
      </c>
      <c r="AC1225" s="141" t="str">
        <f>IF(MasterFees[[#This Row],[Fixed Fee?]]="Yes",MasterFees[[#This Row],[Fee Excl. GST]],"")</f>
        <v/>
      </c>
    </row>
    <row r="1226" spans="1:29" x14ac:dyDescent="0.2">
      <c r="A1226" s="67"/>
      <c r="B1226" s="31" t="str">
        <f>IF(MasterFees[[#This Row],[RVG Code]]="","",_xlfn.XLOOKUP(MasterFees[[#This Row],[RVG Code]],RVGCodes[Code],RVGCodes[Base Units],"Code not found"))</f>
        <v/>
      </c>
      <c r="C122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2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26" s="125"/>
      <c r="F1226" s="48" t="s">
        <v>2565</v>
      </c>
      <c r="G1226" s="30" t="s">
        <v>4062</v>
      </c>
      <c r="H1226" s="37" t="s">
        <v>4069</v>
      </c>
      <c r="I1226" s="37"/>
      <c r="J1226" s="37" t="s">
        <v>2678</v>
      </c>
      <c r="K1226" s="32"/>
      <c r="L1226" s="32"/>
      <c r="M1226" s="32"/>
      <c r="N1226" s="32"/>
      <c r="O1226" s="33">
        <v>345</v>
      </c>
      <c r="P1226" s="38" t="s">
        <v>4043</v>
      </c>
      <c r="Q1226" s="34">
        <f>IF(MasterFees[[#This Row],[GST Basis]]="Excl",MasterFees[[#This Row],[Fee as Printed]],IF(MasterFees[[#This Row],[GST Basis]]="Incl",MasterFees[[#This Row],[Fee as Printed]]/(1+GST_Rate),""))</f>
        <v>300</v>
      </c>
      <c r="R1226" s="34">
        <f>IF(MasterFees[[#This Row],[GST Basis]]="Incl",MasterFees[[#This Row],[Fee as Printed]],IF(MasterFees[[#This Row],[GST Basis]]="Excl",MasterFees[[#This Row],[Fee as Printed]]*(1+GST_Rate),""))</f>
        <v>345</v>
      </c>
      <c r="S1226" s="35" t="str">
        <f>IF(N(MasterFees[[#This Row],[Total Units]])=0,"",MasterFees[[#This Row],[Fee as Printed]]/MasterFees[[#This Row],[Total Units]])</f>
        <v/>
      </c>
      <c r="T1226" s="36">
        <v>46174</v>
      </c>
      <c r="U1226" s="39" t="s">
        <v>4025</v>
      </c>
      <c r="V1226" s="39" t="s">
        <v>4070</v>
      </c>
      <c r="W1226" s="30" t="s">
        <v>4071</v>
      </c>
      <c r="X1226" s="77" t="s">
        <v>4097</v>
      </c>
      <c r="Y1226" s="127" t="str">
        <f>_xlfn.XLOOKUP(MasterFees[[#This Row],[Provider / Payer]],Contracts[Contract Name],Contracts[Contract ID],"No contract")</f>
        <v>CON-08</v>
      </c>
      <c r="Z1226" s="127" t="str">
        <f>_xlfn.XLOOKUP(MasterFees[[#This Row],[Provider / Payer]],Contracts[Contract Name],Contracts[Pricing Basis],"To confirm")</f>
        <v>Fixed fee schedule</v>
      </c>
      <c r="AA1226" s="127" t="str">
        <f>IF(MasterFees[[#This Row],[Pricing Basis]]="Fixed fee schedule","Yes","No")</f>
        <v>Yes</v>
      </c>
      <c r="AB1226" s="127" t="str">
        <f>IF(OR(MasterFees[[#This Row],[Fee Basis]]="Add-on",MasterFees[[#This Row],[Fee Basis]]="Time band",MasterFees[[#This Row],[Fee Basis]]="Other"),MasterFees[[#This Row],[Fee Basis]],"Base")</f>
        <v>Add-on</v>
      </c>
      <c r="AC1226" s="141">
        <f>IF(MasterFees[[#This Row],[Fixed Fee?]]="Yes",MasterFees[[#This Row],[Fee Excl. GST]],"")</f>
        <v>300</v>
      </c>
    </row>
    <row r="1227" spans="1:29" x14ac:dyDescent="0.2">
      <c r="A1227" s="67" t="s">
        <v>2183</v>
      </c>
      <c r="B1227" s="31" t="str">
        <f>IF(MasterFees[[#This Row],[RVG Code]]="","",_xlfn.XLOOKUP(MasterFees[[#This Row],[RVG Code]],RVGCodes[Code],RVGCodes[Base Units],"Code not found"))</f>
        <v/>
      </c>
      <c r="C122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2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27" s="125"/>
      <c r="F1227" s="48" t="s">
        <v>2565</v>
      </c>
      <c r="G1227" s="30" t="s">
        <v>37</v>
      </c>
      <c r="H1227" s="37" t="s">
        <v>1095</v>
      </c>
      <c r="I1227" s="37"/>
      <c r="J1227" s="37" t="s">
        <v>1096</v>
      </c>
      <c r="K1227" s="32">
        <v>1.6</v>
      </c>
      <c r="L1227" s="32">
        <v>3.2</v>
      </c>
      <c r="M1227" s="32">
        <v>0.4</v>
      </c>
      <c r="N1227" s="32">
        <v>5.2</v>
      </c>
      <c r="O1227" s="33">
        <v>286</v>
      </c>
      <c r="P1227" s="38" t="s">
        <v>1014</v>
      </c>
      <c r="Q1227" s="34" t="str">
        <f>IF(MasterFees[[#This Row],[GST Basis]]="Excl",MasterFees[[#This Row],[Fee as Printed]],IF(MasterFees[[#This Row],[GST Basis]]="Incl",MasterFees[[#This Row],[Fee as Printed]]/(1+GST_Rate),""))</f>
        <v/>
      </c>
      <c r="R1227" s="34" t="str">
        <f>IF(MasterFees[[#This Row],[GST Basis]]="Incl",MasterFees[[#This Row],[Fee as Printed]],IF(MasterFees[[#This Row],[GST Basis]]="Excl",MasterFees[[#This Row],[Fee as Printed]]*(1+GST_Rate),""))</f>
        <v/>
      </c>
      <c r="S1227" s="35">
        <f>IF(N(MasterFees[[#This Row],[Total Units]])=0,"",MasterFees[[#This Row],[Fee as Printed]]/MasterFees[[#This Row],[Total Units]])</f>
        <v>55</v>
      </c>
      <c r="T1227" s="36"/>
      <c r="U1227" s="39" t="s">
        <v>1012</v>
      </c>
      <c r="V1227" s="39" t="s">
        <v>1126</v>
      </c>
      <c r="W1227" s="30"/>
      <c r="X1227" s="73" t="s">
        <v>2908</v>
      </c>
      <c r="Y1227" s="127" t="str">
        <f>_xlfn.XLOOKUP(MasterFees[[#This Row],[Provider / Payer]],Contracts[Contract Name],Contracts[Contract ID],"No contract")</f>
        <v>CON-01</v>
      </c>
      <c r="Z1227" s="127" t="str">
        <f>_xlfn.XLOOKUP(MasterFees[[#This Row],[Provider / Payer]],Contracts[Contract Name],Contracts[Pricing Basis],"To confirm")</f>
        <v>To confirm</v>
      </c>
      <c r="AA1227" s="127" t="str">
        <f>IF(MasterFees[[#This Row],[Pricing Basis]]="Fixed fee schedule","Yes","No")</f>
        <v>No</v>
      </c>
      <c r="AB1227" s="127" t="str">
        <f>IF(OR(MasterFees[[#This Row],[Fee Basis]]="Add-on",MasterFees[[#This Row],[Fee Basis]]="Time band",MasterFees[[#This Row],[Fee Basis]]="Other"),MasterFees[[#This Row],[Fee Basis]],"Base")</f>
        <v>Base</v>
      </c>
      <c r="AC1227" s="141" t="str">
        <f>IF(MasterFees[[#This Row],[Fixed Fee?]]="Yes",MasterFees[[#This Row],[Fee Excl. GST]],"")</f>
        <v/>
      </c>
    </row>
    <row r="1228" spans="1:29" x14ac:dyDescent="0.2">
      <c r="A1228" s="67" t="s">
        <v>2183</v>
      </c>
      <c r="B1228" s="31" t="str">
        <f>IF(MasterFees[[#This Row],[RVG Code]]="","",_xlfn.XLOOKUP(MasterFees[[#This Row],[RVG Code]],RVGCodes[Code],RVGCodes[Base Units],"Code not found"))</f>
        <v/>
      </c>
      <c r="C122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2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28" s="125"/>
      <c r="F1228" s="48" t="s">
        <v>2565</v>
      </c>
      <c r="G1228" s="30" t="s">
        <v>38</v>
      </c>
      <c r="H1228" s="37" t="s">
        <v>1095</v>
      </c>
      <c r="I1228" s="37"/>
      <c r="J1228" s="37" t="s">
        <v>1096</v>
      </c>
      <c r="K1228" s="32">
        <v>0</v>
      </c>
      <c r="L1228" s="32">
        <v>1</v>
      </c>
      <c r="M1228" s="32">
        <v>0</v>
      </c>
      <c r="N1228" s="32">
        <v>1</v>
      </c>
      <c r="O1228" s="33">
        <v>55</v>
      </c>
      <c r="P1228" s="38" t="s">
        <v>1014</v>
      </c>
      <c r="Q1228" s="34" t="str">
        <f>IF(MasterFees[[#This Row],[GST Basis]]="Excl",MasterFees[[#This Row],[Fee as Printed]],IF(MasterFees[[#This Row],[GST Basis]]="Incl",MasterFees[[#This Row],[Fee as Printed]]/(1+GST_Rate),""))</f>
        <v/>
      </c>
      <c r="R1228" s="34" t="str">
        <f>IF(MasterFees[[#This Row],[GST Basis]]="Incl",MasterFees[[#This Row],[Fee as Printed]],IF(MasterFees[[#This Row],[GST Basis]]="Excl",MasterFees[[#This Row],[Fee as Printed]]*(1+GST_Rate),""))</f>
        <v/>
      </c>
      <c r="S1228" s="35">
        <f>IF(N(MasterFees[[#This Row],[Total Units]])=0,"",MasterFees[[#This Row],[Fee as Printed]]/MasterFees[[#This Row],[Total Units]])</f>
        <v>55</v>
      </c>
      <c r="T1228" s="36"/>
      <c r="U1228" s="39" t="s">
        <v>1012</v>
      </c>
      <c r="V1228" s="39" t="s">
        <v>1127</v>
      </c>
      <c r="W1228" s="30"/>
      <c r="X1228" s="73" t="s">
        <v>2909</v>
      </c>
      <c r="Y1228" s="127" t="str">
        <f>_xlfn.XLOOKUP(MasterFees[[#This Row],[Provider / Payer]],Contracts[Contract Name],Contracts[Contract ID],"No contract")</f>
        <v>CON-01</v>
      </c>
      <c r="Z1228" s="127" t="str">
        <f>_xlfn.XLOOKUP(MasterFees[[#This Row],[Provider / Payer]],Contracts[Contract Name],Contracts[Pricing Basis],"To confirm")</f>
        <v>To confirm</v>
      </c>
      <c r="AA1228" s="127" t="str">
        <f>IF(MasterFees[[#This Row],[Pricing Basis]]="Fixed fee schedule","Yes","No")</f>
        <v>No</v>
      </c>
      <c r="AB1228" s="127" t="str">
        <f>IF(OR(MasterFees[[#This Row],[Fee Basis]]="Add-on",MasterFees[[#This Row],[Fee Basis]]="Time band",MasterFees[[#This Row],[Fee Basis]]="Other"),MasterFees[[#This Row],[Fee Basis]],"Base")</f>
        <v>Base</v>
      </c>
      <c r="AC1228" s="141" t="str">
        <f>IF(MasterFees[[#This Row],[Fixed Fee?]]="Yes",MasterFees[[#This Row],[Fee Excl. GST]],"")</f>
        <v/>
      </c>
    </row>
    <row r="1229" spans="1:29" x14ac:dyDescent="0.2">
      <c r="A1229" s="67" t="s">
        <v>2183</v>
      </c>
      <c r="B1229" s="31" t="str">
        <f>IF(MasterFees[[#This Row],[RVG Code]]="","",_xlfn.XLOOKUP(MasterFees[[#This Row],[RVG Code]],RVGCodes[Code],RVGCodes[Base Units],"Code not found"))</f>
        <v/>
      </c>
      <c r="C122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2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29" s="125"/>
      <c r="F1229" s="48" t="s">
        <v>2565</v>
      </c>
      <c r="G1229" s="30" t="s">
        <v>62</v>
      </c>
      <c r="H1229" s="37" t="s">
        <v>1095</v>
      </c>
      <c r="I1229" s="37"/>
      <c r="J1229" s="37" t="s">
        <v>1096</v>
      </c>
      <c r="K1229" s="32">
        <v>4</v>
      </c>
      <c r="L1229" s="32">
        <v>2.5</v>
      </c>
      <c r="M1229" s="32">
        <v>0.5</v>
      </c>
      <c r="N1229" s="32">
        <v>7</v>
      </c>
      <c r="O1229" s="33">
        <v>386.1</v>
      </c>
      <c r="P1229" s="38" t="s">
        <v>1014</v>
      </c>
      <c r="Q1229" s="34" t="str">
        <f>IF(MasterFees[[#This Row],[GST Basis]]="Excl",MasterFees[[#This Row],[Fee as Printed]],IF(MasterFees[[#This Row],[GST Basis]]="Incl",MasterFees[[#This Row],[Fee as Printed]]/(1+GST_Rate),""))</f>
        <v/>
      </c>
      <c r="R1229" s="34" t="str">
        <f>IF(MasterFees[[#This Row],[GST Basis]]="Incl",MasterFees[[#This Row],[Fee as Printed]],IF(MasterFees[[#This Row],[GST Basis]]="Excl",MasterFees[[#This Row],[Fee as Printed]]*(1+GST_Rate),""))</f>
        <v/>
      </c>
      <c r="S1229" s="35">
        <f>IF(N(MasterFees[[#This Row],[Total Units]])=0,"",MasterFees[[#This Row],[Fee as Printed]]/MasterFees[[#This Row],[Total Units]])</f>
        <v>55.157142857142858</v>
      </c>
      <c r="T1229" s="36"/>
      <c r="U1229" s="39" t="s">
        <v>1012</v>
      </c>
      <c r="V1229" s="39" t="s">
        <v>1151</v>
      </c>
      <c r="W1229" s="30"/>
      <c r="X1229" s="73" t="s">
        <v>2933</v>
      </c>
      <c r="Y1229" s="127" t="str">
        <f>_xlfn.XLOOKUP(MasterFees[[#This Row],[Provider / Payer]],Contracts[Contract Name],Contracts[Contract ID],"No contract")</f>
        <v>CON-01</v>
      </c>
      <c r="Z1229" s="127" t="str">
        <f>_xlfn.XLOOKUP(MasterFees[[#This Row],[Provider / Payer]],Contracts[Contract Name],Contracts[Pricing Basis],"To confirm")</f>
        <v>To confirm</v>
      </c>
      <c r="AA1229" s="127" t="str">
        <f>IF(MasterFees[[#This Row],[Pricing Basis]]="Fixed fee schedule","Yes","No")</f>
        <v>No</v>
      </c>
      <c r="AB1229" s="127" t="str">
        <f>IF(OR(MasterFees[[#This Row],[Fee Basis]]="Add-on",MasterFees[[#This Row],[Fee Basis]]="Time band",MasterFees[[#This Row],[Fee Basis]]="Other"),MasterFees[[#This Row],[Fee Basis]],"Base")</f>
        <v>Base</v>
      </c>
      <c r="AC1229" s="141" t="str">
        <f>IF(MasterFees[[#This Row],[Fixed Fee?]]="Yes",MasterFees[[#This Row],[Fee Excl. GST]],"")</f>
        <v/>
      </c>
    </row>
    <row r="1230" spans="1:29" x14ac:dyDescent="0.2">
      <c r="A1230" s="67" t="s">
        <v>2183</v>
      </c>
      <c r="B1230" s="31" t="str">
        <f>IF(MasterFees[[#This Row],[RVG Code]]="","",_xlfn.XLOOKUP(MasterFees[[#This Row],[RVG Code]],RVGCodes[Code],RVGCodes[Base Units],"Code not found"))</f>
        <v/>
      </c>
      <c r="C123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3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30" s="125"/>
      <c r="F1230" s="48" t="s">
        <v>2565</v>
      </c>
      <c r="G1230" s="30" t="s">
        <v>71</v>
      </c>
      <c r="H1230" s="37" t="s">
        <v>1095</v>
      </c>
      <c r="I1230" s="37"/>
      <c r="J1230" s="37" t="s">
        <v>1096</v>
      </c>
      <c r="K1230" s="32">
        <v>5.8</v>
      </c>
      <c r="L1230" s="32">
        <v>10.7</v>
      </c>
      <c r="M1230" s="32">
        <v>0.7</v>
      </c>
      <c r="N1230" s="32">
        <v>17.2</v>
      </c>
      <c r="O1230" s="33">
        <v>946</v>
      </c>
      <c r="P1230" s="38" t="s">
        <v>1014</v>
      </c>
      <c r="Q1230" s="34" t="str">
        <f>IF(MasterFees[[#This Row],[GST Basis]]="Excl",MasterFees[[#This Row],[Fee as Printed]],IF(MasterFees[[#This Row],[GST Basis]]="Incl",MasterFees[[#This Row],[Fee as Printed]]/(1+GST_Rate),""))</f>
        <v/>
      </c>
      <c r="R1230" s="34" t="str">
        <f>IF(MasterFees[[#This Row],[GST Basis]]="Incl",MasterFees[[#This Row],[Fee as Printed]],IF(MasterFees[[#This Row],[GST Basis]]="Excl",MasterFees[[#This Row],[Fee as Printed]]*(1+GST_Rate),""))</f>
        <v/>
      </c>
      <c r="S1230" s="35">
        <f>IF(N(MasterFees[[#This Row],[Total Units]])=0,"",MasterFees[[#This Row],[Fee as Printed]]/MasterFees[[#This Row],[Total Units]])</f>
        <v>55</v>
      </c>
      <c r="T1230" s="36"/>
      <c r="U1230" s="39" t="s">
        <v>1012</v>
      </c>
      <c r="V1230" s="39" t="s">
        <v>1160</v>
      </c>
      <c r="W1230" s="30"/>
      <c r="X1230" s="73" t="s">
        <v>2943</v>
      </c>
      <c r="Y1230" s="127" t="str">
        <f>_xlfn.XLOOKUP(MasterFees[[#This Row],[Provider / Payer]],Contracts[Contract Name],Contracts[Contract ID],"No contract")</f>
        <v>CON-01</v>
      </c>
      <c r="Z1230" s="127" t="str">
        <f>_xlfn.XLOOKUP(MasterFees[[#This Row],[Provider / Payer]],Contracts[Contract Name],Contracts[Pricing Basis],"To confirm")</f>
        <v>To confirm</v>
      </c>
      <c r="AA1230" s="127" t="str">
        <f>IF(MasterFees[[#This Row],[Pricing Basis]]="Fixed fee schedule","Yes","No")</f>
        <v>No</v>
      </c>
      <c r="AB1230" s="127" t="str">
        <f>IF(OR(MasterFees[[#This Row],[Fee Basis]]="Add-on",MasterFees[[#This Row],[Fee Basis]]="Time band",MasterFees[[#This Row],[Fee Basis]]="Other"),MasterFees[[#This Row],[Fee Basis]],"Base")</f>
        <v>Base</v>
      </c>
      <c r="AC1230" s="141" t="str">
        <f>IF(MasterFees[[#This Row],[Fixed Fee?]]="Yes",MasterFees[[#This Row],[Fee Excl. GST]],"")</f>
        <v/>
      </c>
    </row>
    <row r="1231" spans="1:29" x14ac:dyDescent="0.2">
      <c r="A1231" s="67" t="s">
        <v>2183</v>
      </c>
      <c r="B1231" s="31" t="str">
        <f>IF(MasterFees[[#This Row],[RVG Code]]="","",_xlfn.XLOOKUP(MasterFees[[#This Row],[RVG Code]],RVGCodes[Code],RVGCodes[Base Units],"Code not found"))</f>
        <v/>
      </c>
      <c r="C123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3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31" s="125"/>
      <c r="F1231" s="48" t="s">
        <v>2565</v>
      </c>
      <c r="G1231" s="30" t="s">
        <v>91</v>
      </c>
      <c r="H1231" s="37" t="s">
        <v>1095</v>
      </c>
      <c r="I1231" s="37"/>
      <c r="J1231" s="37" t="s">
        <v>1096</v>
      </c>
      <c r="K1231" s="32">
        <v>6</v>
      </c>
      <c r="L1231" s="32">
        <v>8</v>
      </c>
      <c r="M1231" s="32">
        <v>0</v>
      </c>
      <c r="N1231" s="32">
        <v>14</v>
      </c>
      <c r="O1231" s="33">
        <v>770</v>
      </c>
      <c r="P1231" s="38" t="s">
        <v>1014</v>
      </c>
      <c r="Q1231" s="34" t="str">
        <f>IF(MasterFees[[#This Row],[GST Basis]]="Excl",MasterFees[[#This Row],[Fee as Printed]],IF(MasterFees[[#This Row],[GST Basis]]="Incl",MasterFees[[#This Row],[Fee as Printed]]/(1+GST_Rate),""))</f>
        <v/>
      </c>
      <c r="R1231" s="34" t="str">
        <f>IF(MasterFees[[#This Row],[GST Basis]]="Incl",MasterFees[[#This Row],[Fee as Printed]],IF(MasterFees[[#This Row],[GST Basis]]="Excl",MasterFees[[#This Row],[Fee as Printed]]*(1+GST_Rate),""))</f>
        <v/>
      </c>
      <c r="S1231" s="35">
        <f>IF(N(MasterFees[[#This Row],[Total Units]])=0,"",MasterFees[[#This Row],[Fee as Printed]]/MasterFees[[#This Row],[Total Units]])</f>
        <v>55</v>
      </c>
      <c r="T1231" s="36"/>
      <c r="U1231" s="39" t="s">
        <v>1012</v>
      </c>
      <c r="V1231" s="39" t="s">
        <v>1180</v>
      </c>
      <c r="W1231" s="30"/>
      <c r="X1231" s="73" t="s">
        <v>2963</v>
      </c>
      <c r="Y1231" s="127" t="str">
        <f>_xlfn.XLOOKUP(MasterFees[[#This Row],[Provider / Payer]],Contracts[Contract Name],Contracts[Contract ID],"No contract")</f>
        <v>CON-01</v>
      </c>
      <c r="Z1231" s="127" t="str">
        <f>_xlfn.XLOOKUP(MasterFees[[#This Row],[Provider / Payer]],Contracts[Contract Name],Contracts[Pricing Basis],"To confirm")</f>
        <v>To confirm</v>
      </c>
      <c r="AA1231" s="127" t="str">
        <f>IF(MasterFees[[#This Row],[Pricing Basis]]="Fixed fee schedule","Yes","No")</f>
        <v>No</v>
      </c>
      <c r="AB1231" s="127" t="str">
        <f>IF(OR(MasterFees[[#This Row],[Fee Basis]]="Add-on",MasterFees[[#This Row],[Fee Basis]]="Time band",MasterFees[[#This Row],[Fee Basis]]="Other"),MasterFees[[#This Row],[Fee Basis]],"Base")</f>
        <v>Base</v>
      </c>
      <c r="AC1231" s="141" t="str">
        <f>IF(MasterFees[[#This Row],[Fixed Fee?]]="Yes",MasterFees[[#This Row],[Fee Excl. GST]],"")</f>
        <v/>
      </c>
    </row>
    <row r="1232" spans="1:29" x14ac:dyDescent="0.2">
      <c r="A1232" s="67" t="s">
        <v>2183</v>
      </c>
      <c r="B1232" s="31" t="str">
        <f>IF(MasterFees[[#This Row],[RVG Code]]="","",_xlfn.XLOOKUP(MasterFees[[#This Row],[RVG Code]],RVGCodes[Code],RVGCodes[Base Units],"Code not found"))</f>
        <v/>
      </c>
      <c r="C123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3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32" s="125"/>
      <c r="F1232" s="48" t="s">
        <v>2565</v>
      </c>
      <c r="G1232" s="30" t="s">
        <v>94</v>
      </c>
      <c r="H1232" s="37" t="s">
        <v>1095</v>
      </c>
      <c r="I1232" s="37"/>
      <c r="J1232" s="37" t="s">
        <v>1096</v>
      </c>
      <c r="K1232" s="32">
        <v>0</v>
      </c>
      <c r="L1232" s="32">
        <v>0</v>
      </c>
      <c r="M1232" s="32">
        <v>0</v>
      </c>
      <c r="N1232" s="32">
        <v>0</v>
      </c>
      <c r="O1232" s="33">
        <v>0</v>
      </c>
      <c r="P1232" s="38" t="s">
        <v>1014</v>
      </c>
      <c r="Q1232" s="34" t="str">
        <f>IF(MasterFees[[#This Row],[GST Basis]]="Excl",MasterFees[[#This Row],[Fee as Printed]],IF(MasterFees[[#This Row],[GST Basis]]="Incl",MasterFees[[#This Row],[Fee as Printed]]/(1+GST_Rate),""))</f>
        <v/>
      </c>
      <c r="R1232" s="34" t="str">
        <f>IF(MasterFees[[#This Row],[GST Basis]]="Incl",MasterFees[[#This Row],[Fee as Printed]],IF(MasterFees[[#This Row],[GST Basis]]="Excl",MasterFees[[#This Row],[Fee as Printed]]*(1+GST_Rate),""))</f>
        <v/>
      </c>
      <c r="S1232" s="35" t="str">
        <f>IF(N(MasterFees[[#This Row],[Total Units]])=0,"",MasterFees[[#This Row],[Fee as Printed]]/MasterFees[[#This Row],[Total Units]])</f>
        <v/>
      </c>
      <c r="T1232" s="36"/>
      <c r="U1232" s="39" t="s">
        <v>1012</v>
      </c>
      <c r="V1232" s="39" t="s">
        <v>1183</v>
      </c>
      <c r="W1232" s="30"/>
      <c r="X1232" s="73" t="s">
        <v>2966</v>
      </c>
      <c r="Y1232" s="127" t="str">
        <f>_xlfn.XLOOKUP(MasterFees[[#This Row],[Provider / Payer]],Contracts[Contract Name],Contracts[Contract ID],"No contract")</f>
        <v>CON-01</v>
      </c>
      <c r="Z1232" s="127" t="str">
        <f>_xlfn.XLOOKUP(MasterFees[[#This Row],[Provider / Payer]],Contracts[Contract Name],Contracts[Pricing Basis],"To confirm")</f>
        <v>To confirm</v>
      </c>
      <c r="AA1232" s="127" t="str">
        <f>IF(MasterFees[[#This Row],[Pricing Basis]]="Fixed fee schedule","Yes","No")</f>
        <v>No</v>
      </c>
      <c r="AB1232" s="127" t="str">
        <f>IF(OR(MasterFees[[#This Row],[Fee Basis]]="Add-on",MasterFees[[#This Row],[Fee Basis]]="Time band",MasterFees[[#This Row],[Fee Basis]]="Other"),MasterFees[[#This Row],[Fee Basis]],"Base")</f>
        <v>Base</v>
      </c>
      <c r="AC1232" s="141" t="str">
        <f>IF(MasterFees[[#This Row],[Fixed Fee?]]="Yes",MasterFees[[#This Row],[Fee Excl. GST]],"")</f>
        <v/>
      </c>
    </row>
    <row r="1233" spans="1:29" x14ac:dyDescent="0.2">
      <c r="A1233" s="67" t="s">
        <v>2183</v>
      </c>
      <c r="B1233" s="31" t="str">
        <f>IF(MasterFees[[#This Row],[RVG Code]]="","",_xlfn.XLOOKUP(MasterFees[[#This Row],[RVG Code]],RVGCodes[Code],RVGCodes[Base Units],"Code not found"))</f>
        <v/>
      </c>
      <c r="C123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3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33" s="125"/>
      <c r="F1233" s="48" t="s">
        <v>2565</v>
      </c>
      <c r="G1233" s="30" t="s">
        <v>129</v>
      </c>
      <c r="H1233" s="37" t="s">
        <v>1095</v>
      </c>
      <c r="I1233" s="37"/>
      <c r="J1233" s="37" t="s">
        <v>1096</v>
      </c>
      <c r="K1233" s="32">
        <v>5</v>
      </c>
      <c r="L1233" s="32">
        <v>2</v>
      </c>
      <c r="M1233" s="32">
        <v>1</v>
      </c>
      <c r="N1233" s="32">
        <v>8</v>
      </c>
      <c r="O1233" s="33">
        <v>440</v>
      </c>
      <c r="P1233" s="38" t="s">
        <v>1014</v>
      </c>
      <c r="Q1233" s="34" t="str">
        <f>IF(MasterFees[[#This Row],[GST Basis]]="Excl",MasterFees[[#This Row],[Fee as Printed]],IF(MasterFees[[#This Row],[GST Basis]]="Incl",MasterFees[[#This Row],[Fee as Printed]]/(1+GST_Rate),""))</f>
        <v/>
      </c>
      <c r="R1233" s="34" t="str">
        <f>IF(MasterFees[[#This Row],[GST Basis]]="Incl",MasterFees[[#This Row],[Fee as Printed]],IF(MasterFees[[#This Row],[GST Basis]]="Excl",MasterFees[[#This Row],[Fee as Printed]]*(1+GST_Rate),""))</f>
        <v/>
      </c>
      <c r="S1233" s="35">
        <f>IF(N(MasterFees[[#This Row],[Total Units]])=0,"",MasterFees[[#This Row],[Fee as Printed]]/MasterFees[[#This Row],[Total Units]])</f>
        <v>55</v>
      </c>
      <c r="T1233" s="36"/>
      <c r="U1233" s="39" t="s">
        <v>1012</v>
      </c>
      <c r="V1233" s="39" t="s">
        <v>1221</v>
      </c>
      <c r="W1233" s="30"/>
      <c r="X1233" s="73" t="s">
        <v>3004</v>
      </c>
      <c r="Y1233" s="127" t="str">
        <f>_xlfn.XLOOKUP(MasterFees[[#This Row],[Provider / Payer]],Contracts[Contract Name],Contracts[Contract ID],"No contract")</f>
        <v>CON-01</v>
      </c>
      <c r="Z1233" s="127" t="str">
        <f>_xlfn.XLOOKUP(MasterFees[[#This Row],[Provider / Payer]],Contracts[Contract Name],Contracts[Pricing Basis],"To confirm")</f>
        <v>To confirm</v>
      </c>
      <c r="AA1233" s="127" t="str">
        <f>IF(MasterFees[[#This Row],[Pricing Basis]]="Fixed fee schedule","Yes","No")</f>
        <v>No</v>
      </c>
      <c r="AB1233" s="127" t="str">
        <f>IF(OR(MasterFees[[#This Row],[Fee Basis]]="Add-on",MasterFees[[#This Row],[Fee Basis]]="Time band",MasterFees[[#This Row],[Fee Basis]]="Other"),MasterFees[[#This Row],[Fee Basis]],"Base")</f>
        <v>Base</v>
      </c>
      <c r="AC1233" s="141" t="str">
        <f>IF(MasterFees[[#This Row],[Fixed Fee?]]="Yes",MasterFees[[#This Row],[Fee Excl. GST]],"")</f>
        <v/>
      </c>
    </row>
    <row r="1234" spans="1:29" x14ac:dyDescent="0.2">
      <c r="A1234" s="67" t="s">
        <v>2183</v>
      </c>
      <c r="B1234" s="31" t="str">
        <f>IF(MasterFees[[#This Row],[RVG Code]]="","",_xlfn.XLOOKUP(MasterFees[[#This Row],[RVG Code]],RVGCodes[Code],RVGCodes[Base Units],"Code not found"))</f>
        <v/>
      </c>
      <c r="C123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3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34" s="125"/>
      <c r="F1234" s="48" t="s">
        <v>2565</v>
      </c>
      <c r="G1234" s="30" t="s">
        <v>133</v>
      </c>
      <c r="H1234" s="37" t="s">
        <v>1095</v>
      </c>
      <c r="I1234" s="37"/>
      <c r="J1234" s="37" t="s">
        <v>1096</v>
      </c>
      <c r="K1234" s="32">
        <v>0</v>
      </c>
      <c r="L1234" s="32">
        <v>0</v>
      </c>
      <c r="M1234" s="32">
        <v>0</v>
      </c>
      <c r="N1234" s="32">
        <v>0</v>
      </c>
      <c r="O1234" s="33">
        <v>0</v>
      </c>
      <c r="P1234" s="38" t="s">
        <v>1014</v>
      </c>
      <c r="Q1234" s="34" t="str">
        <f>IF(MasterFees[[#This Row],[GST Basis]]="Excl",MasterFees[[#This Row],[Fee as Printed]],IF(MasterFees[[#This Row],[GST Basis]]="Incl",MasterFees[[#This Row],[Fee as Printed]]/(1+GST_Rate),""))</f>
        <v/>
      </c>
      <c r="R1234" s="34" t="str">
        <f>IF(MasterFees[[#This Row],[GST Basis]]="Incl",MasterFees[[#This Row],[Fee as Printed]],IF(MasterFees[[#This Row],[GST Basis]]="Excl",MasterFees[[#This Row],[Fee as Printed]]*(1+GST_Rate),""))</f>
        <v/>
      </c>
      <c r="S1234" s="35" t="str">
        <f>IF(N(MasterFees[[#This Row],[Total Units]])=0,"",MasterFees[[#This Row],[Fee as Printed]]/MasterFees[[#This Row],[Total Units]])</f>
        <v/>
      </c>
      <c r="T1234" s="36"/>
      <c r="U1234" s="39" t="s">
        <v>1012</v>
      </c>
      <c r="V1234" s="39" t="s">
        <v>1225</v>
      </c>
      <c r="W1234" s="30"/>
      <c r="X1234" s="73" t="s">
        <v>3008</v>
      </c>
      <c r="Y1234" s="127" t="str">
        <f>_xlfn.XLOOKUP(MasterFees[[#This Row],[Provider / Payer]],Contracts[Contract Name],Contracts[Contract ID],"No contract")</f>
        <v>CON-01</v>
      </c>
      <c r="Z1234" s="127" t="str">
        <f>_xlfn.XLOOKUP(MasterFees[[#This Row],[Provider / Payer]],Contracts[Contract Name],Contracts[Pricing Basis],"To confirm")</f>
        <v>To confirm</v>
      </c>
      <c r="AA1234" s="127" t="str">
        <f>IF(MasterFees[[#This Row],[Pricing Basis]]="Fixed fee schedule","Yes","No")</f>
        <v>No</v>
      </c>
      <c r="AB1234" s="127" t="str">
        <f>IF(OR(MasterFees[[#This Row],[Fee Basis]]="Add-on",MasterFees[[#This Row],[Fee Basis]]="Time band",MasterFees[[#This Row],[Fee Basis]]="Other"),MasterFees[[#This Row],[Fee Basis]],"Base")</f>
        <v>Base</v>
      </c>
      <c r="AC1234" s="141" t="str">
        <f>IF(MasterFees[[#This Row],[Fixed Fee?]]="Yes",MasterFees[[#This Row],[Fee Excl. GST]],"")</f>
        <v/>
      </c>
    </row>
    <row r="1235" spans="1:29" x14ac:dyDescent="0.2">
      <c r="A1235" s="67" t="s">
        <v>2183</v>
      </c>
      <c r="B1235" s="31" t="str">
        <f>IF(MasterFees[[#This Row],[RVG Code]]="","",_xlfn.XLOOKUP(MasterFees[[#This Row],[RVG Code]],RVGCodes[Code],RVGCodes[Base Units],"Code not found"))</f>
        <v/>
      </c>
      <c r="C123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3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35" s="125"/>
      <c r="F1235" s="48" t="s">
        <v>2565</v>
      </c>
      <c r="G1235" s="30" t="s">
        <v>134</v>
      </c>
      <c r="H1235" s="37" t="s">
        <v>1095</v>
      </c>
      <c r="I1235" s="37"/>
      <c r="J1235" s="37" t="s">
        <v>1096</v>
      </c>
      <c r="K1235" s="32">
        <v>3</v>
      </c>
      <c r="L1235" s="32">
        <v>1</v>
      </c>
      <c r="M1235" s="32">
        <v>1</v>
      </c>
      <c r="N1235" s="32">
        <v>5</v>
      </c>
      <c r="O1235" s="33">
        <v>275</v>
      </c>
      <c r="P1235" s="38" t="s">
        <v>1014</v>
      </c>
      <c r="Q1235" s="34" t="str">
        <f>IF(MasterFees[[#This Row],[GST Basis]]="Excl",MasterFees[[#This Row],[Fee as Printed]],IF(MasterFees[[#This Row],[GST Basis]]="Incl",MasterFees[[#This Row],[Fee as Printed]]/(1+GST_Rate),""))</f>
        <v/>
      </c>
      <c r="R1235" s="34" t="str">
        <f>IF(MasterFees[[#This Row],[GST Basis]]="Incl",MasterFees[[#This Row],[Fee as Printed]],IF(MasterFees[[#This Row],[GST Basis]]="Excl",MasterFees[[#This Row],[Fee as Printed]]*(1+GST_Rate),""))</f>
        <v/>
      </c>
      <c r="S1235" s="35">
        <f>IF(N(MasterFees[[#This Row],[Total Units]])=0,"",MasterFees[[#This Row],[Fee as Printed]]/MasterFees[[#This Row],[Total Units]])</f>
        <v>55</v>
      </c>
      <c r="T1235" s="36"/>
      <c r="U1235" s="39" t="s">
        <v>1012</v>
      </c>
      <c r="V1235" s="39" t="s">
        <v>1226</v>
      </c>
      <c r="W1235" s="30"/>
      <c r="X1235" s="73" t="s">
        <v>3009</v>
      </c>
      <c r="Y1235" s="127" t="str">
        <f>_xlfn.XLOOKUP(MasterFees[[#This Row],[Provider / Payer]],Contracts[Contract Name],Contracts[Contract ID],"No contract")</f>
        <v>CON-01</v>
      </c>
      <c r="Z1235" s="127" t="str">
        <f>_xlfn.XLOOKUP(MasterFees[[#This Row],[Provider / Payer]],Contracts[Contract Name],Contracts[Pricing Basis],"To confirm")</f>
        <v>To confirm</v>
      </c>
      <c r="AA1235" s="127" t="str">
        <f>IF(MasterFees[[#This Row],[Pricing Basis]]="Fixed fee schedule","Yes","No")</f>
        <v>No</v>
      </c>
      <c r="AB1235" s="127" t="str">
        <f>IF(OR(MasterFees[[#This Row],[Fee Basis]]="Add-on",MasterFees[[#This Row],[Fee Basis]]="Time band",MasterFees[[#This Row],[Fee Basis]]="Other"),MasterFees[[#This Row],[Fee Basis]],"Base")</f>
        <v>Base</v>
      </c>
      <c r="AC1235" s="141" t="str">
        <f>IF(MasterFees[[#This Row],[Fixed Fee?]]="Yes",MasterFees[[#This Row],[Fee Excl. GST]],"")</f>
        <v/>
      </c>
    </row>
    <row r="1236" spans="1:29" x14ac:dyDescent="0.2">
      <c r="A1236" s="67" t="s">
        <v>2183</v>
      </c>
      <c r="B1236" s="31" t="str">
        <f>IF(MasterFees[[#This Row],[RVG Code]]="","",_xlfn.XLOOKUP(MasterFees[[#This Row],[RVG Code]],RVGCodes[Code],RVGCodes[Base Units],"Code not found"))</f>
        <v/>
      </c>
      <c r="C123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3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36" s="125"/>
      <c r="F1236" s="48" t="s">
        <v>2565</v>
      </c>
      <c r="G1236" s="30" t="s">
        <v>135</v>
      </c>
      <c r="H1236" s="37" t="s">
        <v>1095</v>
      </c>
      <c r="I1236" s="37"/>
      <c r="J1236" s="37" t="s">
        <v>1096</v>
      </c>
      <c r="K1236" s="32">
        <v>0</v>
      </c>
      <c r="L1236" s="32">
        <v>1.3</v>
      </c>
      <c r="M1236" s="32">
        <v>0</v>
      </c>
      <c r="N1236" s="32">
        <v>1.3</v>
      </c>
      <c r="O1236" s="33">
        <v>73.150000000000006</v>
      </c>
      <c r="P1236" s="38" t="s">
        <v>1014</v>
      </c>
      <c r="Q1236" s="34" t="str">
        <f>IF(MasterFees[[#This Row],[GST Basis]]="Excl",MasterFees[[#This Row],[Fee as Printed]],IF(MasterFees[[#This Row],[GST Basis]]="Incl",MasterFees[[#This Row],[Fee as Printed]]/(1+GST_Rate),""))</f>
        <v/>
      </c>
      <c r="R1236" s="34" t="str">
        <f>IF(MasterFees[[#This Row],[GST Basis]]="Incl",MasterFees[[#This Row],[Fee as Printed]],IF(MasterFees[[#This Row],[GST Basis]]="Excl",MasterFees[[#This Row],[Fee as Printed]]*(1+GST_Rate),""))</f>
        <v/>
      </c>
      <c r="S1236" s="35">
        <f>IF(N(MasterFees[[#This Row],[Total Units]])=0,"",MasterFees[[#This Row],[Fee as Printed]]/MasterFees[[#This Row],[Total Units]])</f>
        <v>56.269230769230774</v>
      </c>
      <c r="T1236" s="36"/>
      <c r="U1236" s="39" t="s">
        <v>1012</v>
      </c>
      <c r="V1236" s="39" t="s">
        <v>1227</v>
      </c>
      <c r="W1236" s="30"/>
      <c r="X1236" s="73" t="s">
        <v>3010</v>
      </c>
      <c r="Y1236" s="127" t="str">
        <f>_xlfn.XLOOKUP(MasterFees[[#This Row],[Provider / Payer]],Contracts[Contract Name],Contracts[Contract ID],"No contract")</f>
        <v>CON-01</v>
      </c>
      <c r="Z1236" s="127" t="str">
        <f>_xlfn.XLOOKUP(MasterFees[[#This Row],[Provider / Payer]],Contracts[Contract Name],Contracts[Pricing Basis],"To confirm")</f>
        <v>To confirm</v>
      </c>
      <c r="AA1236" s="127" t="str">
        <f>IF(MasterFees[[#This Row],[Pricing Basis]]="Fixed fee schedule","Yes","No")</f>
        <v>No</v>
      </c>
      <c r="AB1236" s="127" t="str">
        <f>IF(OR(MasterFees[[#This Row],[Fee Basis]]="Add-on",MasterFees[[#This Row],[Fee Basis]]="Time band",MasterFees[[#This Row],[Fee Basis]]="Other"),MasterFees[[#This Row],[Fee Basis]],"Base")</f>
        <v>Base</v>
      </c>
      <c r="AC1236" s="141" t="str">
        <f>IF(MasterFees[[#This Row],[Fixed Fee?]]="Yes",MasterFees[[#This Row],[Fee Excl. GST]],"")</f>
        <v/>
      </c>
    </row>
    <row r="1237" spans="1:29" x14ac:dyDescent="0.2">
      <c r="A1237" s="67" t="s">
        <v>2183</v>
      </c>
      <c r="B1237" s="31" t="str">
        <f>IF(MasterFees[[#This Row],[RVG Code]]="","",_xlfn.XLOOKUP(MasterFees[[#This Row],[RVG Code]],RVGCodes[Code],RVGCodes[Base Units],"Code not found"))</f>
        <v/>
      </c>
      <c r="C123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3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37" s="125"/>
      <c r="F1237" s="48" t="s">
        <v>2565</v>
      </c>
      <c r="G1237" s="30" t="s">
        <v>136</v>
      </c>
      <c r="H1237" s="37" t="s">
        <v>1095</v>
      </c>
      <c r="I1237" s="37"/>
      <c r="J1237" s="37" t="s">
        <v>1096</v>
      </c>
      <c r="K1237" s="32">
        <v>5</v>
      </c>
      <c r="L1237" s="32">
        <v>4</v>
      </c>
      <c r="M1237" s="32">
        <v>0</v>
      </c>
      <c r="N1237" s="32">
        <v>9</v>
      </c>
      <c r="O1237" s="33">
        <v>495</v>
      </c>
      <c r="P1237" s="38" t="s">
        <v>1014</v>
      </c>
      <c r="Q1237" s="34" t="str">
        <f>IF(MasterFees[[#This Row],[GST Basis]]="Excl",MasterFees[[#This Row],[Fee as Printed]],IF(MasterFees[[#This Row],[GST Basis]]="Incl",MasterFees[[#This Row],[Fee as Printed]]/(1+GST_Rate),""))</f>
        <v/>
      </c>
      <c r="R1237" s="34" t="str">
        <f>IF(MasterFees[[#This Row],[GST Basis]]="Incl",MasterFees[[#This Row],[Fee as Printed]],IF(MasterFees[[#This Row],[GST Basis]]="Excl",MasterFees[[#This Row],[Fee as Printed]]*(1+GST_Rate),""))</f>
        <v/>
      </c>
      <c r="S1237" s="35">
        <f>IF(N(MasterFees[[#This Row],[Total Units]])=0,"",MasterFees[[#This Row],[Fee as Printed]]/MasterFees[[#This Row],[Total Units]])</f>
        <v>55</v>
      </c>
      <c r="T1237" s="36"/>
      <c r="U1237" s="39" t="s">
        <v>1012</v>
      </c>
      <c r="V1237" s="39" t="s">
        <v>1228</v>
      </c>
      <c r="W1237" s="30"/>
      <c r="X1237" s="73" t="s">
        <v>3011</v>
      </c>
      <c r="Y1237" s="127" t="str">
        <f>_xlfn.XLOOKUP(MasterFees[[#This Row],[Provider / Payer]],Contracts[Contract Name],Contracts[Contract ID],"No contract")</f>
        <v>CON-01</v>
      </c>
      <c r="Z1237" s="127" t="str">
        <f>_xlfn.XLOOKUP(MasterFees[[#This Row],[Provider / Payer]],Contracts[Contract Name],Contracts[Pricing Basis],"To confirm")</f>
        <v>To confirm</v>
      </c>
      <c r="AA1237" s="127" t="str">
        <f>IF(MasterFees[[#This Row],[Pricing Basis]]="Fixed fee schedule","Yes","No")</f>
        <v>No</v>
      </c>
      <c r="AB1237" s="127" t="str">
        <f>IF(OR(MasterFees[[#This Row],[Fee Basis]]="Add-on",MasterFees[[#This Row],[Fee Basis]]="Time band",MasterFees[[#This Row],[Fee Basis]]="Other"),MasterFees[[#This Row],[Fee Basis]],"Base")</f>
        <v>Base</v>
      </c>
      <c r="AC1237" s="141" t="str">
        <f>IF(MasterFees[[#This Row],[Fixed Fee?]]="Yes",MasterFees[[#This Row],[Fee Excl. GST]],"")</f>
        <v/>
      </c>
    </row>
    <row r="1238" spans="1:29" x14ac:dyDescent="0.2">
      <c r="A1238" s="67" t="s">
        <v>2183</v>
      </c>
      <c r="B1238" s="31" t="str">
        <f>IF(MasterFees[[#This Row],[RVG Code]]="","",_xlfn.XLOOKUP(MasterFees[[#This Row],[RVG Code]],RVGCodes[Code],RVGCodes[Base Units],"Code not found"))</f>
        <v/>
      </c>
      <c r="C123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3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38" s="125"/>
      <c r="F1238" s="48" t="s">
        <v>2565</v>
      </c>
      <c r="G1238" s="30" t="s">
        <v>137</v>
      </c>
      <c r="H1238" s="37" t="s">
        <v>1095</v>
      </c>
      <c r="I1238" s="37"/>
      <c r="J1238" s="37" t="s">
        <v>1096</v>
      </c>
      <c r="K1238" s="32">
        <v>6</v>
      </c>
      <c r="L1238" s="32">
        <v>15.3</v>
      </c>
      <c r="M1238" s="32">
        <v>1.7</v>
      </c>
      <c r="N1238" s="32">
        <v>23</v>
      </c>
      <c r="O1238" s="33">
        <v>1264.45</v>
      </c>
      <c r="P1238" s="38" t="s">
        <v>1014</v>
      </c>
      <c r="Q1238" s="34" t="str">
        <f>IF(MasterFees[[#This Row],[GST Basis]]="Excl",MasterFees[[#This Row],[Fee as Printed]],IF(MasterFees[[#This Row],[GST Basis]]="Incl",MasterFees[[#This Row],[Fee as Printed]]/(1+GST_Rate),""))</f>
        <v/>
      </c>
      <c r="R1238" s="34" t="str">
        <f>IF(MasterFees[[#This Row],[GST Basis]]="Incl",MasterFees[[#This Row],[Fee as Printed]],IF(MasterFees[[#This Row],[GST Basis]]="Excl",MasterFees[[#This Row],[Fee as Printed]]*(1+GST_Rate),""))</f>
        <v/>
      </c>
      <c r="S1238" s="35">
        <f>IF(N(MasterFees[[#This Row],[Total Units]])=0,"",MasterFees[[#This Row],[Fee as Printed]]/MasterFees[[#This Row],[Total Units]])</f>
        <v>54.97608695652174</v>
      </c>
      <c r="T1238" s="36"/>
      <c r="U1238" s="39" t="s">
        <v>1012</v>
      </c>
      <c r="V1238" s="39" t="s">
        <v>1229</v>
      </c>
      <c r="W1238" s="30"/>
      <c r="X1238" s="73" t="s">
        <v>3012</v>
      </c>
      <c r="Y1238" s="127" t="str">
        <f>_xlfn.XLOOKUP(MasterFees[[#This Row],[Provider / Payer]],Contracts[Contract Name],Contracts[Contract ID],"No contract")</f>
        <v>CON-01</v>
      </c>
      <c r="Z1238" s="127" t="str">
        <f>_xlfn.XLOOKUP(MasterFees[[#This Row],[Provider / Payer]],Contracts[Contract Name],Contracts[Pricing Basis],"To confirm")</f>
        <v>To confirm</v>
      </c>
      <c r="AA1238" s="127" t="str">
        <f>IF(MasterFees[[#This Row],[Pricing Basis]]="Fixed fee schedule","Yes","No")</f>
        <v>No</v>
      </c>
      <c r="AB1238" s="127" t="str">
        <f>IF(OR(MasterFees[[#This Row],[Fee Basis]]="Add-on",MasterFees[[#This Row],[Fee Basis]]="Time band",MasterFees[[#This Row],[Fee Basis]]="Other"),MasterFees[[#This Row],[Fee Basis]],"Base")</f>
        <v>Base</v>
      </c>
      <c r="AC1238" s="141" t="str">
        <f>IF(MasterFees[[#This Row],[Fixed Fee?]]="Yes",MasterFees[[#This Row],[Fee Excl. GST]],"")</f>
        <v/>
      </c>
    </row>
    <row r="1239" spans="1:29" x14ac:dyDescent="0.2">
      <c r="A1239" s="67" t="s">
        <v>2183</v>
      </c>
      <c r="B1239" s="31" t="str">
        <f>IF(MasterFees[[#This Row],[RVG Code]]="","",_xlfn.XLOOKUP(MasterFees[[#This Row],[RVG Code]],RVGCodes[Code],RVGCodes[Base Units],"Code not found"))</f>
        <v/>
      </c>
      <c r="C123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3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39" s="125"/>
      <c r="F1239" s="48" t="s">
        <v>2565</v>
      </c>
      <c r="G1239" s="30" t="s">
        <v>176</v>
      </c>
      <c r="H1239" s="37" t="s">
        <v>1095</v>
      </c>
      <c r="I1239" s="37"/>
      <c r="J1239" s="37" t="s">
        <v>1096</v>
      </c>
      <c r="K1239" s="32">
        <v>7.6</v>
      </c>
      <c r="L1239" s="32">
        <v>5.7</v>
      </c>
      <c r="M1239" s="32">
        <v>1</v>
      </c>
      <c r="N1239" s="32">
        <v>14.3</v>
      </c>
      <c r="O1239" s="33">
        <v>787.6</v>
      </c>
      <c r="P1239" s="38" t="s">
        <v>1014</v>
      </c>
      <c r="Q1239" s="34" t="str">
        <f>IF(MasterFees[[#This Row],[GST Basis]]="Excl",MasterFees[[#This Row],[Fee as Printed]],IF(MasterFees[[#This Row],[GST Basis]]="Incl",MasterFees[[#This Row],[Fee as Printed]]/(1+GST_Rate),""))</f>
        <v/>
      </c>
      <c r="R1239" s="34" t="str">
        <f>IF(MasterFees[[#This Row],[GST Basis]]="Incl",MasterFees[[#This Row],[Fee as Printed]],IF(MasterFees[[#This Row],[GST Basis]]="Excl",MasterFees[[#This Row],[Fee as Printed]]*(1+GST_Rate),""))</f>
        <v/>
      </c>
      <c r="S1239" s="35">
        <f>IF(N(MasterFees[[#This Row],[Total Units]])=0,"",MasterFees[[#This Row],[Fee as Printed]]/MasterFees[[#This Row],[Total Units]])</f>
        <v>55.076923076923073</v>
      </c>
      <c r="T1239" s="36"/>
      <c r="U1239" s="39" t="s">
        <v>1012</v>
      </c>
      <c r="V1239" s="39" t="s">
        <v>1270</v>
      </c>
      <c r="W1239" s="30"/>
      <c r="X1239" s="73" t="s">
        <v>3055</v>
      </c>
      <c r="Y1239" s="127" t="str">
        <f>_xlfn.XLOOKUP(MasterFees[[#This Row],[Provider / Payer]],Contracts[Contract Name],Contracts[Contract ID],"No contract")</f>
        <v>CON-01</v>
      </c>
      <c r="Z1239" s="127" t="str">
        <f>_xlfn.XLOOKUP(MasterFees[[#This Row],[Provider / Payer]],Contracts[Contract Name],Contracts[Pricing Basis],"To confirm")</f>
        <v>To confirm</v>
      </c>
      <c r="AA1239" s="127" t="str">
        <f>IF(MasterFees[[#This Row],[Pricing Basis]]="Fixed fee schedule","Yes","No")</f>
        <v>No</v>
      </c>
      <c r="AB1239" s="127" t="str">
        <f>IF(OR(MasterFees[[#This Row],[Fee Basis]]="Add-on",MasterFees[[#This Row],[Fee Basis]]="Time band",MasterFees[[#This Row],[Fee Basis]]="Other"),MasterFees[[#This Row],[Fee Basis]],"Base")</f>
        <v>Base</v>
      </c>
      <c r="AC1239" s="141" t="str">
        <f>IF(MasterFees[[#This Row],[Fixed Fee?]]="Yes",MasterFees[[#This Row],[Fee Excl. GST]],"")</f>
        <v/>
      </c>
    </row>
    <row r="1240" spans="1:29" x14ac:dyDescent="0.2">
      <c r="A1240" s="67" t="s">
        <v>2183</v>
      </c>
      <c r="B1240" s="31" t="str">
        <f>IF(MasterFees[[#This Row],[RVG Code]]="","",_xlfn.XLOOKUP(MasterFees[[#This Row],[RVG Code]],RVGCodes[Code],RVGCodes[Base Units],"Code not found"))</f>
        <v/>
      </c>
      <c r="C124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4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40" s="125"/>
      <c r="F1240" s="48" t="s">
        <v>2565</v>
      </c>
      <c r="G1240" s="30" t="s">
        <v>211</v>
      </c>
      <c r="H1240" s="37" t="s">
        <v>1095</v>
      </c>
      <c r="I1240" s="37"/>
      <c r="J1240" s="37" t="s">
        <v>1096</v>
      </c>
      <c r="K1240" s="32">
        <v>0</v>
      </c>
      <c r="L1240" s="32">
        <v>0</v>
      </c>
      <c r="M1240" s="32">
        <v>0</v>
      </c>
      <c r="N1240" s="32">
        <v>0</v>
      </c>
      <c r="O1240" s="33">
        <v>0</v>
      </c>
      <c r="P1240" s="38" t="s">
        <v>1014</v>
      </c>
      <c r="Q1240" s="34" t="str">
        <f>IF(MasterFees[[#This Row],[GST Basis]]="Excl",MasterFees[[#This Row],[Fee as Printed]],IF(MasterFees[[#This Row],[GST Basis]]="Incl",MasterFees[[#This Row],[Fee as Printed]]/(1+GST_Rate),""))</f>
        <v/>
      </c>
      <c r="R1240" s="34" t="str">
        <f>IF(MasterFees[[#This Row],[GST Basis]]="Incl",MasterFees[[#This Row],[Fee as Printed]],IF(MasterFees[[#This Row],[GST Basis]]="Excl",MasterFees[[#This Row],[Fee as Printed]]*(1+GST_Rate),""))</f>
        <v/>
      </c>
      <c r="S1240" s="35" t="str">
        <f>IF(N(MasterFees[[#This Row],[Total Units]])=0,"",MasterFees[[#This Row],[Fee as Printed]]/MasterFees[[#This Row],[Total Units]])</f>
        <v/>
      </c>
      <c r="T1240" s="36"/>
      <c r="U1240" s="39" t="s">
        <v>1012</v>
      </c>
      <c r="V1240" s="39" t="s">
        <v>1305</v>
      </c>
      <c r="W1240" s="30"/>
      <c r="X1240" s="73" t="s">
        <v>3090</v>
      </c>
      <c r="Y1240" s="127" t="str">
        <f>_xlfn.XLOOKUP(MasterFees[[#This Row],[Provider / Payer]],Contracts[Contract Name],Contracts[Contract ID],"No contract")</f>
        <v>CON-01</v>
      </c>
      <c r="Z1240" s="127" t="str">
        <f>_xlfn.XLOOKUP(MasterFees[[#This Row],[Provider / Payer]],Contracts[Contract Name],Contracts[Pricing Basis],"To confirm")</f>
        <v>To confirm</v>
      </c>
      <c r="AA1240" s="127" t="str">
        <f>IF(MasterFees[[#This Row],[Pricing Basis]]="Fixed fee schedule","Yes","No")</f>
        <v>No</v>
      </c>
      <c r="AB1240" s="127" t="str">
        <f>IF(OR(MasterFees[[#This Row],[Fee Basis]]="Add-on",MasterFees[[#This Row],[Fee Basis]]="Time band",MasterFees[[#This Row],[Fee Basis]]="Other"),MasterFees[[#This Row],[Fee Basis]],"Base")</f>
        <v>Base</v>
      </c>
      <c r="AC1240" s="141" t="str">
        <f>IF(MasterFees[[#This Row],[Fixed Fee?]]="Yes",MasterFees[[#This Row],[Fee Excl. GST]],"")</f>
        <v/>
      </c>
    </row>
    <row r="1241" spans="1:29" x14ac:dyDescent="0.2">
      <c r="A1241" s="67" t="s">
        <v>2183</v>
      </c>
      <c r="B1241" s="31" t="str">
        <f>IF(MasterFees[[#This Row],[RVG Code]]="","",_xlfn.XLOOKUP(MasterFees[[#This Row],[RVG Code]],RVGCodes[Code],RVGCodes[Base Units],"Code not found"))</f>
        <v/>
      </c>
      <c r="C124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4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41" s="125"/>
      <c r="F1241" s="48" t="s">
        <v>2565</v>
      </c>
      <c r="G1241" s="30" t="s">
        <v>8</v>
      </c>
      <c r="H1241" s="37" t="s">
        <v>1095</v>
      </c>
      <c r="I1241" s="37"/>
      <c r="J1241" s="37" t="s">
        <v>1096</v>
      </c>
      <c r="K1241" s="32">
        <v>0</v>
      </c>
      <c r="L1241" s="32">
        <v>4</v>
      </c>
      <c r="M1241" s="32">
        <v>0</v>
      </c>
      <c r="N1241" s="32">
        <v>4</v>
      </c>
      <c r="O1241" s="33">
        <v>220</v>
      </c>
      <c r="P1241" s="38" t="s">
        <v>1014</v>
      </c>
      <c r="Q1241" s="34" t="str">
        <f>IF(MasterFees[[#This Row],[GST Basis]]="Excl",MasterFees[[#This Row],[Fee as Printed]],IF(MasterFees[[#This Row],[GST Basis]]="Incl",MasterFees[[#This Row],[Fee as Printed]]/(1+GST_Rate),""))</f>
        <v/>
      </c>
      <c r="R1241" s="34" t="str">
        <f>IF(MasterFees[[#This Row],[GST Basis]]="Incl",MasterFees[[#This Row],[Fee as Printed]],IF(MasterFees[[#This Row],[GST Basis]]="Excl",MasterFees[[#This Row],[Fee as Printed]]*(1+GST_Rate),""))</f>
        <v/>
      </c>
      <c r="S1241" s="35">
        <f>IF(N(MasterFees[[#This Row],[Total Units]])=0,"",MasterFees[[#This Row],[Fee as Printed]]/MasterFees[[#This Row],[Total Units]])</f>
        <v>55</v>
      </c>
      <c r="T1241" s="36"/>
      <c r="U1241" s="39" t="s">
        <v>1012</v>
      </c>
      <c r="V1241" s="39" t="s">
        <v>1097</v>
      </c>
      <c r="W1241" s="30"/>
      <c r="X1241" s="73" t="s">
        <v>2879</v>
      </c>
      <c r="Y1241" s="127" t="str">
        <f>_xlfn.XLOOKUP(MasterFees[[#This Row],[Provider / Payer]],Contracts[Contract Name],Contracts[Contract ID],"No contract")</f>
        <v>CON-01</v>
      </c>
      <c r="Z1241" s="127" t="str">
        <f>_xlfn.XLOOKUP(MasterFees[[#This Row],[Provider / Payer]],Contracts[Contract Name],Contracts[Pricing Basis],"To confirm")</f>
        <v>To confirm</v>
      </c>
      <c r="AA1241" s="127" t="str">
        <f>IF(MasterFees[[#This Row],[Pricing Basis]]="Fixed fee schedule","Yes","No")</f>
        <v>No</v>
      </c>
      <c r="AB1241" s="127" t="str">
        <f>IF(OR(MasterFees[[#This Row],[Fee Basis]]="Add-on",MasterFees[[#This Row],[Fee Basis]]="Time band",MasterFees[[#This Row],[Fee Basis]]="Other"),MasterFees[[#This Row],[Fee Basis]],"Base")</f>
        <v>Base</v>
      </c>
      <c r="AC1241" s="141" t="str">
        <f>IF(MasterFees[[#This Row],[Fixed Fee?]]="Yes",MasterFees[[#This Row],[Fee Excl. GST]],"")</f>
        <v/>
      </c>
    </row>
    <row r="1242" spans="1:29" x14ac:dyDescent="0.2">
      <c r="A1242" s="67" t="s">
        <v>2183</v>
      </c>
      <c r="B1242" s="31" t="str">
        <f>IF(MasterFees[[#This Row],[RVG Code]]="","",_xlfn.XLOOKUP(MasterFees[[#This Row],[RVG Code]],RVGCodes[Code],RVGCodes[Base Units],"Code not found"))</f>
        <v/>
      </c>
      <c r="C124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4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42" s="125"/>
      <c r="F1242" s="48" t="s">
        <v>2565</v>
      </c>
      <c r="G1242" s="30" t="s">
        <v>243</v>
      </c>
      <c r="H1242" s="37" t="s">
        <v>1095</v>
      </c>
      <c r="I1242" s="37"/>
      <c r="J1242" s="37" t="s">
        <v>1096</v>
      </c>
      <c r="K1242" s="32">
        <v>0</v>
      </c>
      <c r="L1242" s="32">
        <v>1</v>
      </c>
      <c r="M1242" s="32">
        <v>0</v>
      </c>
      <c r="N1242" s="32">
        <v>1</v>
      </c>
      <c r="O1242" s="33">
        <v>55</v>
      </c>
      <c r="P1242" s="38" t="s">
        <v>1014</v>
      </c>
      <c r="Q1242" s="34" t="str">
        <f>IF(MasterFees[[#This Row],[GST Basis]]="Excl",MasterFees[[#This Row],[Fee as Printed]],IF(MasterFees[[#This Row],[GST Basis]]="Incl",MasterFees[[#This Row],[Fee as Printed]]/(1+GST_Rate),""))</f>
        <v/>
      </c>
      <c r="R1242" s="34" t="str">
        <f>IF(MasterFees[[#This Row],[GST Basis]]="Incl",MasterFees[[#This Row],[Fee as Printed]],IF(MasterFees[[#This Row],[GST Basis]]="Excl",MasterFees[[#This Row],[Fee as Printed]]*(1+GST_Rate),""))</f>
        <v/>
      </c>
      <c r="S1242" s="35">
        <f>IF(N(MasterFees[[#This Row],[Total Units]])=0,"",MasterFees[[#This Row],[Fee as Printed]]/MasterFees[[#This Row],[Total Units]])</f>
        <v>55</v>
      </c>
      <c r="T1242" s="36"/>
      <c r="U1242" s="39" t="s">
        <v>1012</v>
      </c>
      <c r="V1242" s="39" t="s">
        <v>1337</v>
      </c>
      <c r="W1242" s="30"/>
      <c r="X1242" s="73" t="s">
        <v>3127</v>
      </c>
      <c r="Y1242" s="127" t="str">
        <f>_xlfn.XLOOKUP(MasterFees[[#This Row],[Provider / Payer]],Contracts[Contract Name],Contracts[Contract ID],"No contract")</f>
        <v>CON-01</v>
      </c>
      <c r="Z1242" s="127" t="str">
        <f>_xlfn.XLOOKUP(MasterFees[[#This Row],[Provider / Payer]],Contracts[Contract Name],Contracts[Pricing Basis],"To confirm")</f>
        <v>To confirm</v>
      </c>
      <c r="AA1242" s="127" t="str">
        <f>IF(MasterFees[[#This Row],[Pricing Basis]]="Fixed fee schedule","Yes","No")</f>
        <v>No</v>
      </c>
      <c r="AB1242" s="127" t="str">
        <f>IF(OR(MasterFees[[#This Row],[Fee Basis]]="Add-on",MasterFees[[#This Row],[Fee Basis]]="Time band",MasterFees[[#This Row],[Fee Basis]]="Other"),MasterFees[[#This Row],[Fee Basis]],"Base")</f>
        <v>Base</v>
      </c>
      <c r="AC1242" s="141" t="str">
        <f>IF(MasterFees[[#This Row],[Fixed Fee?]]="Yes",MasterFees[[#This Row],[Fee Excl. GST]],"")</f>
        <v/>
      </c>
    </row>
    <row r="1243" spans="1:29" x14ac:dyDescent="0.2">
      <c r="A1243" s="67" t="s">
        <v>2183</v>
      </c>
      <c r="B1243" s="31" t="str">
        <f>IF(MasterFees[[#This Row],[RVG Code]]="","",_xlfn.XLOOKUP(MasterFees[[#This Row],[RVG Code]],RVGCodes[Code],RVGCodes[Base Units],"Code not found"))</f>
        <v/>
      </c>
      <c r="C124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4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43" s="125"/>
      <c r="F1243" s="48" t="s">
        <v>2565</v>
      </c>
      <c r="G1243" s="30" t="s">
        <v>256</v>
      </c>
      <c r="H1243" s="37" t="s">
        <v>1095</v>
      </c>
      <c r="I1243" s="37"/>
      <c r="J1243" s="37" t="s">
        <v>1096</v>
      </c>
      <c r="K1243" s="32">
        <v>0</v>
      </c>
      <c r="L1243" s="32">
        <v>1</v>
      </c>
      <c r="M1243" s="32">
        <v>0</v>
      </c>
      <c r="N1243" s="32">
        <v>1</v>
      </c>
      <c r="O1243" s="33">
        <v>55</v>
      </c>
      <c r="P1243" s="38" t="s">
        <v>1014</v>
      </c>
      <c r="Q1243" s="34" t="str">
        <f>IF(MasterFees[[#This Row],[GST Basis]]="Excl",MasterFees[[#This Row],[Fee as Printed]],IF(MasterFees[[#This Row],[GST Basis]]="Incl",MasterFees[[#This Row],[Fee as Printed]]/(1+GST_Rate),""))</f>
        <v/>
      </c>
      <c r="R1243" s="34" t="str">
        <f>IF(MasterFees[[#This Row],[GST Basis]]="Incl",MasterFees[[#This Row],[Fee as Printed]],IF(MasterFees[[#This Row],[GST Basis]]="Excl",MasterFees[[#This Row],[Fee as Printed]]*(1+GST_Rate),""))</f>
        <v/>
      </c>
      <c r="S1243" s="35">
        <f>IF(N(MasterFees[[#This Row],[Total Units]])=0,"",MasterFees[[#This Row],[Fee as Printed]]/MasterFees[[#This Row],[Total Units]])</f>
        <v>55</v>
      </c>
      <c r="T1243" s="36"/>
      <c r="U1243" s="39" t="s">
        <v>1012</v>
      </c>
      <c r="V1243" s="39" t="s">
        <v>1350</v>
      </c>
      <c r="W1243" s="30"/>
      <c r="X1243" s="73" t="s">
        <v>3140</v>
      </c>
      <c r="Y1243" s="127" t="str">
        <f>_xlfn.XLOOKUP(MasterFees[[#This Row],[Provider / Payer]],Contracts[Contract Name],Contracts[Contract ID],"No contract")</f>
        <v>CON-01</v>
      </c>
      <c r="Z1243" s="127" t="str">
        <f>_xlfn.XLOOKUP(MasterFees[[#This Row],[Provider / Payer]],Contracts[Contract Name],Contracts[Pricing Basis],"To confirm")</f>
        <v>To confirm</v>
      </c>
      <c r="AA1243" s="127" t="str">
        <f>IF(MasterFees[[#This Row],[Pricing Basis]]="Fixed fee schedule","Yes","No")</f>
        <v>No</v>
      </c>
      <c r="AB1243" s="127" t="str">
        <f>IF(OR(MasterFees[[#This Row],[Fee Basis]]="Add-on",MasterFees[[#This Row],[Fee Basis]]="Time band",MasterFees[[#This Row],[Fee Basis]]="Other"),MasterFees[[#This Row],[Fee Basis]],"Base")</f>
        <v>Base</v>
      </c>
      <c r="AC1243" s="141" t="str">
        <f>IF(MasterFees[[#This Row],[Fixed Fee?]]="Yes",MasterFees[[#This Row],[Fee Excl. GST]],"")</f>
        <v/>
      </c>
    </row>
    <row r="1244" spans="1:29" x14ac:dyDescent="0.2">
      <c r="A1244" s="67" t="s">
        <v>2183</v>
      </c>
      <c r="B1244" s="31" t="str">
        <f>IF(MasterFees[[#This Row],[RVG Code]]="","",_xlfn.XLOOKUP(MasterFees[[#This Row],[RVG Code]],RVGCodes[Code],RVGCodes[Base Units],"Code not found"))</f>
        <v/>
      </c>
      <c r="C124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4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44" s="125"/>
      <c r="F1244" s="48" t="s">
        <v>2565</v>
      </c>
      <c r="G1244" s="30" t="s">
        <v>278</v>
      </c>
      <c r="H1244" s="37" t="s">
        <v>1095</v>
      </c>
      <c r="I1244" s="37"/>
      <c r="J1244" s="37" t="s">
        <v>1096</v>
      </c>
      <c r="K1244" s="32">
        <v>5</v>
      </c>
      <c r="L1244" s="32">
        <v>4</v>
      </c>
      <c r="M1244" s="32">
        <v>1</v>
      </c>
      <c r="N1244" s="32">
        <v>10</v>
      </c>
      <c r="O1244" s="33">
        <v>550</v>
      </c>
      <c r="P1244" s="38" t="s">
        <v>1014</v>
      </c>
      <c r="Q1244" s="34" t="str">
        <f>IF(MasterFees[[#This Row],[GST Basis]]="Excl",MasterFees[[#This Row],[Fee as Printed]],IF(MasterFees[[#This Row],[GST Basis]]="Incl",MasterFees[[#This Row],[Fee as Printed]]/(1+GST_Rate),""))</f>
        <v/>
      </c>
      <c r="R1244" s="34" t="str">
        <f>IF(MasterFees[[#This Row],[GST Basis]]="Incl",MasterFees[[#This Row],[Fee as Printed]],IF(MasterFees[[#This Row],[GST Basis]]="Excl",MasterFees[[#This Row],[Fee as Printed]]*(1+GST_Rate),""))</f>
        <v/>
      </c>
      <c r="S1244" s="35">
        <f>IF(N(MasterFees[[#This Row],[Total Units]])=0,"",MasterFees[[#This Row],[Fee as Printed]]/MasterFees[[#This Row],[Total Units]])</f>
        <v>55</v>
      </c>
      <c r="T1244" s="36"/>
      <c r="U1244" s="39" t="s">
        <v>1012</v>
      </c>
      <c r="V1244" s="39" t="s">
        <v>1372</v>
      </c>
      <c r="W1244" s="30"/>
      <c r="X1244" s="73" t="s">
        <v>3163</v>
      </c>
      <c r="Y1244" s="127" t="str">
        <f>_xlfn.XLOOKUP(MasterFees[[#This Row],[Provider / Payer]],Contracts[Contract Name],Contracts[Contract ID],"No contract")</f>
        <v>CON-01</v>
      </c>
      <c r="Z1244" s="127" t="str">
        <f>_xlfn.XLOOKUP(MasterFees[[#This Row],[Provider / Payer]],Contracts[Contract Name],Contracts[Pricing Basis],"To confirm")</f>
        <v>To confirm</v>
      </c>
      <c r="AA1244" s="127" t="str">
        <f>IF(MasterFees[[#This Row],[Pricing Basis]]="Fixed fee schedule","Yes","No")</f>
        <v>No</v>
      </c>
      <c r="AB1244" s="127" t="str">
        <f>IF(OR(MasterFees[[#This Row],[Fee Basis]]="Add-on",MasterFees[[#This Row],[Fee Basis]]="Time band",MasterFees[[#This Row],[Fee Basis]]="Other"),MasterFees[[#This Row],[Fee Basis]],"Base")</f>
        <v>Base</v>
      </c>
      <c r="AC1244" s="141" t="str">
        <f>IF(MasterFees[[#This Row],[Fixed Fee?]]="Yes",MasterFees[[#This Row],[Fee Excl. GST]],"")</f>
        <v/>
      </c>
    </row>
    <row r="1245" spans="1:29" x14ac:dyDescent="0.2">
      <c r="A1245" s="67" t="s">
        <v>2183</v>
      </c>
      <c r="B1245" s="31" t="str">
        <f>IF(MasterFees[[#This Row],[RVG Code]]="","",_xlfn.XLOOKUP(MasterFees[[#This Row],[RVG Code]],RVGCodes[Code],RVGCodes[Base Units],"Code not found"))</f>
        <v/>
      </c>
      <c r="C124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4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45" s="125"/>
      <c r="F1245" s="48" t="s">
        <v>2565</v>
      </c>
      <c r="G1245" s="30" t="s">
        <v>279</v>
      </c>
      <c r="H1245" s="37" t="s">
        <v>1095</v>
      </c>
      <c r="I1245" s="37"/>
      <c r="J1245" s="37" t="s">
        <v>1096</v>
      </c>
      <c r="K1245" s="32">
        <v>0</v>
      </c>
      <c r="L1245" s="32">
        <v>2</v>
      </c>
      <c r="M1245" s="32">
        <v>0</v>
      </c>
      <c r="N1245" s="32">
        <v>2</v>
      </c>
      <c r="O1245" s="33">
        <v>110</v>
      </c>
      <c r="P1245" s="38" t="s">
        <v>1014</v>
      </c>
      <c r="Q1245" s="34" t="str">
        <f>IF(MasterFees[[#This Row],[GST Basis]]="Excl",MasterFees[[#This Row],[Fee as Printed]],IF(MasterFees[[#This Row],[GST Basis]]="Incl",MasterFees[[#This Row],[Fee as Printed]]/(1+GST_Rate),""))</f>
        <v/>
      </c>
      <c r="R1245" s="34" t="str">
        <f>IF(MasterFees[[#This Row],[GST Basis]]="Incl",MasterFees[[#This Row],[Fee as Printed]],IF(MasterFees[[#This Row],[GST Basis]]="Excl",MasterFees[[#This Row],[Fee as Printed]]*(1+GST_Rate),""))</f>
        <v/>
      </c>
      <c r="S1245" s="35">
        <f>IF(N(MasterFees[[#This Row],[Total Units]])=0,"",MasterFees[[#This Row],[Fee as Printed]]/MasterFees[[#This Row],[Total Units]])</f>
        <v>55</v>
      </c>
      <c r="T1245" s="36"/>
      <c r="U1245" s="39" t="s">
        <v>1012</v>
      </c>
      <c r="V1245" s="39" t="s">
        <v>1373</v>
      </c>
      <c r="W1245" s="30"/>
      <c r="X1245" s="73" t="s">
        <v>3164</v>
      </c>
      <c r="Y1245" s="127" t="str">
        <f>_xlfn.XLOOKUP(MasterFees[[#This Row],[Provider / Payer]],Contracts[Contract Name],Contracts[Contract ID],"No contract")</f>
        <v>CON-01</v>
      </c>
      <c r="Z1245" s="127" t="str">
        <f>_xlfn.XLOOKUP(MasterFees[[#This Row],[Provider / Payer]],Contracts[Contract Name],Contracts[Pricing Basis],"To confirm")</f>
        <v>To confirm</v>
      </c>
      <c r="AA1245" s="127" t="str">
        <f>IF(MasterFees[[#This Row],[Pricing Basis]]="Fixed fee schedule","Yes","No")</f>
        <v>No</v>
      </c>
      <c r="AB1245" s="127" t="str">
        <f>IF(OR(MasterFees[[#This Row],[Fee Basis]]="Add-on",MasterFees[[#This Row],[Fee Basis]]="Time band",MasterFees[[#This Row],[Fee Basis]]="Other"),MasterFees[[#This Row],[Fee Basis]],"Base")</f>
        <v>Base</v>
      </c>
      <c r="AC1245" s="141" t="str">
        <f>IF(MasterFees[[#This Row],[Fixed Fee?]]="Yes",MasterFees[[#This Row],[Fee Excl. GST]],"")</f>
        <v/>
      </c>
    </row>
    <row r="1246" spans="1:29" x14ac:dyDescent="0.2">
      <c r="A1246" s="67" t="s">
        <v>2183</v>
      </c>
      <c r="B1246" s="31" t="str">
        <f>IF(MasterFees[[#This Row],[RVG Code]]="","",_xlfn.XLOOKUP(MasterFees[[#This Row],[RVG Code]],RVGCodes[Code],RVGCodes[Base Units],"Code not found"))</f>
        <v/>
      </c>
      <c r="C124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4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46" s="125"/>
      <c r="F1246" s="48" t="s">
        <v>2565</v>
      </c>
      <c r="G1246" s="30" t="s">
        <v>283</v>
      </c>
      <c r="H1246" s="37" t="s">
        <v>1095</v>
      </c>
      <c r="I1246" s="37"/>
      <c r="J1246" s="37" t="s">
        <v>1096</v>
      </c>
      <c r="K1246" s="32">
        <v>0</v>
      </c>
      <c r="L1246" s="32">
        <v>0</v>
      </c>
      <c r="M1246" s="32">
        <v>1</v>
      </c>
      <c r="N1246" s="32">
        <v>1</v>
      </c>
      <c r="O1246" s="33">
        <v>55</v>
      </c>
      <c r="P1246" s="38" t="s">
        <v>1014</v>
      </c>
      <c r="Q1246" s="34" t="str">
        <f>IF(MasterFees[[#This Row],[GST Basis]]="Excl",MasterFees[[#This Row],[Fee as Printed]],IF(MasterFees[[#This Row],[GST Basis]]="Incl",MasterFees[[#This Row],[Fee as Printed]]/(1+GST_Rate),""))</f>
        <v/>
      </c>
      <c r="R1246" s="34" t="str">
        <f>IF(MasterFees[[#This Row],[GST Basis]]="Incl",MasterFees[[#This Row],[Fee as Printed]],IF(MasterFees[[#This Row],[GST Basis]]="Excl",MasterFees[[#This Row],[Fee as Printed]]*(1+GST_Rate),""))</f>
        <v/>
      </c>
      <c r="S1246" s="35">
        <f>IF(N(MasterFees[[#This Row],[Total Units]])=0,"",MasterFees[[#This Row],[Fee as Printed]]/MasterFees[[#This Row],[Total Units]])</f>
        <v>55</v>
      </c>
      <c r="T1246" s="36"/>
      <c r="U1246" s="39" t="s">
        <v>1012</v>
      </c>
      <c r="V1246" s="39" t="s">
        <v>1377</v>
      </c>
      <c r="W1246" s="30"/>
      <c r="X1246" s="73" t="s">
        <v>3168</v>
      </c>
      <c r="Y1246" s="127" t="str">
        <f>_xlfn.XLOOKUP(MasterFees[[#This Row],[Provider / Payer]],Contracts[Contract Name],Contracts[Contract ID],"No contract")</f>
        <v>CON-01</v>
      </c>
      <c r="Z1246" s="127" t="str">
        <f>_xlfn.XLOOKUP(MasterFees[[#This Row],[Provider / Payer]],Contracts[Contract Name],Contracts[Pricing Basis],"To confirm")</f>
        <v>To confirm</v>
      </c>
      <c r="AA1246" s="127" t="str">
        <f>IF(MasterFees[[#This Row],[Pricing Basis]]="Fixed fee schedule","Yes","No")</f>
        <v>No</v>
      </c>
      <c r="AB1246" s="127" t="str">
        <f>IF(OR(MasterFees[[#This Row],[Fee Basis]]="Add-on",MasterFees[[#This Row],[Fee Basis]]="Time band",MasterFees[[#This Row],[Fee Basis]]="Other"),MasterFees[[#This Row],[Fee Basis]],"Base")</f>
        <v>Base</v>
      </c>
      <c r="AC1246" s="141" t="str">
        <f>IF(MasterFees[[#This Row],[Fixed Fee?]]="Yes",MasterFees[[#This Row],[Fee Excl. GST]],"")</f>
        <v/>
      </c>
    </row>
    <row r="1247" spans="1:29" x14ac:dyDescent="0.2">
      <c r="A1247" s="67" t="s">
        <v>2183</v>
      </c>
      <c r="B1247" s="31" t="str">
        <f>IF(MasterFees[[#This Row],[RVG Code]]="","",_xlfn.XLOOKUP(MasterFees[[#This Row],[RVG Code]],RVGCodes[Code],RVGCodes[Base Units],"Code not found"))</f>
        <v/>
      </c>
      <c r="C124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4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47" s="125"/>
      <c r="F1247" s="48" t="s">
        <v>2565</v>
      </c>
      <c r="G1247" s="30" t="s">
        <v>291</v>
      </c>
      <c r="H1247" s="37" t="s">
        <v>1095</v>
      </c>
      <c r="I1247" s="37"/>
      <c r="J1247" s="37" t="s">
        <v>1096</v>
      </c>
      <c r="K1247" s="32">
        <v>3</v>
      </c>
      <c r="L1247" s="32">
        <v>2.1</v>
      </c>
      <c r="M1247" s="32">
        <v>0.5</v>
      </c>
      <c r="N1247" s="32">
        <v>5.7</v>
      </c>
      <c r="O1247" s="33">
        <v>310.75</v>
      </c>
      <c r="P1247" s="38" t="s">
        <v>1014</v>
      </c>
      <c r="Q1247" s="34" t="str">
        <f>IF(MasterFees[[#This Row],[GST Basis]]="Excl",MasterFees[[#This Row],[Fee as Printed]],IF(MasterFees[[#This Row],[GST Basis]]="Incl",MasterFees[[#This Row],[Fee as Printed]]/(1+GST_Rate),""))</f>
        <v/>
      </c>
      <c r="R1247" s="34" t="str">
        <f>IF(MasterFees[[#This Row],[GST Basis]]="Incl",MasterFees[[#This Row],[Fee as Printed]],IF(MasterFees[[#This Row],[GST Basis]]="Excl",MasterFees[[#This Row],[Fee as Printed]]*(1+GST_Rate),""))</f>
        <v/>
      </c>
      <c r="S1247" s="35">
        <f>IF(N(MasterFees[[#This Row],[Total Units]])=0,"",MasterFees[[#This Row],[Fee as Printed]]/MasterFees[[#This Row],[Total Units]])</f>
        <v>54.517543859649123</v>
      </c>
      <c r="T1247" s="36"/>
      <c r="U1247" s="39" t="s">
        <v>1012</v>
      </c>
      <c r="V1247" s="39" t="s">
        <v>1385</v>
      </c>
      <c r="W1247" s="30"/>
      <c r="X1247" s="73" t="s">
        <v>3176</v>
      </c>
      <c r="Y1247" s="127" t="str">
        <f>_xlfn.XLOOKUP(MasterFees[[#This Row],[Provider / Payer]],Contracts[Contract Name],Contracts[Contract ID],"No contract")</f>
        <v>CON-01</v>
      </c>
      <c r="Z1247" s="127" t="str">
        <f>_xlfn.XLOOKUP(MasterFees[[#This Row],[Provider / Payer]],Contracts[Contract Name],Contracts[Pricing Basis],"To confirm")</f>
        <v>To confirm</v>
      </c>
      <c r="AA1247" s="127" t="str">
        <f>IF(MasterFees[[#This Row],[Pricing Basis]]="Fixed fee schedule","Yes","No")</f>
        <v>No</v>
      </c>
      <c r="AB1247" s="127" t="str">
        <f>IF(OR(MasterFees[[#This Row],[Fee Basis]]="Add-on",MasterFees[[#This Row],[Fee Basis]]="Time band",MasterFees[[#This Row],[Fee Basis]]="Other"),MasterFees[[#This Row],[Fee Basis]],"Base")</f>
        <v>Base</v>
      </c>
      <c r="AC1247" s="141" t="str">
        <f>IF(MasterFees[[#This Row],[Fixed Fee?]]="Yes",MasterFees[[#This Row],[Fee Excl. GST]],"")</f>
        <v/>
      </c>
    </row>
    <row r="1248" spans="1:29" x14ac:dyDescent="0.2">
      <c r="A1248" s="67" t="s">
        <v>2183</v>
      </c>
      <c r="B1248" s="31" t="str">
        <f>IF(MasterFees[[#This Row],[RVG Code]]="","",_xlfn.XLOOKUP(MasterFees[[#This Row],[RVG Code]],RVGCodes[Code],RVGCodes[Base Units],"Code not found"))</f>
        <v/>
      </c>
      <c r="C124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4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48" s="125"/>
      <c r="F1248" s="48" t="s">
        <v>2565</v>
      </c>
      <c r="G1248" s="30" t="s">
        <v>302</v>
      </c>
      <c r="H1248" s="37" t="s">
        <v>1095</v>
      </c>
      <c r="I1248" s="37"/>
      <c r="J1248" s="37" t="s">
        <v>1096</v>
      </c>
      <c r="K1248" s="32">
        <v>4</v>
      </c>
      <c r="L1248" s="32">
        <v>3.7</v>
      </c>
      <c r="M1248" s="32">
        <v>1</v>
      </c>
      <c r="N1248" s="32">
        <v>8.6999999999999993</v>
      </c>
      <c r="O1248" s="33">
        <v>476.3</v>
      </c>
      <c r="P1248" s="38" t="s">
        <v>1014</v>
      </c>
      <c r="Q1248" s="34" t="str">
        <f>IF(MasterFees[[#This Row],[GST Basis]]="Excl",MasterFees[[#This Row],[Fee as Printed]],IF(MasterFees[[#This Row],[GST Basis]]="Incl",MasterFees[[#This Row],[Fee as Printed]]/(1+GST_Rate),""))</f>
        <v/>
      </c>
      <c r="R1248" s="34" t="str">
        <f>IF(MasterFees[[#This Row],[GST Basis]]="Incl",MasterFees[[#This Row],[Fee as Printed]],IF(MasterFees[[#This Row],[GST Basis]]="Excl",MasterFees[[#This Row],[Fee as Printed]]*(1+GST_Rate),""))</f>
        <v/>
      </c>
      <c r="S1248" s="35">
        <f>IF(N(MasterFees[[#This Row],[Total Units]])=0,"",MasterFees[[#This Row],[Fee as Printed]]/MasterFees[[#This Row],[Total Units]])</f>
        <v>54.747126436781613</v>
      </c>
      <c r="T1248" s="36"/>
      <c r="U1248" s="39" t="s">
        <v>1012</v>
      </c>
      <c r="V1248" s="39" t="s">
        <v>1396</v>
      </c>
      <c r="W1248" s="30"/>
      <c r="X1248" s="73" t="s">
        <v>3187</v>
      </c>
      <c r="Y1248" s="127" t="str">
        <f>_xlfn.XLOOKUP(MasterFees[[#This Row],[Provider / Payer]],Contracts[Contract Name],Contracts[Contract ID],"No contract")</f>
        <v>CON-01</v>
      </c>
      <c r="Z1248" s="127" t="str">
        <f>_xlfn.XLOOKUP(MasterFees[[#This Row],[Provider / Payer]],Contracts[Contract Name],Contracts[Pricing Basis],"To confirm")</f>
        <v>To confirm</v>
      </c>
      <c r="AA1248" s="127" t="str">
        <f>IF(MasterFees[[#This Row],[Pricing Basis]]="Fixed fee schedule","Yes","No")</f>
        <v>No</v>
      </c>
      <c r="AB1248" s="127" t="str">
        <f>IF(OR(MasterFees[[#This Row],[Fee Basis]]="Add-on",MasterFees[[#This Row],[Fee Basis]]="Time band",MasterFees[[#This Row],[Fee Basis]]="Other"),MasterFees[[#This Row],[Fee Basis]],"Base")</f>
        <v>Base</v>
      </c>
      <c r="AC1248" s="141" t="str">
        <f>IF(MasterFees[[#This Row],[Fixed Fee?]]="Yes",MasterFees[[#This Row],[Fee Excl. GST]],"")</f>
        <v/>
      </c>
    </row>
    <row r="1249" spans="1:29" x14ac:dyDescent="0.2">
      <c r="A1249" s="67" t="s">
        <v>2183</v>
      </c>
      <c r="B1249" s="31" t="str">
        <f>IF(MasterFees[[#This Row],[RVG Code]]="","",_xlfn.XLOOKUP(MasterFees[[#This Row],[RVG Code]],RVGCodes[Code],RVGCodes[Base Units],"Code not found"))</f>
        <v/>
      </c>
      <c r="C124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4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49" s="125"/>
      <c r="F1249" s="48" t="s">
        <v>2565</v>
      </c>
      <c r="G1249" s="30" t="s">
        <v>305</v>
      </c>
      <c r="H1249" s="37" t="s">
        <v>1095</v>
      </c>
      <c r="I1249" s="37"/>
      <c r="J1249" s="37" t="s">
        <v>1096</v>
      </c>
      <c r="K1249" s="32">
        <v>5</v>
      </c>
      <c r="L1249" s="32">
        <v>5</v>
      </c>
      <c r="M1249" s="32">
        <v>1</v>
      </c>
      <c r="N1249" s="32">
        <v>11</v>
      </c>
      <c r="O1249" s="33">
        <v>605</v>
      </c>
      <c r="P1249" s="38" t="s">
        <v>1014</v>
      </c>
      <c r="Q1249" s="34" t="str">
        <f>IF(MasterFees[[#This Row],[GST Basis]]="Excl",MasterFees[[#This Row],[Fee as Printed]],IF(MasterFees[[#This Row],[GST Basis]]="Incl",MasterFees[[#This Row],[Fee as Printed]]/(1+GST_Rate),""))</f>
        <v/>
      </c>
      <c r="R1249" s="34" t="str">
        <f>IF(MasterFees[[#This Row],[GST Basis]]="Incl",MasterFees[[#This Row],[Fee as Printed]],IF(MasterFees[[#This Row],[GST Basis]]="Excl",MasterFees[[#This Row],[Fee as Printed]]*(1+GST_Rate),""))</f>
        <v/>
      </c>
      <c r="S1249" s="35">
        <f>IF(N(MasterFees[[#This Row],[Total Units]])=0,"",MasterFees[[#This Row],[Fee as Printed]]/MasterFees[[#This Row],[Total Units]])</f>
        <v>55</v>
      </c>
      <c r="T1249" s="36"/>
      <c r="U1249" s="39" t="s">
        <v>1012</v>
      </c>
      <c r="V1249" s="39" t="s">
        <v>1399</v>
      </c>
      <c r="W1249" s="30"/>
      <c r="X1249" s="73" t="s">
        <v>3190</v>
      </c>
      <c r="Y1249" s="127" t="str">
        <f>_xlfn.XLOOKUP(MasterFees[[#This Row],[Provider / Payer]],Contracts[Contract Name],Contracts[Contract ID],"No contract")</f>
        <v>CON-01</v>
      </c>
      <c r="Z1249" s="127" t="str">
        <f>_xlfn.XLOOKUP(MasterFees[[#This Row],[Provider / Payer]],Contracts[Contract Name],Contracts[Pricing Basis],"To confirm")</f>
        <v>To confirm</v>
      </c>
      <c r="AA1249" s="127" t="str">
        <f>IF(MasterFees[[#This Row],[Pricing Basis]]="Fixed fee schedule","Yes","No")</f>
        <v>No</v>
      </c>
      <c r="AB1249" s="127" t="str">
        <f>IF(OR(MasterFees[[#This Row],[Fee Basis]]="Add-on",MasterFees[[#This Row],[Fee Basis]]="Time band",MasterFees[[#This Row],[Fee Basis]]="Other"),MasterFees[[#This Row],[Fee Basis]],"Base")</f>
        <v>Base</v>
      </c>
      <c r="AC1249" s="141" t="str">
        <f>IF(MasterFees[[#This Row],[Fixed Fee?]]="Yes",MasterFees[[#This Row],[Fee Excl. GST]],"")</f>
        <v/>
      </c>
    </row>
    <row r="1250" spans="1:29" x14ac:dyDescent="0.2">
      <c r="A1250" s="67" t="s">
        <v>2183</v>
      </c>
      <c r="B1250" s="31" t="str">
        <f>IF(MasterFees[[#This Row],[RVG Code]]="","",_xlfn.XLOOKUP(MasterFees[[#This Row],[RVG Code]],RVGCodes[Code],RVGCodes[Base Units],"Code not found"))</f>
        <v/>
      </c>
      <c r="C125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5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50" s="125"/>
      <c r="F1250" s="48" t="s">
        <v>2565</v>
      </c>
      <c r="G1250" s="30" t="s">
        <v>315</v>
      </c>
      <c r="H1250" s="37" t="s">
        <v>1095</v>
      </c>
      <c r="I1250" s="37"/>
      <c r="J1250" s="37" t="s">
        <v>1096</v>
      </c>
      <c r="K1250" s="32">
        <v>3.6</v>
      </c>
      <c r="L1250" s="32">
        <v>4.7</v>
      </c>
      <c r="M1250" s="32">
        <v>0.7</v>
      </c>
      <c r="N1250" s="32">
        <v>8.9</v>
      </c>
      <c r="O1250" s="33">
        <v>489.5</v>
      </c>
      <c r="P1250" s="38" t="s">
        <v>1014</v>
      </c>
      <c r="Q1250" s="34" t="str">
        <f>IF(MasterFees[[#This Row],[GST Basis]]="Excl",MasterFees[[#This Row],[Fee as Printed]],IF(MasterFees[[#This Row],[GST Basis]]="Incl",MasterFees[[#This Row],[Fee as Printed]]/(1+GST_Rate),""))</f>
        <v/>
      </c>
      <c r="R1250" s="34" t="str">
        <f>IF(MasterFees[[#This Row],[GST Basis]]="Incl",MasterFees[[#This Row],[Fee as Printed]],IF(MasterFees[[#This Row],[GST Basis]]="Excl",MasterFees[[#This Row],[Fee as Printed]]*(1+GST_Rate),""))</f>
        <v/>
      </c>
      <c r="S1250" s="35">
        <f>IF(N(MasterFees[[#This Row],[Total Units]])=0,"",MasterFees[[#This Row],[Fee as Printed]]/MasterFees[[#This Row],[Total Units]])</f>
        <v>55</v>
      </c>
      <c r="T1250" s="36"/>
      <c r="U1250" s="39" t="s">
        <v>1012</v>
      </c>
      <c r="V1250" s="39" t="s">
        <v>1409</v>
      </c>
      <c r="W1250" s="30"/>
      <c r="X1250" s="73" t="s">
        <v>3200</v>
      </c>
      <c r="Y1250" s="127" t="str">
        <f>_xlfn.XLOOKUP(MasterFees[[#This Row],[Provider / Payer]],Contracts[Contract Name],Contracts[Contract ID],"No contract")</f>
        <v>CON-01</v>
      </c>
      <c r="Z1250" s="127" t="str">
        <f>_xlfn.XLOOKUP(MasterFees[[#This Row],[Provider / Payer]],Contracts[Contract Name],Contracts[Pricing Basis],"To confirm")</f>
        <v>To confirm</v>
      </c>
      <c r="AA1250" s="127" t="str">
        <f>IF(MasterFees[[#This Row],[Pricing Basis]]="Fixed fee schedule","Yes","No")</f>
        <v>No</v>
      </c>
      <c r="AB1250" s="127" t="str">
        <f>IF(OR(MasterFees[[#This Row],[Fee Basis]]="Add-on",MasterFees[[#This Row],[Fee Basis]]="Time band",MasterFees[[#This Row],[Fee Basis]]="Other"),MasterFees[[#This Row],[Fee Basis]],"Base")</f>
        <v>Base</v>
      </c>
      <c r="AC1250" s="141" t="str">
        <f>IF(MasterFees[[#This Row],[Fixed Fee?]]="Yes",MasterFees[[#This Row],[Fee Excl. GST]],"")</f>
        <v/>
      </c>
    </row>
    <row r="1251" spans="1:29" x14ac:dyDescent="0.2">
      <c r="A1251" s="67" t="s">
        <v>2183</v>
      </c>
      <c r="B1251" s="31" t="str">
        <f>IF(MasterFees[[#This Row],[RVG Code]]="","",_xlfn.XLOOKUP(MasterFees[[#This Row],[RVG Code]],RVGCodes[Code],RVGCodes[Base Units],"Code not found"))</f>
        <v/>
      </c>
      <c r="C125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5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51" s="125"/>
      <c r="F1251" s="48" t="s">
        <v>2565</v>
      </c>
      <c r="G1251" s="30" t="s">
        <v>318</v>
      </c>
      <c r="H1251" s="37" t="s">
        <v>1095</v>
      </c>
      <c r="I1251" s="37"/>
      <c r="J1251" s="37" t="s">
        <v>1096</v>
      </c>
      <c r="K1251" s="32">
        <v>6.9</v>
      </c>
      <c r="L1251" s="32">
        <v>3.9</v>
      </c>
      <c r="M1251" s="32">
        <v>0.7</v>
      </c>
      <c r="N1251" s="32">
        <v>11.5</v>
      </c>
      <c r="O1251" s="33">
        <v>634.15</v>
      </c>
      <c r="P1251" s="38" t="s">
        <v>1014</v>
      </c>
      <c r="Q1251" s="34" t="str">
        <f>IF(MasterFees[[#This Row],[GST Basis]]="Excl",MasterFees[[#This Row],[Fee as Printed]],IF(MasterFees[[#This Row],[GST Basis]]="Incl",MasterFees[[#This Row],[Fee as Printed]]/(1+GST_Rate),""))</f>
        <v/>
      </c>
      <c r="R1251" s="34" t="str">
        <f>IF(MasterFees[[#This Row],[GST Basis]]="Incl",MasterFees[[#This Row],[Fee as Printed]],IF(MasterFees[[#This Row],[GST Basis]]="Excl",MasterFees[[#This Row],[Fee as Printed]]*(1+GST_Rate),""))</f>
        <v/>
      </c>
      <c r="S1251" s="35">
        <f>IF(N(MasterFees[[#This Row],[Total Units]])=0,"",MasterFees[[#This Row],[Fee as Printed]]/MasterFees[[#This Row],[Total Units]])</f>
        <v>55.143478260869564</v>
      </c>
      <c r="T1251" s="36"/>
      <c r="U1251" s="39" t="s">
        <v>1012</v>
      </c>
      <c r="V1251" s="39" t="s">
        <v>1412</v>
      </c>
      <c r="W1251" s="30"/>
      <c r="X1251" s="73" t="s">
        <v>3204</v>
      </c>
      <c r="Y1251" s="127" t="str">
        <f>_xlfn.XLOOKUP(MasterFees[[#This Row],[Provider / Payer]],Contracts[Contract Name],Contracts[Contract ID],"No contract")</f>
        <v>CON-01</v>
      </c>
      <c r="Z1251" s="127" t="str">
        <f>_xlfn.XLOOKUP(MasterFees[[#This Row],[Provider / Payer]],Contracts[Contract Name],Contracts[Pricing Basis],"To confirm")</f>
        <v>To confirm</v>
      </c>
      <c r="AA1251" s="127" t="str">
        <f>IF(MasterFees[[#This Row],[Pricing Basis]]="Fixed fee schedule","Yes","No")</f>
        <v>No</v>
      </c>
      <c r="AB1251" s="127" t="str">
        <f>IF(OR(MasterFees[[#This Row],[Fee Basis]]="Add-on",MasterFees[[#This Row],[Fee Basis]]="Time band",MasterFees[[#This Row],[Fee Basis]]="Other"),MasterFees[[#This Row],[Fee Basis]],"Base")</f>
        <v>Base</v>
      </c>
      <c r="AC1251" s="141" t="str">
        <f>IF(MasterFees[[#This Row],[Fixed Fee?]]="Yes",MasterFees[[#This Row],[Fee Excl. GST]],"")</f>
        <v/>
      </c>
    </row>
    <row r="1252" spans="1:29" x14ac:dyDescent="0.2">
      <c r="A1252" s="67" t="s">
        <v>2183</v>
      </c>
      <c r="B1252" s="31" t="str">
        <f>IF(MasterFees[[#This Row],[RVG Code]]="","",_xlfn.XLOOKUP(MasterFees[[#This Row],[RVG Code]],RVGCodes[Code],RVGCodes[Base Units],"Code not found"))</f>
        <v/>
      </c>
      <c r="C125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5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52" s="125"/>
      <c r="F1252" s="48" t="s">
        <v>2565</v>
      </c>
      <c r="G1252" s="30" t="s">
        <v>319</v>
      </c>
      <c r="H1252" s="37" t="s">
        <v>1095</v>
      </c>
      <c r="I1252" s="37"/>
      <c r="J1252" s="37" t="s">
        <v>1096</v>
      </c>
      <c r="K1252" s="32">
        <v>6</v>
      </c>
      <c r="L1252" s="32">
        <v>4</v>
      </c>
      <c r="M1252" s="32">
        <v>2</v>
      </c>
      <c r="N1252" s="32">
        <v>12</v>
      </c>
      <c r="O1252" s="33">
        <v>660</v>
      </c>
      <c r="P1252" s="38" t="s">
        <v>1014</v>
      </c>
      <c r="Q1252" s="34" t="str">
        <f>IF(MasterFees[[#This Row],[GST Basis]]="Excl",MasterFees[[#This Row],[Fee as Printed]],IF(MasterFees[[#This Row],[GST Basis]]="Incl",MasterFees[[#This Row],[Fee as Printed]]/(1+GST_Rate),""))</f>
        <v/>
      </c>
      <c r="R1252" s="34" t="str">
        <f>IF(MasterFees[[#This Row],[GST Basis]]="Incl",MasterFees[[#This Row],[Fee as Printed]],IF(MasterFees[[#This Row],[GST Basis]]="Excl",MasterFees[[#This Row],[Fee as Printed]]*(1+GST_Rate),""))</f>
        <v/>
      </c>
      <c r="S1252" s="35">
        <f>IF(N(MasterFees[[#This Row],[Total Units]])=0,"",MasterFees[[#This Row],[Fee as Printed]]/MasterFees[[#This Row],[Total Units]])</f>
        <v>55</v>
      </c>
      <c r="T1252" s="36"/>
      <c r="U1252" s="39" t="s">
        <v>1012</v>
      </c>
      <c r="V1252" s="39" t="s">
        <v>1413</v>
      </c>
      <c r="W1252" s="30"/>
      <c r="X1252" s="73" t="s">
        <v>3205</v>
      </c>
      <c r="Y1252" s="127" t="str">
        <f>_xlfn.XLOOKUP(MasterFees[[#This Row],[Provider / Payer]],Contracts[Contract Name],Contracts[Contract ID],"No contract")</f>
        <v>CON-01</v>
      </c>
      <c r="Z1252" s="127" t="str">
        <f>_xlfn.XLOOKUP(MasterFees[[#This Row],[Provider / Payer]],Contracts[Contract Name],Contracts[Pricing Basis],"To confirm")</f>
        <v>To confirm</v>
      </c>
      <c r="AA1252" s="127" t="str">
        <f>IF(MasterFees[[#This Row],[Pricing Basis]]="Fixed fee schedule","Yes","No")</f>
        <v>No</v>
      </c>
      <c r="AB1252" s="127" t="str">
        <f>IF(OR(MasterFees[[#This Row],[Fee Basis]]="Add-on",MasterFees[[#This Row],[Fee Basis]]="Time band",MasterFees[[#This Row],[Fee Basis]]="Other"),MasterFees[[#This Row],[Fee Basis]],"Base")</f>
        <v>Base</v>
      </c>
      <c r="AC1252" s="141" t="str">
        <f>IF(MasterFees[[#This Row],[Fixed Fee?]]="Yes",MasterFees[[#This Row],[Fee Excl. GST]],"")</f>
        <v/>
      </c>
    </row>
    <row r="1253" spans="1:29" x14ac:dyDescent="0.2">
      <c r="A1253" s="67" t="s">
        <v>2183</v>
      </c>
      <c r="B1253" s="31" t="str">
        <f>IF(MasterFees[[#This Row],[RVG Code]]="","",_xlfn.XLOOKUP(MasterFees[[#This Row],[RVG Code]],RVGCodes[Code],RVGCodes[Base Units],"Code not found"))</f>
        <v/>
      </c>
      <c r="C125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5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53" s="125"/>
      <c r="F1253" s="48" t="s">
        <v>2565</v>
      </c>
      <c r="G1253" s="30" t="s">
        <v>323</v>
      </c>
      <c r="H1253" s="37" t="s">
        <v>1095</v>
      </c>
      <c r="I1253" s="37"/>
      <c r="J1253" s="37" t="s">
        <v>1096</v>
      </c>
      <c r="K1253" s="32">
        <v>4.5</v>
      </c>
      <c r="L1253" s="32">
        <v>3.3</v>
      </c>
      <c r="M1253" s="32">
        <v>1</v>
      </c>
      <c r="N1253" s="32">
        <v>8.8000000000000007</v>
      </c>
      <c r="O1253" s="33">
        <v>481.25</v>
      </c>
      <c r="P1253" s="38" t="s">
        <v>1014</v>
      </c>
      <c r="Q1253" s="34" t="str">
        <f>IF(MasterFees[[#This Row],[GST Basis]]="Excl",MasterFees[[#This Row],[Fee as Printed]],IF(MasterFees[[#This Row],[GST Basis]]="Incl",MasterFees[[#This Row],[Fee as Printed]]/(1+GST_Rate),""))</f>
        <v/>
      </c>
      <c r="R1253" s="34" t="str">
        <f>IF(MasterFees[[#This Row],[GST Basis]]="Incl",MasterFees[[#This Row],[Fee as Printed]],IF(MasterFees[[#This Row],[GST Basis]]="Excl",MasterFees[[#This Row],[Fee as Printed]]*(1+GST_Rate),""))</f>
        <v/>
      </c>
      <c r="S1253" s="35">
        <f>IF(N(MasterFees[[#This Row],[Total Units]])=0,"",MasterFees[[#This Row],[Fee as Printed]]/MasterFees[[#This Row],[Total Units]])</f>
        <v>54.687499999999993</v>
      </c>
      <c r="T1253" s="36"/>
      <c r="U1253" s="39" t="s">
        <v>1012</v>
      </c>
      <c r="V1253" s="39" t="s">
        <v>1417</v>
      </c>
      <c r="W1253" s="30"/>
      <c r="X1253" s="73" t="s">
        <v>3209</v>
      </c>
      <c r="Y1253" s="127" t="str">
        <f>_xlfn.XLOOKUP(MasterFees[[#This Row],[Provider / Payer]],Contracts[Contract Name],Contracts[Contract ID],"No contract")</f>
        <v>CON-01</v>
      </c>
      <c r="Z1253" s="127" t="str">
        <f>_xlfn.XLOOKUP(MasterFees[[#This Row],[Provider / Payer]],Contracts[Contract Name],Contracts[Pricing Basis],"To confirm")</f>
        <v>To confirm</v>
      </c>
      <c r="AA1253" s="127" t="str">
        <f>IF(MasterFees[[#This Row],[Pricing Basis]]="Fixed fee schedule","Yes","No")</f>
        <v>No</v>
      </c>
      <c r="AB1253" s="127" t="str">
        <f>IF(OR(MasterFees[[#This Row],[Fee Basis]]="Add-on",MasterFees[[#This Row],[Fee Basis]]="Time band",MasterFees[[#This Row],[Fee Basis]]="Other"),MasterFees[[#This Row],[Fee Basis]],"Base")</f>
        <v>Base</v>
      </c>
      <c r="AC1253" s="141" t="str">
        <f>IF(MasterFees[[#This Row],[Fixed Fee?]]="Yes",MasterFees[[#This Row],[Fee Excl. GST]],"")</f>
        <v/>
      </c>
    </row>
    <row r="1254" spans="1:29" x14ac:dyDescent="0.2">
      <c r="A1254" s="67" t="s">
        <v>2183</v>
      </c>
      <c r="B1254" s="31" t="str">
        <f>IF(MasterFees[[#This Row],[RVG Code]]="","",_xlfn.XLOOKUP(MasterFees[[#This Row],[RVG Code]],RVGCodes[Code],RVGCodes[Base Units],"Code not found"))</f>
        <v/>
      </c>
      <c r="C125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5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54" s="125"/>
      <c r="F1254" s="48" t="s">
        <v>2565</v>
      </c>
      <c r="G1254" s="30" t="s">
        <v>327</v>
      </c>
      <c r="H1254" s="37" t="s">
        <v>1095</v>
      </c>
      <c r="I1254" s="37"/>
      <c r="J1254" s="37" t="s">
        <v>1096</v>
      </c>
      <c r="K1254" s="32">
        <v>0</v>
      </c>
      <c r="L1254" s="32">
        <v>0</v>
      </c>
      <c r="M1254" s="32">
        <v>0</v>
      </c>
      <c r="N1254" s="32">
        <v>0</v>
      </c>
      <c r="O1254" s="33">
        <v>0</v>
      </c>
      <c r="P1254" s="38" t="s">
        <v>1014</v>
      </c>
      <c r="Q1254" s="34" t="str">
        <f>IF(MasterFees[[#This Row],[GST Basis]]="Excl",MasterFees[[#This Row],[Fee as Printed]],IF(MasterFees[[#This Row],[GST Basis]]="Incl",MasterFees[[#This Row],[Fee as Printed]]/(1+GST_Rate),""))</f>
        <v/>
      </c>
      <c r="R1254" s="34" t="str">
        <f>IF(MasterFees[[#This Row],[GST Basis]]="Incl",MasterFees[[#This Row],[Fee as Printed]],IF(MasterFees[[#This Row],[GST Basis]]="Excl",MasterFees[[#This Row],[Fee as Printed]]*(1+GST_Rate),""))</f>
        <v/>
      </c>
      <c r="S1254" s="35" t="str">
        <f>IF(N(MasterFees[[#This Row],[Total Units]])=0,"",MasterFees[[#This Row],[Fee as Printed]]/MasterFees[[#This Row],[Total Units]])</f>
        <v/>
      </c>
      <c r="T1254" s="36"/>
      <c r="U1254" s="39" t="s">
        <v>1012</v>
      </c>
      <c r="V1254" s="39" t="s">
        <v>1421</v>
      </c>
      <c r="W1254" s="30"/>
      <c r="X1254" s="73" t="s">
        <v>3213</v>
      </c>
      <c r="Y1254" s="127" t="str">
        <f>_xlfn.XLOOKUP(MasterFees[[#This Row],[Provider / Payer]],Contracts[Contract Name],Contracts[Contract ID],"No contract")</f>
        <v>CON-01</v>
      </c>
      <c r="Z1254" s="127" t="str">
        <f>_xlfn.XLOOKUP(MasterFees[[#This Row],[Provider / Payer]],Contracts[Contract Name],Contracts[Pricing Basis],"To confirm")</f>
        <v>To confirm</v>
      </c>
      <c r="AA1254" s="127" t="str">
        <f>IF(MasterFees[[#This Row],[Pricing Basis]]="Fixed fee schedule","Yes","No")</f>
        <v>No</v>
      </c>
      <c r="AB1254" s="127" t="str">
        <f>IF(OR(MasterFees[[#This Row],[Fee Basis]]="Add-on",MasterFees[[#This Row],[Fee Basis]]="Time band",MasterFees[[#This Row],[Fee Basis]]="Other"),MasterFees[[#This Row],[Fee Basis]],"Base")</f>
        <v>Base</v>
      </c>
      <c r="AC1254" s="141" t="str">
        <f>IF(MasterFees[[#This Row],[Fixed Fee?]]="Yes",MasterFees[[#This Row],[Fee Excl. GST]],"")</f>
        <v/>
      </c>
    </row>
    <row r="1255" spans="1:29" x14ac:dyDescent="0.2">
      <c r="A1255" s="67" t="s">
        <v>2183</v>
      </c>
      <c r="B1255" s="31" t="str">
        <f>IF(MasterFees[[#This Row],[RVG Code]]="","",_xlfn.XLOOKUP(MasterFees[[#This Row],[RVG Code]],RVGCodes[Code],RVGCodes[Base Units],"Code not found"))</f>
        <v/>
      </c>
      <c r="C125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5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55" s="125"/>
      <c r="F1255" s="48" t="s">
        <v>2565</v>
      </c>
      <c r="G1255" s="30" t="s">
        <v>362</v>
      </c>
      <c r="H1255" s="37" t="s">
        <v>1095</v>
      </c>
      <c r="I1255" s="37"/>
      <c r="J1255" s="37" t="s">
        <v>1096</v>
      </c>
      <c r="K1255" s="32">
        <v>0</v>
      </c>
      <c r="L1255" s="32">
        <v>0</v>
      </c>
      <c r="M1255" s="32">
        <v>0</v>
      </c>
      <c r="N1255" s="32">
        <v>0</v>
      </c>
      <c r="O1255" s="33">
        <v>0</v>
      </c>
      <c r="P1255" s="38" t="s">
        <v>1014</v>
      </c>
      <c r="Q1255" s="34" t="str">
        <f>IF(MasterFees[[#This Row],[GST Basis]]="Excl",MasterFees[[#This Row],[Fee as Printed]],IF(MasterFees[[#This Row],[GST Basis]]="Incl",MasterFees[[#This Row],[Fee as Printed]]/(1+GST_Rate),""))</f>
        <v/>
      </c>
      <c r="R1255" s="34" t="str">
        <f>IF(MasterFees[[#This Row],[GST Basis]]="Incl",MasterFees[[#This Row],[Fee as Printed]],IF(MasterFees[[#This Row],[GST Basis]]="Excl",MasterFees[[#This Row],[Fee as Printed]]*(1+GST_Rate),""))</f>
        <v/>
      </c>
      <c r="S1255" s="35" t="str">
        <f>IF(N(MasterFees[[#This Row],[Total Units]])=0,"",MasterFees[[#This Row],[Fee as Printed]]/MasterFees[[#This Row],[Total Units]])</f>
        <v/>
      </c>
      <c r="T1255" s="36"/>
      <c r="U1255" s="39" t="s">
        <v>1012</v>
      </c>
      <c r="V1255" s="39" t="s">
        <v>1457</v>
      </c>
      <c r="W1255" s="30"/>
      <c r="X1255" s="73" t="s">
        <v>3249</v>
      </c>
      <c r="Y1255" s="127" t="str">
        <f>_xlfn.XLOOKUP(MasterFees[[#This Row],[Provider / Payer]],Contracts[Contract Name],Contracts[Contract ID],"No contract")</f>
        <v>CON-01</v>
      </c>
      <c r="Z1255" s="127" t="str">
        <f>_xlfn.XLOOKUP(MasterFees[[#This Row],[Provider / Payer]],Contracts[Contract Name],Contracts[Pricing Basis],"To confirm")</f>
        <v>To confirm</v>
      </c>
      <c r="AA1255" s="127" t="str">
        <f>IF(MasterFees[[#This Row],[Pricing Basis]]="Fixed fee schedule","Yes","No")</f>
        <v>No</v>
      </c>
      <c r="AB1255" s="127" t="str">
        <f>IF(OR(MasterFees[[#This Row],[Fee Basis]]="Add-on",MasterFees[[#This Row],[Fee Basis]]="Time band",MasterFees[[#This Row],[Fee Basis]]="Other"),MasterFees[[#This Row],[Fee Basis]],"Base")</f>
        <v>Base</v>
      </c>
      <c r="AC1255" s="141" t="str">
        <f>IF(MasterFees[[#This Row],[Fixed Fee?]]="Yes",MasterFees[[#This Row],[Fee Excl. GST]],"")</f>
        <v/>
      </c>
    </row>
    <row r="1256" spans="1:29" x14ac:dyDescent="0.2">
      <c r="A1256" s="67" t="s">
        <v>2183</v>
      </c>
      <c r="B1256" s="31" t="str">
        <f>IF(MasterFees[[#This Row],[RVG Code]]="","",_xlfn.XLOOKUP(MasterFees[[#This Row],[RVG Code]],RVGCodes[Code],RVGCodes[Base Units],"Code not found"))</f>
        <v/>
      </c>
      <c r="C125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5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56" s="125"/>
      <c r="F1256" s="48" t="s">
        <v>2565</v>
      </c>
      <c r="G1256" s="30" t="s">
        <v>375</v>
      </c>
      <c r="H1256" s="37" t="s">
        <v>1095</v>
      </c>
      <c r="I1256" s="37"/>
      <c r="J1256" s="37" t="s">
        <v>1096</v>
      </c>
      <c r="K1256" s="32">
        <v>4</v>
      </c>
      <c r="L1256" s="32">
        <v>2</v>
      </c>
      <c r="M1256" s="32">
        <v>1</v>
      </c>
      <c r="N1256" s="32">
        <v>7</v>
      </c>
      <c r="O1256" s="33">
        <v>385</v>
      </c>
      <c r="P1256" s="38" t="s">
        <v>1014</v>
      </c>
      <c r="Q1256" s="34" t="str">
        <f>IF(MasterFees[[#This Row],[GST Basis]]="Excl",MasterFees[[#This Row],[Fee as Printed]],IF(MasterFees[[#This Row],[GST Basis]]="Incl",MasterFees[[#This Row],[Fee as Printed]]/(1+GST_Rate),""))</f>
        <v/>
      </c>
      <c r="R1256" s="34" t="str">
        <f>IF(MasterFees[[#This Row],[GST Basis]]="Incl",MasterFees[[#This Row],[Fee as Printed]],IF(MasterFees[[#This Row],[GST Basis]]="Excl",MasterFees[[#This Row],[Fee as Printed]]*(1+GST_Rate),""))</f>
        <v/>
      </c>
      <c r="S1256" s="35">
        <f>IF(N(MasterFees[[#This Row],[Total Units]])=0,"",MasterFees[[#This Row],[Fee as Printed]]/MasterFees[[#This Row],[Total Units]])</f>
        <v>55</v>
      </c>
      <c r="T1256" s="36"/>
      <c r="U1256" s="39" t="s">
        <v>1012</v>
      </c>
      <c r="V1256" s="39" t="s">
        <v>1470</v>
      </c>
      <c r="W1256" s="30"/>
      <c r="X1256" s="73" t="s">
        <v>3262</v>
      </c>
      <c r="Y1256" s="127" t="str">
        <f>_xlfn.XLOOKUP(MasterFees[[#This Row],[Provider / Payer]],Contracts[Contract Name],Contracts[Contract ID],"No contract")</f>
        <v>CON-01</v>
      </c>
      <c r="Z1256" s="127" t="str">
        <f>_xlfn.XLOOKUP(MasterFees[[#This Row],[Provider / Payer]],Contracts[Contract Name],Contracts[Pricing Basis],"To confirm")</f>
        <v>To confirm</v>
      </c>
      <c r="AA1256" s="127" t="str">
        <f>IF(MasterFees[[#This Row],[Pricing Basis]]="Fixed fee schedule","Yes","No")</f>
        <v>No</v>
      </c>
      <c r="AB1256" s="127" t="str">
        <f>IF(OR(MasterFees[[#This Row],[Fee Basis]]="Add-on",MasterFees[[#This Row],[Fee Basis]]="Time band",MasterFees[[#This Row],[Fee Basis]]="Other"),MasterFees[[#This Row],[Fee Basis]],"Base")</f>
        <v>Base</v>
      </c>
      <c r="AC1256" s="141" t="str">
        <f>IF(MasterFees[[#This Row],[Fixed Fee?]]="Yes",MasterFees[[#This Row],[Fee Excl. GST]],"")</f>
        <v/>
      </c>
    </row>
    <row r="1257" spans="1:29" x14ac:dyDescent="0.2">
      <c r="A1257" s="67" t="s">
        <v>2183</v>
      </c>
      <c r="B1257" s="31" t="str">
        <f>IF(MasterFees[[#This Row],[RVG Code]]="","",_xlfn.XLOOKUP(MasterFees[[#This Row],[RVG Code]],RVGCodes[Code],RVGCodes[Base Units],"Code not found"))</f>
        <v/>
      </c>
      <c r="C125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5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57" s="125"/>
      <c r="F1257" s="48" t="s">
        <v>2565</v>
      </c>
      <c r="G1257" s="30" t="s">
        <v>376</v>
      </c>
      <c r="H1257" s="37" t="s">
        <v>1095</v>
      </c>
      <c r="I1257" s="37"/>
      <c r="J1257" s="37" t="s">
        <v>1096</v>
      </c>
      <c r="K1257" s="32">
        <v>4.0999999999999996</v>
      </c>
      <c r="L1257" s="32">
        <v>2.2999999999999998</v>
      </c>
      <c r="M1257" s="32">
        <v>0.1</v>
      </c>
      <c r="N1257" s="32">
        <v>6.6</v>
      </c>
      <c r="O1257" s="33">
        <v>361.35</v>
      </c>
      <c r="P1257" s="38" t="s">
        <v>1014</v>
      </c>
      <c r="Q1257" s="34" t="str">
        <f>IF(MasterFees[[#This Row],[GST Basis]]="Excl",MasterFees[[#This Row],[Fee as Printed]],IF(MasterFees[[#This Row],[GST Basis]]="Incl",MasterFees[[#This Row],[Fee as Printed]]/(1+GST_Rate),""))</f>
        <v/>
      </c>
      <c r="R1257" s="34" t="str">
        <f>IF(MasterFees[[#This Row],[GST Basis]]="Incl",MasterFees[[#This Row],[Fee as Printed]],IF(MasterFees[[#This Row],[GST Basis]]="Excl",MasterFees[[#This Row],[Fee as Printed]]*(1+GST_Rate),""))</f>
        <v/>
      </c>
      <c r="S1257" s="35">
        <f>IF(N(MasterFees[[#This Row],[Total Units]])=0,"",MasterFees[[#This Row],[Fee as Printed]]/MasterFees[[#This Row],[Total Units]])</f>
        <v>54.750000000000007</v>
      </c>
      <c r="T1257" s="36"/>
      <c r="U1257" s="39" t="s">
        <v>1012</v>
      </c>
      <c r="V1257" s="39" t="s">
        <v>1471</v>
      </c>
      <c r="W1257" s="30"/>
      <c r="X1257" s="73" t="s">
        <v>3263</v>
      </c>
      <c r="Y1257" s="127" t="str">
        <f>_xlfn.XLOOKUP(MasterFees[[#This Row],[Provider / Payer]],Contracts[Contract Name],Contracts[Contract ID],"No contract")</f>
        <v>CON-01</v>
      </c>
      <c r="Z1257" s="127" t="str">
        <f>_xlfn.XLOOKUP(MasterFees[[#This Row],[Provider / Payer]],Contracts[Contract Name],Contracts[Pricing Basis],"To confirm")</f>
        <v>To confirm</v>
      </c>
      <c r="AA1257" s="127" t="str">
        <f>IF(MasterFees[[#This Row],[Pricing Basis]]="Fixed fee schedule","Yes","No")</f>
        <v>No</v>
      </c>
      <c r="AB1257" s="127" t="str">
        <f>IF(OR(MasterFees[[#This Row],[Fee Basis]]="Add-on",MasterFees[[#This Row],[Fee Basis]]="Time band",MasterFees[[#This Row],[Fee Basis]]="Other"),MasterFees[[#This Row],[Fee Basis]],"Base")</f>
        <v>Base</v>
      </c>
      <c r="AC1257" s="141" t="str">
        <f>IF(MasterFees[[#This Row],[Fixed Fee?]]="Yes",MasterFees[[#This Row],[Fee Excl. GST]],"")</f>
        <v/>
      </c>
    </row>
    <row r="1258" spans="1:29" x14ac:dyDescent="0.2">
      <c r="A1258" s="67" t="s">
        <v>2183</v>
      </c>
      <c r="B1258" s="31"/>
      <c r="C125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5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58" s="125"/>
      <c r="F1258" s="48" t="s">
        <v>2565</v>
      </c>
      <c r="G1258" s="30" t="s">
        <v>4153</v>
      </c>
      <c r="H1258" s="37" t="s">
        <v>4157</v>
      </c>
      <c r="I1258" s="79" t="s">
        <v>4152</v>
      </c>
      <c r="J1258" s="37" t="s">
        <v>2678</v>
      </c>
      <c r="K1258" s="32"/>
      <c r="L1258" s="32"/>
      <c r="M1258" s="32"/>
      <c r="N1258" s="32"/>
      <c r="O1258" s="33">
        <v>370</v>
      </c>
      <c r="P1258" s="38" t="s">
        <v>4043</v>
      </c>
      <c r="Q1258" s="34">
        <f>IF(MasterFees[[#This Row],[GST Basis]]="Excl",MasterFees[[#This Row],[Fee as Printed]],IF(MasterFees[[#This Row],[GST Basis]]="Incl",MasterFees[[#This Row],[Fee as Printed]]/(1+GST_Rate),""))</f>
        <v>321.73913043478262</v>
      </c>
      <c r="R1258" s="34">
        <f>IF(MasterFees[[#This Row],[GST Basis]]="Incl",MasterFees[[#This Row],[Fee as Printed]],IF(MasterFees[[#This Row],[GST Basis]]="Excl",MasterFees[[#This Row],[Fee as Printed]]*(1+GST_Rate),""))</f>
        <v>370</v>
      </c>
      <c r="S1258" s="35" t="str">
        <f>IF(N(MasterFees[[#This Row],[Total Units]])=0,"",MasterFees[[#This Row],[Fee as Printed]]/MasterFees[[#This Row],[Total Units]])</f>
        <v/>
      </c>
      <c r="T1258" s="36">
        <v>46113</v>
      </c>
      <c r="U1258" s="39" t="s">
        <v>4158</v>
      </c>
      <c r="V1258" s="39" t="s">
        <v>4070</v>
      </c>
      <c r="W1258" s="30" t="s">
        <v>4171</v>
      </c>
      <c r="X1258" s="77" t="s">
        <v>4172</v>
      </c>
      <c r="Y1258" s="127" t="str">
        <f>_xlfn.XLOOKUP(MasterFees[[#This Row],[Provider / Payer]],Contracts[Contract Name],Contracts[Contract ID],"No contract")</f>
        <v>CON-02</v>
      </c>
      <c r="Z1258" s="127" t="str">
        <f>_xlfn.XLOOKUP(MasterFees[[#This Row],[Provider / Payer]],Contracts[Contract Name],Contracts[Pricing Basis],"To confirm")</f>
        <v>Fixed fee schedule</v>
      </c>
      <c r="AA1258" s="127" t="str">
        <f>IF(MasterFees[[#This Row],[Pricing Basis]]="Fixed fee schedule","Yes","No")</f>
        <v>Yes</v>
      </c>
      <c r="AB1258" s="127" t="str">
        <f>IF(OR(MasterFees[[#This Row],[Fee Basis]]="Add-on",MasterFees[[#This Row],[Fee Basis]]="Time band",MasterFees[[#This Row],[Fee Basis]]="Other"),MasterFees[[#This Row],[Fee Basis]],"Base")</f>
        <v>Add-on</v>
      </c>
      <c r="AC1258" s="141">
        <f>IF(MasterFees[[#This Row],[Fixed Fee?]]="Yes",MasterFees[[#This Row],[Fee Excl. GST]],"")</f>
        <v>321.73913043478262</v>
      </c>
    </row>
    <row r="1259" spans="1:29" x14ac:dyDescent="0.2">
      <c r="A1259" s="67"/>
      <c r="B1259" s="31" t="str">
        <f>IF(MasterFees[[#This Row],[RVG Code]]="","",_xlfn.XLOOKUP(MasterFees[[#This Row],[RVG Code]],RVGCodes[Code],RVGCodes[Base Units],"Code not found"))</f>
        <v/>
      </c>
      <c r="C125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5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59" s="125"/>
      <c r="F1259" s="48" t="s">
        <v>2565</v>
      </c>
      <c r="G1259" s="30" t="s">
        <v>4153</v>
      </c>
      <c r="H1259" s="37" t="s">
        <v>4157</v>
      </c>
      <c r="I1259" s="79" t="s">
        <v>4152</v>
      </c>
      <c r="J1259" s="37" t="s">
        <v>2678</v>
      </c>
      <c r="K1259" s="32"/>
      <c r="L1259" s="32"/>
      <c r="M1259" s="32"/>
      <c r="N1259" s="32"/>
      <c r="O1259" s="33">
        <v>370</v>
      </c>
      <c r="P1259" s="38" t="s">
        <v>4043</v>
      </c>
      <c r="Q1259" s="34">
        <f>IF(MasterFees[[#This Row],[GST Basis]]="Excl",MasterFees[[#This Row],[Fee as Printed]],IF(MasterFees[[#This Row],[GST Basis]]="Incl",MasterFees[[#This Row],[Fee as Printed]]/(1+GST_Rate),""))</f>
        <v>321.73913043478262</v>
      </c>
      <c r="R1259" s="34">
        <f>IF(MasterFees[[#This Row],[GST Basis]]="Incl",MasterFees[[#This Row],[Fee as Printed]],IF(MasterFees[[#This Row],[GST Basis]]="Excl",MasterFees[[#This Row],[Fee as Printed]]*(1+GST_Rate),""))</f>
        <v>370</v>
      </c>
      <c r="S1259" s="35" t="str">
        <f>IF(N(MasterFees[[#This Row],[Total Units]])=0,"",MasterFees[[#This Row],[Fee as Printed]]/MasterFees[[#This Row],[Total Units]])</f>
        <v/>
      </c>
      <c r="T1259" s="36">
        <v>46113</v>
      </c>
      <c r="U1259" s="39" t="s">
        <v>4247</v>
      </c>
      <c r="V1259" s="39" t="s">
        <v>4070</v>
      </c>
      <c r="W1259" s="30" t="s">
        <v>4280</v>
      </c>
      <c r="X1259" s="77" t="s">
        <v>4281</v>
      </c>
      <c r="Y1259" s="127" t="str">
        <f>_xlfn.XLOOKUP(MasterFees[[#This Row],[Provider / Payer]],Contracts[Contract Name],Contracts[Contract ID],"No contract")</f>
        <v>CON-02</v>
      </c>
      <c r="Z1259" s="127" t="str">
        <f>_xlfn.XLOOKUP(MasterFees[[#This Row],[Provider / Payer]],Contracts[Contract Name],Contracts[Pricing Basis],"To confirm")</f>
        <v>Fixed fee schedule</v>
      </c>
      <c r="AA1259" s="127" t="str">
        <f>IF(MasterFees[[#This Row],[Pricing Basis]]="Fixed fee schedule","Yes","No")</f>
        <v>Yes</v>
      </c>
      <c r="AB1259" s="127" t="str">
        <f>IF(OR(MasterFees[[#This Row],[Fee Basis]]="Add-on",MasterFees[[#This Row],[Fee Basis]]="Time band",MasterFees[[#This Row],[Fee Basis]]="Other"),MasterFees[[#This Row],[Fee Basis]],"Base")</f>
        <v>Add-on</v>
      </c>
      <c r="AC1259" s="141">
        <f>IF(MasterFees[[#This Row],[Fixed Fee?]]="Yes",MasterFees[[#This Row],[Fee Excl. GST]],"")</f>
        <v>321.73913043478262</v>
      </c>
    </row>
    <row r="1260" spans="1:29" x14ac:dyDescent="0.2">
      <c r="A1260" s="67" t="s">
        <v>2183</v>
      </c>
      <c r="B1260" s="31" t="str">
        <f>IF(MasterFees[[#This Row],[RVG Code]]="","",_xlfn.XLOOKUP(MasterFees[[#This Row],[RVG Code]],RVGCodes[Code],RVGCodes[Base Units],"Code not found"))</f>
        <v/>
      </c>
      <c r="C126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6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60" s="125"/>
      <c r="F1260" s="48" t="s">
        <v>2565</v>
      </c>
      <c r="G1260" s="30" t="s">
        <v>402</v>
      </c>
      <c r="H1260" s="37" t="s">
        <v>1095</v>
      </c>
      <c r="I1260" s="37"/>
      <c r="J1260" s="37" t="s">
        <v>1096</v>
      </c>
      <c r="K1260" s="32">
        <v>4</v>
      </c>
      <c r="L1260" s="32">
        <v>4</v>
      </c>
      <c r="M1260" s="32">
        <v>1</v>
      </c>
      <c r="N1260" s="32">
        <v>9</v>
      </c>
      <c r="O1260" s="33">
        <v>495</v>
      </c>
      <c r="P1260" s="38" t="s">
        <v>1014</v>
      </c>
      <c r="Q1260" s="34" t="str">
        <f>IF(MasterFees[[#This Row],[GST Basis]]="Excl",MasterFees[[#This Row],[Fee as Printed]],IF(MasterFees[[#This Row],[GST Basis]]="Incl",MasterFees[[#This Row],[Fee as Printed]]/(1+GST_Rate),""))</f>
        <v/>
      </c>
      <c r="R1260" s="34" t="str">
        <f>IF(MasterFees[[#This Row],[GST Basis]]="Incl",MasterFees[[#This Row],[Fee as Printed]],IF(MasterFees[[#This Row],[GST Basis]]="Excl",MasterFees[[#This Row],[Fee as Printed]]*(1+GST_Rate),""))</f>
        <v/>
      </c>
      <c r="S1260" s="35">
        <f>IF(N(MasterFees[[#This Row],[Total Units]])=0,"",MasterFees[[#This Row],[Fee as Printed]]/MasterFees[[#This Row],[Total Units]])</f>
        <v>55</v>
      </c>
      <c r="T1260" s="36"/>
      <c r="U1260" s="39" t="s">
        <v>1012</v>
      </c>
      <c r="V1260" s="39" t="s">
        <v>1497</v>
      </c>
      <c r="W1260" s="30"/>
      <c r="X1260" s="73" t="s">
        <v>3290</v>
      </c>
      <c r="Y1260" s="127" t="str">
        <f>_xlfn.XLOOKUP(MasterFees[[#This Row],[Provider / Payer]],Contracts[Contract Name],Contracts[Contract ID],"No contract")</f>
        <v>CON-01</v>
      </c>
      <c r="Z1260" s="127" t="str">
        <f>_xlfn.XLOOKUP(MasterFees[[#This Row],[Provider / Payer]],Contracts[Contract Name],Contracts[Pricing Basis],"To confirm")</f>
        <v>To confirm</v>
      </c>
      <c r="AA1260" s="127" t="str">
        <f>IF(MasterFees[[#This Row],[Pricing Basis]]="Fixed fee schedule","Yes","No")</f>
        <v>No</v>
      </c>
      <c r="AB1260" s="127" t="str">
        <f>IF(OR(MasterFees[[#This Row],[Fee Basis]]="Add-on",MasterFees[[#This Row],[Fee Basis]]="Time band",MasterFees[[#This Row],[Fee Basis]]="Other"),MasterFees[[#This Row],[Fee Basis]],"Base")</f>
        <v>Base</v>
      </c>
      <c r="AC1260" s="141" t="str">
        <f>IF(MasterFees[[#This Row],[Fixed Fee?]]="Yes",MasterFees[[#This Row],[Fee Excl. GST]],"")</f>
        <v/>
      </c>
    </row>
    <row r="1261" spans="1:29" x14ac:dyDescent="0.2">
      <c r="A1261" s="67" t="s">
        <v>2183</v>
      </c>
      <c r="B1261" s="31" t="str">
        <f>IF(MasterFees[[#This Row],[RVG Code]]="","",_xlfn.XLOOKUP(MasterFees[[#This Row],[RVG Code]],RVGCodes[Code],RVGCodes[Base Units],"Code not found"))</f>
        <v/>
      </c>
      <c r="C126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6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61" s="125"/>
      <c r="F1261" s="48" t="s">
        <v>2565</v>
      </c>
      <c r="G1261" s="30" t="s">
        <v>414</v>
      </c>
      <c r="H1261" s="37" t="s">
        <v>1095</v>
      </c>
      <c r="I1261" s="37"/>
      <c r="J1261" s="37" t="s">
        <v>1096</v>
      </c>
      <c r="K1261" s="32">
        <v>0</v>
      </c>
      <c r="L1261" s="32">
        <v>0</v>
      </c>
      <c r="M1261" s="32">
        <v>0</v>
      </c>
      <c r="N1261" s="32">
        <v>0</v>
      </c>
      <c r="O1261" s="33">
        <v>0</v>
      </c>
      <c r="P1261" s="38" t="s">
        <v>1014</v>
      </c>
      <c r="Q1261" s="34" t="str">
        <f>IF(MasterFees[[#This Row],[GST Basis]]="Excl",MasterFees[[#This Row],[Fee as Printed]],IF(MasterFees[[#This Row],[GST Basis]]="Incl",MasterFees[[#This Row],[Fee as Printed]]/(1+GST_Rate),""))</f>
        <v/>
      </c>
      <c r="R1261" s="34" t="str">
        <f>IF(MasterFees[[#This Row],[GST Basis]]="Incl",MasterFees[[#This Row],[Fee as Printed]],IF(MasterFees[[#This Row],[GST Basis]]="Excl",MasterFees[[#This Row],[Fee as Printed]]*(1+GST_Rate),""))</f>
        <v/>
      </c>
      <c r="S1261" s="35" t="str">
        <f>IF(N(MasterFees[[#This Row],[Total Units]])=0,"",MasterFees[[#This Row],[Fee as Printed]]/MasterFees[[#This Row],[Total Units]])</f>
        <v/>
      </c>
      <c r="T1261" s="36"/>
      <c r="U1261" s="39" t="s">
        <v>1012</v>
      </c>
      <c r="V1261" s="39" t="s">
        <v>1509</v>
      </c>
      <c r="W1261" s="30"/>
      <c r="X1261" s="73" t="s">
        <v>3302</v>
      </c>
      <c r="Y1261" s="127" t="str">
        <f>_xlfn.XLOOKUP(MasterFees[[#This Row],[Provider / Payer]],Contracts[Contract Name],Contracts[Contract ID],"No contract")</f>
        <v>CON-01</v>
      </c>
      <c r="Z1261" s="127" t="str">
        <f>_xlfn.XLOOKUP(MasterFees[[#This Row],[Provider / Payer]],Contracts[Contract Name],Contracts[Pricing Basis],"To confirm")</f>
        <v>To confirm</v>
      </c>
      <c r="AA1261" s="127" t="str">
        <f>IF(MasterFees[[#This Row],[Pricing Basis]]="Fixed fee schedule","Yes","No")</f>
        <v>No</v>
      </c>
      <c r="AB1261" s="127" t="str">
        <f>IF(OR(MasterFees[[#This Row],[Fee Basis]]="Add-on",MasterFees[[#This Row],[Fee Basis]]="Time band",MasterFees[[#This Row],[Fee Basis]]="Other"),MasterFees[[#This Row],[Fee Basis]],"Base")</f>
        <v>Base</v>
      </c>
      <c r="AC1261" s="141" t="str">
        <f>IF(MasterFees[[#This Row],[Fixed Fee?]]="Yes",MasterFees[[#This Row],[Fee Excl. GST]],"")</f>
        <v/>
      </c>
    </row>
    <row r="1262" spans="1:29" x14ac:dyDescent="0.2">
      <c r="A1262" s="67" t="s">
        <v>2183</v>
      </c>
      <c r="B1262" s="31" t="str">
        <f>IF(MasterFees[[#This Row],[RVG Code]]="","",_xlfn.XLOOKUP(MasterFees[[#This Row],[RVG Code]],RVGCodes[Code],RVGCodes[Base Units],"Code not found"))</f>
        <v/>
      </c>
      <c r="C126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6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62" s="125"/>
      <c r="F1262" s="48" t="s">
        <v>2565</v>
      </c>
      <c r="G1262" s="30" t="s">
        <v>445</v>
      </c>
      <c r="H1262" s="37" t="s">
        <v>1095</v>
      </c>
      <c r="I1262" s="37"/>
      <c r="J1262" s="37" t="s">
        <v>1096</v>
      </c>
      <c r="K1262" s="32">
        <v>5</v>
      </c>
      <c r="L1262" s="32">
        <v>14</v>
      </c>
      <c r="M1262" s="32">
        <v>4</v>
      </c>
      <c r="N1262" s="32">
        <v>23</v>
      </c>
      <c r="O1262" s="33">
        <v>1265</v>
      </c>
      <c r="P1262" s="38" t="s">
        <v>1014</v>
      </c>
      <c r="Q1262" s="34" t="str">
        <f>IF(MasterFees[[#This Row],[GST Basis]]="Excl",MasterFees[[#This Row],[Fee as Printed]],IF(MasterFees[[#This Row],[GST Basis]]="Incl",MasterFees[[#This Row],[Fee as Printed]]/(1+GST_Rate),""))</f>
        <v/>
      </c>
      <c r="R1262" s="34" t="str">
        <f>IF(MasterFees[[#This Row],[GST Basis]]="Incl",MasterFees[[#This Row],[Fee as Printed]],IF(MasterFees[[#This Row],[GST Basis]]="Excl",MasterFees[[#This Row],[Fee as Printed]]*(1+GST_Rate),""))</f>
        <v/>
      </c>
      <c r="S1262" s="35">
        <f>IF(N(MasterFees[[#This Row],[Total Units]])=0,"",MasterFees[[#This Row],[Fee as Printed]]/MasterFees[[#This Row],[Total Units]])</f>
        <v>55</v>
      </c>
      <c r="T1262" s="36"/>
      <c r="U1262" s="39" t="s">
        <v>1012</v>
      </c>
      <c r="V1262" s="39" t="s">
        <v>1540</v>
      </c>
      <c r="W1262" s="30"/>
      <c r="X1262" s="73" t="s">
        <v>3333</v>
      </c>
      <c r="Y1262" s="127" t="str">
        <f>_xlfn.XLOOKUP(MasterFees[[#This Row],[Provider / Payer]],Contracts[Contract Name],Contracts[Contract ID],"No contract")</f>
        <v>CON-01</v>
      </c>
      <c r="Z1262" s="127" t="str">
        <f>_xlfn.XLOOKUP(MasterFees[[#This Row],[Provider / Payer]],Contracts[Contract Name],Contracts[Pricing Basis],"To confirm")</f>
        <v>To confirm</v>
      </c>
      <c r="AA1262" s="127" t="str">
        <f>IF(MasterFees[[#This Row],[Pricing Basis]]="Fixed fee schedule","Yes","No")</f>
        <v>No</v>
      </c>
      <c r="AB1262" s="127" t="str">
        <f>IF(OR(MasterFees[[#This Row],[Fee Basis]]="Add-on",MasterFees[[#This Row],[Fee Basis]]="Time band",MasterFees[[#This Row],[Fee Basis]]="Other"),MasterFees[[#This Row],[Fee Basis]],"Base")</f>
        <v>Base</v>
      </c>
      <c r="AC1262" s="141" t="str">
        <f>IF(MasterFees[[#This Row],[Fixed Fee?]]="Yes",MasterFees[[#This Row],[Fee Excl. GST]],"")</f>
        <v/>
      </c>
    </row>
    <row r="1263" spans="1:29" x14ac:dyDescent="0.2">
      <c r="A1263" s="67" t="s">
        <v>2183</v>
      </c>
      <c r="B1263" s="31" t="str">
        <f>IF(MasterFees[[#This Row],[RVG Code]]="","",_xlfn.XLOOKUP(MasterFees[[#This Row],[RVG Code]],RVGCodes[Code],RVGCodes[Base Units],"Code not found"))</f>
        <v/>
      </c>
      <c r="C126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6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63" s="125"/>
      <c r="F1263" s="48" t="s">
        <v>2565</v>
      </c>
      <c r="G1263" s="30" t="s">
        <v>446</v>
      </c>
      <c r="H1263" s="37" t="s">
        <v>1095</v>
      </c>
      <c r="I1263" s="37"/>
      <c r="J1263" s="37" t="s">
        <v>1096</v>
      </c>
      <c r="K1263" s="32">
        <v>2</v>
      </c>
      <c r="L1263" s="32">
        <v>2</v>
      </c>
      <c r="M1263" s="32">
        <v>1</v>
      </c>
      <c r="N1263" s="32">
        <v>5</v>
      </c>
      <c r="O1263" s="33">
        <v>275</v>
      </c>
      <c r="P1263" s="38" t="s">
        <v>1014</v>
      </c>
      <c r="Q1263" s="34" t="str">
        <f>IF(MasterFees[[#This Row],[GST Basis]]="Excl",MasterFees[[#This Row],[Fee as Printed]],IF(MasterFees[[#This Row],[GST Basis]]="Incl",MasterFees[[#This Row],[Fee as Printed]]/(1+GST_Rate),""))</f>
        <v/>
      </c>
      <c r="R1263" s="34" t="str">
        <f>IF(MasterFees[[#This Row],[GST Basis]]="Incl",MasterFees[[#This Row],[Fee as Printed]],IF(MasterFees[[#This Row],[GST Basis]]="Excl",MasterFees[[#This Row],[Fee as Printed]]*(1+GST_Rate),""))</f>
        <v/>
      </c>
      <c r="S1263" s="35">
        <f>IF(N(MasterFees[[#This Row],[Total Units]])=0,"",MasterFees[[#This Row],[Fee as Printed]]/MasterFees[[#This Row],[Total Units]])</f>
        <v>55</v>
      </c>
      <c r="T1263" s="36"/>
      <c r="U1263" s="39" t="s">
        <v>1012</v>
      </c>
      <c r="V1263" s="39" t="s">
        <v>1541</v>
      </c>
      <c r="W1263" s="30"/>
      <c r="X1263" s="73" t="s">
        <v>3334</v>
      </c>
      <c r="Y1263" s="127" t="str">
        <f>_xlfn.XLOOKUP(MasterFees[[#This Row],[Provider / Payer]],Contracts[Contract Name],Contracts[Contract ID],"No contract")</f>
        <v>CON-01</v>
      </c>
      <c r="Z1263" s="127" t="str">
        <f>_xlfn.XLOOKUP(MasterFees[[#This Row],[Provider / Payer]],Contracts[Contract Name],Contracts[Pricing Basis],"To confirm")</f>
        <v>To confirm</v>
      </c>
      <c r="AA1263" s="127" t="str">
        <f>IF(MasterFees[[#This Row],[Pricing Basis]]="Fixed fee schedule","Yes","No")</f>
        <v>No</v>
      </c>
      <c r="AB1263" s="127" t="str">
        <f>IF(OR(MasterFees[[#This Row],[Fee Basis]]="Add-on",MasterFees[[#This Row],[Fee Basis]]="Time band",MasterFees[[#This Row],[Fee Basis]]="Other"),MasterFees[[#This Row],[Fee Basis]],"Base")</f>
        <v>Base</v>
      </c>
      <c r="AC1263" s="141" t="str">
        <f>IF(MasterFees[[#This Row],[Fixed Fee?]]="Yes",MasterFees[[#This Row],[Fee Excl. GST]],"")</f>
        <v/>
      </c>
    </row>
    <row r="1264" spans="1:29" x14ac:dyDescent="0.2">
      <c r="A1264" s="67" t="s">
        <v>2183</v>
      </c>
      <c r="B1264" s="31" t="str">
        <f>IF(MasterFees[[#This Row],[RVG Code]]="","",_xlfn.XLOOKUP(MasterFees[[#This Row],[RVG Code]],RVGCodes[Code],RVGCodes[Base Units],"Code not found"))</f>
        <v/>
      </c>
      <c r="C126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6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64" s="125"/>
      <c r="F1264" s="48" t="s">
        <v>2565</v>
      </c>
      <c r="G1264" s="30" t="s">
        <v>460</v>
      </c>
      <c r="H1264" s="37" t="s">
        <v>1095</v>
      </c>
      <c r="I1264" s="37"/>
      <c r="J1264" s="37" t="s">
        <v>1096</v>
      </c>
      <c r="K1264" s="32">
        <v>4</v>
      </c>
      <c r="L1264" s="32">
        <v>2</v>
      </c>
      <c r="M1264" s="32">
        <v>0</v>
      </c>
      <c r="N1264" s="32">
        <v>6</v>
      </c>
      <c r="O1264" s="33">
        <v>330</v>
      </c>
      <c r="P1264" s="38" t="s">
        <v>1014</v>
      </c>
      <c r="Q1264" s="34" t="str">
        <f>IF(MasterFees[[#This Row],[GST Basis]]="Excl",MasterFees[[#This Row],[Fee as Printed]],IF(MasterFees[[#This Row],[GST Basis]]="Incl",MasterFees[[#This Row],[Fee as Printed]]/(1+GST_Rate),""))</f>
        <v/>
      </c>
      <c r="R1264" s="34" t="str">
        <f>IF(MasterFees[[#This Row],[GST Basis]]="Incl",MasterFees[[#This Row],[Fee as Printed]],IF(MasterFees[[#This Row],[GST Basis]]="Excl",MasterFees[[#This Row],[Fee as Printed]]*(1+GST_Rate),""))</f>
        <v/>
      </c>
      <c r="S1264" s="35">
        <f>IF(N(MasterFees[[#This Row],[Total Units]])=0,"",MasterFees[[#This Row],[Fee as Printed]]/MasterFees[[#This Row],[Total Units]])</f>
        <v>55</v>
      </c>
      <c r="T1264" s="36"/>
      <c r="U1264" s="39" t="s">
        <v>1012</v>
      </c>
      <c r="V1264" s="39" t="s">
        <v>1555</v>
      </c>
      <c r="W1264" s="30"/>
      <c r="X1264" s="73" t="s">
        <v>3348</v>
      </c>
      <c r="Y1264" s="127" t="str">
        <f>_xlfn.XLOOKUP(MasterFees[[#This Row],[Provider / Payer]],Contracts[Contract Name],Contracts[Contract ID],"No contract")</f>
        <v>CON-01</v>
      </c>
      <c r="Z1264" s="127" t="str">
        <f>_xlfn.XLOOKUP(MasterFees[[#This Row],[Provider / Payer]],Contracts[Contract Name],Contracts[Pricing Basis],"To confirm")</f>
        <v>To confirm</v>
      </c>
      <c r="AA1264" s="127" t="str">
        <f>IF(MasterFees[[#This Row],[Pricing Basis]]="Fixed fee schedule","Yes","No")</f>
        <v>No</v>
      </c>
      <c r="AB1264" s="127" t="str">
        <f>IF(OR(MasterFees[[#This Row],[Fee Basis]]="Add-on",MasterFees[[#This Row],[Fee Basis]]="Time band",MasterFees[[#This Row],[Fee Basis]]="Other"),MasterFees[[#This Row],[Fee Basis]],"Base")</f>
        <v>Base</v>
      </c>
      <c r="AC1264" s="141" t="str">
        <f>IF(MasterFees[[#This Row],[Fixed Fee?]]="Yes",MasterFees[[#This Row],[Fee Excl. GST]],"")</f>
        <v/>
      </c>
    </row>
    <row r="1265" spans="1:29" x14ac:dyDescent="0.2">
      <c r="A1265" s="67" t="s">
        <v>2183</v>
      </c>
      <c r="B1265" s="31" t="str">
        <f>IF(MasterFees[[#This Row],[RVG Code]]="","",_xlfn.XLOOKUP(MasterFees[[#This Row],[RVG Code]],RVGCodes[Code],RVGCodes[Base Units],"Code not found"))</f>
        <v/>
      </c>
      <c r="C126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6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65" s="125"/>
      <c r="F1265" s="48" t="s">
        <v>2565</v>
      </c>
      <c r="G1265" s="30" t="s">
        <v>587</v>
      </c>
      <c r="H1265" s="37" t="s">
        <v>1095</v>
      </c>
      <c r="I1265" s="37"/>
      <c r="J1265" s="37" t="s">
        <v>1096</v>
      </c>
      <c r="K1265" s="32">
        <v>4.8</v>
      </c>
      <c r="L1265" s="32">
        <v>4.8</v>
      </c>
      <c r="M1265" s="32">
        <v>0.7</v>
      </c>
      <c r="N1265" s="32">
        <v>10.4</v>
      </c>
      <c r="O1265" s="33">
        <v>570.35</v>
      </c>
      <c r="P1265" s="38" t="s">
        <v>1014</v>
      </c>
      <c r="Q1265" s="34" t="str">
        <f>IF(MasterFees[[#This Row],[GST Basis]]="Excl",MasterFees[[#This Row],[Fee as Printed]],IF(MasterFees[[#This Row],[GST Basis]]="Incl",MasterFees[[#This Row],[Fee as Printed]]/(1+GST_Rate),""))</f>
        <v/>
      </c>
      <c r="R1265" s="34" t="str">
        <f>IF(MasterFees[[#This Row],[GST Basis]]="Incl",MasterFees[[#This Row],[Fee as Printed]],IF(MasterFees[[#This Row],[GST Basis]]="Excl",MasterFees[[#This Row],[Fee as Printed]]*(1+GST_Rate),""))</f>
        <v/>
      </c>
      <c r="S1265" s="35">
        <f>IF(N(MasterFees[[#This Row],[Total Units]])=0,"",MasterFees[[#This Row],[Fee as Printed]]/MasterFees[[#This Row],[Total Units]])</f>
        <v>54.841346153846153</v>
      </c>
      <c r="T1265" s="36"/>
      <c r="U1265" s="39" t="s">
        <v>1012</v>
      </c>
      <c r="V1265" s="39" t="s">
        <v>1683</v>
      </c>
      <c r="W1265" s="30"/>
      <c r="X1265" s="73" t="s">
        <v>3480</v>
      </c>
      <c r="Y1265" s="127" t="str">
        <f>_xlfn.XLOOKUP(MasterFees[[#This Row],[Provider / Payer]],Contracts[Contract Name],Contracts[Contract ID],"No contract")</f>
        <v>CON-01</v>
      </c>
      <c r="Z1265" s="127" t="str">
        <f>_xlfn.XLOOKUP(MasterFees[[#This Row],[Provider / Payer]],Contracts[Contract Name],Contracts[Pricing Basis],"To confirm")</f>
        <v>To confirm</v>
      </c>
      <c r="AA1265" s="127" t="str">
        <f>IF(MasterFees[[#This Row],[Pricing Basis]]="Fixed fee schedule","Yes","No")</f>
        <v>No</v>
      </c>
      <c r="AB1265" s="127" t="str">
        <f>IF(OR(MasterFees[[#This Row],[Fee Basis]]="Add-on",MasterFees[[#This Row],[Fee Basis]]="Time band",MasterFees[[#This Row],[Fee Basis]]="Other"),MasterFees[[#This Row],[Fee Basis]],"Base")</f>
        <v>Base</v>
      </c>
      <c r="AC1265" s="141" t="str">
        <f>IF(MasterFees[[#This Row],[Fixed Fee?]]="Yes",MasterFees[[#This Row],[Fee Excl. GST]],"")</f>
        <v/>
      </c>
    </row>
    <row r="1266" spans="1:29" x14ac:dyDescent="0.2">
      <c r="A1266" s="67" t="s">
        <v>2183</v>
      </c>
      <c r="B1266" s="31" t="str">
        <f>IF(MasterFees[[#This Row],[RVG Code]]="","",_xlfn.XLOOKUP(MasterFees[[#This Row],[RVG Code]],RVGCodes[Code],RVGCodes[Base Units],"Code not found"))</f>
        <v/>
      </c>
      <c r="C126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6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66" s="125"/>
      <c r="F1266" s="48" t="s">
        <v>2565</v>
      </c>
      <c r="G1266" s="30" t="s">
        <v>608</v>
      </c>
      <c r="H1266" s="37" t="s">
        <v>1095</v>
      </c>
      <c r="I1266" s="37"/>
      <c r="J1266" s="37" t="s">
        <v>1096</v>
      </c>
      <c r="K1266" s="32">
        <v>4</v>
      </c>
      <c r="L1266" s="32">
        <v>5</v>
      </c>
      <c r="M1266" s="32">
        <v>0</v>
      </c>
      <c r="N1266" s="32">
        <v>9</v>
      </c>
      <c r="O1266" s="33">
        <v>495</v>
      </c>
      <c r="P1266" s="38" t="s">
        <v>1014</v>
      </c>
      <c r="Q1266" s="34" t="str">
        <f>IF(MasterFees[[#This Row],[GST Basis]]="Excl",MasterFees[[#This Row],[Fee as Printed]],IF(MasterFees[[#This Row],[GST Basis]]="Incl",MasterFees[[#This Row],[Fee as Printed]]/(1+GST_Rate),""))</f>
        <v/>
      </c>
      <c r="R1266" s="34" t="str">
        <f>IF(MasterFees[[#This Row],[GST Basis]]="Incl",MasterFees[[#This Row],[Fee as Printed]],IF(MasterFees[[#This Row],[GST Basis]]="Excl",MasterFees[[#This Row],[Fee as Printed]]*(1+GST_Rate),""))</f>
        <v/>
      </c>
      <c r="S1266" s="35">
        <f>IF(N(MasterFees[[#This Row],[Total Units]])=0,"",MasterFees[[#This Row],[Fee as Printed]]/MasterFees[[#This Row],[Total Units]])</f>
        <v>55</v>
      </c>
      <c r="T1266" s="36"/>
      <c r="U1266" s="39" t="s">
        <v>1012</v>
      </c>
      <c r="V1266" s="39" t="s">
        <v>1705</v>
      </c>
      <c r="W1266" s="30"/>
      <c r="X1266" s="73" t="s">
        <v>3502</v>
      </c>
      <c r="Y1266" s="127" t="str">
        <f>_xlfn.XLOOKUP(MasterFees[[#This Row],[Provider / Payer]],Contracts[Contract Name],Contracts[Contract ID],"No contract")</f>
        <v>CON-01</v>
      </c>
      <c r="Z1266" s="127" t="str">
        <f>_xlfn.XLOOKUP(MasterFees[[#This Row],[Provider / Payer]],Contracts[Contract Name],Contracts[Pricing Basis],"To confirm")</f>
        <v>To confirm</v>
      </c>
      <c r="AA1266" s="127" t="str">
        <f>IF(MasterFees[[#This Row],[Pricing Basis]]="Fixed fee schedule","Yes","No")</f>
        <v>No</v>
      </c>
      <c r="AB1266" s="127" t="str">
        <f>IF(OR(MasterFees[[#This Row],[Fee Basis]]="Add-on",MasterFees[[#This Row],[Fee Basis]]="Time band",MasterFees[[#This Row],[Fee Basis]]="Other"),MasterFees[[#This Row],[Fee Basis]],"Base")</f>
        <v>Base</v>
      </c>
      <c r="AC1266" s="141" t="str">
        <f>IF(MasterFees[[#This Row],[Fixed Fee?]]="Yes",MasterFees[[#This Row],[Fee Excl. GST]],"")</f>
        <v/>
      </c>
    </row>
    <row r="1267" spans="1:29" x14ac:dyDescent="0.2">
      <c r="A1267" s="67" t="s">
        <v>2183</v>
      </c>
      <c r="B1267" s="31" t="str">
        <f>IF(MasterFees[[#This Row],[RVG Code]]="","",_xlfn.XLOOKUP(MasterFees[[#This Row],[RVG Code]],RVGCodes[Code],RVGCodes[Base Units],"Code not found"))</f>
        <v/>
      </c>
      <c r="C126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6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67" s="125"/>
      <c r="F1267" s="48" t="s">
        <v>2565</v>
      </c>
      <c r="G1267" s="30" t="s">
        <v>609</v>
      </c>
      <c r="H1267" s="37" t="s">
        <v>1095</v>
      </c>
      <c r="I1267" s="37"/>
      <c r="J1267" s="37" t="s">
        <v>1096</v>
      </c>
      <c r="K1267" s="32">
        <v>6</v>
      </c>
      <c r="L1267" s="32">
        <v>12</v>
      </c>
      <c r="M1267" s="32">
        <v>0</v>
      </c>
      <c r="N1267" s="32">
        <v>18</v>
      </c>
      <c r="O1267" s="33">
        <v>990</v>
      </c>
      <c r="P1267" s="38" t="s">
        <v>1014</v>
      </c>
      <c r="Q1267" s="34" t="str">
        <f>IF(MasterFees[[#This Row],[GST Basis]]="Excl",MasterFees[[#This Row],[Fee as Printed]],IF(MasterFees[[#This Row],[GST Basis]]="Incl",MasterFees[[#This Row],[Fee as Printed]]/(1+GST_Rate),""))</f>
        <v/>
      </c>
      <c r="R1267" s="34" t="str">
        <f>IF(MasterFees[[#This Row],[GST Basis]]="Incl",MasterFees[[#This Row],[Fee as Printed]],IF(MasterFees[[#This Row],[GST Basis]]="Excl",MasterFees[[#This Row],[Fee as Printed]]*(1+GST_Rate),""))</f>
        <v/>
      </c>
      <c r="S1267" s="35">
        <f>IF(N(MasterFees[[#This Row],[Total Units]])=0,"",MasterFees[[#This Row],[Fee as Printed]]/MasterFees[[#This Row],[Total Units]])</f>
        <v>55</v>
      </c>
      <c r="T1267" s="36"/>
      <c r="U1267" s="39" t="s">
        <v>1012</v>
      </c>
      <c r="V1267" s="39" t="s">
        <v>1706</v>
      </c>
      <c r="W1267" s="30"/>
      <c r="X1267" s="73" t="s">
        <v>3503</v>
      </c>
      <c r="Y1267" s="127" t="str">
        <f>_xlfn.XLOOKUP(MasterFees[[#This Row],[Provider / Payer]],Contracts[Contract Name],Contracts[Contract ID],"No contract")</f>
        <v>CON-01</v>
      </c>
      <c r="Z1267" s="127" t="str">
        <f>_xlfn.XLOOKUP(MasterFees[[#This Row],[Provider / Payer]],Contracts[Contract Name],Contracts[Pricing Basis],"To confirm")</f>
        <v>To confirm</v>
      </c>
      <c r="AA1267" s="127" t="str">
        <f>IF(MasterFees[[#This Row],[Pricing Basis]]="Fixed fee schedule","Yes","No")</f>
        <v>No</v>
      </c>
      <c r="AB1267" s="127" t="str">
        <f>IF(OR(MasterFees[[#This Row],[Fee Basis]]="Add-on",MasterFees[[#This Row],[Fee Basis]]="Time band",MasterFees[[#This Row],[Fee Basis]]="Other"),MasterFees[[#This Row],[Fee Basis]],"Base")</f>
        <v>Base</v>
      </c>
      <c r="AC1267" s="141" t="str">
        <f>IF(MasterFees[[#This Row],[Fixed Fee?]]="Yes",MasterFees[[#This Row],[Fee Excl. GST]],"")</f>
        <v/>
      </c>
    </row>
    <row r="1268" spans="1:29" x14ac:dyDescent="0.2">
      <c r="A1268" s="67" t="s">
        <v>2183</v>
      </c>
      <c r="B1268" s="31" t="str">
        <f>IF(MasterFees[[#This Row],[RVG Code]]="","",_xlfn.XLOOKUP(MasterFees[[#This Row],[RVG Code]],RVGCodes[Code],RVGCodes[Base Units],"Code not found"))</f>
        <v/>
      </c>
      <c r="C126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6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68" s="125"/>
      <c r="F1268" s="48" t="s">
        <v>2565</v>
      </c>
      <c r="G1268" s="30" t="s">
        <v>611</v>
      </c>
      <c r="H1268" s="37" t="s">
        <v>1095</v>
      </c>
      <c r="I1268" s="37"/>
      <c r="J1268" s="37" t="s">
        <v>1096</v>
      </c>
      <c r="K1268" s="32">
        <v>0</v>
      </c>
      <c r="L1268" s="32">
        <v>0</v>
      </c>
      <c r="M1268" s="32">
        <v>0</v>
      </c>
      <c r="N1268" s="32">
        <v>0</v>
      </c>
      <c r="O1268" s="33">
        <v>0</v>
      </c>
      <c r="P1268" s="38" t="s">
        <v>1014</v>
      </c>
      <c r="Q1268" s="34" t="str">
        <f>IF(MasterFees[[#This Row],[GST Basis]]="Excl",MasterFees[[#This Row],[Fee as Printed]],IF(MasterFees[[#This Row],[GST Basis]]="Incl",MasterFees[[#This Row],[Fee as Printed]]/(1+GST_Rate),""))</f>
        <v/>
      </c>
      <c r="R1268" s="34" t="str">
        <f>IF(MasterFees[[#This Row],[GST Basis]]="Incl",MasterFees[[#This Row],[Fee as Printed]],IF(MasterFees[[#This Row],[GST Basis]]="Excl",MasterFees[[#This Row],[Fee as Printed]]*(1+GST_Rate),""))</f>
        <v/>
      </c>
      <c r="S1268" s="35" t="str">
        <f>IF(N(MasterFees[[#This Row],[Total Units]])=0,"",MasterFees[[#This Row],[Fee as Printed]]/MasterFees[[#This Row],[Total Units]])</f>
        <v/>
      </c>
      <c r="T1268" s="36"/>
      <c r="U1268" s="39" t="s">
        <v>1012</v>
      </c>
      <c r="V1268" s="39" t="s">
        <v>1708</v>
      </c>
      <c r="W1268" s="30"/>
      <c r="X1268" s="73" t="s">
        <v>3505</v>
      </c>
      <c r="Y1268" s="127" t="str">
        <f>_xlfn.XLOOKUP(MasterFees[[#This Row],[Provider / Payer]],Contracts[Contract Name],Contracts[Contract ID],"No contract")</f>
        <v>CON-01</v>
      </c>
      <c r="Z1268" s="127" t="str">
        <f>_xlfn.XLOOKUP(MasterFees[[#This Row],[Provider / Payer]],Contracts[Contract Name],Contracts[Pricing Basis],"To confirm")</f>
        <v>To confirm</v>
      </c>
      <c r="AA1268" s="127" t="str">
        <f>IF(MasterFees[[#This Row],[Pricing Basis]]="Fixed fee schedule","Yes","No")</f>
        <v>No</v>
      </c>
      <c r="AB1268" s="127" t="str">
        <f>IF(OR(MasterFees[[#This Row],[Fee Basis]]="Add-on",MasterFees[[#This Row],[Fee Basis]]="Time band",MasterFees[[#This Row],[Fee Basis]]="Other"),MasterFees[[#This Row],[Fee Basis]],"Base")</f>
        <v>Base</v>
      </c>
      <c r="AC1268" s="141" t="str">
        <f>IF(MasterFees[[#This Row],[Fixed Fee?]]="Yes",MasterFees[[#This Row],[Fee Excl. GST]],"")</f>
        <v/>
      </c>
    </row>
    <row r="1269" spans="1:29" x14ac:dyDescent="0.2">
      <c r="A1269" s="67" t="s">
        <v>2183</v>
      </c>
      <c r="B1269" s="31" t="str">
        <f>IF(MasterFees[[#This Row],[RVG Code]]="","",_xlfn.XLOOKUP(MasterFees[[#This Row],[RVG Code]],RVGCodes[Code],RVGCodes[Base Units],"Code not found"))</f>
        <v/>
      </c>
      <c r="C126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6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69" s="125"/>
      <c r="F1269" s="48" t="s">
        <v>2565</v>
      </c>
      <c r="G1269" s="30" t="s">
        <v>614</v>
      </c>
      <c r="H1269" s="37" t="s">
        <v>1095</v>
      </c>
      <c r="I1269" s="37"/>
      <c r="J1269" s="37" t="s">
        <v>1096</v>
      </c>
      <c r="K1269" s="32">
        <v>6</v>
      </c>
      <c r="L1269" s="32">
        <v>3</v>
      </c>
      <c r="M1269" s="32">
        <v>0</v>
      </c>
      <c r="N1269" s="32">
        <v>9</v>
      </c>
      <c r="O1269" s="33">
        <v>495</v>
      </c>
      <c r="P1269" s="38" t="s">
        <v>1014</v>
      </c>
      <c r="Q1269" s="34" t="str">
        <f>IF(MasterFees[[#This Row],[GST Basis]]="Excl",MasterFees[[#This Row],[Fee as Printed]],IF(MasterFees[[#This Row],[GST Basis]]="Incl",MasterFees[[#This Row],[Fee as Printed]]/(1+GST_Rate),""))</f>
        <v/>
      </c>
      <c r="R1269" s="34" t="str">
        <f>IF(MasterFees[[#This Row],[GST Basis]]="Incl",MasterFees[[#This Row],[Fee as Printed]],IF(MasterFees[[#This Row],[GST Basis]]="Excl",MasterFees[[#This Row],[Fee as Printed]]*(1+GST_Rate),""))</f>
        <v/>
      </c>
      <c r="S1269" s="35">
        <f>IF(N(MasterFees[[#This Row],[Total Units]])=0,"",MasterFees[[#This Row],[Fee as Printed]]/MasterFees[[#This Row],[Total Units]])</f>
        <v>55</v>
      </c>
      <c r="T1269" s="36"/>
      <c r="U1269" s="39" t="s">
        <v>1012</v>
      </c>
      <c r="V1269" s="39" t="s">
        <v>1711</v>
      </c>
      <c r="W1269" s="30"/>
      <c r="X1269" s="73" t="s">
        <v>3508</v>
      </c>
      <c r="Y1269" s="127" t="str">
        <f>_xlfn.XLOOKUP(MasterFees[[#This Row],[Provider / Payer]],Contracts[Contract Name],Contracts[Contract ID],"No contract")</f>
        <v>CON-01</v>
      </c>
      <c r="Z1269" s="127" t="str">
        <f>_xlfn.XLOOKUP(MasterFees[[#This Row],[Provider / Payer]],Contracts[Contract Name],Contracts[Pricing Basis],"To confirm")</f>
        <v>To confirm</v>
      </c>
      <c r="AA1269" s="127" t="str">
        <f>IF(MasterFees[[#This Row],[Pricing Basis]]="Fixed fee schedule","Yes","No")</f>
        <v>No</v>
      </c>
      <c r="AB1269" s="127" t="str">
        <f>IF(OR(MasterFees[[#This Row],[Fee Basis]]="Add-on",MasterFees[[#This Row],[Fee Basis]]="Time band",MasterFees[[#This Row],[Fee Basis]]="Other"),MasterFees[[#This Row],[Fee Basis]],"Base")</f>
        <v>Base</v>
      </c>
      <c r="AC1269" s="141" t="str">
        <f>IF(MasterFees[[#This Row],[Fixed Fee?]]="Yes",MasterFees[[#This Row],[Fee Excl. GST]],"")</f>
        <v/>
      </c>
    </row>
    <row r="1270" spans="1:29" x14ac:dyDescent="0.2">
      <c r="A1270" s="67" t="s">
        <v>2183</v>
      </c>
      <c r="B1270" s="31" t="str">
        <f>IF(MasterFees[[#This Row],[RVG Code]]="","",_xlfn.XLOOKUP(MasterFees[[#This Row],[RVG Code]],RVGCodes[Code],RVGCodes[Base Units],"Code not found"))</f>
        <v/>
      </c>
      <c r="C127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7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70" s="125"/>
      <c r="F1270" s="48" t="s">
        <v>2565</v>
      </c>
      <c r="G1270" s="30" t="s">
        <v>632</v>
      </c>
      <c r="H1270" s="37" t="s">
        <v>1095</v>
      </c>
      <c r="I1270" s="37"/>
      <c r="J1270" s="37" t="s">
        <v>1096</v>
      </c>
      <c r="K1270" s="32">
        <v>4.3</v>
      </c>
      <c r="L1270" s="32">
        <v>2.2999999999999998</v>
      </c>
      <c r="M1270" s="32">
        <v>0.2</v>
      </c>
      <c r="N1270" s="32">
        <v>6.8</v>
      </c>
      <c r="O1270" s="33">
        <v>374</v>
      </c>
      <c r="P1270" s="38" t="s">
        <v>1014</v>
      </c>
      <c r="Q1270" s="34" t="str">
        <f>IF(MasterFees[[#This Row],[GST Basis]]="Excl",MasterFees[[#This Row],[Fee as Printed]],IF(MasterFees[[#This Row],[GST Basis]]="Incl",MasterFees[[#This Row],[Fee as Printed]]/(1+GST_Rate),""))</f>
        <v/>
      </c>
      <c r="R1270" s="34" t="str">
        <f>IF(MasterFees[[#This Row],[GST Basis]]="Incl",MasterFees[[#This Row],[Fee as Printed]],IF(MasterFees[[#This Row],[GST Basis]]="Excl",MasterFees[[#This Row],[Fee as Printed]]*(1+GST_Rate),""))</f>
        <v/>
      </c>
      <c r="S1270" s="35">
        <f>IF(N(MasterFees[[#This Row],[Total Units]])=0,"",MasterFees[[#This Row],[Fee as Printed]]/MasterFees[[#This Row],[Total Units]])</f>
        <v>55</v>
      </c>
      <c r="T1270" s="36"/>
      <c r="U1270" s="39" t="s">
        <v>1012</v>
      </c>
      <c r="V1270" s="39" t="s">
        <v>1729</v>
      </c>
      <c r="W1270" s="30"/>
      <c r="X1270" s="73" t="s">
        <v>3527</v>
      </c>
      <c r="Y1270" s="127" t="str">
        <f>_xlfn.XLOOKUP(MasterFees[[#This Row],[Provider / Payer]],Contracts[Contract Name],Contracts[Contract ID],"No contract")</f>
        <v>CON-01</v>
      </c>
      <c r="Z1270" s="127" t="str">
        <f>_xlfn.XLOOKUP(MasterFees[[#This Row],[Provider / Payer]],Contracts[Contract Name],Contracts[Pricing Basis],"To confirm")</f>
        <v>To confirm</v>
      </c>
      <c r="AA1270" s="127" t="str">
        <f>IF(MasterFees[[#This Row],[Pricing Basis]]="Fixed fee schedule","Yes","No")</f>
        <v>No</v>
      </c>
      <c r="AB1270" s="127" t="str">
        <f>IF(OR(MasterFees[[#This Row],[Fee Basis]]="Add-on",MasterFees[[#This Row],[Fee Basis]]="Time band",MasterFees[[#This Row],[Fee Basis]]="Other"),MasterFees[[#This Row],[Fee Basis]],"Base")</f>
        <v>Base</v>
      </c>
      <c r="AC1270" s="141" t="str">
        <f>IF(MasterFees[[#This Row],[Fixed Fee?]]="Yes",MasterFees[[#This Row],[Fee Excl. GST]],"")</f>
        <v/>
      </c>
    </row>
    <row r="1271" spans="1:29" x14ac:dyDescent="0.2">
      <c r="A1271" s="67" t="s">
        <v>2183</v>
      </c>
      <c r="B1271" s="31" t="str">
        <f>IF(MasterFees[[#This Row],[RVG Code]]="","",_xlfn.XLOOKUP(MasterFees[[#This Row],[RVG Code]],RVGCodes[Code],RVGCodes[Base Units],"Code not found"))</f>
        <v/>
      </c>
      <c r="C127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7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71" s="125"/>
      <c r="F1271" s="48" t="s">
        <v>2565</v>
      </c>
      <c r="G1271" s="30" t="s">
        <v>644</v>
      </c>
      <c r="H1271" s="37" t="s">
        <v>1095</v>
      </c>
      <c r="I1271" s="37"/>
      <c r="J1271" s="37" t="s">
        <v>1096</v>
      </c>
      <c r="K1271" s="32">
        <v>0</v>
      </c>
      <c r="L1271" s="32">
        <v>0</v>
      </c>
      <c r="M1271" s="32">
        <v>0</v>
      </c>
      <c r="N1271" s="32">
        <v>0</v>
      </c>
      <c r="O1271" s="33">
        <v>0</v>
      </c>
      <c r="P1271" s="38" t="s">
        <v>1014</v>
      </c>
      <c r="Q1271" s="34" t="str">
        <f>IF(MasterFees[[#This Row],[GST Basis]]="Excl",MasterFees[[#This Row],[Fee as Printed]],IF(MasterFees[[#This Row],[GST Basis]]="Incl",MasterFees[[#This Row],[Fee as Printed]]/(1+GST_Rate),""))</f>
        <v/>
      </c>
      <c r="R1271" s="34" t="str">
        <f>IF(MasterFees[[#This Row],[GST Basis]]="Incl",MasterFees[[#This Row],[Fee as Printed]],IF(MasterFees[[#This Row],[GST Basis]]="Excl",MasterFees[[#This Row],[Fee as Printed]]*(1+GST_Rate),""))</f>
        <v/>
      </c>
      <c r="S1271" s="35" t="str">
        <f>IF(N(MasterFees[[#This Row],[Total Units]])=0,"",MasterFees[[#This Row],[Fee as Printed]]/MasterFees[[#This Row],[Total Units]])</f>
        <v/>
      </c>
      <c r="T1271" s="36"/>
      <c r="U1271" s="39" t="s">
        <v>1012</v>
      </c>
      <c r="V1271" s="39" t="s">
        <v>1741</v>
      </c>
      <c r="W1271" s="30"/>
      <c r="X1271" s="73" t="s">
        <v>3540</v>
      </c>
      <c r="Y1271" s="127" t="str">
        <f>_xlfn.XLOOKUP(MasterFees[[#This Row],[Provider / Payer]],Contracts[Contract Name],Contracts[Contract ID],"No contract")</f>
        <v>CON-01</v>
      </c>
      <c r="Z1271" s="127" t="str">
        <f>_xlfn.XLOOKUP(MasterFees[[#This Row],[Provider / Payer]],Contracts[Contract Name],Contracts[Pricing Basis],"To confirm")</f>
        <v>To confirm</v>
      </c>
      <c r="AA1271" s="127" t="str">
        <f>IF(MasterFees[[#This Row],[Pricing Basis]]="Fixed fee schedule","Yes","No")</f>
        <v>No</v>
      </c>
      <c r="AB1271" s="127" t="str">
        <f>IF(OR(MasterFees[[#This Row],[Fee Basis]]="Add-on",MasterFees[[#This Row],[Fee Basis]]="Time band",MasterFees[[#This Row],[Fee Basis]]="Other"),MasterFees[[#This Row],[Fee Basis]],"Base")</f>
        <v>Base</v>
      </c>
      <c r="AC1271" s="141" t="str">
        <f>IF(MasterFees[[#This Row],[Fixed Fee?]]="Yes",MasterFees[[#This Row],[Fee Excl. GST]],"")</f>
        <v/>
      </c>
    </row>
    <row r="1272" spans="1:29" x14ac:dyDescent="0.2">
      <c r="A1272" s="67" t="s">
        <v>2183</v>
      </c>
      <c r="B1272" s="31" t="str">
        <f>IF(MasterFees[[#This Row],[RVG Code]]="","",_xlfn.XLOOKUP(MasterFees[[#This Row],[RVG Code]],RVGCodes[Code],RVGCodes[Base Units],"Code not found"))</f>
        <v/>
      </c>
      <c r="C127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7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72" s="125"/>
      <c r="F1272" s="48" t="s">
        <v>2565</v>
      </c>
      <c r="G1272" s="30" t="s">
        <v>653</v>
      </c>
      <c r="H1272" s="37" t="s">
        <v>1095</v>
      </c>
      <c r="I1272" s="37"/>
      <c r="J1272" s="37" t="s">
        <v>1096</v>
      </c>
      <c r="K1272" s="32">
        <v>0</v>
      </c>
      <c r="L1272" s="32">
        <v>0</v>
      </c>
      <c r="M1272" s="32">
        <v>0</v>
      </c>
      <c r="N1272" s="32">
        <v>0</v>
      </c>
      <c r="O1272" s="33">
        <v>0</v>
      </c>
      <c r="P1272" s="38" t="s">
        <v>1014</v>
      </c>
      <c r="Q1272" s="34" t="str">
        <f>IF(MasterFees[[#This Row],[GST Basis]]="Excl",MasterFees[[#This Row],[Fee as Printed]],IF(MasterFees[[#This Row],[GST Basis]]="Incl",MasterFees[[#This Row],[Fee as Printed]]/(1+GST_Rate),""))</f>
        <v/>
      </c>
      <c r="R1272" s="34" t="str">
        <f>IF(MasterFees[[#This Row],[GST Basis]]="Incl",MasterFees[[#This Row],[Fee as Printed]],IF(MasterFees[[#This Row],[GST Basis]]="Excl",MasterFees[[#This Row],[Fee as Printed]]*(1+GST_Rate),""))</f>
        <v/>
      </c>
      <c r="S1272" s="35" t="str">
        <f>IF(N(MasterFees[[#This Row],[Total Units]])=0,"",MasterFees[[#This Row],[Fee as Printed]]/MasterFees[[#This Row],[Total Units]])</f>
        <v/>
      </c>
      <c r="T1272" s="36"/>
      <c r="U1272" s="39" t="s">
        <v>1012</v>
      </c>
      <c r="V1272" s="39" t="s">
        <v>1750</v>
      </c>
      <c r="W1272" s="30"/>
      <c r="X1272" s="73" t="s">
        <v>3550</v>
      </c>
      <c r="Y1272" s="127" t="str">
        <f>_xlfn.XLOOKUP(MasterFees[[#This Row],[Provider / Payer]],Contracts[Contract Name],Contracts[Contract ID],"No contract")</f>
        <v>CON-01</v>
      </c>
      <c r="Z1272" s="127" t="str">
        <f>_xlfn.XLOOKUP(MasterFees[[#This Row],[Provider / Payer]],Contracts[Contract Name],Contracts[Pricing Basis],"To confirm")</f>
        <v>To confirm</v>
      </c>
      <c r="AA1272" s="127" t="str">
        <f>IF(MasterFees[[#This Row],[Pricing Basis]]="Fixed fee schedule","Yes","No")</f>
        <v>No</v>
      </c>
      <c r="AB1272" s="127" t="str">
        <f>IF(OR(MasterFees[[#This Row],[Fee Basis]]="Add-on",MasterFees[[#This Row],[Fee Basis]]="Time band",MasterFees[[#This Row],[Fee Basis]]="Other"),MasterFees[[#This Row],[Fee Basis]],"Base")</f>
        <v>Base</v>
      </c>
      <c r="AC1272" s="141" t="str">
        <f>IF(MasterFees[[#This Row],[Fixed Fee?]]="Yes",MasterFees[[#This Row],[Fee Excl. GST]],"")</f>
        <v/>
      </c>
    </row>
    <row r="1273" spans="1:29" x14ac:dyDescent="0.2">
      <c r="A1273" s="67" t="s">
        <v>2183</v>
      </c>
      <c r="B1273" s="31" t="str">
        <f>IF(MasterFees[[#This Row],[RVG Code]]="","",_xlfn.XLOOKUP(MasterFees[[#This Row],[RVG Code]],RVGCodes[Code],RVGCodes[Base Units],"Code not found"))</f>
        <v/>
      </c>
      <c r="C127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7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73" s="125"/>
      <c r="F1273" s="48" t="s">
        <v>2565</v>
      </c>
      <c r="G1273" s="30" t="s">
        <v>673</v>
      </c>
      <c r="H1273" s="37" t="s">
        <v>1095</v>
      </c>
      <c r="I1273" s="37"/>
      <c r="J1273" s="37" t="s">
        <v>1096</v>
      </c>
      <c r="K1273" s="32">
        <v>0</v>
      </c>
      <c r="L1273" s="32">
        <v>0</v>
      </c>
      <c r="M1273" s="32">
        <v>0</v>
      </c>
      <c r="N1273" s="32">
        <v>0</v>
      </c>
      <c r="O1273" s="33">
        <v>0</v>
      </c>
      <c r="P1273" s="38" t="s">
        <v>1014</v>
      </c>
      <c r="Q1273" s="34" t="str">
        <f>IF(MasterFees[[#This Row],[GST Basis]]="Excl",MasterFees[[#This Row],[Fee as Printed]],IF(MasterFees[[#This Row],[GST Basis]]="Incl",MasterFees[[#This Row],[Fee as Printed]]/(1+GST_Rate),""))</f>
        <v/>
      </c>
      <c r="R1273" s="34" t="str">
        <f>IF(MasterFees[[#This Row],[GST Basis]]="Incl",MasterFees[[#This Row],[Fee as Printed]],IF(MasterFees[[#This Row],[GST Basis]]="Excl",MasterFees[[#This Row],[Fee as Printed]]*(1+GST_Rate),""))</f>
        <v/>
      </c>
      <c r="S1273" s="35" t="str">
        <f>IF(N(MasterFees[[#This Row],[Total Units]])=0,"",MasterFees[[#This Row],[Fee as Printed]]/MasterFees[[#This Row],[Total Units]])</f>
        <v/>
      </c>
      <c r="T1273" s="36"/>
      <c r="U1273" s="39" t="s">
        <v>1012</v>
      </c>
      <c r="V1273" s="39" t="s">
        <v>1770</v>
      </c>
      <c r="W1273" s="30"/>
      <c r="X1273" s="73" t="s">
        <v>3571</v>
      </c>
      <c r="Y1273" s="127" t="str">
        <f>_xlfn.XLOOKUP(MasterFees[[#This Row],[Provider / Payer]],Contracts[Contract Name],Contracts[Contract ID],"No contract")</f>
        <v>CON-01</v>
      </c>
      <c r="Z1273" s="127" t="str">
        <f>_xlfn.XLOOKUP(MasterFees[[#This Row],[Provider / Payer]],Contracts[Contract Name],Contracts[Pricing Basis],"To confirm")</f>
        <v>To confirm</v>
      </c>
      <c r="AA1273" s="127" t="str">
        <f>IF(MasterFees[[#This Row],[Pricing Basis]]="Fixed fee schedule","Yes","No")</f>
        <v>No</v>
      </c>
      <c r="AB1273" s="127" t="str">
        <f>IF(OR(MasterFees[[#This Row],[Fee Basis]]="Add-on",MasterFees[[#This Row],[Fee Basis]]="Time band",MasterFees[[#This Row],[Fee Basis]]="Other"),MasterFees[[#This Row],[Fee Basis]],"Base")</f>
        <v>Base</v>
      </c>
      <c r="AC1273" s="141" t="str">
        <f>IF(MasterFees[[#This Row],[Fixed Fee?]]="Yes",MasterFees[[#This Row],[Fee Excl. GST]],"")</f>
        <v/>
      </c>
    </row>
    <row r="1274" spans="1:29" x14ac:dyDescent="0.2">
      <c r="A1274" s="67" t="s">
        <v>2183</v>
      </c>
      <c r="B1274" s="31" t="str">
        <f>IF(MasterFees[[#This Row],[RVG Code]]="","",_xlfn.XLOOKUP(MasterFees[[#This Row],[RVG Code]],RVGCodes[Code],RVGCodes[Base Units],"Code not found"))</f>
        <v/>
      </c>
      <c r="C127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7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74" s="125"/>
      <c r="F1274" s="48" t="s">
        <v>2565</v>
      </c>
      <c r="G1274" s="30" t="s">
        <v>681</v>
      </c>
      <c r="H1274" s="37" t="s">
        <v>1095</v>
      </c>
      <c r="I1274" s="37"/>
      <c r="J1274" s="37" t="s">
        <v>1096</v>
      </c>
      <c r="K1274" s="32">
        <v>5.5</v>
      </c>
      <c r="L1274" s="32">
        <v>10.8</v>
      </c>
      <c r="M1274" s="32">
        <v>0.3</v>
      </c>
      <c r="N1274" s="32">
        <v>16.5</v>
      </c>
      <c r="O1274" s="33">
        <v>907.5</v>
      </c>
      <c r="P1274" s="38" t="s">
        <v>1014</v>
      </c>
      <c r="Q1274" s="34" t="str">
        <f>IF(MasterFees[[#This Row],[GST Basis]]="Excl",MasterFees[[#This Row],[Fee as Printed]],IF(MasterFees[[#This Row],[GST Basis]]="Incl",MasterFees[[#This Row],[Fee as Printed]]/(1+GST_Rate),""))</f>
        <v/>
      </c>
      <c r="R1274" s="34" t="str">
        <f>IF(MasterFees[[#This Row],[GST Basis]]="Incl",MasterFees[[#This Row],[Fee as Printed]],IF(MasterFees[[#This Row],[GST Basis]]="Excl",MasterFees[[#This Row],[Fee as Printed]]*(1+GST_Rate),""))</f>
        <v/>
      </c>
      <c r="S1274" s="35">
        <f>IF(N(MasterFees[[#This Row],[Total Units]])=0,"",MasterFees[[#This Row],[Fee as Printed]]/MasterFees[[#This Row],[Total Units]])</f>
        <v>55</v>
      </c>
      <c r="T1274" s="36"/>
      <c r="U1274" s="39" t="s">
        <v>1012</v>
      </c>
      <c r="V1274" s="39" t="s">
        <v>1778</v>
      </c>
      <c r="W1274" s="30"/>
      <c r="X1274" s="73" t="s">
        <v>3579</v>
      </c>
      <c r="Y1274" s="127" t="str">
        <f>_xlfn.XLOOKUP(MasterFees[[#This Row],[Provider / Payer]],Contracts[Contract Name],Contracts[Contract ID],"No contract")</f>
        <v>CON-01</v>
      </c>
      <c r="Z1274" s="127" t="str">
        <f>_xlfn.XLOOKUP(MasterFees[[#This Row],[Provider / Payer]],Contracts[Contract Name],Contracts[Pricing Basis],"To confirm")</f>
        <v>To confirm</v>
      </c>
      <c r="AA1274" s="127" t="str">
        <f>IF(MasterFees[[#This Row],[Pricing Basis]]="Fixed fee schedule","Yes","No")</f>
        <v>No</v>
      </c>
      <c r="AB1274" s="127" t="str">
        <f>IF(OR(MasterFees[[#This Row],[Fee Basis]]="Add-on",MasterFees[[#This Row],[Fee Basis]]="Time band",MasterFees[[#This Row],[Fee Basis]]="Other"),MasterFees[[#This Row],[Fee Basis]],"Base")</f>
        <v>Base</v>
      </c>
      <c r="AC1274" s="141" t="str">
        <f>IF(MasterFees[[#This Row],[Fixed Fee?]]="Yes",MasterFees[[#This Row],[Fee Excl. GST]],"")</f>
        <v/>
      </c>
    </row>
    <row r="1275" spans="1:29" x14ac:dyDescent="0.2">
      <c r="A1275" s="67" t="s">
        <v>2183</v>
      </c>
      <c r="B1275" s="31" t="str">
        <f>IF(MasterFees[[#This Row],[RVG Code]]="","",_xlfn.XLOOKUP(MasterFees[[#This Row],[RVG Code]],RVGCodes[Code],RVGCodes[Base Units],"Code not found"))</f>
        <v/>
      </c>
      <c r="C127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7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75" s="125"/>
      <c r="F1275" s="48" t="s">
        <v>2565</v>
      </c>
      <c r="G1275" s="30" t="s">
        <v>684</v>
      </c>
      <c r="H1275" s="37" t="s">
        <v>1095</v>
      </c>
      <c r="I1275" s="37"/>
      <c r="J1275" s="37" t="s">
        <v>1096</v>
      </c>
      <c r="K1275" s="32">
        <v>4</v>
      </c>
      <c r="L1275" s="32">
        <v>6</v>
      </c>
      <c r="M1275" s="32">
        <v>0.5</v>
      </c>
      <c r="N1275" s="32">
        <v>10.5</v>
      </c>
      <c r="O1275" s="33">
        <v>577.5</v>
      </c>
      <c r="P1275" s="38" t="s">
        <v>1014</v>
      </c>
      <c r="Q1275" s="34" t="str">
        <f>IF(MasterFees[[#This Row],[GST Basis]]="Excl",MasterFees[[#This Row],[Fee as Printed]],IF(MasterFees[[#This Row],[GST Basis]]="Incl",MasterFees[[#This Row],[Fee as Printed]]/(1+GST_Rate),""))</f>
        <v/>
      </c>
      <c r="R1275" s="34" t="str">
        <f>IF(MasterFees[[#This Row],[GST Basis]]="Incl",MasterFees[[#This Row],[Fee as Printed]],IF(MasterFees[[#This Row],[GST Basis]]="Excl",MasterFees[[#This Row],[Fee as Printed]]*(1+GST_Rate),""))</f>
        <v/>
      </c>
      <c r="S1275" s="35">
        <f>IF(N(MasterFees[[#This Row],[Total Units]])=0,"",MasterFees[[#This Row],[Fee as Printed]]/MasterFees[[#This Row],[Total Units]])</f>
        <v>55</v>
      </c>
      <c r="T1275" s="36"/>
      <c r="U1275" s="39" t="s">
        <v>1012</v>
      </c>
      <c r="V1275" s="39" t="s">
        <v>1781</v>
      </c>
      <c r="W1275" s="30"/>
      <c r="X1275" s="73" t="s">
        <v>3583</v>
      </c>
      <c r="Y1275" s="127" t="str">
        <f>_xlfn.XLOOKUP(MasterFees[[#This Row],[Provider / Payer]],Contracts[Contract Name],Contracts[Contract ID],"No contract")</f>
        <v>CON-01</v>
      </c>
      <c r="Z1275" s="127" t="str">
        <f>_xlfn.XLOOKUP(MasterFees[[#This Row],[Provider / Payer]],Contracts[Contract Name],Contracts[Pricing Basis],"To confirm")</f>
        <v>To confirm</v>
      </c>
      <c r="AA1275" s="127" t="str">
        <f>IF(MasterFees[[#This Row],[Pricing Basis]]="Fixed fee schedule","Yes","No")</f>
        <v>No</v>
      </c>
      <c r="AB1275" s="127" t="str">
        <f>IF(OR(MasterFees[[#This Row],[Fee Basis]]="Add-on",MasterFees[[#This Row],[Fee Basis]]="Time band",MasterFees[[#This Row],[Fee Basis]]="Other"),MasterFees[[#This Row],[Fee Basis]],"Base")</f>
        <v>Base</v>
      </c>
      <c r="AC1275" s="141" t="str">
        <f>IF(MasterFees[[#This Row],[Fixed Fee?]]="Yes",MasterFees[[#This Row],[Fee Excl. GST]],"")</f>
        <v/>
      </c>
    </row>
    <row r="1276" spans="1:29" x14ac:dyDescent="0.2">
      <c r="A1276" s="67" t="s">
        <v>2183</v>
      </c>
      <c r="B1276" s="31" t="str">
        <f>IF(MasterFees[[#This Row],[RVG Code]]="","",_xlfn.XLOOKUP(MasterFees[[#This Row],[RVG Code]],RVGCodes[Code],RVGCodes[Base Units],"Code not found"))</f>
        <v/>
      </c>
      <c r="C127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7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76" s="125"/>
      <c r="F1276" s="48" t="s">
        <v>2565</v>
      </c>
      <c r="G1276" s="30" t="s">
        <v>694</v>
      </c>
      <c r="H1276" s="37" t="s">
        <v>1095</v>
      </c>
      <c r="I1276" s="37"/>
      <c r="J1276" s="37" t="s">
        <v>1096</v>
      </c>
      <c r="K1276" s="32">
        <v>4.2</v>
      </c>
      <c r="L1276" s="32">
        <v>3.2</v>
      </c>
      <c r="M1276" s="32">
        <v>0.8</v>
      </c>
      <c r="N1276" s="32">
        <v>8.1</v>
      </c>
      <c r="O1276" s="33">
        <v>447.15</v>
      </c>
      <c r="P1276" s="38" t="s">
        <v>1014</v>
      </c>
      <c r="Q1276" s="34" t="str">
        <f>IF(MasterFees[[#This Row],[GST Basis]]="Excl",MasterFees[[#This Row],[Fee as Printed]],IF(MasterFees[[#This Row],[GST Basis]]="Incl",MasterFees[[#This Row],[Fee as Printed]]/(1+GST_Rate),""))</f>
        <v/>
      </c>
      <c r="R1276" s="34" t="str">
        <f>IF(MasterFees[[#This Row],[GST Basis]]="Incl",MasterFees[[#This Row],[Fee as Printed]],IF(MasterFees[[#This Row],[GST Basis]]="Excl",MasterFees[[#This Row],[Fee as Printed]]*(1+GST_Rate),""))</f>
        <v/>
      </c>
      <c r="S1276" s="35">
        <f>IF(N(MasterFees[[#This Row],[Total Units]])=0,"",MasterFees[[#This Row],[Fee as Printed]]/MasterFees[[#This Row],[Total Units]])</f>
        <v>55.203703703703702</v>
      </c>
      <c r="T1276" s="36"/>
      <c r="U1276" s="39" t="s">
        <v>1012</v>
      </c>
      <c r="V1276" s="39" t="s">
        <v>1791</v>
      </c>
      <c r="W1276" s="30"/>
      <c r="X1276" s="73" t="s">
        <v>3593</v>
      </c>
      <c r="Y1276" s="127" t="str">
        <f>_xlfn.XLOOKUP(MasterFees[[#This Row],[Provider / Payer]],Contracts[Contract Name],Contracts[Contract ID],"No contract")</f>
        <v>CON-01</v>
      </c>
      <c r="Z1276" s="127" t="str">
        <f>_xlfn.XLOOKUP(MasterFees[[#This Row],[Provider / Payer]],Contracts[Contract Name],Contracts[Pricing Basis],"To confirm")</f>
        <v>To confirm</v>
      </c>
      <c r="AA1276" s="127" t="str">
        <f>IF(MasterFees[[#This Row],[Pricing Basis]]="Fixed fee schedule","Yes","No")</f>
        <v>No</v>
      </c>
      <c r="AB1276" s="127" t="str">
        <f>IF(OR(MasterFees[[#This Row],[Fee Basis]]="Add-on",MasterFees[[#This Row],[Fee Basis]]="Time band",MasterFees[[#This Row],[Fee Basis]]="Other"),MasterFees[[#This Row],[Fee Basis]],"Base")</f>
        <v>Base</v>
      </c>
      <c r="AC1276" s="141" t="str">
        <f>IF(MasterFees[[#This Row],[Fixed Fee?]]="Yes",MasterFees[[#This Row],[Fee Excl. GST]],"")</f>
        <v/>
      </c>
    </row>
    <row r="1277" spans="1:29" x14ac:dyDescent="0.2">
      <c r="A1277" s="67" t="s">
        <v>2183</v>
      </c>
      <c r="B1277" s="31" t="str">
        <f>IF(MasterFees[[#This Row],[RVG Code]]="","",_xlfn.XLOOKUP(MasterFees[[#This Row],[RVG Code]],RVGCodes[Code],RVGCodes[Base Units],"Code not found"))</f>
        <v/>
      </c>
      <c r="C127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7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77" s="125"/>
      <c r="F1277" s="48" t="s">
        <v>2565</v>
      </c>
      <c r="G1277" s="30" t="s">
        <v>697</v>
      </c>
      <c r="H1277" s="37" t="s">
        <v>1095</v>
      </c>
      <c r="I1277" s="37"/>
      <c r="J1277" s="37" t="s">
        <v>1096</v>
      </c>
      <c r="K1277" s="32">
        <v>1.3</v>
      </c>
      <c r="L1277" s="32">
        <v>1.6</v>
      </c>
      <c r="M1277" s="32">
        <v>0.3</v>
      </c>
      <c r="N1277" s="32">
        <v>3.1</v>
      </c>
      <c r="O1277" s="33">
        <v>172.15</v>
      </c>
      <c r="P1277" s="38" t="s">
        <v>1014</v>
      </c>
      <c r="Q1277" s="34" t="str">
        <f>IF(MasterFees[[#This Row],[GST Basis]]="Excl",MasterFees[[#This Row],[Fee as Printed]],IF(MasterFees[[#This Row],[GST Basis]]="Incl",MasterFees[[#This Row],[Fee as Printed]]/(1+GST_Rate),""))</f>
        <v/>
      </c>
      <c r="R1277" s="34" t="str">
        <f>IF(MasterFees[[#This Row],[GST Basis]]="Incl",MasterFees[[#This Row],[Fee as Printed]],IF(MasterFees[[#This Row],[GST Basis]]="Excl",MasterFees[[#This Row],[Fee as Printed]]*(1+GST_Rate),""))</f>
        <v/>
      </c>
      <c r="S1277" s="35">
        <f>IF(N(MasterFees[[#This Row],[Total Units]])=0,"",MasterFees[[#This Row],[Fee as Printed]]/MasterFees[[#This Row],[Total Units]])</f>
        <v>55.532258064516128</v>
      </c>
      <c r="T1277" s="36"/>
      <c r="U1277" s="39" t="s">
        <v>1012</v>
      </c>
      <c r="V1277" s="39" t="s">
        <v>1794</v>
      </c>
      <c r="W1277" s="30"/>
      <c r="X1277" s="73" t="s">
        <v>3597</v>
      </c>
      <c r="Y1277" s="127" t="str">
        <f>_xlfn.XLOOKUP(MasterFees[[#This Row],[Provider / Payer]],Contracts[Contract Name],Contracts[Contract ID],"No contract")</f>
        <v>CON-01</v>
      </c>
      <c r="Z1277" s="127" t="str">
        <f>_xlfn.XLOOKUP(MasterFees[[#This Row],[Provider / Payer]],Contracts[Contract Name],Contracts[Pricing Basis],"To confirm")</f>
        <v>To confirm</v>
      </c>
      <c r="AA1277" s="127" t="str">
        <f>IF(MasterFees[[#This Row],[Pricing Basis]]="Fixed fee schedule","Yes","No")</f>
        <v>No</v>
      </c>
      <c r="AB1277" s="127" t="str">
        <f>IF(OR(MasterFees[[#This Row],[Fee Basis]]="Add-on",MasterFees[[#This Row],[Fee Basis]]="Time band",MasterFees[[#This Row],[Fee Basis]]="Other"),MasterFees[[#This Row],[Fee Basis]],"Base")</f>
        <v>Base</v>
      </c>
      <c r="AC1277" s="141" t="str">
        <f>IF(MasterFees[[#This Row],[Fixed Fee?]]="Yes",MasterFees[[#This Row],[Fee Excl. GST]],"")</f>
        <v/>
      </c>
    </row>
    <row r="1278" spans="1:29" x14ac:dyDescent="0.2">
      <c r="A1278" s="67" t="s">
        <v>2183</v>
      </c>
      <c r="B1278" s="31" t="str">
        <f>IF(MasterFees[[#This Row],[RVG Code]]="","",_xlfn.XLOOKUP(MasterFees[[#This Row],[RVG Code]],RVGCodes[Code],RVGCodes[Base Units],"Code not found"))</f>
        <v/>
      </c>
      <c r="C127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7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78" s="125"/>
      <c r="F1278" s="48" t="s">
        <v>2565</v>
      </c>
      <c r="G1278" s="30" t="s">
        <v>700</v>
      </c>
      <c r="H1278" s="37" t="s">
        <v>1095</v>
      </c>
      <c r="I1278" s="37"/>
      <c r="J1278" s="37" t="s">
        <v>1096</v>
      </c>
      <c r="K1278" s="32">
        <v>0</v>
      </c>
      <c r="L1278" s="32">
        <v>0</v>
      </c>
      <c r="M1278" s="32">
        <v>0</v>
      </c>
      <c r="N1278" s="32">
        <v>0</v>
      </c>
      <c r="O1278" s="33">
        <v>0</v>
      </c>
      <c r="P1278" s="38" t="s">
        <v>1014</v>
      </c>
      <c r="Q1278" s="34" t="str">
        <f>IF(MasterFees[[#This Row],[GST Basis]]="Excl",MasterFees[[#This Row],[Fee as Printed]],IF(MasterFees[[#This Row],[GST Basis]]="Incl",MasterFees[[#This Row],[Fee as Printed]]/(1+GST_Rate),""))</f>
        <v/>
      </c>
      <c r="R1278" s="34" t="str">
        <f>IF(MasterFees[[#This Row],[GST Basis]]="Incl",MasterFees[[#This Row],[Fee as Printed]],IF(MasterFees[[#This Row],[GST Basis]]="Excl",MasterFees[[#This Row],[Fee as Printed]]*(1+GST_Rate),""))</f>
        <v/>
      </c>
      <c r="S1278" s="35" t="str">
        <f>IF(N(MasterFees[[#This Row],[Total Units]])=0,"",MasterFees[[#This Row],[Fee as Printed]]/MasterFees[[#This Row],[Total Units]])</f>
        <v/>
      </c>
      <c r="T1278" s="36"/>
      <c r="U1278" s="39" t="s">
        <v>1012</v>
      </c>
      <c r="V1278" s="39" t="s">
        <v>1797</v>
      </c>
      <c r="W1278" s="30"/>
      <c r="X1278" s="73" t="s">
        <v>3600</v>
      </c>
      <c r="Y1278" s="127" t="str">
        <f>_xlfn.XLOOKUP(MasterFees[[#This Row],[Provider / Payer]],Contracts[Contract Name],Contracts[Contract ID],"No contract")</f>
        <v>CON-01</v>
      </c>
      <c r="Z1278" s="127" t="str">
        <f>_xlfn.XLOOKUP(MasterFees[[#This Row],[Provider / Payer]],Contracts[Contract Name],Contracts[Pricing Basis],"To confirm")</f>
        <v>To confirm</v>
      </c>
      <c r="AA1278" s="127" t="str">
        <f>IF(MasterFees[[#This Row],[Pricing Basis]]="Fixed fee schedule","Yes","No")</f>
        <v>No</v>
      </c>
      <c r="AB1278" s="127" t="str">
        <f>IF(OR(MasterFees[[#This Row],[Fee Basis]]="Add-on",MasterFees[[#This Row],[Fee Basis]]="Time band",MasterFees[[#This Row],[Fee Basis]]="Other"),MasterFees[[#This Row],[Fee Basis]],"Base")</f>
        <v>Base</v>
      </c>
      <c r="AC1278" s="141" t="str">
        <f>IF(MasterFees[[#This Row],[Fixed Fee?]]="Yes",MasterFees[[#This Row],[Fee Excl. GST]],"")</f>
        <v/>
      </c>
    </row>
    <row r="1279" spans="1:29" x14ac:dyDescent="0.2">
      <c r="A1279" s="67" t="s">
        <v>2183</v>
      </c>
      <c r="B1279" s="31" t="str">
        <f>IF(MasterFees[[#This Row],[RVG Code]]="","",_xlfn.XLOOKUP(MasterFees[[#This Row],[RVG Code]],RVGCodes[Code],RVGCodes[Base Units],"Code not found"))</f>
        <v/>
      </c>
      <c r="C127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7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79" s="125"/>
      <c r="F1279" s="48" t="s">
        <v>2565</v>
      </c>
      <c r="G1279" s="30" t="s">
        <v>701</v>
      </c>
      <c r="H1279" s="37" t="s">
        <v>1095</v>
      </c>
      <c r="I1279" s="37"/>
      <c r="J1279" s="37" t="s">
        <v>1096</v>
      </c>
      <c r="K1279" s="32">
        <v>0</v>
      </c>
      <c r="L1279" s="32">
        <v>0</v>
      </c>
      <c r="M1279" s="32">
        <v>0</v>
      </c>
      <c r="N1279" s="32">
        <v>0</v>
      </c>
      <c r="O1279" s="33">
        <v>0</v>
      </c>
      <c r="P1279" s="38" t="s">
        <v>1014</v>
      </c>
      <c r="Q1279" s="34" t="str">
        <f>IF(MasterFees[[#This Row],[GST Basis]]="Excl",MasterFees[[#This Row],[Fee as Printed]],IF(MasterFees[[#This Row],[GST Basis]]="Incl",MasterFees[[#This Row],[Fee as Printed]]/(1+GST_Rate),""))</f>
        <v/>
      </c>
      <c r="R1279" s="34" t="str">
        <f>IF(MasterFees[[#This Row],[GST Basis]]="Incl",MasterFees[[#This Row],[Fee as Printed]],IF(MasterFees[[#This Row],[GST Basis]]="Excl",MasterFees[[#This Row],[Fee as Printed]]*(1+GST_Rate),""))</f>
        <v/>
      </c>
      <c r="S1279" s="35" t="str">
        <f>IF(N(MasterFees[[#This Row],[Total Units]])=0,"",MasterFees[[#This Row],[Fee as Printed]]/MasterFees[[#This Row],[Total Units]])</f>
        <v/>
      </c>
      <c r="T1279" s="36"/>
      <c r="U1279" s="39" t="s">
        <v>1012</v>
      </c>
      <c r="V1279" s="39" t="s">
        <v>1798</v>
      </c>
      <c r="W1279" s="30"/>
      <c r="X1279" s="73" t="s">
        <v>3601</v>
      </c>
      <c r="Y1279" s="127" t="str">
        <f>_xlfn.XLOOKUP(MasterFees[[#This Row],[Provider / Payer]],Contracts[Contract Name],Contracts[Contract ID],"No contract")</f>
        <v>CON-01</v>
      </c>
      <c r="Z1279" s="127" t="str">
        <f>_xlfn.XLOOKUP(MasterFees[[#This Row],[Provider / Payer]],Contracts[Contract Name],Contracts[Pricing Basis],"To confirm")</f>
        <v>To confirm</v>
      </c>
      <c r="AA1279" s="127" t="str">
        <f>IF(MasterFees[[#This Row],[Pricing Basis]]="Fixed fee schedule","Yes","No")</f>
        <v>No</v>
      </c>
      <c r="AB1279" s="127" t="str">
        <f>IF(OR(MasterFees[[#This Row],[Fee Basis]]="Add-on",MasterFees[[#This Row],[Fee Basis]]="Time band",MasterFees[[#This Row],[Fee Basis]]="Other"),MasterFees[[#This Row],[Fee Basis]],"Base")</f>
        <v>Base</v>
      </c>
      <c r="AC1279" s="141" t="str">
        <f>IF(MasterFees[[#This Row],[Fixed Fee?]]="Yes",MasterFees[[#This Row],[Fee Excl. GST]],"")</f>
        <v/>
      </c>
    </row>
    <row r="1280" spans="1:29" x14ac:dyDescent="0.2">
      <c r="A1280" s="67" t="s">
        <v>2183</v>
      </c>
      <c r="B1280" s="31" t="str">
        <f>IF(MasterFees[[#This Row],[RVG Code]]="","",_xlfn.XLOOKUP(MasterFees[[#This Row],[RVG Code]],RVGCodes[Code],RVGCodes[Base Units],"Code not found"))</f>
        <v/>
      </c>
      <c r="C128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8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80" s="125"/>
      <c r="F1280" s="48" t="s">
        <v>2565</v>
      </c>
      <c r="G1280" s="30" t="s">
        <v>704</v>
      </c>
      <c r="H1280" s="37" t="s">
        <v>1095</v>
      </c>
      <c r="I1280" s="37"/>
      <c r="J1280" s="37" t="s">
        <v>1096</v>
      </c>
      <c r="K1280" s="32">
        <v>0</v>
      </c>
      <c r="L1280" s="32">
        <v>0</v>
      </c>
      <c r="M1280" s="32">
        <v>0</v>
      </c>
      <c r="N1280" s="32">
        <v>0</v>
      </c>
      <c r="O1280" s="33">
        <v>0</v>
      </c>
      <c r="P1280" s="38" t="s">
        <v>1014</v>
      </c>
      <c r="Q1280" s="34" t="str">
        <f>IF(MasterFees[[#This Row],[GST Basis]]="Excl",MasterFees[[#This Row],[Fee as Printed]],IF(MasterFees[[#This Row],[GST Basis]]="Incl",MasterFees[[#This Row],[Fee as Printed]]/(1+GST_Rate),""))</f>
        <v/>
      </c>
      <c r="R1280" s="34" t="str">
        <f>IF(MasterFees[[#This Row],[GST Basis]]="Incl",MasterFees[[#This Row],[Fee as Printed]],IF(MasterFees[[#This Row],[GST Basis]]="Excl",MasterFees[[#This Row],[Fee as Printed]]*(1+GST_Rate),""))</f>
        <v/>
      </c>
      <c r="S1280" s="35" t="str">
        <f>IF(N(MasterFees[[#This Row],[Total Units]])=0,"",MasterFees[[#This Row],[Fee as Printed]]/MasterFees[[#This Row],[Total Units]])</f>
        <v/>
      </c>
      <c r="T1280" s="36"/>
      <c r="U1280" s="39" t="s">
        <v>1012</v>
      </c>
      <c r="V1280" s="39" t="s">
        <v>1801</v>
      </c>
      <c r="W1280" s="30"/>
      <c r="X1280" s="73" t="s">
        <v>3604</v>
      </c>
      <c r="Y1280" s="127" t="str">
        <f>_xlfn.XLOOKUP(MasterFees[[#This Row],[Provider / Payer]],Contracts[Contract Name],Contracts[Contract ID],"No contract")</f>
        <v>CON-01</v>
      </c>
      <c r="Z1280" s="127" t="str">
        <f>_xlfn.XLOOKUP(MasterFees[[#This Row],[Provider / Payer]],Contracts[Contract Name],Contracts[Pricing Basis],"To confirm")</f>
        <v>To confirm</v>
      </c>
      <c r="AA1280" s="127" t="str">
        <f>IF(MasterFees[[#This Row],[Pricing Basis]]="Fixed fee schedule","Yes","No")</f>
        <v>No</v>
      </c>
      <c r="AB1280" s="127" t="str">
        <f>IF(OR(MasterFees[[#This Row],[Fee Basis]]="Add-on",MasterFees[[#This Row],[Fee Basis]]="Time band",MasterFees[[#This Row],[Fee Basis]]="Other"),MasterFees[[#This Row],[Fee Basis]],"Base")</f>
        <v>Base</v>
      </c>
      <c r="AC1280" s="141" t="str">
        <f>IF(MasterFees[[#This Row],[Fixed Fee?]]="Yes",MasterFees[[#This Row],[Fee Excl. GST]],"")</f>
        <v/>
      </c>
    </row>
    <row r="1281" spans="1:29" x14ac:dyDescent="0.2">
      <c r="A1281" s="67" t="s">
        <v>2183</v>
      </c>
      <c r="B1281" s="31" t="str">
        <f>IF(MasterFees[[#This Row],[RVG Code]]="","",_xlfn.XLOOKUP(MasterFees[[#This Row],[RVG Code]],RVGCodes[Code],RVGCodes[Base Units],"Code not found"))</f>
        <v/>
      </c>
      <c r="C128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8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81" s="125"/>
      <c r="F1281" s="48" t="s">
        <v>2565</v>
      </c>
      <c r="G1281" s="30" t="s">
        <v>707</v>
      </c>
      <c r="H1281" s="37" t="s">
        <v>1095</v>
      </c>
      <c r="I1281" s="79"/>
      <c r="J1281" s="37" t="s">
        <v>1096</v>
      </c>
      <c r="K1281" s="32">
        <v>4</v>
      </c>
      <c r="L1281" s="32">
        <v>3</v>
      </c>
      <c r="M1281" s="32">
        <v>2</v>
      </c>
      <c r="N1281" s="32">
        <v>9</v>
      </c>
      <c r="O1281" s="33">
        <v>495</v>
      </c>
      <c r="P1281" s="38" t="s">
        <v>1014</v>
      </c>
      <c r="Q1281" s="34" t="str">
        <f>IF(MasterFees[[#This Row],[GST Basis]]="Excl",MasterFees[[#This Row],[Fee as Printed]],IF(MasterFees[[#This Row],[GST Basis]]="Incl",MasterFees[[#This Row],[Fee as Printed]]/(1+GST_Rate),""))</f>
        <v/>
      </c>
      <c r="R1281" s="34" t="str">
        <f>IF(MasterFees[[#This Row],[GST Basis]]="Incl",MasterFees[[#This Row],[Fee as Printed]],IF(MasterFees[[#This Row],[GST Basis]]="Excl",MasterFees[[#This Row],[Fee as Printed]]*(1+GST_Rate),""))</f>
        <v/>
      </c>
      <c r="S1281" s="35">
        <f>IF(N(MasterFees[[#This Row],[Total Units]])=0,"",MasterFees[[#This Row],[Fee as Printed]]/MasterFees[[#This Row],[Total Units]])</f>
        <v>55</v>
      </c>
      <c r="T1281" s="36"/>
      <c r="U1281" s="39" t="s">
        <v>1012</v>
      </c>
      <c r="V1281" s="39" t="s">
        <v>1804</v>
      </c>
      <c r="W1281" s="30"/>
      <c r="X1281" s="73" t="s">
        <v>3607</v>
      </c>
      <c r="Y1281" s="127" t="str">
        <f>_xlfn.XLOOKUP(MasterFees[[#This Row],[Provider / Payer]],Contracts[Contract Name],Contracts[Contract ID],"No contract")</f>
        <v>CON-01</v>
      </c>
      <c r="Z1281" s="127" t="str">
        <f>_xlfn.XLOOKUP(MasterFees[[#This Row],[Provider / Payer]],Contracts[Contract Name],Contracts[Pricing Basis],"To confirm")</f>
        <v>To confirm</v>
      </c>
      <c r="AA1281" s="127" t="str">
        <f>IF(MasterFees[[#This Row],[Pricing Basis]]="Fixed fee schedule","Yes","No")</f>
        <v>No</v>
      </c>
      <c r="AB1281" s="127" t="str">
        <f>IF(OR(MasterFees[[#This Row],[Fee Basis]]="Add-on",MasterFees[[#This Row],[Fee Basis]]="Time band",MasterFees[[#This Row],[Fee Basis]]="Other"),MasterFees[[#This Row],[Fee Basis]],"Base")</f>
        <v>Base</v>
      </c>
      <c r="AC1281" s="141" t="str">
        <f>IF(MasterFees[[#This Row],[Fixed Fee?]]="Yes",MasterFees[[#This Row],[Fee Excl. GST]],"")</f>
        <v/>
      </c>
    </row>
    <row r="1282" spans="1:29" x14ac:dyDescent="0.2">
      <c r="A1282" s="67" t="s">
        <v>2183</v>
      </c>
      <c r="B1282" s="31" t="str">
        <f>IF(MasterFees[[#This Row],[RVG Code]]="","",_xlfn.XLOOKUP(MasterFees[[#This Row],[RVG Code]],RVGCodes[Code],RVGCodes[Base Units],"Code not found"))</f>
        <v/>
      </c>
      <c r="C128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8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82" s="125"/>
      <c r="F1282" s="48" t="s">
        <v>2565</v>
      </c>
      <c r="G1282" s="30" t="s">
        <v>722</v>
      </c>
      <c r="H1282" s="37" t="s">
        <v>1095</v>
      </c>
      <c r="I1282" s="37"/>
      <c r="J1282" s="37" t="s">
        <v>1096</v>
      </c>
      <c r="K1282" s="32">
        <v>0.4</v>
      </c>
      <c r="L1282" s="32">
        <v>2.1</v>
      </c>
      <c r="M1282" s="32">
        <v>0.3</v>
      </c>
      <c r="N1282" s="32">
        <v>2.8</v>
      </c>
      <c r="O1282" s="33">
        <v>156.19999999999999</v>
      </c>
      <c r="P1282" s="38" t="s">
        <v>1014</v>
      </c>
      <c r="Q1282" s="34" t="str">
        <f>IF(MasterFees[[#This Row],[GST Basis]]="Excl",MasterFees[[#This Row],[Fee as Printed]],IF(MasterFees[[#This Row],[GST Basis]]="Incl",MasterFees[[#This Row],[Fee as Printed]]/(1+GST_Rate),""))</f>
        <v/>
      </c>
      <c r="R1282" s="34" t="str">
        <f>IF(MasterFees[[#This Row],[GST Basis]]="Incl",MasterFees[[#This Row],[Fee as Printed]],IF(MasterFees[[#This Row],[GST Basis]]="Excl",MasterFees[[#This Row],[Fee as Printed]]*(1+GST_Rate),""))</f>
        <v/>
      </c>
      <c r="S1282" s="35">
        <f>IF(N(MasterFees[[#This Row],[Total Units]])=0,"",MasterFees[[#This Row],[Fee as Printed]]/MasterFees[[#This Row],[Total Units]])</f>
        <v>55.785714285714285</v>
      </c>
      <c r="T1282" s="36"/>
      <c r="U1282" s="39" t="s">
        <v>1012</v>
      </c>
      <c r="V1282" s="39" t="s">
        <v>1819</v>
      </c>
      <c r="W1282" s="30"/>
      <c r="X1282" s="73" t="s">
        <v>3622</v>
      </c>
      <c r="Y1282" s="127" t="str">
        <f>_xlfn.XLOOKUP(MasterFees[[#This Row],[Provider / Payer]],Contracts[Contract Name],Contracts[Contract ID],"No contract")</f>
        <v>CON-01</v>
      </c>
      <c r="Z1282" s="127" t="str">
        <f>_xlfn.XLOOKUP(MasterFees[[#This Row],[Provider / Payer]],Contracts[Contract Name],Contracts[Pricing Basis],"To confirm")</f>
        <v>To confirm</v>
      </c>
      <c r="AA1282" s="127" t="str">
        <f>IF(MasterFees[[#This Row],[Pricing Basis]]="Fixed fee schedule","Yes","No")</f>
        <v>No</v>
      </c>
      <c r="AB1282" s="127" t="str">
        <f>IF(OR(MasterFees[[#This Row],[Fee Basis]]="Add-on",MasterFees[[#This Row],[Fee Basis]]="Time band",MasterFees[[#This Row],[Fee Basis]]="Other"),MasterFees[[#This Row],[Fee Basis]],"Base")</f>
        <v>Base</v>
      </c>
      <c r="AC1282" s="141" t="str">
        <f>IF(MasterFees[[#This Row],[Fixed Fee?]]="Yes",MasterFees[[#This Row],[Fee Excl. GST]],"")</f>
        <v/>
      </c>
    </row>
    <row r="1283" spans="1:29" x14ac:dyDescent="0.2">
      <c r="A1283" s="67" t="s">
        <v>2183</v>
      </c>
      <c r="B1283" s="31" t="str">
        <f>IF(MasterFees[[#This Row],[RVG Code]]="","",_xlfn.XLOOKUP(MasterFees[[#This Row],[RVG Code]],RVGCodes[Code],RVGCodes[Base Units],"Code not found"))</f>
        <v/>
      </c>
      <c r="C128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8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83" s="125"/>
      <c r="F1283" s="48" t="s">
        <v>2565</v>
      </c>
      <c r="G1283" s="30" t="s">
        <v>740</v>
      </c>
      <c r="H1283" s="37" t="s">
        <v>1095</v>
      </c>
      <c r="I1283" s="37"/>
      <c r="J1283" s="37" t="s">
        <v>1096</v>
      </c>
      <c r="K1283" s="32">
        <v>0</v>
      </c>
      <c r="L1283" s="32">
        <v>0</v>
      </c>
      <c r="M1283" s="32">
        <v>0</v>
      </c>
      <c r="N1283" s="32">
        <v>0</v>
      </c>
      <c r="O1283" s="33">
        <v>0</v>
      </c>
      <c r="P1283" s="38" t="s">
        <v>1014</v>
      </c>
      <c r="Q1283" s="34" t="str">
        <f>IF(MasterFees[[#This Row],[GST Basis]]="Excl",MasterFees[[#This Row],[Fee as Printed]],IF(MasterFees[[#This Row],[GST Basis]]="Incl",MasterFees[[#This Row],[Fee as Printed]]/(1+GST_Rate),""))</f>
        <v/>
      </c>
      <c r="R1283" s="34" t="str">
        <f>IF(MasterFees[[#This Row],[GST Basis]]="Incl",MasterFees[[#This Row],[Fee as Printed]],IF(MasterFees[[#This Row],[GST Basis]]="Excl",MasterFees[[#This Row],[Fee as Printed]]*(1+GST_Rate),""))</f>
        <v/>
      </c>
      <c r="S1283" s="35" t="str">
        <f>IF(N(MasterFees[[#This Row],[Total Units]])=0,"",MasterFees[[#This Row],[Fee as Printed]]/MasterFees[[#This Row],[Total Units]])</f>
        <v/>
      </c>
      <c r="T1283" s="36"/>
      <c r="U1283" s="39" t="s">
        <v>1012</v>
      </c>
      <c r="V1283" s="39" t="s">
        <v>1837</v>
      </c>
      <c r="W1283" s="30"/>
      <c r="X1283" s="73" t="s">
        <v>3640</v>
      </c>
      <c r="Y1283" s="127" t="str">
        <f>_xlfn.XLOOKUP(MasterFees[[#This Row],[Provider / Payer]],Contracts[Contract Name],Contracts[Contract ID],"No contract")</f>
        <v>CON-01</v>
      </c>
      <c r="Z1283" s="127" t="str">
        <f>_xlfn.XLOOKUP(MasterFees[[#This Row],[Provider / Payer]],Contracts[Contract Name],Contracts[Pricing Basis],"To confirm")</f>
        <v>To confirm</v>
      </c>
      <c r="AA1283" s="127" t="str">
        <f>IF(MasterFees[[#This Row],[Pricing Basis]]="Fixed fee schedule","Yes","No")</f>
        <v>No</v>
      </c>
      <c r="AB1283" s="127" t="str">
        <f>IF(OR(MasterFees[[#This Row],[Fee Basis]]="Add-on",MasterFees[[#This Row],[Fee Basis]]="Time band",MasterFees[[#This Row],[Fee Basis]]="Other"),MasterFees[[#This Row],[Fee Basis]],"Base")</f>
        <v>Base</v>
      </c>
      <c r="AC1283" s="141" t="str">
        <f>IF(MasterFees[[#This Row],[Fixed Fee?]]="Yes",MasterFees[[#This Row],[Fee Excl. GST]],"")</f>
        <v/>
      </c>
    </row>
    <row r="1284" spans="1:29" x14ac:dyDescent="0.2">
      <c r="A1284" s="67" t="s">
        <v>2183</v>
      </c>
      <c r="B1284" s="31" t="str">
        <f>IF(MasterFees[[#This Row],[RVG Code]]="","",_xlfn.XLOOKUP(MasterFees[[#This Row],[RVG Code]],RVGCodes[Code],RVGCodes[Base Units],"Code not found"))</f>
        <v/>
      </c>
      <c r="C128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8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84" s="125"/>
      <c r="F1284" s="48" t="s">
        <v>2565</v>
      </c>
      <c r="G1284" s="30" t="s">
        <v>741</v>
      </c>
      <c r="H1284" s="37" t="s">
        <v>1095</v>
      </c>
      <c r="I1284" s="37"/>
      <c r="J1284" s="37" t="s">
        <v>1096</v>
      </c>
      <c r="K1284" s="32">
        <v>0</v>
      </c>
      <c r="L1284" s="32">
        <v>6</v>
      </c>
      <c r="M1284" s="32">
        <v>0</v>
      </c>
      <c r="N1284" s="32">
        <v>6</v>
      </c>
      <c r="O1284" s="33">
        <v>330</v>
      </c>
      <c r="P1284" s="38" t="s">
        <v>1014</v>
      </c>
      <c r="Q1284" s="34" t="str">
        <f>IF(MasterFees[[#This Row],[GST Basis]]="Excl",MasterFees[[#This Row],[Fee as Printed]],IF(MasterFees[[#This Row],[GST Basis]]="Incl",MasterFees[[#This Row],[Fee as Printed]]/(1+GST_Rate),""))</f>
        <v/>
      </c>
      <c r="R1284" s="34" t="str">
        <f>IF(MasterFees[[#This Row],[GST Basis]]="Incl",MasterFees[[#This Row],[Fee as Printed]],IF(MasterFees[[#This Row],[GST Basis]]="Excl",MasterFees[[#This Row],[Fee as Printed]]*(1+GST_Rate),""))</f>
        <v/>
      </c>
      <c r="S1284" s="35">
        <f>IF(N(MasterFees[[#This Row],[Total Units]])=0,"",MasterFees[[#This Row],[Fee as Printed]]/MasterFees[[#This Row],[Total Units]])</f>
        <v>55</v>
      </c>
      <c r="T1284" s="36"/>
      <c r="U1284" s="39" t="s">
        <v>1012</v>
      </c>
      <c r="V1284" s="39" t="s">
        <v>1838</v>
      </c>
      <c r="W1284" s="30"/>
      <c r="X1284" s="73" t="s">
        <v>3641</v>
      </c>
      <c r="Y1284" s="127" t="str">
        <f>_xlfn.XLOOKUP(MasterFees[[#This Row],[Provider / Payer]],Contracts[Contract Name],Contracts[Contract ID],"No contract")</f>
        <v>CON-01</v>
      </c>
      <c r="Z1284" s="127" t="str">
        <f>_xlfn.XLOOKUP(MasterFees[[#This Row],[Provider / Payer]],Contracts[Contract Name],Contracts[Pricing Basis],"To confirm")</f>
        <v>To confirm</v>
      </c>
      <c r="AA1284" s="127" t="str">
        <f>IF(MasterFees[[#This Row],[Pricing Basis]]="Fixed fee schedule","Yes","No")</f>
        <v>No</v>
      </c>
      <c r="AB1284" s="127" t="str">
        <f>IF(OR(MasterFees[[#This Row],[Fee Basis]]="Add-on",MasterFees[[#This Row],[Fee Basis]]="Time band",MasterFees[[#This Row],[Fee Basis]]="Other"),MasterFees[[#This Row],[Fee Basis]],"Base")</f>
        <v>Base</v>
      </c>
      <c r="AC1284" s="141" t="str">
        <f>IF(MasterFees[[#This Row],[Fixed Fee?]]="Yes",MasterFees[[#This Row],[Fee Excl. GST]],"")</f>
        <v/>
      </c>
    </row>
    <row r="1285" spans="1:29" x14ac:dyDescent="0.2">
      <c r="A1285" s="67" t="s">
        <v>2183</v>
      </c>
      <c r="B1285" s="31" t="str">
        <f>IF(MasterFees[[#This Row],[RVG Code]]="","",_xlfn.XLOOKUP(MasterFees[[#This Row],[RVG Code]],RVGCodes[Code],RVGCodes[Base Units],"Code not found"))</f>
        <v/>
      </c>
      <c r="C128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8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85" s="125"/>
      <c r="F1285" s="48" t="s">
        <v>2565</v>
      </c>
      <c r="G1285" s="30" t="s">
        <v>743</v>
      </c>
      <c r="H1285" s="37" t="s">
        <v>1095</v>
      </c>
      <c r="I1285" s="37"/>
      <c r="J1285" s="37" t="s">
        <v>1096</v>
      </c>
      <c r="K1285" s="32">
        <v>5</v>
      </c>
      <c r="L1285" s="32">
        <v>8</v>
      </c>
      <c r="M1285" s="32">
        <v>1.8</v>
      </c>
      <c r="N1285" s="32">
        <v>14.8</v>
      </c>
      <c r="O1285" s="33">
        <v>811.25</v>
      </c>
      <c r="P1285" s="38" t="s">
        <v>1014</v>
      </c>
      <c r="Q1285" s="34" t="str">
        <f>IF(MasterFees[[#This Row],[GST Basis]]="Excl",MasterFees[[#This Row],[Fee as Printed]],IF(MasterFees[[#This Row],[GST Basis]]="Incl",MasterFees[[#This Row],[Fee as Printed]]/(1+GST_Rate),""))</f>
        <v/>
      </c>
      <c r="R1285" s="34" t="str">
        <f>IF(MasterFees[[#This Row],[GST Basis]]="Incl",MasterFees[[#This Row],[Fee as Printed]],IF(MasterFees[[#This Row],[GST Basis]]="Excl",MasterFees[[#This Row],[Fee as Printed]]*(1+GST_Rate),""))</f>
        <v/>
      </c>
      <c r="S1285" s="35">
        <f>IF(N(MasterFees[[#This Row],[Total Units]])=0,"",MasterFees[[#This Row],[Fee as Printed]]/MasterFees[[#This Row],[Total Units]])</f>
        <v>54.814189189189186</v>
      </c>
      <c r="T1285" s="36"/>
      <c r="U1285" s="39" t="s">
        <v>1012</v>
      </c>
      <c r="V1285" s="39" t="s">
        <v>1840</v>
      </c>
      <c r="W1285" s="30"/>
      <c r="X1285" s="73" t="s">
        <v>3643</v>
      </c>
      <c r="Y1285" s="127" t="str">
        <f>_xlfn.XLOOKUP(MasterFees[[#This Row],[Provider / Payer]],Contracts[Contract Name],Contracts[Contract ID],"No contract")</f>
        <v>CON-01</v>
      </c>
      <c r="Z1285" s="127" t="str">
        <f>_xlfn.XLOOKUP(MasterFees[[#This Row],[Provider / Payer]],Contracts[Contract Name],Contracts[Pricing Basis],"To confirm")</f>
        <v>To confirm</v>
      </c>
      <c r="AA1285" s="127" t="str">
        <f>IF(MasterFees[[#This Row],[Pricing Basis]]="Fixed fee schedule","Yes","No")</f>
        <v>No</v>
      </c>
      <c r="AB1285" s="127" t="str">
        <f>IF(OR(MasterFees[[#This Row],[Fee Basis]]="Add-on",MasterFees[[#This Row],[Fee Basis]]="Time band",MasterFees[[#This Row],[Fee Basis]]="Other"),MasterFees[[#This Row],[Fee Basis]],"Base")</f>
        <v>Base</v>
      </c>
      <c r="AC1285" s="141" t="str">
        <f>IF(MasterFees[[#This Row],[Fixed Fee?]]="Yes",MasterFees[[#This Row],[Fee Excl. GST]],"")</f>
        <v/>
      </c>
    </row>
    <row r="1286" spans="1:29" x14ac:dyDescent="0.2">
      <c r="A1286" s="67" t="s">
        <v>2183</v>
      </c>
      <c r="B1286" s="31" t="str">
        <f>IF(MasterFees[[#This Row],[RVG Code]]="","",_xlfn.XLOOKUP(MasterFees[[#This Row],[RVG Code]],RVGCodes[Code],RVGCodes[Base Units],"Code not found"))</f>
        <v/>
      </c>
      <c r="C128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8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86" s="125"/>
      <c r="F1286" s="48" t="s">
        <v>2565</v>
      </c>
      <c r="G1286" s="30" t="s">
        <v>744</v>
      </c>
      <c r="H1286" s="37" t="s">
        <v>1095</v>
      </c>
      <c r="I1286" s="37"/>
      <c r="J1286" s="37" t="s">
        <v>1096</v>
      </c>
      <c r="K1286" s="32">
        <v>5</v>
      </c>
      <c r="L1286" s="32">
        <v>4</v>
      </c>
      <c r="M1286" s="32">
        <v>0</v>
      </c>
      <c r="N1286" s="32">
        <v>9</v>
      </c>
      <c r="O1286" s="33">
        <v>495</v>
      </c>
      <c r="P1286" s="38" t="s">
        <v>1014</v>
      </c>
      <c r="Q1286" s="34" t="str">
        <f>IF(MasterFees[[#This Row],[GST Basis]]="Excl",MasterFees[[#This Row],[Fee as Printed]],IF(MasterFees[[#This Row],[GST Basis]]="Incl",MasterFees[[#This Row],[Fee as Printed]]/(1+GST_Rate),""))</f>
        <v/>
      </c>
      <c r="R1286" s="34" t="str">
        <f>IF(MasterFees[[#This Row],[GST Basis]]="Incl",MasterFees[[#This Row],[Fee as Printed]],IF(MasterFees[[#This Row],[GST Basis]]="Excl",MasterFees[[#This Row],[Fee as Printed]]*(1+GST_Rate),""))</f>
        <v/>
      </c>
      <c r="S1286" s="35">
        <f>IF(N(MasterFees[[#This Row],[Total Units]])=0,"",MasterFees[[#This Row],[Fee as Printed]]/MasterFees[[#This Row],[Total Units]])</f>
        <v>55</v>
      </c>
      <c r="T1286" s="36"/>
      <c r="U1286" s="39" t="s">
        <v>1012</v>
      </c>
      <c r="V1286" s="39" t="s">
        <v>1841</v>
      </c>
      <c r="W1286" s="30"/>
      <c r="X1286" s="73" t="s">
        <v>3644</v>
      </c>
      <c r="Y1286" s="127" t="str">
        <f>_xlfn.XLOOKUP(MasterFees[[#This Row],[Provider / Payer]],Contracts[Contract Name],Contracts[Contract ID],"No contract")</f>
        <v>CON-01</v>
      </c>
      <c r="Z1286" s="127" t="str">
        <f>_xlfn.XLOOKUP(MasterFees[[#This Row],[Provider / Payer]],Contracts[Contract Name],Contracts[Pricing Basis],"To confirm")</f>
        <v>To confirm</v>
      </c>
      <c r="AA1286" s="127" t="str">
        <f>IF(MasterFees[[#This Row],[Pricing Basis]]="Fixed fee schedule","Yes","No")</f>
        <v>No</v>
      </c>
      <c r="AB1286" s="127" t="str">
        <f>IF(OR(MasterFees[[#This Row],[Fee Basis]]="Add-on",MasterFees[[#This Row],[Fee Basis]]="Time band",MasterFees[[#This Row],[Fee Basis]]="Other"),MasterFees[[#This Row],[Fee Basis]],"Base")</f>
        <v>Base</v>
      </c>
      <c r="AC1286" s="141" t="str">
        <f>IF(MasterFees[[#This Row],[Fixed Fee?]]="Yes",MasterFees[[#This Row],[Fee Excl. GST]],"")</f>
        <v/>
      </c>
    </row>
    <row r="1287" spans="1:29" x14ac:dyDescent="0.2">
      <c r="A1287" s="67" t="s">
        <v>2183</v>
      </c>
      <c r="B1287" s="31" t="str">
        <f>IF(MasterFees[[#This Row],[RVG Code]]="","",_xlfn.XLOOKUP(MasterFees[[#This Row],[RVG Code]],RVGCodes[Code],RVGCodes[Base Units],"Code not found"))</f>
        <v/>
      </c>
      <c r="C128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8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87" s="125"/>
      <c r="F1287" s="48" t="s">
        <v>2565</v>
      </c>
      <c r="G1287" s="30" t="s">
        <v>745</v>
      </c>
      <c r="H1287" s="37" t="s">
        <v>1095</v>
      </c>
      <c r="I1287" s="37"/>
      <c r="J1287" s="37" t="s">
        <v>1096</v>
      </c>
      <c r="K1287" s="32">
        <v>6</v>
      </c>
      <c r="L1287" s="32">
        <v>9</v>
      </c>
      <c r="M1287" s="32">
        <v>6</v>
      </c>
      <c r="N1287" s="32">
        <v>21</v>
      </c>
      <c r="O1287" s="33">
        <v>1155</v>
      </c>
      <c r="P1287" s="38" t="s">
        <v>1014</v>
      </c>
      <c r="Q1287" s="34" t="str">
        <f>IF(MasterFees[[#This Row],[GST Basis]]="Excl",MasterFees[[#This Row],[Fee as Printed]],IF(MasterFees[[#This Row],[GST Basis]]="Incl",MasterFees[[#This Row],[Fee as Printed]]/(1+GST_Rate),""))</f>
        <v/>
      </c>
      <c r="R1287" s="34" t="str">
        <f>IF(MasterFees[[#This Row],[GST Basis]]="Incl",MasterFees[[#This Row],[Fee as Printed]],IF(MasterFees[[#This Row],[GST Basis]]="Excl",MasterFees[[#This Row],[Fee as Printed]]*(1+GST_Rate),""))</f>
        <v/>
      </c>
      <c r="S1287" s="35">
        <f>IF(N(MasterFees[[#This Row],[Total Units]])=0,"",MasterFees[[#This Row],[Fee as Printed]]/MasterFees[[#This Row],[Total Units]])</f>
        <v>55</v>
      </c>
      <c r="T1287" s="36"/>
      <c r="U1287" s="39" t="s">
        <v>1012</v>
      </c>
      <c r="V1287" s="39" t="s">
        <v>1842</v>
      </c>
      <c r="W1287" s="30"/>
      <c r="X1287" s="73" t="s">
        <v>3645</v>
      </c>
      <c r="Y1287" s="127" t="str">
        <f>_xlfn.XLOOKUP(MasterFees[[#This Row],[Provider / Payer]],Contracts[Contract Name],Contracts[Contract ID],"No contract")</f>
        <v>CON-01</v>
      </c>
      <c r="Z1287" s="127" t="str">
        <f>_xlfn.XLOOKUP(MasterFees[[#This Row],[Provider / Payer]],Contracts[Contract Name],Contracts[Pricing Basis],"To confirm")</f>
        <v>To confirm</v>
      </c>
      <c r="AA1287" s="127" t="str">
        <f>IF(MasterFees[[#This Row],[Pricing Basis]]="Fixed fee schedule","Yes","No")</f>
        <v>No</v>
      </c>
      <c r="AB1287" s="127" t="str">
        <f>IF(OR(MasterFees[[#This Row],[Fee Basis]]="Add-on",MasterFees[[#This Row],[Fee Basis]]="Time band",MasterFees[[#This Row],[Fee Basis]]="Other"),MasterFees[[#This Row],[Fee Basis]],"Base")</f>
        <v>Base</v>
      </c>
      <c r="AC1287" s="141" t="str">
        <f>IF(MasterFees[[#This Row],[Fixed Fee?]]="Yes",MasterFees[[#This Row],[Fee Excl. GST]],"")</f>
        <v/>
      </c>
    </row>
    <row r="1288" spans="1:29" x14ac:dyDescent="0.2">
      <c r="A1288" s="67" t="s">
        <v>2183</v>
      </c>
      <c r="B1288" s="31" t="str">
        <f>IF(MasterFees[[#This Row],[RVG Code]]="","",_xlfn.XLOOKUP(MasterFees[[#This Row],[RVG Code]],RVGCodes[Code],RVGCodes[Base Units],"Code not found"))</f>
        <v/>
      </c>
      <c r="C1288"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88"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88" s="125"/>
      <c r="F1288" s="48" t="s">
        <v>2565</v>
      </c>
      <c r="G1288" s="30" t="s">
        <v>746</v>
      </c>
      <c r="H1288" s="37" t="s">
        <v>1095</v>
      </c>
      <c r="I1288" s="37"/>
      <c r="J1288" s="37" t="s">
        <v>1096</v>
      </c>
      <c r="K1288" s="32">
        <v>14</v>
      </c>
      <c r="L1288" s="32">
        <v>14</v>
      </c>
      <c r="M1288" s="32">
        <v>10</v>
      </c>
      <c r="N1288" s="32">
        <v>38</v>
      </c>
      <c r="O1288" s="33">
        <v>2090</v>
      </c>
      <c r="P1288" s="38" t="s">
        <v>1014</v>
      </c>
      <c r="Q1288" s="34" t="str">
        <f>IF(MasterFees[[#This Row],[GST Basis]]="Excl",MasterFees[[#This Row],[Fee as Printed]],IF(MasterFees[[#This Row],[GST Basis]]="Incl",MasterFees[[#This Row],[Fee as Printed]]/(1+GST_Rate),""))</f>
        <v/>
      </c>
      <c r="R1288" s="34" t="str">
        <f>IF(MasterFees[[#This Row],[GST Basis]]="Incl",MasterFees[[#This Row],[Fee as Printed]],IF(MasterFees[[#This Row],[GST Basis]]="Excl",MasterFees[[#This Row],[Fee as Printed]]*(1+GST_Rate),""))</f>
        <v/>
      </c>
      <c r="S1288" s="35">
        <f>IF(N(MasterFees[[#This Row],[Total Units]])=0,"",MasterFees[[#This Row],[Fee as Printed]]/MasterFees[[#This Row],[Total Units]])</f>
        <v>55</v>
      </c>
      <c r="T1288" s="36"/>
      <c r="U1288" s="39" t="s">
        <v>1012</v>
      </c>
      <c r="V1288" s="39" t="s">
        <v>1843</v>
      </c>
      <c r="W1288" s="30"/>
      <c r="X1288" s="73" t="s">
        <v>3646</v>
      </c>
      <c r="Y1288" s="127" t="str">
        <f>_xlfn.XLOOKUP(MasterFees[[#This Row],[Provider / Payer]],Contracts[Contract Name],Contracts[Contract ID],"No contract")</f>
        <v>CON-01</v>
      </c>
      <c r="Z1288" s="127" t="str">
        <f>_xlfn.XLOOKUP(MasterFees[[#This Row],[Provider / Payer]],Contracts[Contract Name],Contracts[Pricing Basis],"To confirm")</f>
        <v>To confirm</v>
      </c>
      <c r="AA1288" s="127" t="str">
        <f>IF(MasterFees[[#This Row],[Pricing Basis]]="Fixed fee schedule","Yes","No")</f>
        <v>No</v>
      </c>
      <c r="AB1288" s="127" t="str">
        <f>IF(OR(MasterFees[[#This Row],[Fee Basis]]="Add-on",MasterFees[[#This Row],[Fee Basis]]="Time band",MasterFees[[#This Row],[Fee Basis]]="Other"),MasterFees[[#This Row],[Fee Basis]],"Base")</f>
        <v>Base</v>
      </c>
      <c r="AC1288" s="141" t="str">
        <f>IF(MasterFees[[#This Row],[Fixed Fee?]]="Yes",MasterFees[[#This Row],[Fee Excl. GST]],"")</f>
        <v/>
      </c>
    </row>
    <row r="1289" spans="1:29" x14ac:dyDescent="0.2">
      <c r="A1289" s="67" t="s">
        <v>2183</v>
      </c>
      <c r="B1289" s="31" t="str">
        <f>IF(MasterFees[[#This Row],[RVG Code]]="","",_xlfn.XLOOKUP(MasterFees[[#This Row],[RVG Code]],RVGCodes[Code],RVGCodes[Base Units],"Code not found"))</f>
        <v/>
      </c>
      <c r="C1289"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89"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89" s="125"/>
      <c r="F1289" s="48" t="s">
        <v>2565</v>
      </c>
      <c r="G1289" s="30" t="s">
        <v>862</v>
      </c>
      <c r="H1289" s="37" t="s">
        <v>1095</v>
      </c>
      <c r="I1289" s="37"/>
      <c r="J1289" s="37" t="s">
        <v>1096</v>
      </c>
      <c r="K1289" s="32">
        <v>4</v>
      </c>
      <c r="L1289" s="32">
        <v>3</v>
      </c>
      <c r="M1289" s="32">
        <v>0</v>
      </c>
      <c r="N1289" s="32">
        <v>7</v>
      </c>
      <c r="O1289" s="33">
        <v>385</v>
      </c>
      <c r="P1289" s="38" t="s">
        <v>1014</v>
      </c>
      <c r="Q1289" s="34" t="str">
        <f>IF(MasterFees[[#This Row],[GST Basis]]="Excl",MasterFees[[#This Row],[Fee as Printed]],IF(MasterFees[[#This Row],[GST Basis]]="Incl",MasterFees[[#This Row],[Fee as Printed]]/(1+GST_Rate),""))</f>
        <v/>
      </c>
      <c r="R1289" s="34" t="str">
        <f>IF(MasterFees[[#This Row],[GST Basis]]="Incl",MasterFees[[#This Row],[Fee as Printed]],IF(MasterFees[[#This Row],[GST Basis]]="Excl",MasterFees[[#This Row],[Fee as Printed]]*(1+GST_Rate),""))</f>
        <v/>
      </c>
      <c r="S1289" s="35">
        <f>IF(N(MasterFees[[#This Row],[Total Units]])=0,"",MasterFees[[#This Row],[Fee as Printed]]/MasterFees[[#This Row],[Total Units]])</f>
        <v>55</v>
      </c>
      <c r="T1289" s="36"/>
      <c r="U1289" s="39" t="s">
        <v>1012</v>
      </c>
      <c r="V1289" s="39" t="s">
        <v>1965</v>
      </c>
      <c r="W1289" s="30"/>
      <c r="X1289" s="73" t="s">
        <v>3780</v>
      </c>
      <c r="Y1289" s="127" t="str">
        <f>_xlfn.XLOOKUP(MasterFees[[#This Row],[Provider / Payer]],Contracts[Contract Name],Contracts[Contract ID],"No contract")</f>
        <v>CON-01</v>
      </c>
      <c r="Z1289" s="127" t="str">
        <f>_xlfn.XLOOKUP(MasterFees[[#This Row],[Provider / Payer]],Contracts[Contract Name],Contracts[Pricing Basis],"To confirm")</f>
        <v>To confirm</v>
      </c>
      <c r="AA1289" s="127" t="str">
        <f>IF(MasterFees[[#This Row],[Pricing Basis]]="Fixed fee schedule","Yes","No")</f>
        <v>No</v>
      </c>
      <c r="AB1289" s="127" t="str">
        <f>IF(OR(MasterFees[[#This Row],[Fee Basis]]="Add-on",MasterFees[[#This Row],[Fee Basis]]="Time band",MasterFees[[#This Row],[Fee Basis]]="Other"),MasterFees[[#This Row],[Fee Basis]],"Base")</f>
        <v>Base</v>
      </c>
      <c r="AC1289" s="141" t="str">
        <f>IF(MasterFees[[#This Row],[Fixed Fee?]]="Yes",MasterFees[[#This Row],[Fee Excl. GST]],"")</f>
        <v/>
      </c>
    </row>
    <row r="1290" spans="1:29" x14ac:dyDescent="0.2">
      <c r="A1290" s="67" t="s">
        <v>2183</v>
      </c>
      <c r="B1290" s="31" t="str">
        <f>IF(MasterFees[[#This Row],[RVG Code]]="","",_xlfn.XLOOKUP(MasterFees[[#This Row],[RVG Code]],RVGCodes[Code],RVGCodes[Base Units],"Code not found"))</f>
        <v/>
      </c>
      <c r="C1290"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90"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90" s="125"/>
      <c r="F1290" s="48" t="s">
        <v>2565</v>
      </c>
      <c r="G1290" s="30" t="s">
        <v>867</v>
      </c>
      <c r="H1290" s="37" t="s">
        <v>1095</v>
      </c>
      <c r="I1290" s="37"/>
      <c r="J1290" s="37" t="s">
        <v>1096</v>
      </c>
      <c r="K1290" s="32">
        <v>5</v>
      </c>
      <c r="L1290" s="32">
        <v>3</v>
      </c>
      <c r="M1290" s="32">
        <v>0</v>
      </c>
      <c r="N1290" s="32">
        <v>8</v>
      </c>
      <c r="O1290" s="33">
        <v>440</v>
      </c>
      <c r="P1290" s="38" t="s">
        <v>1014</v>
      </c>
      <c r="Q1290" s="34" t="str">
        <f>IF(MasterFees[[#This Row],[GST Basis]]="Excl",MasterFees[[#This Row],[Fee as Printed]],IF(MasterFees[[#This Row],[GST Basis]]="Incl",MasterFees[[#This Row],[Fee as Printed]]/(1+GST_Rate),""))</f>
        <v/>
      </c>
      <c r="R1290" s="34" t="str">
        <f>IF(MasterFees[[#This Row],[GST Basis]]="Incl",MasterFees[[#This Row],[Fee as Printed]],IF(MasterFees[[#This Row],[GST Basis]]="Excl",MasterFees[[#This Row],[Fee as Printed]]*(1+GST_Rate),""))</f>
        <v/>
      </c>
      <c r="S1290" s="35">
        <f>IF(N(MasterFees[[#This Row],[Total Units]])=0,"",MasterFees[[#This Row],[Fee as Printed]]/MasterFees[[#This Row],[Total Units]])</f>
        <v>55</v>
      </c>
      <c r="T1290" s="36"/>
      <c r="U1290" s="39" t="s">
        <v>1012</v>
      </c>
      <c r="V1290" s="39" t="s">
        <v>1970</v>
      </c>
      <c r="W1290" s="30"/>
      <c r="X1290" s="73" t="s">
        <v>3787</v>
      </c>
      <c r="Y1290" s="127" t="str">
        <f>_xlfn.XLOOKUP(MasterFees[[#This Row],[Provider / Payer]],Contracts[Contract Name],Contracts[Contract ID],"No contract")</f>
        <v>CON-01</v>
      </c>
      <c r="Z1290" s="127" t="str">
        <f>_xlfn.XLOOKUP(MasterFees[[#This Row],[Provider / Payer]],Contracts[Contract Name],Contracts[Pricing Basis],"To confirm")</f>
        <v>To confirm</v>
      </c>
      <c r="AA1290" s="127" t="str">
        <f>IF(MasterFees[[#This Row],[Pricing Basis]]="Fixed fee schedule","Yes","No")</f>
        <v>No</v>
      </c>
      <c r="AB1290" s="127" t="str">
        <f>IF(OR(MasterFees[[#This Row],[Fee Basis]]="Add-on",MasterFees[[#This Row],[Fee Basis]]="Time band",MasterFees[[#This Row],[Fee Basis]]="Other"),MasterFees[[#This Row],[Fee Basis]],"Base")</f>
        <v>Base</v>
      </c>
      <c r="AC1290" s="141" t="str">
        <f>IF(MasterFees[[#This Row],[Fixed Fee?]]="Yes",MasterFees[[#This Row],[Fee Excl. GST]],"")</f>
        <v/>
      </c>
    </row>
    <row r="1291" spans="1:29" x14ac:dyDescent="0.2">
      <c r="A1291" s="67" t="s">
        <v>2183</v>
      </c>
      <c r="B1291" s="31" t="str">
        <f>IF(MasterFees[[#This Row],[RVG Code]]="","",_xlfn.XLOOKUP(MasterFees[[#This Row],[RVG Code]],RVGCodes[Code],RVGCodes[Base Units],"Code not found"))</f>
        <v/>
      </c>
      <c r="C1291"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91"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91" s="125"/>
      <c r="F1291" s="48" t="s">
        <v>2565</v>
      </c>
      <c r="G1291" s="30" t="s">
        <v>877</v>
      </c>
      <c r="H1291" s="37" t="s">
        <v>1095</v>
      </c>
      <c r="I1291" s="37"/>
      <c r="J1291" s="37" t="s">
        <v>1096</v>
      </c>
      <c r="K1291" s="32">
        <v>10</v>
      </c>
      <c r="L1291" s="32">
        <v>11.5</v>
      </c>
      <c r="M1291" s="32">
        <v>1.5</v>
      </c>
      <c r="N1291" s="32">
        <v>23</v>
      </c>
      <c r="O1291" s="33">
        <v>1265</v>
      </c>
      <c r="P1291" s="38" t="s">
        <v>1014</v>
      </c>
      <c r="Q1291" s="34" t="str">
        <f>IF(MasterFees[[#This Row],[GST Basis]]="Excl",MasterFees[[#This Row],[Fee as Printed]],IF(MasterFees[[#This Row],[GST Basis]]="Incl",MasterFees[[#This Row],[Fee as Printed]]/(1+GST_Rate),""))</f>
        <v/>
      </c>
      <c r="R1291" s="34" t="str">
        <f>IF(MasterFees[[#This Row],[GST Basis]]="Incl",MasterFees[[#This Row],[Fee as Printed]],IF(MasterFees[[#This Row],[GST Basis]]="Excl",MasterFees[[#This Row],[Fee as Printed]]*(1+GST_Rate),""))</f>
        <v/>
      </c>
      <c r="S1291" s="35">
        <f>IF(N(MasterFees[[#This Row],[Total Units]])=0,"",MasterFees[[#This Row],[Fee as Printed]]/MasterFees[[#This Row],[Total Units]])</f>
        <v>55</v>
      </c>
      <c r="T1291" s="36"/>
      <c r="U1291" s="39" t="s">
        <v>1012</v>
      </c>
      <c r="V1291" s="39" t="s">
        <v>1980</v>
      </c>
      <c r="W1291" s="30"/>
      <c r="X1291" s="73" t="s">
        <v>3799</v>
      </c>
      <c r="Y1291" s="127" t="str">
        <f>_xlfn.XLOOKUP(MasterFees[[#This Row],[Provider / Payer]],Contracts[Contract Name],Contracts[Contract ID],"No contract")</f>
        <v>CON-01</v>
      </c>
      <c r="Z1291" s="127" t="str">
        <f>_xlfn.XLOOKUP(MasterFees[[#This Row],[Provider / Payer]],Contracts[Contract Name],Contracts[Pricing Basis],"To confirm")</f>
        <v>To confirm</v>
      </c>
      <c r="AA1291" s="127" t="str">
        <f>IF(MasterFees[[#This Row],[Pricing Basis]]="Fixed fee schedule","Yes","No")</f>
        <v>No</v>
      </c>
      <c r="AB1291" s="127" t="str">
        <f>IF(OR(MasterFees[[#This Row],[Fee Basis]]="Add-on",MasterFees[[#This Row],[Fee Basis]]="Time band",MasterFees[[#This Row],[Fee Basis]]="Other"),MasterFees[[#This Row],[Fee Basis]],"Base")</f>
        <v>Base</v>
      </c>
      <c r="AC1291" s="141" t="str">
        <f>IF(MasterFees[[#This Row],[Fixed Fee?]]="Yes",MasterFees[[#This Row],[Fee Excl. GST]],"")</f>
        <v/>
      </c>
    </row>
    <row r="1292" spans="1:29" x14ac:dyDescent="0.2">
      <c r="A1292" s="67" t="s">
        <v>2183</v>
      </c>
      <c r="B1292" s="31" t="str">
        <f>IF(MasterFees[[#This Row],[RVG Code]]="","",_xlfn.XLOOKUP(MasterFees[[#This Row],[RVG Code]],RVGCodes[Code],RVGCodes[Base Units],"Code not found"))</f>
        <v/>
      </c>
      <c r="C1292"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92"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92" s="125"/>
      <c r="F1292" s="48" t="s">
        <v>2565</v>
      </c>
      <c r="G1292" s="30" t="s">
        <v>904</v>
      </c>
      <c r="H1292" s="37" t="s">
        <v>1095</v>
      </c>
      <c r="I1292" s="37"/>
      <c r="J1292" s="37" t="s">
        <v>1096</v>
      </c>
      <c r="K1292" s="32">
        <v>8</v>
      </c>
      <c r="L1292" s="32">
        <v>7</v>
      </c>
      <c r="M1292" s="32">
        <v>0</v>
      </c>
      <c r="N1292" s="32">
        <v>15</v>
      </c>
      <c r="O1292" s="33">
        <v>825</v>
      </c>
      <c r="P1292" s="38" t="s">
        <v>1014</v>
      </c>
      <c r="Q1292" s="34" t="str">
        <f>IF(MasterFees[[#This Row],[GST Basis]]="Excl",MasterFees[[#This Row],[Fee as Printed]],IF(MasterFees[[#This Row],[GST Basis]]="Incl",MasterFees[[#This Row],[Fee as Printed]]/(1+GST_Rate),""))</f>
        <v/>
      </c>
      <c r="R1292" s="34" t="str">
        <f>IF(MasterFees[[#This Row],[GST Basis]]="Incl",MasterFees[[#This Row],[Fee as Printed]],IF(MasterFees[[#This Row],[GST Basis]]="Excl",MasterFees[[#This Row],[Fee as Printed]]*(1+GST_Rate),""))</f>
        <v/>
      </c>
      <c r="S1292" s="35">
        <f>IF(N(MasterFees[[#This Row],[Total Units]])=0,"",MasterFees[[#This Row],[Fee as Printed]]/MasterFees[[#This Row],[Total Units]])</f>
        <v>55</v>
      </c>
      <c r="T1292" s="36"/>
      <c r="U1292" s="39" t="s">
        <v>1012</v>
      </c>
      <c r="V1292" s="39" t="s">
        <v>2007</v>
      </c>
      <c r="W1292" s="30"/>
      <c r="X1292" s="73" t="s">
        <v>3832</v>
      </c>
      <c r="Y1292" s="127" t="str">
        <f>_xlfn.XLOOKUP(MasterFees[[#This Row],[Provider / Payer]],Contracts[Contract Name],Contracts[Contract ID],"No contract")</f>
        <v>CON-01</v>
      </c>
      <c r="Z1292" s="127" t="str">
        <f>_xlfn.XLOOKUP(MasterFees[[#This Row],[Provider / Payer]],Contracts[Contract Name],Contracts[Pricing Basis],"To confirm")</f>
        <v>To confirm</v>
      </c>
      <c r="AA1292" s="127" t="str">
        <f>IF(MasterFees[[#This Row],[Pricing Basis]]="Fixed fee schedule","Yes","No")</f>
        <v>No</v>
      </c>
      <c r="AB1292" s="127" t="str">
        <f>IF(OR(MasterFees[[#This Row],[Fee Basis]]="Add-on",MasterFees[[#This Row],[Fee Basis]]="Time band",MasterFees[[#This Row],[Fee Basis]]="Other"),MasterFees[[#This Row],[Fee Basis]],"Base")</f>
        <v>Base</v>
      </c>
      <c r="AC1292" s="141" t="str">
        <f>IF(MasterFees[[#This Row],[Fixed Fee?]]="Yes",MasterFees[[#This Row],[Fee Excl. GST]],"")</f>
        <v/>
      </c>
    </row>
    <row r="1293" spans="1:29" x14ac:dyDescent="0.2">
      <c r="A1293" s="67" t="s">
        <v>2183</v>
      </c>
      <c r="B1293" s="31" t="str">
        <f>IF(MasterFees[[#This Row],[RVG Code]]="","",_xlfn.XLOOKUP(MasterFees[[#This Row],[RVG Code]],RVGCodes[Code],RVGCodes[Base Units],"Code not found"))</f>
        <v/>
      </c>
      <c r="C1293"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93"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93" s="125"/>
      <c r="F1293" s="48" t="s">
        <v>2565</v>
      </c>
      <c r="G1293" s="30" t="s">
        <v>908</v>
      </c>
      <c r="H1293" s="37" t="s">
        <v>1095</v>
      </c>
      <c r="I1293" s="37"/>
      <c r="J1293" s="37" t="s">
        <v>1096</v>
      </c>
      <c r="K1293" s="32">
        <v>5.2</v>
      </c>
      <c r="L1293" s="32">
        <v>5.8</v>
      </c>
      <c r="M1293" s="32">
        <v>1</v>
      </c>
      <c r="N1293" s="32">
        <v>12</v>
      </c>
      <c r="O1293" s="33">
        <v>660</v>
      </c>
      <c r="P1293" s="38" t="s">
        <v>1014</v>
      </c>
      <c r="Q1293" s="34" t="str">
        <f>IF(MasterFees[[#This Row],[GST Basis]]="Excl",MasterFees[[#This Row],[Fee as Printed]],IF(MasterFees[[#This Row],[GST Basis]]="Incl",MasterFees[[#This Row],[Fee as Printed]]/(1+GST_Rate),""))</f>
        <v/>
      </c>
      <c r="R1293" s="34" t="str">
        <f>IF(MasterFees[[#This Row],[GST Basis]]="Incl",MasterFees[[#This Row],[Fee as Printed]],IF(MasterFees[[#This Row],[GST Basis]]="Excl",MasterFees[[#This Row],[Fee as Printed]]*(1+GST_Rate),""))</f>
        <v/>
      </c>
      <c r="S1293" s="35">
        <f>IF(N(MasterFees[[#This Row],[Total Units]])=0,"",MasterFees[[#This Row],[Fee as Printed]]/MasterFees[[#This Row],[Total Units]])</f>
        <v>55</v>
      </c>
      <c r="T1293" s="36"/>
      <c r="U1293" s="39" t="s">
        <v>1012</v>
      </c>
      <c r="V1293" s="39" t="s">
        <v>2011</v>
      </c>
      <c r="W1293" s="30"/>
      <c r="X1293" s="73" t="s">
        <v>3837</v>
      </c>
      <c r="Y1293" s="127" t="str">
        <f>_xlfn.XLOOKUP(MasterFees[[#This Row],[Provider / Payer]],Contracts[Contract Name],Contracts[Contract ID],"No contract")</f>
        <v>CON-01</v>
      </c>
      <c r="Z1293" s="127" t="str">
        <f>_xlfn.XLOOKUP(MasterFees[[#This Row],[Provider / Payer]],Contracts[Contract Name],Contracts[Pricing Basis],"To confirm")</f>
        <v>To confirm</v>
      </c>
      <c r="AA1293" s="127" t="str">
        <f>IF(MasterFees[[#This Row],[Pricing Basis]]="Fixed fee schedule","Yes","No")</f>
        <v>No</v>
      </c>
      <c r="AB1293" s="127" t="str">
        <f>IF(OR(MasterFees[[#This Row],[Fee Basis]]="Add-on",MasterFees[[#This Row],[Fee Basis]]="Time band",MasterFees[[#This Row],[Fee Basis]]="Other"),MasterFees[[#This Row],[Fee Basis]],"Base")</f>
        <v>Base</v>
      </c>
      <c r="AC1293" s="141" t="str">
        <f>IF(MasterFees[[#This Row],[Fixed Fee?]]="Yes",MasterFees[[#This Row],[Fee Excl. GST]],"")</f>
        <v/>
      </c>
    </row>
    <row r="1294" spans="1:29" x14ac:dyDescent="0.2">
      <c r="A1294" s="67" t="s">
        <v>2183</v>
      </c>
      <c r="B1294" s="31" t="str">
        <f>IF(MasterFees[[#This Row],[RVG Code]]="","",_xlfn.XLOOKUP(MasterFees[[#This Row],[RVG Code]],RVGCodes[Code],RVGCodes[Base Units],"Code not found"))</f>
        <v/>
      </c>
      <c r="C1294"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94"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94" s="125"/>
      <c r="F1294" s="48" t="s">
        <v>2565</v>
      </c>
      <c r="G1294" s="30" t="s">
        <v>910</v>
      </c>
      <c r="H1294" s="37" t="s">
        <v>1095</v>
      </c>
      <c r="I1294" s="37"/>
      <c r="J1294" s="37" t="s">
        <v>1096</v>
      </c>
      <c r="K1294" s="32">
        <v>4</v>
      </c>
      <c r="L1294" s="32">
        <v>7</v>
      </c>
      <c r="M1294" s="32">
        <v>0.5</v>
      </c>
      <c r="N1294" s="32">
        <v>11.5</v>
      </c>
      <c r="O1294" s="33">
        <v>632.5</v>
      </c>
      <c r="P1294" s="38" t="s">
        <v>1014</v>
      </c>
      <c r="Q1294" s="34" t="str">
        <f>IF(MasterFees[[#This Row],[GST Basis]]="Excl",MasterFees[[#This Row],[Fee as Printed]],IF(MasterFees[[#This Row],[GST Basis]]="Incl",MasterFees[[#This Row],[Fee as Printed]]/(1+GST_Rate),""))</f>
        <v/>
      </c>
      <c r="R1294" s="34" t="str">
        <f>IF(MasterFees[[#This Row],[GST Basis]]="Incl",MasterFees[[#This Row],[Fee as Printed]],IF(MasterFees[[#This Row],[GST Basis]]="Excl",MasterFees[[#This Row],[Fee as Printed]]*(1+GST_Rate),""))</f>
        <v/>
      </c>
      <c r="S1294" s="35">
        <f>IF(N(MasterFees[[#This Row],[Total Units]])=0,"",MasterFees[[#This Row],[Fee as Printed]]/MasterFees[[#This Row],[Total Units]])</f>
        <v>55</v>
      </c>
      <c r="T1294" s="36"/>
      <c r="U1294" s="39" t="s">
        <v>1012</v>
      </c>
      <c r="V1294" s="39" t="s">
        <v>2013</v>
      </c>
      <c r="W1294" s="30"/>
      <c r="X1294" s="73" t="s">
        <v>3840</v>
      </c>
      <c r="Y1294" s="127" t="str">
        <f>_xlfn.XLOOKUP(MasterFees[[#This Row],[Provider / Payer]],Contracts[Contract Name],Contracts[Contract ID],"No contract")</f>
        <v>CON-01</v>
      </c>
      <c r="Z1294" s="127" t="str">
        <f>_xlfn.XLOOKUP(MasterFees[[#This Row],[Provider / Payer]],Contracts[Contract Name],Contracts[Pricing Basis],"To confirm")</f>
        <v>To confirm</v>
      </c>
      <c r="AA1294" s="127" t="str">
        <f>IF(MasterFees[[#This Row],[Pricing Basis]]="Fixed fee schedule","Yes","No")</f>
        <v>No</v>
      </c>
      <c r="AB1294" s="127" t="str">
        <f>IF(OR(MasterFees[[#This Row],[Fee Basis]]="Add-on",MasterFees[[#This Row],[Fee Basis]]="Time band",MasterFees[[#This Row],[Fee Basis]]="Other"),MasterFees[[#This Row],[Fee Basis]],"Base")</f>
        <v>Base</v>
      </c>
      <c r="AC1294" s="141" t="str">
        <f>IF(MasterFees[[#This Row],[Fixed Fee?]]="Yes",MasterFees[[#This Row],[Fee Excl. GST]],"")</f>
        <v/>
      </c>
    </row>
    <row r="1295" spans="1:29" x14ac:dyDescent="0.2">
      <c r="A1295" s="67" t="s">
        <v>2183</v>
      </c>
      <c r="B1295" s="31" t="str">
        <f>IF(MasterFees[[#This Row],[RVG Code]]="","",_xlfn.XLOOKUP(MasterFees[[#This Row],[RVG Code]],RVGCodes[Code],RVGCodes[Base Units],"Code not found"))</f>
        <v/>
      </c>
      <c r="C1295"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95"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95" s="125"/>
      <c r="F1295" s="48" t="s">
        <v>2565</v>
      </c>
      <c r="G1295" s="30" t="s">
        <v>912</v>
      </c>
      <c r="H1295" s="37" t="s">
        <v>1095</v>
      </c>
      <c r="I1295" s="37"/>
      <c r="J1295" s="37" t="s">
        <v>1096</v>
      </c>
      <c r="K1295" s="32">
        <v>12.9</v>
      </c>
      <c r="L1295" s="32">
        <v>9.4</v>
      </c>
      <c r="M1295" s="32">
        <v>1.3</v>
      </c>
      <c r="N1295" s="32">
        <v>23.6</v>
      </c>
      <c r="O1295" s="33">
        <v>1295.25</v>
      </c>
      <c r="P1295" s="38" t="s">
        <v>1014</v>
      </c>
      <c r="Q1295" s="34" t="str">
        <f>IF(MasterFees[[#This Row],[GST Basis]]="Excl",MasterFees[[#This Row],[Fee as Printed]],IF(MasterFees[[#This Row],[GST Basis]]="Incl",MasterFees[[#This Row],[Fee as Printed]]/(1+GST_Rate),""))</f>
        <v/>
      </c>
      <c r="R1295" s="34" t="str">
        <f>IF(MasterFees[[#This Row],[GST Basis]]="Incl",MasterFees[[#This Row],[Fee as Printed]],IF(MasterFees[[#This Row],[GST Basis]]="Excl",MasterFees[[#This Row],[Fee as Printed]]*(1+GST_Rate),""))</f>
        <v/>
      </c>
      <c r="S1295" s="35">
        <f>IF(N(MasterFees[[#This Row],[Total Units]])=0,"",MasterFees[[#This Row],[Fee as Printed]]/MasterFees[[#This Row],[Total Units]])</f>
        <v>54.883474576271183</v>
      </c>
      <c r="T1295" s="36"/>
      <c r="U1295" s="39" t="s">
        <v>1012</v>
      </c>
      <c r="V1295" s="39" t="s">
        <v>2015</v>
      </c>
      <c r="W1295" s="30"/>
      <c r="X1295" s="73" t="s">
        <v>3842</v>
      </c>
      <c r="Y1295" s="127" t="str">
        <f>_xlfn.XLOOKUP(MasterFees[[#This Row],[Provider / Payer]],Contracts[Contract Name],Contracts[Contract ID],"No contract")</f>
        <v>CON-01</v>
      </c>
      <c r="Z1295" s="127" t="str">
        <f>_xlfn.XLOOKUP(MasterFees[[#This Row],[Provider / Payer]],Contracts[Contract Name],Contracts[Pricing Basis],"To confirm")</f>
        <v>To confirm</v>
      </c>
      <c r="AA1295" s="127" t="str">
        <f>IF(MasterFees[[#This Row],[Pricing Basis]]="Fixed fee schedule","Yes","No")</f>
        <v>No</v>
      </c>
      <c r="AB1295" s="127" t="str">
        <f>IF(OR(MasterFees[[#This Row],[Fee Basis]]="Add-on",MasterFees[[#This Row],[Fee Basis]]="Time band",MasterFees[[#This Row],[Fee Basis]]="Other"),MasterFees[[#This Row],[Fee Basis]],"Base")</f>
        <v>Base</v>
      </c>
      <c r="AC1295" s="141" t="str">
        <f>IF(MasterFees[[#This Row],[Fixed Fee?]]="Yes",MasterFees[[#This Row],[Fee Excl. GST]],"")</f>
        <v/>
      </c>
    </row>
    <row r="1296" spans="1:29" x14ac:dyDescent="0.2">
      <c r="A1296" s="67"/>
      <c r="B1296" s="31" t="str">
        <f>IF(MasterFees[[#This Row],[RVG Code]]="","",_xlfn.XLOOKUP(MasterFees[[#This Row],[RVG Code]],RVGCodes[Code],RVGCodes[Base Units],"Code not found"))</f>
        <v/>
      </c>
      <c r="C1296"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96"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96" s="125"/>
      <c r="F1296" s="48" t="s">
        <v>2565</v>
      </c>
      <c r="G1296" s="30" t="s">
        <v>4387</v>
      </c>
      <c r="H1296" s="37" t="s">
        <v>4413</v>
      </c>
      <c r="I1296" s="37"/>
      <c r="J1296" s="37" t="s">
        <v>2744</v>
      </c>
      <c r="K1296" s="32"/>
      <c r="L1296" s="32"/>
      <c r="M1296" s="32"/>
      <c r="N1296" s="32"/>
      <c r="O1296" s="33">
        <v>572</v>
      </c>
      <c r="P1296" s="38" t="s">
        <v>4398</v>
      </c>
      <c r="Q1296" s="34">
        <f>IF(MasterFees[[#This Row],[GST Basis]]="Excl",MasterFees[[#This Row],[Fee as Printed]],IF(MasterFees[[#This Row],[GST Basis]]="Incl",MasterFees[[#This Row],[Fee as Printed]]/(1+GST_Rate),""))</f>
        <v>572</v>
      </c>
      <c r="R1296" s="34">
        <f>IF(MasterFees[[#This Row],[GST Basis]]="Incl",MasterFees[[#This Row],[Fee as Printed]],IF(MasterFees[[#This Row],[GST Basis]]="Excl",MasterFees[[#This Row],[Fee as Printed]]*(1+GST_Rate),""))</f>
        <v>657.8</v>
      </c>
      <c r="S1296" s="35" t="str">
        <f>IF(N(MasterFees[[#This Row],[Total Units]])=0,"",MasterFees[[#This Row],[Fee as Printed]]/MasterFees[[#This Row],[Total Units]])</f>
        <v/>
      </c>
      <c r="T1296" s="36">
        <v>45931</v>
      </c>
      <c r="U1296" s="39" t="s">
        <v>1021</v>
      </c>
      <c r="V1296" s="39" t="s">
        <v>4414</v>
      </c>
      <c r="W1296" s="30" t="s">
        <v>4425</v>
      </c>
      <c r="X1296" s="77" t="s">
        <v>4426</v>
      </c>
      <c r="Y1296" s="127" t="str">
        <f>_xlfn.XLOOKUP(MasterFees[[#This Row],[Provider / Payer]],Contracts[Contract Name],Contracts[Contract ID],"No contract")</f>
        <v>CON-04</v>
      </c>
      <c r="Z1296" s="127" t="str">
        <f>_xlfn.XLOOKUP(MasterFees[[#This Row],[Provider / Payer]],Contracts[Contract Name],Contracts[Pricing Basis],"To confirm")</f>
        <v>Fixed fee schedule</v>
      </c>
      <c r="AA1296" s="127" t="str">
        <f>IF(MasterFees[[#This Row],[Pricing Basis]]="Fixed fee schedule","Yes","No")</f>
        <v>Yes</v>
      </c>
      <c r="AB1296" s="127" t="str">
        <f>IF(OR(MasterFees[[#This Row],[Fee Basis]]="Add-on",MasterFees[[#This Row],[Fee Basis]]="Time band",MasterFees[[#This Row],[Fee Basis]]="Other"),MasterFees[[#This Row],[Fee Basis]],"Base")</f>
        <v>Time band</v>
      </c>
      <c r="AC1296" s="141">
        <f>IF(MasterFees[[#This Row],[Fixed Fee?]]="Yes",MasterFees[[#This Row],[Fee Excl. GST]],"")</f>
        <v>572</v>
      </c>
    </row>
    <row r="1297" spans="1:29" x14ac:dyDescent="0.2">
      <c r="A1297" s="67"/>
      <c r="B1297" s="31" t="str">
        <f>IF(MasterFees[[#This Row],[RVG Code]]="","",_xlfn.XLOOKUP(MasterFees[[#This Row],[RVG Code]],RVGCodes[Code],RVGCodes[Base Units],"Code not found"))</f>
        <v/>
      </c>
      <c r="C1297" s="31" t="str">
        <f>_xlfn.LET(_xlpm.r,IF(MasterFees[[#This Row],[RVG Code]]&lt;&gt;"",_xlfn.XLOOKUP(MasterFees[[#This Row],[RVG Code]],RVGCodes[Code],RVGCodes[Region],"Code not found")&amp;"",IF(LEFT(MasterFees[[#This Row],[Procedure Group]],4)="ACC ",_xlfn.XLOOKUP(MID(MasterFees[[#This Row],[Procedure Group]],5,FIND(" ",MasterFees[[#This Row],[Procedure Group]],5)-5),SRC01_RVG[Code (as printed)],SRC01_RVG[Region / Section],"Unassigned")&amp;"","Unassigned")),_xlpm.n,_xlfn.XMATCH(_xlpm.r,_xlfn.UNIQUE(SRC01_RVG[Region / Section])),IF(ISNUMBER(_xlpm.n),TEXT(_xlpm.n-1,"00"),"99")&amp;" - "&amp;_xlpm.r)</f>
        <v>99 - Unassigned</v>
      </c>
      <c r="D1297" s="31" t="str">
        <f>IF(MasterFees[[#This Row],[RVG Code]]&lt;&gt;"",_xlfn.XLOOKUP(MasterFees[[#This Row],[RVG Code]],RVGCodes[Code],RVGCodes[Sub-category],"")&amp;"",IF(LEFT(MasterFees[[#This Row],[Procedure Group]],4)="ACC ",_xlfn.XLOOKUP(MID(MasterFees[[#This Row],[Procedure Group]],5,FIND(" ",MasterFees[[#This Row],[Procedure Group]],5)-5),SRC01_RVG[Code (as printed)],SRC01_RVG[Sub-heading],"")&amp;"",""))</f>
        <v/>
      </c>
      <c r="E1297" s="125"/>
      <c r="F1297" s="48" t="s">
        <v>2565</v>
      </c>
      <c r="G1297" s="30" t="s">
        <v>4389</v>
      </c>
      <c r="H1297" s="37" t="s">
        <v>4413</v>
      </c>
      <c r="I1297" s="37"/>
      <c r="J1297" s="37" t="s">
        <v>2744</v>
      </c>
      <c r="K1297" s="32"/>
      <c r="L1297" s="32"/>
      <c r="M1297" s="32"/>
      <c r="N1297" s="32"/>
      <c r="O1297" s="33">
        <v>728</v>
      </c>
      <c r="P1297" s="38" t="s">
        <v>4398</v>
      </c>
      <c r="Q1297" s="34">
        <f>IF(MasterFees[[#This Row],[GST Basis]]="Excl",MasterFees[[#This Row],[Fee as Printed]],IF(MasterFees[[#This Row],[GST Basis]]="Incl",MasterFees[[#This Row],[Fee as Printed]]/(1+GST_Rate),""))</f>
        <v>728</v>
      </c>
      <c r="R1297" s="34">
        <f>IF(MasterFees[[#This Row],[GST Basis]]="Incl",MasterFees[[#This Row],[Fee as Printed]],IF(MasterFees[[#This Row],[GST Basis]]="Excl",MasterFees[[#This Row],[Fee as Printed]]*(1+GST_Rate),""))</f>
        <v>837.19999999999993</v>
      </c>
      <c r="S1297" s="35" t="str">
        <f>IF(N(MasterFees[[#This Row],[Total Units]])=0,"",MasterFees[[#This Row],[Fee as Printed]]/MasterFees[[#This Row],[Total Units]])</f>
        <v/>
      </c>
      <c r="T1297" s="36">
        <v>45931</v>
      </c>
      <c r="U1297" s="39" t="s">
        <v>1021</v>
      </c>
      <c r="V1297" s="39" t="s">
        <v>4414</v>
      </c>
      <c r="W1297" s="30" t="s">
        <v>4427</v>
      </c>
      <c r="X1297" s="77" t="s">
        <v>4428</v>
      </c>
      <c r="Y1297" s="127" t="str">
        <f>_xlfn.XLOOKUP(MasterFees[[#This Row],[Provider / Payer]],Contracts[Contract Name],Contracts[Contract ID],"No contract")</f>
        <v>CON-04</v>
      </c>
      <c r="Z1297" s="127" t="str">
        <f>_xlfn.XLOOKUP(MasterFees[[#This Row],[Provider / Payer]],Contracts[Contract Name],Contracts[Pricing Basis],"To confirm")</f>
        <v>Fixed fee schedule</v>
      </c>
      <c r="AA1297" s="127" t="str">
        <f>IF(MasterFees[[#This Row],[Pricing Basis]]="Fixed fee schedule","Yes","No")</f>
        <v>Yes</v>
      </c>
      <c r="AB1297" s="127" t="str">
        <f>IF(OR(MasterFees[[#This Row],[Fee Basis]]="Add-on",MasterFees[[#This Row],[Fee Basis]]="Time band",MasterFees[[#This Row],[Fee Basis]]="Other"),MasterFees[[#This Row],[Fee Basis]],"Base")</f>
        <v>Time band</v>
      </c>
      <c r="AC1297" s="141">
        <f>IF(MasterFees[[#This Row],[Fixed Fee?]]="Yes",MasterFees[[#This Row],[Fee Excl. GST]],"")</f>
        <v>728</v>
      </c>
    </row>
  </sheetData>
  <dataValidations count="3">
    <dataValidation type="list" allowBlank="1" showInputMessage="1" showErrorMessage="1" sqref="J2:J1297" xr:uid="{74194BC0-A241-C143-99E6-ED74D0209182}">
      <formula1>"RVG units,Fixed fee,Add-on,Time band,Other"</formula1>
    </dataValidation>
    <dataValidation type="list" allowBlank="1" showInputMessage="1" showErrorMessage="1" sqref="P2:P1297" xr:uid="{CC9770B4-7181-AF4F-88ED-0ECAFB407D20}">
      <formula1>"Excl,Incl,Unknown"</formula1>
    </dataValidation>
    <dataValidation type="list" allowBlank="1" showInputMessage="1" showErrorMessage="1" sqref="F2:F1297" xr:uid="{D9E289A9-1D72-3949-AD82-ED89F0E1D1A0}">
      <formula1>"RVG code,Description – exact,Description – likely,Unmatched"</formula1>
    </dataValidation>
  </dataValidations>
  <hyperlinks>
    <hyperlink ref="X1241" location="'SRC-00 Solusions+ Ops List'!A2" tooltip="SRC-00 Solusions+ Ops List!A2" display="Go to S+ row 2" xr:uid="{ABB56B62-D48B-5B4E-B035-5E0E874F3174}"/>
    <hyperlink ref="X957" location="'SRC-00 Solusions+ Ops List'!A3" tooltip="SRC-00 Solusions+ Ops List!A3" display="Go to S+ row 3" xr:uid="{FD48BFD6-4CBA-5C4E-8A9C-FCE264D0D867}"/>
    <hyperlink ref="X1031" location="'SRC-00 Solusions+ Ops List'!A4" tooltip="SRC-00 Solusions+ Ops List!A4" display="Go to S+ row 4" xr:uid="{CFED4A87-0F91-E746-877E-EE90A3303D48}"/>
    <hyperlink ref="X279" location="'SRC-00 Solusions+ Ops List'!A5" tooltip="SRC-00 Solusions+ Ops List!A5" display="Go to S+ row 5" xr:uid="{A964BCE4-4AF2-0A4C-9356-45B71653AB81}"/>
    <hyperlink ref="X3" location="'SRC-00 Solusions+ Ops List'!A6" tooltip="SRC-00 Solusions+ Ops List!A6" display="Go to S+ row 6" xr:uid="{296E2B5D-8727-064E-B921-699EB4198DA1}"/>
    <hyperlink ref="X280" location="'SRC-00 Solusions+ Ops List'!A7" tooltip="SRC-00 Solusions+ Ops List!A7" display="Go to S+ row 7" xr:uid="{56D7B3C0-A5F2-5446-BB5D-DC47573DBD6E}"/>
    <hyperlink ref="X1225" location="'SRC-00 Solusions+ Ops List'!A8" tooltip="SRC-00 Solusions+ Ops List!A8" display="Go to S+ row 8" xr:uid="{3C06E823-8585-8D41-8898-96779E53E0F2}"/>
    <hyperlink ref="X4" location="'SRC-00 Solusions+ Ops List'!A9" tooltip="SRC-00 Solusions+ Ops List!A9" display="Go to S+ row 9" xr:uid="{23840E61-DDBE-8746-A573-D66DCB6CCAAA}"/>
    <hyperlink ref="X666" location="'SRC-00 Solusions+ Ops List'!A10" tooltip="SRC-00 Solusions+ Ops List!A10" display="Go to S+ row 10" xr:uid="{26B1D4CA-467B-9840-A092-F4FDAAD66F1F}"/>
    <hyperlink ref="X667" location="'SRC-00 Solusions+ Ops List'!A11" tooltip="SRC-00 Solusions+ Ops List!A11" display="Go to S+ row 11" xr:uid="{1318F206-5F0F-694C-BD72-052B10F71969}"/>
    <hyperlink ref="X668" location="'SRC-00 Solusions+ Ops List'!A12" tooltip="SRC-00 Solusions+ Ops List!A12" display="Go to S+ row 12" xr:uid="{21BE624D-B7F2-1E4B-A410-F4AAD46E3F9E}"/>
    <hyperlink ref="X669" location="'SRC-00 Solusions+ Ops List'!A13" tooltip="SRC-00 Solusions+ Ops List!A13" display="Go to S+ row 13" xr:uid="{C2A90BE7-3D88-3048-9D28-DC1F4E38DC37}"/>
    <hyperlink ref="X670" location="'SRC-00 Solusions+ Ops List'!A14" tooltip="SRC-00 Solusions+ Ops List!A14" display="Go to S+ row 14" xr:uid="{EAF843F7-8FD3-5046-B464-F9F25B9DE107}"/>
    <hyperlink ref="X671" location="'SRC-00 Solusions+ Ops List'!A15" tooltip="SRC-00 Solusions+ Ops List!A15" display="Go to S+ row 15" xr:uid="{88F13E87-01C9-CA4C-8F00-1D2444292CBC}"/>
    <hyperlink ref="X672" location="'SRC-00 Solusions+ Ops List'!A16" tooltip="SRC-00 Solusions+ Ops List!A16" display="Go to S+ row 16" xr:uid="{CA9579BE-D20F-764A-A99C-E3A139DAC930}"/>
    <hyperlink ref="X673" location="'SRC-00 Solusions+ Ops List'!A17" tooltip="SRC-00 Solusions+ Ops List!A17" display="Go to S+ row 17" xr:uid="{E966310E-56B2-5E48-9FAD-9E5C13CCC7CE}"/>
    <hyperlink ref="X674" location="'SRC-00 Solusions+ Ops List'!A18" tooltip="SRC-00 Solusions+ Ops List!A18" display="Go to S+ row 18" xr:uid="{C0FA844B-5E77-6944-81AC-42B2D3296426}"/>
    <hyperlink ref="X676" location="'SRC-00 Solusions+ Ops List'!A19" tooltip="SRC-00 Solusions+ Ops List!A19" display="Go to S+ row 19" xr:uid="{FC1FECF6-FB02-CD4E-BCE6-043CFB1858D4}"/>
    <hyperlink ref="X678" location="'SRC-00 Solusions+ Ops List'!A20" tooltip="SRC-00 Solusions+ Ops List!A20" display="Go to S+ row 20" xr:uid="{447D997B-6A57-BB47-9D97-11AFD9F67F24}"/>
    <hyperlink ref="X990" location="'SRC-00 Solusions+ Ops List'!A21" tooltip="SRC-00 Solusions+ Ops List!A21" display="Go to S+ row 21" xr:uid="{3C1F8835-EA71-7A4C-8D49-A0627DF8E7A2}"/>
    <hyperlink ref="X991" location="'SRC-00 Solusions+ Ops List'!A22" tooltip="SRC-00 Solusions+ Ops List!A22" display="Go to S+ row 22" xr:uid="{472F0003-785D-1945-A35F-14B788F32728}"/>
    <hyperlink ref="X457" location="'SRC-00 Solusions+ Ops List'!A23" tooltip="SRC-00 Solusions+ Ops List!A23" display="Go to S+ row 23" xr:uid="{3B6BEFB4-7788-9A48-B8FF-B6DD031AAF1A}"/>
    <hyperlink ref="X7" location="'SRC-00 Solusions+ Ops List'!A24" tooltip="SRC-00 Solusions+ Ops List!A24" display="Go to S+ row 24" xr:uid="{32FC55A4-AB1E-244D-AEA1-B102AA4D5289}"/>
    <hyperlink ref="X9" location="'SRC-00 Solusions+ Ops List'!A25" tooltip="SRC-00 Solusions+ Ops List!A25" display="Go to S+ row 25" xr:uid="{958059CD-3506-9F43-9518-B6AF21295FD3}"/>
    <hyperlink ref="X8" location="'SRC-00 Solusions+ Ops List'!A26" tooltip="SRC-00 Solusions+ Ops List!A26" display="Go to S+ row 26" xr:uid="{5FAFAC75-9D33-E94E-8E93-F7F6CB3F69D4}"/>
    <hyperlink ref="X10" location="'SRC-00 Solusions+ Ops List'!A27" tooltip="SRC-00 Solusions+ Ops List!A27" display="Go to S+ row 27" xr:uid="{075AA690-99DF-9345-85CA-5ABB4197E5F2}"/>
    <hyperlink ref="X11" location="'SRC-00 Solusions+ Ops List'!A28" tooltip="SRC-00 Solusions+ Ops List!A28" display="Go to S+ row 28" xr:uid="{F1A0C1B6-ED5E-2546-A0E1-F0616581EFF8}"/>
    <hyperlink ref="X5" location="'SRC-00 Solusions+ Ops List'!A29" tooltip="SRC-00 Solusions+ Ops List!A29" display="Go to S+ row 29" xr:uid="{7021521C-C160-6943-B98E-14F2700C4381}"/>
    <hyperlink ref="X6" location="'SRC-00 Solusions+ Ops List'!A30" tooltip="SRC-00 Solusions+ Ops List!A30" display="Go to S+ row 30" xr:uid="{3EF00515-AE09-8F40-8874-ECF013BA7B43}"/>
    <hyperlink ref="X1227" location="'SRC-00 Solusions+ Ops List'!A31" tooltip="SRC-00 Solusions+ Ops List!A31" display="Go to S+ row 31" xr:uid="{C691A5A5-5378-7448-9945-D9E6E89455B7}"/>
    <hyperlink ref="X1228" location="'SRC-00 Solusions+ Ops List'!A32" tooltip="SRC-00 Solusions+ Ops List!A32" display="Go to S+ row 32" xr:uid="{0D9BD377-5520-CD40-BA5B-2FCA084E38C7}"/>
    <hyperlink ref="X628" location="'SRC-00 Solusions+ Ops List'!A33" tooltip="SRC-00 Solusions+ Ops List!A33" display="Go to S+ row 33" xr:uid="{13AE520D-834E-8A44-888A-E9BB4FBC5A0D}"/>
    <hyperlink ref="X458" location="'SRC-00 Solusions+ Ops List'!A34" tooltip="SRC-00 Solusions+ Ops List!A34" display="Go to S+ row 34" xr:uid="{B8EDF70F-115B-6341-AE24-D7C99DCF9A17}"/>
    <hyperlink ref="X287" location="'SRC-00 Solusions+ Ops List'!A35" tooltip="SRC-00 Solusions+ Ops List!A35" display="Go to S+ row 35" xr:uid="{E847D241-AE69-EF4F-8A73-F3B83F3D6BF7}"/>
    <hyperlink ref="X288" location="'SRC-00 Solusions+ Ops List'!A36" tooltip="SRC-00 Solusions+ Ops List!A36" display="Go to S+ row 36" xr:uid="{B24CBE8C-6936-1447-8791-0BBF87340096}"/>
    <hyperlink ref="X1219" location="'SRC-00 Solusions+ Ops List'!A37" tooltip="SRC-00 Solusions+ Ops List!A37" display="Go to S+ row 37" xr:uid="{31A4EE64-2484-3C48-AC27-98E7B6E63CB8}"/>
    <hyperlink ref="X837" location="'SRC-00 Solusions+ Ops List'!A38" tooltip="SRC-00 Solusions+ Ops List!A38" display="Go to S+ row 38" xr:uid="{A1DACDE9-9B24-2A4D-8156-25E28CD08C85}"/>
    <hyperlink ref="X838" location="'SRC-00 Solusions+ Ops List'!A39" tooltip="SRC-00 Solusions+ Ops List!A39" display="Go to S+ row 39" xr:uid="{0902E8E5-D27A-8A41-A4F5-98695E57FB23}"/>
    <hyperlink ref="X992" location="'SRC-00 Solusions+ Ops List'!A40" tooltip="SRC-00 Solusions+ Ops List!A40" display="Go to S+ row 40" xr:uid="{33308B2B-784E-0B4A-B08B-8561291B1B1D}"/>
    <hyperlink ref="X993" location="'SRC-00 Solusions+ Ops List'!A41" tooltip="SRC-00 Solusions+ Ops List!A41" display="Go to S+ row 41" xr:uid="{4314743D-549A-664F-806F-51E665C9F607}"/>
    <hyperlink ref="X994" location="'SRC-00 Solusions+ Ops List'!A42" tooltip="SRC-00 Solusions+ Ops List!A42" display="Go to S+ row 42" xr:uid="{B15137B9-1848-6243-A498-A9B8211EC9CD}"/>
    <hyperlink ref="X995" location="'SRC-00 Solusions+ Ops List'!A43" tooltip="SRC-00 Solusions+ Ops List!A43" display="Go to S+ row 43" xr:uid="{53F95806-8A4D-E54A-8D2F-FE50749D381D}"/>
    <hyperlink ref="X839" location="'SRC-00 Solusions+ Ops List'!A44" tooltip="SRC-00 Solusions+ Ops List!A44" display="Go to S+ row 44" xr:uid="{A716FCA1-C42E-7D48-9A26-DEDB77D17283}"/>
    <hyperlink ref="X840" location="'SRC-00 Solusions+ Ops List'!A45" tooltip="SRC-00 Solusions+ Ops List!A45" display="Go to S+ row 45" xr:uid="{BA239A46-AAAF-694D-B2F4-00BD57A6DD9E}"/>
    <hyperlink ref="X996" location="'SRC-00 Solusions+ Ops List'!A46" tooltip="SRC-00 Solusions+ Ops List!A46" display="Go to S+ row 46" xr:uid="{4B2E335F-0143-3548-8F9F-E6A2C1722128}"/>
    <hyperlink ref="X619" location="'SRC-00 Solusions+ Ops List'!A47" tooltip="SRC-00 Solusions+ Ops List!A47" display="Go to S+ row 47" xr:uid="{518EFB99-B556-8242-81A6-B91A6599A584}"/>
    <hyperlink ref="X631" location="'SRC-00 Solusions+ Ops List'!A48" tooltip="SRC-00 Solusions+ Ops List!A48" display="Go to S+ row 48" xr:uid="{42D4F4FE-9E0A-AF45-9EEB-23BCDE0CABC7}"/>
    <hyperlink ref="X980" location="'SRC-00 Solusions+ Ops List'!A49" tooltip="SRC-00 Solusions+ Ops List!A49" display="Go to S+ row 49" xr:uid="{E81D06D5-6837-3B40-87B5-8823C313BE4C}"/>
    <hyperlink ref="X596" location="'SRC-00 Solusions+ Ops List'!A50" tooltip="SRC-00 Solusions+ Ops List!A50" display="Go to S+ row 50" xr:uid="{194AB69D-7589-074D-BFE0-FD8AD1386B0A}"/>
    <hyperlink ref="X459" location="'SRC-00 Solusions+ Ops List'!A51" tooltip="SRC-00 Solusions+ Ops List!A51" display="Go to S+ row 51" xr:uid="{0FE0C272-2089-F34E-90AA-E5685BDF025B}"/>
    <hyperlink ref="X997" location="'SRC-00 Solusions+ Ops List'!A52" tooltip="SRC-00 Solusions+ Ops List!A52" display="Go to S+ row 52" xr:uid="{3BF8E2C2-A671-784E-A695-D8285D3FC112}"/>
    <hyperlink ref="X998" location="'SRC-00 Solusions+ Ops List'!A53" tooltip="SRC-00 Solusions+ Ops List!A53" display="Go to S+ row 53" xr:uid="{D12BD5C0-0EEB-4844-A67F-FE6ABC11B3B5}"/>
    <hyperlink ref="X460" location="'SRC-00 Solusions+ Ops List'!A54" tooltip="SRC-00 Solusions+ Ops List!A54" display="Go to S+ row 54" xr:uid="{9FC0FA98-A4B8-6841-926B-9A27402AC37C}"/>
    <hyperlink ref="X461" location="'SRC-00 Solusions+ Ops List'!A55" tooltip="SRC-00 Solusions+ Ops List!A55" display="Go to S+ row 55" xr:uid="{AA915BED-F7EA-CE47-95FC-28F78000D460}"/>
    <hyperlink ref="X1229" location="'SRC-00 Solusions+ Ops List'!A56" tooltip="SRC-00 Solusions+ Ops List!A56" display="Go to S+ row 56" xr:uid="{D259EF9D-D109-7445-A7E8-E402355A3645}"/>
    <hyperlink ref="X841" location="'SRC-00 Solusions+ Ops List'!A57" tooltip="SRC-00 Solusions+ Ops List!A57" display="Go to S+ row 57" xr:uid="{D7D1B07C-D538-724C-850C-A977644FEF08}"/>
    <hyperlink ref="X597" location="'SRC-00 Solusions+ Ops List'!A58" tooltip="SRC-00 Solusions+ Ops List!A58" display="Go to S+ row 58" xr:uid="{AA4FAC69-2592-D348-959C-82015320D13C}"/>
    <hyperlink ref="X603" location="'SRC-01 NZSA RVG'!A44" tooltip="SRC-01 NZSA RVG!A44" display="Go to SRC-01 row 44" xr:uid="{B6873A2D-A86B-914F-831A-C281A9A64B04}"/>
    <hyperlink ref="X951" location="'SRC-00 Solusions+ Ops List'!A59" tooltip="SRC-00 Solusions+ Ops List!A59" display="Go to S+ row 59" xr:uid="{A8E5B340-CF6B-6E49-B58E-0C3C72F9D6AA}"/>
    <hyperlink ref="X952" location="'SRC-00 Solusions+ Ops List'!A60" tooltip="SRC-00 Solusions+ Ops List!A60" display="Go to S+ row 60" xr:uid="{8EFFA9A3-31AB-084B-98A9-B628C4082393}"/>
    <hyperlink ref="X842" location="'SRC-00 Solusions+ Ops List'!A61" tooltip="SRC-00 Solusions+ Ops List!A61" display="Go to S+ row 61" xr:uid="{328CA1AC-2A4B-D748-BAEF-F747D59460D3}"/>
    <hyperlink ref="X12" location="'SRC-00 Solusions+ Ops List'!A62" tooltip="SRC-00 Solusions+ Ops List!A62" display="Go to S+ row 62" xr:uid="{95EAE203-534F-134B-900A-90BF30983C45}"/>
    <hyperlink ref="X13" location="'SRC-00 Solusions+ Ops List'!A63" tooltip="SRC-00 Solusions+ Ops List!A63" display="Go to S+ row 63" xr:uid="{8E42212F-18B3-3643-B48B-C24279908DBA}"/>
    <hyperlink ref="X23" location="'SRC-00 Solusions+ Ops List'!A64" tooltip="SRC-00 Solusions+ Ops List!A64" display="Go to S+ row 64" xr:uid="{B15AC564-30ED-2F44-B7A5-6E3C289C8AF1}"/>
    <hyperlink ref="X1230" location="'SRC-00 Solusions+ Ops List'!A65" tooltip="SRC-00 Solusions+ Ops List!A65" display="Go to S+ row 65" xr:uid="{40A0AE06-8987-7B4C-855A-662232059254}"/>
    <hyperlink ref="X528" location="'SRC-00 Solusions+ Ops List'!A66" tooltip="SRC-00 Solusions+ Ops List!A66" display="Go to S+ row 66" xr:uid="{33F1184A-C062-3545-9365-99E196A3A2AD}"/>
    <hyperlink ref="X679" location="'SRC-00 Solusions+ Ops List'!A67" tooltip="SRC-00 Solusions+ Ops List!A67" display="Go to S+ row 67" xr:uid="{7EE7B056-C59D-5E41-9785-9925DD7CF903}"/>
    <hyperlink ref="X529" location="'SRC-00 Solusions+ Ops List'!A68" tooltip="SRC-00 Solusions+ Ops List!A68" display="Go to S+ row 68" xr:uid="{FA943D06-BEAE-FC4A-ADBF-A8F2D67CEDCC}"/>
    <hyperlink ref="X530" location="'SRC-00 Solusions+ Ops List'!A69" tooltip="SRC-00 Solusions+ Ops List!A69" display="Go to S+ row 69" xr:uid="{8ED68615-2AA7-A540-A902-5E857600D73D}"/>
    <hyperlink ref="X531" location="'SRC-00 Solusions+ Ops List'!A70" tooltip="SRC-00 Solusions+ Ops List!A70" display="Go to S+ row 70" xr:uid="{4DCD0988-8455-2946-8400-2B3C3540E375}"/>
    <hyperlink ref="X532" location="'SRC-00 Solusions+ Ops List'!A71" tooltip="SRC-00 Solusions+ Ops List!A71" display="Go to S+ row 71" xr:uid="{3BEBA436-BEE3-C447-BFCF-3F13EE567917}"/>
    <hyperlink ref="X536" location="'SRC-00 Solusions+ Ops List'!A72" tooltip="SRC-00 Solusions+ Ops List!A72" display="Go to S+ row 72" xr:uid="{B15C3297-C6FA-D943-BD6B-0FC582260A3A}"/>
    <hyperlink ref="X533" location="'SRC-00 Solusions+ Ops List'!A73" tooltip="SRC-00 Solusions+ Ops List!A73" display="Go to S+ row 73" xr:uid="{79F9BBC6-6EEB-D54F-8B6E-608008BFBB2C}"/>
    <hyperlink ref="X680" location="'SRC-00 Solusions+ Ops List'!A74" tooltip="SRC-00 Solusions+ Ops List!A74" display="Go to S+ row 74" xr:uid="{7A1DA003-9F15-E74C-8560-FA7D558C8C06}"/>
    <hyperlink ref="X534" location="'SRC-00 Solusions+ Ops List'!A75" tooltip="SRC-00 Solusions+ Ops List!A75" display="Go to S+ row 75" xr:uid="{7749D7AC-618E-6341-8346-1D5A34C80586}"/>
    <hyperlink ref="X535" location="'SRC-00 Solusions+ Ops List'!A76" tooltip="SRC-00 Solusions+ Ops List!A76" display="Go to S+ row 76" xr:uid="{A341E685-B944-C046-AA5C-1E3E9DAB4343}"/>
    <hyperlink ref="X537" location="'SRC-00 Solusions+ Ops List'!A77" tooltip="SRC-00 Solusions+ Ops List!A77" display="Go to S+ row 77" xr:uid="{E5A01101-E7CE-7B4C-993E-995A63FBBB42}"/>
    <hyperlink ref="X462" location="'SRC-00 Solusions+ Ops List'!A78" tooltip="SRC-00 Solusions+ Ops List!A78" display="Go to S+ row 78" xr:uid="{39E6B6D9-ED74-C04D-9D5B-C5ACF035869B}"/>
    <hyperlink ref="X290" location="'SRC-00 Solusions+ Ops List'!A79" tooltip="SRC-00 Solusions+ Ops List!A79" display="Go to S+ row 79" xr:uid="{768B7DD0-8516-D845-9AF2-8F5D64E5E478}"/>
    <hyperlink ref="X291" location="'SRC-00 Solusions+ Ops List'!A80" tooltip="SRC-00 Solusions+ Ops List!A80" display="Go to S+ row 80" xr:uid="{90242B58-E3F6-7F4A-AC27-8EC2B3188CA0}"/>
    <hyperlink ref="X14" location="'SRC-00 Solusions+ Ops List'!A81" tooltip="SRC-00 Solusions+ Ops List!A81" display="Go to S+ row 81" xr:uid="{32A8DD97-11DC-494A-8C5C-2DD1153F17CE}"/>
    <hyperlink ref="X15" location="'SRC-00 Solusions+ Ops List'!A82" tooltip="SRC-00 Solusions+ Ops List!A82" display="Go to S+ row 82" xr:uid="{AAEB51FA-F7E0-AC40-A3C7-35A8C5F77E17}"/>
    <hyperlink ref="X16" location="'SRC-00 Solusions+ Ops List'!A83" tooltip="SRC-00 Solusions+ Ops List!A83" display="Go to S+ row 83" xr:uid="{5714A7AA-9955-C343-8E5E-22E73B77509A}"/>
    <hyperlink ref="X17" location="'SRC-00 Solusions+ Ops List'!A84" tooltip="SRC-00 Solusions+ Ops List!A84" display="Go to S+ row 84" xr:uid="{B659CE91-6954-8347-B7DA-59FE1A4D83B5}"/>
    <hyperlink ref="X1231" location="'SRC-00 Solusions+ Ops List'!A85" tooltip="SRC-00 Solusions+ Ops List!A85" display="Go to S+ row 85" xr:uid="{257829E5-4811-3941-97D2-E151BA8DE9C3}"/>
    <hyperlink ref="X18" location="'SRC-00 Solusions+ Ops List'!A86" tooltip="SRC-00 Solusions+ Ops List!A86" display="Go to S+ row 86" xr:uid="{6239FDFC-F64A-D043-9E47-9969633E0670}"/>
    <hyperlink ref="X681" location="'SRC-00 Solusions+ Ops List'!A87" tooltip="SRC-00 Solusions+ Ops List!A87" display="Go to S+ row 87" xr:uid="{7002FAEB-572F-4E4B-836B-67DD02869DCE}"/>
    <hyperlink ref="X1232" location="'SRC-00 Solusions+ Ops List'!A88" tooltip="SRC-00 Solusions+ Ops List!A88" display="Go to S+ row 88" xr:uid="{345BA13E-A851-E540-B443-1A790EBD3552}"/>
    <hyperlink ref="X19" location="'SRC-00 Solusions+ Ops List'!A89" tooltip="SRC-00 Solusions+ Ops List!A89" display="Go to S+ row 89" xr:uid="{2A771D70-F41B-AE4B-A4F8-63DE112575E8}"/>
    <hyperlink ref="X20" location="'SRC-00 Solusions+ Ops List'!A90" tooltip="SRC-00 Solusions+ Ops List!A90" display="Go to S+ row 90" xr:uid="{BC546B00-B983-8F4E-9BBC-9724E3628B99}"/>
    <hyperlink ref="X538" location="'SRC-00 Solusions+ Ops List'!A91" tooltip="SRC-00 Solusions+ Ops List!A91" display="Go to S+ row 91" xr:uid="{8500C798-699E-4B4E-8F17-B2209BCA3D1A}"/>
    <hyperlink ref="X539" location="'SRC-00 Solusions+ Ops List'!A92" tooltip="SRC-00 Solusions+ Ops List!A92" display="Go to S+ row 92" xr:uid="{BE995508-EEC0-064E-93BE-8FEF43A23234}"/>
    <hyperlink ref="X540" location="'SRC-00 Solusions+ Ops List'!A93" tooltip="SRC-00 Solusions+ Ops List!A93" display="Go to S+ row 93" xr:uid="{8F97FCA0-05D6-CB4B-AED0-D8E46F722E18}"/>
    <hyperlink ref="X21" location="'SRC-00 Solusions+ Ops List'!A94" tooltip="SRC-00 Solusions+ Ops List!A94" display="Go to S+ row 94" xr:uid="{F8B53B77-3627-AE46-BF82-146B6797A0C7}"/>
    <hyperlink ref="X22" location="'SRC-00 Solusions+ Ops List'!A95" tooltip="SRC-00 Solusions+ Ops List!A95" display="Go to S+ row 95" xr:uid="{A6F971E0-7929-4A49-B983-05A2DAB4782E}"/>
    <hyperlink ref="X24" location="'SRC-00 Solusions+ Ops List'!A96" tooltip="SRC-00 Solusions+ Ops List!A96" display="Go to S+ row 96" xr:uid="{0ED31D5F-2BAE-9246-8936-6D0211388D1E}"/>
    <hyperlink ref="X541" location="'SRC-00 Solusions+ Ops List'!A97" tooltip="SRC-00 Solusions+ Ops List!A97" display="Go to S+ row 97" xr:uid="{C83B397D-8F71-974D-971C-D1FC0EBEE3F3}"/>
    <hyperlink ref="X542" location="'SRC-00 Solusions+ Ops List'!A98" tooltip="SRC-00 Solusions+ Ops List!A98" display="Go to S+ row 98" xr:uid="{27465187-E641-8241-9D51-300DA41C4726}"/>
    <hyperlink ref="X543" location="'SRC-00 Solusions+ Ops List'!A99" tooltip="SRC-00 Solusions+ Ops List!A99" display="Go to S+ row 99" xr:uid="{20E049ED-20DA-2D4B-A389-772539B48CAC}"/>
    <hyperlink ref="X544" location="'SRC-00 Solusions+ Ops List'!A100" tooltip="SRC-00 Solusions+ Ops List!A100" display="Go to S+ row 100" xr:uid="{B0B31A9F-4E29-8B41-9D77-B0A6D76D9E47}"/>
    <hyperlink ref="X545" location="'SRC-00 Solusions+ Ops List'!A101" tooltip="SRC-00 Solusions+ Ops List!A101" display="Go to S+ row 101" xr:uid="{B560DAAF-A885-C546-A143-0CA8D9977BE7}"/>
    <hyperlink ref="X546" location="'SRC-00 Solusions+ Ops List'!A102" tooltip="SRC-00 Solusions+ Ops List!A102" display="Go to S+ row 102" xr:uid="{366A170D-E66F-7441-BDAC-1F7BFAE20528}"/>
    <hyperlink ref="X547" location="'SRC-00 Solusions+ Ops List'!A103" tooltip="SRC-00 Solusions+ Ops List!A103" display="Go to S+ row 103" xr:uid="{6CD25DD1-7176-FB45-9F44-41854FC553B7}"/>
    <hyperlink ref="X25" location="'SRC-00 Solusions+ Ops List'!A104" tooltip="SRC-00 Solusions+ Ops List!A104" display="Go to S+ row 104" xr:uid="{537CADFA-79F6-1F48-A20C-AE0D1AD1F5CF}"/>
    <hyperlink ref="X26" location="'SRC-00 Solusions+ Ops List'!A105" tooltip="SRC-00 Solusions+ Ops List!A105" display="Go to S+ row 105" xr:uid="{9078A666-5ABD-1D49-B08C-70799FE1236C}"/>
    <hyperlink ref="X27" location="'SRC-00 Solusions+ Ops List'!A106" tooltip="SRC-00 Solusions+ Ops List!A106" display="Go to S+ row 106" xr:uid="{DE9F6712-EA90-CA4A-A7E8-79A815F9DC35}"/>
    <hyperlink ref="X292" location="'SRC-00 Solusions+ Ops List'!A107" tooltip="SRC-00 Solusions+ Ops List!A107" display="Go to S+ row 107" xr:uid="{9E61981B-2B63-734A-869C-CB74C287DC22}"/>
    <hyperlink ref="X31" location="'SRC-00 Solusions+ Ops List'!A108" tooltip="SRC-00 Solusions+ Ops List!A108" display="Go to S+ row 108" xr:uid="{1BC30944-78A9-9141-B535-8BC82212BFCB}"/>
    <hyperlink ref="X843" location="'SRC-00 Solusions+ Ops List'!A109" tooltip="SRC-00 Solusions+ Ops List!A109" display="Go to S+ row 109" xr:uid="{863D7EB4-248B-364C-9C7B-6B1A410B9845}"/>
    <hyperlink ref="X32" location="'SRC-00 Solusions+ Ops List'!A110" tooltip="SRC-00 Solusions+ Ops List!A110" display="Go to S+ row 110" xr:uid="{9DE93ADD-7153-7C4E-9254-862F34AD9845}"/>
    <hyperlink ref="X33" location="'SRC-00 Solusions+ Ops List'!A111" tooltip="SRC-00 Solusions+ Ops List!A111" display="Go to S+ row 111" xr:uid="{BDAD41BA-A1E0-924E-BFEF-FFD8B0092D17}"/>
    <hyperlink ref="X999" location="'SRC-00 Solusions+ Ops List'!A112" tooltip="SRC-00 Solusions+ Ops List!A112" display="Go to S+ row 112" xr:uid="{8363C6C9-3FEF-674E-8DCB-F9811E040984}"/>
    <hyperlink ref="X1000" location="'SRC-00 Solusions+ Ops List'!A113" tooltip="SRC-00 Solusions+ Ops List!A113" display="Go to S+ row 113" xr:uid="{DF6AEE3C-AD9B-154D-905D-423D7E36664D}"/>
    <hyperlink ref="X34" location="'SRC-00 Solusions+ Ops List'!A114" tooltip="SRC-00 Solusions+ Ops List!A114" display="Go to S+ row 114" xr:uid="{D1506213-BAFB-CD49-B9CA-78A26BB97EDE}"/>
    <hyperlink ref="X38" location="'SRC-00 Solusions+ Ops List'!A115" tooltip="SRC-00 Solusions+ Ops List!A115" display="Go to S+ row 115" xr:uid="{0FF83E46-439B-4B4B-9654-DD78972F1260}"/>
    <hyperlink ref="X35" location="'SRC-00 Solusions+ Ops List'!A116" tooltip="SRC-00 Solusions+ Ops List!A116" display="Go to S+ row 116" xr:uid="{EE06486A-213A-2740-8CF6-D4C8B98EBAE0}"/>
    <hyperlink ref="X36" location="'SRC-00 Solusions+ Ops List'!A117" tooltip="SRC-00 Solusions+ Ops List!A117" display="Go to S+ row 117" xr:uid="{A8BC8FD8-DF9E-5343-8CAC-FB75B8EEF33D}"/>
    <hyperlink ref="X37" location="'SRC-00 Solusions+ Ops List'!A118" tooltip="SRC-00 Solusions+ Ops List!A118" display="Go to S+ row 118" xr:uid="{7BF8B0B4-1AF9-4C41-B1E2-0B96748629E2}"/>
    <hyperlink ref="X39" location="'SRC-00 Solusions+ Ops List'!A119" tooltip="SRC-00 Solusions+ Ops List!A119" display="Go to S+ row 119" xr:uid="{1F1F0EC1-4AB3-F444-8E13-B5E50C9BD9AE}"/>
    <hyperlink ref="X40" location="'SRC-00 Solusions+ Ops List'!A120" tooltip="SRC-00 Solusions+ Ops List!A120" display="Go to S+ row 120" xr:uid="{BECEBDF0-ABBC-264E-953D-0C2177D30E2E}"/>
    <hyperlink ref="X41" location="'SRC-00 Solusions+ Ops List'!A121" tooltip="SRC-00 Solusions+ Ops List!A121" display="Go to S+ row 121" xr:uid="{F22DDF9F-718C-9D4B-A26F-B14F64F5431D}"/>
    <hyperlink ref="X42" location="'SRC-00 Solusions+ Ops List'!A122" tooltip="SRC-00 Solusions+ Ops List!A122" display="Go to S+ row 122" xr:uid="{BFD46092-9FAB-6941-88A4-09FC77DB6503}"/>
    <hyperlink ref="X43" location="'SRC-00 Solusions+ Ops List'!A123" tooltip="SRC-00 Solusions+ Ops List!A123" display="Go to S+ row 123" xr:uid="{670F3082-A658-B440-B29C-2715F5BF7826}"/>
    <hyperlink ref="X44" location="'SRC-00 Solusions+ Ops List'!A124" tooltip="SRC-00 Solusions+ Ops List!A124" display="Go to S+ row 124" xr:uid="{FE7DF528-E48A-1B44-8E9E-8BCB40376852}"/>
    <hyperlink ref="X45" location="'SRC-00 Solusions+ Ops List'!A125" tooltip="SRC-00 Solusions+ Ops List!A125" display="Go to S+ row 125" xr:uid="{D4DF857A-AE25-1142-AF0E-7DBDE2D83E5C}"/>
    <hyperlink ref="X1233" location="'SRC-00 Solusions+ Ops List'!A126" tooltip="SRC-00 Solusions+ Ops List!A126" display="Go to S+ row 126" xr:uid="{24ACC8E1-D510-3A4D-8BB7-B97E33481B30}"/>
    <hyperlink ref="X48" location="'SRC-00 Solusions+ Ops List'!A127" tooltip="SRC-00 Solusions+ Ops List!A127" display="Go to S+ row 127" xr:uid="{FAA93336-B088-7E4D-A062-EB67C110DB00}"/>
    <hyperlink ref="X682" location="'SRC-00 Solusions+ Ops List'!A128" tooltip="SRC-00 Solusions+ Ops List!A128" display="Go to S+ row 128" xr:uid="{EEDBFA2A-390F-AE46-A3D5-7771A5C9C9AD}"/>
    <hyperlink ref="X844" location="'SRC-00 Solusions+ Ops List'!A129" tooltip="SRC-00 Solusions+ Ops List!A129" display="Go to S+ row 129" xr:uid="{47145CBB-CA09-4B4E-987F-3445BD56585A}"/>
    <hyperlink ref="X1234" location="'SRC-00 Solusions+ Ops List'!A130" tooltip="SRC-00 Solusions+ Ops List!A130" display="Go to S+ row 130" xr:uid="{F254A8AD-B758-354F-996F-D9A498623696}"/>
    <hyperlink ref="X1235" location="'SRC-00 Solusions+ Ops List'!A131" tooltip="SRC-00 Solusions+ Ops List!A131" display="Go to S+ row 131" xr:uid="{374A2C76-6144-5048-A7B0-E60531BCB1AC}"/>
    <hyperlink ref="X1236" location="'SRC-00 Solusions+ Ops List'!A132" tooltip="SRC-00 Solusions+ Ops List!A132" display="Go to S+ row 132" xr:uid="{DC8FE3AC-4724-1C4B-B044-0FF570034556}"/>
    <hyperlink ref="X1237" location="'SRC-00 Solusions+ Ops List'!A133" tooltip="SRC-00 Solusions+ Ops List!A133" display="Go to S+ row 133" xr:uid="{D2A3BD52-DC8B-C149-B75A-67FDF7356734}"/>
    <hyperlink ref="X1238" location="'SRC-00 Solusions+ Ops List'!A134" tooltip="SRC-00 Solusions+ Ops List!A134" display="Go to S+ row 134" xr:uid="{BE056F65-839B-F947-8112-A38BD1FE0AD3}"/>
    <hyperlink ref="X953" location="'SRC-00 Solusions+ Ops List'!A135" tooltip="SRC-00 Solusions+ Ops List!A135" display="Go to S+ row 135" xr:uid="{43704B41-8672-C04E-BB95-3C98AB35E4C7}"/>
    <hyperlink ref="X548" location="'SRC-00 Solusions+ Ops List'!A136" tooltip="SRC-00 Solusions+ Ops List!A136" display="Go to S+ row 136" xr:uid="{B18CF23C-FA9B-5947-B7DB-CCD20B913BD9}"/>
    <hyperlink ref="X549" location="'SRC-00 Solusions+ Ops List'!A137" tooltip="SRC-00 Solusions+ Ops List!A137" display="Go to S+ row 137" xr:uid="{AE226FF9-96E6-6C4E-8D2C-99579C608140}"/>
    <hyperlink ref="X551" location="'SRC-00 Solusions+ Ops List'!A138" tooltip="SRC-00 Solusions+ Ops List!A138" display="Go to S+ row 138" xr:uid="{9A33C8F0-4AC7-C14A-BB1F-593D710933EA}"/>
    <hyperlink ref="X552" location="'SRC-00 Solusions+ Ops List'!A139" tooltip="SRC-00 Solusions+ Ops List!A139" display="Go to S+ row 139" xr:uid="{B8AF4CC3-7BE5-E345-B297-025907944A55}"/>
    <hyperlink ref="X554" location="'SRC-00 Solusions+ Ops List'!A140" tooltip="SRC-00 Solusions+ Ops List!A140" display="Go to S+ row 140" xr:uid="{B68EF984-2C75-0F44-915F-DF948397EB5E}"/>
    <hyperlink ref="X555" location="'SRC-00 Solusions+ Ops List'!A141" tooltip="SRC-00 Solusions+ Ops List!A141" display="Go to S+ row 141" xr:uid="{AC85DBBC-3C14-8848-9301-9FF99C676A0C}"/>
    <hyperlink ref="X57" location="'SRC-00 Solusions+ Ops List'!A142" tooltip="SRC-00 Solusions+ Ops List!A142" display="Go to S+ row 142" xr:uid="{DB0EAECB-5754-C048-B84A-E2B324CDE134}"/>
    <hyperlink ref="X58" location="'SRC-00 Solusions+ Ops List'!A143" tooltip="SRC-00 Solusions+ Ops List!A143" display="Go to S+ row 143" xr:uid="{4B66C1EA-283B-2345-8E4C-99CC4169CFB5}"/>
    <hyperlink ref="X59" location="'SRC-00 Solusions+ Ops List'!A144" tooltip="SRC-00 Solusions+ Ops List!A144" display="Go to S+ row 144" xr:uid="{E4559375-8B60-AF4D-84D1-785A61EADFD6}"/>
    <hyperlink ref="X1001" location="'SRC-00 Solusions+ Ops List'!A145" tooltip="SRC-00 Solusions+ Ops List!A145" display="Go to S+ row 145" xr:uid="{253462F9-F9C5-0E46-8342-A61B1B051A93}"/>
    <hyperlink ref="X621" location="'SRC-00 Solusions+ Ops List'!A146" tooltip="SRC-00 Solusions+ Ops List!A146" display="Go to S+ row 146" xr:uid="{FB6A09AC-E6AA-774D-BDF1-A1C95D72350A}"/>
    <hyperlink ref="X622" location="'SRC-00 Solusions+ Ops List'!A147" tooltip="SRC-00 Solusions+ Ops List!A147" display="Go to S+ row 147" xr:uid="{07B43FC2-7284-7A47-B61F-6849BB9194B6}"/>
    <hyperlink ref="X598" location="'SRC-00 Solusions+ Ops List'!A148" tooltip="SRC-00 Solusions+ Ops List!A148" display="Go to S+ row 148" xr:uid="{7EE021B2-04DD-3047-9D58-C1B29FE55DE6}"/>
    <hyperlink ref="X1103" location="'SRC-00 Solusions+ Ops List'!A149" tooltip="SRC-00 Solusions+ Ops List!A149" display="Go to S+ row 149" xr:uid="{1A7163B2-05EE-CF46-AB1B-170C846EA90D}"/>
    <hyperlink ref="X1105" location="'SRC-01 NZSA RVG'!A101" tooltip="SRC-01 NZSA RVG!A101" display="Go to SRC-01 row 101" xr:uid="{9E989CDD-77F0-894C-B6B7-FC2C26094C86}"/>
    <hyperlink ref="X981" location="'SRC-00 Solusions+ Ops List'!A150" tooltip="SRC-00 Solusions+ Ops List!A150" display="Go to S+ row 150" xr:uid="{917A9B2A-02A1-4047-AFF0-CC666AF363F7}"/>
    <hyperlink ref="X463" location="'SRC-00 Solusions+ Ops List'!A151" tooltip="SRC-00 Solusions+ Ops List!A151" display="Go to S+ row 151" xr:uid="{2C3DFAE1-38D1-3844-8201-F47273D49216}"/>
    <hyperlink ref="X295" location="'SRC-00 Solusions+ Ops List'!A152" tooltip="SRC-00 Solusions+ Ops List!A152" display="Go to S+ row 152" xr:uid="{2CF1EF9B-7C52-4E47-8A77-78BCCD92CD4B}"/>
    <hyperlink ref="X300" location="'SRC-00 Solusions+ Ops List'!A153" tooltip="SRC-00 Solusions+ Ops List!A153" display="Go to S+ row 153" xr:uid="{C82F9BB0-5BF8-5A43-8B41-EA2567B36511}"/>
    <hyperlink ref="X302" location="'SRC-00 Solusions+ Ops List'!A154" tooltip="SRC-00 Solusions+ Ops List!A154" display="Go to S+ row 154" xr:uid="{169794E3-DAD7-4948-88E6-8A91DBDC5FC0}"/>
    <hyperlink ref="X296" location="'SRC-00 Solusions+ Ops List'!A155" tooltip="SRC-00 Solusions+ Ops List!A155" display="Go to S+ row 155" xr:uid="{1E53FE8F-BCFA-2044-9998-BE581B2079A0}"/>
    <hyperlink ref="X297" location="'SRC-00 Solusions+ Ops List'!A156" tooltip="SRC-00 Solusions+ Ops List!A156" display="Go to S+ row 156" xr:uid="{37ABD765-84BB-224C-A72E-A59CE37FC99E}"/>
    <hyperlink ref="X298" location="'SRC-00 Solusions+ Ops List'!A157" tooltip="SRC-00 Solusions+ Ops List!A157" display="Go to S+ row 157" xr:uid="{B14A1DF1-1F51-D947-AD79-92EE6A6620BC}"/>
    <hyperlink ref="X301" location="'SRC-00 Solusions+ Ops List'!A158" tooltip="SRC-00 Solusions+ Ops List!A158" display="Go to S+ row 158" xr:uid="{AE8EEBC6-D16C-204E-8A89-C9F8D6248EE2}"/>
    <hyperlink ref="X303" location="'SRC-00 Solusions+ Ops List'!A159" tooltip="SRC-00 Solusions+ Ops List!A159" display="Go to S+ row 159" xr:uid="{5DCAB9E1-3C7B-254A-B606-024732F3ACB3}"/>
    <hyperlink ref="X64" location="'SRC-00 Solusions+ Ops List'!A160" tooltip="SRC-00 Solusions+ Ops List!A160" display="Go to S+ row 160" xr:uid="{4AC9F05D-D8DA-4A4B-89DA-946F32762E8F}"/>
    <hyperlink ref="X558" location="'SRC-00 Solusions+ Ops List'!A161" tooltip="SRC-00 Solusions+ Ops List!A161" display="Go to S+ row 161" xr:uid="{EF5CD26F-A374-A948-B78D-70DE05929E97}"/>
    <hyperlink ref="X305" location="'SRC-00 Solusions+ Ops List'!A162" tooltip="SRC-00 Solusions+ Ops List!A162" display="Go to S+ row 162" xr:uid="{089C8E05-544C-6447-B576-C5C5AA5D903F}"/>
    <hyperlink ref="X623" location="'SRC-00 Solusions+ Ops List'!A163" tooltip="SRC-00 Solusions+ Ops List!A163" display="Go to S+ row 163" xr:uid="{155F489A-3E31-EF46-A78B-92675F67D1D8}"/>
    <hyperlink ref="X624" location="'SRC-00 Solusions+ Ops List'!A164" tooltip="SRC-00 Solusions+ Ops List!A164" display="Go to S+ row 164" xr:uid="{F074BF1B-156B-134C-9C19-FEEB1EF54EFB}"/>
    <hyperlink ref="X627" location="'SRC-01 NZSA RVG'!A51" tooltip="SRC-01 NZSA RVG!A51" display="Go to SRC-01 row 51" xr:uid="{26DB86F6-EDD2-8441-9B69-416EEB0E7114}"/>
    <hyperlink ref="X67" location="'SRC-00 Solusions+ Ops List'!A165" tooltip="SRC-00 Solusions+ Ops List!A165" display="Go to S+ row 165" xr:uid="{86CDED77-6691-3F48-AEC3-57057CF0B101}"/>
    <hyperlink ref="X845" location="'SRC-00 Solusions+ Ops List'!A166" tooltip="SRC-00 Solusions+ Ops List!A166" display="Go to S+ row 166" xr:uid="{B8E89EE6-E08F-7043-BCEF-D7D1740502E8}"/>
    <hyperlink ref="X846" location="'SRC-00 Solusions+ Ops List'!A167" tooltip="SRC-00 Solusions+ Ops List!A167" display="Go to S+ row 167" xr:uid="{D897A3F6-ECA4-004C-ADA4-DF15AE01ECA5}"/>
    <hyperlink ref="X774" location="'SRC-00 Solusions+ Ops List'!A168" tooltip="SRC-00 Solusions+ Ops List!A168" display="Go to S+ row 168" xr:uid="{D0C1A6FA-4760-6F4A-B568-1BE02925D092}"/>
    <hyperlink ref="X775" location="'SRC-00 Solusions+ Ops List'!A169" tooltip="SRC-00 Solusions+ Ops List!A169" display="Go to S+ row 169" xr:uid="{DEE8AE08-5951-D247-935A-3305A6AFC595}"/>
    <hyperlink ref="X776" location="'SRC-00 Solusions+ Ops List'!A170" tooltip="SRC-00 Solusions+ Ops List!A170" display="Go to S+ row 170" xr:uid="{6D6928CB-08EC-5A4D-BA06-5C8442B1B829}"/>
    <hyperlink ref="X777" location="'SRC-00 Solusions+ Ops List'!A171" tooltip="SRC-00 Solusions+ Ops List!A171" display="Go to S+ row 171" xr:uid="{DAFDC1AD-181A-C247-9DBD-6906D0405BEF}"/>
    <hyperlink ref="X778" location="'SRC-00 Solusions+ Ops List'!A172" tooltip="SRC-00 Solusions+ Ops List!A172" display="Go to S+ row 172" xr:uid="{47E1BBC4-DD4F-304D-947D-1E2CE5142208}"/>
    <hyperlink ref="X68" location="'SRC-00 Solusions+ Ops List'!A173" tooltip="SRC-00 Solusions+ Ops List!A173" display="Go to S+ row 173" xr:uid="{0BE9459E-CD97-E845-9D32-41A45FDE1D4F}"/>
    <hyperlink ref="X69" location="'SRC-00 Solusions+ Ops List'!A174" tooltip="SRC-00 Solusions+ Ops List!A174" display="Go to S+ row 174" xr:uid="{A998A007-A825-7141-8EBC-39DC360BA2F1}"/>
    <hyperlink ref="X1239" location="'SRC-00 Solusions+ Ops List'!A175" tooltip="SRC-00 Solusions+ Ops List!A175" display="Go to S+ row 175" xr:uid="{3D10EE99-A54E-7C48-8A2E-31992173921B}"/>
    <hyperlink ref="X70" location="'SRC-00 Solusions+ Ops List'!A176" tooltip="SRC-00 Solusions+ Ops List!A176" display="Go to S+ row 176" xr:uid="{BAF9C336-C769-1C40-9833-486B75DBF753}"/>
    <hyperlink ref="X779" location="'SRC-00 Solusions+ Ops List'!A177" tooltip="SRC-00 Solusions+ Ops List!A177" display="Go to S+ row 177" xr:uid="{C621EB16-4D27-0646-B160-8887DE894D66}"/>
    <hyperlink ref="X1107" location="'SRC-00 Solusions+ Ops List'!A178" tooltip="SRC-00 Solusions+ Ops List!A178" display="Go to S+ row 178" xr:uid="{AC3DF94A-59C6-284F-B2F9-9F06FF661B60}"/>
    <hyperlink ref="X1108" location="'SRC-00 Solusions+ Ops List'!A179" tooltip="SRC-00 Solusions+ Ops List!A179" display="Go to S+ row 179" xr:uid="{55AB836C-3AC7-7048-91B3-08D084AEEB19}"/>
    <hyperlink ref="X1125" location="'SRC-00 Solusions+ Ops List'!A180" tooltip="SRC-00 Solusions+ Ops List!A180" display="Go to S+ row 180" xr:uid="{0CA3D773-DBE8-0D44-9767-B51C6767EF1F}"/>
    <hyperlink ref="X1109" location="'SRC-00 Solusions+ Ops List'!A181" tooltip="SRC-00 Solusions+ Ops List!A181" display="Go to S+ row 181" xr:uid="{7898CC4C-0A0D-1E48-B8D8-70324DD261A5}"/>
    <hyperlink ref="X1110" location="'SRC-00 Solusions+ Ops List'!A182" tooltip="SRC-00 Solusions+ Ops List!A182" display="Go to S+ row 182" xr:uid="{E514BB51-887E-F14C-8EE7-0F0A4BE30470}"/>
    <hyperlink ref="X1111" location="'SRC-00 Solusions+ Ops List'!A183" tooltip="SRC-00 Solusions+ Ops List!A183" display="Go to S+ row 183" xr:uid="{7B189DB5-6131-8644-851E-637DA72CCFDB}"/>
    <hyperlink ref="X1112" location="'SRC-00 Solusions+ Ops List'!A184" tooltip="SRC-00 Solusions+ Ops List!A184" display="Go to S+ row 184" xr:uid="{9B2B6C0E-7A79-184E-95ED-13C63CF71B2F}"/>
    <hyperlink ref="X1113" location="'SRC-00 Solusions+ Ops List'!A185" tooltip="SRC-00 Solusions+ Ops List!A185" display="Go to S+ row 185" xr:uid="{162F189C-05E8-9F46-98DA-0772488AEDCB}"/>
    <hyperlink ref="X1114" location="'SRC-00 Solusions+ Ops List'!A186" tooltip="SRC-00 Solusions+ Ops List!A186" display="Go to S+ row 186" xr:uid="{ADE99202-2A8B-2547-87CC-AC007A66A4F8}"/>
    <hyperlink ref="X1115" location="'SRC-00 Solusions+ Ops List'!A187" tooltip="SRC-00 Solusions+ Ops List!A187" display="Go to S+ row 187" xr:uid="{6C7C60D7-F5DC-A44A-89C7-57791C42BED9}"/>
    <hyperlink ref="X1116" location="'SRC-00 Solusions+ Ops List'!A188" tooltip="SRC-00 Solusions+ Ops List!A188" display="Go to S+ row 188" xr:uid="{5AA4E66B-8EEE-3A4E-B6EE-2F2C5431D331}"/>
    <hyperlink ref="X1117" location="'SRC-00 Solusions+ Ops List'!A189" tooltip="SRC-00 Solusions+ Ops List!A189" display="Go to S+ row 189" xr:uid="{F8CDD578-FA92-8B42-A8EE-C2B47FEBAC60}"/>
    <hyperlink ref="X1118" location="'SRC-00 Solusions+ Ops List'!A190" tooltip="SRC-00 Solusions+ Ops List!A190" display="Go to S+ row 190" xr:uid="{A9F7F2BE-CD1F-C843-BA04-B8CD1CCDE60E}"/>
    <hyperlink ref="X1120" location="'SRC-00 Solusions+ Ops List'!A191" tooltip="SRC-00 Solusions+ Ops List!A191" display="Go to S+ row 191" xr:uid="{50A7F063-2E78-8D44-A207-96702D3D046B}"/>
    <hyperlink ref="X1119" location="'SRC-00 Solusions+ Ops List'!A192" tooltip="SRC-00 Solusions+ Ops List!A192" display="Go to S+ row 192" xr:uid="{C9881F24-AA6A-3448-B85D-A139C2470E54}"/>
    <hyperlink ref="X1121" location="'SRC-00 Solusions+ Ops List'!A193" tooltip="SRC-00 Solusions+ Ops List!A193" display="Go to S+ row 193" xr:uid="{A398D0F6-C041-EA45-886A-874F2BBAF9AA}"/>
    <hyperlink ref="X1122" location="'SRC-00 Solusions+ Ops List'!A194" tooltip="SRC-00 Solusions+ Ops List!A194" display="Go to S+ row 194" xr:uid="{0D78B26D-E2E8-8C49-97E0-2460CD2A768C}"/>
    <hyperlink ref="X1123" location="'SRC-00 Solusions+ Ops List'!A195" tooltip="SRC-00 Solusions+ Ops List!A195" display="Go to S+ row 195" xr:uid="{48E3E224-53F6-1747-9E9F-2EF146FB9F71}"/>
    <hyperlink ref="X1124" location="'SRC-00 Solusions+ Ops List'!A196" tooltip="SRC-00 Solusions+ Ops List!A196" display="Go to S+ row 196" xr:uid="{09C33206-8FC8-F742-9443-05AB54C69427}"/>
    <hyperlink ref="X1126" location="'SRC-00 Solusions+ Ops List'!A197" tooltip="SRC-00 Solusions+ Ops List!A197" display="Go to S+ row 197" xr:uid="{A76750D3-33D0-E540-8A85-BDF71C6E9B91}"/>
    <hyperlink ref="X1127" location="'SRC-00 Solusions+ Ops List'!A198" tooltip="SRC-00 Solusions+ Ops List!A198" display="Go to S+ row 198" xr:uid="{6861F5AD-B8C2-E546-B2DB-DD8D36E6C22B}"/>
    <hyperlink ref="X1128" location="'SRC-00 Solusions+ Ops List'!A199" tooltip="SRC-00 Solusions+ Ops List!A199" display="Go to S+ row 199" xr:uid="{46612053-D1BB-0245-9EA2-CE95252C79AE}"/>
    <hyperlink ref="X1129" location="'SRC-00 Solusions+ Ops List'!A200" tooltip="SRC-00 Solusions+ Ops List!A200" display="Go to S+ row 200" xr:uid="{A40E8A0A-593C-8547-A9E1-10963857EAD2}"/>
    <hyperlink ref="X1130" location="'SRC-00 Solusions+ Ops List'!A201" tooltip="SRC-00 Solusions+ Ops List!A201" display="Go to S+ row 201" xr:uid="{4AF11FAE-4BF2-D045-82D6-A85AEFC3EFD2}"/>
    <hyperlink ref="X1131" location="'SRC-00 Solusions+ Ops List'!A202" tooltip="SRC-00 Solusions+ Ops List!A202" display="Go to S+ row 202" xr:uid="{A7303ABE-8E3C-A648-BA85-26C6F884F39A}"/>
    <hyperlink ref="X1132" location="'SRC-00 Solusions+ Ops List'!A203" tooltip="SRC-00 Solusions+ Ops List!A203" display="Go to S+ row 203" xr:uid="{023F8027-6934-574E-BC09-391E95090F72}"/>
    <hyperlink ref="X1133" location="'SRC-00 Solusions+ Ops List'!A204" tooltip="SRC-00 Solusions+ Ops List!A204" display="Go to S+ row 204" xr:uid="{6DC30FAD-1BF9-0544-B8DE-A08810535B46}"/>
    <hyperlink ref="X1134" location="'SRC-00 Solusions+ Ops List'!A205" tooltip="SRC-00 Solusions+ Ops List!A205" display="Go to S+ row 205" xr:uid="{F63B1A9C-415F-374D-86FF-DD4B3DFE2863}"/>
    <hyperlink ref="X1135" location="'SRC-00 Solusions+ Ops List'!A206" tooltip="SRC-00 Solusions+ Ops List!A206" display="Go to S+ row 206" xr:uid="{2F5F7902-37FC-A34C-B5A3-FC862FC44113}"/>
    <hyperlink ref="X780" location="'SRC-00 Solusions+ Ops List'!A207" tooltip="SRC-00 Solusions+ Ops List!A207" display="Go to S+ row 207" xr:uid="{7824D331-71C3-9141-B305-BFDF2CFC3A5C}"/>
    <hyperlink ref="X847" location="'SRC-00 Solusions+ Ops List'!A208" tooltip="SRC-00 Solusions+ Ops List!A208" display="Go to S+ row 208" xr:uid="{D26BCEAB-793B-F144-B802-8F125D603ECF}"/>
    <hyperlink ref="X221" location="'SRC-00 Solusions+ Ops List'!A209" tooltip="SRC-00 Solusions+ Ops List!A209" display="Go to S+ row 209" xr:uid="{95AC5BAF-4295-4C41-8BF9-132DE53D97CC}"/>
    <hyperlink ref="X1240" location="'SRC-00 Solusions+ Ops List'!A210" tooltip="SRC-00 Solusions+ Ops List!A210" display="Go to S+ row 210" xr:uid="{D25511DF-E313-A34B-AE29-973995EE3676}"/>
    <hyperlink ref="X1199" location="'SRC-00 Solusions+ Ops List'!A211" tooltip="SRC-00 Solusions+ Ops List!A211" display="Go to S+ row 211" xr:uid="{2F5B73B6-0ADC-9E43-9DFF-F455133EB7A7}"/>
    <hyperlink ref="X1200" location="'SRC-01 NZSA RVG'!A147" tooltip="SRC-01 NZSA RVG!A147" display="Go to SRC-01 row 147" xr:uid="{642DA76A-AC3E-3248-B4EA-8CBE5C8EB2F4}"/>
    <hyperlink ref="X1136" location="'SRC-00 Solusions+ Ops List'!A212" tooltip="SRC-00 Solusions+ Ops List!A212" display="Go to S+ row 212" xr:uid="{C8191EBE-79C3-B241-92A0-2E2011B2DECD}"/>
    <hyperlink ref="X308" location="'SRC-00 Solusions+ Ops List'!A213" tooltip="SRC-00 Solusions+ Ops List!A213" display="Go to S+ row 213" xr:uid="{7D7DB7A3-5FE0-0346-B7DA-0FEBCD92516A}"/>
    <hyperlink ref="X599" location="'SRC-00 Solusions+ Ops List'!A214" tooltip="SRC-00 Solusions+ Ops List!A214" display="Go to S+ row 214" xr:uid="{3F256A41-AA71-0049-B4B1-7C8B49EB7ABA}"/>
    <hyperlink ref="X72" location="'SRC-00 Solusions+ Ops List'!A215" tooltip="SRC-00 Solusions+ Ops List!A215" display="Go to S+ row 215" xr:uid="{CDE23FAF-7678-594A-94A3-F7FE9A3D7406}"/>
    <hyperlink ref="X1003" location="'SRC-00 Solusions+ Ops List'!A216" tooltip="SRC-00 Solusions+ Ops List!A216" display="Go to S+ row 216" xr:uid="{74F20C50-0E1A-B643-9C09-4D09B0CE6375}"/>
    <hyperlink ref="X559" location="'SRC-00 Solusions+ Ops List'!A217" tooltip="SRC-00 Solusions+ Ops List!A217" display="Go to S+ row 217" xr:uid="{5D61005B-04B6-F744-BF37-B8FDCF2DE15B}"/>
    <hyperlink ref="X464" location="'SRC-00 Solusions+ Ops List'!A218" tooltip="SRC-00 Solusions+ Ops List!A218" display="Go to S+ row 218" xr:uid="{56FD8EF3-269A-A340-A7F0-D55DEB356CE2}"/>
    <hyperlink ref="X272" location="'SRC-00 Solusions+ Ops List'!A219" tooltip="SRC-00 Solusions+ Ops List!A219" display="Go to S+ row 219" xr:uid="{1FA514EB-E2AE-D845-BD5C-99099650800F}"/>
    <hyperlink ref="X274" location="'SRC-01 NZSA RVG'!A18" tooltip="SRC-01 NZSA RVG!A18" display="Go to SRC-01 row 18" xr:uid="{2A632BFC-8917-8B47-BECF-C654D631A14D}"/>
    <hyperlink ref="X1004" location="'SRC-00 Solusions+ Ops List'!A220" tooltip="SRC-00 Solusions+ Ops List!A220" display="Go to S+ row 220" xr:uid="{C573B231-1BC2-0046-BF93-4CEF3F3DE53C}"/>
    <hyperlink ref="X1005" location="'SRC-00 Solusions+ Ops List'!A221" tooltip="SRC-00 Solusions+ Ops List!A221" display="Go to S+ row 221" xr:uid="{AAEBEA87-66F7-4A45-A5B0-0C6C15D715F0}"/>
    <hyperlink ref="X1221" location="'SRC-00 Solusions+ Ops List'!A222" tooltip="SRC-00 Solusions+ Ops List!A222" display="Go to S+ row 222" xr:uid="{330948AB-A342-A24F-99A2-A488CBF41761}"/>
    <hyperlink ref="X1222" location="'SRC-00 Solusions+ Ops List'!A223" tooltip="SRC-00 Solusions+ Ops List!A223" display="Go to S+ row 223" xr:uid="{94C5E3D3-1788-4545-B9D1-D240CC703412}"/>
    <hyperlink ref="X1224" location="'SRC-01 NZSA RVG'!A150" tooltip="SRC-01 NZSA RVG!A150" display="Go to SRC-01 row 150" xr:uid="{57466ACE-9333-F74F-8707-5A8AB4C84F03}"/>
    <hyperlink ref="X1223" location="'SRC-00 Solusions+ Ops List'!A224" tooltip="SRC-00 Solusions+ Ops List!A224" display="Go to S+ row 224" xr:uid="{EA079C78-EC4F-4C48-9F85-735C875A4FB5}"/>
    <hyperlink ref="X1218" location="'SRC-01 NZSA RVG'!A152" tooltip="SRC-01 NZSA RVG!A152" display="Go to SRC-01 row 152" xr:uid="{0AE39033-2F63-C54A-A166-263AEBE3ECE5}"/>
    <hyperlink ref="X848" location="'SRC-00 Solusions+ Ops List'!A225" tooltip="SRC-00 Solusions+ Ops List!A225" display="Go to S+ row 225" xr:uid="{12627B2D-5F66-9640-9C62-CAF5EF25851F}"/>
    <hyperlink ref="X849" location="'SRC-00 Solusions+ Ops List'!A226" tooltip="SRC-00 Solusions+ Ops List!A226" display="Go to S+ row 226" xr:uid="{E8C9012E-6A9A-3146-876E-AE7DEFAD4324}"/>
    <hyperlink ref="X850" location="'SRC-00 Solusions+ Ops List'!A227" tooltip="SRC-00 Solusions+ Ops List!A227" display="Go to S+ row 227" xr:uid="{1737ADE8-7552-BE4A-88EC-CFB23AACEEB2}"/>
    <hyperlink ref="X851" location="'SRC-00 Solusions+ Ops List'!A228" tooltip="SRC-00 Solusions+ Ops List!A228" display="Go to S+ row 228" xr:uid="{34E90E80-295F-2E4C-893D-753AB4AA734B}"/>
    <hyperlink ref="X852" location="'SRC-00 Solusions+ Ops List'!A229" tooltip="SRC-00 Solusions+ Ops List!A229" display="Go to S+ row 229" xr:uid="{CF0DFA3F-83A0-1A4A-82A0-820536F1AB0C}"/>
    <hyperlink ref="X853" location="'SRC-00 Solusions+ Ops List'!A230" tooltip="SRC-00 Solusions+ Ops List!A230" display="Go to S+ row 230" xr:uid="{8A117C36-EE55-F748-88AB-E1201B98606E}"/>
    <hyperlink ref="X79" location="'SRC-00 Solusions+ Ops List'!A231" tooltip="SRC-00 Solusions+ Ops List!A231" display="Go to S+ row 231" xr:uid="{9268AE62-D10E-F649-AEB1-2CFE668E70F1}"/>
    <hyperlink ref="X82" location="'SRC-00 Solusions+ Ops List'!A232" tooltip="SRC-00 Solusions+ Ops List!A232" display="Go to S+ row 232" xr:uid="{6ED8659A-BAC0-C447-80F4-8E2C5E05AE0E}"/>
    <hyperlink ref="X465" location="'SRC-00 Solusions+ Ops List'!A233" tooltip="SRC-00 Solusions+ Ops List!A233" display="Go to S+ row 233" xr:uid="{42AB98CA-C37F-904E-B3E9-B3E1026B5B46}"/>
    <hyperlink ref="X625" location="'SRC-00 Solusions+ Ops List'!A234" tooltip="SRC-00 Solusions+ Ops List!A234" display="Go to S+ row 234" xr:uid="{D3D1A5B6-993A-CC40-9FED-782508366383}"/>
    <hyperlink ref="X620" location="'SRC-01 NZSA RVG'!A50" tooltip="SRC-01 NZSA RVG!A50" display="Go to SRC-01 row 50" xr:uid="{A3CB416D-B50D-4C46-AB9C-2B300D9299AE}"/>
    <hyperlink ref="X1006" location="'SRC-00 Solusions+ Ops List'!A235" tooltip="SRC-00 Solusions+ Ops List!A235" display="Go to S+ row 235" xr:uid="{A83143D8-A71F-294D-9A7C-19522FB570B9}"/>
    <hyperlink ref="X466" location="'SRC-00 Solusions+ Ops List'!A236" tooltip="SRC-00 Solusions+ Ops List!A236" display="Go to S+ row 236" xr:uid="{503A0173-0C08-0648-AFA3-80A2ACE49E7E}"/>
    <hyperlink ref="X222" location="'SRC-00 Solusions+ Ops List'!A237" tooltip="SRC-00 Solusions+ Ops List!A237" display="Go to S+ row 237" xr:uid="{AF43EBBD-1B9F-9D41-BD07-15C399B39616}"/>
    <hyperlink ref="X223" location="'SRC-00 Solusions+ Ops List'!A238" tooltip="SRC-00 Solusions+ Ops List!A238" display="Go to S+ row 238" xr:uid="{A9F4E22E-5BEC-6E4D-BEBD-EF90B594BF92}"/>
    <hyperlink ref="X225" location="'SRC-00 Solusions+ Ops List'!A239" tooltip="SRC-00 Solusions+ Ops List!A239" display="Go to S+ row 239" xr:uid="{4B95571C-F3DD-EC4B-BA30-4FF9B9F252EA}"/>
    <hyperlink ref="X226" location="'SRC-00 Solusions+ Ops List'!A240" tooltip="SRC-00 Solusions+ Ops List!A240" display="Go to S+ row 240" xr:uid="{763587D9-6747-5446-87EF-6C2558781AC9}"/>
    <hyperlink ref="X227" location="'SRC-00 Solusions+ Ops List'!A241" tooltip="SRC-00 Solusions+ Ops List!A241" display="Go to S+ row 241" xr:uid="{42DE95C1-6437-B94F-A956-9801C76780A7}"/>
    <hyperlink ref="X1242" location="'SRC-00 Solusions+ Ops List'!A242" tooltip="SRC-00 Solusions+ Ops List!A242" display="Go to S+ row 242" xr:uid="{9D3A7A8C-E657-0F41-8110-2CCEE2A46ACB}"/>
    <hyperlink ref="X87" location="'SRC-00 Solusions+ Ops List'!A243" tooltip="SRC-00 Solusions+ Ops List!A243" display="Go to S+ row 243" xr:uid="{1F29183E-F53B-2943-829B-9036FDE3B7B4}"/>
    <hyperlink ref="X88" location="'SRC-00 Solusions+ Ops List'!A244" tooltip="SRC-00 Solusions+ Ops List!A244" display="Go to S+ row 244" xr:uid="{5BAB35BE-486A-1B49-A68C-3A74F18AFFCD}"/>
    <hyperlink ref="X89" location="'SRC-00 Solusions+ Ops List'!A245" tooltip="SRC-00 Solusions+ Ops List!A245" display="Go to S+ row 245" xr:uid="{EB971294-B78D-5549-8306-CEE0CD1CE91B}"/>
    <hyperlink ref="X319" location="'SRC-00 Solusions+ Ops List'!A246" tooltip="SRC-00 Solusions+ Ops List!A246" display="Go to S+ row 246" xr:uid="{D30AD5F3-1F40-9E4D-B482-2C4C220AF910}"/>
    <hyperlink ref="X686" location="'SRC-00 Solusions+ Ops List'!A247" tooltip="SRC-00 Solusions+ Ops List!A247" display="Go to S+ row 247" xr:uid="{18DB793E-8C39-FC4D-AA1A-D214A3920C5F}"/>
    <hyperlink ref="X854" location="'SRC-00 Solusions+ Ops List'!A248" tooltip="SRC-00 Solusions+ Ops List!A248" display="Go to S+ row 248" xr:uid="{DFDAA6F0-6085-D342-A25E-C2816CFFE096}"/>
    <hyperlink ref="X90" location="'SRC-00 Solusions+ Ops List'!A249" tooltip="SRC-00 Solusions+ Ops List!A249" display="Go to S+ row 249" xr:uid="{F19421CE-C45F-7E44-A51B-555F5C6BDC0B}"/>
    <hyperlink ref="X855" location="'SRC-00 Solusions+ Ops List'!A250" tooltip="SRC-00 Solusions+ Ops List!A250" display="Go to S+ row 250" xr:uid="{75E9CD2B-A129-AF4B-8B49-A2A019985FC9}"/>
    <hyperlink ref="X856" location="'SRC-00 Solusions+ Ops List'!A251" tooltip="SRC-00 Solusions+ Ops List!A251" display="Go to S+ row 251" xr:uid="{7D967A74-33C7-C647-A857-9395A8E1CC44}"/>
    <hyperlink ref="X857" location="'SRC-00 Solusions+ Ops List'!A252" tooltip="SRC-00 Solusions+ Ops List!A252" display="Go to S+ row 252" xr:uid="{3B54A6E2-16D8-FD4D-AFA3-93A1D8CA869F}"/>
    <hyperlink ref="X687" location="'SRC-00 Solusions+ Ops List'!A253" tooltip="SRC-00 Solusions+ Ops List!A253" display="Go to S+ row 253" xr:uid="{66FAD61C-AF11-DF4B-BB3F-FF7FE6190FD4}"/>
    <hyperlink ref="X688" location="'SRC-00 Solusions+ Ops List'!A254" tooltip="SRC-00 Solusions+ Ops List!A254" display="Go to S+ row 254" xr:uid="{2E9AB738-FB7F-B74B-972F-4DF1880462FE}"/>
    <hyperlink ref="X1243" location="'SRC-00 Solusions+ Ops List'!A255" tooltip="SRC-00 Solusions+ Ops List!A255" display="Go to S+ row 255" xr:uid="{CC871CB6-6166-6C4E-90EA-5C5DE624D8C0}"/>
    <hyperlink ref="X633" location="'SRC-00 Solusions+ Ops List'!A256" tooltip="SRC-00 Solusions+ Ops List!A256" display="Go to S+ row 256" xr:uid="{C7D5B81C-E82C-4145-B64C-4380A33064D4}"/>
    <hyperlink ref="X634" location="'SRC-00 Solusions+ Ops List'!A257" tooltip="SRC-00 Solusions+ Ops List!A257" display="Go to S+ row 257" xr:uid="{15B6E5E1-A63C-7D42-B3FE-E54B0AB2B009}"/>
    <hyperlink ref="X858" location="'SRC-00 Solusions+ Ops List'!A258" tooltip="SRC-00 Solusions+ Ops List!A258" display="Go to S+ row 258" xr:uid="{C91F8B2C-1600-BA44-B9CD-1600FD9FC6C1}"/>
    <hyperlink ref="X91" location="'SRC-00 Solusions+ Ops List'!A259" tooltip="SRC-00 Solusions+ Ops List!A259" display="Go to S+ row 259" xr:uid="{10493C31-8660-5C4C-8C6D-7108FB0F1F57}"/>
    <hyperlink ref="X467" location="'SRC-00 Solusions+ Ops List'!A260" tooltip="SRC-00 Solusions+ Ops List!A260" display="Go to S+ row 260" xr:uid="{01C72428-C851-F549-8E8E-851628477879}"/>
    <hyperlink ref="X859" location="'SRC-00 Solusions+ Ops List'!A261" tooltip="SRC-00 Solusions+ Ops List!A261" display="Go to S+ row 261" xr:uid="{7AD2D488-52F1-AD4D-8EA4-C6535114BDB1}"/>
    <hyperlink ref="X468" location="'SRC-00 Solusions+ Ops List'!A262" tooltip="SRC-00 Solusions+ Ops List!A262" display="Go to S+ row 262" xr:uid="{C1909FEC-62A5-1547-83AC-E41C09C83B50}"/>
    <hyperlink ref="X469" location="'SRC-00 Solusions+ Ops List'!A263" tooltip="SRC-00 Solusions+ Ops List!A263" display="Go to S+ row 263" xr:uid="{70C3EFBC-9BF6-6E45-BA9A-E691F4407205}"/>
    <hyperlink ref="X470" location="'SRC-00 Solusions+ Ops List'!A264" tooltip="SRC-00 Solusions+ Ops List!A264" display="Go to S+ row 264" xr:uid="{A9D86726-29F4-EB4C-ADC7-7BBCA1D766AD}"/>
    <hyperlink ref="X471" location="'SRC-00 Solusions+ Ops List'!A265" tooltip="SRC-00 Solusions+ Ops List!A265" display="Go to S+ row 265" xr:uid="{30DD62AC-961A-E644-9953-D37C7CFE7D31}"/>
    <hyperlink ref="X472" location="'SRC-00 Solusions+ Ops List'!A266" tooltip="SRC-00 Solusions+ Ops List!A266" display="Go to S+ row 266" xr:uid="{5CF918BD-9F69-5E41-A018-409D93564560}"/>
    <hyperlink ref="X560" location="'SRC-00 Solusions+ Ops List'!A267" tooltip="SRC-00 Solusions+ Ops List!A267" display="Go to S+ row 267" xr:uid="{99CDCA40-6D42-564C-916A-DF8C0E64C1E1}"/>
    <hyperlink ref="X473" location="'SRC-00 Solusions+ Ops List'!A268" tooltip="SRC-00 Solusions+ Ops List!A268" display="Go to S+ row 268" xr:uid="{44FF106D-48E1-BA43-8D60-E74CE8D35D49}"/>
    <hyperlink ref="X955" location="'SRC-00 Solusions+ Ops List'!A269" tooltip="SRC-00 Solusions+ Ops List!A269" display="Go to S+ row 269" xr:uid="{E3041BAA-64F0-E44E-AF45-8F2C3958AD91}"/>
    <hyperlink ref="X983" location="'SRC-00 Solusions+ Ops List'!A270" tooltip="SRC-00 Solusions+ Ops List!A270" display="Go to S+ row 270" xr:uid="{C9D7D12B-A83E-0243-AA2F-78C6990F4E0C}"/>
    <hyperlink ref="X988" location="'SRC-01 NZSA RVG'!A90" tooltip="SRC-01 NZSA RVG!A90" display="Go to SRC-01 row 90" xr:uid="{18A38E28-91E0-8149-80A3-725A8A2682F0}"/>
    <hyperlink ref="X860" location="'SRC-00 Solusions+ Ops List'!A271" tooltip="SRC-00 Solusions+ Ops List!A271" display="Go to S+ row 271" xr:uid="{D9BAE3E1-7C11-C544-8E27-FB2DC57E0DE7}"/>
    <hyperlink ref="X861" location="'SRC-00 Solusions+ Ops List'!A272" tooltip="SRC-00 Solusions+ Ops List!A272" display="Go to S+ row 272" xr:uid="{5B5523EC-AD40-3F44-8A62-E2F1692D7D9B}"/>
    <hyperlink ref="X94" location="'SRC-00 Solusions+ Ops List'!A273" tooltip="SRC-00 Solusions+ Ops List!A273" display="Go to S+ row 273" xr:uid="{36238878-C643-D448-B89C-42DBCD580F4E}"/>
    <hyperlink ref="X95" location="'SRC-00 Solusions+ Ops List'!A274" tooltip="SRC-00 Solusions+ Ops List!A274" display="Go to S+ row 274" xr:uid="{8C6F758E-E1A7-5C41-8F66-475898F2BB4A}"/>
    <hyperlink ref="X96" location="'SRC-00 Solusions+ Ops List'!A275" tooltip="SRC-00 Solusions+ Ops List!A275" display="Go to S+ row 275" xr:uid="{30E50822-E5E0-FD4A-9E1A-28A15BAA3BE2}"/>
    <hyperlink ref="X636" location="'SRC-00 Solusions+ Ops List'!A276" tooltip="SRC-00 Solusions+ Ops List!A276" display="Go to S+ row 276" xr:uid="{34749AFC-A1DA-6441-AC61-6418FAA0F2F1}"/>
    <hyperlink ref="X1244" location="'SRC-00 Solusions+ Ops List'!A277" tooltip="SRC-00 Solusions+ Ops List!A277" display="Go to S+ row 277" xr:uid="{B34BA22E-FA93-0F43-9F07-B115E0C655E7}"/>
    <hyperlink ref="X1245" location="'SRC-00 Solusions+ Ops List'!A278" tooltip="SRC-00 Solusions+ Ops List!A278" display="Go to S+ row 278" xr:uid="{84A27014-C04E-8B40-A111-9350328D8E3D}"/>
    <hyperlink ref="X474" location="'SRC-00 Solusions+ Ops List'!A279" tooltip="SRC-00 Solusions+ Ops List!A279" display="Go to S+ row 279" xr:uid="{053202E3-8C42-F645-A213-60ECCE811288}"/>
    <hyperlink ref="X862" location="'SRC-00 Solusions+ Ops List'!A280" tooltip="SRC-00 Solusions+ Ops List!A280" display="Go to S+ row 280" xr:uid="{85981E87-6BD7-5E4B-9C70-A090F1F38D70}"/>
    <hyperlink ref="X689" location="'SRC-00 Solusions+ Ops List'!A281" tooltip="SRC-00 Solusions+ Ops List!A281" display="Go to S+ row 281" xr:uid="{C3014027-F912-AB4E-9C61-9B6A20951B30}"/>
    <hyperlink ref="X1246" location="'SRC-00 Solusions+ Ops List'!A282" tooltip="SRC-00 Solusions+ Ops List!A282" display="Go to S+ row 282" xr:uid="{9C522C56-C90B-4342-9EFC-4E8281B22AFA}"/>
    <hyperlink ref="X1139" location="'SRC-00 Solusions+ Ops List'!A283" tooltip="SRC-00 Solusions+ Ops List!A283" display="Go to S+ row 283" xr:uid="{2400D44A-2D2E-6E45-882F-00F7B32AD64D}"/>
    <hyperlink ref="X863" location="'SRC-00 Solusions+ Ops List'!A284" tooltip="SRC-00 Solusions+ Ops List!A284" display="Go to S+ row 284" xr:uid="{4FED99C2-CCA4-B941-A4A7-4176EF2680D1}"/>
    <hyperlink ref="X864" location="'SRC-00 Solusions+ Ops List'!A285" tooltip="SRC-00 Solusions+ Ops List!A285" display="Go to S+ row 285" xr:uid="{5F1C2210-EE97-8641-9955-751D393A65B4}"/>
    <hyperlink ref="X1161" location="'SRC-00 Solusions+ Ops List'!A286" tooltip="SRC-00 Solusions+ Ops List!A286" display="Go to S+ row 286" xr:uid="{3994F0CF-51B0-2941-BBFA-B70203AD5E76}"/>
    <hyperlink ref="X1162" location="'SRC-00 Solusions+ Ops List'!A287" tooltip="SRC-00 Solusions+ Ops List!A287" display="Go to S+ row 287" xr:uid="{69C659BF-FA9B-914D-9BCC-0648F8EB9B07}"/>
    <hyperlink ref="X1163" location="'SRC-00 Solusions+ Ops List'!A288" tooltip="SRC-00 Solusions+ Ops List!A288" display="Go to S+ row 288" xr:uid="{3254C433-7D3A-0346-88CE-095591F24D2C}"/>
    <hyperlink ref="X1164" location="'SRC-00 Solusions+ Ops List'!A289" tooltip="SRC-00 Solusions+ Ops List!A289" display="Go to S+ row 289" xr:uid="{D1C095B1-EA54-C544-8D37-B5D3E4DF8421}"/>
    <hyperlink ref="X1247" location="'SRC-00 Solusions+ Ops List'!A290" tooltip="SRC-00 Solusions+ Ops List!A290" display="Go to S+ row 290" xr:uid="{C711B97A-BEFA-3045-A793-3204844DA669}"/>
    <hyperlink ref="X865" location="'SRC-00 Solusions+ Ops List'!A291" tooltip="SRC-00 Solusions+ Ops List!A291" display="Go to S+ row 291" xr:uid="{CEE4A692-2498-5C41-BD8B-82C1C1E2E9F6}"/>
    <hyperlink ref="X866" location="'SRC-00 Solusions+ Ops List'!A292" tooltip="SRC-00 Solusions+ Ops List!A292" display="Go to S+ row 292" xr:uid="{7C60A839-941F-8349-B19F-9401123BE60F}"/>
    <hyperlink ref="X867" location="'SRC-00 Solusions+ Ops List'!A293" tooltip="SRC-00 Solusions+ Ops List!A293" display="Go to S+ row 293" xr:uid="{7C9B1024-600A-4648-AAC8-406F278FFF94}"/>
    <hyperlink ref="X868" location="'SRC-00 Solusions+ Ops List'!A294" tooltip="SRC-00 Solusions+ Ops List!A294" display="Go to S+ row 294" xr:uid="{E02B5046-8CF0-D142-BB96-EF04B2C05BB8}"/>
    <hyperlink ref="X869" location="'SRC-00 Solusions+ Ops List'!A295" tooltip="SRC-00 Solusions+ Ops List!A295" display="Go to S+ row 295" xr:uid="{493F3937-4046-0E46-9176-8435767FEC23}"/>
    <hyperlink ref="X870" location="'SRC-00 Solusions+ Ops List'!A296" tooltip="SRC-00 Solusions+ Ops List!A296" display="Go to S+ row 296" xr:uid="{8B5A60BC-7446-D940-B5AD-3C486A228970}"/>
    <hyperlink ref="X871" location="'SRC-00 Solusions+ Ops List'!A297" tooltip="SRC-00 Solusions+ Ops List!A297" display="Go to S+ row 297" xr:uid="{4EF09CE0-8325-2649-991B-32F8121F0FA1}"/>
    <hyperlink ref="X872" location="'SRC-00 Solusions+ Ops List'!A298" tooltip="SRC-00 Solusions+ Ops List!A298" display="Go to S+ row 298" xr:uid="{D9C8085D-D387-4D49-9EA6-15864CCF0D66}"/>
    <hyperlink ref="X873" location="'SRC-00 Solusions+ Ops List'!A299" tooltip="SRC-00 Solusions+ Ops List!A299" display="Go to S+ row 299" xr:uid="{8BDB107D-E915-E047-8E81-E8CBCE3F4F4E}"/>
    <hyperlink ref="X874" location="'SRC-00 Solusions+ Ops List'!A300" tooltip="SRC-00 Solusions+ Ops List!A300" display="Go to S+ row 300" xr:uid="{71208634-24F6-F444-AB27-907CEE9F1C83}"/>
    <hyperlink ref="X1248" location="'SRC-00 Solusions+ Ops List'!A301" tooltip="SRC-00 Solusions+ Ops List!A301" display="Go to S+ row 301" xr:uid="{9A0A7FCE-D103-5046-907D-379980BAFCA0}"/>
    <hyperlink ref="X875" location="'SRC-00 Solusions+ Ops List'!A302" tooltip="SRC-00 Solusions+ Ops List!A302" display="Go to S+ row 302" xr:uid="{8F62FF67-019F-BC4D-AE70-52A2534DD51D}"/>
    <hyperlink ref="X101" location="'SRC-00 Solusions+ Ops List'!A303" tooltip="SRC-00 Solusions+ Ops List!A303" display="Go to S+ row 303" xr:uid="{6F3682FA-D1B0-9345-BC4C-63D02877EA58}"/>
    <hyperlink ref="X1249" location="'SRC-00 Solusions+ Ops List'!A304" tooltip="SRC-00 Solusions+ Ops List!A304" display="Go to S+ row 304" xr:uid="{7E8E8F57-36BF-8942-8FDA-DA1156B492E1}"/>
    <hyperlink ref="X876" location="'SRC-00 Solusions+ Ops List'!A305" tooltip="SRC-00 Solusions+ Ops List!A305" display="Go to S+ row 305" xr:uid="{92CF894A-C2CA-B24A-BE68-2BBF366301A5}"/>
    <hyperlink ref="X475" location="'SRC-00 Solusions+ Ops List'!A306" tooltip="SRC-00 Solusions+ Ops List!A306" display="Go to S+ row 306" xr:uid="{401FAE26-C4E4-3847-B87A-228A49025F02}"/>
    <hyperlink ref="X561" location="'SRC-00 Solusions+ Ops List'!A307" tooltip="SRC-00 Solusions+ Ops List!A307" display="Go to S+ row 307" xr:uid="{5D67B214-85AF-0745-9716-F6515D2C6134}"/>
    <hyperlink ref="X877" location="'SRC-00 Solusions+ Ops List'!A308" tooltip="SRC-00 Solusions+ Ops List!A308" display="Go to S+ row 308" xr:uid="{4414CA51-AB9C-5441-9C31-9063FDCB7E32}"/>
    <hyperlink ref="X476" location="'SRC-00 Solusions+ Ops List'!A309" tooltip="SRC-00 Solusions+ Ops List!A309" display="Go to S+ row 309" xr:uid="{DF811F6D-77B2-394A-9834-5F5D87F72329}"/>
    <hyperlink ref="X477" location="'SRC-00 Solusions+ Ops List'!A310" tooltip="SRC-00 Solusions+ Ops List!A310" display="Go to S+ row 310" xr:uid="{5F0FD35A-E988-1E42-AC36-92C9209FBAFC}"/>
    <hyperlink ref="X878" location="'SRC-00 Solusions+ Ops List'!A311" tooltip="SRC-00 Solusions+ Ops List!A311" display="Go to S+ row 311" xr:uid="{A92F7819-5247-8E42-A8A0-B0DC8742B126}"/>
    <hyperlink ref="X478" location="'SRC-00 Solusions+ Ops List'!A312" tooltip="SRC-00 Solusions+ Ops List!A312" display="Go to S+ row 312" xr:uid="{91D2D562-FA04-DC48-8B18-E8D933C32434}"/>
    <hyperlink ref="X524" location="'SRC-00 Solusions+ Ops List'!A313" tooltip="SRC-00 Solusions+ Ops List!A313" display="Go to S+ row 313" xr:uid="{5203453C-3324-E449-83D3-53407D46949A}"/>
    <hyperlink ref="X1250" location="'SRC-00 Solusions+ Ops List'!A314" tooltip="SRC-00 Solusions+ Ops List!A314" display="Go to S+ row 314" xr:uid="{2C2F20B4-4D1C-5340-ACE7-C563E17F5396}"/>
    <hyperlink ref="X525" location="'SRC-00 Solusions+ Ops List'!A315" tooltip="SRC-00 Solusions+ Ops List!A315" display="Go to S+ row 315" xr:uid="{5DA1BCA5-55D1-B44B-8D4C-667024C56AA6}"/>
    <hyperlink ref="X526" location="'SRC-01 NZSA RVG'!A32" tooltip="SRC-01 NZSA RVG!A32" display="Go to SRC-01 row 32" xr:uid="{22388829-2982-724B-9B27-DA470B33C970}"/>
    <hyperlink ref="X1007" location="'SRC-00 Solusions+ Ops List'!A316" tooltip="SRC-00 Solusions+ Ops List!A316" display="Go to S+ row 316" xr:uid="{C160B9CC-D3A0-7649-B7F3-49E1F820D6E0}"/>
    <hyperlink ref="X1251" location="'SRC-00 Solusions+ Ops List'!A317" tooltip="SRC-00 Solusions+ Ops List!A317" display="Go to S+ row 317" xr:uid="{557C200C-C768-2E4A-8D17-E3ED39201149}"/>
    <hyperlink ref="X1252" location="'SRC-00 Solusions+ Ops List'!A318" tooltip="SRC-00 Solusions+ Ops List!A318" display="Go to S+ row 318" xr:uid="{678D34AE-0214-2A40-AD2A-AF85B2888FAF}"/>
    <hyperlink ref="X102" location="'SRC-00 Solusions+ Ops List'!A319" tooltip="SRC-00 Solusions+ Ops List!A319" display="Go to S+ row 319" xr:uid="{9F2B1069-76C4-424A-9FEB-AB27AE8C7A3C}"/>
    <hyperlink ref="X105" location="'SRC-00 Solusions+ Ops List'!A320" tooltip="SRC-00 Solusions+ Ops List!A320" display="Go to S+ row 320" xr:uid="{8723255E-ADA6-9644-BABE-D29653797ADF}"/>
    <hyperlink ref="X106" location="'SRC-00 Solusions+ Ops List'!A321" tooltip="SRC-00 Solusions+ Ops List!A321" display="Go to S+ row 321" xr:uid="{9F2C5435-05C6-D047-887E-984B90736A26}"/>
    <hyperlink ref="X1253" location="'SRC-00 Solusions+ Ops List'!A322" tooltip="SRC-00 Solusions+ Ops List!A322" display="Go to S+ row 322" xr:uid="{14A164E1-84C4-BA4D-A639-7D5D71A8E02C}"/>
    <hyperlink ref="X879" location="'SRC-00 Solusions+ Ops List'!A323" tooltip="SRC-00 Solusions+ Ops List!A323" display="Go to S+ row 323" xr:uid="{06D8E08E-DAE9-1E42-9F9A-28F43C08A9E8}"/>
    <hyperlink ref="X880" location="'SRC-00 Solusions+ Ops List'!A324" tooltip="SRC-00 Solusions+ Ops List!A324" display="Go to S+ row 324" xr:uid="{7844A9F3-B224-2546-9D0F-0E2C191FB36D}"/>
    <hyperlink ref="X881" location="'SRC-00 Solusions+ Ops List'!A325" tooltip="SRC-00 Solusions+ Ops List!A325" display="Go to S+ row 325" xr:uid="{4053930D-5099-BA44-9648-368E5DB76E27}"/>
    <hyperlink ref="X1254" location="'SRC-00 Solusions+ Ops List'!A326" tooltip="SRC-00 Solusions+ Ops List!A326" display="Go to S+ row 326" xr:uid="{410552E7-4523-9B4F-A849-A77A4101238E}"/>
    <hyperlink ref="X228" location="'SRC-00 Solusions+ Ops List'!A327" tooltip="SRC-00 Solusions+ Ops List!A327" display="Go to S+ row 327" xr:uid="{B146934A-454D-4547-867A-06D13A46BF33}"/>
    <hyperlink ref="X690" location="'SRC-00 Solusions+ Ops List'!A328" tooltip="SRC-00 Solusions+ Ops List!A328" display="Go to S+ row 328" xr:uid="{2F4AEBE8-DC85-8947-8F9C-4C60087AD3A5}"/>
    <hyperlink ref="X107" location="'SRC-00 Solusions+ Ops List'!A329" tooltip="SRC-00 Solusions+ Ops List!A329" display="Go to S+ row 329" xr:uid="{3FFD10D5-7FFD-8640-ABE9-089AC32140BA}"/>
    <hyperlink ref="X108" location="'SRC-00 Solusions+ Ops List'!A330" tooltip="SRC-00 Solusions+ Ops List!A330" display="Go to S+ row 330" xr:uid="{AFE92B97-9F5F-5B4D-9C3D-C8D895B60204}"/>
    <hyperlink ref="X109" location="'SRC-00 Solusions+ Ops List'!A331" tooltip="SRC-00 Solusions+ Ops List!A331" display="Go to S+ row 331" xr:uid="{FA83258A-CEA0-2249-A3BE-88A094AED458}"/>
    <hyperlink ref="X110" location="'SRC-00 Solusions+ Ops List'!A332" tooltip="SRC-00 Solusions+ Ops List!A332" display="Go to S+ row 332" xr:uid="{00E2E05A-67C8-CC48-83EE-A768F166EFD7}"/>
    <hyperlink ref="X111" location="'SRC-00 Solusions+ Ops List'!A333" tooltip="SRC-00 Solusions+ Ops List!A333" display="Go to S+ row 333" xr:uid="{5877C14E-ACD2-AE42-AE5E-6FB7A89BCE82}"/>
    <hyperlink ref="X112" location="'SRC-00 Solusions+ Ops List'!A334" tooltip="SRC-00 Solusions+ Ops List!A334" display="Go to S+ row 334" xr:uid="{24C705C6-98D1-1242-BE97-AE67B23E813A}"/>
    <hyperlink ref="X229" location="'SRC-00 Solusions+ Ops List'!A335" tooltip="SRC-00 Solusions+ Ops List!A335" display="Go to S+ row 335" xr:uid="{61E15D0D-009D-B74A-A6CB-7AFFEE408194}"/>
    <hyperlink ref="X230" location="'SRC-00 Solusions+ Ops List'!A336" tooltip="SRC-00 Solusions+ Ops List!A336" display="Go to S+ row 336" xr:uid="{EF7B9242-E677-8E44-BAE0-B9FD88742E36}"/>
    <hyperlink ref="X231" location="'SRC-00 Solusions+ Ops List'!A337" tooltip="SRC-00 Solusions+ Ops List!A337" display="Go to S+ row 337" xr:uid="{A592C9C9-56E0-344A-B60D-B99EB8F6DF18}"/>
    <hyperlink ref="X232" location="'SRC-00 Solusions+ Ops List'!A338" tooltip="SRC-00 Solusions+ Ops List!A338" display="Go to S+ row 338" xr:uid="{77D28269-6460-CC47-B2F4-34008137DC47}"/>
    <hyperlink ref="X233" location="'SRC-00 Solusions+ Ops List'!A339" tooltip="SRC-00 Solusions+ Ops List!A339" display="Go to S+ row 339" xr:uid="{BC2CD4FD-9444-5C43-B208-821FF7FBEAFF}"/>
    <hyperlink ref="X234" location="'SRC-00 Solusions+ Ops List'!A340" tooltip="SRC-00 Solusions+ Ops List!A340" display="Go to S+ row 340" xr:uid="{B427E258-C8A8-2B4C-9341-405CF64881ED}"/>
    <hyperlink ref="X235" location="'SRC-00 Solusions+ Ops List'!A341" tooltip="SRC-00 Solusions+ Ops List!A341" display="Go to S+ row 341" xr:uid="{518BA2B3-C40A-8247-85AE-7CD6018FB346}"/>
    <hyperlink ref="X236" location="'SRC-00 Solusions+ Ops List'!A342" tooltip="SRC-00 Solusions+ Ops List!A342" display="Go to S+ row 342" xr:uid="{C7E7BDE5-B831-9F41-9BA9-509DCF912773}"/>
    <hyperlink ref="X237" location="'SRC-00 Solusions+ Ops List'!A343" tooltip="SRC-00 Solusions+ Ops List!A343" display="Go to S+ row 343" xr:uid="{6C4ED074-344A-0342-AB23-7FF4A812C7E2}"/>
    <hyperlink ref="X238" location="'SRC-00 Solusions+ Ops List'!A344" tooltip="SRC-00 Solusions+ Ops List!A344" display="Go to S+ row 344" xr:uid="{4A8E35FE-E804-C445-BB8D-A806EEEB7299}"/>
    <hyperlink ref="X239" location="'SRC-00 Solusions+ Ops List'!A345" tooltip="SRC-00 Solusions+ Ops List!A345" display="Go to S+ row 345" xr:uid="{6B612F3B-BA79-9543-AB7F-7D2113AA82AB}"/>
    <hyperlink ref="X240" location="'SRC-00 Solusions+ Ops List'!A346" tooltip="SRC-00 Solusions+ Ops List!A346" display="Go to S+ row 346" xr:uid="{AC9B9986-1B19-C04F-BCB3-8388C60933D8}"/>
    <hyperlink ref="X241" location="'SRC-00 Solusions+ Ops List'!A347" tooltip="SRC-00 Solusions+ Ops List!A347" display="Go to S+ row 347" xr:uid="{051E81DD-6FBE-9542-BE10-4157C3A26A42}"/>
    <hyperlink ref="X242" location="'SRC-00 Solusions+ Ops List'!A348" tooltip="SRC-00 Solusions+ Ops List!A348" display="Go to S+ row 348" xr:uid="{E8C319BD-9492-CD4F-B778-FEE36F6F3965}"/>
    <hyperlink ref="X243" location="'SRC-00 Solusions+ Ops List'!A349" tooltip="SRC-00 Solusions+ Ops List!A349" display="Go to S+ row 349" xr:uid="{E65F52FD-AD30-ED41-BF56-7032C1998063}"/>
    <hyperlink ref="X244" location="'SRC-00 Solusions+ Ops List'!A350" tooltip="SRC-00 Solusions+ Ops List!A350" display="Go to S+ row 350" xr:uid="{9BF56626-D452-6346-913D-7B92B9CE323C}"/>
    <hyperlink ref="X246" location="'SRC-00 Solusions+ Ops List'!A351" tooltip="SRC-00 Solusions+ Ops List!A351" display="Go to S+ row 351" xr:uid="{5CB2AF2D-C257-9248-9339-F83BBB6FAF92}"/>
    <hyperlink ref="X245" location="'SRC-00 Solusions+ Ops List'!A352" tooltip="SRC-00 Solusions+ Ops List!A352" display="Go to S+ row 352" xr:uid="{9A7D76BE-B6EC-FA4E-835B-6BA0963CF7E1}"/>
    <hyperlink ref="X247" location="'SRC-00 Solusions+ Ops List'!A353" tooltip="SRC-00 Solusions+ Ops List!A353" display="Go to S+ row 353" xr:uid="{4EE79C23-1732-E545-9781-207853C02B61}"/>
    <hyperlink ref="X113" location="'SRC-00 Solusions+ Ops List'!A354" tooltip="SRC-00 Solusions+ Ops List!A354" display="Go to S+ row 354" xr:uid="{3E640031-10E5-3546-9B87-D75E188A3C55}"/>
    <hyperlink ref="X114" location="'SRC-00 Solusions+ Ops List'!A355" tooltip="SRC-00 Solusions+ Ops List!A355" display="Go to S+ row 355" xr:uid="{9A9DEA93-BE2D-6145-88F1-2FA046ADE72F}"/>
    <hyperlink ref="X115" location="'SRC-00 Solusions+ Ops List'!A356" tooltip="SRC-00 Solusions+ Ops List!A356" display="Go to S+ row 356" xr:uid="{858D8E5B-8582-F140-B525-7BF14D543A64}"/>
    <hyperlink ref="X116" location="'SRC-00 Solusions+ Ops List'!A357" tooltip="SRC-00 Solusions+ Ops List!A357" display="Go to S+ row 357" xr:uid="{4127358E-0FD7-B74D-864D-1323D853E5D0}"/>
    <hyperlink ref="X117" location="'SRC-00 Solusions+ Ops List'!A358" tooltip="SRC-00 Solusions+ Ops List!A358" display="Go to S+ row 358" xr:uid="{2233AF5C-9419-E846-91FF-BECB3708AE8B}"/>
    <hyperlink ref="X119" location="'SRC-00 Solusions+ Ops List'!A359" tooltip="SRC-00 Solusions+ Ops List!A359" display="Go to S+ row 359" xr:uid="{837886FA-F53B-CB40-BC57-961C110C307E}"/>
    <hyperlink ref="X479" location="'SRC-00 Solusions+ Ops List'!A360" tooltip="SRC-00 Solusions+ Ops List!A360" display="Go to S+ row 360" xr:uid="{7D9F4CB3-D659-2C46-92FF-37DC0BB748B7}"/>
    <hyperlink ref="X562" location="'SRC-00 Solusions+ Ops List'!A361" tooltip="SRC-00 Solusions+ Ops List!A361" display="Go to S+ row 361" xr:uid="{F2753C58-2884-894B-BCA3-EDDA4D8484D8}"/>
    <hyperlink ref="X1255" location="'SRC-00 Solusions+ Ops List'!A362" tooltip="SRC-00 Solusions+ Ops List!A362" display="Go to S+ row 362" xr:uid="{C9411A18-9B95-8D48-A6D7-D397D78D394A}"/>
    <hyperlink ref="X1008" location="'SRC-00 Solusions+ Ops List'!A363" tooltip="SRC-00 Solusions+ Ops List!A363" display="Go to S+ row 363" xr:uid="{05616C3E-FBF5-D647-89D3-A064717DBDF6}"/>
    <hyperlink ref="X882" location="'SRC-00 Solusions+ Ops List'!A364" tooltip="SRC-00 Solusions+ Ops List!A364" display="Go to S+ row 364" xr:uid="{DE7B0A62-AC5D-4B49-A996-2A68914723F1}"/>
    <hyperlink ref="X122" location="'SRC-00 Solusions+ Ops List'!A365" tooltip="SRC-00 Solusions+ Ops List!A365" display="Go to S+ row 365" xr:uid="{E86CF044-F970-1245-B504-49C3D38546CB}"/>
    <hyperlink ref="X883" location="'SRC-00 Solusions+ Ops List'!A366" tooltip="SRC-00 Solusions+ Ops List!A366" display="Go to S+ row 366" xr:uid="{47D37E4A-0CBA-3445-B2DE-0741575858F3}"/>
    <hyperlink ref="X884" location="'SRC-00 Solusions+ Ops List'!A367" tooltip="SRC-00 Solusions+ Ops List!A367" display="Go to S+ row 367" xr:uid="{6A3984F5-1338-8844-B48F-C41D601CABF8}"/>
    <hyperlink ref="X1140" location="'SRC-00 Solusions+ Ops List'!A368" tooltip="SRC-00 Solusions+ Ops List!A368" display="Go to S+ row 368" xr:uid="{708AD949-394B-604B-B970-334F78683EB8}"/>
    <hyperlink ref="X1141" location="'SRC-00 Solusions+ Ops List'!A369" tooltip="SRC-00 Solusions+ Ops List!A369" display="Go to S+ row 369" xr:uid="{B4719B98-34E7-FD49-8F04-737F324ADD29}"/>
    <hyperlink ref="X782" location="'SRC-00 Solusions+ Ops List'!A370" tooltip="SRC-00 Solusions+ Ops List!A370" display="Go to S+ row 370" xr:uid="{42D52536-9B85-B047-A58A-9D3251A33564}"/>
    <hyperlink ref="X1142" location="'SRC-00 Solusions+ Ops List'!A371" tooltip="SRC-00 Solusions+ Ops List!A371" display="Go to S+ row 371" xr:uid="{9E3FC349-0A30-EC42-94EB-4140284F092B}"/>
    <hyperlink ref="X1143" location="'SRC-00 Solusions+ Ops List'!A372" tooltip="SRC-00 Solusions+ Ops List!A372" display="Go to S+ row 372" xr:uid="{DD02C465-4C76-1442-85F9-DF3F5C154B44}"/>
    <hyperlink ref="X783" location="'SRC-00 Solusions+ Ops List'!A373" tooltip="SRC-00 Solusions+ Ops List!A373" display="Go to S+ row 373" xr:uid="{ED75D3B7-7B23-CB41-9F5F-21355E10F251}"/>
    <hyperlink ref="X784" location="'SRC-00 Solusions+ Ops List'!A374" tooltip="SRC-00 Solusions+ Ops List!A374" display="Go to S+ row 374" xr:uid="{92FCA555-19F0-1940-912C-4F33BE39C337}"/>
    <hyperlink ref="X1256" location="'SRC-00 Solusions+ Ops List'!A375" tooltip="SRC-00 Solusions+ Ops List!A375" display="Go to S+ row 375" xr:uid="{40E680CC-1CFD-CA4F-8ABC-EE106796ECC4}"/>
    <hyperlink ref="X1257" location="'SRC-00 Solusions+ Ops List'!A376" tooltip="SRC-00 Solusions+ Ops List!A376" display="Go to S+ row 376" xr:uid="{0ACEA0CC-ADC6-B14B-AA48-8DABFDFDC6CD}"/>
    <hyperlink ref="X248" location="'SRC-00 Solusions+ Ops List'!A377" tooltip="SRC-00 Solusions+ Ops List!A377" display="Go to S+ row 377" xr:uid="{916FBD7E-CD7B-D746-BDBE-DC80B7035410}"/>
    <hyperlink ref="X123" location="'SRC-00 Solusions+ Ops List'!A378" tooltip="SRC-00 Solusions+ Ops List!A378" display="Go to S+ row 378" xr:uid="{472D9F02-4029-CD44-A5E3-116A7ABC94E7}"/>
    <hyperlink ref="X637" location="'SRC-00 Solusions+ Ops List'!A379" tooltip="SRC-00 Solusions+ Ops List!A379" display="Go to S+ row 379" xr:uid="{D06EBACC-D37E-E245-9958-795E3DC4CB55}"/>
    <hyperlink ref="X657" location="'SRC-01 NZSA RVG'!A60" tooltip="SRC-01 NZSA RVG!A60" display="Go to SRC-01 row 60" xr:uid="{A1D58C0F-C623-E640-BA9C-8FC218E630CE}"/>
    <hyperlink ref="X1144" location="'SRC-00 Solusions+ Ops List'!A380" tooltip="SRC-00 Solusions+ Ops List!A380" display="Go to S+ row 380" xr:uid="{F9740D2B-DE92-294D-B9C9-834534A86C18}"/>
    <hyperlink ref="X1152" location="'SRC-00 Solusions+ Ops List'!A381" tooltip="SRC-00 Solusions+ Ops List!A381" display="Go to S+ row 381" xr:uid="{AB6A3D59-0881-264E-B588-A62361261D5A}"/>
    <hyperlink ref="X1145" location="'SRC-00 Solusions+ Ops List'!A382" tooltip="SRC-00 Solusions+ Ops List!A382" display="Go to S+ row 382" xr:uid="{863AC9D4-9F08-DB46-9B9D-299F18A86B90}"/>
    <hyperlink ref="X1146" location="'SRC-00 Solusions+ Ops List'!A383" tooltip="SRC-00 Solusions+ Ops List!A383" display="Go to S+ row 383" xr:uid="{AAA00828-48A7-1649-952C-78587207521E}"/>
    <hyperlink ref="X1147" location="'SRC-00 Solusions+ Ops List'!A384" tooltip="SRC-00 Solusions+ Ops List!A384" display="Go to S+ row 384" xr:uid="{1D6D9EE8-EAAC-D74C-A9D4-2AE5ED9DADED}"/>
    <hyperlink ref="X1148" location="'SRC-00 Solusions+ Ops List'!A385" tooltip="SRC-00 Solusions+ Ops List!A385" display="Go to S+ row 385" xr:uid="{A983CE78-7AED-B046-9432-76252D1E0881}"/>
    <hyperlink ref="X1149" location="'SRC-00 Solusions+ Ops List'!A386" tooltip="SRC-00 Solusions+ Ops List!A386" display="Go to S+ row 386" xr:uid="{800D5176-DD6E-A346-8487-8AE3495C6D85}"/>
    <hyperlink ref="X1150" location="'SRC-00 Solusions+ Ops List'!A387" tooltip="SRC-00 Solusions+ Ops List!A387" display="Go to S+ row 387" xr:uid="{F55F1321-B3BF-974F-919C-06B8952D1886}"/>
    <hyperlink ref="X1151" location="'SRC-00 Solusions+ Ops List'!A388" tooltip="SRC-00 Solusions+ Ops List!A388" display="Go to S+ row 388" xr:uid="{BC52920F-C55E-9A4A-8D80-80A8B5F9375B}"/>
    <hyperlink ref="X1153" location="'SRC-00 Solusions+ Ops List'!A389" tooltip="SRC-00 Solusions+ Ops List!A389" display="Go to S+ row 389" xr:uid="{E8443002-6F23-CE45-ACB1-74456C2E2C89}"/>
    <hyperlink ref="X124" location="'SRC-00 Solusions+ Ops List'!A390" tooltip="SRC-00 Solusions+ Ops List!A390" display="Go to S+ row 390" xr:uid="{0EF06A7D-16F0-8242-ACD8-6DE66F37E855}"/>
    <hyperlink ref="X1009" location="'SRC-00 Solusions+ Ops List'!A391" tooltip="SRC-00 Solusions+ Ops List!A391" display="Go to S+ row 391" xr:uid="{392E612D-1669-8142-A6E9-3F494EE38D0D}"/>
    <hyperlink ref="X125" location="'SRC-00 Solusions+ Ops List'!A392" tooltip="SRC-00 Solusions+ Ops List!A392" display="Go to S+ row 392" xr:uid="{BD018DCF-D463-D641-B978-DA7C4ADD1BDD}"/>
    <hyperlink ref="X563" location="'SRC-00 Solusions+ Ops List'!A393" tooltip="SRC-00 Solusions+ Ops List!A393" display="Go to S+ row 393" xr:uid="{78CF7085-53E9-C84C-B894-D09E3CE8F4BC}"/>
    <hyperlink ref="X885" location="'SRC-00 Solusions+ Ops List'!A394" tooltip="SRC-00 Solusions+ Ops List!A394" display="Go to S+ row 394" xr:uid="{A8C51D5F-A708-AA4C-9719-52CA81933403}"/>
    <hyperlink ref="X886" location="'SRC-00 Solusions+ Ops List'!A395" tooltip="SRC-00 Solusions+ Ops List!A395" display="Go to S+ row 395" xr:uid="{088899D7-7BF0-E048-BFF6-C9EE22DA467D}"/>
    <hyperlink ref="X887" location="'SRC-00 Solusions+ Ops List'!A396" tooltip="SRC-00 Solusions+ Ops List!A396" display="Go to S+ row 396" xr:uid="{7CED5C59-B2C9-A64F-87D7-D0DE34F3E8F7}"/>
    <hyperlink ref="X888" location="'SRC-00 Solusions+ Ops List'!A397" tooltip="SRC-00 Solusions+ Ops List!A397" display="Go to S+ row 397" xr:uid="{0445F643-57F9-BF41-901A-115172B623BD}"/>
    <hyperlink ref="X889" location="'SRC-00 Solusions+ Ops List'!A398" tooltip="SRC-00 Solusions+ Ops List!A398" display="Go to S+ row 398" xr:uid="{531E0B54-8F17-F44F-89DB-66BBD2561623}"/>
    <hyperlink ref="X1010" location="'SRC-00 Solusions+ Ops List'!A399" tooltip="SRC-00 Solusions+ Ops List!A399" display="Go to S+ row 399" xr:uid="{218E273E-13CB-7546-B62F-AE557A8F71B0}"/>
    <hyperlink ref="X890" location="'SRC-00 Solusions+ Ops List'!A400" tooltip="SRC-00 Solusions+ Ops List!A400" display="Go to S+ row 400" xr:uid="{5C6F49CA-2FCE-4D4E-937E-20230ED4FDE3}"/>
    <hyperlink ref="X891" location="'SRC-00 Solusions+ Ops List'!A401" tooltip="SRC-00 Solusions+ Ops List!A401" display="Go to S+ row 401" xr:uid="{68F7CFF0-D76D-1541-A798-DB910B2869B6}"/>
    <hyperlink ref="X1260" location="'SRC-00 Solusions+ Ops List'!A402" tooltip="SRC-00 Solusions+ Ops List!A402" display="Go to S+ row 402" xr:uid="{9438C2A7-863B-9744-9831-31908C76F444}"/>
    <hyperlink ref="X785" location="'SRC-00 Solusions+ Ops List'!A403" tooltip="SRC-00 Solusions+ Ops List!A403" display="Go to S+ row 403" xr:uid="{9C14F4F4-ECA0-7C4A-8860-69E97F63D67B}"/>
    <hyperlink ref="X786" location="'SRC-00 Solusions+ Ops List'!A404" tooltip="SRC-00 Solusions+ Ops List!A404" display="Go to S+ row 404" xr:uid="{5A89B235-2ECF-EF48-88EB-74771ED1DA91}"/>
    <hyperlink ref="X1174" location="'SRC-00 Solusions+ Ops List'!A405" tooltip="SRC-00 Solusions+ Ops List!A405" display="Go to S+ row 405" xr:uid="{AFA57B67-37E2-4C4C-93F8-E347C7EF38B7}"/>
    <hyperlink ref="X1011" location="'SRC-00 Solusions+ Ops List'!A406" tooltip="SRC-00 Solusions+ Ops List!A406" display="Go to S+ row 406" xr:uid="{29C77007-C5A0-5C47-8D4A-2F8FB0028161}"/>
    <hyperlink ref="X1012" location="'SRC-00 Solusions+ Ops List'!A407" tooltip="SRC-00 Solusions+ Ops List!A407" display="Go to S+ row 407" xr:uid="{5DEEADED-9430-9447-8942-8A71BBD38BBB}"/>
    <hyperlink ref="X787" location="'SRC-00 Solusions+ Ops List'!A408" tooltip="SRC-00 Solusions+ Ops List!A408" display="Go to S+ row 408" xr:uid="{3ACFA7A5-8884-3440-AB06-82B11DE054D2}"/>
    <hyperlink ref="X892" location="'SRC-00 Solusions+ Ops List'!A409" tooltip="SRC-00 Solusions+ Ops List!A409" display="Go to S+ row 409" xr:uid="{48BF6422-C936-1E4B-9C0D-62E9ED1FAB44}"/>
    <hyperlink ref="X801" location="'SRC-00 Solusions+ Ops List'!A410" tooltip="SRC-00 Solusions+ Ops List!A410" display="Go to S+ row 410" xr:uid="{37EFF605-01A9-264A-9543-2CF4E7631EF5}"/>
    <hyperlink ref="X802" location="'SRC-00 Solusions+ Ops List'!A411" tooltip="SRC-00 Solusions+ Ops List!A411" display="Go to S+ row 411" xr:uid="{A46778AC-770F-724F-9A36-8B49DFED913E}"/>
    <hyperlink ref="X803" location="'SRC-00 Solusions+ Ops List'!A412" tooltip="SRC-00 Solusions+ Ops List!A412" display="Go to S+ row 412" xr:uid="{690B199A-863B-7C45-BE7F-C309B17A3BB1}"/>
    <hyperlink ref="X1013" location="'SRC-00 Solusions+ Ops List'!A413" tooltip="SRC-00 Solusions+ Ops List!A413" display="Go to S+ row 413" xr:uid="{9F1EAF9B-0E27-5B49-9E65-F2CE90582AC2}"/>
    <hyperlink ref="X1261" location="'SRC-00 Solusions+ Ops List'!A414" tooltip="SRC-00 Solusions+ Ops List!A414" display="Go to S+ row 414" xr:uid="{5B689D6C-FB34-CC47-AFC0-C8D4BBF6A593}"/>
    <hyperlink ref="X1014" location="'SRC-00 Solusions+ Ops List'!A415" tooltip="SRC-00 Solusions+ Ops List!A415" display="Go to S+ row 415" xr:uid="{28074850-FEFE-8447-A787-A5434F43F529}"/>
    <hyperlink ref="X1015" location="'SRC-00 Solusions+ Ops List'!A416" tooltip="SRC-00 Solusions+ Ops List!A416" display="Go to S+ row 416" xr:uid="{7E162336-6997-0A41-93E9-D8FB02C7654B}"/>
    <hyperlink ref="X956" location="'SRC-00 Solusions+ Ops List'!A417" tooltip="SRC-00 Solusions+ Ops List!A417" display="Go to S+ row 417" xr:uid="{AFE8CECE-B425-8243-8472-8B31F53372B0}"/>
    <hyperlink ref="X564" location="'SRC-00 Solusions+ Ops List'!A418" tooltip="SRC-00 Solusions+ Ops List!A418" display="Go to S+ row 418" xr:uid="{6669D188-253B-8C4C-807F-A116C73DE52C}"/>
    <hyperlink ref="X893" location="'SRC-00 Solusions+ Ops List'!A419" tooltip="SRC-00 Solusions+ Ops List!A419" display="Go to S+ row 419" xr:uid="{D4AE40F3-A83C-F249-B8B7-E25ECD4F2BDD}"/>
    <hyperlink ref="X894" location="'SRC-00 Solusions+ Ops List'!A420" tooltip="SRC-00 Solusions+ Ops List!A420" display="Go to S+ row 420" xr:uid="{9951956E-6055-BC48-9288-86D3C94280F6}"/>
    <hyperlink ref="X692" location="'SRC-00 Solusions+ Ops List'!A421" tooltip="SRC-00 Solusions+ Ops List!A421" display="Go to S+ row 421" xr:uid="{D95FA272-E0DA-E940-A466-47E9BE63A2FE}"/>
    <hyperlink ref="X693" location="'SRC-00 Solusions+ Ops List'!A422" tooltip="SRC-00 Solusions+ Ops List!A422" display="Go to S+ row 422" xr:uid="{E7B7318B-BA92-3548-B798-6F594663BB89}"/>
    <hyperlink ref="X694" location="'SRC-00 Solusions+ Ops List'!A423" tooltip="SRC-00 Solusions+ Ops List!A423" display="Go to S+ row 423" xr:uid="{F9FB0C53-9A45-134B-B579-6843D5E29DB8}"/>
    <hyperlink ref="X895" location="'SRC-00 Solusions+ Ops List'!A424" tooltip="SRC-00 Solusions+ Ops List!A424" display="Go to S+ row 424" xr:uid="{D4C94DF6-BE97-374F-AD34-E1B8E659F035}"/>
    <hyperlink ref="X901" location="'SRC-00 Solusions+ Ops List'!A425" tooltip="SRC-00 Solusions+ Ops List!A425" display="Go to S+ row 425" xr:uid="{8609D8D9-FAA7-C44A-B7AD-E888BAEC5175}"/>
    <hyperlink ref="X896" location="'SRC-00 Solusions+ Ops List'!A426" tooltip="SRC-00 Solusions+ Ops List!A426" display="Go to S+ row 426" xr:uid="{DAE6B49B-BE16-104A-92D7-57DCC5C83DB0}"/>
    <hyperlink ref="X897" location="'SRC-00 Solusions+ Ops List'!A427" tooltip="SRC-00 Solusions+ Ops List!A427" display="Go to S+ row 427" xr:uid="{5BE2C397-2B5D-B841-8CFC-A79B55CA05F7}"/>
    <hyperlink ref="X898" location="'SRC-00 Solusions+ Ops List'!A428" tooltip="SRC-00 Solusions+ Ops List!A428" display="Go to S+ row 428" xr:uid="{4E4438CF-DBFD-5343-A82C-2C1158677F7E}"/>
    <hyperlink ref="X899" location="'SRC-00 Solusions+ Ops List'!A429" tooltip="SRC-00 Solusions+ Ops List!A429" display="Go to S+ row 429" xr:uid="{133F6E3D-8656-0940-A745-C8FB375853ED}"/>
    <hyperlink ref="X900" location="'SRC-00 Solusions+ Ops List'!A430" tooltip="SRC-00 Solusions+ Ops List!A430" display="Go to S+ row 430" xr:uid="{50F5CC64-A853-C343-BED3-DCC292468679}"/>
    <hyperlink ref="X902" location="'SRC-00 Solusions+ Ops List'!A431" tooltip="SRC-00 Solusions+ Ops List!A431" display="Go to S+ row 431" xr:uid="{64E936D0-1D89-454D-A139-950FA352A21A}"/>
    <hyperlink ref="X903" location="'SRC-00 Solusions+ Ops List'!A432" tooltip="SRC-00 Solusions+ Ops List!A432" display="Go to S+ row 432" xr:uid="{803D114F-6A75-C746-B158-553E65984609}"/>
    <hyperlink ref="X904" location="'SRC-00 Solusions+ Ops List'!A433" tooltip="SRC-00 Solusions+ Ops List!A433" display="Go to S+ row 433" xr:uid="{D6065ADC-5007-3444-87FA-97C2DD927F89}"/>
    <hyperlink ref="X695" location="'SRC-00 Solusions+ Ops List'!A434" tooltip="SRC-00 Solusions+ Ops List!A434" display="Go to S+ row 434" xr:uid="{42FCB6FC-A263-9942-B45A-606862D71A6B}"/>
    <hyperlink ref="X126" location="'SRC-00 Solusions+ Ops List'!A435" tooltip="SRC-00 Solusions+ Ops List!A435" display="Go to S+ row 435" xr:uid="{DB95CE37-5046-6B42-A5BA-11D33B728CD5}"/>
    <hyperlink ref="X696" location="'SRC-00 Solusions+ Ops List'!A436" tooltip="SRC-00 Solusions+ Ops List!A436" display="Go to S+ row 436" xr:uid="{A7A74CC0-A64E-3349-93C0-21A6D67A4066}"/>
    <hyperlink ref="X905" location="'SRC-00 Solusions+ Ops List'!A437" tooltip="SRC-00 Solusions+ Ops List!A437" display="Go to S+ row 437" xr:uid="{F249BEBD-4EAA-5841-A242-63B1AEDCD66F}"/>
    <hyperlink ref="X906" location="'SRC-00 Solusions+ Ops List'!A438" tooltip="SRC-00 Solusions+ Ops List!A438" display="Go to S+ row 438" xr:uid="{11553CEF-8396-7347-A062-A62405C47D01}"/>
    <hyperlink ref="X907" location="'SRC-00 Solusions+ Ops List'!A439" tooltip="SRC-00 Solusions+ Ops List!A439" display="Go to S+ row 439" xr:uid="{642D5D51-280E-4E43-94D6-5224627741E0}"/>
    <hyperlink ref="X908" location="'SRC-00 Solusions+ Ops List'!A440" tooltip="SRC-00 Solusions+ Ops List!A440" display="Go to S+ row 440" xr:uid="{3A731164-B031-094B-A402-6C10BD59F15C}"/>
    <hyperlink ref="X909" location="'SRC-00 Solusions+ Ops List'!A441" tooltip="SRC-00 Solusions+ Ops List!A441" display="Go to S+ row 441" xr:uid="{50F4CDD5-DCD0-D347-BEC3-44C3D457724C}"/>
    <hyperlink ref="X910" location="'SRC-00 Solusions+ Ops List'!A442" tooltip="SRC-00 Solusions+ Ops List!A442" display="Go to S+ row 442" xr:uid="{8F2A0398-E357-2944-91CB-C62F6D803973}"/>
    <hyperlink ref="X129" location="'SRC-00 Solusions+ Ops List'!A443" tooltip="SRC-00 Solusions+ Ops List!A443" display="Go to S+ row 443" xr:uid="{27131762-0039-3D4A-AE04-44BC87160EFA}"/>
    <hyperlink ref="X638" location="'SRC-00 Solusions+ Ops List'!A444" tooltip="SRC-00 Solusions+ Ops List!A444" display="Go to S+ row 444" xr:uid="{4AD7FED5-37A1-EF41-853A-DC214C176634}"/>
    <hyperlink ref="X1262" location="'SRC-00 Solusions+ Ops List'!A445" tooltip="SRC-00 Solusions+ Ops List!A445" display="Go to S+ row 445" xr:uid="{65B6DAF4-840E-2740-9D8F-68325401DE28}"/>
    <hyperlink ref="X1263" location="'SRC-00 Solusions+ Ops List'!A446" tooltip="SRC-00 Solusions+ Ops List!A446" display="Go to S+ row 446" xr:uid="{A9DF2ACC-A7E8-864D-9882-4EEE0BC059E5}"/>
    <hyperlink ref="X1016" location="'SRC-00 Solusions+ Ops List'!A447" tooltip="SRC-00 Solusions+ Ops List!A447" display="Go to S+ row 447" xr:uid="{EAEFC38D-765C-B749-B07D-FD224BC1F8A9}"/>
    <hyperlink ref="X1017" location="'SRC-00 Solusions+ Ops List'!A448" tooltip="SRC-00 Solusions+ Ops List!A448" display="Go to S+ row 448" xr:uid="{3A0A380E-B97B-9C42-A41D-99E9D7C1A679}"/>
    <hyperlink ref="X1018" location="'SRC-00 Solusions+ Ops List'!A449" tooltip="SRC-00 Solusions+ Ops List!A449" display="Go to S+ row 449" xr:uid="{B861F33A-69C4-884A-936B-C2C90C958266}"/>
    <hyperlink ref="X639" location="'SRC-00 Solusions+ Ops List'!A450" tooltip="SRC-00 Solusions+ Ops List!A450" display="Go to S+ row 450" xr:uid="{6F712A63-DEDC-174A-9378-FB5CB4220003}"/>
    <hyperlink ref="X640" location="'SRC-00 Solusions+ Ops List'!A451" tooltip="SRC-00 Solusions+ Ops List!A451" display="Go to S+ row 451" xr:uid="{9A80AAA1-19B9-3946-AF0B-F0A5930E77D0}"/>
    <hyperlink ref="X641" location="'SRC-00 Solusions+ Ops List'!A452" tooltip="SRC-00 Solusions+ Ops List!A452" display="Go to S+ row 452" xr:uid="{9DFDBAB5-C99E-E542-8028-3EC7FEA46133}"/>
    <hyperlink ref="X642" location="'SRC-00 Solusions+ Ops List'!A453" tooltip="SRC-00 Solusions+ Ops List!A453" display="Go to S+ row 453" xr:uid="{573804A4-E7E0-644D-AEB8-41C6B19B9561}"/>
    <hyperlink ref="X911" location="'SRC-00 Solusions+ Ops List'!A454" tooltip="SRC-00 Solusions+ Ops List!A454" display="Go to S+ row 454" xr:uid="{488E4264-A2AC-4642-90CD-CF6B291C252B}"/>
    <hyperlink ref="X912" location="'SRC-00 Solusions+ Ops List'!A455" tooltip="SRC-00 Solusions+ Ops List!A455" display="Go to S+ row 455" xr:uid="{CA4403E9-8CFF-3542-9387-B141A0AA9094}"/>
    <hyperlink ref="X338" location="'SRC-00 Solusions+ Ops List'!A456" tooltip="SRC-00 Solusions+ Ops List!A456" display="Go to S+ row 456" xr:uid="{4236F198-89FC-954F-8480-41BA97D9273E}"/>
    <hyperlink ref="X643" location="'SRC-00 Solusions+ Ops List'!A457" tooltip="SRC-00 Solusions+ Ops List!A457" display="Go to S+ row 457" xr:uid="{BB1AAAD7-BDD2-0B4C-8C43-6E0F6C5601A6}"/>
    <hyperlink ref="X697" location="'SRC-00 Solusions+ Ops List'!A458" tooltip="SRC-00 Solusions+ Ops List!A458" display="Go to S+ row 458" xr:uid="{FE903BAC-69FE-1645-BDD1-8A10B0876E1F}"/>
    <hyperlink ref="X804" location="'SRC-00 Solusions+ Ops List'!A459" tooltip="SRC-00 Solusions+ Ops List!A459" display="Go to S+ row 459" xr:uid="{13532BAD-2526-6E40-9AE2-485B62769209}"/>
    <hyperlink ref="X1264" location="'SRC-00 Solusions+ Ops List'!A460" tooltip="SRC-00 Solusions+ Ops List!A460" display="Go to S+ row 460" xr:uid="{15C5222E-7648-5E40-95B5-045A0966EC10}"/>
    <hyperlink ref="X698" location="'SRC-00 Solusions+ Ops List'!A461" tooltip="SRC-00 Solusions+ Ops List!A461" display="Go to S+ row 461" xr:uid="{F5DAFA1C-5617-0B42-91C6-778248852844}"/>
    <hyperlink ref="X699" location="'SRC-00 Solusions+ Ops List'!A462" tooltip="SRC-00 Solusions+ Ops List!A462" display="Go to S+ row 462" xr:uid="{C4C7CFF6-2166-6F44-86DA-E2CEBE797D14}"/>
    <hyperlink ref="X700" location="'SRC-00 Solusions+ Ops List'!A463" tooltip="SRC-00 Solusions+ Ops List!A463" display="Go to S+ row 463" xr:uid="{8208E9A5-5093-F74F-9075-848248249CE6}"/>
    <hyperlink ref="X701" location="'SRC-00 Solusions+ Ops List'!A464" tooltip="SRC-00 Solusions+ Ops List!A464" display="Go to S+ row 464" xr:uid="{C4C91353-576C-5749-A7D2-3B24BBD9742B}"/>
    <hyperlink ref="X702" location="'SRC-00 Solusions+ Ops List'!A465" tooltip="SRC-00 Solusions+ Ops List!A465" display="Go to S+ row 465" xr:uid="{7E68A787-2913-DB4D-885E-C8C6AF408FDF}"/>
    <hyperlink ref="X706" location="'SRC-00 Solusions+ Ops List'!A466" tooltip="SRC-00 Solusions+ Ops List!A466" display="Go to S+ row 466" xr:uid="{779E7B1A-8F52-F942-AC31-FA7EF205BAC5}"/>
    <hyperlink ref="X703" location="'SRC-00 Solusions+ Ops List'!A467" tooltip="SRC-00 Solusions+ Ops List!A467" display="Go to S+ row 467" xr:uid="{B9247CEF-807F-2149-A234-C050A48C5A23}"/>
    <hyperlink ref="X704" location="'SRC-00 Solusions+ Ops List'!A468" tooltip="SRC-00 Solusions+ Ops List!A468" display="Go to S+ row 468" xr:uid="{136078B0-369D-3445-941B-8D8279D13263}"/>
    <hyperlink ref="X705" location="'SRC-00 Solusions+ Ops List'!A469" tooltip="SRC-00 Solusions+ Ops List!A469" display="Go to S+ row 469" xr:uid="{AE159DE7-56F9-674D-BA8B-99D6C96345D6}"/>
    <hyperlink ref="X707" location="'SRC-00 Solusions+ Ops List'!A470" tooltip="SRC-00 Solusions+ Ops List!A470" display="Go to S+ row 470" xr:uid="{8847987A-410D-7A43-A8C5-056DF38DC743}"/>
    <hyperlink ref="X788" location="'SRC-00 Solusions+ Ops List'!A471" tooltip="SRC-00 Solusions+ Ops List!A471" display="Go to S+ row 471" xr:uid="{290CAEE2-A44E-B445-B8D4-A89CF9654870}"/>
    <hyperlink ref="X708" location="'SRC-00 Solusions+ Ops List'!A472" tooltip="SRC-00 Solusions+ Ops List!A472" display="Go to S+ row 472" xr:uid="{9F398C47-26BE-A74C-AB4F-21BB083381D9}"/>
    <hyperlink ref="X709" location="'SRC-00 Solusions+ Ops List'!A473" tooltip="SRC-00 Solusions+ Ops List!A473" display="Go to S+ row 473" xr:uid="{088A38D1-5DCB-CA4A-84B6-5E270F4743C6}"/>
    <hyperlink ref="X710" location="'SRC-00 Solusions+ Ops List'!A474" tooltip="SRC-00 Solusions+ Ops List!A474" display="Go to S+ row 474" xr:uid="{BA0368D1-809A-3744-A696-BF5B101BB7FE}"/>
    <hyperlink ref="X711" location="'SRC-00 Solusions+ Ops List'!A475" tooltip="SRC-00 Solusions+ Ops List!A475" display="Go to S+ row 475" xr:uid="{8CA3F1F8-862E-5644-82C8-D00976BB6E9A}"/>
    <hyperlink ref="X805" location="'SRC-00 Solusions+ Ops List'!A476" tooltip="SRC-00 Solusions+ Ops List!A476" display="Go to S+ row 476" xr:uid="{1AB0A51A-26DA-274C-8861-A1DCD79532DA}"/>
    <hyperlink ref="X806" location="'SRC-00 Solusions+ Ops List'!A477" tooltip="SRC-00 Solusions+ Ops List!A477" display="Go to S+ row 477" xr:uid="{BE87B064-4658-604A-9991-F0E24E77E11D}"/>
    <hyperlink ref="X807" location="'SRC-00 Solusions+ Ops List'!A478" tooltip="SRC-00 Solusions+ Ops List!A478" display="Go to S+ row 478" xr:uid="{6CE3AADB-AF2D-AD40-9E1B-731C50252098}"/>
    <hyperlink ref="X808" location="'SRC-00 Solusions+ Ops List'!A479" tooltip="SRC-00 Solusions+ Ops List!A479" display="Go to S+ row 479" xr:uid="{EA38D87A-7FD9-5544-8F20-AA40B40AD3CC}"/>
    <hyperlink ref="X809" location="'SRC-00 Solusions+ Ops List'!A480" tooltip="SRC-00 Solusions+ Ops List!A480" display="Go to S+ row 480" xr:uid="{018A72C7-9DAC-2F45-9BA7-7F1001A686E5}"/>
    <hyperlink ref="X810" location="'SRC-00 Solusions+ Ops List'!A481" tooltip="SRC-00 Solusions+ Ops List!A481" display="Go to S+ row 481" xr:uid="{3D698740-CA36-5D4F-BFCB-72DA7EFE476D}"/>
    <hyperlink ref="X811" location="'SRC-00 Solusions+ Ops List'!A482" tooltip="SRC-00 Solusions+ Ops List!A482" display="Go to S+ row 482" xr:uid="{E87C8649-B1DB-014B-934C-5009BB5E1EEC}"/>
    <hyperlink ref="X789" location="'SRC-00 Solusions+ Ops List'!A483" tooltip="SRC-00 Solusions+ Ops List!A483" display="Go to S+ row 483" xr:uid="{7F50E0A8-D84A-8D49-B799-D00E1AB168CB}"/>
    <hyperlink ref="X712" location="'SRC-00 Solusions+ Ops List'!A484" tooltip="SRC-00 Solusions+ Ops List!A484" display="Go to S+ row 484" xr:uid="{22A7CA43-429B-234B-BC7A-870122538442}"/>
    <hyperlink ref="X713" location="'SRC-00 Solusions+ Ops List'!A485" tooltip="SRC-00 Solusions+ Ops List!A485" display="Go to S+ row 485" xr:uid="{29C57462-D38A-0346-9496-43ABF0CB0611}"/>
    <hyperlink ref="X714" location="'SRC-00 Solusions+ Ops List'!A486" tooltip="SRC-00 Solusions+ Ops List!A486" display="Go to S+ row 486" xr:uid="{9E3E4A24-0870-5145-8EB1-46262892B35C}"/>
    <hyperlink ref="X715" location="'SRC-00 Solusions+ Ops List'!A487" tooltip="SRC-00 Solusions+ Ops List!A487" display="Go to S+ row 487" xr:uid="{38B1F9A8-74E9-664F-ACE5-4D44E03FDDE6}"/>
    <hyperlink ref="X716" location="'SRC-00 Solusions+ Ops List'!A488" tooltip="SRC-00 Solusions+ Ops List!A488" display="Go to S+ row 488" xr:uid="{F942B63B-2F26-224F-A5B0-C34E06FF7305}"/>
    <hyperlink ref="X717" location="'SRC-00 Solusions+ Ops List'!A489" tooltip="SRC-00 Solusions+ Ops List!A489" display="Go to S+ row 489" xr:uid="{14E02EF0-4039-1347-A6A4-5FB09A6D54FD}"/>
    <hyperlink ref="X812" location="'SRC-00 Solusions+ Ops List'!A490" tooltip="SRC-00 Solusions+ Ops List!A490" display="Go to S+ row 490" xr:uid="{896D4C03-01EA-BE4D-A427-A4A372A5864E}"/>
    <hyperlink ref="X800" location="'SRC-01 NZSA RVG'!A71" tooltip="SRC-01 NZSA RVG!A71" display="Go to SRC-01 row 71" xr:uid="{2BD2FAE3-AEFA-914F-B505-E58BDA7242BB}"/>
    <hyperlink ref="X718" location="'SRC-00 Solusions+ Ops List'!A491" tooltip="SRC-00 Solusions+ Ops List!A491" display="Go to S+ row 491" xr:uid="{DE43C26B-17AC-3049-917C-62B2CC38BAD4}"/>
    <hyperlink ref="X719" location="'SRC-00 Solusions+ Ops List'!A492" tooltip="SRC-00 Solusions+ Ops List!A492" display="Go to S+ row 492" xr:uid="{AE056146-39E6-BB45-8275-0EA3828E40CA}"/>
    <hyperlink ref="X813" location="'SRC-00 Solusions+ Ops List'!A493" tooltip="SRC-00 Solusions+ Ops List!A493" display="Go to S+ row 493" xr:uid="{72EE2EAA-4C86-CA4B-B627-9068C825E0F8}"/>
    <hyperlink ref="X814" location="'SRC-00 Solusions+ Ops List'!A494" tooltip="SRC-00 Solusions+ Ops List!A494" display="Go to S+ row 494" xr:uid="{2FBD540A-7F79-FB45-B6F3-7E0D29E7FDE7}"/>
    <hyperlink ref="X720" location="'SRC-00 Solusions+ Ops List'!A495" tooltip="SRC-00 Solusions+ Ops List!A495" display="Go to S+ row 495" xr:uid="{46D08E92-4852-C54B-8DE6-A45636500F5A}"/>
    <hyperlink ref="X721" location="'SRC-00 Solusions+ Ops List'!A496" tooltip="SRC-00 Solusions+ Ops List!A496" display="Go to S+ row 496" xr:uid="{D62C4FCC-E2DE-8D40-9F9B-5EE95C985DA9}"/>
    <hyperlink ref="X958" location="'SRC-00 Solusions+ Ops List'!A497" tooltip="SRC-00 Solusions+ Ops List!A497" display="Go to S+ row 497" xr:uid="{4825144F-EA6B-8044-A122-EA17950CE138}"/>
    <hyperlink ref="X722" location="'SRC-00 Solusions+ Ops List'!A498" tooltip="SRC-00 Solusions+ Ops List!A498" display="Go to S+ row 498" xr:uid="{0AD03B56-FC92-494B-B012-86B16D2100E9}"/>
    <hyperlink ref="X723" location="'SRC-00 Solusions+ Ops List'!A499" tooltip="SRC-00 Solusions+ Ops List!A499" display="Go to S+ row 499" xr:uid="{09746A23-98C1-9B4D-9A1E-47607DC9FD24}"/>
    <hyperlink ref="X724" location="'SRC-00 Solusions+ Ops List'!A500" tooltip="SRC-00 Solusions+ Ops List!A500" display="Go to S+ row 500" xr:uid="{B2F57D20-B337-2742-BA6D-545FA5D8E547}"/>
    <hyperlink ref="X725" location="'SRC-00 Solusions+ Ops List'!A501" tooltip="SRC-00 Solusions+ Ops List!A501" display="Go to S+ row 501" xr:uid="{7A350650-47B6-B041-A4F6-DBC7B2EBF82D}"/>
    <hyperlink ref="X815" location="'SRC-00 Solusions+ Ops List'!A502" tooltip="SRC-00 Solusions+ Ops List!A502" display="Go to S+ row 502" xr:uid="{B5A6202A-8CE3-AD47-BFCB-D889DB4DDABF}"/>
    <hyperlink ref="X816" location="'SRC-00 Solusions+ Ops List'!A503" tooltip="SRC-00 Solusions+ Ops List!A503" display="Go to S+ row 503" xr:uid="{B4232DE7-E330-0F48-AE1F-2E94DFF20E3C}"/>
    <hyperlink ref="X817" location="'SRC-00 Solusions+ Ops List'!A504" tooltip="SRC-00 Solusions+ Ops List!A504" display="Go to S+ row 504" xr:uid="{BCADDB00-30C0-9343-9203-C8BF6E709574}"/>
    <hyperlink ref="X818" location="'SRC-00 Solusions+ Ops List'!A505" tooltip="SRC-00 Solusions+ Ops List!A505" display="Go to S+ row 505" xr:uid="{E48408BC-EA17-0240-B02A-4454054CE877}"/>
    <hyperlink ref="X726" location="'SRC-00 Solusions+ Ops List'!A506" tooltip="SRC-00 Solusions+ Ops List!A506" display="Go to S+ row 506" xr:uid="{B75861CE-D510-8647-BA77-8E0E1B5A62DA}"/>
    <hyperlink ref="X913" location="'SRC-00 Solusions+ Ops List'!A507" tooltip="SRC-00 Solusions+ Ops List!A507" display="Go to S+ row 507" xr:uid="{F0FD1F98-05F3-334F-995F-A050F96828F6}"/>
    <hyperlink ref="X819" location="'SRC-00 Solusions+ Ops List'!A508" tooltip="SRC-00 Solusions+ Ops List!A508" display="Go to S+ row 508" xr:uid="{A0062584-2F60-0542-8E16-45BC832538E6}"/>
    <hyperlink ref="X820" location="'SRC-00 Solusions+ Ops List'!A509" tooltip="SRC-00 Solusions+ Ops List!A509" display="Go to S+ row 509" xr:uid="{50AF6876-4C3C-7C4A-B3FC-4440968B004F}"/>
    <hyperlink ref="X644" location="'SRC-00 Solusions+ Ops List'!A510" tooltip="SRC-00 Solusions+ Ops List!A510" display="Go to S+ row 510" xr:uid="{5EC6CED7-1299-8747-8995-5E5F655AE030}"/>
    <hyperlink ref="X630" location="'SRC-01 NZSA RVG'!A57" tooltip="SRC-01 NZSA RVG!A57" display="Go to SRC-01 row 57" xr:uid="{584ECDB2-E9A3-BE49-B148-DD6B6EDB0E06}"/>
    <hyperlink ref="X821" location="'SRC-00 Solusions+ Ops List'!A511" tooltip="SRC-00 Solusions+ Ops List!A511" display="Go to S+ row 511" xr:uid="{E20E8245-5AB1-6045-BD40-008E13338F6B}"/>
    <hyperlink ref="X727" location="'SRC-00 Solusions+ Ops List'!A512" tooltip="SRC-00 Solusions+ Ops List!A512" display="Go to S+ row 512" xr:uid="{A70E9641-E4CE-BE42-A28E-03DF6392C25E}"/>
    <hyperlink ref="X728" location="'SRC-00 Solusions+ Ops List'!A513" tooltip="SRC-00 Solusions+ Ops List!A513" display="Go to S+ row 513" xr:uid="{0B63912E-2A12-3945-A4B8-348AD0A73FB5}"/>
    <hyperlink ref="X729" location="'SRC-00 Solusions+ Ops List'!A514" tooltip="SRC-00 Solusions+ Ops List!A514" display="Go to S+ row 514" xr:uid="{7C912CBC-13C4-9946-A206-91D3E6A40294}"/>
    <hyperlink ref="X730" location="'SRC-00 Solusions+ Ops List'!A515" tooltip="SRC-00 Solusions+ Ops List!A515" display="Go to S+ row 515" xr:uid="{B552FDA4-E417-114E-975F-C130450A8452}"/>
    <hyperlink ref="X731" location="'SRC-00 Solusions+ Ops List'!A516" tooltip="SRC-00 Solusions+ Ops List!A516" display="Go to S+ row 516" xr:uid="{50F8D537-1264-744F-8374-F7B9DF3D0946}"/>
    <hyperlink ref="X732" location="'SRC-00 Solusions+ Ops List'!A517" tooltip="SRC-00 Solusions+ Ops List!A517" display="Go to S+ row 517" xr:uid="{C56D5DF6-1A8F-DE4B-93DE-70453E3849D8}"/>
    <hyperlink ref="X733" location="'SRC-00 Solusions+ Ops List'!A518" tooltip="SRC-00 Solusions+ Ops List!A518" display="Go to S+ row 518" xr:uid="{59188475-9F21-174E-98A5-1AC0AA8DC7EC}"/>
    <hyperlink ref="X734" location="'SRC-00 Solusions+ Ops List'!A519" tooltip="SRC-00 Solusions+ Ops List!A519" display="Go to S+ row 519" xr:uid="{F78D0BA2-1650-3244-88DB-945A08E4E554}"/>
    <hyperlink ref="X446" location="'SRC-00 Solusions+ Ops List'!A520" tooltip="SRC-00 Solusions+ Ops List!A520" display="Go to S+ row 520" xr:uid="{A8D4FF3B-5BEB-834F-99BC-DA5D80AF5455}"/>
    <hyperlink ref="X451" location="'SRC-01 NZSA RVG'!A26" tooltip="SRC-01 NZSA RVG!A26" display="Go to SRC-01 row 26" xr:uid="{E126255A-B8D6-A147-A8AF-F6AEF34F8015}"/>
    <hyperlink ref="X959" location="'SRC-00 Solusions+ Ops List'!A521" tooltip="SRC-00 Solusions+ Ops List!A521" display="Go to S+ row 521" xr:uid="{25BDB9D9-523F-E04C-A953-BEBF1F1BCE57}"/>
    <hyperlink ref="X735" location="'SRC-00 Solusions+ Ops List'!A522" tooltip="SRC-00 Solusions+ Ops List!A522" display="Go to S+ row 522" xr:uid="{BF0729EA-BF66-3C4C-9F0D-332EF3586425}"/>
    <hyperlink ref="X914" location="'SRC-00 Solusions+ Ops List'!A523" tooltip="SRC-00 Solusions+ Ops List!A523" display="Go to S+ row 523" xr:uid="{84CA484E-16EE-444D-8754-C1FEFC4F5CFE}"/>
    <hyperlink ref="X134" location="'SRC-00 Solusions+ Ops List'!A524" tooltip="SRC-00 Solusions+ Ops List!A524" display="Go to S+ row 524" xr:uid="{6D5FCEC9-7A81-6443-9337-B27002B2983B}"/>
    <hyperlink ref="X1019" location="'SRC-00 Solusions+ Ops List'!A525" tooltip="SRC-00 Solusions+ Ops List!A525" display="Go to S+ row 525" xr:uid="{E8080592-C30D-2843-B19D-B585534CE992}"/>
    <hyperlink ref="X565" location="'SRC-00 Solusions+ Ops List'!A526" tooltip="SRC-00 Solusions+ Ops List!A526" display="Go to S+ row 526" xr:uid="{33B594D1-7CDD-7142-AAE6-03E736568669}"/>
    <hyperlink ref="X566" location="'SRC-00 Solusions+ Ops List'!A527" tooltip="SRC-00 Solusions+ Ops List!A527" display="Go to S+ row 527" xr:uid="{923492DC-6483-2945-BD95-0BC55D0A89C3}"/>
    <hyperlink ref="X567" location="'SRC-00 Solusions+ Ops List'!A528" tooltip="SRC-00 Solusions+ Ops List!A528" display="Go to S+ row 528" xr:uid="{F0441AAC-A5B6-A940-AD91-0CADB5E4ACEB}"/>
    <hyperlink ref="X568" location="'SRC-00 Solusions+ Ops List'!A529" tooltip="SRC-00 Solusions+ Ops List!A529" display="Go to S+ row 529" xr:uid="{B477C6F3-2224-614D-B792-9244307616FF}"/>
    <hyperlink ref="X577" location="'SRC-01 NZSA RVG'!A36" tooltip="SRC-01 NZSA RVG!A36" display="Go to SRC-01 row 36" xr:uid="{D1F515F9-3624-F94E-9809-8FD7A9BF50AD}"/>
    <hyperlink ref="X569" location="'SRC-00 Solusions+ Ops List'!A530" tooltip="SRC-00 Solusions+ Ops List!A530" display="Go to S+ row 530" xr:uid="{C849BD4A-C4D8-8B43-BD8F-7F2EF11A0139}"/>
    <hyperlink ref="X570" location="'SRC-00 Solusions+ Ops List'!A531" tooltip="SRC-00 Solusions+ Ops List!A531" display="Go to S+ row 531" xr:uid="{33A60045-FB44-4A44-B522-9484A78541B6}"/>
    <hyperlink ref="X480" location="'SRC-00 Solusions+ Ops List'!A532" tooltip="SRC-00 Solusions+ Ops List!A532" display="Go to S+ row 532" xr:uid="{A47ACAE3-35AA-C849-9A04-E4FA050CA059}"/>
    <hyperlink ref="X481" location="'SRC-00 Solusions+ Ops List'!A533" tooltip="SRC-00 Solusions+ Ops List!A533" display="Go to S+ row 533" xr:uid="{112F59E2-E690-9A46-B128-0E714F4D6134}"/>
    <hyperlink ref="X482" location="'SRC-00 Solusions+ Ops List'!A534" tooltip="SRC-00 Solusions+ Ops List!A534" display="Go to S+ row 534" xr:uid="{1A972AFC-8E09-844B-8275-C142F61355F3}"/>
    <hyperlink ref="X339" location="'SRC-00 Solusions+ Ops List'!A535" tooltip="SRC-00 Solusions+ Ops List!A535" display="Go to S+ row 535" xr:uid="{F1D4589C-2BAF-B14C-B8D4-035163F4A7E8}"/>
    <hyperlink ref="X351" location="'SRC-00 Solusions+ Ops List'!A536" tooltip="SRC-00 Solusions+ Ops List!A536" display="Go to S+ row 536" xr:uid="{1D7DB5FA-0CFB-0F41-BCF4-1B082A7E30E9}"/>
    <hyperlink ref="X340" location="'SRC-00 Solusions+ Ops List'!A537" tooltip="SRC-00 Solusions+ Ops List!A537" display="Go to S+ row 537" xr:uid="{9A3D733F-D5FC-FD41-BCA8-4898938451C3}"/>
    <hyperlink ref="X341" location="'SRC-00 Solusions+ Ops List'!A538" tooltip="SRC-00 Solusions+ Ops List!A538" display="Go to S+ row 538" xr:uid="{E3C82DF4-75EF-8B40-B4EC-9404678E4E5F}"/>
    <hyperlink ref="X342" location="'SRC-00 Solusions+ Ops List'!A539" tooltip="SRC-00 Solusions+ Ops List!A539" display="Go to S+ row 539" xr:uid="{22D61ECB-06E7-0E42-B14D-34503B7B8D4A}"/>
    <hyperlink ref="X343" location="'SRC-00 Solusions+ Ops List'!A540" tooltip="SRC-00 Solusions+ Ops List!A540" display="Go to S+ row 540" xr:uid="{1BCB65C3-BE3F-454E-8F84-A6705E64CD70}"/>
    <hyperlink ref="X344" location="'SRC-00 Solusions+ Ops List'!A541" tooltip="SRC-00 Solusions+ Ops List!A541" display="Go to S+ row 541" xr:uid="{8384EA43-860D-1F4D-A6E5-22BF8BC11266}"/>
    <hyperlink ref="X345" location="'SRC-00 Solusions+ Ops List'!A542" tooltip="SRC-00 Solusions+ Ops List!A542" display="Go to S+ row 542" xr:uid="{3DC2BB03-2664-904F-8BAD-68E5CCC69296}"/>
    <hyperlink ref="X346" location="'SRC-00 Solusions+ Ops List'!A543" tooltip="SRC-00 Solusions+ Ops List!A543" display="Go to S+ row 543" xr:uid="{ABBB6568-8D3F-2448-BF8D-976A2AB1DB1C}"/>
    <hyperlink ref="X348" location="'SRC-00 Solusions+ Ops List'!A544" tooltip="SRC-00 Solusions+ Ops List!A544" display="Go to S+ row 544" xr:uid="{26B416BF-5439-9144-96B3-B0F489AD4F1F}"/>
    <hyperlink ref="X347" location="'SRC-00 Solusions+ Ops List'!A545" tooltip="SRC-00 Solusions+ Ops List!A545" display="Go to S+ row 545" xr:uid="{01F1E938-E568-A041-B6B8-D2AAB74AB375}"/>
    <hyperlink ref="X349" location="'SRC-00 Solusions+ Ops List'!A546" tooltip="SRC-00 Solusions+ Ops List!A546" display="Go to S+ row 546" xr:uid="{6818F074-F60F-8C4C-9408-359C6B72098D}"/>
    <hyperlink ref="X350" location="'SRC-00 Solusions+ Ops List'!A547" tooltip="SRC-00 Solusions+ Ops List!A547" display="Go to S+ row 547" xr:uid="{6189ADA6-C2F1-3A47-8550-2831C2A2AA0C}"/>
    <hyperlink ref="X483" location="'SRC-00 Solusions+ Ops List'!A548" tooltip="SRC-00 Solusions+ Ops List!A548" display="Go to S+ row 548" xr:uid="{DB156F77-B667-D242-B8FD-5F7162EC927E}"/>
    <hyperlink ref="X249" location="'SRC-00 Solusions+ Ops List'!A549" tooltip="SRC-00 Solusions+ Ops List!A549" display="Go to S+ row 549" xr:uid="{26E06106-395B-6C46-812B-EB65D9D51FB1}"/>
    <hyperlink ref="X135" location="'SRC-00 Solusions+ Ops List'!A550" tooltip="SRC-00 Solusions+ Ops List!A550" display="Go to S+ row 550" xr:uid="{BAB8C81B-921F-B74E-AD66-F7B7E18FD5B7}"/>
    <hyperlink ref="X352" location="'SRC-00 Solusions+ Ops List'!A551" tooltip="SRC-00 Solusions+ Ops List!A551" display="Go to S+ row 551" xr:uid="{4D2487B2-81BC-224A-9438-1560D4E53576}"/>
    <hyperlink ref="X484" location="'SRC-00 Solusions+ Ops List'!A552" tooltip="SRC-00 Solusions+ Ops List!A552" display="Go to S+ row 552" xr:uid="{50BFF373-D02B-7E4A-9F97-65391C3C0EFB}"/>
    <hyperlink ref="X1020" location="'SRC-00 Solusions+ Ops List'!A553" tooltip="SRC-00 Solusions+ Ops List!A553" display="Go to S+ row 553" xr:uid="{B3144F8A-3DBE-3F42-90FA-040B106DD84A}"/>
    <hyperlink ref="X1166" location="'SRC-00 Solusions+ Ops List'!A554" tooltip="SRC-00 Solusions+ Ops List!A554" display="Go to S+ row 554" xr:uid="{9CAAB252-4B41-ED4B-9DED-99B2A8268988}"/>
    <hyperlink ref="X1167" location="'SRC-00 Solusions+ Ops List'!A555" tooltip="SRC-00 Solusions+ Ops List!A555" display="Go to S+ row 555" xr:uid="{677A279A-CA87-E645-845B-0C42B6B5F27F}"/>
    <hyperlink ref="X136" location="'SRC-00 Solusions+ Ops List'!A556" tooltip="SRC-00 Solusions+ Ops List!A556" display="Go to S+ row 556" xr:uid="{45AF4C16-5B64-3C4F-87A9-EF04ED2D6255}"/>
    <hyperlink ref="X1021" location="'SRC-00 Solusions+ Ops List'!A557" tooltip="SRC-00 Solusions+ Ops List!A557" display="Go to S+ row 557" xr:uid="{451E91C0-C5C4-AD40-9E48-A1961D010F1D}"/>
    <hyperlink ref="X790" location="'SRC-00 Solusions+ Ops List'!A558" tooltip="SRC-00 Solusions+ Ops List!A558" display="Go to S+ row 558" xr:uid="{72D87235-2AA8-FD4E-B77C-D053165E05F3}"/>
    <hyperlink ref="X1022" location="'SRC-00 Solusions+ Ops List'!A559" tooltip="SRC-00 Solusions+ Ops List!A559" display="Go to S+ row 559" xr:uid="{20D8B57E-0CA1-D747-8F9D-6775ACBE48C5}"/>
    <hyperlink ref="X1023" location="'SRC-00 Solusions+ Ops List'!A560" tooltip="SRC-00 Solusions+ Ops List!A560" display="Go to S+ row 560" xr:uid="{12EB69EE-AB15-0E40-8537-9481F4C7D377}"/>
    <hyperlink ref="X571" location="'SRC-00 Solusions+ Ops List'!A561" tooltip="SRC-00 Solusions+ Ops List!A561" display="Go to S+ row 561" xr:uid="{6C685D21-7CA5-BD4D-8C35-A0EC0B05443B}"/>
    <hyperlink ref="X572" location="'SRC-00 Solusions+ Ops List'!A562" tooltip="SRC-00 Solusions+ Ops List!A562" display="Go to S+ row 562" xr:uid="{5E569692-2722-FE41-B45B-104E65BCA5D1}"/>
    <hyperlink ref="X736" location="'SRC-00 Solusions+ Ops List'!A563" tooltip="SRC-00 Solusions+ Ops List!A563" display="Go to S+ row 563" xr:uid="{48F84B1D-89E8-C944-A86D-111908AE61CA}"/>
    <hyperlink ref="X1024" location="'SRC-00 Solusions+ Ops List'!A564" tooltip="SRC-00 Solusions+ Ops List!A564" display="Go to S+ row 564" xr:uid="{147D1D58-D07F-5844-A2B5-37B2630F2047}"/>
    <hyperlink ref="X1025" location="'SRC-00 Solusions+ Ops List'!A565" tooltip="SRC-00 Solusions+ Ops List!A565" display="Go to S+ row 565" xr:uid="{53595CC8-CFE4-6D46-8EFE-C4FAFAC6D722}"/>
    <hyperlink ref="X1026" location="'SRC-00 Solusions+ Ops List'!A566" tooltip="SRC-00 Solusions+ Ops List!A566" display="Go to S+ row 566" xr:uid="{226829B8-4202-AF44-837E-0748CCB12038}"/>
    <hyperlink ref="X1027" location="'SRC-00 Solusions+ Ops List'!A567" tooltip="SRC-00 Solusions+ Ops List!A567" display="Go to S+ row 567" xr:uid="{00333C17-82E7-5748-BC92-30B1895C1633}"/>
    <hyperlink ref="X1028" location="'SRC-00 Solusions+ Ops List'!A568" tooltip="SRC-00 Solusions+ Ops List!A568" display="Go to S+ row 568" xr:uid="{AD414F0E-DEC8-C84C-99F7-5953B5F475E6}"/>
    <hyperlink ref="X1029" location="'SRC-00 Solusions+ Ops List'!A569" tooltip="SRC-00 Solusions+ Ops List!A569" display="Go to S+ row 569" xr:uid="{740C0C48-8217-0E40-8892-45CB4E1AE352}"/>
    <hyperlink ref="X1030" location="'SRC-00 Solusions+ Ops List'!A570" tooltip="SRC-00 Solusions+ Ops List!A570" display="Go to S+ row 570" xr:uid="{9DA895F9-BEEC-BD4A-B561-17A473ACEDDE}"/>
    <hyperlink ref="X1032" location="'SRC-00 Solusions+ Ops List'!A571" tooltip="SRC-00 Solusions+ Ops List!A571" display="Go to S+ row 571" xr:uid="{9A777FA1-C499-304D-B574-51895B39E9A1}"/>
    <hyperlink ref="X1033" location="'SRC-00 Solusions+ Ops List'!A572" tooltip="SRC-00 Solusions+ Ops List!A572" display="Go to S+ row 572" xr:uid="{EBEBD520-AA6A-624B-BC68-65B7358B05B2}"/>
    <hyperlink ref="X1034" location="'SRC-00 Solusions+ Ops List'!A573" tooltip="SRC-00 Solusions+ Ops List!A573" display="Go to S+ row 573" xr:uid="{68FC5220-C7BD-3741-A285-48048915C454}"/>
    <hyperlink ref="X645" location="'SRC-00 Solusions+ Ops List'!A574" tooltip="SRC-00 Solusions+ Ops List!A574" display="Go to S+ row 574" xr:uid="{703F70B8-0372-D043-9BDC-A38B212864AD}"/>
    <hyperlink ref="X646" location="'SRC-00 Solusions+ Ops List'!A575" tooltip="SRC-00 Solusions+ Ops List!A575" display="Go to S+ row 575" xr:uid="{013405AF-F117-1B43-8B94-51E18B8FC577}"/>
    <hyperlink ref="X647" location="'SRC-00 Solusions+ Ops List'!A576" tooltip="SRC-00 Solusions+ Ops List!A576" display="Go to S+ row 576" xr:uid="{04E12B84-06AB-6B4A-8B94-78FA29F4D1BD}"/>
    <hyperlink ref="X915" location="'SRC-00 Solusions+ Ops List'!A577" tooltip="SRC-00 Solusions+ Ops List!A577" display="Go to S+ row 577" xr:uid="{256D9910-AB6D-8A4F-AA28-FC89DA936FFF}"/>
    <hyperlink ref="X916" location="'SRC-00 Solusions+ Ops List'!A578" tooltip="SRC-00 Solusions+ Ops List!A578" display="Go to S+ row 578" xr:uid="{74E46A73-294A-9243-8938-2738E5CC35EB}"/>
    <hyperlink ref="X737" location="'SRC-00 Solusions+ Ops List'!A579" tooltip="SRC-00 Solusions+ Ops List!A579" display="Go to S+ row 579" xr:uid="{6F3DC0D3-AA88-334B-B4D1-B4416C2E3430}"/>
    <hyperlink ref="X738" location="'SRC-00 Solusions+ Ops List'!A580" tooltip="SRC-00 Solusions+ Ops List!A580" display="Go to S+ row 580" xr:uid="{EEEDC7AD-858C-B74B-ADF3-2264EEA075BB}"/>
    <hyperlink ref="X485" location="'SRC-00 Solusions+ Ops List'!A581" tooltip="SRC-00 Solusions+ Ops List!A581" display="Go to S+ row 581" xr:uid="{0636E647-8529-2947-9748-F7B25BE4807F}"/>
    <hyperlink ref="X486" location="'SRC-00 Solusions+ Ops List'!A582" tooltip="SRC-00 Solusions+ Ops List!A582" display="Go to S+ row 582" xr:uid="{8E6B5FBB-5FE7-6B42-9F18-8EE8C7898001}"/>
    <hyperlink ref="X353" location="'SRC-00 Solusions+ Ops List'!A583" tooltip="SRC-00 Solusions+ Ops List!A583" display="Go to S+ row 583" xr:uid="{1D56B9AB-4E18-D942-A4C9-7240FAC86133}"/>
    <hyperlink ref="X573" location="'SRC-00 Solusions+ Ops List'!A584" tooltip="SRC-00 Solusions+ Ops List!A584" display="Go to S+ row 584" xr:uid="{3F58E7C8-AD36-C54B-9F42-E54D5F4742BA}"/>
    <hyperlink ref="X354" location="'SRC-00 Solusions+ Ops List'!A585" tooltip="SRC-00 Solusions+ Ops List!A585" display="Go to S+ row 585" xr:uid="{94302D43-CF5F-EC41-8662-20D4C50C9DD6}"/>
    <hyperlink ref="X355" location="'SRC-00 Solusions+ Ops List'!A586" tooltip="SRC-00 Solusions+ Ops List!A586" display="Go to S+ row 586" xr:uid="{1FFA90B0-53CD-854C-8409-F0C07E09098F}"/>
    <hyperlink ref="X487" location="'SRC-00 Solusions+ Ops List'!A587" tooltip="SRC-00 Solusions+ Ops List!A587" display="Go to S+ row 587" xr:uid="{C0FE2813-23B2-9B4D-AD7D-45A44A7C947E}"/>
    <hyperlink ref="X1265" location="'SRC-00 Solusions+ Ops List'!A588" tooltip="SRC-00 Solusions+ Ops List!A588" display="Go to S+ row 588" xr:uid="{E1AF84CB-A4CD-3849-8BE1-30A0048A4DC3}"/>
    <hyperlink ref="X574" location="'SRC-00 Solusions+ Ops List'!A589" tooltip="SRC-00 Solusions+ Ops List!A589" display="Go to S+ row 589" xr:uid="{A3229AAF-A7EA-F542-952F-8F420A6C44B2}"/>
    <hyperlink ref="X488" location="'SRC-00 Solusions+ Ops List'!A590" tooltip="SRC-00 Solusions+ Ops List!A590" display="Go to S+ row 590" xr:uid="{F7B3D474-1EFD-374B-8B35-1F68334B9837}"/>
    <hyperlink ref="X489" location="'SRC-00 Solusions+ Ops List'!A591" tooltip="SRC-00 Solusions+ Ops List!A591" display="Go to S+ row 591" xr:uid="{3482104F-2678-6845-A762-279EA2CC0372}"/>
    <hyperlink ref="X490" location="'SRC-00 Solusions+ Ops List'!A592" tooltip="SRC-00 Solusions+ Ops List!A592" display="Go to S+ row 592" xr:uid="{8A902A6D-F92F-3E4B-86A2-1B114DBDDB12}"/>
    <hyperlink ref="X575" location="'SRC-00 Solusions+ Ops List'!A593" tooltip="SRC-00 Solusions+ Ops List!A593" display="Go to S+ row 593" xr:uid="{C3318530-6C17-BE4F-AEFB-C18E397E72FB}"/>
    <hyperlink ref="X137" location="'SRC-00 Solusions+ Ops List'!A594" tooltip="SRC-00 Solusions+ Ops List!A594" display="Go to S+ row 594" xr:uid="{9365E720-4D1B-4240-BEBE-327536758265}"/>
    <hyperlink ref="X1035" location="'SRC-00 Solusions+ Ops List'!A595" tooltip="SRC-00 Solusions+ Ops List!A595" display="Go to S+ row 595" xr:uid="{AB040B50-1E50-FF4A-B232-84D7F6D5BF4F}"/>
    <hyperlink ref="X1036" location="'SRC-00 Solusions+ Ops List'!A596" tooltip="SRC-00 Solusions+ Ops List!A596" display="Go to S+ row 596" xr:uid="{2E6FA228-B793-8441-A594-34729C0DF714}"/>
    <hyperlink ref="X1037" location="'SRC-00 Solusions+ Ops List'!A597" tooltip="SRC-00 Solusions+ Ops List!A597" display="Go to S+ row 597" xr:uid="{37AC3618-01FF-5E4A-807C-2AC56FDF7F32}"/>
    <hyperlink ref="X1038" location="'SRC-00 Solusions+ Ops List'!A598" tooltip="SRC-00 Solusions+ Ops List!A598" display="Go to S+ row 598" xr:uid="{243E0239-418E-324A-9B31-1E759856FC5F}"/>
    <hyperlink ref="X1039" location="'SRC-00 Solusions+ Ops List'!A599" tooltip="SRC-00 Solusions+ Ops List!A599" display="Go to S+ row 599" xr:uid="{46B1FF44-1BCF-0B43-9A71-B268ABDB30E2}"/>
    <hyperlink ref="X1040" location="'SRC-00 Solusions+ Ops List'!A600" tooltip="SRC-00 Solusions+ Ops List!A600" display="Go to S+ row 600" xr:uid="{232A76DD-F4AD-9D40-9CF5-8AC997ADFF31}"/>
    <hyperlink ref="X1041" location="'SRC-00 Solusions+ Ops List'!A601" tooltip="SRC-00 Solusions+ Ops List!A601" display="Go to S+ row 601" xr:uid="{8B274CB0-539A-C14E-B332-B7E357682407}"/>
    <hyperlink ref="X1042" location="'SRC-00 Solusions+ Ops List'!A602" tooltip="SRC-00 Solusions+ Ops List!A602" display="Go to S+ row 602" xr:uid="{DACECCA6-B82F-B54B-BF3E-5CC81007E34E}"/>
    <hyperlink ref="X1043" location="'SRC-00 Solusions+ Ops List'!A603" tooltip="SRC-00 Solusions+ Ops List!A603" display="Go to S+ row 603" xr:uid="{BAF20004-27D2-6A43-9D53-521525233701}"/>
    <hyperlink ref="X1044" location="'SRC-00 Solusions+ Ops List'!A604" tooltip="SRC-00 Solusions+ Ops List!A604" display="Go to S+ row 604" xr:uid="{85CF1ACF-FCAB-F744-BF55-FF536C5EAB3E}"/>
    <hyperlink ref="X138" location="'SRC-00 Solusions+ Ops List'!A605" tooltip="SRC-00 Solusions+ Ops List!A605" display="Go to S+ row 605" xr:uid="{0FB6B32C-D96C-AA4A-8C63-7384C578402A}"/>
    <hyperlink ref="X356" location="'SRC-00 Solusions+ Ops List'!A606" tooltip="SRC-00 Solusions+ Ops List!A606" display="Go to S+ row 606" xr:uid="{9A36C785-50D2-7444-9AAE-10C42D4F7083}"/>
    <hyperlink ref="X917" location="'SRC-00 Solusions+ Ops List'!A607" tooltip="SRC-00 Solusions+ Ops List!A607" display="Go to S+ row 607" xr:uid="{91A96AA9-7D7B-BF44-9288-9B747D6D2933}"/>
    <hyperlink ref="X918" location="'SRC-00 Solusions+ Ops List'!A608" tooltip="SRC-00 Solusions+ Ops List!A608" display="Go to S+ row 608" xr:uid="{F76DAF72-796D-294F-80B3-8A439A007391}"/>
    <hyperlink ref="X739" location="'SRC-00 Solusions+ Ops List'!A609" tooltip="SRC-00 Solusions+ Ops List!A609" display="Go to S+ row 609" xr:uid="{13614BE2-227E-E24B-BCDF-69C4ACC147D4}"/>
    <hyperlink ref="X1266" location="'SRC-00 Solusions+ Ops List'!A610" tooltip="SRC-00 Solusions+ Ops List!A610" display="Go to S+ row 610" xr:uid="{7D04D95E-3D64-4E45-938A-65D37E38E66A}"/>
    <hyperlink ref="X1267" location="'SRC-00 Solusions+ Ops List'!A611" tooltip="SRC-00 Solusions+ Ops List!A611" display="Go to S+ row 611" xr:uid="{5B58027E-5187-BA42-8711-2739B8F0A31D}"/>
    <hyperlink ref="X740" location="'SRC-00 Solusions+ Ops List'!A612" tooltip="SRC-00 Solusions+ Ops List!A612" display="Go to S+ row 612" xr:uid="{2053EFF0-B7D6-674F-BBD1-14D95A1DCCD1}"/>
    <hyperlink ref="X1268" location="'SRC-00 Solusions+ Ops List'!A613" tooltip="SRC-00 Solusions+ Ops List!A613" display="Go to S+ row 613" xr:uid="{929EB2F7-E2DC-5F4F-B7D0-36AC6A409970}"/>
    <hyperlink ref="X741" location="'SRC-00 Solusions+ Ops List'!A614" tooltip="SRC-00 Solusions+ Ops List!A614" display="Go to S+ row 614" xr:uid="{EC0857CC-7BCE-1A42-8FD2-EF8A7F9B9E12}"/>
    <hyperlink ref="X742" location="'SRC-00 Solusions+ Ops List'!A615" tooltip="SRC-00 Solusions+ Ops List!A615" display="Go to S+ row 615" xr:uid="{B98E781A-2E2D-9745-9266-A564E8EBBEAF}"/>
    <hyperlink ref="X1269" location="'SRC-00 Solusions+ Ops List'!A616" tooltip="SRC-00 Solusions+ Ops List!A616" display="Go to S+ row 616" xr:uid="{E336C950-9E11-2C40-BE39-6F5D683C45EF}"/>
    <hyperlink ref="X1168" location="'SRC-00 Solusions+ Ops List'!A617" tooltip="SRC-00 Solusions+ Ops List!A617" display="Go to S+ row 617" xr:uid="{295764DC-A19E-9846-B9BD-977953DC9BBE}"/>
    <hyperlink ref="X919" location="'SRC-00 Solusions+ Ops List'!A618" tooltip="SRC-00 Solusions+ Ops List!A618" display="Go to S+ row 618" xr:uid="{BE217E9A-C385-134A-AA47-77A56024854D}"/>
    <hyperlink ref="X791" location="'SRC-00 Solusions+ Ops List'!A619" tooltip="SRC-00 Solusions+ Ops List!A619" display="Go to S+ row 619" xr:uid="{846E6213-5F03-904E-B22C-938EF45CF4D2}"/>
    <hyperlink ref="X743" location="'SRC-00 Solusions+ Ops List'!A620" tooltip="SRC-00 Solusions+ Ops List!A620" display="Go to S+ row 620" xr:uid="{FD0FA906-648C-3943-A638-12E7C07C9655}"/>
    <hyperlink ref="X141" location="'SRC-00 Solusions+ Ops List'!A621" tooltip="SRC-00 Solusions+ Ops List!A621" display="Go to S+ row 621" xr:uid="{D94630E2-71E3-DF48-8BBF-017AA9A77E6E}"/>
    <hyperlink ref="X648" location="'SRC-00 Solusions+ Ops List'!A622" tooltip="SRC-00 Solusions+ Ops List!A622" display="Go to S+ row 622" xr:uid="{E718D6CC-8931-134B-A5E7-D747C41C00FD}"/>
    <hyperlink ref="X649" location="'SRC-00 Solusions+ Ops List'!A623" tooltip="SRC-00 Solusions+ Ops List!A623" display="Go to S+ row 623" xr:uid="{793A2605-01EA-4C4C-9D32-B0080266F860}"/>
    <hyperlink ref="X650" location="'SRC-00 Solusions+ Ops List'!A624" tooltip="SRC-00 Solusions+ Ops List!A624" display="Go to S+ row 624" xr:uid="{D0E19DFC-ABA3-674F-8AFF-505D206C90E1}"/>
    <hyperlink ref="X651" location="'SRC-00 Solusions+ Ops List'!A625" tooltip="SRC-00 Solusions+ Ops List!A625" display="Go to S+ row 625" xr:uid="{1C792D5C-E793-C647-BC5A-A5ED631A4070}"/>
    <hyperlink ref="X652" location="'SRC-00 Solusions+ Ops List'!A626" tooltip="SRC-00 Solusions+ Ops List!A626" display="Go to S+ row 626" xr:uid="{3C9D1F07-1096-A548-B87F-C0B277499019}"/>
    <hyperlink ref="X576" location="'SRC-00 Solusions+ Ops List'!A627" tooltip="SRC-00 Solusions+ Ops List!A627" display="Go to S+ row 627" xr:uid="{EB5BF4CF-FC75-9141-8E1D-56E55B3FBE38}"/>
    <hyperlink ref="X610" location="'SRC-00 Solusions+ Ops List'!A628" tooltip="SRC-00 Solusions+ Ops List!A628" display="Go to S+ row 628" xr:uid="{FED84DE7-3B36-6B43-AAA6-BC136404F64D}"/>
    <hyperlink ref="X613" location="'SRC-01 NZSA RVG'!A39" tooltip="SRC-01 NZSA RVG!A39" display="Go to SRC-01 row 39" xr:uid="{494D6F52-57ED-F040-A22C-F633F70162C2}"/>
    <hyperlink ref="X144" location="'SRC-00 Solusions+ Ops List'!A629" tooltip="SRC-00 Solusions+ Ops List!A629" display="Go to S+ row 629" xr:uid="{E8AC7BDC-75DE-124F-B24A-C98CF223AD05}"/>
    <hyperlink ref="X578" location="'SRC-00 Solusions+ Ops List'!A630" tooltip="SRC-00 Solusions+ Ops List!A630" display="Go to S+ row 630" xr:uid="{0517062A-89C5-A94C-8A11-DF1DDB0485B5}"/>
    <hyperlink ref="X145" location="'SRC-00 Solusions+ Ops List'!A631" tooltip="SRC-00 Solusions+ Ops List!A631" display="Go to S+ row 631" xr:uid="{FEB13688-CCD3-9143-994D-28AC0F326F54}"/>
    <hyperlink ref="X579" location="'SRC-00 Solusions+ Ops List'!A632" tooltip="SRC-00 Solusions+ Ops List!A632" display="Go to S+ row 632" xr:uid="{2C8CD0C6-337A-6341-9016-EA5F28AC7981}"/>
    <hyperlink ref="X146" location="'SRC-00 Solusions+ Ops List'!A633" tooltip="SRC-00 Solusions+ Ops List!A633" display="Go to S+ row 633" xr:uid="{33900999-4493-4743-BD04-54076FCD688F}"/>
    <hyperlink ref="X1270" location="'SRC-00 Solusions+ Ops List'!A634" tooltip="SRC-00 Solusions+ Ops List!A634" display="Go to S+ row 634" xr:uid="{98D8989F-B69E-FD4B-99E7-E47079E67AE0}"/>
    <hyperlink ref="X357" location="'SRC-00 Solusions+ Ops List'!A635" tooltip="SRC-00 Solusions+ Ops List!A635" display="Go to S+ row 635" xr:uid="{F97E7636-2FEB-B44C-AA3B-01074A93204B}"/>
    <hyperlink ref="X745" location="'SRC-00 Solusions+ Ops List'!A636" tooltip="SRC-00 Solusions+ Ops List!A636" display="Go to S+ row 636" xr:uid="{A6940DA4-E580-D64D-9546-CA5A45C2268E}"/>
    <hyperlink ref="X747" location="'SRC-01 NZSA RVG'!A65" tooltip="SRC-01 NZSA RVG!A65" display="Go to SRC-01 row 65" xr:uid="{3B10C54E-C15A-0E47-B275-5D16E9B38E7B}"/>
    <hyperlink ref="X492" location="'SRC-00 Solusions+ Ops List'!A637" tooltip="SRC-00 Solusions+ Ops List!A637" display="Go to S+ row 637" xr:uid="{416C2121-1A42-F34C-AC4E-CF85BF06BD39}"/>
    <hyperlink ref="X1046" location="'SRC-00 Solusions+ Ops List'!A638" tooltip="SRC-00 Solusions+ Ops List!A638" display="Go to S+ row 638" xr:uid="{062CA879-2415-064C-803D-9A7DAA74358B}"/>
    <hyperlink ref="X653" location="'SRC-00 Solusions+ Ops List'!A639" tooltip="SRC-00 Solusions+ Ops List!A639" display="Go to S+ row 639" xr:uid="{D25FE625-1D83-184A-B2FF-2C7933CEA5E7}"/>
    <hyperlink ref="X581" location="'SRC-00 Solusions+ Ops List'!A640" tooltip="SRC-00 Solusions+ Ops List!A640" display="Go to S+ row 640" xr:uid="{6CD81A5B-E875-DA47-83E4-B6BD7FD20E95}"/>
    <hyperlink ref="X147" location="'SRC-00 Solusions+ Ops List'!A641" tooltip="SRC-00 Solusions+ Ops List!A641" display="Go to S+ row 641" xr:uid="{138AD051-6027-884D-A54D-BB965E8253EF}"/>
    <hyperlink ref="X148" location="'SRC-00 Solusions+ Ops List'!A642" tooltip="SRC-00 Solusions+ Ops List!A642" display="Go to S+ row 642" xr:uid="{0D7CB8C1-C2EF-814D-A89E-705C499D7B9D}"/>
    <hyperlink ref="X601" location="'SRC-00 Solusions+ Ops List'!A643" tooltip="SRC-00 Solusions+ Ops List!A643" display="Go to S+ row 643" xr:uid="{3E4B8F3E-053B-024E-8E31-C4BB580F07A9}"/>
    <hyperlink ref="X602" location="'SRC-00 Solusions+ Ops List'!A644" tooltip="SRC-00 Solusions+ Ops List!A644" display="Go to S+ row 644" xr:uid="{F9AC45D0-7F94-2E48-9077-E1C1591E5604}"/>
    <hyperlink ref="X368" location="'SRC-00 Solusions+ Ops List'!A645" tooltip="SRC-00 Solusions+ Ops List!A645" display="Go to S+ row 645" xr:uid="{BEBA6F83-7ECE-BB4F-9B17-1E30715ABF44}"/>
    <hyperlink ref="X1271" location="'SRC-00 Solusions+ Ops List'!A646" tooltip="SRC-00 Solusions+ Ops List!A646" display="Go to S+ row 646" xr:uid="{42C479AB-EB43-084C-B873-9C16D8FA48B4}"/>
    <hyperlink ref="X1049" location="'SRC-00 Solusions+ Ops List'!A647" tooltip="SRC-00 Solusions+ Ops List!A647" display="Go to S+ row 647" xr:uid="{F9754A53-F50E-BF46-A8DD-6D46AE2C6192}"/>
    <hyperlink ref="X1176" location="'SRC-00 Solusions+ Ops List'!A648" tooltip="SRC-00 Solusions+ Ops List!A648" display="Go to S+ row 648" xr:uid="{E7A12338-1B98-364E-A110-4DE8DA6A7036}"/>
    <hyperlink ref="X1177" location="'SRC-00 Solusions+ Ops List'!A649" tooltip="SRC-00 Solusions+ Ops List!A649" display="Go to S+ row 649" xr:uid="{02FBC7E6-B836-1344-BAE3-507426442656}"/>
    <hyperlink ref="X1173" location="'SRC-01 NZSA RVG'!A105" tooltip="SRC-01 NZSA RVG!A105" display="Go to SRC-01 row 105" xr:uid="{2FDF2ADF-B2EC-B241-87D5-C60E4AD00461}"/>
    <hyperlink ref="X1050" location="'SRC-00 Solusions+ Ops List'!A650" tooltip="SRC-00 Solusions+ Ops List!A650" display="Go to S+ row 650" xr:uid="{E408F36C-E01C-B241-8726-6EA46F9D2EBA}"/>
    <hyperlink ref="X604" location="'SRC-00 Solusions+ Ops List'!A651" tooltip="SRC-00 Solusions+ Ops List!A651" display="Go to S+ row 651" xr:uid="{C1F0E555-066A-1440-93D0-E68A89416620}"/>
    <hyperlink ref="X748" location="'SRC-00 Solusions+ Ops List'!A652" tooltip="SRC-00 Solusions+ Ops List!A652" display="Go to S+ row 652" xr:uid="{F52891FD-3E0B-3344-A229-986A4F801852}"/>
    <hyperlink ref="X153" location="'SRC-00 Solusions+ Ops List'!A653" tooltip="SRC-00 Solusions+ Ops List!A653" display="Go to S+ row 653" xr:uid="{7782B235-8FA3-DD4D-A49B-431130ECCF67}"/>
    <hyperlink ref="X824" location="'SRC-00 Solusions+ Ops List'!A654" tooltip="SRC-00 Solusions+ Ops List!A654" display="Go to S+ row 654" xr:uid="{C9BF78A4-1F3E-6749-AE92-27142E8557A2}"/>
    <hyperlink ref="X1272" location="'SRC-00 Solusions+ Ops List'!A655" tooltip="SRC-00 Solusions+ Ops List!A655" display="Go to S+ row 655" xr:uid="{7F96A88B-5E63-C344-BE8A-D4868920D274}"/>
    <hyperlink ref="X154" location="'SRC-00 Solusions+ Ops List'!A656" tooltip="SRC-00 Solusions+ Ops List!A656" display="Go to S+ row 656" xr:uid="{3C069450-0C78-FA42-B389-AEE41B8D1496}"/>
    <hyperlink ref="X605" location="'SRC-00 Solusions+ Ops List'!A657" tooltip="SRC-00 Solusions+ Ops List!A657" display="Go to S+ row 657" xr:uid="{21958484-8810-A74D-B47F-9B6E841207E0}"/>
    <hyperlink ref="X826" location="'SRC-00 Solusions+ Ops List'!A658" tooltip="SRC-00 Solusions+ Ops List!A658" display="Go to S+ row 658" xr:uid="{CDCAA926-D490-DE4F-A884-2DAA41023E92}"/>
    <hyperlink ref="X749" location="'SRC-00 Solusions+ Ops List'!A659" tooltip="SRC-00 Solusions+ Ops List!A659" display="Go to S+ row 659" xr:uid="{C8A35F18-CD82-B54F-A065-5E5F50649FA2}"/>
    <hyperlink ref="X987" location="'SRC-00 Solusions+ Ops List'!A660" tooltip="SRC-00 Solusions+ Ops List!A660" display="Go to S+ row 660" xr:uid="{43D8172B-5E23-F141-8C88-9A883544A363}"/>
    <hyperlink ref="X982" location="'SRC-01 NZSA RVG'!A91" tooltip="SRC-01 NZSA RVG!A91" display="Go to SRC-01 row 91" xr:uid="{77254A6F-A62F-DE43-9EED-A461A33ACC1A}"/>
    <hyperlink ref="X750" location="'SRC-00 Solusions+ Ops List'!A661" tooltip="SRC-00 Solusions+ Ops List!A661" display="Go to S+ row 661" xr:uid="{C3E7C03E-632B-F845-913E-8E5008840DCE}"/>
    <hyperlink ref="X1051" location="'SRC-00 Solusions+ Ops List'!A662" tooltip="SRC-00 Solusions+ Ops List!A662" display="Go to S+ row 662" xr:uid="{8747CF9A-B29A-2B4F-BC50-2D88C2B67AAC}"/>
    <hyperlink ref="X751" location="'SRC-00 Solusions+ Ops List'!A663" tooltip="SRC-00 Solusions+ Ops List!A663" display="Go to S+ row 663" xr:uid="{6A97E674-6702-5A41-A7BC-E84CF9B817F3}"/>
    <hyperlink ref="X752" location="'SRC-00 Solusions+ Ops List'!A664" tooltip="SRC-00 Solusions+ Ops List!A664" display="Go to S+ row 664" xr:uid="{531F7832-B385-0C40-B8C4-2DD5617AD06D}"/>
    <hyperlink ref="X753" location="'SRC-00 Solusions+ Ops List'!A665" tooltip="SRC-00 Solusions+ Ops List!A665" display="Go to S+ row 665" xr:uid="{D99248DC-AADF-E845-8E29-80D50A30DBCC}"/>
    <hyperlink ref="X754" location="'SRC-00 Solusions+ Ops List'!A666" tooltip="SRC-00 Solusions+ Ops List!A666" display="Go to S+ row 666" xr:uid="{11302DE2-67F4-DA4E-B4DC-03E8740B62CC}"/>
    <hyperlink ref="X755" location="'SRC-00 Solusions+ Ops List'!A667" tooltip="SRC-00 Solusions+ Ops List!A667" display="Go to S+ row 667" xr:uid="{A2DA67AE-4443-464D-833B-B17F562D64FF}"/>
    <hyperlink ref="X155" location="'SRC-00 Solusions+ Ops List'!A668" tooltip="SRC-00 Solusions+ Ops List!A668" display="Go to S+ row 668" xr:uid="{5D881BAD-FBF9-6B41-BCD9-05593291993E}"/>
    <hyperlink ref="X156" location="'SRC-00 Solusions+ Ops List'!A669" tooltip="SRC-00 Solusions+ Ops List!A669" display="Go to S+ row 669" xr:uid="{FCDF4BF9-21DA-894E-91C0-B96F5DB40AA1}"/>
    <hyperlink ref="X756" location="'SRC-00 Solusions+ Ops List'!A670" tooltip="SRC-00 Solusions+ Ops List!A670" display="Go to S+ row 670" xr:uid="{B728DEE9-4610-644E-8487-D6A29BD33C69}"/>
    <hyperlink ref="X157" location="'SRC-00 Solusions+ Ops List'!A671" tooltip="SRC-00 Solusions+ Ops List!A671" display="Go to S+ row 671" xr:uid="{577AB6CC-331F-8141-9690-48569634E4F1}"/>
    <hyperlink ref="X158" location="'SRC-00 Solusions+ Ops List'!A672" tooltip="SRC-00 Solusions+ Ops List!A672" display="Go to S+ row 672" xr:uid="{4D6D6B4F-B472-9A47-84A1-D1ACD4191448}"/>
    <hyperlink ref="X159" location="'SRC-00 Solusions+ Ops List'!A673" tooltip="SRC-00 Solusions+ Ops List!A673" display="Go to S+ row 673" xr:uid="{6902F073-2B52-F344-A626-6786958146F3}"/>
    <hyperlink ref="X757" location="'SRC-00 Solusions+ Ops List'!A674" tooltip="SRC-00 Solusions+ Ops List!A674" display="Go to S+ row 674" xr:uid="{324AEF1C-5852-3546-B61B-B7755556DAE7}"/>
    <hyperlink ref="X1273" location="'SRC-00 Solusions+ Ops List'!A675" tooltip="SRC-00 Solusions+ Ops List!A675" display="Go to S+ row 675" xr:uid="{99F577FE-EF95-774E-8253-18367027845D}"/>
    <hyperlink ref="X160" location="'SRC-00 Solusions+ Ops List'!A676" tooltip="SRC-00 Solusions+ Ops List!A676" display="Go to S+ row 676" xr:uid="{1C92C0F1-44DF-754D-8427-2C9AE994CF47}"/>
    <hyperlink ref="X161" location="'SRC-00 Solusions+ Ops List'!A677" tooltip="SRC-00 Solusions+ Ops List!A677" display="Go to S+ row 677" xr:uid="{F485E303-DA82-D64D-BAF2-9E50E23D161D}"/>
    <hyperlink ref="X921" location="'SRC-00 Solusions+ Ops List'!A678" tooltip="SRC-00 Solusions+ Ops List!A678" display="Go to S+ row 678" xr:uid="{D07E5126-80CE-ED45-83BE-FF95F64BB177}"/>
    <hyperlink ref="X922" location="'SRC-00 Solusions+ Ops List'!A679" tooltip="SRC-00 Solusions+ Ops List!A679" display="Go to S+ row 679" xr:uid="{4FDBAB43-BE85-1C45-BC57-89BA176C2328}"/>
    <hyperlink ref="X923" location="'SRC-00 Solusions+ Ops List'!A680" tooltip="SRC-00 Solusions+ Ops List!A680" display="Go to S+ row 680" xr:uid="{7F7B4CC6-A9AD-EC4F-A614-94B9572B8DA8}"/>
    <hyperlink ref="X924" location="'SRC-00 Solusions+ Ops List'!A681" tooltip="SRC-00 Solusions+ Ops List!A681" display="Go to S+ row 681" xr:uid="{920EABBF-C2E2-8A47-8A12-E05F82D4B197}"/>
    <hyperlink ref="X925" location="'SRC-00 Solusions+ Ops List'!A682" tooltip="SRC-00 Solusions+ Ops List!A682" display="Go to S+ row 682" xr:uid="{4AE2A0F6-55C9-6B42-859F-1CB7638C770B}"/>
    <hyperlink ref="X1274" location="'SRC-00 Solusions+ Ops List'!A683" tooltip="SRC-00 Solusions+ Ops List!A683" display="Go to S+ row 683" xr:uid="{8AB96E32-899C-3342-96AA-589EC717907B}"/>
    <hyperlink ref="X606" location="'SRC-00 Solusions+ Ops List'!A684" tooltip="SRC-00 Solusions+ Ops List!A684" display="Go to S+ row 684" xr:uid="{C937180B-F868-3B4A-9786-694403F4B3AA}"/>
    <hyperlink ref="X600" location="'SRC-01 NZSA RVG'!A43" tooltip="SRC-01 NZSA RVG!A43" display="Go to SRC-01 row 43" xr:uid="{9BA081B2-F010-9247-BF37-6286F66EB1A0}"/>
    <hyperlink ref="X162" location="'SRC-00 Solusions+ Ops List'!A685" tooltip="SRC-00 Solusions+ Ops List!A685" display="Go to S+ row 685" xr:uid="{26D3B6B6-7C08-7745-91BE-3BA207755F08}"/>
    <hyperlink ref="X1275" location="'SRC-00 Solusions+ Ops List'!A686" tooltip="SRC-00 Solusions+ Ops List!A686" display="Go to S+ row 686" xr:uid="{23F4C70B-0779-8B42-8910-9559662FAA77}"/>
    <hyperlink ref="X164" location="'SRC-00 Solusions+ Ops List'!A687" tooltip="SRC-00 Solusions+ Ops List!A687" display="Go to S+ row 687" xr:uid="{BB36F2FE-F9C8-2F48-B68A-38A97B058426}"/>
    <hyperlink ref="X250" location="'SRC-00 Solusions+ Ops List'!A688" tooltip="SRC-00 Solusions+ Ops List!A688" display="Go to S+ row 688" xr:uid="{35F93EC4-BACF-144E-9EB6-890C96F68C52}"/>
    <hyperlink ref="X794" location="'SRC-00 Solusions+ Ops List'!A689" tooltip="SRC-00 Solusions+ Ops List!A689" display="Go to S+ row 689" xr:uid="{F1793030-8FB4-3A46-8569-960930847036}"/>
    <hyperlink ref="X827" location="'SRC-00 Solusions+ Ops List'!A690" tooltip="SRC-00 Solusions+ Ops List!A690" display="Go to S+ row 690" xr:uid="{635CA857-403E-A642-9EEE-1D4789B5B106}"/>
    <hyperlink ref="X449" location="'SRC-00 Solusions+ Ops List'!A691" tooltip="SRC-00 Solusions+ Ops List!A691" display="Go to S+ row 691" xr:uid="{11F2CA08-052A-6E4B-9AD6-79AEB4B740DC}"/>
    <hyperlink ref="X450" location="'SRC-00 Solusions+ Ops List'!A692" tooltip="SRC-00 Solusions+ Ops List!A692" display="Go to S+ row 692" xr:uid="{F4632413-6C11-204A-8266-5E2001740A0C}"/>
    <hyperlink ref="X165" location="'SRC-00 Solusions+ Ops List'!A693" tooltip="SRC-00 Solusions+ Ops List!A693" display="Go to S+ row 693" xr:uid="{AF05D976-1D00-F94C-A2FC-557B742A06DA}"/>
    <hyperlink ref="X1052" location="'SRC-00 Solusions+ Ops List'!A694" tooltip="SRC-00 Solusions+ Ops List!A694" display="Go to S+ row 694" xr:uid="{6072F77E-EEDE-5841-857E-CEBE3A5546A2}"/>
    <hyperlink ref="X168" location="'SRC-00 Solusions+ Ops List'!A695" tooltip="SRC-00 Solusions+ Ops List!A695" display="Go to S+ row 695" xr:uid="{2A803626-0354-3A4A-972A-63AD335EBEDD}"/>
    <hyperlink ref="X1276" location="'SRC-00 Solusions+ Ops List'!A696" tooltip="SRC-00 Solusions+ Ops List!A696" display="Go to S+ row 696" xr:uid="{CF237584-88CA-5C46-97C9-B08A15B17144}"/>
    <hyperlink ref="X584" location="'SRC-00 Solusions+ Ops List'!A697" tooltip="SRC-00 Solusions+ Ops List!A697" display="Go to S+ row 697" xr:uid="{37A9EDAD-D967-BE4F-915A-2A2DE7C10AC4}"/>
    <hyperlink ref="X1155" location="'SRC-00 Solusions+ Ops List'!A698" tooltip="SRC-00 Solusions+ Ops List!A698" display="Go to S+ row 698" xr:uid="{EC40D5D4-0C68-4F45-A5B8-4619E0537FE5}"/>
    <hyperlink ref="X1154" location="'SRC-01 NZSA RVG'!A100" tooltip="SRC-01 NZSA RVG!A100" display="Go to SRC-01 row 100" xr:uid="{47CBA0AE-9FAE-5E40-AD90-86636ADB4CD5}"/>
    <hyperlink ref="X1277" location="'SRC-00 Solusions+ Ops List'!A699" tooltip="SRC-00 Solusions+ Ops List!A699" display="Go to S+ row 699" xr:uid="{CD8679D4-B975-754D-A0D2-C6FC3CC32158}"/>
    <hyperlink ref="X758" location="'SRC-00 Solusions+ Ops List'!A700" tooltip="SRC-00 Solusions+ Ops List!A700" display="Go to S+ row 700" xr:uid="{5A38D4E2-E44B-4341-BBD7-5B22C1ACEC1A}"/>
    <hyperlink ref="X926" location="'SRC-00 Solusions+ Ops List'!A701" tooltip="SRC-00 Solusions+ Ops List!A701" display="Go to S+ row 701" xr:uid="{A2F427D0-CF6D-B645-BAA1-9A499B85F2EA}"/>
    <hyperlink ref="X1278" location="'SRC-00 Solusions+ Ops List'!A702" tooltip="SRC-00 Solusions+ Ops List!A702" display="Go to S+ row 702" xr:uid="{E0738C43-9D5C-2349-8AE0-51BCCD8154ED}"/>
    <hyperlink ref="X1279" location="'SRC-00 Solusions+ Ops List'!A703" tooltip="SRC-00 Solusions+ Ops List!A703" display="Go to S+ row 703" xr:uid="{B93D77E0-E70E-934F-8810-1CD481A2E178}"/>
    <hyperlink ref="X1053" location="'SRC-00 Solusions+ Ops List'!A704" tooltip="SRC-00 Solusions+ Ops List!A704" display="Go to S+ row 704" xr:uid="{65784910-589A-154C-9CBF-ADA8099EFA85}"/>
    <hyperlink ref="X927" location="'SRC-00 Solusions+ Ops List'!A705" tooltip="SRC-00 Solusions+ Ops List!A705" display="Go to S+ row 705" xr:uid="{3136C3A1-15B8-DA44-9529-39371C56375A}"/>
    <hyperlink ref="X1280" location="'SRC-00 Solusions+ Ops List'!A706" tooltip="SRC-00 Solusions+ Ops List!A706" display="Go to S+ row 706" xr:uid="{DDEB22C7-C6B5-294A-9ACE-B94AE8FAC781}"/>
    <hyperlink ref="X374" location="'SRC-00 Solusions+ Ops List'!A707" tooltip="SRC-00 Solusions+ Ops List!A707" display="Go to S+ row 707" xr:uid="{E353CE62-589D-AE4A-9B27-2EF07DAF8EB1}"/>
    <hyperlink ref="X928" location="'SRC-00 Solusions+ Ops List'!A708" tooltip="SRC-00 Solusions+ Ops List!A708" display="Go to S+ row 708" xr:uid="{D9956DBE-4EF5-DA4E-AAC2-2CBF1A27A787}"/>
    <hyperlink ref="X1281" location="'SRC-00 Solusions+ Ops List'!A709" tooltip="SRC-00 Solusions+ Ops List!A709" display="Go to S+ row 709" xr:uid="{F8F06AFB-3060-2545-A6D5-28BF6E188AD8}"/>
    <hyperlink ref="X964" location="'SRC-00 Solusions+ Ops List'!A710" tooltip="SRC-00 Solusions+ Ops List!A710" display="Go to S+ row 710" xr:uid="{C9F062B9-EE61-9744-B1A1-B24144A33018}"/>
    <hyperlink ref="X929" location="'SRC-00 Solusions+ Ops List'!A711" tooltip="SRC-00 Solusions+ Ops List!A711" display="Go to S+ row 711" xr:uid="{E2F83B65-D6CA-E643-A6CE-D5B29505C926}"/>
    <hyperlink ref="X930" location="'SRC-00 Solusions+ Ops List'!A712" tooltip="SRC-00 Solusions+ Ops List!A712" display="Go to S+ row 712" xr:uid="{569A127A-CECF-3B47-A696-846E8731CC08}"/>
    <hyperlink ref="X795" location="'SRC-00 Solusions+ Ops List'!A713" tooltip="SRC-00 Solusions+ Ops List!A713" display="Go to S+ row 713" xr:uid="{3F2DAD8A-0190-014E-9CC8-9E78ED826633}"/>
    <hyperlink ref="X173" location="'SRC-00 Solusions+ Ops List'!A714" tooltip="SRC-00 Solusions+ Ops List!A714" display="Go to S+ row 714" xr:uid="{2B01C764-3199-DE4E-91F6-59449C2A4515}"/>
    <hyperlink ref="X495" location="'SRC-00 Solusions+ Ops List'!A715" tooltip="SRC-00 Solusions+ Ops List!A715" display="Go to S+ row 715" xr:uid="{B96457B0-138D-1A4C-87B8-8568A2F81D66}"/>
    <hyperlink ref="X1054" location="'SRC-00 Solusions+ Ops List'!A716" tooltip="SRC-00 Solusions+ Ops List!A716" display="Go to S+ row 716" xr:uid="{3C31BC88-EF25-B940-8AD7-51763A27218E}"/>
    <hyperlink ref="X496" location="'SRC-00 Solusions+ Ops List'!A717" tooltip="SRC-00 Solusions+ Ops List!A717" display="Go to S+ row 717" xr:uid="{8F0E6D9F-EA42-7348-8B60-BEE143FDD094}"/>
    <hyperlink ref="X251" location="'SRC-00 Solusions+ Ops List'!A718" tooltip="SRC-00 Solusions+ Ops List!A718" display="Go to S+ row 718" xr:uid="{947A9F89-50B6-1544-A351-6F9112490F82}"/>
    <hyperlink ref="X252" location="'SRC-00 Solusions+ Ops List'!A719" tooltip="SRC-00 Solusions+ Ops List!A719" display="Go to S+ row 719" xr:uid="{20AC60E5-90E4-5341-8B7E-0F6B9ECE53BE}"/>
    <hyperlink ref="X253" location="'SRC-00 Solusions+ Ops List'!A720" tooltip="SRC-00 Solusions+ Ops List!A720" display="Go to S+ row 720" xr:uid="{50776C47-FAFF-8044-B144-7397A990AC1D}"/>
    <hyperlink ref="X254" location="'SRC-00 Solusions+ Ops List'!A721" tooltip="SRC-00 Solusions+ Ops List!A721" display="Go to S+ row 721" xr:uid="{A1EA19A7-EDC1-7343-ABF9-44E1C21FEAA6}"/>
    <hyperlink ref="X255" location="'SRC-00 Solusions+ Ops List'!A722" tooltip="SRC-00 Solusions+ Ops List!A722" display="Go to S+ row 722" xr:uid="{C4EAAB7C-14CD-5A43-9604-C229D7EA8EBE}"/>
    <hyperlink ref="X585" location="'SRC-00 Solusions+ Ops List'!A723" tooltip="SRC-00 Solusions+ Ops List!A723" display="Go to S+ row 723" xr:uid="{37B55F90-B851-F643-9B35-2EE4F0679276}"/>
    <hyperlink ref="X1282" location="'SRC-00 Solusions+ Ops List'!A724" tooltip="SRC-00 Solusions+ Ops List!A724" display="Go to S+ row 724" xr:uid="{F965D0FE-89C6-9D49-B9B8-1C3EE89A4471}"/>
    <hyperlink ref="X174" location="'SRC-00 Solusions+ Ops List'!A725" tooltip="SRC-00 Solusions+ Ops List!A725" display="Go to S+ row 725" xr:uid="{BBA8DCED-F048-6F45-8588-01B74FB5F4C4}"/>
    <hyperlink ref="X256" location="'SRC-00 Solusions+ Ops List'!A726" tooltip="SRC-00 Solusions+ Ops List!A726" display="Go to S+ row 726" xr:uid="{951EF46B-3528-1940-82BA-B21032B190F5}"/>
    <hyperlink ref="X257" location="'SRC-00 Solusions+ Ops List'!A727" tooltip="SRC-00 Solusions+ Ops List!A727" display="Go to S+ row 727" xr:uid="{F3A027A9-00F4-F349-ACB3-906FF4C1A687}"/>
    <hyperlink ref="X828" location="'SRC-00 Solusions+ Ops List'!A728" tooltip="SRC-00 Solusions+ Ops List!A728" display="Go to S+ row 728" xr:uid="{FADA43CF-2601-5C48-963E-5BDD7AE8A74B}"/>
    <hyperlink ref="X258" location="'SRC-00 Solusions+ Ops List'!A729" tooltip="SRC-00 Solusions+ Ops List!A729" display="Go to S+ row 729" xr:uid="{A1E9EC50-F828-4149-816D-8E56998B5064}"/>
    <hyperlink ref="X586" location="'SRC-00 Solusions+ Ops List'!A730" tooltip="SRC-00 Solusions+ Ops List!A730" display="Go to S+ row 730" xr:uid="{809EA0C1-8F38-B242-A623-6BFE03937E66}"/>
    <hyperlink ref="X259" location="'SRC-00 Solusions+ Ops List'!A731" tooltip="SRC-00 Solusions+ Ops List!A731" display="Go to S+ row 731" xr:uid="{755D1EB5-49E1-234B-BF5C-DD8C4CBD5461}"/>
    <hyperlink ref="X497" location="'SRC-00 Solusions+ Ops List'!A732" tooltip="SRC-00 Solusions+ Ops List!A732" display="Go to S+ row 732" xr:uid="{77C3AEE3-4B89-144D-9063-BA0DCB405037}"/>
    <hyperlink ref="X260" location="'SRC-00 Solusions+ Ops List'!A733" tooltip="SRC-00 Solusions+ Ops List!A733" display="Go to S+ row 733" xr:uid="{8190AF94-7D3D-9344-A034-E59C791E4F2A}"/>
    <hyperlink ref="X261" location="'SRC-00 Solusions+ Ops List'!A734" tooltip="SRC-00 Solusions+ Ops List!A734" display="Go to S+ row 734" xr:uid="{58F0654E-5C4E-B24D-9F27-8DB6B700A39C}"/>
    <hyperlink ref="X262" location="'SRC-00 Solusions+ Ops List'!A735" tooltip="SRC-00 Solusions+ Ops List!A735" display="Go to S+ row 735" xr:uid="{D7CFDA2F-D339-A94C-946E-B1E357B20379}"/>
    <hyperlink ref="X1055" location="'SRC-00 Solusions+ Ops List'!A736" tooltip="SRC-00 Solusions+ Ops List!A736" display="Go to S+ row 736" xr:uid="{AA807901-03A8-3946-80EC-BFE61C48954A}"/>
    <hyperlink ref="X263" location="'SRC-00 Solusions+ Ops List'!A737" tooltip="SRC-00 Solusions+ Ops List!A737" display="Go to S+ row 737" xr:uid="{348B8C32-4048-5F44-99B8-D48FCC771E12}"/>
    <hyperlink ref="X264" location="'SRC-00 Solusions+ Ops List'!A738" tooltip="SRC-00 Solusions+ Ops List!A738" display="Go to S+ row 738" xr:uid="{462266FD-9191-3B48-AC53-D6B11506D83A}"/>
    <hyperlink ref="X1056" location="'SRC-00 Solusions+ Ops List'!A739" tooltip="SRC-00 Solusions+ Ops List!A739" display="Go to S+ row 739" xr:uid="{6CBE8A23-A240-574E-95A2-89E4276BFB9B}"/>
    <hyperlink ref="X759" location="'SRC-00 Solusions+ Ops List'!A740" tooltip="SRC-00 Solusions+ Ops List!A740" display="Go to S+ row 740" xr:uid="{5438A5FC-C538-6F41-8B0F-4381C3FC46DA}"/>
    <hyperlink ref="X175" location="'SRC-00 Solusions+ Ops List'!A741" tooltip="SRC-00 Solusions+ Ops List!A741" display="Go to S+ row 741" xr:uid="{64108441-085B-A54C-8193-3C0C84575A83}"/>
    <hyperlink ref="X1283" location="'SRC-00 Solusions+ Ops List'!A742" tooltip="SRC-00 Solusions+ Ops List!A742" display="Go to S+ row 742" xr:uid="{7AF9F0B2-EE0B-FD4C-89BC-D53ADDBAB36F}"/>
    <hyperlink ref="X1284" location="'SRC-00 Solusions+ Ops List'!A743" tooltip="SRC-00 Solusions+ Ops List!A743" display="Go to S+ row 743" xr:uid="{ED5BD72D-7149-8147-8F0A-326331BE3C92}"/>
    <hyperlink ref="X588" location="'SRC-00 Solusions+ Ops List'!A744" tooltip="SRC-00 Solusions+ Ops List!A744" display="Go to S+ row 744" xr:uid="{D5888661-0CA8-C844-AA07-83DCE46DFB7C}"/>
    <hyperlink ref="X1285" location="'SRC-00 Solusions+ Ops List'!A745" tooltip="SRC-00 Solusions+ Ops List!A745" display="Go to S+ row 745" xr:uid="{6022A734-4496-BD4A-9316-29867EFF5D6E}"/>
    <hyperlink ref="X1286" location="'SRC-00 Solusions+ Ops List'!A746" tooltip="SRC-00 Solusions+ Ops List!A746" display="Go to S+ row 746" xr:uid="{54A58992-05AD-1248-9B3F-37E6DE242163}"/>
    <hyperlink ref="X1287" location="'SRC-00 Solusions+ Ops List'!A747" tooltip="SRC-00 Solusions+ Ops List!A747" display="Go to S+ row 747" xr:uid="{3B7F2646-1DB2-194A-82FF-66603A15D67A}"/>
    <hyperlink ref="X1288" location="'SRC-00 Solusions+ Ops List'!A748" tooltip="SRC-00 Solusions+ Ops List!A748" display="Go to S+ row 748" xr:uid="{56E88407-B605-1342-A49C-729DDC905630}"/>
    <hyperlink ref="X796" location="'SRC-00 Solusions+ Ops List'!A749" tooltip="SRC-00 Solusions+ Ops List!A749" display="Go to S+ row 749" xr:uid="{EDAF3D8E-87C9-F548-B36E-469D3ECED85E}"/>
    <hyperlink ref="X792" location="'SRC-01 NZSA RVG'!A74" tooltip="SRC-01 NZSA RVG!A74" display="Go to SRC-01 row 74" xr:uid="{DAC89E4D-ED13-C541-9F4D-E468ED4A51A5}"/>
    <hyperlink ref="X797" location="'SRC-00 Solusions+ Ops List'!A750" tooltip="SRC-00 Solusions+ Ops List!A750" display="Go to S+ row 750" xr:uid="{58DD4FA1-F1B6-CE47-8A14-4EB0E04EF073}"/>
    <hyperlink ref="X793" location="'SRC-01 NZSA RVG'!A73" tooltip="SRC-01 NZSA RVG!A73" display="Go to SRC-01 row 73" xr:uid="{ED8B7191-9AA2-1948-BA45-8AF1CD06825B}"/>
    <hyperlink ref="X760" location="'SRC-00 Solusions+ Ops List'!A751" tooltip="SRC-00 Solusions+ Ops List!A751" display="Go to S+ row 751" xr:uid="{17928D8C-110A-2D41-B904-00E7D18774F9}"/>
    <hyperlink ref="X1057" location="'SRC-00 Solusions+ Ops List'!A752" tooltip="SRC-00 Solusions+ Ops List!A752" display="Go to S+ row 752" xr:uid="{FDF123A2-9F15-634A-A261-5D3FBA88E83A}"/>
    <hyperlink ref="X589" location="'SRC-00 Solusions+ Ops List'!A753" tooltip="SRC-00 Solusions+ Ops List!A753" display="Go to S+ row 753" xr:uid="{458F0258-05A1-C94E-B1CB-FC713DDE65FD}"/>
    <hyperlink ref="X176" location="'SRC-00 Solusions+ Ops List'!A754" tooltip="SRC-00 Solusions+ Ops List!A754" display="Go to S+ row 754" xr:uid="{56342E6C-18A5-DC45-9B31-7BF98B40B30C}"/>
    <hyperlink ref="X177" location="'SRC-00 Solusions+ Ops List'!A755" tooltip="SRC-00 Solusions+ Ops List!A755" display="Go to S+ row 755" xr:uid="{3308F357-9566-6741-9992-B7386F0C3746}"/>
    <hyperlink ref="X658" location="'SRC-00 Solusions+ Ops List'!A756" tooltip="SRC-00 Solusions+ Ops List!A756" display="Go to S+ row 756" xr:uid="{DB583B21-AEDF-7C44-86B1-5AB2DB025D41}"/>
    <hyperlink ref="X1058" location="'SRC-00 Solusions+ Ops List'!A757" tooltip="SRC-00 Solusions+ Ops List!A757" display="Go to S+ row 757" xr:uid="{7DF22D88-0539-CC40-8EC7-841E3AEE8AA0}"/>
    <hyperlink ref="X1059" location="'SRC-00 Solusions+ Ops List'!A758" tooltip="SRC-00 Solusions+ Ops List!A758" display="Go to S+ row 758" xr:uid="{5E8E1973-075E-1D42-B69F-545E5C4EBC75}"/>
    <hyperlink ref="X1060" location="'SRC-00 Solusions+ Ops List'!A759" tooltip="SRC-00 Solusions+ Ops List!A759" display="Go to S+ row 759" xr:uid="{11D81A8D-7777-9B42-B5B0-7518FA6F8761}"/>
    <hyperlink ref="X1061" location="'SRC-00 Solusions+ Ops List'!A760" tooltip="SRC-00 Solusions+ Ops List!A760" display="Go to S+ row 760" xr:uid="{D723B4D9-A19E-9346-9482-804964626279}"/>
    <hyperlink ref="X178" location="'SRC-00 Solusions+ Ops List'!A761" tooltip="SRC-00 Solusions+ Ops List!A761" display="Go to S+ row 761" xr:uid="{27867095-979A-3C45-997B-A1000028434C}"/>
    <hyperlink ref="X179" location="'SRC-00 Solusions+ Ops List'!A762" tooltip="SRC-00 Solusions+ Ops List!A762" display="Go to S+ row 762" xr:uid="{F9323B0B-ECCE-5E4E-9CEE-FB80EEFEEE55}"/>
    <hyperlink ref="X180" location="'SRC-00 Solusions+ Ops List'!A763" tooltip="SRC-00 Solusions+ Ops List!A763" display="Go to S+ row 763" xr:uid="{109F6EAF-117D-EF4C-B64C-48FA9874A394}"/>
    <hyperlink ref="X181" location="'SRC-00 Solusions+ Ops List'!A764" tooltip="SRC-00 Solusions+ Ops List!A764" display="Go to S+ row 764" xr:uid="{45E303E8-ABA2-2744-9E06-B83C9174E0F3}"/>
    <hyperlink ref="X391" location="'SRC-00 Solusions+ Ops List'!A765" tooltip="SRC-00 Solusions+ Ops List!A765" display="Go to S+ row 765" xr:uid="{FF1BC65F-90C1-2F4D-BDE9-431202D1452A}"/>
    <hyperlink ref="X1062" location="'SRC-00 Solusions+ Ops List'!A766" tooltip="SRC-00 Solusions+ Ops List!A766" display="Go to S+ row 766" xr:uid="{3415A5B3-FBCD-1648-9ED1-435745714925}"/>
    <hyperlink ref="X1063" location="'SRC-00 Solusions+ Ops List'!A767" tooltip="SRC-00 Solusions+ Ops List!A767" display="Go to S+ row 767" xr:uid="{27104B8F-BF11-4D40-8DB4-952FA83E12A9}"/>
    <hyperlink ref="X1064" location="'SRC-00 Solusions+ Ops List'!A768" tooltip="SRC-00 Solusions+ Ops List!A768" display="Go to S+ row 768" xr:uid="{74744BFE-E97D-3847-8EAB-0691EE3F924F}"/>
    <hyperlink ref="X1091" location="'SRC-01 NZSA RVG'!A93" tooltip="SRC-01 NZSA RVG!A93" display="Go to SRC-01 row 93" xr:uid="{F914FF86-EF4B-0846-8476-C4B98941B461}"/>
    <hyperlink ref="X590" location="'SRC-00 Solusions+ Ops List'!A769" tooltip="SRC-00 Solusions+ Ops List!A769" display="Go to S+ row 769" xr:uid="{6292F5AB-87C8-5447-916A-DB0AB1412858}"/>
    <hyperlink ref="X498" location="'SRC-00 Solusions+ Ops List'!A770" tooltip="SRC-00 Solusions+ Ops List!A770" display="Go to S+ row 770" xr:uid="{9B7BC62E-9F67-B343-88B8-CDE40C0F65BA}"/>
    <hyperlink ref="X499" location="'SRC-00 Solusions+ Ops List'!A771" tooltip="SRC-00 Solusions+ Ops List!A771" display="Go to S+ row 771" xr:uid="{2D48C4D8-0689-6D49-8BD4-7476C8472B66}"/>
    <hyperlink ref="X500" location="'SRC-00 Solusions+ Ops List'!A772" tooltip="SRC-00 Solusions+ Ops List!A772" display="Go to S+ row 772" xr:uid="{C55C5225-09FD-C047-A957-F15220115D93}"/>
    <hyperlink ref="X501" location="'SRC-00 Solusions+ Ops List'!A773" tooltip="SRC-00 Solusions+ Ops List!A773" display="Go to S+ row 773" xr:uid="{B7CD686C-8E91-C245-AE9C-77AF9C0D86A1}"/>
    <hyperlink ref="X392" location="'SRC-00 Solusions+ Ops List'!A774" tooltip="SRC-00 Solusions+ Ops List!A774" display="Go to S+ row 774" xr:uid="{A1A0C862-F0DF-E84B-8989-42F78E313732}"/>
    <hyperlink ref="X393" location="'SRC-00 Solusions+ Ops List'!A775" tooltip="SRC-00 Solusions+ Ops List!A775" display="Go to S+ row 775" xr:uid="{98053596-5D99-444C-A437-B5E75FCBDD21}"/>
    <hyperlink ref="X397" location="'SRC-00 Solusions+ Ops List'!A776" tooltip="SRC-00 Solusions+ Ops List!A776" display="Go to S+ row 776" xr:uid="{C1F7A6EE-7467-EB41-86BE-B05634C7C2CA}"/>
    <hyperlink ref="X406" location="'SRC-00 Solusions+ Ops List'!A777" tooltip="SRC-00 Solusions+ Ops List!A777" display="Go to S+ row 777" xr:uid="{5917526E-29F0-3341-B1E1-40812A9B265B}"/>
    <hyperlink ref="X398" location="'SRC-00 Solusions+ Ops List'!A778" tooltip="SRC-00 Solusions+ Ops List!A778" display="Go to S+ row 778" xr:uid="{988EDF9A-7DF6-484B-860B-AEA6197C1109}"/>
    <hyperlink ref="X399" location="'SRC-00 Solusions+ Ops List'!A779" tooltip="SRC-00 Solusions+ Ops List!A779" display="Go to S+ row 779" xr:uid="{5A239139-6D5E-DF44-803B-255B316049FB}"/>
    <hyperlink ref="X394" location="'SRC-00 Solusions+ Ops List'!A780" tooltip="SRC-00 Solusions+ Ops List!A780" display="Go to S+ row 780" xr:uid="{D9632244-519C-314C-A97F-0EAF22BBC78B}"/>
    <hyperlink ref="X407" location="'SRC-00 Solusions+ Ops List'!A781" tooltip="SRC-00 Solusions+ Ops List!A781" display="Go to S+ row 781" xr:uid="{D43CFF70-51CE-D143-85A2-BA80603D36F1}"/>
    <hyperlink ref="X395" location="'SRC-00 Solusions+ Ops List'!A782" tooltip="SRC-00 Solusions+ Ops List!A782" display="Go to S+ row 782" xr:uid="{FC195414-FFC9-F341-AB1E-911FE573DCAA}"/>
    <hyperlink ref="X396" location="'SRC-00 Solusions+ Ops List'!A783" tooltip="SRC-00 Solusions+ Ops List!A783" display="Go to S+ row 783" xr:uid="{E2F40C77-0D95-5745-BE32-9CD2FCAD8AA1}"/>
    <hyperlink ref="X400" location="'SRC-00 Solusions+ Ops List'!A784" tooltip="SRC-00 Solusions+ Ops List!A784" display="Go to S+ row 784" xr:uid="{DAF51EC5-239E-484D-9604-504A6B997152}"/>
    <hyperlink ref="X401" location="'SRC-00 Solusions+ Ops List'!A785" tooltip="SRC-00 Solusions+ Ops List!A785" display="Go to S+ row 785" xr:uid="{8D2DC04F-E84A-3944-BEE0-561273C0D04D}"/>
    <hyperlink ref="X402" location="'SRC-00 Solusions+ Ops List'!A786" tooltip="SRC-00 Solusions+ Ops List!A786" display="Go to S+ row 786" xr:uid="{4AE9B5FA-510E-C84F-85DB-FC59619FD26C}"/>
    <hyperlink ref="X403" location="'SRC-00 Solusions+ Ops List'!A787" tooltip="SRC-00 Solusions+ Ops List!A787" display="Go to S+ row 787" xr:uid="{54A6E7B5-8915-C444-9E83-0A8F076CBC31}"/>
    <hyperlink ref="X404" location="'SRC-00 Solusions+ Ops List'!A788" tooltip="SRC-00 Solusions+ Ops List!A788" display="Go to S+ row 788" xr:uid="{F1812A51-C9AC-C446-A4A2-E4C70F72B0C8}"/>
    <hyperlink ref="X405" location="'SRC-00 Solusions+ Ops List'!A789" tooltip="SRC-00 Solusions+ Ops List!A789" display="Go to S+ row 789" xr:uid="{A75D092C-97B7-9643-9C09-F0103AE558FE}"/>
    <hyperlink ref="X408" location="'SRC-00 Solusions+ Ops List'!A790" tooltip="SRC-00 Solusions+ Ops List!A790" display="Go to S+ row 790" xr:uid="{8EB8CFEA-9800-D84A-B35B-21F711E3392B}"/>
    <hyperlink ref="X182" location="'SRC-00 Solusions+ Ops List'!A791" tooltip="SRC-00 Solusions+ Ops List!A791" display="Go to S+ row 791" xr:uid="{33A6CEF6-7CA3-3643-B597-609237AB7115}"/>
    <hyperlink ref="X502" location="'SRC-00 Solusions+ Ops List'!A792" tooltip="SRC-00 Solusions+ Ops List!A792" display="Go to S+ row 792" xr:uid="{10A3C519-2847-A74E-ABBF-12C37AC0906F}"/>
    <hyperlink ref="X1065" location="'SRC-00 Solusions+ Ops List'!A793" tooltip="SRC-00 Solusions+ Ops List!A793" display="Go to S+ row 793" xr:uid="{D152CD1A-6524-DC4E-8640-7BAE241AC1C6}"/>
    <hyperlink ref="X1066" location="'SRC-00 Solusions+ Ops List'!A794" tooltip="SRC-00 Solusions+ Ops List!A794" display="Go to S+ row 794" xr:uid="{312BBA00-6AF5-234B-A110-40E7306AA001}"/>
    <hyperlink ref="X503" location="'SRC-00 Solusions+ Ops List'!A795" tooltip="SRC-00 Solusions+ Ops List!A795" display="Go to S+ row 795" xr:uid="{B52C2275-4304-7845-8778-30BD2CD7472B}"/>
    <hyperlink ref="X504" location="'SRC-00 Solusions+ Ops List'!A796" tooltip="SRC-00 Solusions+ Ops List!A796" display="Go to S+ row 796" xr:uid="{0AAB6812-4F08-114A-9846-595330605A4B}"/>
    <hyperlink ref="X183" location="'SRC-00 Solusions+ Ops List'!A797" tooltip="SRC-00 Solusions+ Ops List!A797" display="Go to S+ row 797" xr:uid="{5FE96A29-6EA1-E64C-92EE-FF4000B1DCD3}"/>
    <hyperlink ref="X1171" location="'SRC-00 Solusions+ Ops List'!A798" tooltip="SRC-00 Solusions+ Ops List!A798" display="Go to S+ row 798" xr:uid="{B85265D7-0410-BA41-A9C1-8B86C0AD1FCF}"/>
    <hyperlink ref="X1172" location="'SRC-00 Solusions+ Ops List'!A799" tooltip="SRC-00 Solusions+ Ops List!A799" display="Go to S+ row 799" xr:uid="{3783FEC3-EC79-704B-9014-D8A9A5ED4499}"/>
    <hyperlink ref="X1165" location="'SRC-01 NZSA RVG'!A109" tooltip="SRC-01 NZSA RVG!A109" display="Go to SRC-01 row 109" xr:uid="{3A8D3AA5-C9BB-DC4D-854C-F967815B6930}"/>
    <hyperlink ref="X1067" location="'SRC-00 Solusions+ Ops List'!A800" tooltip="SRC-00 Solusions+ Ops List!A800" display="Go to S+ row 800" xr:uid="{C29B3827-4B51-A94C-B475-9FA669943B68}"/>
    <hyperlink ref="X1068" location="'SRC-00 Solusions+ Ops List'!A801" tooltip="SRC-00 Solusions+ Ops List!A801" display="Go to S+ row 801" xr:uid="{FE414B17-7C0F-E64A-A979-E55949F298B3}"/>
    <hyperlink ref="X1069" location="'SRC-00 Solusions+ Ops List'!A802" tooltip="SRC-00 Solusions+ Ops List!A802" display="Go to S+ row 802" xr:uid="{A20F5D5B-5DD9-F84F-81CC-0561C05784D0}"/>
    <hyperlink ref="X1070" location="'SRC-00 Solusions+ Ops List'!A803" tooltip="SRC-00 Solusions+ Ops List!A803" display="Go to S+ row 803" xr:uid="{3E35FD21-017A-DC4D-B994-12E09C3B6031}"/>
    <hyperlink ref="X931" location="'SRC-00 Solusions+ Ops List'!A804" tooltip="SRC-00 Solusions+ Ops List!A804" display="Go to S+ row 804" xr:uid="{EC15FD42-3862-A144-804C-296B0265256D}"/>
    <hyperlink ref="X1071" location="'SRC-00 Solusions+ Ops List'!A805" tooltip="SRC-00 Solusions+ Ops List!A805" display="Go to S+ row 805" xr:uid="{5E950FC6-FB78-754A-8320-1930ADC5C65B}"/>
    <hyperlink ref="X1072" location="'SRC-00 Solusions+ Ops List'!A806" tooltip="SRC-00 Solusions+ Ops List!A806" display="Go to S+ row 806" xr:uid="{05155E8D-ED72-3C48-ABB2-4C4F7AB3F70F}"/>
    <hyperlink ref="X1073" location="'SRC-00 Solusions+ Ops List'!A807" tooltip="SRC-00 Solusions+ Ops List!A807" display="Go to S+ row 807" xr:uid="{28CB1917-62CC-FC47-8E0E-F831A7976FE9}"/>
    <hyperlink ref="X1074" location="'SRC-00 Solusions+ Ops List'!A808" tooltip="SRC-00 Solusions+ Ops List!A808" display="Go to S+ row 808" xr:uid="{A2E7A28F-19F0-BE4F-BA2D-B5DD26008B77}"/>
    <hyperlink ref="X1075" location="'SRC-00 Solusions+ Ops List'!A809" tooltip="SRC-00 Solusions+ Ops List!A809" display="Go to S+ row 809" xr:uid="{16166F4E-A7CA-814F-8741-FAE26C52EAE2}"/>
    <hyperlink ref="X659" location="'SRC-00 Solusions+ Ops List'!A810" tooltip="SRC-00 Solusions+ Ops List!A810" display="Go to S+ row 810" xr:uid="{383899B5-4DBD-7847-A3FF-1F61DBC5FFC8}"/>
    <hyperlink ref="X965" location="'SRC-00 Solusions+ Ops List'!A811" tooltip="SRC-00 Solusions+ Ops List!A811" display="Go to S+ row 811" xr:uid="{79EDF1BC-43CA-CC41-A08B-7255FE31BA76}"/>
    <hyperlink ref="X591" location="'SRC-00 Solusions+ Ops List'!A812" tooltip="SRC-00 Solusions+ Ops List!A812" display="Go to S+ row 812" xr:uid="{CC841BD2-8159-5548-9400-A0D7373331A3}"/>
    <hyperlink ref="X592" location="'SRC-00 Solusions+ Ops List'!A813" tooltip="SRC-00 Solusions+ Ops List!A813" display="Go to S+ row 813" xr:uid="{A9A7E08F-2A47-404E-9159-6FFDB11DAF27}"/>
    <hyperlink ref="X1076" location="'SRC-00 Solusions+ Ops List'!A814" tooltip="SRC-00 Solusions+ Ops List!A814" display="Go to S+ row 814" xr:uid="{659CF455-A9C4-B44C-AB6B-8F54FDD87CF0}"/>
    <hyperlink ref="X409" location="'SRC-00 Solusions+ Ops List'!A815" tooltip="SRC-00 Solusions+ Ops List!A815" display="Go to S+ row 815" xr:uid="{2DFBE222-BCB1-0F45-872E-52692E6A0134}"/>
    <hyperlink ref="X1077" location="'SRC-00 Solusions+ Ops List'!A816" tooltip="SRC-00 Solusions+ Ops List!A816" display="Go to S+ row 816" xr:uid="{140BD69A-291D-484E-B6B2-98B1D1889D81}"/>
    <hyperlink ref="X410" location="'SRC-00 Solusions+ Ops List'!A817" tooltip="SRC-00 Solusions+ Ops List!A817" display="Go to S+ row 817" xr:uid="{9A915435-1C6A-614B-937C-CC1F74AFDCB4}"/>
    <hyperlink ref="X505" location="'SRC-00 Solusions+ Ops List'!A818" tooltip="SRC-00 Solusions+ Ops List!A818" display="Go to S+ row 818" xr:uid="{B57CECF8-BDAF-6342-BA4A-C15059E92D49}"/>
    <hyperlink ref="X506" location="'SRC-00 Solusions+ Ops List'!A819" tooltip="SRC-00 Solusions+ Ops List!A819" display="Go to S+ row 819" xr:uid="{B6C4CFAD-055C-2A4C-B304-98C4926D2B41}"/>
    <hyperlink ref="X507" location="'SRC-00 Solusions+ Ops List'!A820" tooltip="SRC-00 Solusions+ Ops List!A820" display="Go to S+ row 820" xr:uid="{71ADA515-EC04-F843-9BDC-98A29327BC35}"/>
    <hyperlink ref="X508" location="'SRC-00 Solusions+ Ops List'!A821" tooltip="SRC-00 Solusions+ Ops List!A821" display="Go to S+ row 821" xr:uid="{6D0DA164-5331-4C47-91DE-F3EB083636E4}"/>
    <hyperlink ref="X184" location="'SRC-00 Solusions+ Ops List'!A822" tooltip="SRC-00 Solusions+ Ops List!A822" display="Go to S+ row 822" xr:uid="{A1DEA5F1-3244-9848-8180-92B6E9CCFB1E}"/>
    <hyperlink ref="X71" location="'SRC-01 NZSA RVG'!A9" tooltip="SRC-01 NZSA RVG!A9" display="Go to SRC-01 row 9" xr:uid="{019F3C05-507A-F044-9394-43225BA3F30F}"/>
    <hyperlink ref="X509" location="'SRC-00 Solusions+ Ops List'!A823" tooltip="SRC-00 Solusions+ Ops List!A823" display="Go to S+ row 823" xr:uid="{AB794DE9-2D14-B547-8A5D-78819E3EB88B}"/>
    <hyperlink ref="X1078" location="'SRC-00 Solusions+ Ops List'!A824" tooltip="SRC-00 Solusions+ Ops List!A824" display="Go to S+ row 824" xr:uid="{2B9435C1-EE51-084C-9C19-A12D72C63FC4}"/>
    <hyperlink ref="X1079" location="'SRC-00 Solusions+ Ops List'!A825" tooltip="SRC-00 Solusions+ Ops List!A825" display="Go to S+ row 825" xr:uid="{0A2C7DEF-5459-2F43-9377-8EFBCAB75254}"/>
    <hyperlink ref="X1080" location="'SRC-00 Solusions+ Ops List'!A826" tooltip="SRC-00 Solusions+ Ops List!A826" display="Go to S+ row 826" xr:uid="{E57390BF-CC2E-CD42-B522-792EBF12F56B}"/>
    <hyperlink ref="X1081" location="'SRC-00 Solusions+ Ops List'!A827" tooltip="SRC-00 Solusions+ Ops List!A827" display="Go to S+ row 827" xr:uid="{5E821180-3452-7B4A-A5D4-83C1B773ACF9}"/>
    <hyperlink ref="X1082" location="'SRC-00 Solusions+ Ops List'!A828" tooltip="SRC-00 Solusions+ Ops List!A828" display="Go to S+ row 828" xr:uid="{8F75B9E4-30B9-D84E-8555-6608B5DBA815}"/>
    <hyperlink ref="X1083" location="'SRC-00 Solusions+ Ops List'!A829" tooltip="SRC-00 Solusions+ Ops List!A829" display="Go to S+ row 829" xr:uid="{93E763C2-2B10-3C4F-8032-FB6801F827F1}"/>
    <hyperlink ref="X1084" location="'SRC-00 Solusions+ Ops List'!A830" tooltip="SRC-00 Solusions+ Ops List!A830" display="Go to S+ row 830" xr:uid="{A48619C8-B5B7-BB4F-8A4C-336E09D686E2}"/>
    <hyperlink ref="X1085" location="'SRC-00 Solusions+ Ops List'!A831" tooltip="SRC-00 Solusions+ Ops List!A831" display="Go to S+ row 831" xr:uid="{5E87200F-9C08-4D4B-B664-5580E0DE389A}"/>
    <hyperlink ref="X510" location="'SRC-00 Solusions+ Ops List'!A832" tooltip="SRC-00 Solusions+ Ops List!A832" display="Go to S+ row 832" xr:uid="{EF4CFB25-BAC9-524C-BD55-4DC7A35A3553}"/>
    <hyperlink ref="X491" location="'SRC-01 NZSA RVG'!A30" tooltip="SRC-01 NZSA RVG!A30" display="Go to SRC-01 row 30" xr:uid="{65D3D8A4-AC8E-D64C-A72F-7971B035501D}"/>
    <hyperlink ref="X511" location="'SRC-00 Solusions+ Ops List'!A833" tooltip="SRC-00 Solusions+ Ops List!A833" display="Go to S+ row 833" xr:uid="{3ED4A927-93EC-B241-9F0F-72BDDB3F3872}"/>
    <hyperlink ref="X1086" location="'SRC-00 Solusions+ Ops List'!A834" tooltip="SRC-00 Solusions+ Ops List!A834" display="Go to S+ row 834" xr:uid="{ABEE52CF-BD9E-E94D-8378-1BB2264C1D32}"/>
    <hyperlink ref="X1087" location="'SRC-00 Solusions+ Ops List'!A835" tooltip="SRC-00 Solusions+ Ops List!A835" display="Go to S+ row 835" xr:uid="{956768A7-63A1-9C42-8936-C074E80DDE39}"/>
    <hyperlink ref="X1088" location="'SRC-00 Solusions+ Ops List'!A836" tooltip="SRC-00 Solusions+ Ops List!A836" display="Go to S+ row 836" xr:uid="{E8E4B3C7-1D68-2B49-9476-B94AB7B03195}"/>
    <hyperlink ref="X1089" location="'SRC-00 Solusions+ Ops List'!A837" tooltip="SRC-00 Solusions+ Ops List!A837" display="Go to S+ row 837" xr:uid="{FFECBFD8-FA82-E348-B202-B07CC4884148}"/>
    <hyperlink ref="X185" location="'SRC-00 Solusions+ Ops List'!A838" tooltip="SRC-00 Solusions+ Ops List!A838" display="Go to S+ row 838" xr:uid="{C9EE7C8C-C3E3-BE42-8A62-3695D03E9803}"/>
    <hyperlink ref="X186" location="'SRC-00 Solusions+ Ops List'!A839" tooltip="SRC-00 Solusions+ Ops List!A839" display="Go to S+ row 839" xr:uid="{13AAE20F-F589-0E43-80A9-0AA577012C84}"/>
    <hyperlink ref="X614" location="'SRC-00 Solusions+ Ops List'!A840" tooltip="SRC-00 Solusions+ Ops List!A840" display="Go to S+ row 840" xr:uid="{C2F36339-403A-5C4F-90F8-446D3297427B}"/>
    <hyperlink ref="X609" location="'SRC-01 NZSA RVG'!A40" tooltip="SRC-01 NZSA RVG!A40" display="Go to SRC-01 row 40" xr:uid="{EB01DCD9-9BC6-EC47-A954-0B80276E022F}"/>
    <hyperlink ref="X411" location="'SRC-00 Solusions+ Ops List'!A841" tooltip="SRC-00 Solusions+ Ops List!A841" display="Go to S+ row 841" xr:uid="{93993CD8-80EF-C84D-9506-B900B5F13D64}"/>
    <hyperlink ref="X412" location="'SRC-00 Solusions+ Ops List'!A842" tooltip="SRC-00 Solusions+ Ops List!A842" display="Go to S+ row 842" xr:uid="{0528483A-FC8B-BA4E-AC33-9D836DE8D469}"/>
    <hyperlink ref="X512" location="'SRC-00 Solusions+ Ops List'!A843" tooltip="SRC-00 Solusions+ Ops List!A843" display="Go to S+ row 843" xr:uid="{D038DF0E-BE73-ED4D-BA49-F49C0121290A}"/>
    <hyperlink ref="X932" location="'SRC-00 Solusions+ Ops List'!A844" tooltip="SRC-00 Solusions+ Ops List!A844" display="Go to S+ row 844" xr:uid="{C89CEFA7-80C9-0A4A-B4AE-3053E55CED85}"/>
    <hyperlink ref="X966" location="'SRC-00 Solusions+ Ops List'!A845" tooltip="SRC-00 Solusions+ Ops List!A845" display="Go to S+ row 845" xr:uid="{7C162B21-2754-4F4D-800B-29EF61E1EC7C}"/>
    <hyperlink ref="X967" location="'SRC-00 Solusions+ Ops List'!A846" tooltip="SRC-00 Solusions+ Ops List!A846" display="Go to S+ row 846" xr:uid="{190596A4-C5C9-1F44-811D-6322320BAEFD}"/>
    <hyperlink ref="X968" location="'SRC-00 Solusions+ Ops List'!A847" tooltip="SRC-00 Solusions+ Ops List!A847" display="Go to S+ row 847" xr:uid="{EE092B99-BFC1-494C-B189-D43E2629F184}"/>
    <hyperlink ref="X969" location="'SRC-00 Solusions+ Ops List'!A848" tooltip="SRC-00 Solusions+ Ops List!A848" display="Go to S+ row 848" xr:uid="{8A6101B0-1B5F-E841-8809-118F390A5D7C}"/>
    <hyperlink ref="X970" location="'SRC-00 Solusions+ Ops List'!A849" tooltip="SRC-00 Solusions+ Ops List!A849" display="Go to S+ row 849" xr:uid="{C5FFD2AC-F4A1-3D4A-B3D5-4585CA5728C5}"/>
    <hyperlink ref="X971" location="'SRC-00 Solusions+ Ops List'!A850" tooltip="SRC-00 Solusions+ Ops List!A850" display="Go to S+ row 850" xr:uid="{A92164E2-BD4B-3145-94B5-81FC78CF6DF8}"/>
    <hyperlink ref="X954" location="'SRC-01 NZSA RVG'!A81" tooltip="SRC-01 NZSA RVG!A81" display="Go to SRC-01 row 81" xr:uid="{C81F4B7C-8A0E-A548-8618-2869DD4C8C29}"/>
    <hyperlink ref="X963" location="'SRC-01 NZSA RVG'!A82" tooltip="SRC-01 NZSA RVG!A82" display="Go to SRC-01 row 82" xr:uid="{3ACBB435-EE12-F146-8812-E6A1E58918AE}"/>
    <hyperlink ref="X513" location="'SRC-00 Solusions+ Ops List'!A851" tooltip="SRC-00 Solusions+ Ops List!A851" display="Go to S+ row 851" xr:uid="{F450456A-5C0D-1946-AB45-B4E71BE140A3}"/>
    <hyperlink ref="X761" location="'SRC-00 Solusions+ Ops List'!A852" tooltip="SRC-00 Solusions+ Ops List!A852" display="Go to S+ row 852" xr:uid="{D2EA3757-6719-B947-8BE4-951C2C6D57D6}"/>
    <hyperlink ref="X744" location="'SRC-01 NZSA RVG'!A67" tooltip="SRC-01 NZSA RVG!A67" display="Go to SRC-01 row 67" xr:uid="{7218462B-5E7F-1D43-AB15-7442556881A3}"/>
    <hyperlink ref="X829" location="'SRC-00 Solusions+ Ops List'!A853" tooltip="SRC-00 Solusions+ Ops List!A853" display="Go to S+ row 853" xr:uid="{D0E93402-83F5-3A43-89FB-AE1E24D2DF45}"/>
    <hyperlink ref="X660" location="'SRC-00 Solusions+ Ops List'!A854" tooltip="SRC-00 Solusions+ Ops List!A854" display="Go to S+ row 854" xr:uid="{CF071245-6BC1-9C4F-AE63-6D3BD16EB6A0}"/>
    <hyperlink ref="X514" location="'SRC-00 Solusions+ Ops List'!A855" tooltip="SRC-00 Solusions+ Ops List!A855" display="Go to S+ row 855" xr:uid="{1E5F03BC-0EB9-DB44-9E6F-11D08C321BF1}"/>
    <hyperlink ref="X762" location="'SRC-00 Solusions+ Ops List'!A856" tooltip="SRC-00 Solusions+ Ops List!A856" display="Go to S+ row 856" xr:uid="{2F32D499-C0A9-4A43-9AF5-0262189D23ED}"/>
    <hyperlink ref="X746" location="'SRC-01 NZSA RVG'!A63" tooltip="SRC-01 NZSA RVG!A63" display="Go to SRC-01 row 63" xr:uid="{F1354439-1653-0A4B-A2E8-482E8D2DCFE6}"/>
    <hyperlink ref="X413" location="'SRC-00 Solusions+ Ops List'!A857" tooltip="SRC-00 Solusions+ Ops List!A857" display="Go to S+ row 857" xr:uid="{4089B84D-A72A-344B-91E4-C40F1B6C6813}"/>
    <hyperlink ref="X972" location="'SRC-00 Solusions+ Ops List'!A858" tooltip="SRC-00 Solusions+ Ops List!A858" display="Go to S+ row 858" xr:uid="{7779BABE-F84D-9748-92BD-F3C44018F33E}"/>
    <hyperlink ref="X593" location="'SRC-00 Solusions+ Ops List'!A859" tooltip="SRC-00 Solusions+ Ops List!A859" display="Go to S+ row 859" xr:uid="{3A948049-439E-E54D-A0AB-F0783CAC6010}"/>
    <hyperlink ref="X583" location="'SRC-01 NZSA RVG'!A35" tooltip="SRC-01 NZSA RVG!A35" display="Go to SRC-01 row 35" xr:uid="{8C05BE3D-AD3B-754B-9B7E-86FEEACD6C78}"/>
    <hyperlink ref="X187" location="'SRC-00 Solusions+ Ops List'!A860" tooltip="SRC-00 Solusions+ Ops List!A860" display="Go to S+ row 860" xr:uid="{23A3FC60-79E7-1147-8783-F9B987864698}"/>
    <hyperlink ref="X188" location="'SRC-00 Solusions+ Ops List'!A861" tooltip="SRC-00 Solusions+ Ops List!A861" display="Go to S+ row 861" xr:uid="{BF02A199-0F1E-914F-A579-104D484D9F63}"/>
    <hyperlink ref="X189" location="'SRC-00 Solusions+ Ops List'!A862" tooltip="SRC-00 Solusions+ Ops List!A862" display="Go to S+ row 862" xr:uid="{92CEC42A-AAA4-934B-9A48-BC42A04C7EF9}"/>
    <hyperlink ref="X190" location="'SRC-00 Solusions+ Ops List'!A863" tooltip="SRC-00 Solusions+ Ops List!A863" display="Go to S+ row 863" xr:uid="{96CC425C-EA14-D144-8438-914BD5318CF6}"/>
    <hyperlink ref="X191" location="'SRC-00 Solusions+ Ops List'!A864" tooltip="SRC-00 Solusions+ Ops List!A864" display="Go to S+ row 864" xr:uid="{84CAAF7E-ADC5-CF47-9323-74C354A807ED}"/>
    <hyperlink ref="X192" location="'SRC-00 Solusions+ Ops List'!A865" tooltip="SRC-00 Solusions+ Ops List!A865" display="Go to S+ row 865" xr:uid="{5EBF998B-0255-C747-AAFA-889FF6BEED3A}"/>
    <hyperlink ref="X193" location="'SRC-00 Solusions+ Ops List'!A866" tooltip="SRC-00 Solusions+ Ops List!A866" display="Go to S+ row 866" xr:uid="{9820F981-FBEA-FA49-99E8-AEC465FD3CAD}"/>
    <hyperlink ref="X194" location="'SRC-00 Solusions+ Ops List'!A867" tooltip="SRC-00 Solusions+ Ops List!A867" display="Go to S+ row 867" xr:uid="{8FCE6A75-8065-3A4D-8E91-06543A57BBBD}"/>
    <hyperlink ref="X195" location="'SRC-00 Solusions+ Ops List'!A868" tooltip="SRC-00 Solusions+ Ops List!A868" display="Go to S+ row 868" xr:uid="{1E83390E-F2AA-B744-8607-64C05A813A86}"/>
    <hyperlink ref="X196" location="'SRC-00 Solusions+ Ops List'!A869" tooltip="SRC-00 Solusions+ Ops List!A869" display="Go to S+ row 869" xr:uid="{6FC92036-185F-B04C-9C7C-391274B8B58B}"/>
    <hyperlink ref="X1289" location="'SRC-00 Solusions+ Ops List'!A870" tooltip="SRC-00 Solusions+ Ops List!A870" display="Go to S+ row 870" xr:uid="{1DA3210D-D1FC-7D4F-9AFD-AAD4C6D5AB70}"/>
    <hyperlink ref="X515" location="'SRC-00 Solusions+ Ops List'!A871" tooltip="SRC-00 Solusions+ Ops List!A871" display="Go to S+ row 871" xr:uid="{6F547BB2-1607-1E47-9380-BAF36F76CB39}"/>
    <hyperlink ref="X516" location="'SRC-00 Solusions+ Ops List'!A872" tooltip="SRC-00 Solusions+ Ops List!A872" display="Go to S+ row 872" xr:uid="{E1F237EA-DE8E-2C40-8036-1FAD36952B2E}"/>
    <hyperlink ref="X1156" location="'SRC-00 Solusions+ Ops List'!A873" tooltip="SRC-00 Solusions+ Ops List!A873" display="Go to S+ row 873" xr:uid="{FB2C7CF0-23E4-7744-AACD-ECA78D0282B2}"/>
    <hyperlink ref="X594" location="'SRC-00 Solusions+ Ops List'!A874" tooltip="SRC-00 Solusions+ Ops List!A874" display="Go to S+ row 874" xr:uid="{7C6D7BCB-3E51-D249-ADCD-5BC0D2EB448F}"/>
    <hyperlink ref="X582" location="'SRC-01 NZSA RVG'!A33" tooltip="SRC-01 NZSA RVG!A33" display="Go to SRC-01 row 33" xr:uid="{508695C7-EC67-3E41-997B-3502C4B98754}"/>
    <hyperlink ref="X595" location="'SRC-01 NZSA RVG'!A34" tooltip="SRC-01 NZSA RVG!A34" display="Go to SRC-01 row 34" xr:uid="{0157432B-E326-9343-80E9-E9215D6AEAA2}"/>
    <hyperlink ref="X1290" location="'SRC-00 Solusions+ Ops List'!A875" tooltip="SRC-00 Solusions+ Ops List!A875" display="Go to S+ row 875" xr:uid="{C4FD32D3-A321-FB47-86C5-CEABF5E0AC55}"/>
    <hyperlink ref="X661" location="'SRC-00 Solusions+ Ops List'!A876" tooltip="SRC-00 Solusions+ Ops List!A876" display="Go to S+ row 876" xr:uid="{F6403EC3-6AED-7C4D-A808-16B60F34A440}"/>
    <hyperlink ref="X830" location="'SRC-00 Solusions+ Ops List'!A877" tooltip="SRC-00 Solusions+ Ops List!A877" display="Go to S+ row 877" xr:uid="{60A450BB-E9DA-2B4E-B90D-22E1E978D77C}"/>
    <hyperlink ref="X831" location="'SRC-00 Solusions+ Ops List'!A878" tooltip="SRC-00 Solusions+ Ops List!A878" display="Go to S+ row 878" xr:uid="{353A45AF-66A3-3E4E-AC45-CAB68F10A2F0}"/>
    <hyperlink ref="X832" location="'SRC-00 Solusions+ Ops List'!A879" tooltip="SRC-00 Solusions+ Ops List!A879" display="Go to S+ row 879" xr:uid="{61750E0C-30FA-094E-81BD-A5A5D153AA50}"/>
    <hyperlink ref="X833" location="'SRC-00 Solusions+ Ops List'!A880" tooltip="SRC-00 Solusions+ Ops List!A880" display="Go to S+ row 880" xr:uid="{22CA1F36-6EB8-6042-8AF9-6C311445C4EB}"/>
    <hyperlink ref="X764" location="'SRC-00 Solusions+ Ops List'!A881" tooltip="SRC-00 Solusions+ Ops List!A881" display="Go to S+ row 881" xr:uid="{14EDAB6D-BA56-3E49-821E-5B18E67A98EC}"/>
    <hyperlink ref="X934" location="'SRC-00 Solusions+ Ops List'!A882" tooltip="SRC-00 Solusions+ Ops List!A882" display="Go to S+ row 882" xr:uid="{316AC001-E274-E046-B7A0-448AFD400833}"/>
    <hyperlink ref="X662" location="'SRC-00 Solusions+ Ops List'!A883" tooltip="SRC-00 Solusions+ Ops List!A883" display="Go to S+ row 883" xr:uid="{F6620628-D99B-A542-A8A4-9B7395BF4069}"/>
    <hyperlink ref="X635" location="'SRC-01 NZSA RVG'!A55" tooltip="SRC-01 NZSA RVG!A55" display="Go to SRC-01 row 55" xr:uid="{548417BB-B4E6-F94C-AEFB-7362A8E7EEBB}"/>
    <hyperlink ref="X663" location="'SRC-00 Solusions+ Ops List'!A884" tooltip="SRC-00 Solusions+ Ops List!A884" display="Go to S+ row 884" xr:uid="{EC0F077D-6F2B-904F-A643-5BEE61CF8E4A}"/>
    <hyperlink ref="X655" location="'SRC-01 NZSA RVG'!A59" tooltip="SRC-01 NZSA RVG!A59" display="Go to SRC-01 row 59" xr:uid="{ADB1A5CD-AFEB-F143-9A4E-DB448B20B475}"/>
    <hyperlink ref="X1291" location="'SRC-00 Solusions+ Ops List'!A885" tooltip="SRC-00 Solusions+ Ops List!A885" display="Go to S+ row 885" xr:uid="{1841F556-0A3D-454C-AD2F-014367B15F3E}"/>
    <hyperlink ref="X834" location="'SRC-00 Solusions+ Ops List'!A886" tooltip="SRC-00 Solusions+ Ops List!A886" display="Go to S+ row 886" xr:uid="{E0234498-FBED-844E-B95D-FDE4D07C4997}"/>
    <hyperlink ref="X198" location="'SRC-00 Solusions+ Ops List'!A887" tooltip="SRC-00 Solusions+ Ops List!A887" display="Go to S+ row 887" xr:uid="{5C39382E-D429-7B40-ABBF-718B0C8C0FFC}"/>
    <hyperlink ref="X935" location="'SRC-00 Solusions+ Ops List'!A888" tooltip="SRC-00 Solusions+ Ops List!A888" display="Go to S+ row 888" xr:uid="{CE1F6EA1-554A-D747-A7B0-8AC3202C8645}"/>
    <hyperlink ref="X920" location="'SRC-01 NZSA RVG'!A76" tooltip="SRC-01 NZSA RVG!A76" display="Go to SRC-01 row 76" xr:uid="{26841849-3257-D043-9576-BE8ACF4F8EC1}"/>
    <hyperlink ref="X1157" location="'SRC-00 Solusions+ Ops List'!A889" tooltip="SRC-00 Solusions+ Ops List!A889" display="Go to S+ row 889" xr:uid="{43625E78-93B7-E44B-8214-7379008157BB}"/>
    <hyperlink ref="X1158" location="'SRC-00 Solusions+ Ops List'!A890" tooltip="SRC-00 Solusions+ Ops List!A890" display="Go to S+ row 890" xr:uid="{9C075DCC-36D6-BF4E-BBA6-E4BEF349CE13}"/>
    <hyperlink ref="X199" location="'SRC-00 Solusions+ Ops List'!A891" tooltip="SRC-00 Solusions+ Ops List!A891" display="Go to S+ row 891" xr:uid="{4A627DBB-B7CA-B44F-9D71-C737291382EE}"/>
    <hyperlink ref="X265" location="'SRC-00 Solusions+ Ops List'!A892" tooltip="SRC-00 Solusions+ Ops List!A892" display="Go to S+ row 892" xr:uid="{4711A177-7F87-9040-9230-1C90AA74BBC5}"/>
    <hyperlink ref="X266" location="'SRC-00 Solusions+ Ops List'!A893" tooltip="SRC-00 Solusions+ Ops List!A893" display="Go to S+ row 893" xr:uid="{E85AEB6D-5D7E-DC43-8B0A-A9A8B7BA4CCB}"/>
    <hyperlink ref="X1159" location="'SRC-00 Solusions+ Ops List'!A894" tooltip="SRC-00 Solusions+ Ops List!A894" display="Go to S+ row 894" xr:uid="{CCE7E1EB-4075-1F41-8E88-DF7D0D12EB63}"/>
    <hyperlink ref="X1160" location="'SRC-00 Solusions+ Ops List'!A895" tooltip="SRC-00 Solusions+ Ops List!A895" display="Go to S+ row 895" xr:uid="{C2A98FEB-3124-EE49-824E-BD6104F0220B}"/>
    <hyperlink ref="X1138" location="'SRC-01 NZSA RVG'!A98" tooltip="SRC-01 NZSA RVG!A98" display="Go to SRC-01 row 98" xr:uid="{2D471E0E-8AEA-9B48-AE33-E35C81B79388}"/>
    <hyperlink ref="X835" location="'SRC-00 Solusions+ Ops List'!A896" tooltip="SRC-00 Solusions+ Ops List!A896" display="Go to S+ row 896" xr:uid="{88119DE4-4955-9040-83EF-66E59D8F3E1B}"/>
    <hyperlink ref="X822" location="'SRC-01 NZSA RVG'!A69" tooltip="SRC-01 NZSA RVG!A69" display="Go to SRC-01 row 69" xr:uid="{2CD8E0B6-5E3E-DD44-8882-AA7D7F07171F}"/>
    <hyperlink ref="X836" location="'SRC-00 Solusions+ Ops List'!A897" tooltip="SRC-00 Solusions+ Ops List!A897" display="Go to S+ row 897" xr:uid="{40BED4A9-21FC-FC40-863E-DA9A6D85D824}"/>
    <hyperlink ref="X823" location="'SRC-01 NZSA RVG'!A70" tooltip="SRC-01 NZSA RVG!A70" display="Go to SRC-01 row 70" xr:uid="{BC7C19AD-4536-EF40-9F7B-C5712C8024CC}"/>
    <hyperlink ref="X267" location="'SRC-00 Solusions+ Ops List'!A898" tooltip="SRC-00 Solusions+ Ops List!A898" display="Go to S+ row 898" xr:uid="{2D9F26E2-9B31-1A41-A88F-20C369F68928}"/>
    <hyperlink ref="X765" location="'SRC-00 Solusions+ Ops List'!A899" tooltip="SRC-00 Solusions+ Ops List!A899" display="Go to S+ row 899" xr:uid="{6DC572A0-522B-5D49-AB92-A839B2CA0891}"/>
    <hyperlink ref="X518" location="'SRC-00 Solusions+ Ops List'!A900" tooltip="SRC-00 Solusions+ Ops List!A900" display="Go to S+ row 900" xr:uid="{2DEF15BC-77AD-9344-A191-4667E6A71B92}"/>
    <hyperlink ref="X1092" location="'SRC-00 Solusions+ Ops List'!A901" tooltip="SRC-00 Solusions+ Ops List!A901" display="Go to S+ row 901" xr:uid="{2235A752-AEA0-F14A-B2C4-1DE6E6FF0D97}"/>
    <hyperlink ref="X422" location="'SRC-00 Solusions+ Ops List'!A902" tooltip="SRC-00 Solusions+ Ops List!A902" display="Go to S+ row 902" xr:uid="{5E9E986F-5D04-0345-A106-E93429A82D7B}"/>
    <hyperlink ref="X766" location="'SRC-00 Solusions+ Ops List'!A903" tooltip="SRC-00 Solusions+ Ops List!A903" display="Go to S+ row 903" xr:uid="{9B004612-B094-5F4F-83C3-BFA4C0FC3917}"/>
    <hyperlink ref="X200" location="'SRC-00 Solusions+ Ops List'!A904" tooltip="SRC-00 Solusions+ Ops List!A904" display="Go to S+ row 904" xr:uid="{4CA02E3E-05D4-3A4D-8B01-7D84F2723350}"/>
    <hyperlink ref="X423" location="'SRC-00 Solusions+ Ops List'!A905" tooltip="SRC-00 Solusions+ Ops List!A905" display="Go to S+ row 905" xr:uid="{A7C5EFF9-D27E-6D4D-BB08-159B340225FA}"/>
    <hyperlink ref="X519" location="'SRC-00 Solusions+ Ops List'!A906" tooltip="SRC-00 Solusions+ Ops List!A906" display="Go to S+ row 906" xr:uid="{AF74F4A5-6A09-714A-9698-9FBC3A97AF38}"/>
    <hyperlink ref="X494" location="'SRC-01 NZSA RVG'!A29" tooltip="SRC-01 NZSA RVG!A29" display="Go to SRC-01 row 29" xr:uid="{2A8173A1-675D-894F-8A22-3C03E47DB24B}"/>
    <hyperlink ref="X453" location="'SRC-00 Solusions+ Ops List'!A907" tooltip="SRC-00 Solusions+ Ops List!A907" display="Go to S+ row 907" xr:uid="{E5A3D45E-B5D5-D94C-8701-1C6AFF511E8A}"/>
    <hyperlink ref="X798" location="'SRC-00 Solusions+ Ops List'!A908" tooltip="SRC-00 Solusions+ Ops List!A908" display="Go to S+ row 908" xr:uid="{9333B283-5AB0-6347-9A7C-5F839E2682C0}"/>
    <hyperlink ref="X767" location="'SRC-00 Solusions+ Ops List'!A909" tooltip="SRC-00 Solusions+ Ops List!A909" display="Go to S+ row 909" xr:uid="{0F24EA29-C58E-7D4A-B4BA-1E52563BFBA2}"/>
    <hyperlink ref="X268" location="'SRC-00 Solusions+ Ops List'!A910" tooltip="SRC-00 Solusions+ Ops List!A910" display="Go to S+ row 910" xr:uid="{54879DB6-9889-064B-A137-B65AE9EE8CE3}"/>
    <hyperlink ref="X269" location="'SRC-00 Solusions+ Ops List'!A911" tooltip="SRC-00 Solusions+ Ops List!A911" display="Go to S+ row 911" xr:uid="{638E2861-30D5-F041-8FE7-74EAD9E39C7F}"/>
    <hyperlink ref="X224" location="'SRC-01 NZSA RVG'!A10" tooltip="SRC-01 NZSA RVG!A10" display="Go to SRC-01 row 10" xr:uid="{F9332E1A-9A48-2C44-A180-C833DC3B6727}"/>
    <hyperlink ref="X1292" location="'SRC-00 Solusions+ Ops List'!A912" tooltip="SRC-00 Solusions+ Ops List!A912" display="Go to S+ row 912" xr:uid="{F4FFD515-C7E0-9F47-86AB-4FA301955A87}"/>
    <hyperlink ref="X768" location="'SRC-00 Solusions+ Ops List'!A913" tooltip="SRC-00 Solusions+ Ops List!A913" display="Go to S+ row 913" xr:uid="{5A2B6CA6-6491-4344-A2EC-28C36D316E2C}"/>
    <hyperlink ref="X424" location="'SRC-00 Solusions+ Ops List'!A914" tooltip="SRC-00 Solusions+ Ops List!A914" display="Go to S+ row 914" xr:uid="{7EDF3BC2-1F19-ED47-8ABF-80CB09124FFF}"/>
    <hyperlink ref="X275" location="'SRC-00 Solusions+ Ops List'!A915" tooltip="SRC-00 Solusions+ Ops List!A915" display="Go to S+ row 915" xr:uid="{FB4987E7-59B0-774A-8B93-2547911F1A08}"/>
    <hyperlink ref="X273" location="'SRC-01 NZSA RVG'!A19" tooltip="SRC-01 NZSA RVG!A19" display="Go to SRC-01 row 19" xr:uid="{F6D63EAF-9057-B141-85BA-CFC1EBC725F1}"/>
    <hyperlink ref="X1293" location="'SRC-00 Solusions+ Ops List'!A916" tooltip="SRC-00 Solusions+ Ops List!A916" display="Go to S+ row 916" xr:uid="{E2AEE671-773A-2042-969A-4F0D833450A0}"/>
    <hyperlink ref="X520" location="'SRC-00 Solusions+ Ops List'!A917" tooltip="SRC-00 Solusions+ Ops List!A917" display="Go to S+ row 917" xr:uid="{8F8945B7-1E01-B840-A72D-0590CF951906}"/>
    <hyperlink ref="X493" location="'SRC-01 NZSA RVG'!A27" tooltip="SRC-01 NZSA RVG!A27" display="Go to SRC-01 row 27" xr:uid="{EE8C0DCA-FEE3-054B-BB03-60FB4A834246}"/>
    <hyperlink ref="X1294" location="'SRC-00 Solusions+ Ops List'!A918" tooltip="SRC-00 Solusions+ Ops List!A918" display="Go to S+ row 918" xr:uid="{58E1F705-7D94-8949-A387-4E8908C5EC80}"/>
    <hyperlink ref="X521" location="'SRC-00 Solusions+ Ops List'!A919" tooltip="SRC-00 Solusions+ Ops List!A919" display="Go to S+ row 919" xr:uid="{9E9D1565-B1F6-6A4B-8417-58BE87DD088A}"/>
    <hyperlink ref="X1295" location="'SRC-00 Solusions+ Ops List'!A920" tooltip="SRC-00 Solusions+ Ops List!A920" display="Go to S+ row 920" xr:uid="{F272C8F7-D16D-9B44-9BC4-DDDEF7E07F03}"/>
    <hyperlink ref="X454" location="'SRC-00 Solusions+ Ops List'!A921" tooltip="SRC-00 Solusions+ Ops List!A921" display="Go to S+ row 921" xr:uid="{F7D53960-C35F-B34F-8C3C-408E21DADDE2}"/>
    <hyperlink ref="X455" location="'SRC-00 Solusions+ Ops List'!A922" tooltip="SRC-00 Solusions+ Ops List!A922" display="Go to S+ row 922" xr:uid="{B690D717-96A1-7B49-A2D9-B735C16F75B7}"/>
    <hyperlink ref="X1093" location="'SRC-00 Solusions+ Ops List'!A923" tooltip="SRC-00 Solusions+ Ops List!A923" display="Go to S+ row 923" xr:uid="{D6521601-5D46-2348-B9B3-8F581AC65B56}"/>
    <hyperlink ref="X1048" location="'SRC-01 NZSA RVG'!A94" tooltip="SRC-01 NZSA RVG!A94" display="Go to SRC-01 row 94" xr:uid="{29707162-F1BA-1446-A7C1-53F76DDE64F2}"/>
    <hyperlink ref="X276" location="'SRC-00 Solusions+ Ops List'!A924" tooltip="SRC-00 Solusions+ Ops List!A924" display="Go to S+ row 924" xr:uid="{DE43C952-64D9-AA42-BE48-F0703F0EB1D3}"/>
    <hyperlink ref="X271" location="'SRC-01 NZSA RVG'!A15" tooltip="SRC-01 NZSA RVG!A15" display="Go to SRC-01 row 15" xr:uid="{06615522-150F-2341-94E4-63B113C62DF1}"/>
    <hyperlink ref="X203" location="'SRC-00 Solusions+ Ops List'!A925" tooltip="SRC-00 Solusions+ Ops List!A925" display="Go to S+ row 925" xr:uid="{B0450E1D-BC38-F642-B288-8BEA6D4400C4}"/>
    <hyperlink ref="X204" location="'SRC-00 Solusions+ Ops List'!A926" tooltip="SRC-00 Solusions+ Ops List!A926" display="Go to S+ row 926" xr:uid="{DBCCAE27-AE33-0048-89F9-CE99A5C2A5AC}"/>
    <hyperlink ref="X205" location="'SRC-00 Solusions+ Ops List'!A927" tooltip="SRC-00 Solusions+ Ops List!A927" display="Go to S+ row 927" xr:uid="{33522BD5-2179-5D40-8533-5233B8772412}"/>
    <hyperlink ref="X206" location="'SRC-00 Solusions+ Ops List'!A928" tooltip="SRC-00 Solusions+ Ops List!A928" display="Go to S+ row 928" xr:uid="{A390736E-618B-124A-9FD5-6658B278FB33}"/>
    <hyperlink ref="X207" location="'SRC-00 Solusions+ Ops List'!A929" tooltip="SRC-00 Solusions+ Ops List!A929" display="Go to S+ row 929" xr:uid="{3E7AF536-CEED-6845-8DB3-45E6367E0B05}"/>
    <hyperlink ref="X1094" location="'SRC-00 Solusions+ Ops List'!A930" tooltip="SRC-00 Solusions+ Ops List!A930" display="Go to S+ row 930" xr:uid="{D0E4D697-01A0-6143-B960-9EC93C3FA552}"/>
    <hyperlink ref="X1095" location="'SRC-00 Solusions+ Ops List'!A931" tooltip="SRC-00 Solusions+ Ops List!A931" display="Go to S+ row 931" xr:uid="{6DAABF0C-7FE7-8740-9F99-48130CE331C3}"/>
    <hyperlink ref="X1096" location="'SRC-00 Solusions+ Ops List'!A932" tooltip="SRC-00 Solusions+ Ops List!A932" display="Go to S+ row 932" xr:uid="{9A24B94B-9A87-7A4E-8CAA-EE985702F7CD}"/>
    <hyperlink ref="X1002" location="'SRC-01 NZSA RVG'!A96" tooltip="SRC-01 NZSA RVG!A96" display="Go to SRC-01 row 96" xr:uid="{236D8A63-52A4-6040-B94D-F9C483C1D585}"/>
    <hyperlink ref="X1097" location="'SRC-00 Solusions+ Ops List'!A933" tooltip="SRC-00 Solusions+ Ops List!A933" display="Go to S+ row 933" xr:uid="{5914F816-DBBD-AC48-983C-A858004B8F14}"/>
    <hyperlink ref="X1098" location="'SRC-00 Solusions+ Ops List'!A934" tooltip="SRC-00 Solusions+ Ops List!A934" display="Go to S+ row 934" xr:uid="{59E8C3B0-E82B-5540-91D1-BA1361D6A3F9}"/>
    <hyperlink ref="X1099" location="'SRC-00 Solusions+ Ops List'!A935" tooltip="SRC-00 Solusions+ Ops List!A935" display="Go to S+ row 935" xr:uid="{E62F4561-A9F9-2941-8B36-9517BB2F3503}"/>
    <hyperlink ref="X769" location="'SRC-00 Solusions+ Ops List'!A936" tooltip="SRC-00 Solusions+ Ops List!A936" display="Go to S+ row 936" xr:uid="{B3F21AB2-0B07-9D44-9FBD-6B8F6242F961}"/>
    <hyperlink ref="X1100" location="'SRC-00 Solusions+ Ops List'!A937" tooltip="SRC-00 Solusions+ Ops List!A937" display="Go to S+ row 937" xr:uid="{BFAB6961-ABF6-3146-92E0-344E6DCCC237}"/>
    <hyperlink ref="X1045" location="'SRC-01 NZSA RVG'!A95" tooltip="SRC-01 NZSA RVG!A95" display="Go to SRC-01 row 95" xr:uid="{5A82E469-F4EC-D249-83F3-50F7614BBB28}"/>
    <hyperlink ref="X936" location="'SRC-00 Solusions+ Ops List'!A938" tooltip="SRC-00 Solusions+ Ops List!A938" display="Go to S+ row 938" xr:uid="{44FD61F9-3134-E049-812C-6EA3B35FD245}"/>
    <hyperlink ref="X456" location="'SRC-00 Solusions+ Ops List'!A939" tooltip="SRC-00 Solusions+ Ops List!A939" display="Go to S+ row 939" xr:uid="{74585FFB-9CDF-EB43-94DF-3B905D7A49CB}"/>
    <hyperlink ref="X448" location="'SRC-01 NZSA RVG'!A25" tooltip="SRC-01 NZSA RVG!A25" display="Go to SRC-01 row 25" xr:uid="{DF24341C-B9B5-AE4C-8B9C-687997D857C5}"/>
    <hyperlink ref="X429" location="'SRC-00 Solusions+ Ops List'!A940" tooltip="SRC-00 Solusions+ Ops List!A940" display="Go to S+ row 940" xr:uid="{7A6A8E62-B908-3D42-BE8A-82F51DB9A7E3}"/>
    <hyperlink ref="X973" location="'SRC-00 Solusions+ Ops List'!A941" tooltip="SRC-00 Solusions+ Ops List!A941" display="Go to S+ row 941" xr:uid="{9DF7F5B5-7B39-4C4C-89AE-5BABE15F7088}"/>
    <hyperlink ref="X974" location="'SRC-00 Solusions+ Ops List'!A942" tooltip="SRC-00 Solusions+ Ops List!A942" display="Go to S+ row 942" xr:uid="{7558C65F-FF8D-4545-ADEA-E3D044A8817B}"/>
    <hyperlink ref="X961" location="'SRC-01 NZSA RVG'!A78" tooltip="SRC-01 NZSA RVG!A78" display="Go to SRC-01 row 78" xr:uid="{3EB03029-AD70-F34F-80F7-54E8EB3BBCA4}"/>
    <hyperlink ref="X975" location="'SRC-00 Solusions+ Ops List'!A943" tooltip="SRC-00 Solusions+ Ops List!A943" display="Go to S+ row 943" xr:uid="{F56D0224-8035-7A41-8B6C-6F469D1CF7D1}"/>
    <hyperlink ref="X976" location="'SRC-00 Solusions+ Ops List'!A944" tooltip="SRC-00 Solusions+ Ops List!A944" display="Go to S+ row 944" xr:uid="{EBEFE46F-8DA1-D446-B710-1A0D617E9BDD}"/>
    <hyperlink ref="X937" location="'SRC-00 Solusions+ Ops List'!A945" tooltip="SRC-00 Solusions+ Ops List!A945" display="Go to S+ row 945" xr:uid="{D25A9D23-B15E-864B-9664-29ED0FFBCB30}"/>
    <hyperlink ref="X208" location="'SRC-00 Solusions+ Ops List'!A946" tooltip="SRC-00 Solusions+ Ops List!A946" display="Go to S+ row 946" xr:uid="{14C4D7CE-5A74-0E45-9313-8BDC0DE900FC}"/>
    <hyperlink ref="X938" location="'SRC-00 Solusions+ Ops List'!A947" tooltip="SRC-00 Solusions+ Ops List!A947" display="Go to S+ row 947" xr:uid="{D4B2D5C0-DCE8-6249-8786-4B25AC916F86}"/>
    <hyperlink ref="X939" location="'SRC-00 Solusions+ Ops List'!A948" tooltip="SRC-00 Solusions+ Ops List!A948" display="Go to S+ row 948" xr:uid="{9A24CCA9-A034-0D43-BD24-0A576FD964D9}"/>
    <hyperlink ref="X977" location="'SRC-00 Solusions+ Ops List'!A949" tooltip="SRC-00 Solusions+ Ops List!A949" display="Go to S+ row 949" xr:uid="{A1844291-5D46-0F45-B483-F97445CABE9C}"/>
    <hyperlink ref="X962" location="'SRC-01 NZSA RVG'!A79" tooltip="SRC-01 NZSA RVG!A79" display="Go to SRC-01 row 79" xr:uid="{B4120979-2081-8541-973B-C6C0AA0D611D}"/>
    <hyperlink ref="X940" location="'SRC-00 Solusions+ Ops List'!A950" tooltip="SRC-00 Solusions+ Ops List!A950" display="Go to S+ row 950" xr:uid="{48C5ED6D-4A8C-E14A-9426-4ACE379A9474}"/>
    <hyperlink ref="X941" location="'SRC-00 Solusions+ Ops List'!A951" tooltip="SRC-00 Solusions+ Ops List!A951" display="Go to S+ row 951" xr:uid="{A74D6DD0-6FBF-594C-A6CA-94C4C67674FA}"/>
    <hyperlink ref="X942" location="'SRC-00 Solusions+ Ops List'!A952" tooltip="SRC-00 Solusions+ Ops List!A952" display="Go to S+ row 952" xr:uid="{EFB4385A-F393-D04A-A9AE-9EEB3E3B14CA}"/>
    <hyperlink ref="X209" location="'SRC-00 Solusions+ Ops List'!A953" tooltip="SRC-00 Solusions+ Ops List!A953" display="Go to S+ row 953" xr:uid="{57F2F935-4A33-D34D-A5CA-30BEC001299C}"/>
    <hyperlink ref="X152" location="'SRC-01 NZSA RVG'!A8" tooltip="SRC-01 NZSA RVG!A8" display="Go to SRC-01 row 8" xr:uid="{60C074D8-3F97-504E-B4F4-F70B1727B5D4}"/>
    <hyperlink ref="X522" location="'SRC-00 Solusions+ Ops List'!A954" tooltip="SRC-00 Solusions+ Ops List!A954" display="Go to S+ row 954" xr:uid="{37FA044B-B2B9-634A-B04E-F4E02802C694}"/>
    <hyperlink ref="X523" location="'SRC-00 Solusions+ Ops List'!A955" tooltip="SRC-00 Solusions+ Ops List!A955" display="Go to S+ row 955" xr:uid="{006F9780-2505-A344-80F2-71E2211D216F}"/>
    <hyperlink ref="X517" location="'SRC-01 NZSA RVG'!A28" tooltip="SRC-01 NZSA RVG!A28" display="Go to SRC-01 row 28" xr:uid="{79E59A9C-5582-8E45-A591-68807CE61B6F}"/>
    <hyperlink ref="X770" location="'SRC-00 Solusions+ Ops List'!A956" tooltip="SRC-00 Solusions+ Ops List!A956" display="Go to S+ row 956" xr:uid="{E49CF762-8672-E847-B54D-39A21456F6F3}"/>
    <hyperlink ref="X771" location="'SRC-00 Solusions+ Ops List'!A957" tooltip="SRC-00 Solusions+ Ops List!A957" display="Go to S+ row 957" xr:uid="{B7ABC33D-0086-3444-A1D5-5C94B45CEDBC}"/>
    <hyperlink ref="X213" location="'SRC-00 Solusions+ Ops List'!A958" tooltip="SRC-00 Solusions+ Ops List!A958" display="Go to S+ row 958" xr:uid="{D19D27AA-93E3-FA49-8304-CF274ECDDFFF}"/>
    <hyperlink ref="X214" location="'SRC-00 Solusions+ Ops List'!A959" tooltip="SRC-00 Solusions+ Ops List!A959" display="Go to S+ row 959" xr:uid="{C803EEAF-8B8B-3148-9199-209CAF8FC94B}"/>
    <hyperlink ref="X799" location="'SRC-00 Solusions+ Ops List'!A960" tooltip="SRC-00 Solusions+ Ops List!A960" display="Go to S+ row 960" xr:uid="{BB430B1C-2AB5-8849-9BC4-1ED0C147A546}"/>
    <hyperlink ref="X781" location="'SRC-01 NZSA RVG'!A75" tooltip="SRC-01 NZSA RVG!A75" display="Go to SRC-01 row 75" xr:uid="{EF96BE98-F5F9-1D40-8725-A9519D65DAA4}"/>
    <hyperlink ref="X943" location="'SRC-00 Solusions+ Ops List'!A961" tooltip="SRC-00 Solusions+ Ops List!A961" display="Go to S+ row 961" xr:uid="{BE811358-FC08-BC40-9C2A-5D20BE252496}"/>
    <hyperlink ref="X944" location="'SRC-00 Solusions+ Ops List'!A962" tooltip="SRC-00 Solusions+ Ops List!A962" display="Go to S+ row 962" xr:uid="{1C590F1C-DF88-DD46-A729-3185ED545811}"/>
    <hyperlink ref="X945" location="'SRC-00 Solusions+ Ops List'!A963" tooltip="SRC-00 Solusions+ Ops List!A963" display="Go to S+ row 963" xr:uid="{7DBBE918-DB1A-F849-B99F-DCC20632E25D}"/>
    <hyperlink ref="X946" location="'SRC-00 Solusions+ Ops List'!A964" tooltip="SRC-00 Solusions+ Ops List!A964" display="Go to S+ row 964" xr:uid="{F9A22DF7-26ED-E946-B70B-18462DDA5F5C}"/>
    <hyperlink ref="X215" location="'SRC-00 Solusions+ Ops List'!A965" tooltip="SRC-00 Solusions+ Ops List!A965" display="Go to S+ row 965" xr:uid="{2D27CFE6-DD1F-8C40-ADB4-603D32596AE1}"/>
    <hyperlink ref="X216" location="'SRC-00 Solusions+ Ops List'!A966" tooltip="SRC-00 Solusions+ Ops List!A966" display="Go to S+ row 966" xr:uid="{5AADFE41-279B-0941-BF80-B6E8A0843726}"/>
    <hyperlink ref="X217" location="'SRC-00 Solusions+ Ops List'!A967" tooltip="SRC-00 Solusions+ Ops List!A967" display="Go to S+ row 967" xr:uid="{294BA084-E0BE-5E40-B8BB-615553366AD8}"/>
    <hyperlink ref="X197" location="'SRC-01 NZSA RVG'!A7" tooltip="SRC-01 NZSA RVG!A7" display="Go to SRC-01 row 7" xr:uid="{FD65BF4D-40CF-EB47-AB95-39D425652988}"/>
    <hyperlink ref="X772" location="'SRC-00 Solusions+ Ops List'!A968" tooltip="SRC-00 Solusions+ Ops List!A968" display="Go to S+ row 968" xr:uid="{DA33A548-747F-D045-AA24-35FD6D88E683}"/>
    <hyperlink ref="X691" location="'SRC-01 NZSA RVG'!A66" tooltip="SRC-01 NZSA RVG!A66" display="Go to SRC-01 row 66" xr:uid="{62A97DBE-A7E8-5F40-A9C1-0808BEA78F16}"/>
    <hyperlink ref="X989" location="'SRC-00 Solusions+ Ops List'!A969" tooltip="SRC-00 Solusions+ Ops List!A969" display="Go to S+ row 969" xr:uid="{78218117-5B53-9B40-A56A-ECF8AF7C21A0}"/>
    <hyperlink ref="X985" location="'SRC-01 NZSA RVG'!A87" tooltip="SRC-01 NZSA RVG!A87" display="Go to SRC-01 row 87" xr:uid="{1E860944-27C5-AB42-90E4-81698796A5BC}"/>
    <hyperlink ref="X947" location="'SRC-00 Solusions+ Ops List'!A970" tooltip="SRC-00 Solusions+ Ops List!A970" display="Go to S+ row 970" xr:uid="{6C48D04D-2107-984A-AA42-E098CE550CD4}"/>
    <hyperlink ref="X948" location="'SRC-00 Solusions+ Ops List'!A971" tooltip="SRC-00 Solusions+ Ops List!A971" display="Go to S+ row 971" xr:uid="{7DC58268-626A-8446-86A3-B9FF99209944}"/>
    <hyperlink ref="X933" location="'SRC-01 NZSA RVG'!A77" tooltip="SRC-01 NZSA RVG!A77" display="Go to SRC-01 row 77" xr:uid="{35629F1B-9E04-E444-AE24-91828702E6B2}"/>
    <hyperlink ref="X218" location="'SRC-00 Solusions+ Ops List'!A972" tooltip="SRC-00 Solusions+ Ops List!A972" display="Go to S+ row 972" xr:uid="{66F01815-A0C6-5545-AC12-CE30F27A515B}"/>
    <hyperlink ref="X151" location="'SRC-01 NZSA RVG'!A6" tooltip="SRC-01 NZSA RVG!A6" display="Go to SRC-01 row 6" xr:uid="{05E3B46C-63CE-3143-9A1A-E08C9A4F830B}"/>
    <hyperlink ref="X773" location="'SRC-00 Solusions+ Ops List'!A973" tooltip="SRC-00 Solusions+ Ops List!A973" display="Go to S+ row 973" xr:uid="{43F3C076-AF1A-424C-B54B-522C048845B8}"/>
    <hyperlink ref="X763" location="'SRC-01 NZSA RVG'!A64" tooltip="SRC-01 NZSA RVG!A64" display="Go to SRC-01 row 64" xr:uid="{1B16A090-5239-6B44-BCA4-2A26B64A78FA}"/>
    <hyperlink ref="X433" location="'SRC-00 Solusions+ Ops List'!A974" tooltip="SRC-00 Solusions+ Ops List!A974" display="Go to S+ row 974" xr:uid="{E7FE7087-815F-E04C-8C85-0B2C3DE6006A}"/>
    <hyperlink ref="X434" location="'SRC-00 Solusions+ Ops List'!A975" tooltip="SRC-00 Solusions+ Ops List!A975" display="Go to S+ row 975" xr:uid="{BB6DD860-AB6F-5D46-8177-262F801CC48D}"/>
    <hyperlink ref="X435" location="'SRC-00 Solusions+ Ops List'!A976" tooltip="SRC-00 Solusions+ Ops List!A976" display="Go to S+ row 976" xr:uid="{4455673C-0DD3-A947-8217-39FBB6DB3E25}"/>
    <hyperlink ref="X437" location="'SRC-00 Solusions+ Ops List'!A977" tooltip="SRC-00 Solusions+ Ops List!A977" display="Go to S+ row 977" xr:uid="{547B275F-2356-9145-BD1D-F838F94368F4}"/>
    <hyperlink ref="X442" location="'SRC-00 Solusions+ Ops List'!A978" tooltip="SRC-00 Solusions+ Ops List!A978" display="Go to S+ row 978" xr:uid="{B75496FD-4883-DC4E-9070-0BEE648E77C7}"/>
    <hyperlink ref="X443" location="'SRC-00 Solusions+ Ops List'!A979" tooltip="SRC-00 Solusions+ Ops List!A979" display="Go to S+ row 979" xr:uid="{60A7FCE2-6766-E941-BB47-58908BD464F5}"/>
    <hyperlink ref="X444" location="'SRC-00 Solusions+ Ops List'!A980" tooltip="SRC-00 Solusions+ Ops List!A980" display="Go to S+ row 980" xr:uid="{491CE77C-EDF2-264A-90C3-1055D5BB1F86}"/>
    <hyperlink ref="X445" location="'SRC-00 Solusions+ Ops List'!A981" tooltip="SRC-00 Solusions+ Ops List!A981" display="Go to S+ row 981" xr:uid="{A8FF9B8B-BC6B-AF4A-8328-FA158E9645C0}"/>
    <hyperlink ref="X370" location="'SRC-01 NZSA RVG'!A11" tooltip="SRC-01 NZSA RVG!A11" display="Go to SRC-01 row 11" xr:uid="{82D83914-74CE-564D-BC77-02C73167AE7B}"/>
    <hyperlink ref="X1101" location="'SRC-00 Solusions+ Ops List'!A982" tooltip="SRC-00 Solusions+ Ops List!A982" display="Go to S+ row 982" xr:uid="{67CF90B2-F425-0B4D-A23E-67A4AF41C5AB}"/>
    <hyperlink ref="X1047" location="'SRC-01 NZSA RVG'!A92" tooltip="SRC-01 NZSA RVG!A92" display="Go to SRC-01 row 92" xr:uid="{09215745-5F1C-7D4F-8EE9-FDDFE060B5BE}"/>
    <hyperlink ref="X2" location="'SRC-01 NZSA RVG'!A5" tooltip="SRC-01 NZSA RVG!A5" display="Go to SRC-01 row 5" xr:uid="{D163315B-F078-3C40-B27C-37AD685D45C6}"/>
    <hyperlink ref="X369" location="'SRC-01 NZSA RVG'!A12" tooltip="SRC-01 NZSA RVG!A12" display="Go to SRC-01 row 12" xr:uid="{51E55851-E6FA-2E4A-8970-024B8580E9A0}"/>
    <hyperlink ref="X270" location="'SRC-01 NZSA RVG'!A16" tooltip="SRC-01 NZSA RVG!A16" display="Go to SRC-01 row 16" xr:uid="{770C7390-5474-A94C-8D5C-FC682B847949}"/>
    <hyperlink ref="X278" location="'SRC-01 NZSA RVG'!A21" tooltip="SRC-01 NZSA RVG!A21" display="Go to SRC-01 row 21" xr:uid="{165F1B8C-7E9E-AB4F-9642-10B58AAEF890}"/>
    <hyperlink ref="X277" location="'SRC-01 NZSA RVG'!A22" tooltip="SRC-01 NZSA RVG!A22" display="Go to SRC-01 row 22" xr:uid="{B41D0BD4-0DC2-4740-B53D-8EF42836331D}"/>
    <hyperlink ref="X447" location="'SRC-01 NZSA RVG'!A23" tooltip="SRC-01 NZSA RVG!A23" display="Go to SRC-01 row 23" xr:uid="{ED02E6A7-CFE2-1E40-8B08-640372DE2F3A}"/>
    <hyperlink ref="X452" location="'SRC-01 NZSA RVG'!A24" tooltip="SRC-01 NZSA RVG!A24" display="Go to SRC-01 row 24" xr:uid="{A786D3E7-3DC7-0A45-AB11-6E3F340C788A}"/>
    <hyperlink ref="X612" location="'SRC-01 NZSA RVG'!A37" tooltip="SRC-01 NZSA RVG!A37" display="Go to SRC-01 row 37" xr:uid="{BD70C6E8-90B3-224E-9554-F1E407242CE4}"/>
    <hyperlink ref="X615" location="'SRC-01 NZSA RVG'!A38" tooltip="SRC-01 NZSA RVG!A38" display="Go to SRC-01 row 38" xr:uid="{C1CAAEC8-677A-6147-881D-02D19FCFDA73}"/>
    <hyperlink ref="X611" location="'SRC-01 NZSA RVG'!A41" tooltip="SRC-01 NZSA RVG!A41" display="Go to SRC-01 row 41" xr:uid="{0335D471-7901-5F4D-AD3C-B4876E27846C}"/>
    <hyperlink ref="X608" location="'SRC-01 NZSA RVG'!A42" tooltip="SRC-01 NZSA RVG!A42" display="Go to SRC-01 row 42" xr:uid="{7A7782E3-960C-9A4A-900E-95ED85182392}"/>
    <hyperlink ref="X607" location="'SRC-01 NZSA RVG'!A45" tooltip="SRC-01 NZSA RVG!A45" display="Go to SRC-01 row 45" xr:uid="{D57BD8AE-94B1-A240-A034-660306FEA191}"/>
    <hyperlink ref="X617" location="'SRC-01 NZSA RVG'!A46" tooltip="SRC-01 NZSA RVG!A46" display="Go to SRC-01 row 46" xr:uid="{FE28D9CF-0AFF-314C-8068-17C4ADC363A2}"/>
    <hyperlink ref="X616" location="'SRC-01 NZSA RVG'!A47" tooltip="SRC-01 NZSA RVG!A47" display="Go to SRC-01 row 47" xr:uid="{61B76519-3C26-4F48-9ECA-08D04F6475F4}"/>
    <hyperlink ref="X618" location="'SRC-01 NZSA RVG'!A49" tooltip="SRC-01 NZSA RVG!A49" display="Go to SRC-01 row 49" xr:uid="{8B1CA6A0-882E-424D-9F15-1ACA87E02DE6}"/>
    <hyperlink ref="X626" location="'SRC-01 NZSA RVG'!A52" tooltip="SRC-01 NZSA RVG!A52" display="Go to SRC-01 row 52" xr:uid="{75A7C281-13AD-844E-953E-B9CE3549EB4A}"/>
    <hyperlink ref="X665" location="'SRC-01 NZSA RVG'!A53" tooltip="SRC-01 NZSA RVG!A53" display="Go to SRC-01 row 53" xr:uid="{0F47D85F-511A-404C-8AFA-09FDEB0265B0}"/>
    <hyperlink ref="X664" location="'SRC-01 NZSA RVG'!A54" tooltip="SRC-01 NZSA RVG!A54" display="Go to SRC-01 row 54" xr:uid="{4922DF36-F550-0441-9414-41DD9584C3B4}"/>
    <hyperlink ref="X654" location="'SRC-01 NZSA RVG'!A56" tooltip="SRC-01 NZSA RVG!A56" display="Go to SRC-01 row 56" xr:uid="{640401E1-777D-FB44-A658-43B9A5F34BFE}"/>
    <hyperlink ref="X629" location="'SRC-01 NZSA RVG'!A58" tooltip="SRC-01 NZSA RVG!A58" display="Go to SRC-01 row 58" xr:uid="{C5CD84A9-F9F6-EF4F-9FE4-74FF7A0415A4}"/>
    <hyperlink ref="X656" location="'SRC-01 NZSA RVG'!A61" tooltip="SRC-01 NZSA RVG!A61" display="Go to SRC-01 row 61" xr:uid="{738817D8-F7FF-8942-8FD3-CA329DC4E87F}"/>
    <hyperlink ref="X632" location="'SRC-01 NZSA RVG'!A62" tooltip="SRC-01 NZSA RVG!A62" display="Go to SRC-01 row 62" xr:uid="{8D220E33-9958-9941-9A9C-A8304624F88E}"/>
    <hyperlink ref="X685" location="'SRC-01 NZSA RVG'!A68" tooltip="SRC-01 NZSA RVG!A68" display="Go to SRC-01 row 68" xr:uid="{C1AAD20D-520D-8F48-9C05-423EFBD5E004}"/>
    <hyperlink ref="X825" location="'SRC-01 NZSA RVG'!A72" tooltip="SRC-01 NZSA RVG!A72" display="Go to SRC-01 row 72" xr:uid="{60F21F37-101A-264C-906F-B31B67FAD54E}"/>
    <hyperlink ref="X960" location="'SRC-01 NZSA RVG'!A80" tooltip="SRC-01 NZSA RVG!A80" display="Go to SRC-01 row 80" xr:uid="{53C2FD37-1C57-A745-A751-220E7F33EB77}"/>
    <hyperlink ref="X950" location="'SRC-01 NZSA RVG'!A83" tooltip="SRC-01 NZSA RVG!A83" display="Go to SRC-01 row 83" xr:uid="{84EBF19D-510D-844A-B094-E3C7E722E337}"/>
    <hyperlink ref="X949" location="'SRC-01 NZSA RVG'!A84" tooltip="SRC-01 NZSA RVG!A84" display="Go to SRC-01 row 84" xr:uid="{47AA16C2-1910-8946-AD4D-53960FF5A3E1}"/>
    <hyperlink ref="X978" location="'SRC-01 NZSA RVG'!A85" tooltip="SRC-01 NZSA RVG!A85" display="Go to SRC-01 row 85" xr:uid="{C36E847B-122F-7149-BD38-E73DFEF1C3AB}"/>
    <hyperlink ref="X979" location="'SRC-01 NZSA RVG'!A86" tooltip="SRC-01 NZSA RVG!A86" display="Go to SRC-01 row 86" xr:uid="{4CA73972-C1BD-8C42-BE22-5BE637447BE2}"/>
    <hyperlink ref="X986" location="'SRC-01 NZSA RVG'!A88" tooltip="SRC-01 NZSA RVG!A88" display="Go to SRC-01 row 88" xr:uid="{445848A5-6F49-C248-B3FD-71CE2356C83D}"/>
    <hyperlink ref="X984" location="'SRC-01 NZSA RVG'!A89" tooltip="SRC-01 NZSA RVG!A89" display="Go to SRC-01 row 89" xr:uid="{5F73E6CB-E0AE-2F42-86D1-D541B47BA91C}"/>
    <hyperlink ref="X1090" location="'SRC-01 NZSA RVG'!A97" tooltip="SRC-01 NZSA RVG!A97" display="Go to SRC-01 row 97" xr:uid="{BB6502A0-4F51-0141-A382-3322DC6942BA}"/>
    <hyperlink ref="X1137" location="'SRC-01 NZSA RVG'!A99" tooltip="SRC-01 NZSA RVG!A99" display="Go to SRC-01 row 99" xr:uid="{ECF4C160-FE22-024C-BE42-8ABB665F2FF2}"/>
    <hyperlink ref="X1102" location="'SRC-01 NZSA RVG'!A102" tooltip="SRC-01 NZSA RVG!A102" display="Go to SRC-01 row 102" xr:uid="{B5F6FA41-3E0F-F04F-9966-03815708BDC3}"/>
    <hyperlink ref="X1106" location="'SRC-01 NZSA RVG'!A103" tooltip="SRC-01 NZSA RVG!A103" display="Go to SRC-01 row 103" xr:uid="{2EAF1453-F0EA-CE41-A3A7-6FFCFFB255B1}"/>
    <hyperlink ref="X1104" location="'SRC-01 NZSA RVG'!A104" tooltip="SRC-01 NZSA RVG!A104" display="Go to SRC-01 row 104" xr:uid="{2FAE0168-CF78-0B47-8564-C79A4F542050}"/>
    <hyperlink ref="X1175" location="'SRC-01 NZSA RVG'!A106" tooltip="SRC-01 NZSA RVG!A106" display="Go to SRC-01 row 106" xr:uid="{BAACF69F-D390-1047-94D0-1B3B6CA739D4}"/>
    <hyperlink ref="X1178" location="'SRC-01 NZSA RVG'!A107" tooltip="SRC-01 NZSA RVG!A107" display="Go to SRC-01 row 107" xr:uid="{3F5DBCA0-2A66-DC4B-9080-AFB9F9390528}"/>
    <hyperlink ref="X1170" location="'SRC-01 NZSA RVG'!A108" tooltip="SRC-01 NZSA RVG!A108" display="Go to SRC-01 row 108" xr:uid="{BAF48C8B-6AF8-3340-8D61-D6B6D49FCCAF}"/>
    <hyperlink ref="X1169" location="'SRC-01 NZSA RVG'!A110" tooltip="SRC-01 NZSA RVG!A110" display="Go to SRC-01 row 110" xr:uid="{D86B36FD-07C0-8044-BC91-B219231C4292}"/>
    <hyperlink ref="X1180" location="'SRC-01 NZSA RVG'!A111" tooltip="SRC-01 NZSA RVG!A111" display="Go to SRC-01 row 111" xr:uid="{A8227670-E7E3-4C48-8D9B-B30069FFA7FE}"/>
    <hyperlink ref="X1181" location="'SRC-01 NZSA RVG'!A112" tooltip="SRC-01 NZSA RVG!A112" display="Go to SRC-01 row 112" xr:uid="{1FD10141-A4DF-184D-9605-B7B83461303E}"/>
    <hyperlink ref="X1179" location="'SRC-01 NZSA RVG'!A113" tooltip="SRC-01 NZSA RVG!A113" display="Go to SRC-01 row 113" xr:uid="{67E4EC5C-74BC-D641-A6E1-CBD54770A67C}"/>
    <hyperlink ref="X1184" location="'SRC-01 NZSA RVG'!A114" tooltip="SRC-01 NZSA RVG!A114" display="Go to SRC-01 row 114" xr:uid="{FE7F48A6-8D31-CD43-B0D4-D4BF7AEB5EF3}"/>
    <hyperlink ref="X1182" location="'SRC-01 NZSA RVG'!A115" tooltip="SRC-01 NZSA RVG!A115" display="Go to SRC-01 row 115" xr:uid="{0AFD2355-F57F-BB4D-9A36-F43516606125}"/>
    <hyperlink ref="X1183" location="'SRC-01 NZSA RVG'!A116" tooltip="SRC-01 NZSA RVG!A116" display="Go to SRC-01 row 116" xr:uid="{554626F1-6383-944A-8329-B9096EE91B56}"/>
    <hyperlink ref="X1186" location="'SRC-01 NZSA RVG'!A118" tooltip="SRC-01 NZSA RVG!A118" display="Go to SRC-01 row 118" xr:uid="{8A736E28-6B11-2A45-9382-2DF1780E9F70}"/>
    <hyperlink ref="X1185" location="'SRC-01 NZSA RVG'!A119" tooltip="SRC-01 NZSA RVG!A119" display="Go to SRC-01 row 119" xr:uid="{619EF599-A256-1747-8C69-3BDDBB0D074F}"/>
    <hyperlink ref="X1216" location="'SRC-01 NZSA RVG'!A120" tooltip="SRC-01 NZSA RVG!A120" display="Go to SRC-01 row 120" xr:uid="{23CB27CB-C2E6-7A4F-B750-4D8371ECAD77}"/>
    <hyperlink ref="X1215" location="'SRC-01 NZSA RVG'!A121" tooltip="SRC-01 NZSA RVG!A121" display="Go to SRC-01 row 121" xr:uid="{9ADF4E11-3020-2B40-A99B-94E33514377E}"/>
    <hyperlink ref="X1204" location="'SRC-01 NZSA RVG'!A122" tooltip="SRC-01 NZSA RVG!A122" display="Go to SRC-01 row 122" xr:uid="{54627A84-202C-A148-9C61-88A9B03BEC30}"/>
    <hyperlink ref="X1203" location="'SRC-01 NZSA RVG'!A123" tooltip="SRC-01 NZSA RVG!A123" display="Go to SRC-01 row 123" xr:uid="{5E942E5E-EB99-6740-B664-78A6323814F8}"/>
    <hyperlink ref="X1198" location="'SRC-01 NZSA RVG'!A124" tooltip="SRC-01 NZSA RVG!A124" display="Go to SRC-01 row 124" xr:uid="{76EEA541-203F-1A4B-8030-4BA9BEA5C416}"/>
    <hyperlink ref="X1188" location="'SRC-01 NZSA RVG'!A125" tooltip="SRC-01 NZSA RVG!A125" display="Go to SRC-01 row 125" xr:uid="{1F6FC99F-D673-9F42-8EAE-D887AC9CC263}"/>
    <hyperlink ref="X1187" location="'SRC-01 NZSA RVG'!A126" tooltip="SRC-01 NZSA RVG!A126" display="Go to SRC-01 row 126" xr:uid="{7DBA3701-62E1-5D4E-B885-4310BE39B94C}"/>
    <hyperlink ref="X1190" location="'SRC-01 NZSA RVG'!A127" tooltip="SRC-01 NZSA RVG!A127" display="Go to SRC-01 row 127" xr:uid="{51DBE5FA-9962-A941-8140-A0E60176BB31}"/>
    <hyperlink ref="X1191" location="'SRC-01 NZSA RVG'!A128" tooltip="SRC-01 NZSA RVG!A128" display="Go to SRC-01 row 128" xr:uid="{0FABABF9-942C-AD44-9C39-9373CF5E2DF2}"/>
    <hyperlink ref="X1192" location="'SRC-01 NZSA RVG'!A129" tooltip="SRC-01 NZSA RVG!A129" display="Go to SRC-01 row 129" xr:uid="{7068DC9A-0549-8F46-B7D6-77695B04ED80}"/>
    <hyperlink ref="X1202" location="'SRC-01 NZSA RVG'!A130" tooltip="SRC-01 NZSA RVG!A130" display="Go to SRC-01 row 130" xr:uid="{FFD1D018-913F-BB4B-B65B-3DECA7DA1907}"/>
    <hyperlink ref="X1194" location="'SRC-01 NZSA RVG'!A131" tooltip="SRC-01 NZSA RVG!A131" display="Go to SRC-01 row 131" xr:uid="{115C7107-C9A8-924F-9C27-5D86DAA4F7BD}"/>
    <hyperlink ref="X1197" location="'SRC-01 NZSA RVG'!A132" tooltip="SRC-01 NZSA RVG!A132" display="Go to SRC-01 row 132" xr:uid="{AA3DB6C1-0B45-0B4E-B77E-392B0D19FDE1}"/>
    <hyperlink ref="X1195" location="'SRC-01 NZSA RVG'!A133" tooltip="SRC-01 NZSA RVG!A133" display="Go to SRC-01 row 133" xr:uid="{7BB37176-B3CB-C443-99D4-C800ACE1E221}"/>
    <hyperlink ref="X1196" location="'SRC-01 NZSA RVG'!A134" tooltip="SRC-01 NZSA RVG!A134" display="Go to SRC-01 row 134" xr:uid="{8AA202B1-E6FE-234A-9788-8ACE3B77C5BC}"/>
    <hyperlink ref="X1193" location="'SRC-01 NZSA RVG'!A135" tooltip="SRC-01 NZSA RVG!A135" display="Go to SRC-01 row 135" xr:uid="{7C5BD65C-3577-E14D-9BC9-A06E8A6BEF30}"/>
    <hyperlink ref="X1189" location="'SRC-01 NZSA RVG'!A136" tooltip="SRC-01 NZSA RVG!A136" display="Go to SRC-01 row 136" xr:uid="{9E559AFF-E51B-0B4F-BA5D-D55AC1793512}"/>
    <hyperlink ref="X1217" location="'SRC-01 NZSA RVG'!A137" tooltip="SRC-01 NZSA RVG!A137" display="Go to SRC-01 row 137" xr:uid="{E9E07B8F-4E21-B54A-8CBA-65286410D8A5}"/>
    <hyperlink ref="X1211" location="'SRC-01 NZSA RVG'!A138" tooltip="SRC-01 NZSA RVG!A138" display="Go to SRC-01 row 138" xr:uid="{87B5CC37-5292-1143-BD99-70460DC9F946}"/>
    <hyperlink ref="X1210" location="'SRC-01 NZSA RVG'!A139" tooltip="SRC-01 NZSA RVG!A139" display="Go to SRC-01 row 139" xr:uid="{936E9222-A049-FA4B-99A4-78CDF2F10B4A}"/>
    <hyperlink ref="X1214" location="'SRC-01 NZSA RVG'!A140" tooltip="SRC-01 NZSA RVG!A140" display="Go to SRC-01 row 140" xr:uid="{BB5A8526-B073-184E-81EC-2FFCFF244BE2}"/>
    <hyperlink ref="X1201" location="'SRC-01 NZSA RVG'!A141" tooltip="SRC-01 NZSA RVG!A141" display="Go to SRC-01 row 141" xr:uid="{F894E671-B6C1-4640-A03C-6E5A22B28F23}"/>
    <hyperlink ref="X1206" location="'SRC-01 NZSA RVG'!A142" tooltip="SRC-01 NZSA RVG!A142" display="Go to SRC-01 row 142" xr:uid="{0FCB08F8-2680-CD47-BC5D-268ADA285259}"/>
    <hyperlink ref="X1205" location="'SRC-01 NZSA RVG'!A143" tooltip="SRC-01 NZSA RVG!A143" display="Go to SRC-01 row 143" xr:uid="{BBF4B71F-63FE-3241-812F-1B2FDAACB920}"/>
    <hyperlink ref="X1213" location="'SRC-01 NZSA RVG'!A144" tooltip="SRC-01 NZSA RVG!A144" display="Go to SRC-01 row 144" xr:uid="{562FB679-922C-AF42-BD0B-AFD29E7EEA31}"/>
    <hyperlink ref="X1212" location="'SRC-01 NZSA RVG'!A145" tooltip="SRC-01 NZSA RVG!A145" display="Go to SRC-01 row 145" xr:uid="{E8156FB8-131E-4543-8496-3796D09D53CA}"/>
    <hyperlink ref="X1209" location="'SRC-01 NZSA RVG'!A146" tooltip="SRC-01 NZSA RVG!A146" display="Go to SRC-01 row 146" xr:uid="{09AC5AA5-4847-0D41-A9E4-5D819B5DB962}"/>
    <hyperlink ref="X1208" location="'SRC-01 NZSA RVG'!A148" tooltip="SRC-01 NZSA RVG!A148" display="Go to SRC-01 row 148" xr:uid="{7937DAFC-D41F-4F41-B32D-8ED0D42A8B08}"/>
    <hyperlink ref="X1207" location="'SRC-01 NZSA RVG'!A149" tooltip="SRC-01 NZSA RVG!A149" display="Go to SRC-01 row 149" xr:uid="{EF11C4CC-C804-514D-906F-63D5B5DE4DBC}"/>
    <hyperlink ref="X1220" location="'SRC-01 NZSA RVG'!A151" tooltip="SRC-01 NZSA RVG!A151" display="Go to SRC-01 row 151" xr:uid="{AA2C6334-CC0D-C04B-8B0F-B6DD2F3E6AEF}"/>
    <hyperlink ref="X677" location="'SRC-04 Merivale PS'!A9" tooltip="SRC-04 Merivale PS!A9" display="Go to SRC-04 row 9" xr:uid="{FD359B3D-BB7A-824F-8C41-934C8FE6D71F}"/>
    <hyperlink ref="X675" location="'SRC-04 Merivale PS'!A10" tooltip="SRC-04 Merivale PS!A10" display="Go to SRC-04 row 10" xr:uid="{4FC4C408-3F98-8940-828F-6A350ABBE7E4}"/>
    <hyperlink ref="X684" location="'SRC-04 Merivale PS'!A17" tooltip="SRC-04 Merivale PS!A17" display="Go to SRC-04 row 17" xr:uid="{81A478C5-9D0D-8742-95F2-26B6F5C4E498}"/>
    <hyperlink ref="X683" location="'SRC-04 Merivale PS'!A18" tooltip="SRC-04 Merivale PS!A18" display="Go to SRC-04 row 18" xr:uid="{A6DCCB72-3A81-894D-B0A8-75E8C88318D0}"/>
    <hyperlink ref="X527" location="'SRC-04 Merivale PS'!A13" tooltip="SRC-04 Merivale PS!A13" display="Go to SRC-04 row 13" xr:uid="{3EDDFAC5-DDEC-A849-8455-686518D211DD}"/>
    <hyperlink ref="X550" location="'SRC-04 Merivale PS'!A19" tooltip="SRC-04 Merivale PS!A19" display="Go to SRC-04 row 19" xr:uid="{F068267A-3988-4F4A-98C3-E076656B0A23}"/>
    <hyperlink ref="X553" location="'SRC-04 Merivale PS'!A20" tooltip="SRC-04 Merivale PS!A20" display="Go to SRC-04 row 20" xr:uid="{3B90BA31-D597-F046-A173-450C49FD3626}"/>
    <hyperlink ref="X557" location="'SRC-04 Merivale PS'!A11" tooltip="SRC-04 Merivale PS!A11" display="Go to SRC-04 row 11" xr:uid="{80DBBBE4-A5D6-4445-9783-28C43B7D0114}"/>
    <hyperlink ref="X556" location="'SRC-04 Merivale PS'!A12" tooltip="SRC-04 Merivale PS!A12" display="Go to SRC-04 row 12" xr:uid="{B063F0AA-D2F9-9449-AB5E-87B82E40E4C7}"/>
    <hyperlink ref="X118" location="'SRC-04 Merivale PS'!A21" tooltip="SRC-04 Merivale PS!A21" display="Go to SRC-04 row 21" xr:uid="{79EA7E2B-273B-0F40-9DEC-0AC863C1BCCC}"/>
    <hyperlink ref="X120" location="'SRC-04 Merivale PS'!A22" tooltip="SRC-04 Merivale PS!A22" display="Go to SRC-04 row 22" xr:uid="{5FE165AC-0F34-9E4C-B32E-6DC9C46102C8}"/>
    <hyperlink ref="X121" location="'SRC-04 Merivale PS'!A23" tooltip="SRC-04 Merivale PS!A23" display="Go to SRC-04 row 23" xr:uid="{FB9A7352-7052-BE42-BF09-F47422A3BA83}"/>
    <hyperlink ref="X580" location="'SRC-04 Merivale PS'!A14" tooltip="SRC-04 Merivale PS!A14" display="Go to SRC-04 row 14" xr:uid="{FFE659E6-548D-4040-874E-CA3C968DEA87}"/>
    <hyperlink ref="X163" location="'SRC-04 Merivale PS'!A16" tooltip="SRC-04 Merivale PS!A16" display="Go to SRC-04 row 16" xr:uid="{7011B553-BA08-8449-9F81-9E0E006B84F6}"/>
    <hyperlink ref="X587" location="'SRC-04 Merivale PS'!A15" tooltip="SRC-04 Merivale PS!A15" display="Go to SRC-04 row 15" xr:uid="{AE301697-AEF9-B24A-A988-8D168167699B}"/>
    <hyperlink ref="X1226" location="'SRC-04 Merivale PS'!A24" tooltip="SRC-04 Merivale PS!A24" display="Go to SRC-04 row 24" xr:uid="{7DB7554F-C7B4-A742-B369-36AFF570058A}"/>
    <hyperlink ref="X28" location="'SRC-05 SXAP Ectropion'!A16" tooltip="SRC-05 SXAP Ectropion!A16" display="Go to SRC-05 row 16" xr:uid="{726B4F77-33E0-5E42-8E47-41D4E4683A54}"/>
    <hyperlink ref="X29" location="'SRC-05 SXAP Ectropion'!A14" tooltip="SRC-05 SXAP Ectropion!A14" display="Go to SRC-05 row 14" xr:uid="{2CCCFB3C-D60C-E249-B123-2EB629507B9B}"/>
    <hyperlink ref="X210" location="'SRC-05 SXAP Ectropion'!A15" tooltip="SRC-05 SXAP Ectropion!A15" display="Go to SRC-05 row 15" xr:uid="{E9BB76D7-AC10-BC44-9109-7837E2A227F4}"/>
    <hyperlink ref="X211" location="'SRC-05 SXAP Ectropion'!A13" tooltip="SRC-05 SXAP Ectropion!A13" display="Go to SRC-05 row 13" xr:uid="{C3C6C928-9DA5-2D48-BF14-F89126DBB2DE}"/>
    <hyperlink ref="X212" location="'SRC-05 SXAP Ectropion'!A11" tooltip="SRC-05 SXAP Ectropion!A11" display="Go to SRC-05 row 11" xr:uid="{913B216A-620F-1148-B83A-FC4E5CFC96CE}"/>
    <hyperlink ref="X30" location="'SRC-05 SXAP Ectropion'!A12" tooltip="SRC-05 SXAP Ectropion!A12" display="Go to SRC-05 row 12" xr:uid="{EC54BEC0-3B6F-FD48-9796-D081BD24602B}"/>
    <hyperlink ref="X1258" location="'SRC-05 SXAP Ectropion'!A17" tooltip="SRC-05 SXAP Ectropion!A17" display="Go to SRC-05 row 17" xr:uid="{277A0BBD-FDFE-194D-A6BB-38C02A24B327}"/>
    <hyperlink ref="X378" location="'SRC-06 SXAP Pterygium'!A11" tooltip="SRC-06 SXAP Pterygium!A11" display="Go to SRC-06 row 11" xr:uid="{F589319F-6233-4F4D-85F1-DE28D222203E}"/>
    <hyperlink ref="X380" location="'SRC-06 SXAP Pterygium'!A12" tooltip="SRC-06 SXAP Pterygium!A12" display="Go to SRC-06 row 12" xr:uid="{53D61832-6744-744E-90F5-CF6FD2D1F238}"/>
    <hyperlink ref="X376" location="'SRC-06 SXAP Pterygium'!A13" tooltip="SRC-06 SXAP Pterygium!A13" display="Go to SRC-06 row 13" xr:uid="{33FFD428-F533-C446-8942-CCFBC12B4CEB}"/>
    <hyperlink ref="X375" location="'SRC-06 SXAP Pterygium'!A14" tooltip="SRC-06 SXAP Pterygium!A14" display="Go to SRC-06 row 14" xr:uid="{F2AE3CDC-F644-2445-B45D-34CEC7F1DAEA}"/>
    <hyperlink ref="X379" location="'SRC-06 SXAP Pterygium'!A15" tooltip="SRC-06 SXAP Pterygium!A15" display="Go to SRC-06 row 15" xr:uid="{16A4CE12-E652-1243-9DB2-E7801FA3A8BF}"/>
    <hyperlink ref="X377" location="'SRC-06 SXAP Pterygium'!A16" tooltip="SRC-06 SXAP Pterygium!A16" display="Go to SRC-06 row 16" xr:uid="{CDAC7A88-C5AD-3347-883D-B2E10EBD9A54}"/>
    <hyperlink ref="X51" location="'SRC-07 SXAP Ptosis Bleph'!A11" tooltip="SRC-07 SXAP Ptosis Bleph!A11" display="Go to SRC-07 row 11" xr:uid="{0DB19B98-B918-EF4E-8E59-9558955A5574}"/>
    <hyperlink ref="X54" location="'SRC-07 SXAP Ptosis Bleph'!A12" tooltip="SRC-07 SXAP Ptosis Bleph!A12" display="Go to SRC-07 row 12" xr:uid="{3CC65540-9E92-4B4E-BEB4-8FF7EFCC07F0}"/>
    <hyperlink ref="X53" location="'SRC-07 SXAP Ptosis Bleph'!A15" tooltip="SRC-07 SXAP Ptosis Bleph!A15" display="Go to SRC-07 row 15" xr:uid="{5FEC56B5-4A91-FD4C-B238-6F9A8F7A154B}"/>
    <hyperlink ref="X52" location="'SRC-07 SXAP Ptosis Bleph'!A16" tooltip="SRC-07 SXAP Ptosis Bleph!A16" display="Go to SRC-07 row 16" xr:uid="{508CD9EE-1701-F647-9E55-5ADCCE13E9A5}"/>
    <hyperlink ref="X170" location="'SRC-07 SXAP Ptosis Bleph'!A13" tooltip="SRC-07 SXAP Ptosis Bleph!A13" display="Go to SRC-07 row 13" xr:uid="{004C6698-757C-9245-B313-C29A628B660B}"/>
    <hyperlink ref="X169" location="'SRC-07 SXAP Ptosis Bleph'!A14" tooltip="SRC-07 SXAP Ptosis Bleph!A14" display="Go to SRC-07 row 14" xr:uid="{AC508CF8-412C-984F-8583-4913FE6D3FF3}"/>
    <hyperlink ref="X1259" location="'SRC-07 SXAP Ptosis Bleph'!A17" tooltip="SRC-07 SXAP Ptosis Bleph!A17" display="Go to SRC-07 row 17" xr:uid="{990A6429-34E1-EF49-BA57-EBBFEBFDB681}"/>
    <hyperlink ref="X364" location="'SRC-03 SXAP MIGS'!A10" tooltip="SRC-03 SXAP MIGS!A10" display="Go to SRC-03 row 10" xr:uid="{391C168E-B45A-4B47-8DF1-6F136DB8405D}"/>
    <hyperlink ref="X363" location="'SRC-03 SXAP MIGS'!A11" tooltip="SRC-03 SXAP MIGS!A11" display="Go to SRC-03 row 11" xr:uid="{B252A520-6672-6640-8290-0CB4DF9D330C}"/>
    <hyperlink ref="X361" location="'SRC-03 SXAP MIGS'!A12" tooltip="SRC-03 SXAP MIGS!A12" display="Go to SRC-03 row 12" xr:uid="{10E8750D-70ED-FC4F-BEC2-5E34E90839E8}"/>
    <hyperlink ref="X362" location="'SRC-03 SXAP MIGS'!A13" tooltip="SRC-03 SXAP MIGS!A13" display="Go to SRC-03 row 13" xr:uid="{A049F6B3-B7AD-D84D-8FF0-ADCE8EDC1E02}"/>
    <hyperlink ref="X365" location="'SRC-03 SXAP MIGS'!A14" tooltip="SRC-03 SXAP MIGS!A14" display="Go to SRC-03 row 14" xr:uid="{018B5911-F790-6849-BE66-0E9459BD77DA}"/>
    <hyperlink ref="X366" location="'SRC-03 SXAP MIGS'!A15" tooltip="SRC-03 SXAP MIGS!A15" display="Go to SRC-03 row 15" xr:uid="{7C576824-CCA9-704A-98E9-AB7401CA5020}"/>
    <hyperlink ref="X360" location="'SRC-03 SXAP MIGS'!A16" tooltip="SRC-03 SXAP MIGS!A16" display="Go to SRC-03 row 16" xr:uid="{30840A56-9CB8-D34A-B5F6-BBDBFF793F4E}"/>
    <hyperlink ref="X367" location="'SRC-03 SXAP MIGS'!A17" tooltip="SRC-03 SXAP MIGS!A17" display="Go to SRC-03 row 17" xr:uid="{AA3B8216-B1D6-5943-A513-F5EC3E5F1EA5}"/>
    <hyperlink ref="X285" location="'SRC-02 CESL'!A10" tooltip="SRC-02 CESL!A10" display="Go to SRC-02 row 10" xr:uid="{BFBB50C6-2851-8245-BA7F-4AF3AC4A2352}"/>
    <hyperlink ref="X286" location="'SRC-02 CESL'!A20" tooltip="SRC-02 CESL!A20" display="Go to SRC-02 row 20" xr:uid="{ECB24C0C-E472-7E40-AC6E-38FABABD35C9}"/>
    <hyperlink ref="X299" location="'SRC-02 CESL'!A24" tooltip="SRC-02 CESL!A24" display="Go to SRC-02 row 24" xr:uid="{C720B0D5-894D-6F4C-A38E-7DC3E6E6355D}"/>
    <hyperlink ref="X289" location="'SRC-02 CESL'!A11" tooltip="SRC-02 CESL!A11" display="Go to SRC-02 row 11" xr:uid="{CB12830F-F250-ED43-B3A4-45EA2CBFC537}"/>
    <hyperlink ref="X304" location="'SRC-02 CESL'!A12" tooltip="SRC-02 CESL!A12" display="Go to SRC-02 row 12" xr:uid="{82231465-CAA4-F240-980C-C64F253B67AA}"/>
    <hyperlink ref="X432" location="'SRC-02 CESL'!A14" tooltip="SRC-02 CESL!A14" display="Go to SRC-02 row 14" xr:uid="{4B6FFBCE-CF33-6540-85E6-7FDB88433B67}"/>
    <hyperlink ref="X283" location="'SRC-02 CESL'!A15" tooltip="SRC-02 CESL!A15" display="Go to SRC-02 row 15" xr:uid="{5F66B191-0B71-CD48-A7C9-44D445692669}"/>
    <hyperlink ref="X284" location="'SRC-02 CESL'!A16" tooltip="SRC-02 CESL!A16" display="Go to SRC-02 row 16" xr:uid="{8561EBC9-6B68-6E4F-AEB7-704072539D0D}"/>
    <hyperlink ref="X373" location="'SRC-02 CESL'!A17" tooltip="SRC-02 CESL!A17" display="Go to SRC-02 row 17" xr:uid="{FFFF4538-2A52-7647-87E6-B06CFB8DEAFD}"/>
    <hyperlink ref="X436" location="'SRC-02 CESL'!A18" tooltip="SRC-02 CESL!A18" display="Go to SRC-02 row 18" xr:uid="{676BAEFE-61CA-C14B-9FBD-EE40E727B109}"/>
    <hyperlink ref="X1296" location="'SRC-02 CESL'!A21" tooltip="SRC-02 CESL!A21" display="Go to SRC-02 row 21" xr:uid="{8483C4F7-40BB-474B-9D17-7BFC43CEFFB3}"/>
    <hyperlink ref="X1297" location="'SRC-02 CESL'!A22" tooltip="SRC-02 CESL!A22" display="Go to SRC-02 row 22" xr:uid="{DA4E1954-548A-6C47-92C9-01FF9C06054F}"/>
    <hyperlink ref="X62" location="'SRC-08 CES HNZ'!A22" tooltip="SRC-08 CES HNZ!A22" display="Go to SRC-08 row 22" xr:uid="{CC63FE58-32CC-4E47-983F-7939B9981600}"/>
    <hyperlink ref="X63" location="'SRC-08 CES HNZ'!A22" tooltip="SRC-08 CES HNZ!A22" display="Go to SRC-08 row 22" xr:uid="{B907C562-8DDE-774E-8DAB-7518F173E142}"/>
    <hyperlink ref="X60" location="'SRC-08 CES HNZ'!A23" tooltip="SRC-08 CES HNZ!A23" display="Go to SRC-08 row 23" xr:uid="{0051BE8A-5709-6D4C-AB46-A894C56FE91E}"/>
    <hyperlink ref="X61" location="'SRC-08 CES HNZ'!A23" tooltip="SRC-08 CES HNZ!A23" display="Go to SRC-08 row 23" xr:uid="{6619A004-EF6A-9845-843E-778E86057A47}"/>
    <hyperlink ref="X130" location="'SRC-08 CES HNZ'!A24" tooltip="SRC-08 CES HNZ!A24" display="Go to SRC-08 row 24" xr:uid="{8ECAEFBB-96B2-114C-87A7-BBF7CC33BA8A}"/>
    <hyperlink ref="X131" location="'SRC-08 CES HNZ'!A24" tooltip="SRC-08 CES HNZ!A24" display="Go to SRC-08 row 24" xr:uid="{D4E094E5-03E1-404C-BAB2-0E8F56F272C6}"/>
    <hyperlink ref="X97" location="'SRC-08 CES HNZ'!A28" tooltip="SRC-08 CES HNZ!A28" display="Go to SRC-08 row 28" xr:uid="{1223C0E4-2528-8146-BE07-020CED74FCF6}"/>
    <hyperlink ref="X98" location="'SRC-08 CES HNZ'!A28" tooltip="SRC-08 CES HNZ!A28" display="Go to SRC-08 row 28" xr:uid="{BBE29B77-2D39-C941-833D-6F1C89D5B50F}"/>
    <hyperlink ref="X92" location="'SRC-08 CES HNZ'!A29" tooltip="SRC-08 CES HNZ!A29" display="Go to SRC-08 row 29" xr:uid="{3D1C688E-17A5-964F-8FA1-058CF6C4C1D6}"/>
    <hyperlink ref="X93" location="'SRC-08 CES HNZ'!A29" tooltip="SRC-08 CES HNZ!A29" display="Go to SRC-08 row 29" xr:uid="{05A5E070-F3F3-B340-8265-20E092121288}"/>
    <hyperlink ref="X99" location="'SRC-08 CES HNZ'!A30" tooltip="SRC-08 CES HNZ!A30" display="Go to SRC-08 row 30" xr:uid="{BB1046C0-F9B3-EF46-A6CC-7BD57F4EFCAF}"/>
    <hyperlink ref="X100" location="'SRC-08 CES HNZ'!A30" tooltip="SRC-08 CES HNZ!A30" display="Go to SRC-08 row 30" xr:uid="{45384B89-B4DF-C842-B82B-C98FBC2FBA33}"/>
    <hyperlink ref="X132" location="'SRC-08 CES HNZ'!A53" tooltip="SRC-08 CES HNZ!A53" display="Go to SRC-08 row 53" xr:uid="{0B3B2A1F-C179-BB40-85E3-D59010597ACE}"/>
    <hyperlink ref="X133" location="'SRC-08 CES HNZ'!A53" tooltip="SRC-08 CES HNZ!A53" display="Go to SRC-08 row 53" xr:uid="{C6EAFF65-04E3-7044-B3E2-15396A2E8921}"/>
    <hyperlink ref="X201" location="'SRC-08 CES HNZ'!A54" tooltip="SRC-08 CES HNZ!A54" display="Go to SRC-08 row 54" xr:uid="{54AA2A71-A5EA-F84B-BEF5-A524E322B56C}"/>
    <hyperlink ref="X202" location="'SRC-08 CES HNZ'!A54" tooltip="SRC-08 CES HNZ!A54" display="Go to SRC-08 row 54" xr:uid="{61134D69-64BB-7B49-AEC9-13D78B6931CE}"/>
    <hyperlink ref="X49" location="'SRC-08 CES HNZ'!A31" tooltip="SRC-08 CES HNZ!A31" display="Go to SRC-08 row 31" xr:uid="{6CD3AE89-A441-944E-821C-212C30D76DBE}"/>
    <hyperlink ref="X50" location="'SRC-08 CES HNZ'!A31" tooltip="SRC-08 CES HNZ!A31" display="Go to SRC-08 row 31" xr:uid="{F081FF4F-14C7-5948-92FC-734B5F1A97DC}"/>
    <hyperlink ref="X127" location="'SRC-08 CES HNZ'!A38" tooltip="SRC-08 CES HNZ!A38" display="Go to SRC-08 row 38" xr:uid="{2D9BA746-ACE2-7E4A-AD91-C38D08DE5A37}"/>
    <hyperlink ref="X128" location="'SRC-08 CES HNZ'!A38" tooltip="SRC-08 CES HNZ!A38" display="Go to SRC-08 row 38" xr:uid="{79D906B3-9001-994B-B6E2-20506216DA3C}"/>
    <hyperlink ref="X75" location="'SRC-08 CES HNZ'!A46" tooltip="SRC-08 CES HNZ!A46" display="Go to SRC-08 row 46" xr:uid="{42D5B21B-11AA-9C47-AABC-8C570DC95EF6}"/>
    <hyperlink ref="X76" location="'SRC-08 CES HNZ'!A46" tooltip="SRC-08 CES HNZ!A46" display="Go to SRC-08 row 46" xr:uid="{765E226E-29A9-B94E-9E33-9B8A24631FAB}"/>
    <hyperlink ref="X73" location="'SRC-08 CES HNZ'!A47" tooltip="SRC-08 CES HNZ!A47" display="Go to SRC-08 row 47" xr:uid="{87DC77A5-2329-DB4D-A8CB-0E09DFB10E63}"/>
    <hyperlink ref="X74" location="'SRC-08 CES HNZ'!A47" tooltip="SRC-08 CES HNZ!A47" display="Go to SRC-08 row 47" xr:uid="{B7A97ED6-B424-E14E-852E-31B494FE6AAD}"/>
    <hyperlink ref="X55" location="'SRC-08 CES HNZ'!A41" tooltip="SRC-08 CES HNZ!A41" display="Go to SRC-08 row 41" xr:uid="{8BBB648D-EA29-B54B-85C3-746776794CC2}"/>
    <hyperlink ref="X56" location="'SRC-08 CES HNZ'!A41" tooltip="SRC-08 CES HNZ!A41" display="Go to SRC-08 row 41" xr:uid="{82E583F6-DFC4-1842-8E56-85709FD6FE62}"/>
    <hyperlink ref="X293" location="'SRC-08 CES HNZ'!A8" tooltip="SRC-08 CES HNZ!A8" display="Go to SRC-08 row 8" xr:uid="{64324E45-4595-9D46-AB5A-EA61E1DF65D7}"/>
    <hyperlink ref="X294" location="'SRC-08 CES HNZ'!A8" tooltip="SRC-08 CES HNZ!A8" display="Go to SRC-08 row 8" xr:uid="{5E3663B5-A06F-7442-921B-98AC05E4CC73}"/>
    <hyperlink ref="X309" location="'SRC-08 CES HNZ'!A9" tooltip="SRC-08 CES HNZ!A9" display="Go to SRC-08 row 9" xr:uid="{C7CE3418-4FED-EB4B-98C1-CBC78792DF7D}"/>
    <hyperlink ref="X310" location="'SRC-08 CES HNZ'!A9" tooltip="SRC-08 CES HNZ!A9" display="Go to SRC-08 row 9" xr:uid="{D84BD383-41F7-D641-97CE-A3EEB493506D}"/>
    <hyperlink ref="X311" location="'SRC-08 CES HNZ'!A10" tooltip="SRC-08 CES HNZ!A10" display="Go to SRC-08 row 10" xr:uid="{836E4B33-BD8C-D14B-915C-F68BD6633E20}"/>
    <hyperlink ref="X312" location="'SRC-08 CES HNZ'!A10" tooltip="SRC-08 CES HNZ!A10" display="Go to SRC-08 row 10" xr:uid="{5A523B97-B26C-C84C-9915-CE6BD5B30E3C}"/>
    <hyperlink ref="X320" location="'SRC-08 CES HNZ'!A15" tooltip="SRC-08 CES HNZ!A15" display="Go to SRC-08 row 15" xr:uid="{052FEF8B-75A0-8A43-839C-900448227F6D}"/>
    <hyperlink ref="X321" location="'SRC-08 CES HNZ'!A15" tooltip="SRC-08 CES HNZ!A15" display="Go to SRC-08 row 15" xr:uid="{27250402-2CBB-B54C-8D10-D825AED59E37}"/>
    <hyperlink ref="X80" location="'SRC-08 CES HNZ'!A52" tooltip="SRC-08 CES HNZ!A52" display="Go to SRC-08 row 52" xr:uid="{3B2A4CEA-2B12-4148-909E-9B8D24FD2C8C}"/>
    <hyperlink ref="X81" location="'SRC-08 CES HNZ'!A52" tooltip="SRC-08 CES HNZ!A52" display="Go to SRC-08 row 52" xr:uid="{47B39D85-0A7C-864B-8400-FEB789CA836F}"/>
    <hyperlink ref="X142" location="'SRC-08 CES HNZ'!A33" tooltip="SRC-08 CES HNZ!A33" display="Go to SRC-08 row 33" xr:uid="{E92EEDA6-4270-4D43-8B57-629587FF0851}"/>
    <hyperlink ref="X143" location="'SRC-08 CES HNZ'!A33" tooltip="SRC-08 CES HNZ!A33" display="Go to SRC-08 row 33" xr:uid="{5646863F-D9A1-7447-A02B-9B226E4E2F5B}"/>
    <hyperlink ref="X166" location="'SRC-08 CES HNZ'!A34" tooltip="SRC-08 CES HNZ!A34" display="Go to SRC-08 row 34" xr:uid="{02DE6E0B-1AB3-304E-8B12-A221F1C60C18}"/>
    <hyperlink ref="X167" location="'SRC-08 CES HNZ'!A34" tooltip="SRC-08 CES HNZ!A34" display="Go to SRC-08 row 34" xr:uid="{47FCDE9C-8A0A-E940-A317-D998996ED335}"/>
    <hyperlink ref="X139" location="'SRC-08 CES HNZ'!A35" tooltip="SRC-08 CES HNZ!A35" display="Go to SRC-08 row 35" xr:uid="{33F1E22B-DD1C-C344-942B-083D2A26AFC1}"/>
    <hyperlink ref="X140" location="'SRC-08 CES HNZ'!A35" tooltip="SRC-08 CES HNZ!A35" display="Go to SRC-08 row 35" xr:uid="{B7E082C5-7A3E-CC4F-843F-C1D9DFAA0D27}"/>
    <hyperlink ref="X219" location="'SRC-08 CES HNZ'!A37" tooltip="SRC-08 CES HNZ!A37" display="Go to SRC-08 row 37" xr:uid="{B96DCAA8-C968-EF4F-AD38-0D3532489EFC}"/>
    <hyperlink ref="X220" location="'SRC-08 CES HNZ'!A37" tooltip="SRC-08 CES HNZ!A37" display="Go to SRC-08 row 37" xr:uid="{2205B63B-1F3E-9046-BD4E-29A692760662}"/>
    <hyperlink ref="X46" location="'SRC-08 CES HNZ'!A45" tooltip="SRC-08 CES HNZ!A45" display="Go to SRC-08 row 45" xr:uid="{DD1B52D4-F8D3-CE4D-A70E-5CAAC54B2884}"/>
    <hyperlink ref="X47" location="'SRC-08 CES HNZ'!A45" tooltip="SRC-08 CES HNZ!A45" display="Go to SRC-08 row 45" xr:uid="{A12AFAE5-EAE8-BB4A-8E70-A78742D4BD4F}"/>
    <hyperlink ref="X103" location="'SRC-08 CES HNZ'!A48" tooltip="SRC-08 CES HNZ!A48" display="Go to SRC-08 row 48" xr:uid="{C3577AA7-DDFF-9648-B503-2D2ACE125C82}"/>
    <hyperlink ref="X104" location="'SRC-08 CES HNZ'!A48" tooltip="SRC-08 CES HNZ!A48" display="Go to SRC-08 row 48" xr:uid="{E14922FE-CEE4-4244-B8F7-29B5B3FB52FD}"/>
    <hyperlink ref="X149" location="'SRC-08 CES HNZ'!A49" tooltip="SRC-08 CES HNZ!A49" display="Go to SRC-08 row 49" xr:uid="{8A430F7D-4AA3-604A-B3B6-74C133C7DC62}"/>
    <hyperlink ref="X150" location="'SRC-08 CES HNZ'!A49" tooltip="SRC-08 CES HNZ!A49" display="Go to SRC-08 row 49" xr:uid="{D9CCDB6B-51A3-AA4D-8CA0-B9152837D977}"/>
    <hyperlink ref="X85" location="'SRC-08 CES HNZ'!A50" tooltip="SRC-08 CES HNZ!A50" display="Go to SRC-08 row 50" xr:uid="{9E8FB3E6-CF96-3E4A-ABF8-5A661055E7A0}"/>
    <hyperlink ref="X86" location="'SRC-08 CES HNZ'!A50" tooltip="SRC-08 CES HNZ!A50" display="Go to SRC-08 row 50" xr:uid="{0D4B2E46-9B3A-8C44-A65F-4D201B1DEA9D}"/>
    <hyperlink ref="X171" location="'SRC-08 CES HNZ'!A51" tooltip="SRC-08 CES HNZ!A51" display="Go to SRC-08 row 51" xr:uid="{B468A15D-5790-1E48-A225-33339EE83F62}"/>
    <hyperlink ref="X172" location="'SRC-08 CES HNZ'!A51" tooltip="SRC-08 CES HNZ!A51" display="Go to SRC-08 row 51" xr:uid="{D5A29C02-1861-EF4F-95DA-B9BBF544DD9D}"/>
    <hyperlink ref="X322" location="'SRC-08 CES HNZ'!A13" tooltip="SRC-08 CES HNZ!A13" display="Go to SRC-08 row 13" xr:uid="{E7A45F77-C4E7-854E-BDB8-89E551795BC9}"/>
    <hyperlink ref="X323" location="'SRC-08 CES HNZ'!A13" tooltip="SRC-08 CES HNZ!A13" display="Go to SRC-08 row 13" xr:uid="{D803CB63-9182-C442-AB93-6DE158802014}"/>
    <hyperlink ref="X387" location="'SRC-08 CES HNZ'!A63" tooltip="SRC-08 CES HNZ!A63" display="Go to SRC-08 row 63" xr:uid="{89C7AFA7-C826-3447-8AA2-9E607E58727B}"/>
    <hyperlink ref="X388" location="'SRC-08 CES HNZ'!A63" tooltip="SRC-08 CES HNZ!A63" display="Go to SRC-08 row 63" xr:uid="{8C2EAF02-3775-9343-BCB9-C7A2BC5DDE7B}"/>
    <hyperlink ref="X332" location="'SRC-08 CES HNZ'!A18" tooltip="SRC-08 CES HNZ!A18" display="Go to SRC-08 row 18" xr:uid="{B12FBC96-39AA-1445-BB9A-92138CD81B78}"/>
    <hyperlink ref="X333" location="'SRC-08 CES HNZ'!A18" tooltip="SRC-08 CES HNZ!A18" display="Go to SRC-08 row 18" xr:uid="{A2A62204-A6C9-D14D-AA9A-928D9A8BC934}"/>
    <hyperlink ref="X330" location="'SRC-08 CES HNZ'!A14" tooltip="SRC-08 CES HNZ!A14" display="Go to SRC-08 row 14" xr:uid="{CDAD6107-070D-C742-8A57-2834B74A2D43}"/>
    <hyperlink ref="X331" location="'SRC-08 CES HNZ'!A14" tooltip="SRC-08 CES HNZ!A14" display="Go to SRC-08 row 14" xr:uid="{13D89640-879D-AE43-98D3-83DF1B3E74AB}"/>
    <hyperlink ref="X306" location="'SRC-08 CES HNZ'!A25" tooltip="SRC-08 CES HNZ!A25" display="Go to SRC-08 row 25" xr:uid="{CCC1F2A5-85CD-664C-8B9B-696A2245CA88}"/>
    <hyperlink ref="X307" location="'SRC-08 CES HNZ'!A25" tooltip="SRC-08 CES HNZ!A25" display="Go to SRC-08 row 25" xr:uid="{C3A1CE7C-C2F0-CB4B-A6D3-7E210AD3B047}"/>
    <hyperlink ref="X77" location="'SRC-08 CES HNZ'!A27" tooltip="SRC-08 CES HNZ!A27" display="Go to SRC-08 row 27" xr:uid="{D67C2746-9935-5D4F-A1A0-E1E41B73D248}"/>
    <hyperlink ref="X78" location="'SRC-08 CES HNZ'!A27" tooltip="SRC-08 CES HNZ!A27" display="Go to SRC-08 row 27" xr:uid="{5BF07E21-0676-F34E-B27D-F110DBCCEC5A}"/>
    <hyperlink ref="X65" location="'SRC-08 CES HNZ'!A36" tooltip="SRC-08 CES HNZ!A36" display="Go to SRC-08 row 36" xr:uid="{AC39EB7C-7AAD-2841-8046-2F9B30BF7351}"/>
    <hyperlink ref="X66" location="'SRC-08 CES HNZ'!A36" tooltip="SRC-08 CES HNZ!A36" display="Go to SRC-08 row 36" xr:uid="{9B5F9223-1589-7E44-A0BD-8C5060538205}"/>
    <hyperlink ref="X83" location="'SRC-08 CES HNZ'!A43" tooltip="SRC-08 CES HNZ!A43" display="Go to SRC-08 row 43" xr:uid="{1BB18698-F60B-7B46-9D68-DF3CA08CBCA5}"/>
    <hyperlink ref="X84" location="'SRC-08 CES HNZ'!A43" tooltip="SRC-08 CES HNZ!A43" display="Go to SRC-08 row 43" xr:uid="{1DB0C26A-B1AD-BF44-A469-0920AC134752}"/>
    <hyperlink ref="X414" location="'SRC-08 CES HNZ'!A55" tooltip="SRC-08 CES HNZ!A55" display="Go to SRC-08 row 55" xr:uid="{51188FCA-87E1-E04B-929D-3DF9F522C965}"/>
    <hyperlink ref="X415" location="'SRC-08 CES HNZ'!A55" tooltip="SRC-08 CES HNZ!A55" display="Go to SRC-08 row 55" xr:uid="{621CB595-37DD-3D42-96E0-53604FEECC16}"/>
    <hyperlink ref="X416" location="'SRC-08 CES HNZ'!A56" tooltip="SRC-08 CES HNZ!A56" display="Go to SRC-08 row 56" xr:uid="{5D937310-DDEF-0C42-9B62-93771BC03F86}"/>
    <hyperlink ref="X417" location="'SRC-08 CES HNZ'!A56" tooltip="SRC-08 CES HNZ!A56" display="Go to SRC-08 row 56" xr:uid="{E4159A85-DA43-0549-B70E-C901E8FE0E14}"/>
    <hyperlink ref="X418" location="'SRC-08 CES HNZ'!A57" tooltip="SRC-08 CES HNZ!A57" display="Go to SRC-08 row 57" xr:uid="{335E1157-A7AC-0B41-87F3-6280021B2025}"/>
    <hyperlink ref="X419" location="'SRC-08 CES HNZ'!A57" tooltip="SRC-08 CES HNZ!A57" display="Go to SRC-08 row 57" xr:uid="{3C0D484F-F739-3646-8B01-19FD659CB43E}"/>
    <hyperlink ref="X420" location="'SRC-08 CES HNZ'!A58" tooltip="SRC-08 CES HNZ!A58" display="Go to SRC-08 row 58" xr:uid="{49BEDB9C-8A8E-BC40-8E28-8AC9307C0211}"/>
    <hyperlink ref="X421" location="'SRC-08 CES HNZ'!A58" tooltip="SRC-08 CES HNZ!A58" display="Go to SRC-08 row 58" xr:uid="{3C8E5FAC-4BBE-8543-B771-2D923B3FC478}"/>
    <hyperlink ref="X281" location="'SRC-08 CES HNZ'!A26" tooltip="SRC-08 CES HNZ!A26" display="Go to SRC-08 row 26" xr:uid="{21AC7620-9BB0-E04B-84D9-8443E1398522}"/>
    <hyperlink ref="X282" location="'SRC-08 CES HNZ'!A26" tooltip="SRC-08 CES HNZ!A26" display="Go to SRC-08 row 26" xr:uid="{3B249500-3A32-5F47-AFFA-58CC5EBD9710}"/>
    <hyperlink ref="X381" location="'SRC-08 CES HNZ'!A32" tooltip="SRC-08 CES HNZ!A32" display="Go to SRC-08 row 32" xr:uid="{565C7547-70C1-F94C-A6D6-1223CAC2AE6A}"/>
    <hyperlink ref="X382" location="'SRC-08 CES HNZ'!A32" tooltip="SRC-08 CES HNZ!A32" display="Go to SRC-08 row 32" xr:uid="{81FC5AA7-C71C-7E4E-858A-93E73573C2A2}"/>
    <hyperlink ref="X427" location="'SRC-08 CES HNZ'!A59" tooltip="SRC-08 CES HNZ!A59" display="Go to SRC-08 row 59" xr:uid="{E7F65F2E-2822-DA4D-BF1A-35406A79E830}"/>
    <hyperlink ref="X428" location="'SRC-08 CES HNZ'!A59" tooltip="SRC-08 CES HNZ!A59" display="Go to SRC-08 row 59" xr:uid="{0FDA6C69-8287-6448-A301-2B6A5E358FE6}"/>
    <hyperlink ref="X425" location="'SRC-08 CES HNZ'!A60" tooltip="SRC-08 CES HNZ!A60" display="Go to SRC-08 row 60" xr:uid="{50939C6E-EB5A-FC40-B4FB-1B78FC7A8381}"/>
    <hyperlink ref="X426" location="'SRC-08 CES HNZ'!A60" tooltip="SRC-08 CES HNZ!A60" display="Go to SRC-08 row 60" xr:uid="{5010A700-D262-674B-AA45-AD06759780E9}"/>
    <hyperlink ref="X430" location="'SRC-08 CES HNZ'!A17" tooltip="SRC-08 CES HNZ!A17" display="Go to SRC-08 row 17" xr:uid="{F4B4BDD4-8846-EE4F-BBB3-591341F4BB41}"/>
    <hyperlink ref="X431" location="'SRC-08 CES HNZ'!A17" tooltip="SRC-08 CES HNZ!A17" display="Go to SRC-08 row 17" xr:uid="{8EDF7294-62D2-C64A-A83C-5DDB24032115}"/>
    <hyperlink ref="X385" location="'SRC-08 CES HNZ'!A61" tooltip="SRC-08 CES HNZ!A61" display="Go to SRC-08 row 61" xr:uid="{B4164AE6-5402-2D49-AFB5-A5E22A09A93A}"/>
    <hyperlink ref="X386" location="'SRC-08 CES HNZ'!A61" tooltip="SRC-08 CES HNZ!A61" display="Go to SRC-08 row 61" xr:uid="{00B902C6-CBAC-1D4E-8AC9-F479285199CF}"/>
    <hyperlink ref="X389" location="'SRC-08 CES HNZ'!A62" tooltip="SRC-08 CES HNZ!A62" display="Go to SRC-08 row 62" xr:uid="{AA74610F-45FD-5F41-A1CB-0D8DF3F22C29}"/>
    <hyperlink ref="X390" location="'SRC-08 CES HNZ'!A62" tooltip="SRC-08 CES HNZ!A62" display="Go to SRC-08 row 62" xr:uid="{45986605-BC47-164E-9488-BD0FA47DBC26}"/>
    <hyperlink ref="X326" location="'SRC-08 CES HNZ'!A64" tooltip="SRC-08 CES HNZ!A64" display="Go to SRC-08 row 64" xr:uid="{0463C50C-56C9-E34B-82C9-DEF205ABBC0D}"/>
    <hyperlink ref="X327" location="'SRC-08 CES HNZ'!A64" tooltip="SRC-08 CES HNZ!A64" display="Go to SRC-08 row 64" xr:uid="{88706752-4A01-DE40-A3F0-BA66F1DDD962}"/>
    <hyperlink ref="X440" location="'SRC-08 CES HNZ'!A69" tooltip="SRC-08 CES HNZ!A69" display="Go to SRC-08 row 69" xr:uid="{AB746FE2-63B3-534B-AFF4-6FAAF8F57CDD}"/>
    <hyperlink ref="X441" location="'SRC-08 CES HNZ'!A69" tooltip="SRC-08 CES HNZ!A69" display="Go to SRC-08 row 69" xr:uid="{B4566CA6-A2BC-D444-8630-A15B913E4856}"/>
    <hyperlink ref="X438" location="'SRC-08 CES HNZ'!A70" tooltip="SRC-08 CES HNZ!A70" display="Go to SRC-08 row 70" xr:uid="{B6308109-FAF0-3B45-BA84-9EC249A7B54E}"/>
    <hyperlink ref="X439" location="'SRC-08 CES HNZ'!A70" tooltip="SRC-08 CES HNZ!A70" display="Go to SRC-08 row 70" xr:uid="{62ED90C1-6A71-1D4A-B8F7-07E95E9AB1BB}"/>
    <hyperlink ref="X383" location="'SRC-08 CES HNZ'!A11" tooltip="SRC-08 CES HNZ!A11" display="Go to SRC-08 row 11" xr:uid="{77C9C8F9-1407-0C4A-B7EA-8385C933FC18}"/>
    <hyperlink ref="X384" location="'SRC-08 CES HNZ'!A11" tooltip="SRC-08 CES HNZ!A11" display="Go to SRC-08 row 11" xr:uid="{EF291684-4969-A248-8127-BFB6EA530C67}"/>
    <hyperlink ref="X313" location="'SRC-08 CES HNZ'!A12" tooltip="SRC-08 CES HNZ!A12" display="Go to SRC-08 row 12" xr:uid="{FA6E2026-25FE-A145-BB09-CFE367CFD736}"/>
    <hyperlink ref="X314" location="'SRC-08 CES HNZ'!A12" tooltip="SRC-08 CES HNZ!A12" display="Go to SRC-08 row 12" xr:uid="{88983B5B-B96A-4144-A858-FA4DEFB4DF2E}"/>
    <hyperlink ref="X371" location="'SRC-08 CES HNZ'!A16" tooltip="SRC-08 CES HNZ!A16" display="Go to SRC-08 row 16" xr:uid="{8DFF5F02-41B6-4647-B6E2-41E47E147F3F}"/>
    <hyperlink ref="X372" location="'SRC-08 CES HNZ'!A16" tooltip="SRC-08 CES HNZ!A16" display="Go to SRC-08 row 16" xr:uid="{2F882092-F6AF-CA4B-B4A6-921B8158DAFC}"/>
    <hyperlink ref="X315" location="'SRC-08 CES HNZ'!A19" tooltip="SRC-08 CES HNZ!A19" display="Go to SRC-08 row 19" xr:uid="{4E2E8A2C-45F6-1D41-8F93-17C17A533C29}"/>
    <hyperlink ref="X316" location="'SRC-08 CES HNZ'!A19" tooltip="SRC-08 CES HNZ!A19" display="Go to SRC-08 row 19" xr:uid="{7EE80331-D801-0E4B-96CF-A5438D7C5059}"/>
    <hyperlink ref="X317" location="'SRC-08 CES HNZ'!A20" tooltip="SRC-08 CES HNZ!A20" display="Go to SRC-08 row 20" xr:uid="{92DBF200-A374-F940-A64B-9D0D311C6583}"/>
    <hyperlink ref="X318" location="'SRC-08 CES HNZ'!A20" tooltip="SRC-08 CES HNZ!A20" display="Go to SRC-08 row 20" xr:uid="{12D3B98F-6472-C842-92EE-8F152BEA88A8}"/>
    <hyperlink ref="X336" location="'SRC-08 CES HNZ'!A21" tooltip="SRC-08 CES HNZ!A21" display="Go to SRC-08 row 21" xr:uid="{2887E134-27CA-AB4C-9481-1BD26FF05D34}"/>
    <hyperlink ref="X337" location="'SRC-08 CES HNZ'!A21" tooltip="SRC-08 CES HNZ!A21" display="Go to SRC-08 row 21" xr:uid="{59217DF1-4DD0-6F42-AEE8-73D394D1C8C2}"/>
    <hyperlink ref="X324" location="'SRC-08 CES HNZ'!A39" tooltip="SRC-08 CES HNZ!A39" display="Go to SRC-08 row 39" xr:uid="{ECC6C68B-F278-7547-A4A0-A7BEF7D4D4EB}"/>
    <hyperlink ref="X325" location="'SRC-08 CES HNZ'!A39" tooltip="SRC-08 CES HNZ!A39" display="Go to SRC-08 row 39" xr:uid="{1F584328-4738-AB42-8785-D8339560975C}"/>
    <hyperlink ref="X328" location="'SRC-08 CES HNZ'!A40" tooltip="SRC-08 CES HNZ!A40" display="Go to SRC-08 row 40" xr:uid="{91EA21C6-189C-4946-8936-6C8CAB096948}"/>
    <hyperlink ref="X329" location="'SRC-08 CES HNZ'!A40" tooltip="SRC-08 CES HNZ!A40" display="Go to SRC-08 row 40" xr:uid="{7CDF88B3-7DF7-484F-B65F-DFEAE94A7A70}"/>
    <hyperlink ref="X358" location="'SRC-08 CES HNZ'!A42" tooltip="SRC-08 CES HNZ!A42" display="Go to SRC-08 row 42" xr:uid="{9E94FDE3-60B4-F443-A242-A33F988E2A2D}"/>
    <hyperlink ref="X359" location="'SRC-08 CES HNZ'!A42" tooltip="SRC-08 CES HNZ!A42" display="Go to SRC-08 row 42" xr:uid="{B6C57625-CD8C-7144-808E-11954B533620}"/>
    <hyperlink ref="X334" location="'SRC-08 CES HNZ'!A44" tooltip="SRC-08 CES HNZ!A44" display="Go to SRC-08 row 44" xr:uid="{D8A55D74-63E7-B94C-BD34-18214076C2D4}"/>
    <hyperlink ref="X335" location="'SRC-08 CES HNZ'!A44" tooltip="SRC-08 CES HNZ!A44" display="Go to SRC-08 row 44" xr:uid="{58014568-B48C-B944-8F34-C21D2F1762A9}"/>
  </hyperlinks>
  <pageMargins left="0.7" right="0.7" top="0.75" bottom="0.75" header="0.3" footer="0.3"/>
  <pageSetup paperSize="9" orientation="portrait" horizontalDpi="0" verticalDpi="0"/>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F683F-F2DC-0644-A06E-1CB3B0AA7BCA}">
  <sheetPr>
    <tabColor rgb="FF5B9BD5"/>
  </sheetPr>
  <dimension ref="A1:V3000"/>
  <sheetViews>
    <sheetView showGridLines="0" tabSelected="1" workbookViewId="0">
      <pane xSplit="3" ySplit="12" topLeftCell="D90" activePane="bottomRight" state="frozen"/>
      <selection pane="topRight" activeCell="D1" sqref="D1"/>
      <selection pane="bottomLeft" activeCell="A13" sqref="A13"/>
      <selection pane="bottomRight" activeCell="D124" sqref="D124"/>
    </sheetView>
  </sheetViews>
  <sheetFormatPr baseColWidth="10" defaultRowHeight="15" x14ac:dyDescent="0.2"/>
  <cols>
    <col min="1" max="1" width="9.1640625" customWidth="1"/>
    <col min="2" max="2" width="8.33203125" customWidth="1"/>
    <col min="3" max="3" width="46.6640625" customWidth="1"/>
    <col min="4" max="4" width="36.6640625" customWidth="1"/>
    <col min="5" max="5" width="18.33203125" customWidth="1"/>
    <col min="6" max="6" width="25" customWidth="1"/>
    <col min="8" max="8" width="21.6640625" customWidth="1"/>
    <col min="9" max="9" width="9.1640625" customWidth="1"/>
    <col min="11" max="11" width="11.6640625" customWidth="1"/>
    <col min="12" max="12" width="8.33203125" customWidth="1"/>
    <col min="13" max="13" width="12.5" hidden="1" customWidth="1"/>
    <col min="14" max="14" width="9.1640625" hidden="1" customWidth="1"/>
    <col min="15" max="15" width="13.33203125" customWidth="1"/>
    <col min="16" max="16" width="12.5" hidden="1" customWidth="1"/>
    <col min="17" max="17" width="0" hidden="1" customWidth="1"/>
    <col min="18" max="18" width="18.33203125" hidden="1" customWidth="1"/>
    <col min="19" max="19" width="12.5" hidden="1" customWidth="1"/>
    <col min="20" max="20" width="9.1640625" hidden="1" customWidth="1"/>
    <col min="21" max="21" width="15.83203125" hidden="1" customWidth="1"/>
    <col min="22" max="22" width="255.83203125" bestFit="1" customWidth="1"/>
  </cols>
  <sheetData>
    <row r="1" spans="1:22" ht="19" x14ac:dyDescent="0.25">
      <c r="A1" s="58" t="s">
        <v>4937</v>
      </c>
    </row>
    <row r="2" spans="1:22" x14ac:dyDescent="0.2">
      <c r="A2" s="24" t="s">
        <v>4938</v>
      </c>
    </row>
    <row r="4" spans="1:22" x14ac:dyDescent="0.2">
      <c r="A4" s="128"/>
      <c r="B4" s="128"/>
      <c r="C4" s="132" t="s">
        <v>4939</v>
      </c>
      <c r="D4" s="128"/>
      <c r="F4" s="132" t="s">
        <v>4942</v>
      </c>
      <c r="G4" s="128"/>
    </row>
    <row r="5" spans="1:22" x14ac:dyDescent="0.2">
      <c r="A5" s="128"/>
      <c r="B5" s="128"/>
      <c r="C5" s="155" t="s">
        <v>1080</v>
      </c>
      <c r="D5" s="156"/>
      <c r="F5" s="158" t="s">
        <v>2565</v>
      </c>
      <c r="G5" s="164" t="s">
        <v>4943</v>
      </c>
    </row>
    <row r="6" spans="1:22" x14ac:dyDescent="0.2">
      <c r="A6" s="128"/>
      <c r="B6" s="128"/>
      <c r="C6" s="155" t="s">
        <v>4904</v>
      </c>
      <c r="D6" s="156"/>
      <c r="F6" s="159" t="s">
        <v>4944</v>
      </c>
      <c r="G6" s="164" t="s">
        <v>4945</v>
      </c>
    </row>
    <row r="7" spans="1:22" x14ac:dyDescent="0.2">
      <c r="A7" s="128"/>
      <c r="B7" s="128"/>
      <c r="C7" s="155" t="s">
        <v>4934</v>
      </c>
      <c r="D7" s="156"/>
      <c r="F7" s="160" t="s">
        <v>4914</v>
      </c>
      <c r="G7" s="164" t="s">
        <v>4946</v>
      </c>
    </row>
    <row r="8" spans="1:22" x14ac:dyDescent="0.2">
      <c r="A8" s="128"/>
      <c r="B8" s="128"/>
      <c r="C8" s="155" t="s">
        <v>4935</v>
      </c>
      <c r="D8" s="156"/>
      <c r="F8" s="161" t="s">
        <v>4947</v>
      </c>
      <c r="G8" s="164" t="s">
        <v>4948</v>
      </c>
    </row>
    <row r="9" spans="1:22" x14ac:dyDescent="0.2">
      <c r="A9" s="128"/>
      <c r="B9" s="128"/>
      <c r="C9" s="155" t="s">
        <v>4940</v>
      </c>
      <c r="D9" s="156"/>
      <c r="F9" s="162" t="s">
        <v>2678</v>
      </c>
      <c r="G9" s="164" t="s">
        <v>4949</v>
      </c>
    </row>
    <row r="10" spans="1:22" x14ac:dyDescent="0.2">
      <c r="A10" s="128"/>
      <c r="B10" s="128"/>
      <c r="C10" s="155" t="s">
        <v>4941</v>
      </c>
      <c r="D10" s="157" t="str">
        <f>IF(ISTEXT($A$13)*($A$13="No rows match the filters"),0,ROWS(_xlfn.ANCHORARRAY($A$13)))&amp;" of "&amp;ROWS(MasterFees[])</f>
        <v>1296 of 1296</v>
      </c>
      <c r="F10" s="163" t="s">
        <v>4950</v>
      </c>
      <c r="G10" s="164" t="s">
        <v>4951</v>
      </c>
    </row>
    <row r="12" spans="1:22" ht="32" customHeight="1" x14ac:dyDescent="0.2">
      <c r="A12" s="147" t="s">
        <v>1077</v>
      </c>
      <c r="B12" s="147" t="s">
        <v>1078</v>
      </c>
      <c r="C12" s="147" t="s">
        <v>1079</v>
      </c>
      <c r="D12" s="147" t="s">
        <v>2111</v>
      </c>
      <c r="E12" s="147" t="s">
        <v>2144</v>
      </c>
      <c r="F12" s="148" t="s">
        <v>1080</v>
      </c>
      <c r="G12" s="149" t="s">
        <v>4900</v>
      </c>
      <c r="H12" s="149" t="s">
        <v>4904</v>
      </c>
      <c r="I12" s="149" t="s">
        <v>4934</v>
      </c>
      <c r="J12" s="149" t="s">
        <v>4935</v>
      </c>
      <c r="K12" s="150" t="s">
        <v>1081</v>
      </c>
      <c r="L12" s="151" t="s">
        <v>1086</v>
      </c>
      <c r="M12" s="151" t="s">
        <v>1087</v>
      </c>
      <c r="N12" s="151" t="s">
        <v>1088</v>
      </c>
      <c r="O12" s="151" t="s">
        <v>4936</v>
      </c>
      <c r="P12" s="151" t="s">
        <v>1090</v>
      </c>
      <c r="Q12" s="151" t="s">
        <v>1091</v>
      </c>
      <c r="R12" s="152" t="s">
        <v>2112</v>
      </c>
      <c r="S12" s="153" t="s">
        <v>1092</v>
      </c>
      <c r="T12" s="153" t="s">
        <v>1002</v>
      </c>
      <c r="U12" s="153" t="s">
        <v>1093</v>
      </c>
      <c r="V12" s="154" t="s">
        <v>1094</v>
      </c>
    </row>
    <row r="13" spans="1:22" x14ac:dyDescent="0.2">
      <c r="A13" s="144" t="str" cm="1">
        <f t="array" ref="A13:V1308">_xlfn.LET(_xlpm.src,IF(MasterFees[]="","",MasterFees[]),_xlpm.keep,((($D$5="")+(MasterFees[Provider / Payer]=$D$5))&gt;0)*((($D$6="")+(MasterFees[Pricing Basis]=$D$6))&gt;0)*((($D$7="")+(MasterFees[Fixed Fee?]=$D$7))&gt;0)*((($D$8="")+(MasterFees[Line Type]=$D$8))&gt;0)*ISNUMBER(SEARCH($D$9,MasterFees[Operation / Description])),IF(SUM(_xlpm.keep)=0,"No rows match the filters",_xlfn.CHOOSECOLS(_xlfn._xlws.FILTER(_xlpm.src,_xlpm.keep),_xlfn.XMATCH($A$12:$V$12,MasterFees[#Headers]))))</f>
        <v>SP1</v>
      </c>
      <c r="B13" s="145">
        <v>4</v>
      </c>
      <c r="C13" s="129" t="str">
        <v>Provision of IV Sedation and/or Monitoring</v>
      </c>
      <c r="D13" s="129" t="str">
        <v>SP1 – Supervision: Provision of IV Sedation and/or Monitoring</v>
      </c>
      <c r="E13" s="129" t="str">
        <v>00 - Supervision</v>
      </c>
      <c r="F13" s="129" t="str">
        <v>NZSA RVG</v>
      </c>
      <c r="G13" s="144" t="str">
        <v>CON-10</v>
      </c>
      <c r="H13" s="129" t="str">
        <v>Reference – units only</v>
      </c>
      <c r="I13" s="144" t="str">
        <v>No</v>
      </c>
      <c r="J13" s="144" t="str">
        <v>Base</v>
      </c>
      <c r="K13" s="144" t="str">
        <v>SP 1</v>
      </c>
      <c r="L13" s="146">
        <v>4</v>
      </c>
      <c r="M13" s="142" t="str">
        <v/>
      </c>
      <c r="N13" s="144" t="str">
        <v/>
      </c>
      <c r="O13" s="142" t="str">
        <v/>
      </c>
      <c r="P13" s="142" t="str">
        <v/>
      </c>
      <c r="Q13" s="142">
        <v>0</v>
      </c>
      <c r="R13" s="129" t="str">
        <v>Unmatched</v>
      </c>
      <c r="S13" s="143" t="str">
        <v/>
      </c>
      <c r="T13" s="144" t="str">
        <v>SRC-01</v>
      </c>
      <c r="U13" s="129" t="str">
        <v>p.7 – Supervision</v>
      </c>
      <c r="V13" s="129" t="str">
        <v>Reference units only – no $ fee (NZSA RVG 2021).</v>
      </c>
    </row>
    <row r="14" spans="1:22" x14ac:dyDescent="0.2">
      <c r="A14" s="144" t="str">
        <v>H2</v>
      </c>
      <c r="B14" s="145">
        <v>5</v>
      </c>
      <c r="C14" s="129" t="str">
        <v>10% Discount - CDHB OUTSOURCED - Coblation Ad</v>
      </c>
      <c r="D14" s="129" t="str">
        <v>H2 – Head: Simple but Invasive Procedures</v>
      </c>
      <c r="E14" s="129" t="str">
        <v>01 - Head</v>
      </c>
      <c r="F14" s="129" t="str">
        <v>Solutions Plus</v>
      </c>
      <c r="G14" s="144" t="str">
        <v>CON-01</v>
      </c>
      <c r="H14" s="129" t="str">
        <v>To confirm</v>
      </c>
      <c r="I14" s="144" t="str">
        <v>No</v>
      </c>
      <c r="J14" s="144" t="str">
        <v>Base</v>
      </c>
      <c r="K14" s="144" t="str">
        <v/>
      </c>
      <c r="L14" s="146">
        <v>8</v>
      </c>
      <c r="M14" s="142">
        <v>440</v>
      </c>
      <c r="N14" s="144" t="str">
        <v>Unknown</v>
      </c>
      <c r="O14" s="142" t="str">
        <v/>
      </c>
      <c r="P14" s="142" t="str">
        <v/>
      </c>
      <c r="Q14" s="142">
        <v>55</v>
      </c>
      <c r="R14" s="129" t="str">
        <v>Description – exact</v>
      </c>
      <c r="S14" s="143" t="str">
        <v/>
      </c>
      <c r="T14" s="144" t="str">
        <v>SRC-00</v>
      </c>
      <c r="U14" s="129" t="str">
        <v>S+ row 6</v>
      </c>
      <c r="V14" s="129" t="str">
        <v/>
      </c>
    </row>
    <row r="15" spans="1:22" x14ac:dyDescent="0.2">
      <c r="A15" s="144" t="str">
        <v>H1</v>
      </c>
      <c r="B15" s="145">
        <v>4</v>
      </c>
      <c r="C15" s="129" t="str">
        <v>A Tympanic T-tube</v>
      </c>
      <c r="D15" s="129" t="str">
        <v>H1 – Head: Minor Procedures</v>
      </c>
      <c r="E15" s="129" t="str">
        <v>01 - Head</v>
      </c>
      <c r="F15" s="129" t="str">
        <v>Solutions Plus</v>
      </c>
      <c r="G15" s="144" t="str">
        <v>CON-01</v>
      </c>
      <c r="H15" s="129" t="str">
        <v>To confirm</v>
      </c>
      <c r="I15" s="144" t="str">
        <v>No</v>
      </c>
      <c r="J15" s="144" t="str">
        <v>Base</v>
      </c>
      <c r="K15" s="144" t="str">
        <v/>
      </c>
      <c r="L15" s="146">
        <v>0</v>
      </c>
      <c r="M15" s="142">
        <v>0</v>
      </c>
      <c r="N15" s="144" t="str">
        <v>Unknown</v>
      </c>
      <c r="O15" s="142" t="str">
        <v/>
      </c>
      <c r="P15" s="142" t="str">
        <v/>
      </c>
      <c r="Q15" s="142" t="str">
        <v/>
      </c>
      <c r="R15" s="129" t="str">
        <v>Description – exact</v>
      </c>
      <c r="S15" s="143" t="str">
        <v/>
      </c>
      <c r="T15" s="144" t="str">
        <v>SRC-00</v>
      </c>
      <c r="U15" s="129" t="str">
        <v>S+ row 9</v>
      </c>
      <c r="V15" s="129" t="str">
        <v/>
      </c>
    </row>
    <row r="16" spans="1:22" x14ac:dyDescent="0.2">
      <c r="A16" s="144" t="str">
        <v>H2</v>
      </c>
      <c r="B16" s="145">
        <v>5</v>
      </c>
      <c r="C16" s="129" t="str">
        <v>Adeno-tonsillectomy</v>
      </c>
      <c r="D16" s="129" t="str">
        <v>H2 – Head: Simple but Invasive Procedures</v>
      </c>
      <c r="E16" s="129" t="str">
        <v>01 - Head</v>
      </c>
      <c r="F16" s="129" t="str">
        <v>Solutions Plus</v>
      </c>
      <c r="G16" s="144" t="str">
        <v>CON-01</v>
      </c>
      <c r="H16" s="129" t="str">
        <v>To confirm</v>
      </c>
      <c r="I16" s="144" t="str">
        <v>No</v>
      </c>
      <c r="J16" s="144" t="str">
        <v>Base</v>
      </c>
      <c r="K16" s="144" t="str">
        <v/>
      </c>
      <c r="L16" s="146">
        <v>8.4</v>
      </c>
      <c r="M16" s="142">
        <v>459.8</v>
      </c>
      <c r="N16" s="144" t="str">
        <v>Unknown</v>
      </c>
      <c r="O16" s="142" t="str">
        <v/>
      </c>
      <c r="P16" s="142" t="str">
        <v/>
      </c>
      <c r="Q16" s="142">
        <v>54.738095238095234</v>
      </c>
      <c r="R16" s="129" t="str">
        <v>Description – exact</v>
      </c>
      <c r="S16" s="143" t="str">
        <v/>
      </c>
      <c r="T16" s="144" t="str">
        <v>SRC-00</v>
      </c>
      <c r="U16" s="129" t="str">
        <v>S+ row 29</v>
      </c>
      <c r="V16" s="129" t="str">
        <v/>
      </c>
    </row>
    <row r="17" spans="1:22" x14ac:dyDescent="0.2">
      <c r="A17" s="144" t="str">
        <v>H2</v>
      </c>
      <c r="B17" s="145">
        <v>5</v>
      </c>
      <c r="C17" s="129" t="str">
        <v>Adeno-Tonsillectomy &amp; Turbinoplasty</v>
      </c>
      <c r="D17" s="129" t="str">
        <v>H2 – Head: Simple but Invasive Procedures</v>
      </c>
      <c r="E17" s="129" t="str">
        <v>01 - Head</v>
      </c>
      <c r="F17" s="129" t="str">
        <v>Solutions Plus</v>
      </c>
      <c r="G17" s="144" t="str">
        <v>CON-01</v>
      </c>
      <c r="H17" s="129" t="str">
        <v>To confirm</v>
      </c>
      <c r="I17" s="144" t="str">
        <v>No</v>
      </c>
      <c r="J17" s="144" t="str">
        <v>Base</v>
      </c>
      <c r="K17" s="144" t="str">
        <v/>
      </c>
      <c r="L17" s="146">
        <v>0</v>
      </c>
      <c r="M17" s="142">
        <v>0</v>
      </c>
      <c r="N17" s="144" t="str">
        <v>Unknown</v>
      </c>
      <c r="O17" s="142" t="str">
        <v/>
      </c>
      <c r="P17" s="142" t="str">
        <v/>
      </c>
      <c r="Q17" s="142" t="str">
        <v/>
      </c>
      <c r="R17" s="129" t="str">
        <v>Description – exact</v>
      </c>
      <c r="S17" s="143" t="str">
        <v/>
      </c>
      <c r="T17" s="144" t="str">
        <v>SRC-00</v>
      </c>
      <c r="U17" s="129" t="str">
        <v>S+ row 30</v>
      </c>
      <c r="V17" s="129" t="str">
        <v/>
      </c>
    </row>
    <row r="18" spans="1:22" x14ac:dyDescent="0.2">
      <c r="A18" s="144" t="str">
        <v>H2</v>
      </c>
      <c r="B18" s="145">
        <v>5</v>
      </c>
      <c r="C18" s="129" t="str">
        <v>Adenoid Ablation</v>
      </c>
      <c r="D18" s="129" t="str">
        <v>H2 – Head: Simple but Invasive Procedures</v>
      </c>
      <c r="E18" s="129" t="str">
        <v>01 - Head</v>
      </c>
      <c r="F18" s="129" t="str">
        <v>Solutions Plus</v>
      </c>
      <c r="G18" s="144" t="str">
        <v>CON-01</v>
      </c>
      <c r="H18" s="129" t="str">
        <v>To confirm</v>
      </c>
      <c r="I18" s="144" t="str">
        <v>No</v>
      </c>
      <c r="J18" s="144" t="str">
        <v>Base</v>
      </c>
      <c r="K18" s="144" t="str">
        <v/>
      </c>
      <c r="L18" s="146">
        <v>7.5</v>
      </c>
      <c r="M18" s="142">
        <v>411.95</v>
      </c>
      <c r="N18" s="144" t="str">
        <v>Unknown</v>
      </c>
      <c r="O18" s="142" t="str">
        <v/>
      </c>
      <c r="P18" s="142" t="str">
        <v/>
      </c>
      <c r="Q18" s="142">
        <v>54.926666666666662</v>
      </c>
      <c r="R18" s="129" t="str">
        <v>Description – exact</v>
      </c>
      <c r="S18" s="143" t="str">
        <v/>
      </c>
      <c r="T18" s="144" t="str">
        <v>SRC-00</v>
      </c>
      <c r="U18" s="129" t="str">
        <v>S+ row 24</v>
      </c>
      <c r="V18" s="129" t="str">
        <v/>
      </c>
    </row>
    <row r="19" spans="1:22" x14ac:dyDescent="0.2">
      <c r="A19" s="144" t="str">
        <v>H2</v>
      </c>
      <c r="B19" s="145">
        <v>5</v>
      </c>
      <c r="C19" s="129" t="str">
        <v>Adenoidectomy - Bilateral Myringotomies And Tube</v>
      </c>
      <c r="D19" s="129" t="str">
        <v>H2 – Head: Simple but Invasive Procedures</v>
      </c>
      <c r="E19" s="129" t="str">
        <v>01 - Head</v>
      </c>
      <c r="F19" s="129" t="str">
        <v>Solutions Plus</v>
      </c>
      <c r="G19" s="144" t="str">
        <v>CON-01</v>
      </c>
      <c r="H19" s="129" t="str">
        <v>To confirm</v>
      </c>
      <c r="I19" s="144" t="str">
        <v>No</v>
      </c>
      <c r="J19" s="144" t="str">
        <v>Base</v>
      </c>
      <c r="K19" s="144" t="str">
        <v/>
      </c>
      <c r="L19" s="146">
        <v>7.3</v>
      </c>
      <c r="M19" s="142">
        <v>400.95</v>
      </c>
      <c r="N19" s="144" t="str">
        <v>Unknown</v>
      </c>
      <c r="O19" s="142" t="str">
        <v/>
      </c>
      <c r="P19" s="142" t="str">
        <v/>
      </c>
      <c r="Q19" s="142">
        <v>54.924657534246577</v>
      </c>
      <c r="R19" s="129" t="str">
        <v>Description – exact</v>
      </c>
      <c r="S19" s="143" t="str">
        <v/>
      </c>
      <c r="T19" s="144" t="str">
        <v>SRC-00</v>
      </c>
      <c r="U19" s="129" t="str">
        <v>S+ row 26</v>
      </c>
      <c r="V19" s="129" t="str">
        <v/>
      </c>
    </row>
    <row r="20" spans="1:22" x14ac:dyDescent="0.2">
      <c r="A20" s="144" t="str">
        <v>H2</v>
      </c>
      <c r="B20" s="145">
        <v>5</v>
      </c>
      <c r="C20" s="129" t="str">
        <v>Adenoidectomy,</v>
      </c>
      <c r="D20" s="129" t="str">
        <v>H2 – Head: Simple but Invasive Procedures</v>
      </c>
      <c r="E20" s="129" t="str">
        <v>01 - Head</v>
      </c>
      <c r="F20" s="129" t="str">
        <v>Solutions Plus</v>
      </c>
      <c r="G20" s="144" t="str">
        <v>CON-01</v>
      </c>
      <c r="H20" s="129" t="str">
        <v>To confirm</v>
      </c>
      <c r="I20" s="144" t="str">
        <v>No</v>
      </c>
      <c r="J20" s="144" t="str">
        <v>Base</v>
      </c>
      <c r="K20" s="144" t="str">
        <v/>
      </c>
      <c r="L20" s="146">
        <v>7.4</v>
      </c>
      <c r="M20" s="142">
        <v>406.45</v>
      </c>
      <c r="N20" s="144" t="str">
        <v>Unknown</v>
      </c>
      <c r="O20" s="142" t="str">
        <v/>
      </c>
      <c r="P20" s="142" t="str">
        <v/>
      </c>
      <c r="Q20" s="142">
        <v>54.92567567567567</v>
      </c>
      <c r="R20" s="129" t="str">
        <v>Description – exact</v>
      </c>
      <c r="S20" s="143" t="str">
        <v/>
      </c>
      <c r="T20" s="144" t="str">
        <v>SRC-00</v>
      </c>
      <c r="U20" s="129" t="str">
        <v>S+ row 25</v>
      </c>
      <c r="V20" s="129" t="str">
        <v/>
      </c>
    </row>
    <row r="21" spans="1:22" x14ac:dyDescent="0.2">
      <c r="A21" s="144" t="str">
        <v>H2</v>
      </c>
      <c r="B21" s="145">
        <v>5</v>
      </c>
      <c r="C21" s="129" t="str">
        <v>Adenoidectomy: For Biopsy</v>
      </c>
      <c r="D21" s="129" t="str">
        <v>H2 – Head: Simple but Invasive Procedures</v>
      </c>
      <c r="E21" s="129" t="str">
        <v>01 - Head</v>
      </c>
      <c r="F21" s="129" t="str">
        <v>Solutions Plus</v>
      </c>
      <c r="G21" s="144" t="str">
        <v>CON-01</v>
      </c>
      <c r="H21" s="129" t="str">
        <v>To confirm</v>
      </c>
      <c r="I21" s="144" t="str">
        <v>No</v>
      </c>
      <c r="J21" s="144" t="str">
        <v>Base</v>
      </c>
      <c r="K21" s="144" t="str">
        <v/>
      </c>
      <c r="L21" s="146">
        <v>10</v>
      </c>
      <c r="M21" s="142">
        <v>550</v>
      </c>
      <c r="N21" s="144" t="str">
        <v>Unknown</v>
      </c>
      <c r="O21" s="142" t="str">
        <v/>
      </c>
      <c r="P21" s="142" t="str">
        <v/>
      </c>
      <c r="Q21" s="142">
        <v>55</v>
      </c>
      <c r="R21" s="129" t="str">
        <v>Description – exact</v>
      </c>
      <c r="S21" s="143" t="str">
        <v/>
      </c>
      <c r="T21" s="144" t="str">
        <v>SRC-00</v>
      </c>
      <c r="U21" s="129" t="str">
        <v>S+ row 27</v>
      </c>
      <c r="V21" s="129" t="str">
        <v/>
      </c>
    </row>
    <row r="22" spans="1:22" x14ac:dyDescent="0.2">
      <c r="A22" s="144" t="str">
        <v>H2</v>
      </c>
      <c r="B22" s="145">
        <v>5</v>
      </c>
      <c r="C22" s="129" t="str">
        <v>Adenotonsillectomy</v>
      </c>
      <c r="D22" s="129" t="str">
        <v>H2 – Head: Simple but Invasive Procedures</v>
      </c>
      <c r="E22" s="129" t="str">
        <v>01 - Head</v>
      </c>
      <c r="F22" s="129" t="str">
        <v>Solutions Plus</v>
      </c>
      <c r="G22" s="144" t="str">
        <v>CON-01</v>
      </c>
      <c r="H22" s="129" t="str">
        <v>To confirm</v>
      </c>
      <c r="I22" s="144" t="str">
        <v>No</v>
      </c>
      <c r="J22" s="144" t="str">
        <v>Base</v>
      </c>
      <c r="K22" s="144" t="str">
        <v/>
      </c>
      <c r="L22" s="146">
        <v>8.3000000000000007</v>
      </c>
      <c r="M22" s="142">
        <v>458.15</v>
      </c>
      <c r="N22" s="144" t="str">
        <v>Unknown</v>
      </c>
      <c r="O22" s="142" t="str">
        <v/>
      </c>
      <c r="P22" s="142" t="str">
        <v/>
      </c>
      <c r="Q22" s="142">
        <v>55.198795180722882</v>
      </c>
      <c r="R22" s="129" t="str">
        <v>Description – exact</v>
      </c>
      <c r="S22" s="143" t="str">
        <v/>
      </c>
      <c r="T22" s="144" t="str">
        <v>SRC-00</v>
      </c>
      <c r="U22" s="129" t="str">
        <v>S+ row 28</v>
      </c>
      <c r="V22" s="129" t="str">
        <v/>
      </c>
    </row>
    <row r="23" spans="1:22" x14ac:dyDescent="0.2">
      <c r="A23" s="144" t="str">
        <v>H2</v>
      </c>
      <c r="B23" s="145">
        <v>5</v>
      </c>
      <c r="C23" s="129" t="str">
        <v>Bilalteral Otoplasty</v>
      </c>
      <c r="D23" s="129" t="str">
        <v>H2 – Head: Simple but Invasive Procedures</v>
      </c>
      <c r="E23" s="129" t="str">
        <v>01 - Head</v>
      </c>
      <c r="F23" s="129" t="str">
        <v>Solutions Plus</v>
      </c>
      <c r="G23" s="144" t="str">
        <v>CON-01</v>
      </c>
      <c r="H23" s="129" t="str">
        <v>To confirm</v>
      </c>
      <c r="I23" s="144" t="str">
        <v>No</v>
      </c>
      <c r="J23" s="144" t="str">
        <v>Base</v>
      </c>
      <c r="K23" s="144" t="str">
        <v/>
      </c>
      <c r="L23" s="146">
        <v>14</v>
      </c>
      <c r="M23" s="142">
        <v>770</v>
      </c>
      <c r="N23" s="144" t="str">
        <v>Unknown</v>
      </c>
      <c r="O23" s="142" t="str">
        <v/>
      </c>
      <c r="P23" s="142" t="str">
        <v/>
      </c>
      <c r="Q23" s="142">
        <v>55</v>
      </c>
      <c r="R23" s="129" t="str">
        <v>Description – likely</v>
      </c>
      <c r="S23" s="143" t="str">
        <v/>
      </c>
      <c r="T23" s="144" t="str">
        <v>SRC-00</v>
      </c>
      <c r="U23" s="129" t="str">
        <v>S+ row 62</v>
      </c>
      <c r="V23" s="129" t="str">
        <v/>
      </c>
    </row>
    <row r="24" spans="1:22" x14ac:dyDescent="0.2">
      <c r="A24" s="144" t="str">
        <v>H1</v>
      </c>
      <c r="B24" s="145">
        <v>4</v>
      </c>
      <c r="C24" s="129" t="str">
        <v>Bilateal Lower Lid Blepharoplasty</v>
      </c>
      <c r="D24" s="129" t="str">
        <v>H1 – Head: Minor Procedures</v>
      </c>
      <c r="E24" s="129" t="str">
        <v>01 - Head</v>
      </c>
      <c r="F24" s="129" t="str">
        <v>Solutions Plus</v>
      </c>
      <c r="G24" s="144" t="str">
        <v>CON-01</v>
      </c>
      <c r="H24" s="129" t="str">
        <v>To confirm</v>
      </c>
      <c r="I24" s="144" t="str">
        <v>No</v>
      </c>
      <c r="J24" s="144" t="str">
        <v>Base</v>
      </c>
      <c r="K24" s="144" t="str">
        <v/>
      </c>
      <c r="L24" s="146">
        <v>0</v>
      </c>
      <c r="M24" s="142">
        <v>0</v>
      </c>
      <c r="N24" s="144" t="str">
        <v>Unknown</v>
      </c>
      <c r="O24" s="142" t="str">
        <v/>
      </c>
      <c r="P24" s="142" t="str">
        <v/>
      </c>
      <c r="Q24" s="142" t="str">
        <v/>
      </c>
      <c r="R24" s="129" t="str">
        <v>Description – likely</v>
      </c>
      <c r="S24" s="143" t="str">
        <v/>
      </c>
      <c r="T24" s="144" t="str">
        <v>SRC-00</v>
      </c>
      <c r="U24" s="129" t="str">
        <v>S+ row 63</v>
      </c>
      <c r="V24" s="129" t="str">
        <v/>
      </c>
    </row>
    <row r="25" spans="1:22" x14ac:dyDescent="0.2">
      <c r="A25" s="144" t="str">
        <v>H3</v>
      </c>
      <c r="B25" s="145">
        <v>6</v>
      </c>
      <c r="C25" s="129" t="str">
        <v>Bilateral Cochlear Implant</v>
      </c>
      <c r="D25" s="129" t="str">
        <v>H3 – Head: Moderate Procedures</v>
      </c>
      <c r="E25" s="129" t="str">
        <v>01 - Head</v>
      </c>
      <c r="F25" s="129" t="str">
        <v>Solutions Plus</v>
      </c>
      <c r="G25" s="144" t="str">
        <v>CON-01</v>
      </c>
      <c r="H25" s="129" t="str">
        <v>To confirm</v>
      </c>
      <c r="I25" s="144" t="str">
        <v>No</v>
      </c>
      <c r="J25" s="144" t="str">
        <v>Base</v>
      </c>
      <c r="K25" s="144" t="str">
        <v/>
      </c>
      <c r="L25" s="146">
        <v>28.8</v>
      </c>
      <c r="M25" s="142">
        <v>1584.55</v>
      </c>
      <c r="N25" s="144" t="str">
        <v>Unknown</v>
      </c>
      <c r="O25" s="142" t="str">
        <v/>
      </c>
      <c r="P25" s="142" t="str">
        <v/>
      </c>
      <c r="Q25" s="142">
        <v>55.019097222222221</v>
      </c>
      <c r="R25" s="129" t="str">
        <v>Description – likely</v>
      </c>
      <c r="S25" s="143" t="str">
        <v/>
      </c>
      <c r="T25" s="144" t="str">
        <v>SRC-00</v>
      </c>
      <c r="U25" s="129" t="str">
        <v>S+ row 81</v>
      </c>
      <c r="V25" s="129" t="str">
        <v/>
      </c>
    </row>
    <row r="26" spans="1:22" x14ac:dyDescent="0.2">
      <c r="A26" s="144" t="str">
        <v>H3</v>
      </c>
      <c r="B26" s="145">
        <v>6</v>
      </c>
      <c r="C26" s="129" t="str">
        <v>Bilateral Comprehensive Endoscopic Sinus Surgery</v>
      </c>
      <c r="D26" s="129" t="str">
        <v>H3 – Head: Moderate Procedures</v>
      </c>
      <c r="E26" s="129" t="str">
        <v>01 - Head</v>
      </c>
      <c r="F26" s="129" t="str">
        <v>Solutions Plus</v>
      </c>
      <c r="G26" s="144" t="str">
        <v>CON-01</v>
      </c>
      <c r="H26" s="129" t="str">
        <v>To confirm</v>
      </c>
      <c r="I26" s="144" t="str">
        <v>No</v>
      </c>
      <c r="J26" s="144" t="str">
        <v>Base</v>
      </c>
      <c r="K26" s="144" t="str">
        <v/>
      </c>
      <c r="L26" s="146">
        <v>14.4</v>
      </c>
      <c r="M26" s="142">
        <v>789.8</v>
      </c>
      <c r="N26" s="144" t="str">
        <v>Unknown</v>
      </c>
      <c r="O26" s="142" t="str">
        <v/>
      </c>
      <c r="P26" s="142" t="str">
        <v/>
      </c>
      <c r="Q26" s="142">
        <v>54.847222222222214</v>
      </c>
      <c r="R26" s="129" t="str">
        <v>Description – exact</v>
      </c>
      <c r="S26" s="143" t="str">
        <v/>
      </c>
      <c r="T26" s="144" t="str">
        <v>SRC-00</v>
      </c>
      <c r="U26" s="129" t="str">
        <v>S+ row 82</v>
      </c>
      <c r="V26" s="129" t="str">
        <v/>
      </c>
    </row>
    <row r="27" spans="1:22" x14ac:dyDescent="0.2">
      <c r="A27" s="144" t="str">
        <v>H1</v>
      </c>
      <c r="B27" s="145">
        <v>4</v>
      </c>
      <c r="C27" s="129" t="str">
        <v>Bilateral Ectropion Repair</v>
      </c>
      <c r="D27" s="129" t="str">
        <v>H1 – Head: Minor Procedures</v>
      </c>
      <c r="E27" s="129" t="str">
        <v>01 - Head</v>
      </c>
      <c r="F27" s="129" t="str">
        <v>Solutions Plus</v>
      </c>
      <c r="G27" s="144" t="str">
        <v>CON-01</v>
      </c>
      <c r="H27" s="129" t="str">
        <v>To confirm</v>
      </c>
      <c r="I27" s="144" t="str">
        <v>No</v>
      </c>
      <c r="J27" s="144" t="str">
        <v>Base</v>
      </c>
      <c r="K27" s="144" t="str">
        <v/>
      </c>
      <c r="L27" s="146">
        <v>4.3</v>
      </c>
      <c r="M27" s="142">
        <v>234.3</v>
      </c>
      <c r="N27" s="144" t="str">
        <v>Unknown</v>
      </c>
      <c r="O27" s="142" t="str">
        <v/>
      </c>
      <c r="P27" s="142" t="str">
        <v/>
      </c>
      <c r="Q27" s="142">
        <v>54.488372093023258</v>
      </c>
      <c r="R27" s="129" t="str">
        <v>Description – likely</v>
      </c>
      <c r="S27" s="143" t="str">
        <v/>
      </c>
      <c r="T27" s="144" t="str">
        <v>SRC-00</v>
      </c>
      <c r="U27" s="129" t="str">
        <v>S+ row 83</v>
      </c>
      <c r="V27" s="129" t="str">
        <v/>
      </c>
    </row>
    <row r="28" spans="1:22" x14ac:dyDescent="0.2">
      <c r="A28" s="144" t="str">
        <v>H2</v>
      </c>
      <c r="B28" s="145">
        <v>5</v>
      </c>
      <c r="C28" s="129" t="str">
        <v>Bilateral Endoscopic Inferior Turbinoplasty</v>
      </c>
      <c r="D28" s="129" t="str">
        <v>H2 – Head: Simple but Invasive Procedures</v>
      </c>
      <c r="E28" s="129" t="str">
        <v>01 - Head</v>
      </c>
      <c r="F28" s="129" t="str">
        <v>Solutions Plus</v>
      </c>
      <c r="G28" s="144" t="str">
        <v>CON-01</v>
      </c>
      <c r="H28" s="129" t="str">
        <v>To confirm</v>
      </c>
      <c r="I28" s="144" t="str">
        <v>No</v>
      </c>
      <c r="J28" s="144" t="str">
        <v>Base</v>
      </c>
      <c r="K28" s="144" t="str">
        <v/>
      </c>
      <c r="L28" s="146">
        <v>9.1</v>
      </c>
      <c r="M28" s="142">
        <v>498.85</v>
      </c>
      <c r="N28" s="144" t="str">
        <v>Unknown</v>
      </c>
      <c r="O28" s="142" t="str">
        <v/>
      </c>
      <c r="P28" s="142" t="str">
        <v/>
      </c>
      <c r="Q28" s="142">
        <v>54.818681318681321</v>
      </c>
      <c r="R28" s="129" t="str">
        <v>Description – likely</v>
      </c>
      <c r="S28" s="143" t="str">
        <v/>
      </c>
      <c r="T28" s="144" t="str">
        <v>SRC-00</v>
      </c>
      <c r="U28" s="129" t="str">
        <v>S+ row 84</v>
      </c>
      <c r="V28" s="129" t="str">
        <v/>
      </c>
    </row>
    <row r="29" spans="1:22" x14ac:dyDescent="0.2">
      <c r="A29" s="144" t="str">
        <v>H3</v>
      </c>
      <c r="B29" s="145">
        <v>6</v>
      </c>
      <c r="C29" s="129" t="str">
        <v>Bilateral FESS And Inferior Turbinoplasty CDHB</v>
      </c>
      <c r="D29" s="129" t="str">
        <v>H3 – Head: Moderate Procedures</v>
      </c>
      <c r="E29" s="129" t="str">
        <v>01 - Head</v>
      </c>
      <c r="F29" s="129" t="str">
        <v>Solutions Plus</v>
      </c>
      <c r="G29" s="144" t="str">
        <v>CON-01</v>
      </c>
      <c r="H29" s="129" t="str">
        <v>To confirm</v>
      </c>
      <c r="I29" s="144" t="str">
        <v>No</v>
      </c>
      <c r="J29" s="144" t="str">
        <v>Base</v>
      </c>
      <c r="K29" s="144" t="str">
        <v/>
      </c>
      <c r="L29" s="146">
        <v>12.5</v>
      </c>
      <c r="M29" s="142">
        <v>687.5</v>
      </c>
      <c r="N29" s="144" t="str">
        <v>Unknown</v>
      </c>
      <c r="O29" s="142" t="str">
        <v/>
      </c>
      <c r="P29" s="142" t="str">
        <v/>
      </c>
      <c r="Q29" s="142">
        <v>55</v>
      </c>
      <c r="R29" s="129" t="str">
        <v>Description – exact</v>
      </c>
      <c r="S29" s="143" t="str">
        <v/>
      </c>
      <c r="T29" s="144" t="str">
        <v>SRC-00</v>
      </c>
      <c r="U29" s="129" t="str">
        <v>S+ row 86</v>
      </c>
      <c r="V29" s="129" t="str">
        <v/>
      </c>
    </row>
    <row r="30" spans="1:22" x14ac:dyDescent="0.2">
      <c r="A30" s="144" t="str">
        <v>H1</v>
      </c>
      <c r="B30" s="145">
        <v>4</v>
      </c>
      <c r="C30" s="129" t="str">
        <v>Bilateral Grommet Insertion</v>
      </c>
      <c r="D30" s="129" t="str">
        <v>H1 – Head: Minor Procedures</v>
      </c>
      <c r="E30" s="129" t="str">
        <v>01 - Head</v>
      </c>
      <c r="F30" s="129" t="str">
        <v>Solutions Plus</v>
      </c>
      <c r="G30" s="144" t="str">
        <v>CON-01</v>
      </c>
      <c r="H30" s="129" t="str">
        <v>To confirm</v>
      </c>
      <c r="I30" s="144" t="str">
        <v>No</v>
      </c>
      <c r="J30" s="144" t="str">
        <v>Base</v>
      </c>
      <c r="K30" s="144" t="str">
        <v/>
      </c>
      <c r="L30" s="146">
        <v>5.9</v>
      </c>
      <c r="M30" s="142">
        <v>323.39999999999998</v>
      </c>
      <c r="N30" s="144" t="str">
        <v>Unknown</v>
      </c>
      <c r="O30" s="142" t="str">
        <v/>
      </c>
      <c r="P30" s="142" t="str">
        <v/>
      </c>
      <c r="Q30" s="142">
        <v>54.813559322033889</v>
      </c>
      <c r="R30" s="129" t="str">
        <v>Description – exact</v>
      </c>
      <c r="S30" s="143" t="str">
        <v/>
      </c>
      <c r="T30" s="144" t="str">
        <v>SRC-00</v>
      </c>
      <c r="U30" s="129" t="str">
        <v>S+ row 89</v>
      </c>
      <c r="V30" s="129" t="str">
        <v/>
      </c>
    </row>
    <row r="31" spans="1:22" x14ac:dyDescent="0.2">
      <c r="A31" s="144" t="str">
        <v>H1</v>
      </c>
      <c r="B31" s="145">
        <v>4</v>
      </c>
      <c r="C31" s="129" t="str">
        <v>Bilateral Grommets</v>
      </c>
      <c r="D31" s="129" t="str">
        <v>H1 – Head: Minor Procedures</v>
      </c>
      <c r="E31" s="129" t="str">
        <v>01 - Head</v>
      </c>
      <c r="F31" s="129" t="str">
        <v>Solutions Plus</v>
      </c>
      <c r="G31" s="144" t="str">
        <v>CON-01</v>
      </c>
      <c r="H31" s="129" t="str">
        <v>To confirm</v>
      </c>
      <c r="I31" s="144" t="str">
        <v>No</v>
      </c>
      <c r="J31" s="144" t="str">
        <v>Base</v>
      </c>
      <c r="K31" s="144" t="str">
        <v/>
      </c>
      <c r="L31" s="146">
        <v>6.1</v>
      </c>
      <c r="M31" s="142">
        <v>332.75</v>
      </c>
      <c r="N31" s="144" t="str">
        <v>Unknown</v>
      </c>
      <c r="O31" s="142" t="str">
        <v/>
      </c>
      <c r="P31" s="142" t="str">
        <v/>
      </c>
      <c r="Q31" s="142">
        <v>54.549180327868854</v>
      </c>
      <c r="R31" s="129" t="str">
        <v>Description – exact</v>
      </c>
      <c r="S31" s="143" t="str">
        <v/>
      </c>
      <c r="T31" s="144" t="str">
        <v>SRC-00</v>
      </c>
      <c r="U31" s="129" t="str">
        <v>S+ row 90</v>
      </c>
      <c r="V31" s="129" t="str">
        <v/>
      </c>
    </row>
    <row r="32" spans="1:22" x14ac:dyDescent="0.2">
      <c r="A32" s="144" t="str">
        <v>H2</v>
      </c>
      <c r="B32" s="145">
        <v>5</v>
      </c>
      <c r="C32" s="129" t="str">
        <v>Bilateral Inferior Turbinoplasty</v>
      </c>
      <c r="D32" s="129" t="str">
        <v>H2 – Head: Simple but Invasive Procedures</v>
      </c>
      <c r="E32" s="129" t="str">
        <v>01 - Head</v>
      </c>
      <c r="F32" s="129" t="str">
        <v>Solutions Plus</v>
      </c>
      <c r="G32" s="144" t="str">
        <v>CON-01</v>
      </c>
      <c r="H32" s="129" t="str">
        <v>To confirm</v>
      </c>
      <c r="I32" s="144" t="str">
        <v>No</v>
      </c>
      <c r="J32" s="144" t="str">
        <v>Base</v>
      </c>
      <c r="K32" s="144" t="str">
        <v/>
      </c>
      <c r="L32" s="146">
        <v>8.8000000000000007</v>
      </c>
      <c r="M32" s="142">
        <v>482.35</v>
      </c>
      <c r="N32" s="144" t="str">
        <v>Unknown</v>
      </c>
      <c r="O32" s="142" t="str">
        <v/>
      </c>
      <c r="P32" s="142" t="str">
        <v/>
      </c>
      <c r="Q32" s="142">
        <v>54.8125</v>
      </c>
      <c r="R32" s="129" t="str">
        <v>Description – likely</v>
      </c>
      <c r="S32" s="143" t="str">
        <v/>
      </c>
      <c r="T32" s="144" t="str">
        <v>SRC-00</v>
      </c>
      <c r="U32" s="129" t="str">
        <v>S+ row 94</v>
      </c>
      <c r="V32" s="129" t="str">
        <v/>
      </c>
    </row>
    <row r="33" spans="1:22" x14ac:dyDescent="0.2">
      <c r="A33" s="144" t="str">
        <v>H2</v>
      </c>
      <c r="B33" s="145">
        <v>5</v>
      </c>
      <c r="C33" s="129" t="str">
        <v>Bilateral Inferior Turbinoplasty &amp; Septoplasty</v>
      </c>
      <c r="D33" s="129" t="str">
        <v>H2 – Head: Simple but Invasive Procedures</v>
      </c>
      <c r="E33" s="129" t="str">
        <v>01 - Head</v>
      </c>
      <c r="F33" s="129" t="str">
        <v>Solutions Plus</v>
      </c>
      <c r="G33" s="144" t="str">
        <v>CON-01</v>
      </c>
      <c r="H33" s="129" t="str">
        <v>To confirm</v>
      </c>
      <c r="I33" s="144" t="str">
        <v>No</v>
      </c>
      <c r="J33" s="144" t="str">
        <v>Base</v>
      </c>
      <c r="K33" s="144" t="str">
        <v/>
      </c>
      <c r="L33" s="146">
        <v>13</v>
      </c>
      <c r="M33" s="142">
        <v>715</v>
      </c>
      <c r="N33" s="144" t="str">
        <v>Unknown</v>
      </c>
      <c r="O33" s="142" t="str">
        <v/>
      </c>
      <c r="P33" s="142" t="str">
        <v/>
      </c>
      <c r="Q33" s="142">
        <v>55</v>
      </c>
      <c r="R33" s="129" t="str">
        <v>Description – exact</v>
      </c>
      <c r="S33" s="143" t="str">
        <v/>
      </c>
      <c r="T33" s="144" t="str">
        <v>SRC-00</v>
      </c>
      <c r="U33" s="129" t="str">
        <v>S+ row 95</v>
      </c>
      <c r="V33" s="129" t="str">
        <v/>
      </c>
    </row>
    <row r="34" spans="1:22" x14ac:dyDescent="0.2">
      <c r="A34" s="144" t="str">
        <v>H1</v>
      </c>
      <c r="B34" s="145">
        <v>4</v>
      </c>
      <c r="C34" s="129" t="str">
        <v>Bilateral Lower Lid Blephs</v>
      </c>
      <c r="D34" s="129" t="str">
        <v>H1 – Head: Minor Procedures</v>
      </c>
      <c r="E34" s="129" t="str">
        <v>01 - Head</v>
      </c>
      <c r="F34" s="129" t="str">
        <v>Solutions Plus</v>
      </c>
      <c r="G34" s="144" t="str">
        <v>CON-01</v>
      </c>
      <c r="H34" s="129" t="str">
        <v>To confirm</v>
      </c>
      <c r="I34" s="144" t="str">
        <v>No</v>
      </c>
      <c r="J34" s="144" t="str">
        <v>Base</v>
      </c>
      <c r="K34" s="144" t="str">
        <v/>
      </c>
      <c r="L34" s="146">
        <v>5.3</v>
      </c>
      <c r="M34" s="142">
        <v>292.60000000000002</v>
      </c>
      <c r="N34" s="144" t="str">
        <v>Unknown</v>
      </c>
      <c r="O34" s="142" t="str">
        <v/>
      </c>
      <c r="P34" s="142" t="str">
        <v/>
      </c>
      <c r="Q34" s="142">
        <v>55.207547169811328</v>
      </c>
      <c r="R34" s="129" t="str">
        <v>Description – likely</v>
      </c>
      <c r="S34" s="143" t="str">
        <v/>
      </c>
      <c r="T34" s="144" t="str">
        <v>SRC-00</v>
      </c>
      <c r="U34" s="129" t="str">
        <v>S+ row 64</v>
      </c>
      <c r="V34" s="129" t="str">
        <v/>
      </c>
    </row>
    <row r="35" spans="1:22" x14ac:dyDescent="0.2">
      <c r="A35" s="144" t="str">
        <v>H1</v>
      </c>
      <c r="B35" s="145">
        <v>4</v>
      </c>
      <c r="C35" s="129" t="str">
        <v>Bilateral Lower Lid Blephs</v>
      </c>
      <c r="D35" s="129" t="str">
        <v>H1 – Head: Minor Procedures</v>
      </c>
      <c r="E35" s="129" t="str">
        <v>01 - Head</v>
      </c>
      <c r="F35" s="129" t="str">
        <v>Solutions Plus</v>
      </c>
      <c r="G35" s="144" t="str">
        <v>CON-01</v>
      </c>
      <c r="H35" s="129" t="str">
        <v>To confirm</v>
      </c>
      <c r="I35" s="144" t="str">
        <v>No</v>
      </c>
      <c r="J35" s="144" t="str">
        <v>Base</v>
      </c>
      <c r="K35" s="144" t="str">
        <v/>
      </c>
      <c r="L35" s="146">
        <v>4</v>
      </c>
      <c r="M35" s="142">
        <v>220</v>
      </c>
      <c r="N35" s="144" t="str">
        <v>Unknown</v>
      </c>
      <c r="O35" s="142" t="str">
        <v/>
      </c>
      <c r="P35" s="142" t="str">
        <v/>
      </c>
      <c r="Q35" s="142">
        <v>55</v>
      </c>
      <c r="R35" s="129" t="str">
        <v>Description – likely</v>
      </c>
      <c r="S35" s="143" t="str">
        <v/>
      </c>
      <c r="T35" s="144" t="str">
        <v>SRC-00</v>
      </c>
      <c r="U35" s="129" t="str">
        <v>S+ row 96</v>
      </c>
      <c r="V35" s="129" t="str">
        <v/>
      </c>
    </row>
    <row r="36" spans="1:22" x14ac:dyDescent="0.2">
      <c r="A36" s="144" t="str">
        <v>H1</v>
      </c>
      <c r="B36" s="145">
        <v>4</v>
      </c>
      <c r="C36" s="129" t="str">
        <v>Bilateral Myringotomies And Tubes</v>
      </c>
      <c r="D36" s="129" t="str">
        <v>H1 – Head: Minor Procedures</v>
      </c>
      <c r="E36" s="129" t="str">
        <v>01 - Head</v>
      </c>
      <c r="F36" s="129" t="str">
        <v>Solutions Plus</v>
      </c>
      <c r="G36" s="144" t="str">
        <v>CON-01</v>
      </c>
      <c r="H36" s="129" t="str">
        <v>To confirm</v>
      </c>
      <c r="I36" s="144" t="str">
        <v>No</v>
      </c>
      <c r="J36" s="144" t="str">
        <v>Base</v>
      </c>
      <c r="K36" s="144" t="str">
        <v/>
      </c>
      <c r="L36" s="146">
        <v>5.6</v>
      </c>
      <c r="M36" s="142">
        <v>307.45</v>
      </c>
      <c r="N36" s="144" t="str">
        <v>Unknown</v>
      </c>
      <c r="O36" s="142" t="str">
        <v/>
      </c>
      <c r="P36" s="142" t="str">
        <v/>
      </c>
      <c r="Q36" s="142">
        <v>54.901785714285715</v>
      </c>
      <c r="R36" s="129" t="str">
        <v>Description – exact</v>
      </c>
      <c r="S36" s="143" t="str">
        <v/>
      </c>
      <c r="T36" s="144" t="str">
        <v>SRC-00</v>
      </c>
      <c r="U36" s="129" t="str">
        <v>S+ row 104</v>
      </c>
      <c r="V36" s="129" t="str">
        <v/>
      </c>
    </row>
    <row r="37" spans="1:22" x14ac:dyDescent="0.2">
      <c r="A37" s="144" t="str">
        <v>H1</v>
      </c>
      <c r="B37" s="145">
        <v>4</v>
      </c>
      <c r="C37" s="129" t="str">
        <v>Bilateral Myringotomies And Ventilation Tubes</v>
      </c>
      <c r="D37" s="129" t="str">
        <v>H1 – Head: Minor Procedures</v>
      </c>
      <c r="E37" s="129" t="str">
        <v>01 - Head</v>
      </c>
      <c r="F37" s="129" t="str">
        <v>Solutions Plus</v>
      </c>
      <c r="G37" s="144" t="str">
        <v>CON-01</v>
      </c>
      <c r="H37" s="129" t="str">
        <v>To confirm</v>
      </c>
      <c r="I37" s="144" t="str">
        <v>No</v>
      </c>
      <c r="J37" s="144" t="str">
        <v>Base</v>
      </c>
      <c r="K37" s="144" t="str">
        <v/>
      </c>
      <c r="L37" s="146">
        <v>5.8</v>
      </c>
      <c r="M37" s="142">
        <v>319</v>
      </c>
      <c r="N37" s="144" t="str">
        <v>Unknown</v>
      </c>
      <c r="O37" s="142" t="str">
        <v/>
      </c>
      <c r="P37" s="142" t="str">
        <v/>
      </c>
      <c r="Q37" s="142">
        <v>55</v>
      </c>
      <c r="R37" s="129" t="str">
        <v>Description – exact</v>
      </c>
      <c r="S37" s="143" t="str">
        <v/>
      </c>
      <c r="T37" s="144" t="str">
        <v>SRC-00</v>
      </c>
      <c r="U37" s="129" t="str">
        <v>S+ row 105</v>
      </c>
      <c r="V37" s="129" t="str">
        <v/>
      </c>
    </row>
    <row r="38" spans="1:22" x14ac:dyDescent="0.2">
      <c r="A38" s="144" t="str">
        <v>H2</v>
      </c>
      <c r="B38" s="145">
        <v>5</v>
      </c>
      <c r="C38" s="129" t="str">
        <v>Bilateral Otoplasty</v>
      </c>
      <c r="D38" s="129" t="str">
        <v>H2 – Head: Simple but Invasive Procedures</v>
      </c>
      <c r="E38" s="129" t="str">
        <v>01 - Head</v>
      </c>
      <c r="F38" s="129" t="str">
        <v>Solutions Plus</v>
      </c>
      <c r="G38" s="144" t="str">
        <v>CON-01</v>
      </c>
      <c r="H38" s="129" t="str">
        <v>To confirm</v>
      </c>
      <c r="I38" s="144" t="str">
        <v>No</v>
      </c>
      <c r="J38" s="144" t="str">
        <v>Base</v>
      </c>
      <c r="K38" s="144" t="str">
        <v/>
      </c>
      <c r="L38" s="146">
        <v>12.7</v>
      </c>
      <c r="M38" s="142">
        <v>700.7</v>
      </c>
      <c r="N38" s="144" t="str">
        <v>Unknown</v>
      </c>
      <c r="O38" s="142" t="str">
        <v/>
      </c>
      <c r="P38" s="142" t="str">
        <v/>
      </c>
      <c r="Q38" s="142">
        <v>55.173228346456696</v>
      </c>
      <c r="R38" s="129" t="str">
        <v>Description – likely</v>
      </c>
      <c r="S38" s="143" t="str">
        <v/>
      </c>
      <c r="T38" s="144" t="str">
        <v>SRC-00</v>
      </c>
      <c r="U38" s="129" t="str">
        <v>S+ row 106</v>
      </c>
      <c r="V38" s="129" t="str">
        <v/>
      </c>
    </row>
    <row r="39" spans="1:22" x14ac:dyDescent="0.2">
      <c r="A39" s="144" t="str">
        <v>H1</v>
      </c>
      <c r="B39" s="145">
        <v>4</v>
      </c>
      <c r="C39" s="129" t="str">
        <v>Bilateral repair of ectropion – LA (Day Stay/Theatre)</v>
      </c>
      <c r="D39" s="129" t="str">
        <v>H1 – Head: Minor Procedures</v>
      </c>
      <c r="E39" s="129" t="str">
        <v>01 - Head</v>
      </c>
      <c r="F39" s="129" t="str">
        <v>SXAP</v>
      </c>
      <c r="G39" s="144" t="str">
        <v>CON-02</v>
      </c>
      <c r="H39" s="129" t="str">
        <v>Fixed fee schedule</v>
      </c>
      <c r="I39" s="144" t="str">
        <v>Yes</v>
      </c>
      <c r="J39" s="144" t="str">
        <v>Base</v>
      </c>
      <c r="K39" s="144" t="str">
        <v>AP0139</v>
      </c>
      <c r="L39" s="146" t="str">
        <v/>
      </c>
      <c r="M39" s="142">
        <v>1265</v>
      </c>
      <c r="N39" s="144" t="str">
        <v>Incl</v>
      </c>
      <c r="O39" s="142">
        <v>1100</v>
      </c>
      <c r="P39" s="142">
        <v>1265</v>
      </c>
      <c r="Q39" s="142" t="str">
        <v/>
      </c>
      <c r="R39" s="129" t="str">
        <v>Description – exact</v>
      </c>
      <c r="S39" s="143">
        <v>46113</v>
      </c>
      <c r="T39" s="144" t="str">
        <v>SRC-05</v>
      </c>
      <c r="U39" s="129" t="str">
        <v>p.1</v>
      </c>
      <c r="V39" s="129" t="str">
        <v>Southern Cross Affiliated Provider (SXAP) – anaesthetist fee incl. GST, LA (Day Stay/Theatre). If two AP codes used, charge 50% for second procedure. GA add-on (8265) +$370 (combined $1,635). Matches S+ 'Bilateral Ectropion Repair' (H1).</v>
      </c>
    </row>
    <row r="40" spans="1:22" x14ac:dyDescent="0.2">
      <c r="A40" s="144" t="str">
        <v>H1</v>
      </c>
      <c r="B40" s="145">
        <v>4</v>
      </c>
      <c r="C40" s="129" t="str">
        <v>Bilateral repair of ectropion with grafts – LA (Day Stay/Theatre)</v>
      </c>
      <c r="D40" s="129" t="str">
        <v>H1 – Head: Minor Procedures</v>
      </c>
      <c r="E40" s="129" t="str">
        <v>01 - Head</v>
      </c>
      <c r="F40" s="129" t="str">
        <v>SXAP</v>
      </c>
      <c r="G40" s="144" t="str">
        <v>CON-02</v>
      </c>
      <c r="H40" s="129" t="str">
        <v>Fixed fee schedule</v>
      </c>
      <c r="I40" s="144" t="str">
        <v>Yes</v>
      </c>
      <c r="J40" s="144" t="str">
        <v>Base</v>
      </c>
      <c r="K40" s="144" t="str">
        <v>8943</v>
      </c>
      <c r="L40" s="146" t="str">
        <v/>
      </c>
      <c r="M40" s="142">
        <v>1265</v>
      </c>
      <c r="N40" s="144" t="str">
        <v>Incl</v>
      </c>
      <c r="O40" s="142">
        <v>1100</v>
      </c>
      <c r="P40" s="142">
        <v>1265</v>
      </c>
      <c r="Q40" s="142" t="str">
        <v/>
      </c>
      <c r="R40" s="129" t="str">
        <v>Description – likely</v>
      </c>
      <c r="S40" s="143">
        <v>46113</v>
      </c>
      <c r="T40" s="144" t="str">
        <v>SRC-05</v>
      </c>
      <c r="U40" s="129" t="str">
        <v>p.1</v>
      </c>
      <c r="V40" s="129" t="str">
        <v>Southern Cross Affiliated Provider (SXAP) – anaesthetist fee incl. GST, LA (Day Stay/Theatre). If two AP codes used, charge 50% for second procedure. GA add-on (8265) +$370 (combined $1,635). Likely: bilateral ectropion repair plus graft(s) – graft not separately listed in the RVG; same fee as AP0139. Numeric code as printed (no 'AP' prefix).</v>
      </c>
    </row>
    <row r="41" spans="1:22" x14ac:dyDescent="0.2">
      <c r="A41" s="144" t="str">
        <v>H1</v>
      </c>
      <c r="B41" s="145">
        <v>4</v>
      </c>
      <c r="C41" s="129" t="str">
        <v>Bilateral repair of entropion – LA (Day Stay/Theatre)</v>
      </c>
      <c r="D41" s="129" t="str">
        <v>H1 – Head: Minor Procedures</v>
      </c>
      <c r="E41" s="129" t="str">
        <v>01 - Head</v>
      </c>
      <c r="F41" s="129" t="str">
        <v>SXAP</v>
      </c>
      <c r="G41" s="144" t="str">
        <v>CON-02</v>
      </c>
      <c r="H41" s="129" t="str">
        <v>Fixed fee schedule</v>
      </c>
      <c r="I41" s="144" t="str">
        <v>Yes</v>
      </c>
      <c r="J41" s="144" t="str">
        <v>Base</v>
      </c>
      <c r="K41" s="144" t="str">
        <v>AP0141</v>
      </c>
      <c r="L41" s="146" t="str">
        <v/>
      </c>
      <c r="M41" s="142">
        <v>1265</v>
      </c>
      <c r="N41" s="144" t="str">
        <v>Incl</v>
      </c>
      <c r="O41" s="142">
        <v>1100</v>
      </c>
      <c r="P41" s="142">
        <v>1265</v>
      </c>
      <c r="Q41" s="142" t="str">
        <v/>
      </c>
      <c r="R41" s="129" t="str">
        <v>Description – likely</v>
      </c>
      <c r="S41" s="143">
        <v>46113</v>
      </c>
      <c r="T41" s="144" t="str">
        <v>SRC-05</v>
      </c>
      <c r="U41" s="129" t="str">
        <v>p.1</v>
      </c>
      <c r="V41" s="129" t="str">
        <v>Southern Cross Affiliated Provider (SXAP) – anaesthetist fee incl. GST, LA (Day Stay/Theatre). If two AP codes used, charge 50% for second procedure. GA add-on (8265) +$370 (combined $1,635). Likely: no entropion row in master; grouped with ectropion repair (same eyelid malposition repair, same SXAP fee) – see Open Questions.</v>
      </c>
    </row>
    <row r="42" spans="1:22" x14ac:dyDescent="0.2">
      <c r="A42" s="144" t="str">
        <v>H4</v>
      </c>
      <c r="B42" s="145">
        <v>10</v>
      </c>
      <c r="C42" s="129" t="str">
        <v>Bilateral Sagittal Split Osteotomy</v>
      </c>
      <c r="D42" s="129" t="str">
        <v>H4 – Head: Complex Procedures</v>
      </c>
      <c r="E42" s="129" t="str">
        <v>01 - Head</v>
      </c>
      <c r="F42" s="129" t="str">
        <v>Solutions Plus</v>
      </c>
      <c r="G42" s="144" t="str">
        <v>CON-01</v>
      </c>
      <c r="H42" s="129" t="str">
        <v>To confirm</v>
      </c>
      <c r="I42" s="144" t="str">
        <v>No</v>
      </c>
      <c r="J42" s="144" t="str">
        <v>Base</v>
      </c>
      <c r="K42" s="144" t="str">
        <v/>
      </c>
      <c r="L42" s="146">
        <v>21.8</v>
      </c>
      <c r="M42" s="142">
        <v>1196.25</v>
      </c>
      <c r="N42" s="144" t="str">
        <v>Unknown</v>
      </c>
      <c r="O42" s="142" t="str">
        <v/>
      </c>
      <c r="P42" s="142" t="str">
        <v/>
      </c>
      <c r="Q42" s="142">
        <v>54.87385321100917</v>
      </c>
      <c r="R42" s="129" t="str">
        <v>Description – exact</v>
      </c>
      <c r="S42" s="143" t="str">
        <v/>
      </c>
      <c r="T42" s="144" t="str">
        <v>SRC-00</v>
      </c>
      <c r="U42" s="129" t="str">
        <v>S+ row 108</v>
      </c>
      <c r="V42" s="129" t="str">
        <v/>
      </c>
    </row>
    <row r="43" spans="1:22" x14ac:dyDescent="0.2">
      <c r="A43" s="144" t="str">
        <v>H3</v>
      </c>
      <c r="B43" s="145">
        <v>6</v>
      </c>
      <c r="C43" s="129" t="str">
        <v>Bilateral TMJ Arthroscopy</v>
      </c>
      <c r="D43" s="129" t="str">
        <v>H3 – Head: Moderate Procedures</v>
      </c>
      <c r="E43" s="129" t="str">
        <v>01 - Head</v>
      </c>
      <c r="F43" s="129" t="str">
        <v>Solutions Plus</v>
      </c>
      <c r="G43" s="144" t="str">
        <v>CON-01</v>
      </c>
      <c r="H43" s="129" t="str">
        <v>To confirm</v>
      </c>
      <c r="I43" s="144" t="str">
        <v>No</v>
      </c>
      <c r="J43" s="144" t="str">
        <v>Base</v>
      </c>
      <c r="K43" s="144" t="str">
        <v/>
      </c>
      <c r="L43" s="146">
        <v>12.1</v>
      </c>
      <c r="M43" s="142">
        <v>667.7</v>
      </c>
      <c r="N43" s="144" t="str">
        <v>Unknown</v>
      </c>
      <c r="O43" s="142" t="str">
        <v/>
      </c>
      <c r="P43" s="142" t="str">
        <v/>
      </c>
      <c r="Q43" s="142">
        <v>55.181818181818187</v>
      </c>
      <c r="R43" s="129" t="str">
        <v>Description – likely</v>
      </c>
      <c r="S43" s="143" t="str">
        <v/>
      </c>
      <c r="T43" s="144" t="str">
        <v>SRC-00</v>
      </c>
      <c r="U43" s="129" t="str">
        <v>S+ row 110</v>
      </c>
      <c r="V43" s="129" t="str">
        <v/>
      </c>
    </row>
    <row r="44" spans="1:22" x14ac:dyDescent="0.2">
      <c r="A44" s="144" t="str">
        <v>H2</v>
      </c>
      <c r="B44" s="145">
        <v>5</v>
      </c>
      <c r="C44" s="129" t="str">
        <v>Bilateral Tonsillectomy</v>
      </c>
      <c r="D44" s="129" t="str">
        <v>H2 – Head: Simple but Invasive Procedures</v>
      </c>
      <c r="E44" s="129" t="str">
        <v>01 - Head</v>
      </c>
      <c r="F44" s="129" t="str">
        <v>Solutions Plus</v>
      </c>
      <c r="G44" s="144" t="str">
        <v>CON-01</v>
      </c>
      <c r="H44" s="129" t="str">
        <v>To confirm</v>
      </c>
      <c r="I44" s="144" t="str">
        <v>No</v>
      </c>
      <c r="J44" s="144" t="str">
        <v>Base</v>
      </c>
      <c r="K44" s="144" t="str">
        <v/>
      </c>
      <c r="L44" s="146">
        <v>8.6999999999999993</v>
      </c>
      <c r="M44" s="142">
        <v>477.95</v>
      </c>
      <c r="N44" s="144" t="str">
        <v>Unknown</v>
      </c>
      <c r="O44" s="142" t="str">
        <v/>
      </c>
      <c r="P44" s="142" t="str">
        <v/>
      </c>
      <c r="Q44" s="142">
        <v>54.936781609195407</v>
      </c>
      <c r="R44" s="129" t="str">
        <v>Description – exact</v>
      </c>
      <c r="S44" s="143" t="str">
        <v/>
      </c>
      <c r="T44" s="144" t="str">
        <v>SRC-00</v>
      </c>
      <c r="U44" s="129" t="str">
        <v>S+ row 111</v>
      </c>
      <c r="V44" s="129" t="str">
        <v/>
      </c>
    </row>
    <row r="45" spans="1:22" x14ac:dyDescent="0.2">
      <c r="A45" s="144" t="str">
        <v>H2</v>
      </c>
      <c r="B45" s="145">
        <v>5</v>
      </c>
      <c r="C45" s="129" t="str">
        <v>Bilateral Turbinoplasty</v>
      </c>
      <c r="D45" s="129" t="str">
        <v>H2 – Head: Simple but Invasive Procedures</v>
      </c>
      <c r="E45" s="129" t="str">
        <v>01 - Head</v>
      </c>
      <c r="F45" s="129" t="str">
        <v>Solutions Plus</v>
      </c>
      <c r="G45" s="144" t="str">
        <v>CON-01</v>
      </c>
      <c r="H45" s="129" t="str">
        <v>To confirm</v>
      </c>
      <c r="I45" s="144" t="str">
        <v>No</v>
      </c>
      <c r="J45" s="144" t="str">
        <v>Base</v>
      </c>
      <c r="K45" s="144" t="str">
        <v/>
      </c>
      <c r="L45" s="146">
        <v>7.8</v>
      </c>
      <c r="M45" s="142">
        <v>431.2</v>
      </c>
      <c r="N45" s="144" t="str">
        <v>Unknown</v>
      </c>
      <c r="O45" s="142" t="str">
        <v/>
      </c>
      <c r="P45" s="142" t="str">
        <v/>
      </c>
      <c r="Q45" s="142">
        <v>55.282051282051285</v>
      </c>
      <c r="R45" s="129" t="str">
        <v>Description – likely</v>
      </c>
      <c r="S45" s="143" t="str">
        <v/>
      </c>
      <c r="T45" s="144" t="str">
        <v>SRC-00</v>
      </c>
      <c r="U45" s="129" t="str">
        <v>S+ row 114</v>
      </c>
      <c r="V45" s="129" t="str">
        <v/>
      </c>
    </row>
    <row r="46" spans="1:22" x14ac:dyDescent="0.2">
      <c r="A46" s="144" t="str">
        <v>H1</v>
      </c>
      <c r="B46" s="145">
        <v>4</v>
      </c>
      <c r="C46" s="129" t="str">
        <v>Bilateral Upper Lid Bleparoplasty</v>
      </c>
      <c r="D46" s="129" t="str">
        <v>H1 – Head: Minor Procedures</v>
      </c>
      <c r="E46" s="129" t="str">
        <v>01 - Head</v>
      </c>
      <c r="F46" s="129" t="str">
        <v>Solutions Plus</v>
      </c>
      <c r="G46" s="144" t="str">
        <v>CON-01</v>
      </c>
      <c r="H46" s="129" t="str">
        <v>To confirm</v>
      </c>
      <c r="I46" s="144" t="str">
        <v>No</v>
      </c>
      <c r="J46" s="144" t="str">
        <v>Base</v>
      </c>
      <c r="K46" s="144" t="str">
        <v/>
      </c>
      <c r="L46" s="146">
        <v>3.7</v>
      </c>
      <c r="M46" s="142">
        <v>200.75</v>
      </c>
      <c r="N46" s="144" t="str">
        <v>Unknown</v>
      </c>
      <c r="O46" s="142" t="str">
        <v/>
      </c>
      <c r="P46" s="142" t="str">
        <v/>
      </c>
      <c r="Q46" s="142">
        <v>54.256756756756751</v>
      </c>
      <c r="R46" s="129" t="str">
        <v>Description – likely</v>
      </c>
      <c r="S46" s="143" t="str">
        <v/>
      </c>
      <c r="T46" s="144" t="str">
        <v>SRC-00</v>
      </c>
      <c r="U46" s="129" t="str">
        <v>S+ row 116</v>
      </c>
      <c r="V46" s="129" t="str">
        <v/>
      </c>
    </row>
    <row r="47" spans="1:22" x14ac:dyDescent="0.2">
      <c r="A47" s="144" t="str">
        <v>H1</v>
      </c>
      <c r="B47" s="145">
        <v>4</v>
      </c>
      <c r="C47" s="129" t="str">
        <v>Bilateral Upper Lid Blepharoplasties</v>
      </c>
      <c r="D47" s="129" t="str">
        <v>H1 – Head: Minor Procedures</v>
      </c>
      <c r="E47" s="129" t="str">
        <v>01 - Head</v>
      </c>
      <c r="F47" s="129" t="str">
        <v>Solutions Plus</v>
      </c>
      <c r="G47" s="144" t="str">
        <v>CON-01</v>
      </c>
      <c r="H47" s="129" t="str">
        <v>To confirm</v>
      </c>
      <c r="I47" s="144" t="str">
        <v>No</v>
      </c>
      <c r="J47" s="144" t="str">
        <v>Base</v>
      </c>
      <c r="K47" s="144" t="str">
        <v/>
      </c>
      <c r="L47" s="146">
        <v>7.5</v>
      </c>
      <c r="M47" s="142">
        <v>413.6</v>
      </c>
      <c r="N47" s="144" t="str">
        <v>Unknown</v>
      </c>
      <c r="O47" s="142" t="str">
        <v/>
      </c>
      <c r="P47" s="142" t="str">
        <v/>
      </c>
      <c r="Q47" s="142">
        <v>55.146666666666668</v>
      </c>
      <c r="R47" s="129" t="str">
        <v>Description – likely</v>
      </c>
      <c r="S47" s="143" t="str">
        <v/>
      </c>
      <c r="T47" s="144" t="str">
        <v>SRC-00</v>
      </c>
      <c r="U47" s="129" t="str">
        <v>S+ row 117</v>
      </c>
      <c r="V47" s="129" t="str">
        <v/>
      </c>
    </row>
    <row r="48" spans="1:22" x14ac:dyDescent="0.2">
      <c r="A48" s="144" t="str">
        <v>H1</v>
      </c>
      <c r="B48" s="145">
        <v>4</v>
      </c>
      <c r="C48" s="129" t="str">
        <v>Bilateral Upper Lid Blepharoplasty</v>
      </c>
      <c r="D48" s="129" t="str">
        <v>H1 – Head: Minor Procedures</v>
      </c>
      <c r="E48" s="129" t="str">
        <v>01 - Head</v>
      </c>
      <c r="F48" s="129" t="str">
        <v>Solutions Plus</v>
      </c>
      <c r="G48" s="144" t="str">
        <v>CON-01</v>
      </c>
      <c r="H48" s="129" t="str">
        <v>To confirm</v>
      </c>
      <c r="I48" s="144" t="str">
        <v>No</v>
      </c>
      <c r="J48" s="144" t="str">
        <v>Base</v>
      </c>
      <c r="K48" s="144" t="str">
        <v/>
      </c>
      <c r="L48" s="146">
        <v>6</v>
      </c>
      <c r="M48" s="142">
        <v>328.9</v>
      </c>
      <c r="N48" s="144" t="str">
        <v>Unknown</v>
      </c>
      <c r="O48" s="142" t="str">
        <v/>
      </c>
      <c r="P48" s="142" t="str">
        <v/>
      </c>
      <c r="Q48" s="142">
        <v>54.816666666666663</v>
      </c>
      <c r="R48" s="129" t="str">
        <v>Description – likely</v>
      </c>
      <c r="S48" s="143" t="str">
        <v/>
      </c>
      <c r="T48" s="144" t="str">
        <v>SRC-00</v>
      </c>
      <c r="U48" s="129" t="str">
        <v>S+ row 118</v>
      </c>
      <c r="V48" s="129" t="str">
        <v/>
      </c>
    </row>
    <row r="49" spans="1:22" x14ac:dyDescent="0.2">
      <c r="A49" s="144" t="str">
        <v>H1</v>
      </c>
      <c r="B49" s="145">
        <v>4</v>
      </c>
      <c r="C49" s="129" t="str">
        <v>Bilateral Upper Lid Blephs</v>
      </c>
      <c r="D49" s="129" t="str">
        <v>H1 – Head: Minor Procedures</v>
      </c>
      <c r="E49" s="129" t="str">
        <v>01 - Head</v>
      </c>
      <c r="F49" s="129" t="str">
        <v>Solutions Plus</v>
      </c>
      <c r="G49" s="144" t="str">
        <v>CON-01</v>
      </c>
      <c r="H49" s="129" t="str">
        <v>To confirm</v>
      </c>
      <c r="I49" s="144" t="str">
        <v>No</v>
      </c>
      <c r="J49" s="144" t="str">
        <v>Base</v>
      </c>
      <c r="K49" s="144" t="str">
        <v/>
      </c>
      <c r="L49" s="146">
        <v>6.7</v>
      </c>
      <c r="M49" s="142">
        <v>367.4</v>
      </c>
      <c r="N49" s="144" t="str">
        <v>Unknown</v>
      </c>
      <c r="O49" s="142" t="str">
        <v/>
      </c>
      <c r="P49" s="142" t="str">
        <v/>
      </c>
      <c r="Q49" s="142">
        <v>54.835820895522382</v>
      </c>
      <c r="R49" s="129" t="str">
        <v>Description – likely</v>
      </c>
      <c r="S49" s="143" t="str">
        <v/>
      </c>
      <c r="T49" s="144" t="str">
        <v>SRC-00</v>
      </c>
      <c r="U49" s="129" t="str">
        <v>S+ row 115</v>
      </c>
      <c r="V49" s="129" t="str">
        <v/>
      </c>
    </row>
    <row r="50" spans="1:22" x14ac:dyDescent="0.2">
      <c r="A50" s="144" t="str">
        <v>H1</v>
      </c>
      <c r="B50" s="145">
        <v>4</v>
      </c>
      <c r="C50" s="129" t="str">
        <v>Bilateral Upper Lid Blephs</v>
      </c>
      <c r="D50" s="129" t="str">
        <v>H1 – Head: Minor Procedures</v>
      </c>
      <c r="E50" s="129" t="str">
        <v>01 - Head</v>
      </c>
      <c r="F50" s="129" t="str">
        <v>Solutions Plus</v>
      </c>
      <c r="G50" s="144" t="str">
        <v>CON-01</v>
      </c>
      <c r="H50" s="129" t="str">
        <v>To confirm</v>
      </c>
      <c r="I50" s="144" t="str">
        <v>No</v>
      </c>
      <c r="J50" s="144" t="str">
        <v>Base</v>
      </c>
      <c r="K50" s="144" t="str">
        <v/>
      </c>
      <c r="L50" s="146">
        <v>6.2</v>
      </c>
      <c r="M50" s="142">
        <v>338.25</v>
      </c>
      <c r="N50" s="144" t="str">
        <v>Unknown</v>
      </c>
      <c r="O50" s="142" t="str">
        <v/>
      </c>
      <c r="P50" s="142" t="str">
        <v/>
      </c>
      <c r="Q50" s="142">
        <v>54.556451612903224</v>
      </c>
      <c r="R50" s="129" t="str">
        <v>Description – likely</v>
      </c>
      <c r="S50" s="143" t="str">
        <v/>
      </c>
      <c r="T50" s="144" t="str">
        <v>SRC-00</v>
      </c>
      <c r="U50" s="129" t="str">
        <v>S+ row 119</v>
      </c>
      <c r="V50" s="129" t="str">
        <v/>
      </c>
    </row>
    <row r="51" spans="1:22" x14ac:dyDescent="0.2">
      <c r="A51" s="144" t="str">
        <v>H1</v>
      </c>
      <c r="B51" s="145">
        <v>4</v>
      </c>
      <c r="C51" s="129" t="str">
        <v>Bilateral Ventilation Tube Insertion</v>
      </c>
      <c r="D51" s="129" t="str">
        <v>H1 – Head: Minor Procedures</v>
      </c>
      <c r="E51" s="129" t="str">
        <v>01 - Head</v>
      </c>
      <c r="F51" s="129" t="str">
        <v>Solutions Plus</v>
      </c>
      <c r="G51" s="144" t="str">
        <v>CON-01</v>
      </c>
      <c r="H51" s="129" t="str">
        <v>To confirm</v>
      </c>
      <c r="I51" s="144" t="str">
        <v>No</v>
      </c>
      <c r="J51" s="144" t="str">
        <v>Base</v>
      </c>
      <c r="K51" s="144" t="str">
        <v/>
      </c>
      <c r="L51" s="146">
        <v>5.6</v>
      </c>
      <c r="M51" s="142">
        <v>310.2</v>
      </c>
      <c r="N51" s="144" t="str">
        <v>Unknown</v>
      </c>
      <c r="O51" s="142" t="str">
        <v/>
      </c>
      <c r="P51" s="142" t="str">
        <v/>
      </c>
      <c r="Q51" s="142">
        <v>55.392857142857146</v>
      </c>
      <c r="R51" s="129" t="str">
        <v>Description – exact</v>
      </c>
      <c r="S51" s="143" t="str">
        <v/>
      </c>
      <c r="T51" s="144" t="str">
        <v>SRC-00</v>
      </c>
      <c r="U51" s="129" t="str">
        <v>S+ row 120</v>
      </c>
      <c r="V51" s="129" t="str">
        <v/>
      </c>
    </row>
    <row r="52" spans="1:22" x14ac:dyDescent="0.2">
      <c r="A52" s="144" t="str">
        <v>H1</v>
      </c>
      <c r="B52" s="145">
        <v>4</v>
      </c>
      <c r="C52" s="129" t="str">
        <v>Bilateral Ventilation Tubes</v>
      </c>
      <c r="D52" s="129" t="str">
        <v>H1 – Head: Minor Procedures</v>
      </c>
      <c r="E52" s="129" t="str">
        <v>01 - Head</v>
      </c>
      <c r="F52" s="129" t="str">
        <v>Solutions Plus</v>
      </c>
      <c r="G52" s="144" t="str">
        <v>CON-01</v>
      </c>
      <c r="H52" s="129" t="str">
        <v>To confirm</v>
      </c>
      <c r="I52" s="144" t="str">
        <v>No</v>
      </c>
      <c r="J52" s="144" t="str">
        <v>Base</v>
      </c>
      <c r="K52" s="144" t="str">
        <v/>
      </c>
      <c r="L52" s="146">
        <v>5.8</v>
      </c>
      <c r="M52" s="142">
        <v>317.89999999999998</v>
      </c>
      <c r="N52" s="144" t="str">
        <v>Unknown</v>
      </c>
      <c r="O52" s="142" t="str">
        <v/>
      </c>
      <c r="P52" s="142" t="str">
        <v/>
      </c>
      <c r="Q52" s="142">
        <v>54.810344827586206</v>
      </c>
      <c r="R52" s="129" t="str">
        <v>Description – exact</v>
      </c>
      <c r="S52" s="143" t="str">
        <v/>
      </c>
      <c r="T52" s="144" t="str">
        <v>SRC-00</v>
      </c>
      <c r="U52" s="129" t="str">
        <v>S+ row 121</v>
      </c>
      <c r="V52" s="129" t="str">
        <v/>
      </c>
    </row>
    <row r="53" spans="1:22" x14ac:dyDescent="0.2">
      <c r="A53" s="144" t="str">
        <v>H2</v>
      </c>
      <c r="B53" s="145">
        <v>5</v>
      </c>
      <c r="C53" s="129" t="str">
        <v>Bilateral Ventilation Tubes And Adenoidectomy</v>
      </c>
      <c r="D53" s="129" t="str">
        <v>H2 – Head: Simple but Invasive Procedures</v>
      </c>
      <c r="E53" s="129" t="str">
        <v>01 - Head</v>
      </c>
      <c r="F53" s="129" t="str">
        <v>Solutions Plus</v>
      </c>
      <c r="G53" s="144" t="str">
        <v>CON-01</v>
      </c>
      <c r="H53" s="129" t="str">
        <v>To confirm</v>
      </c>
      <c r="I53" s="144" t="str">
        <v>No</v>
      </c>
      <c r="J53" s="144" t="str">
        <v>Base</v>
      </c>
      <c r="K53" s="144" t="str">
        <v/>
      </c>
      <c r="L53" s="146">
        <v>7.5</v>
      </c>
      <c r="M53" s="142">
        <v>413.6</v>
      </c>
      <c r="N53" s="144" t="str">
        <v>Unknown</v>
      </c>
      <c r="O53" s="142" t="str">
        <v/>
      </c>
      <c r="P53" s="142" t="str">
        <v/>
      </c>
      <c r="Q53" s="142">
        <v>55.146666666666668</v>
      </c>
      <c r="R53" s="129" t="str">
        <v>Description – exact</v>
      </c>
      <c r="S53" s="143" t="str">
        <v/>
      </c>
      <c r="T53" s="144" t="str">
        <v>SRC-00</v>
      </c>
      <c r="U53" s="129" t="str">
        <v>S+ row 122</v>
      </c>
      <c r="V53" s="129" t="str">
        <v/>
      </c>
    </row>
    <row r="54" spans="1:22" x14ac:dyDescent="0.2">
      <c r="A54" s="144" t="str">
        <v>H1</v>
      </c>
      <c r="B54" s="145">
        <v>4</v>
      </c>
      <c r="C54" s="129" t="str">
        <v>Bilateral Ventillation Tube Insertion</v>
      </c>
      <c r="D54" s="129" t="str">
        <v>H1 – Head: Minor Procedures</v>
      </c>
      <c r="E54" s="129" t="str">
        <v>01 - Head</v>
      </c>
      <c r="F54" s="129" t="str">
        <v>Solutions Plus</v>
      </c>
      <c r="G54" s="144" t="str">
        <v>CON-01</v>
      </c>
      <c r="H54" s="129" t="str">
        <v>To confirm</v>
      </c>
      <c r="I54" s="144" t="str">
        <v>No</v>
      </c>
      <c r="J54" s="144" t="str">
        <v>Base</v>
      </c>
      <c r="K54" s="144" t="str">
        <v/>
      </c>
      <c r="L54" s="146">
        <v>5.8</v>
      </c>
      <c r="M54" s="142">
        <v>316.25</v>
      </c>
      <c r="N54" s="144" t="str">
        <v>Unknown</v>
      </c>
      <c r="O54" s="142" t="str">
        <v/>
      </c>
      <c r="P54" s="142" t="str">
        <v/>
      </c>
      <c r="Q54" s="142">
        <v>54.525862068965516</v>
      </c>
      <c r="R54" s="129" t="str">
        <v>Description – exact</v>
      </c>
      <c r="S54" s="143" t="str">
        <v/>
      </c>
      <c r="T54" s="144" t="str">
        <v>SRC-00</v>
      </c>
      <c r="U54" s="129" t="str">
        <v>S+ row 123</v>
      </c>
      <c r="V54" s="129" t="str">
        <v/>
      </c>
    </row>
    <row r="55" spans="1:22" x14ac:dyDescent="0.2">
      <c r="A55" s="144" t="str">
        <v>H2</v>
      </c>
      <c r="B55" s="145">
        <v>5</v>
      </c>
      <c r="C55" s="129" t="str">
        <v>Bilateral Ventillation Tubes &amp; Adenoidectomy</v>
      </c>
      <c r="D55" s="129" t="str">
        <v>H2 – Head: Simple but Invasive Procedures</v>
      </c>
      <c r="E55" s="129" t="str">
        <v>01 - Head</v>
      </c>
      <c r="F55" s="129" t="str">
        <v>Solutions Plus</v>
      </c>
      <c r="G55" s="144" t="str">
        <v>CON-01</v>
      </c>
      <c r="H55" s="129" t="str">
        <v>To confirm</v>
      </c>
      <c r="I55" s="144" t="str">
        <v>No</v>
      </c>
      <c r="J55" s="144" t="str">
        <v>Base</v>
      </c>
      <c r="K55" s="144" t="str">
        <v/>
      </c>
      <c r="L55" s="146">
        <v>7.8</v>
      </c>
      <c r="M55" s="142">
        <v>426.25</v>
      </c>
      <c r="N55" s="144" t="str">
        <v>Unknown</v>
      </c>
      <c r="O55" s="142" t="str">
        <v/>
      </c>
      <c r="P55" s="142" t="str">
        <v/>
      </c>
      <c r="Q55" s="142">
        <v>54.647435897435898</v>
      </c>
      <c r="R55" s="129" t="str">
        <v>Description – exact</v>
      </c>
      <c r="S55" s="143" t="str">
        <v/>
      </c>
      <c r="T55" s="144" t="str">
        <v>SRC-00</v>
      </c>
      <c r="U55" s="129" t="str">
        <v>S+ row 124</v>
      </c>
      <c r="V55" s="129" t="str">
        <v/>
      </c>
    </row>
    <row r="56" spans="1:22" x14ac:dyDescent="0.2">
      <c r="A56" s="144" t="str">
        <v>H4</v>
      </c>
      <c r="B56" s="145">
        <v>10</v>
      </c>
      <c r="C56" s="129" t="str">
        <v>Bimaxillary Osteotomy</v>
      </c>
      <c r="D56" s="129" t="str">
        <v>H4 – Head: Complex Procedures</v>
      </c>
      <c r="E56" s="129" t="str">
        <v>01 - Head</v>
      </c>
      <c r="F56" s="129" t="str">
        <v>Solutions Plus</v>
      </c>
      <c r="G56" s="144" t="str">
        <v>CON-01</v>
      </c>
      <c r="H56" s="129" t="str">
        <v>To confirm</v>
      </c>
      <c r="I56" s="144" t="str">
        <v>No</v>
      </c>
      <c r="J56" s="144" t="str">
        <v>Base</v>
      </c>
      <c r="K56" s="144" t="str">
        <v/>
      </c>
      <c r="L56" s="146">
        <v>26</v>
      </c>
      <c r="M56" s="142">
        <v>1429.45</v>
      </c>
      <c r="N56" s="144" t="str">
        <v>Unknown</v>
      </c>
      <c r="O56" s="142" t="str">
        <v/>
      </c>
      <c r="P56" s="142" t="str">
        <v/>
      </c>
      <c r="Q56" s="142">
        <v>54.978846153846156</v>
      </c>
      <c r="R56" s="129" t="str">
        <v>Description – exact</v>
      </c>
      <c r="S56" s="143" t="str">
        <v/>
      </c>
      <c r="T56" s="144" t="str">
        <v>SRC-00</v>
      </c>
      <c r="U56" s="129" t="str">
        <v>S+ row 125</v>
      </c>
      <c r="V56" s="129" t="str">
        <v/>
      </c>
    </row>
    <row r="57" spans="1:22" x14ac:dyDescent="0.2">
      <c r="A57" s="144" t="str">
        <v>H1</v>
      </c>
      <c r="B57" s="145">
        <v>4</v>
      </c>
      <c r="C57" s="129" t="str">
        <v>Biopsy of eyelid</v>
      </c>
      <c r="D57" s="129" t="str">
        <v>H1 – Head: Minor Procedures</v>
      </c>
      <c r="E57" s="129" t="str">
        <v>01 - Head</v>
      </c>
      <c r="F57" s="129" t="str">
        <v>CESL – HNZ (commitment)</v>
      </c>
      <c r="G57" s="144" t="str">
        <v>CON-05</v>
      </c>
      <c r="H57" s="129" t="str">
        <v>Fixed fee schedule</v>
      </c>
      <c r="I57" s="144" t="str">
        <v>Yes</v>
      </c>
      <c r="J57" s="144" t="str">
        <v>Base</v>
      </c>
      <c r="K57" s="144" t="str">
        <v>HNZ39</v>
      </c>
      <c r="L57" s="146" t="str">
        <v/>
      </c>
      <c r="M57" s="142">
        <v>480</v>
      </c>
      <c r="N57" s="144" t="str">
        <v>Excl</v>
      </c>
      <c r="O57" s="142">
        <v>480</v>
      </c>
      <c r="P57" s="142">
        <v>552</v>
      </c>
      <c r="Q57" s="142" t="str">
        <v/>
      </c>
      <c r="R57" s="129" t="str">
        <v>Description – likely</v>
      </c>
      <c r="S57" s="143" t="str">
        <v/>
      </c>
      <c r="T57" s="144" t="str">
        <v>SRC-08</v>
      </c>
      <c r="U57" s="129" t="str">
        <v>Sheet row 45 – commitment</v>
      </c>
      <c r="V57" s="129" t="str">
        <v>CES HNZ Contract (Health NZ), commitment tier. Panel tier fee $500. Printed excl. GST; no effective date printed. Likely: eyelid lesion surgery – matched to S+ 'Excision Of Lesion + Direct Closure Left Eyelid' (H1).</v>
      </c>
    </row>
    <row r="58" spans="1:22" x14ac:dyDescent="0.2">
      <c r="A58" s="144" t="str">
        <v>H1</v>
      </c>
      <c r="B58" s="145">
        <v>4</v>
      </c>
      <c r="C58" s="129" t="str">
        <v>Biopsy of eyelid</v>
      </c>
      <c r="D58" s="129" t="str">
        <v>H1 – Head: Minor Procedures</v>
      </c>
      <c r="E58" s="129" t="str">
        <v>01 - Head</v>
      </c>
      <c r="F58" s="129" t="str">
        <v>CESL – HNZ (panel)</v>
      </c>
      <c r="G58" s="144" t="str">
        <v>CON-06</v>
      </c>
      <c r="H58" s="129" t="str">
        <v>Fixed fee schedule</v>
      </c>
      <c r="I58" s="144" t="str">
        <v>Yes</v>
      </c>
      <c r="J58" s="144" t="str">
        <v>Base</v>
      </c>
      <c r="K58" s="144" t="str">
        <v>HNZ39</v>
      </c>
      <c r="L58" s="146" t="str">
        <v/>
      </c>
      <c r="M58" s="142">
        <v>500</v>
      </c>
      <c r="N58" s="144" t="str">
        <v>Excl</v>
      </c>
      <c r="O58" s="142">
        <v>500</v>
      </c>
      <c r="P58" s="142">
        <v>575</v>
      </c>
      <c r="Q58" s="142" t="str">
        <v/>
      </c>
      <c r="R58" s="129" t="str">
        <v>Description – likely</v>
      </c>
      <c r="S58" s="143" t="str">
        <v/>
      </c>
      <c r="T58" s="144" t="str">
        <v>SRC-08</v>
      </c>
      <c r="U58" s="129" t="str">
        <v>Sheet row 45 – panel</v>
      </c>
      <c r="V58" s="129" t="str">
        <v>CES HNZ Contract (Health NZ), panel tier. Commitment tier fee $480. Printed excl. GST; no effective date printed. Likely: eyelid lesion surgery – matched to S+ 'Excision Of Lesion + Direct Closure Left Eyelid' (H1).</v>
      </c>
    </row>
    <row r="59" spans="1:22" x14ac:dyDescent="0.2">
      <c r="A59" s="144" t="str">
        <v>H1</v>
      </c>
      <c r="B59" s="145">
        <v>4</v>
      </c>
      <c r="C59" s="129" t="str">
        <v>Biopsy Of Left Lateral Border Of Tongue</v>
      </c>
      <c r="D59" s="129" t="str">
        <v>H1 – Head: Minor Procedures</v>
      </c>
      <c r="E59" s="129" t="str">
        <v>01 - Head</v>
      </c>
      <c r="F59" s="129" t="str">
        <v>Solutions Plus</v>
      </c>
      <c r="G59" s="144" t="str">
        <v>CON-01</v>
      </c>
      <c r="H59" s="129" t="str">
        <v>To confirm</v>
      </c>
      <c r="I59" s="144" t="str">
        <v>No</v>
      </c>
      <c r="J59" s="144" t="str">
        <v>Base</v>
      </c>
      <c r="K59" s="144" t="str">
        <v/>
      </c>
      <c r="L59" s="146">
        <v>6</v>
      </c>
      <c r="M59" s="142">
        <v>330</v>
      </c>
      <c r="N59" s="144" t="str">
        <v>Unknown</v>
      </c>
      <c r="O59" s="142" t="str">
        <v/>
      </c>
      <c r="P59" s="142" t="str">
        <v/>
      </c>
      <c r="Q59" s="142">
        <v>55</v>
      </c>
      <c r="R59" s="129" t="str">
        <v>Description – likely</v>
      </c>
      <c r="S59" s="143" t="str">
        <v/>
      </c>
      <c r="T59" s="144" t="str">
        <v>SRC-00</v>
      </c>
      <c r="U59" s="129" t="str">
        <v>S+ row 127</v>
      </c>
      <c r="V59" s="129" t="str">
        <v/>
      </c>
    </row>
    <row r="60" spans="1:22" x14ac:dyDescent="0.2">
      <c r="A60" s="144" t="str">
        <v>H1</v>
      </c>
      <c r="B60" s="145">
        <v>4</v>
      </c>
      <c r="C60" s="129" t="str">
        <v>Blepharoplasty</v>
      </c>
      <c r="D60" s="129" t="str">
        <v>H1 – Head: Minor Procedures</v>
      </c>
      <c r="E60" s="129" t="str">
        <v>01 - Head</v>
      </c>
      <c r="F60" s="129" t="str">
        <v>CESL – HNZ (commitment)</v>
      </c>
      <c r="G60" s="144" t="str">
        <v>CON-05</v>
      </c>
      <c r="H60" s="129" t="str">
        <v>Fixed fee schedule</v>
      </c>
      <c r="I60" s="144" t="str">
        <v>Yes</v>
      </c>
      <c r="J60" s="144" t="str">
        <v>Base</v>
      </c>
      <c r="K60" s="144" t="str">
        <v>HNZ23</v>
      </c>
      <c r="L60" s="146" t="str">
        <v/>
      </c>
      <c r="M60" s="142">
        <v>800</v>
      </c>
      <c r="N60" s="144" t="str">
        <v>Excl</v>
      </c>
      <c r="O60" s="142">
        <v>800</v>
      </c>
      <c r="P60" s="142">
        <v>919.99999999999989</v>
      </c>
      <c r="Q60" s="142" t="str">
        <v/>
      </c>
      <c r="R60" s="129" t="str">
        <v>Description – likely</v>
      </c>
      <c r="S60" s="143" t="str">
        <v/>
      </c>
      <c r="T60" s="144" t="str">
        <v>SRC-08</v>
      </c>
      <c r="U60" s="129" t="str">
        <v>Sheet row 31 – commitment</v>
      </c>
      <c r="V60" s="129" t="str">
        <v>CES HNZ Contract (Health NZ), commitment tier. Same fee in the panel tier. Printed excl. GST; no effective date printed. Likely: upper-lid surgery – grouped with S+ upper-lid blepharoplasty and the SRC-07 bleph/ptosis rows (H1).</v>
      </c>
    </row>
    <row r="61" spans="1:22" x14ac:dyDescent="0.2">
      <c r="A61" s="144" t="str">
        <v>H1</v>
      </c>
      <c r="B61" s="145">
        <v>4</v>
      </c>
      <c r="C61" s="129" t="str">
        <v>Blepharoplasty</v>
      </c>
      <c r="D61" s="129" t="str">
        <v>H1 – Head: Minor Procedures</v>
      </c>
      <c r="E61" s="129" t="str">
        <v>01 - Head</v>
      </c>
      <c r="F61" s="129" t="str">
        <v>CESL – HNZ (panel)</v>
      </c>
      <c r="G61" s="144" t="str">
        <v>CON-06</v>
      </c>
      <c r="H61" s="129" t="str">
        <v>Fixed fee schedule</v>
      </c>
      <c r="I61" s="144" t="str">
        <v>Yes</v>
      </c>
      <c r="J61" s="144" t="str">
        <v>Base</v>
      </c>
      <c r="K61" s="144" t="str">
        <v>HNZ23</v>
      </c>
      <c r="L61" s="146" t="str">
        <v/>
      </c>
      <c r="M61" s="142">
        <v>800</v>
      </c>
      <c r="N61" s="144" t="str">
        <v>Excl</v>
      </c>
      <c r="O61" s="142">
        <v>800</v>
      </c>
      <c r="P61" s="142">
        <v>919.99999999999989</v>
      </c>
      <c r="Q61" s="142" t="str">
        <v/>
      </c>
      <c r="R61" s="129" t="str">
        <v>Description – likely</v>
      </c>
      <c r="S61" s="143" t="str">
        <v/>
      </c>
      <c r="T61" s="144" t="str">
        <v>SRC-08</v>
      </c>
      <c r="U61" s="129" t="str">
        <v>Sheet row 31 – panel</v>
      </c>
      <c r="V61" s="129" t="str">
        <v>CES HNZ Contract (Health NZ), panel tier. Same fee in the commitment tier. Printed excl. GST; no effective date printed. Likely: upper-lid surgery – grouped with S+ upper-lid blepharoplasty and the SRC-07 bleph/ptosis rows (H1).</v>
      </c>
    </row>
    <row r="62" spans="1:22" x14ac:dyDescent="0.2">
      <c r="A62" s="144" t="str">
        <v>H1</v>
      </c>
      <c r="B62" s="145">
        <v>4</v>
      </c>
      <c r="C62" s="129" t="str">
        <v>Blepharoplasty – unilateral – LA (Day Stay/Theatre)</v>
      </c>
      <c r="D62" s="129" t="str">
        <v>H1 – Head: Minor Procedures</v>
      </c>
      <c r="E62" s="129" t="str">
        <v>01 - Head</v>
      </c>
      <c r="F62" s="129" t="str">
        <v>SXAP</v>
      </c>
      <c r="G62" s="144" t="str">
        <v>CON-02</v>
      </c>
      <c r="H62" s="129" t="str">
        <v>Fixed fee schedule</v>
      </c>
      <c r="I62" s="144" t="str">
        <v>Yes</v>
      </c>
      <c r="J62" s="144" t="str">
        <v>Base</v>
      </c>
      <c r="K62" s="144" t="str">
        <v>AP0126</v>
      </c>
      <c r="L62" s="146" t="str">
        <v/>
      </c>
      <c r="M62" s="142">
        <v>910</v>
      </c>
      <c r="N62" s="144" t="str">
        <v>Incl</v>
      </c>
      <c r="O62" s="142">
        <v>791.304347826087</v>
      </c>
      <c r="P62" s="142">
        <v>910</v>
      </c>
      <c r="Q62" s="142" t="str">
        <v/>
      </c>
      <c r="R62" s="129" t="str">
        <v>Description – likely</v>
      </c>
      <c r="S62" s="143">
        <v>46113</v>
      </c>
      <c r="T62" s="144" t="str">
        <v>SRC-07</v>
      </c>
      <c r="U62" s="129" t="str">
        <v>p.1</v>
      </c>
      <c r="V62" s="129" t="str">
        <v>Southern Cross Affiliated Provider (SXAP) – anaesthetist fee incl. GST, LA (Day Stay/Theatre). If two AP codes used, charge 50% for second procedure. GA add-on (8265) +$370 (combined $1,280). Likely: grouped with S+ 'Bilateral Upper Lid Blepharoplasty/Blephs' rows (H1); SXAP doesn't specify upper/lower lid. Unilateral; existing S+ rows are bilateral.</v>
      </c>
    </row>
    <row r="63" spans="1:22" x14ac:dyDescent="0.2">
      <c r="A63" s="144" t="str">
        <v>H1</v>
      </c>
      <c r="B63" s="145">
        <v>4</v>
      </c>
      <c r="C63" s="129" t="str">
        <v>Blepharoplasty &amp; ptosis bilateral – LA (Day Stay/Theatre)</v>
      </c>
      <c r="D63" s="129" t="str">
        <v>H1 – Head: Minor Procedures</v>
      </c>
      <c r="E63" s="129" t="str">
        <v>01 - Head</v>
      </c>
      <c r="F63" s="129" t="str">
        <v>SXAP</v>
      </c>
      <c r="G63" s="144" t="str">
        <v>CON-02</v>
      </c>
      <c r="H63" s="129" t="str">
        <v>Fixed fee schedule</v>
      </c>
      <c r="I63" s="144" t="str">
        <v>Yes</v>
      </c>
      <c r="J63" s="144" t="str">
        <v>Base</v>
      </c>
      <c r="K63" s="144" t="str">
        <v>AP0135</v>
      </c>
      <c r="L63" s="146" t="str">
        <v/>
      </c>
      <c r="M63" s="142">
        <v>1325</v>
      </c>
      <c r="N63" s="144" t="str">
        <v>Incl</v>
      </c>
      <c r="O63" s="142">
        <v>1152.1739130434783</v>
      </c>
      <c r="P63" s="142">
        <v>1325</v>
      </c>
      <c r="Q63" s="142" t="str">
        <v/>
      </c>
      <c r="R63" s="129" t="str">
        <v>Description – likely</v>
      </c>
      <c r="S63" s="143">
        <v>46113</v>
      </c>
      <c r="T63" s="144" t="str">
        <v>SRC-07</v>
      </c>
      <c r="U63" s="129" t="str">
        <v>p.1</v>
      </c>
      <c r="V63" s="129" t="str">
        <v>Southern Cross Affiliated Provider (SXAP) – anaesthetist fee incl. GST, LA (Day Stay/Theatre). If two AP codes used, charge 50% for second procedure. GA add-on (8265) +$370 (combined $1,695). Likely: combined blepharoplasty + ptosis; grouped with the H1 blepharoplasty rows (no combined row in master); see Open Questions.</v>
      </c>
    </row>
    <row r="64" spans="1:22" x14ac:dyDescent="0.2">
      <c r="A64" s="144" t="str">
        <v>H1</v>
      </c>
      <c r="B64" s="145">
        <v>4</v>
      </c>
      <c r="C64" s="129" t="str">
        <v>Blepharoplasty &amp; ptosis unilateral – LA (Day Stay/Theatre)</v>
      </c>
      <c r="D64" s="129" t="str">
        <v>H1 – Head: Minor Procedures</v>
      </c>
      <c r="E64" s="129" t="str">
        <v>01 - Head</v>
      </c>
      <c r="F64" s="129" t="str">
        <v>SXAP</v>
      </c>
      <c r="G64" s="144" t="str">
        <v>CON-02</v>
      </c>
      <c r="H64" s="129" t="str">
        <v>Fixed fee schedule</v>
      </c>
      <c r="I64" s="144" t="str">
        <v>Yes</v>
      </c>
      <c r="J64" s="144" t="str">
        <v>Base</v>
      </c>
      <c r="K64" s="144" t="str">
        <v>AP0134</v>
      </c>
      <c r="L64" s="146" t="str">
        <v/>
      </c>
      <c r="M64" s="142">
        <v>1030</v>
      </c>
      <c r="N64" s="144" t="str">
        <v>Incl</v>
      </c>
      <c r="O64" s="142">
        <v>895.6521739130435</v>
      </c>
      <c r="P64" s="142">
        <v>1030</v>
      </c>
      <c r="Q64" s="142" t="str">
        <v/>
      </c>
      <c r="R64" s="129" t="str">
        <v>Description – likely</v>
      </c>
      <c r="S64" s="143">
        <v>46113</v>
      </c>
      <c r="T64" s="144" t="str">
        <v>SRC-07</v>
      </c>
      <c r="U64" s="129" t="str">
        <v>p.1</v>
      </c>
      <c r="V64" s="129" t="str">
        <v>Southern Cross Affiliated Provider (SXAP) – anaesthetist fee incl. GST, LA (Day Stay/Theatre). If two AP codes used, charge 50% for second procedure. GA add-on (8265) +$370 (combined $1,400). Likely: combined blepharoplasty + ptosis; grouped with the H1 blepharoplasty rows (no combined row in master); see Open Questions.</v>
      </c>
    </row>
    <row r="65" spans="1:22" x14ac:dyDescent="0.2">
      <c r="A65" s="144" t="str">
        <v>H1</v>
      </c>
      <c r="B65" s="145">
        <v>4</v>
      </c>
      <c r="C65" s="129" t="str">
        <v>Blepharoplasty bilateral – LA (Day Stay/Theatre)</v>
      </c>
      <c r="D65" s="129" t="str">
        <v>H1 – Head: Minor Procedures</v>
      </c>
      <c r="E65" s="129" t="str">
        <v>01 - Head</v>
      </c>
      <c r="F65" s="129" t="str">
        <v>SXAP</v>
      </c>
      <c r="G65" s="144" t="str">
        <v>CON-02</v>
      </c>
      <c r="H65" s="129" t="str">
        <v>Fixed fee schedule</v>
      </c>
      <c r="I65" s="144" t="str">
        <v>Yes</v>
      </c>
      <c r="J65" s="144" t="str">
        <v>Base</v>
      </c>
      <c r="K65" s="144" t="str">
        <v>AP0127</v>
      </c>
      <c r="L65" s="146" t="str">
        <v/>
      </c>
      <c r="M65" s="142">
        <v>1030</v>
      </c>
      <c r="N65" s="144" t="str">
        <v>Incl</v>
      </c>
      <c r="O65" s="142">
        <v>895.6521739130435</v>
      </c>
      <c r="P65" s="142">
        <v>1030</v>
      </c>
      <c r="Q65" s="142" t="str">
        <v/>
      </c>
      <c r="R65" s="129" t="str">
        <v>Description – likely</v>
      </c>
      <c r="S65" s="143">
        <v>46113</v>
      </c>
      <c r="T65" s="144" t="str">
        <v>SRC-07</v>
      </c>
      <c r="U65" s="129" t="str">
        <v>p.1</v>
      </c>
      <c r="V65" s="129" t="str">
        <v>Southern Cross Affiliated Provider (SXAP) – anaesthetist fee incl. GST, LA (Day Stay/Theatre). If two AP codes used, charge 50% for second procedure. GA add-on (8265) +$370 (combined $1,400). Likely: grouped with S+ 'Bilateral Upper Lid Blepharoplasty/Blephs' rows (H1); SXAP doesn't specify upper/lower lid.</v>
      </c>
    </row>
    <row r="66" spans="1:22" x14ac:dyDescent="0.2">
      <c r="A66" s="144" t="str">
        <v>H2</v>
      </c>
      <c r="B66" s="145">
        <v>5</v>
      </c>
      <c r="C66" s="129" t="str">
        <v>Brow lift/pexy</v>
      </c>
      <c r="D66" s="129" t="str">
        <v>H2 – Head: Simple but Invasive Procedures</v>
      </c>
      <c r="E66" s="129" t="str">
        <v>01 - Head</v>
      </c>
      <c r="F66" s="129" t="str">
        <v>CESL – HNZ (commitment)</v>
      </c>
      <c r="G66" s="144" t="str">
        <v>CON-05</v>
      </c>
      <c r="H66" s="129" t="str">
        <v>Fixed fee schedule</v>
      </c>
      <c r="I66" s="144" t="str">
        <v>Yes</v>
      </c>
      <c r="J66" s="144" t="str">
        <v>Base</v>
      </c>
      <c r="K66" s="144" t="str">
        <v>HNZ33</v>
      </c>
      <c r="L66" s="146" t="str">
        <v/>
      </c>
      <c r="M66" s="142">
        <v>750</v>
      </c>
      <c r="N66" s="144" t="str">
        <v>Excl</v>
      </c>
      <c r="O66" s="142">
        <v>750</v>
      </c>
      <c r="P66" s="142">
        <v>862.49999999999989</v>
      </c>
      <c r="Q66" s="142" t="str">
        <v/>
      </c>
      <c r="R66" s="129" t="str">
        <v>Description – likely</v>
      </c>
      <c r="S66" s="143" t="str">
        <v/>
      </c>
      <c r="T66" s="144" t="str">
        <v>SRC-08</v>
      </c>
      <c r="U66" s="129" t="str">
        <v>Sheet row 41 – commitment</v>
      </c>
      <c r="V66" s="129" t="str">
        <v>CES HNZ Contract (Health NZ), commitment tier. Panel tier fee $800. Printed excl. GST; no effective date printed. Likely: matched to S+ 'Browlift' (H2).</v>
      </c>
    </row>
    <row r="67" spans="1:22" x14ac:dyDescent="0.2">
      <c r="A67" s="144" t="str">
        <v>H2</v>
      </c>
      <c r="B67" s="145">
        <v>5</v>
      </c>
      <c r="C67" s="129" t="str">
        <v>Brow lift/pexy</v>
      </c>
      <c r="D67" s="129" t="str">
        <v>H2 – Head: Simple but Invasive Procedures</v>
      </c>
      <c r="E67" s="129" t="str">
        <v>01 - Head</v>
      </c>
      <c r="F67" s="129" t="str">
        <v>CESL – HNZ (panel)</v>
      </c>
      <c r="G67" s="144" t="str">
        <v>CON-06</v>
      </c>
      <c r="H67" s="129" t="str">
        <v>Fixed fee schedule</v>
      </c>
      <c r="I67" s="144" t="str">
        <v>Yes</v>
      </c>
      <c r="J67" s="144" t="str">
        <v>Base</v>
      </c>
      <c r="K67" s="144" t="str">
        <v>HNZ33</v>
      </c>
      <c r="L67" s="146" t="str">
        <v/>
      </c>
      <c r="M67" s="142">
        <v>800</v>
      </c>
      <c r="N67" s="144" t="str">
        <v>Excl</v>
      </c>
      <c r="O67" s="142">
        <v>800</v>
      </c>
      <c r="P67" s="142">
        <v>919.99999999999989</v>
      </c>
      <c r="Q67" s="142" t="str">
        <v/>
      </c>
      <c r="R67" s="129" t="str">
        <v>Description – likely</v>
      </c>
      <c r="S67" s="143" t="str">
        <v/>
      </c>
      <c r="T67" s="144" t="str">
        <v>SRC-08</v>
      </c>
      <c r="U67" s="129" t="str">
        <v>Sheet row 41 – panel</v>
      </c>
      <c r="V67" s="129" t="str">
        <v>CES HNZ Contract (Health NZ), panel tier. Commitment tier fee $750. Printed excl. GST; no effective date printed. Likely: matched to S+ 'Browlift' (H2).</v>
      </c>
    </row>
    <row r="68" spans="1:22" x14ac:dyDescent="0.2">
      <c r="A68" s="144" t="str">
        <v>H2</v>
      </c>
      <c r="B68" s="145">
        <v>5</v>
      </c>
      <c r="C68" s="129" t="str">
        <v>Browlift</v>
      </c>
      <c r="D68" s="129" t="str">
        <v>H2 – Head: Simple but Invasive Procedures</v>
      </c>
      <c r="E68" s="129" t="str">
        <v>01 - Head</v>
      </c>
      <c r="F68" s="129" t="str">
        <v>Solutions Plus</v>
      </c>
      <c r="G68" s="144" t="str">
        <v>CON-01</v>
      </c>
      <c r="H68" s="129" t="str">
        <v>To confirm</v>
      </c>
      <c r="I68" s="144" t="str">
        <v>No</v>
      </c>
      <c r="J68" s="144" t="str">
        <v>Base</v>
      </c>
      <c r="K68" s="144" t="str">
        <v/>
      </c>
      <c r="L68" s="146">
        <v>9</v>
      </c>
      <c r="M68" s="142">
        <v>494.45</v>
      </c>
      <c r="N68" s="144" t="str">
        <v>Unknown</v>
      </c>
      <c r="O68" s="142" t="str">
        <v/>
      </c>
      <c r="P68" s="142" t="str">
        <v/>
      </c>
      <c r="Q68" s="142">
        <v>54.93888888888889</v>
      </c>
      <c r="R68" s="129" t="str">
        <v>Description – likely</v>
      </c>
      <c r="S68" s="143" t="str">
        <v/>
      </c>
      <c r="T68" s="144" t="str">
        <v>SRC-00</v>
      </c>
      <c r="U68" s="129" t="str">
        <v>S+ row 142</v>
      </c>
      <c r="V68" s="129" t="str">
        <v/>
      </c>
    </row>
    <row r="69" spans="1:22" x14ac:dyDescent="0.2">
      <c r="A69" s="144" t="str">
        <v>H4</v>
      </c>
      <c r="B69" s="145">
        <v>10</v>
      </c>
      <c r="C69" s="129" t="str">
        <v>BSSO</v>
      </c>
      <c r="D69" s="129" t="str">
        <v>H4 – Head: Complex Procedures</v>
      </c>
      <c r="E69" s="129" t="str">
        <v>01 - Head</v>
      </c>
      <c r="F69" s="129" t="str">
        <v>Solutions Plus</v>
      </c>
      <c r="G69" s="144" t="str">
        <v>CON-01</v>
      </c>
      <c r="H69" s="129" t="str">
        <v>To confirm</v>
      </c>
      <c r="I69" s="144" t="str">
        <v>No</v>
      </c>
      <c r="J69" s="144" t="str">
        <v>Base</v>
      </c>
      <c r="K69" s="144" t="str">
        <v/>
      </c>
      <c r="L69" s="146">
        <v>20.8</v>
      </c>
      <c r="M69" s="142">
        <v>1146.2</v>
      </c>
      <c r="N69" s="144" t="str">
        <v>Unknown</v>
      </c>
      <c r="O69" s="142" t="str">
        <v/>
      </c>
      <c r="P69" s="142" t="str">
        <v/>
      </c>
      <c r="Q69" s="142">
        <v>55.105769230769234</v>
      </c>
      <c r="R69" s="129" t="str">
        <v>Description – exact</v>
      </c>
      <c r="S69" s="143" t="str">
        <v/>
      </c>
      <c r="T69" s="144" t="str">
        <v>SRC-00</v>
      </c>
      <c r="U69" s="129" t="str">
        <v>S+ row 143</v>
      </c>
      <c r="V69" s="129" t="str">
        <v/>
      </c>
    </row>
    <row r="70" spans="1:22" x14ac:dyDescent="0.2">
      <c r="A70" s="144" t="str">
        <v>H4</v>
      </c>
      <c r="B70" s="145">
        <v>10</v>
      </c>
      <c r="C70" s="129" t="str">
        <v>BSSO Surgery</v>
      </c>
      <c r="D70" s="129" t="str">
        <v>H4 – Head: Complex Procedures</v>
      </c>
      <c r="E70" s="129" t="str">
        <v>01 - Head</v>
      </c>
      <c r="F70" s="129" t="str">
        <v>Solutions Plus</v>
      </c>
      <c r="G70" s="144" t="str">
        <v>CON-01</v>
      </c>
      <c r="H70" s="129" t="str">
        <v>To confirm</v>
      </c>
      <c r="I70" s="144" t="str">
        <v>No</v>
      </c>
      <c r="J70" s="144" t="str">
        <v>Base</v>
      </c>
      <c r="K70" s="144" t="str">
        <v/>
      </c>
      <c r="L70" s="146">
        <v>19.100000000000001</v>
      </c>
      <c r="M70" s="142">
        <v>1048.3</v>
      </c>
      <c r="N70" s="144" t="str">
        <v>Unknown</v>
      </c>
      <c r="O70" s="142" t="str">
        <v/>
      </c>
      <c r="P70" s="142" t="str">
        <v/>
      </c>
      <c r="Q70" s="142">
        <v>54.884816753926692</v>
      </c>
      <c r="R70" s="129" t="str">
        <v>Description – exact</v>
      </c>
      <c r="S70" s="143" t="str">
        <v/>
      </c>
      <c r="T70" s="144" t="str">
        <v>SRC-00</v>
      </c>
      <c r="U70" s="129" t="str">
        <v>S+ row 144</v>
      </c>
      <c r="V70" s="129" t="str">
        <v/>
      </c>
    </row>
    <row r="71" spans="1:22" x14ac:dyDescent="0.2">
      <c r="A71" s="144" t="str">
        <v>H1</v>
      </c>
      <c r="B71" s="145">
        <v>4</v>
      </c>
      <c r="C71" s="129" t="str">
        <v>Canthal Sling</v>
      </c>
      <c r="D71" s="129" t="str">
        <v>H1 – Head: Minor Procedures</v>
      </c>
      <c r="E71" s="129" t="str">
        <v>01 - Head</v>
      </c>
      <c r="F71" s="129" t="str">
        <v>CESL – HNZ (commitment)</v>
      </c>
      <c r="G71" s="144" t="str">
        <v>CON-05</v>
      </c>
      <c r="H71" s="129" t="str">
        <v>Fixed fee schedule</v>
      </c>
      <c r="I71" s="144" t="str">
        <v>Yes</v>
      </c>
      <c r="J71" s="144" t="str">
        <v>Base</v>
      </c>
      <c r="K71" s="144" t="str">
        <v>HNZ15</v>
      </c>
      <c r="L71" s="146" t="str">
        <v/>
      </c>
      <c r="M71" s="142">
        <v>800</v>
      </c>
      <c r="N71" s="144" t="str">
        <v>Excl</v>
      </c>
      <c r="O71" s="142">
        <v>800</v>
      </c>
      <c r="P71" s="142">
        <v>919.99999999999989</v>
      </c>
      <c r="Q71" s="142" t="str">
        <v/>
      </c>
      <c r="R71" s="129" t="str">
        <v>Description – likely</v>
      </c>
      <c r="S71" s="143" t="str">
        <v/>
      </c>
      <c r="T71" s="144" t="str">
        <v>SRC-08</v>
      </c>
      <c r="U71" s="129" t="str">
        <v>Sheet row 23 – commitment</v>
      </c>
      <c r="V71" s="129" t="str">
        <v>CES HNZ Contract (Health NZ), commitment tier. Same fee in the panel tier. Printed excl. GST; no effective date printed. Likely: eyelid malposition surgery – grouped with S+ 'Bilateral Ectropion Repair' and the SRC-05 ectropion/entropion rows (H1).</v>
      </c>
    </row>
    <row r="72" spans="1:22" x14ac:dyDescent="0.2">
      <c r="A72" s="144" t="str">
        <v>H1</v>
      </c>
      <c r="B72" s="145">
        <v>4</v>
      </c>
      <c r="C72" s="129" t="str">
        <v>Canthal Sling</v>
      </c>
      <c r="D72" s="129" t="str">
        <v>H1 – Head: Minor Procedures</v>
      </c>
      <c r="E72" s="129" t="str">
        <v>01 - Head</v>
      </c>
      <c r="F72" s="129" t="str">
        <v>CESL – HNZ (panel)</v>
      </c>
      <c r="G72" s="144" t="str">
        <v>CON-06</v>
      </c>
      <c r="H72" s="129" t="str">
        <v>Fixed fee schedule</v>
      </c>
      <c r="I72" s="144" t="str">
        <v>Yes</v>
      </c>
      <c r="J72" s="144" t="str">
        <v>Base</v>
      </c>
      <c r="K72" s="144" t="str">
        <v>HNZ15</v>
      </c>
      <c r="L72" s="146" t="str">
        <v/>
      </c>
      <c r="M72" s="142">
        <v>800</v>
      </c>
      <c r="N72" s="144" t="str">
        <v>Excl</v>
      </c>
      <c r="O72" s="142">
        <v>800</v>
      </c>
      <c r="P72" s="142">
        <v>919.99999999999989</v>
      </c>
      <c r="Q72" s="142" t="str">
        <v/>
      </c>
      <c r="R72" s="129" t="str">
        <v>Description – likely</v>
      </c>
      <c r="S72" s="143" t="str">
        <v/>
      </c>
      <c r="T72" s="144" t="str">
        <v>SRC-08</v>
      </c>
      <c r="U72" s="129" t="str">
        <v>Sheet row 23 – panel</v>
      </c>
      <c r="V72" s="129" t="str">
        <v>CES HNZ Contract (Health NZ), panel tier. Same fee in the commitment tier. Printed excl. GST; no effective date printed. Likely: eyelid malposition surgery – grouped with S+ 'Bilateral Ectropion Repair' and the SRC-05 ectropion/entropion rows (H1).</v>
      </c>
    </row>
    <row r="73" spans="1:22" x14ac:dyDescent="0.2">
      <c r="A73" s="144" t="str">
        <v>H1</v>
      </c>
      <c r="B73" s="145">
        <v>4</v>
      </c>
      <c r="C73" s="129" t="str">
        <v>Canthoplasty/Canthotomy</v>
      </c>
      <c r="D73" s="129" t="str">
        <v>H1 – Head: Minor Procedures</v>
      </c>
      <c r="E73" s="129" t="str">
        <v>01 - Head</v>
      </c>
      <c r="F73" s="129" t="str">
        <v>CESL – HNZ (commitment)</v>
      </c>
      <c r="G73" s="144" t="str">
        <v>CON-05</v>
      </c>
      <c r="H73" s="129" t="str">
        <v>Fixed fee schedule</v>
      </c>
      <c r="I73" s="144" t="str">
        <v>Yes</v>
      </c>
      <c r="J73" s="144" t="str">
        <v>Base</v>
      </c>
      <c r="K73" s="144" t="str">
        <v>HNZ14</v>
      </c>
      <c r="L73" s="146" t="str">
        <v/>
      </c>
      <c r="M73" s="142">
        <v>800</v>
      </c>
      <c r="N73" s="144" t="str">
        <v>Excl</v>
      </c>
      <c r="O73" s="142">
        <v>800</v>
      </c>
      <c r="P73" s="142">
        <v>919.99999999999989</v>
      </c>
      <c r="Q73" s="142" t="str">
        <v/>
      </c>
      <c r="R73" s="129" t="str">
        <v>Description – likely</v>
      </c>
      <c r="S73" s="143" t="str">
        <v/>
      </c>
      <c r="T73" s="144" t="str">
        <v>SRC-08</v>
      </c>
      <c r="U73" s="129" t="str">
        <v>Sheet row 22 – commitment</v>
      </c>
      <c r="V73" s="129" t="str">
        <v>CES HNZ Contract (Health NZ), commitment tier. Same fee in the panel tier. Printed excl. GST; no effective date printed. Likely: eyelid malposition surgery – grouped with S+ 'Bilateral Ectropion Repair' and the SRC-05 ectropion/entropion rows (H1).</v>
      </c>
    </row>
    <row r="74" spans="1:22" x14ac:dyDescent="0.2">
      <c r="A74" s="144" t="str">
        <v>H1</v>
      </c>
      <c r="B74" s="145">
        <v>4</v>
      </c>
      <c r="C74" s="129" t="str">
        <v>Canthoplasty/Canthotomy</v>
      </c>
      <c r="D74" s="129" t="str">
        <v>H1 – Head: Minor Procedures</v>
      </c>
      <c r="E74" s="129" t="str">
        <v>01 - Head</v>
      </c>
      <c r="F74" s="129" t="str">
        <v>CESL – HNZ (panel)</v>
      </c>
      <c r="G74" s="144" t="str">
        <v>CON-06</v>
      </c>
      <c r="H74" s="129" t="str">
        <v>Fixed fee schedule</v>
      </c>
      <c r="I74" s="144" t="str">
        <v>Yes</v>
      </c>
      <c r="J74" s="144" t="str">
        <v>Base</v>
      </c>
      <c r="K74" s="144" t="str">
        <v>HNZ14</v>
      </c>
      <c r="L74" s="146" t="str">
        <v/>
      </c>
      <c r="M74" s="142">
        <v>800</v>
      </c>
      <c r="N74" s="144" t="str">
        <v>Excl</v>
      </c>
      <c r="O74" s="142">
        <v>800</v>
      </c>
      <c r="P74" s="142">
        <v>919.99999999999989</v>
      </c>
      <c r="Q74" s="142" t="str">
        <v/>
      </c>
      <c r="R74" s="129" t="str">
        <v>Description – likely</v>
      </c>
      <c r="S74" s="143" t="str">
        <v/>
      </c>
      <c r="T74" s="144" t="str">
        <v>SRC-08</v>
      </c>
      <c r="U74" s="129" t="str">
        <v>Sheet row 22 – panel</v>
      </c>
      <c r="V74" s="129" t="str">
        <v>CES HNZ Contract (Health NZ), panel tier. Same fee in the commitment tier. Printed excl. GST; no effective date printed. Likely: eyelid malposition surgery – grouped with S+ 'Bilateral Ectropion Repair' and the SRC-05 ectropion/entropion rows (H1).</v>
      </c>
    </row>
    <row r="75" spans="1:22" x14ac:dyDescent="0.2">
      <c r="A75" s="144" t="str">
        <v>H2</v>
      </c>
      <c r="B75" s="145">
        <v>5</v>
      </c>
      <c r="C75" s="129" t="str">
        <v>Cautery Of Turbinates</v>
      </c>
      <c r="D75" s="129" t="str">
        <v>H2 – Head: Simple but Invasive Procedures</v>
      </c>
      <c r="E75" s="129" t="str">
        <v>01 - Head</v>
      </c>
      <c r="F75" s="129" t="str">
        <v>Solutions Plus</v>
      </c>
      <c r="G75" s="144" t="str">
        <v>CON-01</v>
      </c>
      <c r="H75" s="129" t="str">
        <v>To confirm</v>
      </c>
      <c r="I75" s="144" t="str">
        <v>No</v>
      </c>
      <c r="J75" s="144" t="str">
        <v>Base</v>
      </c>
      <c r="K75" s="144" t="str">
        <v/>
      </c>
      <c r="L75" s="146">
        <v>7</v>
      </c>
      <c r="M75" s="142">
        <v>384.45</v>
      </c>
      <c r="N75" s="144" t="str">
        <v>Unknown</v>
      </c>
      <c r="O75" s="142" t="str">
        <v/>
      </c>
      <c r="P75" s="142" t="str">
        <v/>
      </c>
      <c r="Q75" s="142">
        <v>54.921428571428571</v>
      </c>
      <c r="R75" s="129" t="str">
        <v>Description – likely</v>
      </c>
      <c r="S75" s="143" t="str">
        <v/>
      </c>
      <c r="T75" s="144" t="str">
        <v>SRC-00</v>
      </c>
      <c r="U75" s="129" t="str">
        <v>S+ row 160</v>
      </c>
      <c r="V75" s="129" t="str">
        <v/>
      </c>
    </row>
    <row r="76" spans="1:22" x14ac:dyDescent="0.2">
      <c r="A76" s="144" t="str">
        <v>H1</v>
      </c>
      <c r="B76" s="145">
        <v>4</v>
      </c>
      <c r="C76" s="129" t="str">
        <v>Chalazion incision +/- curettage</v>
      </c>
      <c r="D76" s="129" t="str">
        <v>H1 – Head: Minor Procedures</v>
      </c>
      <c r="E76" s="129" t="str">
        <v>01 - Head</v>
      </c>
      <c r="F76" s="129" t="str">
        <v>CESL – HNZ (commitment)</v>
      </c>
      <c r="G76" s="144" t="str">
        <v>CON-05</v>
      </c>
      <c r="H76" s="129" t="str">
        <v>Fixed fee schedule</v>
      </c>
      <c r="I76" s="144" t="str">
        <v>Yes</v>
      </c>
      <c r="J76" s="144" t="str">
        <v>Base</v>
      </c>
      <c r="K76" s="144" t="str">
        <v>HNZ28</v>
      </c>
      <c r="L76" s="146" t="str">
        <v/>
      </c>
      <c r="M76" s="142">
        <v>480</v>
      </c>
      <c r="N76" s="144" t="str">
        <v>Excl</v>
      </c>
      <c r="O76" s="142">
        <v>480</v>
      </c>
      <c r="P76" s="142">
        <v>552</v>
      </c>
      <c r="Q76" s="142" t="str">
        <v/>
      </c>
      <c r="R76" s="129" t="str">
        <v>Description – likely</v>
      </c>
      <c r="S76" s="143" t="str">
        <v/>
      </c>
      <c r="T76" s="144" t="str">
        <v>SRC-08</v>
      </c>
      <c r="U76" s="129" t="str">
        <v>Sheet row 36 – commitment</v>
      </c>
      <c r="V76" s="129" t="str">
        <v>CES HNZ Contract (Health NZ), commitment tier. Panel tier fee $500. Printed excl. GST; no effective date printed. Likely: lid cyst – matched to S+ 'Removal Of Cyst From Eyelid' (H1).</v>
      </c>
    </row>
    <row r="77" spans="1:22" x14ac:dyDescent="0.2">
      <c r="A77" s="144" t="str">
        <v>H1</v>
      </c>
      <c r="B77" s="145">
        <v>4</v>
      </c>
      <c r="C77" s="129" t="str">
        <v>Chalazion incision +/- curettage</v>
      </c>
      <c r="D77" s="129" t="str">
        <v>H1 – Head: Minor Procedures</v>
      </c>
      <c r="E77" s="129" t="str">
        <v>01 - Head</v>
      </c>
      <c r="F77" s="129" t="str">
        <v>CESL – HNZ (panel)</v>
      </c>
      <c r="G77" s="144" t="str">
        <v>CON-06</v>
      </c>
      <c r="H77" s="129" t="str">
        <v>Fixed fee schedule</v>
      </c>
      <c r="I77" s="144" t="str">
        <v>Yes</v>
      </c>
      <c r="J77" s="144" t="str">
        <v>Base</v>
      </c>
      <c r="K77" s="144" t="str">
        <v>HNZ28</v>
      </c>
      <c r="L77" s="146" t="str">
        <v/>
      </c>
      <c r="M77" s="142">
        <v>500</v>
      </c>
      <c r="N77" s="144" t="str">
        <v>Excl</v>
      </c>
      <c r="O77" s="142">
        <v>500</v>
      </c>
      <c r="P77" s="142">
        <v>575</v>
      </c>
      <c r="Q77" s="142" t="str">
        <v/>
      </c>
      <c r="R77" s="129" t="str">
        <v>Description – likely</v>
      </c>
      <c r="S77" s="143" t="str">
        <v/>
      </c>
      <c r="T77" s="144" t="str">
        <v>SRC-08</v>
      </c>
      <c r="U77" s="129" t="str">
        <v>Sheet row 36 – panel</v>
      </c>
      <c r="V77" s="129" t="str">
        <v>CES HNZ Contract (Health NZ), panel tier. Commitment tier fee $480. Printed excl. GST; no effective date printed. Likely: lid cyst – matched to S+ 'Removal Of Cyst From Eyelid' (H1).</v>
      </c>
    </row>
    <row r="78" spans="1:22" x14ac:dyDescent="0.2">
      <c r="A78" s="144" t="str">
        <v>H2</v>
      </c>
      <c r="B78" s="145">
        <v>5</v>
      </c>
      <c r="C78" s="129" t="str">
        <v>Chin Augmentation</v>
      </c>
      <c r="D78" s="129" t="str">
        <v>H2 – Head: Simple but Invasive Procedures</v>
      </c>
      <c r="E78" s="129" t="str">
        <v>01 - Head</v>
      </c>
      <c r="F78" s="129" t="str">
        <v>Solutions Plus</v>
      </c>
      <c r="G78" s="144" t="str">
        <v>CON-01</v>
      </c>
      <c r="H78" s="129" t="str">
        <v>To confirm</v>
      </c>
      <c r="I78" s="144" t="str">
        <v>No</v>
      </c>
      <c r="J78" s="144" t="str">
        <v>Base</v>
      </c>
      <c r="K78" s="144" t="str">
        <v/>
      </c>
      <c r="L78" s="146">
        <v>2.2999999999999998</v>
      </c>
      <c r="M78" s="142">
        <v>128.15</v>
      </c>
      <c r="N78" s="144" t="str">
        <v>Unknown</v>
      </c>
      <c r="O78" s="142" t="str">
        <v/>
      </c>
      <c r="P78" s="142" t="str">
        <v/>
      </c>
      <c r="Q78" s="142">
        <v>55.717391304347835</v>
      </c>
      <c r="R78" s="129" t="str">
        <v>Description – likely</v>
      </c>
      <c r="S78" s="143" t="str">
        <v/>
      </c>
      <c r="T78" s="144" t="str">
        <v>SRC-00</v>
      </c>
      <c r="U78" s="129" t="str">
        <v>S+ row 165</v>
      </c>
      <c r="V78" s="129" t="str">
        <v/>
      </c>
    </row>
    <row r="79" spans="1:22" x14ac:dyDescent="0.2">
      <c r="A79" s="144" t="str">
        <v>H2</v>
      </c>
      <c r="B79" s="145">
        <v>5</v>
      </c>
      <c r="C79" s="129" t="str">
        <v>Coblation Adenotonsillectomy</v>
      </c>
      <c r="D79" s="129" t="str">
        <v>H2 – Head: Simple but Invasive Procedures</v>
      </c>
      <c r="E79" s="129" t="str">
        <v>01 - Head</v>
      </c>
      <c r="F79" s="129" t="str">
        <v>Solutions Plus</v>
      </c>
      <c r="G79" s="144" t="str">
        <v>CON-01</v>
      </c>
      <c r="H79" s="129" t="str">
        <v>To confirm</v>
      </c>
      <c r="I79" s="144" t="str">
        <v>No</v>
      </c>
      <c r="J79" s="144" t="str">
        <v>Base</v>
      </c>
      <c r="K79" s="144" t="str">
        <v/>
      </c>
      <c r="L79" s="146">
        <v>8.4</v>
      </c>
      <c r="M79" s="142">
        <v>461.45</v>
      </c>
      <c r="N79" s="144" t="str">
        <v>Unknown</v>
      </c>
      <c r="O79" s="142" t="str">
        <v/>
      </c>
      <c r="P79" s="142" t="str">
        <v/>
      </c>
      <c r="Q79" s="142">
        <v>54.934523809523803</v>
      </c>
      <c r="R79" s="129" t="str">
        <v>Description – exact</v>
      </c>
      <c r="S79" s="143" t="str">
        <v/>
      </c>
      <c r="T79" s="144" t="str">
        <v>SRC-00</v>
      </c>
      <c r="U79" s="129" t="str">
        <v>S+ row 173</v>
      </c>
      <c r="V79" s="129" t="str">
        <v/>
      </c>
    </row>
    <row r="80" spans="1:22" x14ac:dyDescent="0.2">
      <c r="A80" s="144" t="str">
        <v>H2</v>
      </c>
      <c r="B80" s="145">
        <v>5</v>
      </c>
      <c r="C80" s="129" t="str">
        <v>Coblation Intracapsular Adenotonsillectomy &amp; Caut</v>
      </c>
      <c r="D80" s="129" t="str">
        <v>H2 – Head: Simple but Invasive Procedures</v>
      </c>
      <c r="E80" s="129" t="str">
        <v>01 - Head</v>
      </c>
      <c r="F80" s="129" t="str">
        <v>Solutions Plus</v>
      </c>
      <c r="G80" s="144" t="str">
        <v>CON-01</v>
      </c>
      <c r="H80" s="129" t="str">
        <v>To confirm</v>
      </c>
      <c r="I80" s="144" t="str">
        <v>No</v>
      </c>
      <c r="J80" s="144" t="str">
        <v>Base</v>
      </c>
      <c r="K80" s="144" t="str">
        <v/>
      </c>
      <c r="L80" s="146">
        <v>10</v>
      </c>
      <c r="M80" s="142">
        <v>547.25</v>
      </c>
      <c r="N80" s="144" t="str">
        <v>Unknown</v>
      </c>
      <c r="O80" s="142" t="str">
        <v/>
      </c>
      <c r="P80" s="142" t="str">
        <v/>
      </c>
      <c r="Q80" s="142">
        <v>54.725000000000001</v>
      </c>
      <c r="R80" s="129" t="str">
        <v>Description – exact</v>
      </c>
      <c r="S80" s="143" t="str">
        <v/>
      </c>
      <c r="T80" s="144" t="str">
        <v>SRC-00</v>
      </c>
      <c r="U80" s="129" t="str">
        <v>S+ row 174</v>
      </c>
      <c r="V80" s="129" t="str">
        <v/>
      </c>
    </row>
    <row r="81" spans="1:22" x14ac:dyDescent="0.2">
      <c r="A81" s="144" t="str">
        <v>H3</v>
      </c>
      <c r="B81" s="145">
        <v>6</v>
      </c>
      <c r="C81" s="129" t="str">
        <v>Cochlear Implant</v>
      </c>
      <c r="D81" s="129" t="str">
        <v>H3 – Head: Moderate Procedures</v>
      </c>
      <c r="E81" s="129" t="str">
        <v>01 - Head</v>
      </c>
      <c r="F81" s="129" t="str">
        <v>Solutions Plus</v>
      </c>
      <c r="G81" s="144" t="str">
        <v>CON-01</v>
      </c>
      <c r="H81" s="129" t="str">
        <v>To confirm</v>
      </c>
      <c r="I81" s="144" t="str">
        <v>No</v>
      </c>
      <c r="J81" s="144" t="str">
        <v>Base</v>
      </c>
      <c r="K81" s="144" t="str">
        <v/>
      </c>
      <c r="L81" s="146">
        <v>18.100000000000001</v>
      </c>
      <c r="M81" s="142">
        <v>994.95</v>
      </c>
      <c r="N81" s="144" t="str">
        <v>Unknown</v>
      </c>
      <c r="O81" s="142" t="str">
        <v/>
      </c>
      <c r="P81" s="142" t="str">
        <v/>
      </c>
      <c r="Q81" s="142">
        <v>54.969613259668506</v>
      </c>
      <c r="R81" s="129" t="str">
        <v>Description – likely</v>
      </c>
      <c r="S81" s="143" t="str">
        <v/>
      </c>
      <c r="T81" s="144" t="str">
        <v>SRC-00</v>
      </c>
      <c r="U81" s="129" t="str">
        <v>S+ row 176</v>
      </c>
      <c r="V81" s="129" t="str">
        <v/>
      </c>
    </row>
    <row r="82" spans="1:22" x14ac:dyDescent="0.2">
      <c r="A82" s="144" t="str">
        <v>H4</v>
      </c>
      <c r="B82" s="145">
        <v>10</v>
      </c>
      <c r="C82" s="129" t="str">
        <v>Complex Procedures e.g. Maxillary/Mandibular Osteotomy, Tumour Resection, Free Flap Placement</v>
      </c>
      <c r="D82" s="129" t="str">
        <v>H4 – Head: Complex Procedures</v>
      </c>
      <c r="E82" s="129" t="str">
        <v>01 - Head</v>
      </c>
      <c r="F82" s="129" t="str">
        <v>NZSA RVG</v>
      </c>
      <c r="G82" s="144" t="str">
        <v>CON-10</v>
      </c>
      <c r="H82" s="129" t="str">
        <v>Reference – units only</v>
      </c>
      <c r="I82" s="144" t="str">
        <v>No</v>
      </c>
      <c r="J82" s="144" t="str">
        <v>Base</v>
      </c>
      <c r="K82" s="144" t="str">
        <v>H4</v>
      </c>
      <c r="L82" s="146" t="str">
        <v/>
      </c>
      <c r="M82" s="142" t="str">
        <v/>
      </c>
      <c r="N82" s="144" t="str">
        <v/>
      </c>
      <c r="O82" s="142" t="str">
        <v/>
      </c>
      <c r="P82" s="142" t="str">
        <v/>
      </c>
      <c r="Q82" s="142" t="str">
        <v/>
      </c>
      <c r="R82" s="129" t="str">
        <v>RVG code</v>
      </c>
      <c r="S82" s="143" t="str">
        <v/>
      </c>
      <c r="T82" s="144" t="str">
        <v>SRC-01</v>
      </c>
      <c r="U82" s="129" t="str">
        <v>p.7 – Head</v>
      </c>
      <c r="V82" s="129" t="str">
        <v>Reference units only – no $ fee (NZSA RVG 2021). Units as printed: "10-12" (lower bound in units columns). Printed as a range 10-12</v>
      </c>
    </row>
    <row r="83" spans="1:22" x14ac:dyDescent="0.2">
      <c r="A83" s="144" t="str">
        <v>H2</v>
      </c>
      <c r="B83" s="145">
        <v>5</v>
      </c>
      <c r="C83" s="129" t="str">
        <v>Correction Bilateral Prominent Ears</v>
      </c>
      <c r="D83" s="129" t="str">
        <v>H2 – Head: Simple but Invasive Procedures</v>
      </c>
      <c r="E83" s="129" t="str">
        <v>01 - Head</v>
      </c>
      <c r="F83" s="129" t="str">
        <v>Solutions Plus</v>
      </c>
      <c r="G83" s="144" t="str">
        <v>CON-01</v>
      </c>
      <c r="H83" s="129" t="str">
        <v>To confirm</v>
      </c>
      <c r="I83" s="144" t="str">
        <v>No</v>
      </c>
      <c r="J83" s="144" t="str">
        <v>Base</v>
      </c>
      <c r="K83" s="144" t="str">
        <v/>
      </c>
      <c r="L83" s="146">
        <v>13</v>
      </c>
      <c r="M83" s="142">
        <v>715</v>
      </c>
      <c r="N83" s="144" t="str">
        <v>Unknown</v>
      </c>
      <c r="O83" s="142" t="str">
        <v/>
      </c>
      <c r="P83" s="142" t="str">
        <v/>
      </c>
      <c r="Q83" s="142">
        <v>55</v>
      </c>
      <c r="R83" s="129" t="str">
        <v>Description – likely</v>
      </c>
      <c r="S83" s="143" t="str">
        <v/>
      </c>
      <c r="T83" s="144" t="str">
        <v>SRC-00</v>
      </c>
      <c r="U83" s="129" t="str">
        <v>S+ row 215</v>
      </c>
      <c r="V83" s="129" t="str">
        <v/>
      </c>
    </row>
    <row r="84" spans="1:22" x14ac:dyDescent="0.2">
      <c r="A84" s="144" t="str">
        <v>H1</v>
      </c>
      <c r="B84" s="145">
        <v>4</v>
      </c>
      <c r="C84" s="129" t="str">
        <v>Correction of ptosis of eyelid by resection or advancement of levator muscle (Bilateral)</v>
      </c>
      <c r="D84" s="129" t="str">
        <v>H1 – Head: Minor Procedures</v>
      </c>
      <c r="E84" s="129" t="str">
        <v>01 - Head</v>
      </c>
      <c r="F84" s="129" t="str">
        <v>CESL – HNZ (commitment)</v>
      </c>
      <c r="G84" s="144" t="str">
        <v>CON-05</v>
      </c>
      <c r="H84" s="129" t="str">
        <v>Fixed fee schedule</v>
      </c>
      <c r="I84" s="144" t="str">
        <v>Yes</v>
      </c>
      <c r="J84" s="144" t="str">
        <v>Base</v>
      </c>
      <c r="K84" s="144" t="str">
        <v>HNZ41</v>
      </c>
      <c r="L84" s="146" t="str">
        <v/>
      </c>
      <c r="M84" s="142">
        <v>900</v>
      </c>
      <c r="N84" s="144" t="str">
        <v>Excl</v>
      </c>
      <c r="O84" s="142">
        <v>900</v>
      </c>
      <c r="P84" s="142">
        <v>1035</v>
      </c>
      <c r="Q84" s="142" t="str">
        <v/>
      </c>
      <c r="R84" s="129" t="str">
        <v>Description – likely</v>
      </c>
      <c r="S84" s="143" t="str">
        <v/>
      </c>
      <c r="T84" s="144" t="str">
        <v>SRC-08</v>
      </c>
      <c r="U84" s="129" t="str">
        <v>Sheet row 47 – commitment</v>
      </c>
      <c r="V84" s="129" t="str">
        <v>CES HNZ Contract (Health NZ), commitment tier. Same fee in the panel tier. Printed excl. GST; no effective date printed. Likely: upper-lid surgery – grouped with S+ upper-lid blepharoplasty and the SRC-07 bleph/ptosis rows (H1).</v>
      </c>
    </row>
    <row r="85" spans="1:22" x14ac:dyDescent="0.2">
      <c r="A85" s="144" t="str">
        <v>H1</v>
      </c>
      <c r="B85" s="145">
        <v>4</v>
      </c>
      <c r="C85" s="129" t="str">
        <v>Correction of ptosis of eyelid by resection or advancement of levator muscle (Bilateral)</v>
      </c>
      <c r="D85" s="129" t="str">
        <v>H1 – Head: Minor Procedures</v>
      </c>
      <c r="E85" s="129" t="str">
        <v>01 - Head</v>
      </c>
      <c r="F85" s="129" t="str">
        <v>CESL – HNZ (panel)</v>
      </c>
      <c r="G85" s="144" t="str">
        <v>CON-06</v>
      </c>
      <c r="H85" s="129" t="str">
        <v>Fixed fee schedule</v>
      </c>
      <c r="I85" s="144" t="str">
        <v>Yes</v>
      </c>
      <c r="J85" s="144" t="str">
        <v>Base</v>
      </c>
      <c r="K85" s="144" t="str">
        <v>HNZ41</v>
      </c>
      <c r="L85" s="146" t="str">
        <v/>
      </c>
      <c r="M85" s="142">
        <v>900</v>
      </c>
      <c r="N85" s="144" t="str">
        <v>Excl</v>
      </c>
      <c r="O85" s="142">
        <v>900</v>
      </c>
      <c r="P85" s="142">
        <v>1035</v>
      </c>
      <c r="Q85" s="142" t="str">
        <v/>
      </c>
      <c r="R85" s="129" t="str">
        <v>Description – likely</v>
      </c>
      <c r="S85" s="143" t="str">
        <v/>
      </c>
      <c r="T85" s="144" t="str">
        <v>SRC-08</v>
      </c>
      <c r="U85" s="129" t="str">
        <v>Sheet row 47 – panel</v>
      </c>
      <c r="V85" s="129" t="str">
        <v>CES HNZ Contract (Health NZ), panel tier. Same fee in the commitment tier. Printed excl. GST; no effective date printed. Likely: upper-lid surgery – grouped with S+ upper-lid blepharoplasty and the SRC-07 bleph/ptosis rows (H1).</v>
      </c>
    </row>
    <row r="86" spans="1:22" x14ac:dyDescent="0.2">
      <c r="A86" s="144" t="str">
        <v>H1</v>
      </c>
      <c r="B86" s="145">
        <v>4</v>
      </c>
      <c r="C86" s="129" t="str">
        <v>Correction of ptosis of eyelid by resection or advancement of levator muscle (Unilateral)</v>
      </c>
      <c r="D86" s="129" t="str">
        <v>H1 – Head: Minor Procedures</v>
      </c>
      <c r="E86" s="129" t="str">
        <v>01 - Head</v>
      </c>
      <c r="F86" s="129" t="str">
        <v>CESL – HNZ (commitment)</v>
      </c>
      <c r="G86" s="144" t="str">
        <v>CON-05</v>
      </c>
      <c r="H86" s="129" t="str">
        <v>Fixed fee schedule</v>
      </c>
      <c r="I86" s="144" t="str">
        <v>Yes</v>
      </c>
      <c r="J86" s="144" t="str">
        <v>Base</v>
      </c>
      <c r="K86" s="144" t="str">
        <v>HNZ40</v>
      </c>
      <c r="L86" s="146" t="str">
        <v/>
      </c>
      <c r="M86" s="142">
        <v>800</v>
      </c>
      <c r="N86" s="144" t="str">
        <v>Excl</v>
      </c>
      <c r="O86" s="142">
        <v>800</v>
      </c>
      <c r="P86" s="142">
        <v>919.99999999999989</v>
      </c>
      <c r="Q86" s="142" t="str">
        <v/>
      </c>
      <c r="R86" s="129" t="str">
        <v>Description – likely</v>
      </c>
      <c r="S86" s="143" t="str">
        <v/>
      </c>
      <c r="T86" s="144" t="str">
        <v>SRC-08</v>
      </c>
      <c r="U86" s="129" t="str">
        <v>Sheet row 46 – commitment</v>
      </c>
      <c r="V86" s="129" t="str">
        <v>CES HNZ Contract (Health NZ), commitment tier. Same fee in the panel tier. Printed excl. GST; no effective date printed. Likely: upper-lid surgery – grouped with S+ upper-lid blepharoplasty and the SRC-07 bleph/ptosis rows (H1).</v>
      </c>
    </row>
    <row r="87" spans="1:22" x14ac:dyDescent="0.2">
      <c r="A87" s="144" t="str">
        <v>H1</v>
      </c>
      <c r="B87" s="145">
        <v>4</v>
      </c>
      <c r="C87" s="129" t="str">
        <v>Correction of ptosis of eyelid by resection or advancement of levator muscle (Unilateral)</v>
      </c>
      <c r="D87" s="129" t="str">
        <v>H1 – Head: Minor Procedures</v>
      </c>
      <c r="E87" s="129" t="str">
        <v>01 - Head</v>
      </c>
      <c r="F87" s="129" t="str">
        <v>CESL – HNZ (panel)</v>
      </c>
      <c r="G87" s="144" t="str">
        <v>CON-06</v>
      </c>
      <c r="H87" s="129" t="str">
        <v>Fixed fee schedule</v>
      </c>
      <c r="I87" s="144" t="str">
        <v>Yes</v>
      </c>
      <c r="J87" s="144" t="str">
        <v>Base</v>
      </c>
      <c r="K87" s="144" t="str">
        <v>HNZ40</v>
      </c>
      <c r="L87" s="146" t="str">
        <v/>
      </c>
      <c r="M87" s="142">
        <v>800</v>
      </c>
      <c r="N87" s="144" t="str">
        <v>Excl</v>
      </c>
      <c r="O87" s="142">
        <v>800</v>
      </c>
      <c r="P87" s="142">
        <v>919.99999999999989</v>
      </c>
      <c r="Q87" s="142" t="str">
        <v/>
      </c>
      <c r="R87" s="129" t="str">
        <v>Description – likely</v>
      </c>
      <c r="S87" s="143" t="str">
        <v/>
      </c>
      <c r="T87" s="144" t="str">
        <v>SRC-08</v>
      </c>
      <c r="U87" s="129" t="str">
        <v>Sheet row 46 – panel</v>
      </c>
      <c r="V87" s="129" t="str">
        <v>CES HNZ Contract (Health NZ), panel tier. Same fee in the commitment tier. Printed excl. GST; no effective date printed. Likely: upper-lid surgery – grouped with S+ upper-lid blepharoplasty and the SRC-07 bleph/ptosis rows (H1).</v>
      </c>
    </row>
    <row r="88" spans="1:22" x14ac:dyDescent="0.2">
      <c r="A88" s="144" t="str">
        <v>H1</v>
      </c>
      <c r="B88" s="145">
        <v>4</v>
      </c>
      <c r="C88" s="129" t="str">
        <v>Cyst Excision and curettage</v>
      </c>
      <c r="D88" s="129" t="str">
        <v>H1 – Head: Minor Procedures</v>
      </c>
      <c r="E88" s="129" t="str">
        <v>01 - Head</v>
      </c>
      <c r="F88" s="129" t="str">
        <v>CESL – HNZ (commitment)</v>
      </c>
      <c r="G88" s="144" t="str">
        <v>CON-05</v>
      </c>
      <c r="H88" s="129" t="str">
        <v>Fixed fee schedule</v>
      </c>
      <c r="I88" s="144" t="str">
        <v>Yes</v>
      </c>
      <c r="J88" s="144" t="str">
        <v>Base</v>
      </c>
      <c r="K88" s="144" t="str">
        <v>HNZ19</v>
      </c>
      <c r="L88" s="146" t="str">
        <v/>
      </c>
      <c r="M88" s="142">
        <v>500</v>
      </c>
      <c r="N88" s="144" t="str">
        <v>Excl</v>
      </c>
      <c r="O88" s="142">
        <v>500</v>
      </c>
      <c r="P88" s="142">
        <v>575</v>
      </c>
      <c r="Q88" s="142" t="str">
        <v/>
      </c>
      <c r="R88" s="129" t="str">
        <v>Description – likely</v>
      </c>
      <c r="S88" s="143" t="str">
        <v/>
      </c>
      <c r="T88" s="144" t="str">
        <v>SRC-08</v>
      </c>
      <c r="U88" s="129" t="str">
        <v>Sheet row 27 – commitment</v>
      </c>
      <c r="V88" s="129" t="str">
        <v>CES HNZ Contract (Health NZ), commitment tier. Same fee in the panel tier. Printed excl. GST; no effective date printed. Likely: lid cyst – matched to S+ 'Removal Of Cyst From Eyelid' (H1).</v>
      </c>
    </row>
    <row r="89" spans="1:22" x14ac:dyDescent="0.2">
      <c r="A89" s="144" t="str">
        <v>H1</v>
      </c>
      <c r="B89" s="145">
        <v>4</v>
      </c>
      <c r="C89" s="129" t="str">
        <v>Cyst Excision and curettage</v>
      </c>
      <c r="D89" s="129" t="str">
        <v>H1 – Head: Minor Procedures</v>
      </c>
      <c r="E89" s="129" t="str">
        <v>01 - Head</v>
      </c>
      <c r="F89" s="129" t="str">
        <v>CESL – HNZ (panel)</v>
      </c>
      <c r="G89" s="144" t="str">
        <v>CON-06</v>
      </c>
      <c r="H89" s="129" t="str">
        <v>Fixed fee schedule</v>
      </c>
      <c r="I89" s="144" t="str">
        <v>Yes</v>
      </c>
      <c r="J89" s="144" t="str">
        <v>Base</v>
      </c>
      <c r="K89" s="144" t="str">
        <v>HNZ19</v>
      </c>
      <c r="L89" s="146" t="str">
        <v/>
      </c>
      <c r="M89" s="142">
        <v>500</v>
      </c>
      <c r="N89" s="144" t="str">
        <v>Excl</v>
      </c>
      <c r="O89" s="142">
        <v>500</v>
      </c>
      <c r="P89" s="142">
        <v>575</v>
      </c>
      <c r="Q89" s="142" t="str">
        <v/>
      </c>
      <c r="R89" s="129" t="str">
        <v>Description – likely</v>
      </c>
      <c r="S89" s="143" t="str">
        <v/>
      </c>
      <c r="T89" s="144" t="str">
        <v>SRC-08</v>
      </c>
      <c r="U89" s="129" t="str">
        <v>Sheet row 27 – panel</v>
      </c>
      <c r="V89" s="129" t="str">
        <v>CES HNZ Contract (Health NZ), panel tier. Same fee in the commitment tier. Printed excl. GST; no effective date printed. Likely: lid cyst – matched to S+ 'Removal Of Cyst From Eyelid' (H1).</v>
      </c>
    </row>
    <row r="90" spans="1:22" x14ac:dyDescent="0.2">
      <c r="A90" s="144" t="str">
        <v>H3</v>
      </c>
      <c r="B90" s="145">
        <v>6</v>
      </c>
      <c r="C90" s="129" t="str">
        <v>Dacrocystorhinoplasty, R/O Plates Face, Scar Revisi</v>
      </c>
      <c r="D90" s="129" t="str">
        <v>H3 – Head: Moderate Procedures</v>
      </c>
      <c r="E90" s="129" t="str">
        <v>01 - Head</v>
      </c>
      <c r="F90" s="129" t="str">
        <v>Solutions Plus</v>
      </c>
      <c r="G90" s="144" t="str">
        <v>CON-01</v>
      </c>
      <c r="H90" s="129" t="str">
        <v>To confirm</v>
      </c>
      <c r="I90" s="144" t="str">
        <v>No</v>
      </c>
      <c r="J90" s="144" t="str">
        <v>Base</v>
      </c>
      <c r="K90" s="144" t="str">
        <v/>
      </c>
      <c r="L90" s="146">
        <v>21</v>
      </c>
      <c r="M90" s="142">
        <v>1155</v>
      </c>
      <c r="N90" s="144" t="str">
        <v>Unknown</v>
      </c>
      <c r="O90" s="142" t="str">
        <v/>
      </c>
      <c r="P90" s="142" t="str">
        <v/>
      </c>
      <c r="Q90" s="142">
        <v>55</v>
      </c>
      <c r="R90" s="129" t="str">
        <v>Description – likely</v>
      </c>
      <c r="S90" s="143" t="str">
        <v/>
      </c>
      <c r="T90" s="144" t="str">
        <v>SRC-00</v>
      </c>
      <c r="U90" s="129" t="str">
        <v>S+ row 231</v>
      </c>
      <c r="V90" s="129" t="str">
        <v/>
      </c>
    </row>
    <row r="91" spans="1:22" x14ac:dyDescent="0.2">
      <c r="A91" s="144" t="str">
        <v>H3</v>
      </c>
      <c r="B91" s="145">
        <v>6</v>
      </c>
      <c r="C91" s="129" t="str">
        <v>Dacryocystorhinostomy [DCR]</v>
      </c>
      <c r="D91" s="129" t="str">
        <v>H3 – Head: Moderate Procedures</v>
      </c>
      <c r="E91" s="129" t="str">
        <v>01 - Head</v>
      </c>
      <c r="F91" s="129" t="str">
        <v>CESL – HNZ (commitment)</v>
      </c>
      <c r="G91" s="144" t="str">
        <v>CON-05</v>
      </c>
      <c r="H91" s="129" t="str">
        <v>Fixed fee schedule</v>
      </c>
      <c r="I91" s="144" t="str">
        <v>Yes</v>
      </c>
      <c r="J91" s="144" t="str">
        <v>Base</v>
      </c>
      <c r="K91" s="144" t="str">
        <v>HNZ46</v>
      </c>
      <c r="L91" s="146" t="str">
        <v/>
      </c>
      <c r="M91" s="142">
        <v>900</v>
      </c>
      <c r="N91" s="144" t="str">
        <v>Excl</v>
      </c>
      <c r="O91" s="142">
        <v>900</v>
      </c>
      <c r="P91" s="142">
        <v>1035</v>
      </c>
      <c r="Q91" s="142" t="str">
        <v/>
      </c>
      <c r="R91" s="129" t="str">
        <v>Description – exact</v>
      </c>
      <c r="S91" s="143" t="str">
        <v/>
      </c>
      <c r="T91" s="144" t="str">
        <v>SRC-08</v>
      </c>
      <c r="U91" s="129" t="str">
        <v>Sheet row 52 – commitment</v>
      </c>
      <c r="V91" s="129" t="str">
        <v>CES HNZ Contract (Health NZ), commitment tier. Same fee in the panel tier. Printed excl. GST; no effective date printed. Exact: 'Dacryocystorhinostomy [DCR]' = S+ 'DCR'.</v>
      </c>
    </row>
    <row r="92" spans="1:22" x14ac:dyDescent="0.2">
      <c r="A92" s="144" t="str">
        <v>H3</v>
      </c>
      <c r="B92" s="145">
        <v>6</v>
      </c>
      <c r="C92" s="129" t="str">
        <v>Dacryocystorhinostomy [DCR]</v>
      </c>
      <c r="D92" s="129" t="str">
        <v>H3 – Head: Moderate Procedures</v>
      </c>
      <c r="E92" s="129" t="str">
        <v>01 - Head</v>
      </c>
      <c r="F92" s="129" t="str">
        <v>CESL – HNZ (panel)</v>
      </c>
      <c r="G92" s="144" t="str">
        <v>CON-06</v>
      </c>
      <c r="H92" s="129" t="str">
        <v>Fixed fee schedule</v>
      </c>
      <c r="I92" s="144" t="str">
        <v>Yes</v>
      </c>
      <c r="J92" s="144" t="str">
        <v>Base</v>
      </c>
      <c r="K92" s="144" t="str">
        <v>HNZ46</v>
      </c>
      <c r="L92" s="146" t="str">
        <v/>
      </c>
      <c r="M92" s="142">
        <v>900</v>
      </c>
      <c r="N92" s="144" t="str">
        <v>Excl</v>
      </c>
      <c r="O92" s="142">
        <v>900</v>
      </c>
      <c r="P92" s="142">
        <v>1035</v>
      </c>
      <c r="Q92" s="142" t="str">
        <v/>
      </c>
      <c r="R92" s="129" t="str">
        <v>Description – exact</v>
      </c>
      <c r="S92" s="143" t="str">
        <v/>
      </c>
      <c r="T92" s="144" t="str">
        <v>SRC-08</v>
      </c>
      <c r="U92" s="129" t="str">
        <v>Sheet row 52 – panel</v>
      </c>
      <c r="V92" s="129" t="str">
        <v>CES HNZ Contract (Health NZ), panel tier. Same fee in the commitment tier. Printed excl. GST; no effective date printed. Exact: 'Dacryocystorhinostomy [DCR]' = S+ 'DCR'.</v>
      </c>
    </row>
    <row r="93" spans="1:22" x14ac:dyDescent="0.2">
      <c r="A93" s="144" t="str">
        <v>H3</v>
      </c>
      <c r="B93" s="145">
        <v>6</v>
      </c>
      <c r="C93" s="129" t="str">
        <v>DCR</v>
      </c>
      <c r="D93" s="129" t="str">
        <v>H3 – Head: Moderate Procedures</v>
      </c>
      <c r="E93" s="129" t="str">
        <v>01 - Head</v>
      </c>
      <c r="F93" s="129" t="str">
        <v>Solutions Plus</v>
      </c>
      <c r="G93" s="144" t="str">
        <v>CON-01</v>
      </c>
      <c r="H93" s="129" t="str">
        <v>To confirm</v>
      </c>
      <c r="I93" s="144" t="str">
        <v>No</v>
      </c>
      <c r="J93" s="144" t="str">
        <v>Base</v>
      </c>
      <c r="K93" s="144" t="str">
        <v/>
      </c>
      <c r="L93" s="146">
        <v>11.5</v>
      </c>
      <c r="M93" s="142">
        <v>634.15</v>
      </c>
      <c r="N93" s="144" t="str">
        <v>Unknown</v>
      </c>
      <c r="O93" s="142" t="str">
        <v/>
      </c>
      <c r="P93" s="142" t="str">
        <v/>
      </c>
      <c r="Q93" s="142">
        <v>55.143478260869564</v>
      </c>
      <c r="R93" s="129" t="str">
        <v>Description – likely</v>
      </c>
      <c r="S93" s="143" t="str">
        <v/>
      </c>
      <c r="T93" s="144" t="str">
        <v>SRC-00</v>
      </c>
      <c r="U93" s="129" t="str">
        <v>S+ row 232</v>
      </c>
      <c r="V93" s="129" t="str">
        <v/>
      </c>
    </row>
    <row r="94" spans="1:22" x14ac:dyDescent="0.2">
      <c r="A94" s="144" t="str">
        <v>H1</v>
      </c>
      <c r="B94" s="145">
        <v>4</v>
      </c>
      <c r="C94" s="129" t="str">
        <v>Deroofing +/- cautery</v>
      </c>
      <c r="D94" s="129" t="str">
        <v>H1 – Head: Minor Procedures</v>
      </c>
      <c r="E94" s="129" t="str">
        <v>01 - Head</v>
      </c>
      <c r="F94" s="129" t="str">
        <v>CESL – HNZ (commitment)</v>
      </c>
      <c r="G94" s="144" t="str">
        <v>CON-05</v>
      </c>
      <c r="H94" s="129" t="str">
        <v>Fixed fee schedule</v>
      </c>
      <c r="I94" s="144" t="str">
        <v>Yes</v>
      </c>
      <c r="J94" s="144" t="str">
        <v>Base</v>
      </c>
      <c r="K94" s="144" t="str">
        <v>HNZ37</v>
      </c>
      <c r="L94" s="146" t="str">
        <v/>
      </c>
      <c r="M94" s="142">
        <v>750</v>
      </c>
      <c r="N94" s="144" t="str">
        <v>Excl</v>
      </c>
      <c r="O94" s="142">
        <v>750</v>
      </c>
      <c r="P94" s="142">
        <v>862.49999999999989</v>
      </c>
      <c r="Q94" s="142" t="str">
        <v/>
      </c>
      <c r="R94" s="129" t="str">
        <v>Description – likely</v>
      </c>
      <c r="S94" s="143" t="str">
        <v/>
      </c>
      <c r="T94" s="144" t="str">
        <v>SRC-08</v>
      </c>
      <c r="U94" s="129" t="str">
        <v>Sheet row 43 – commitment</v>
      </c>
      <c r="V94" s="129" t="str">
        <v>CES HNZ Contract (Health NZ), commitment tier. Panel tier fee $800. Printed excl. GST; no effective date printed. Likely: lid cyst – matched to S+ 'Removal Of Cyst From Eyelid' (H1).</v>
      </c>
    </row>
    <row r="95" spans="1:22" x14ac:dyDescent="0.2">
      <c r="A95" s="144" t="str">
        <v>H1</v>
      </c>
      <c r="B95" s="145">
        <v>4</v>
      </c>
      <c r="C95" s="129" t="str">
        <v>Deroofing +/- cautery</v>
      </c>
      <c r="D95" s="129" t="str">
        <v>H1 – Head: Minor Procedures</v>
      </c>
      <c r="E95" s="129" t="str">
        <v>01 - Head</v>
      </c>
      <c r="F95" s="129" t="str">
        <v>CESL – HNZ (panel)</v>
      </c>
      <c r="G95" s="144" t="str">
        <v>CON-06</v>
      </c>
      <c r="H95" s="129" t="str">
        <v>Fixed fee schedule</v>
      </c>
      <c r="I95" s="144" t="str">
        <v>Yes</v>
      </c>
      <c r="J95" s="144" t="str">
        <v>Base</v>
      </c>
      <c r="K95" s="144" t="str">
        <v>HNZ37</v>
      </c>
      <c r="L95" s="146" t="str">
        <v/>
      </c>
      <c r="M95" s="142">
        <v>800</v>
      </c>
      <c r="N95" s="144" t="str">
        <v>Excl</v>
      </c>
      <c r="O95" s="142">
        <v>800</v>
      </c>
      <c r="P95" s="142">
        <v>919.99999999999989</v>
      </c>
      <c r="Q95" s="142" t="str">
        <v/>
      </c>
      <c r="R95" s="129" t="str">
        <v>Description – likely</v>
      </c>
      <c r="S95" s="143" t="str">
        <v/>
      </c>
      <c r="T95" s="144" t="str">
        <v>SRC-08</v>
      </c>
      <c r="U95" s="129" t="str">
        <v>Sheet row 43 – panel</v>
      </c>
      <c r="V95" s="129" t="str">
        <v>CES HNZ Contract (Health NZ), panel tier. Commitment tier fee $750. Printed excl. GST; no effective date printed. Likely: lid cyst – matched to S+ 'Removal Of Cyst From Eyelid' (H1).</v>
      </c>
    </row>
    <row r="96" spans="1:22" x14ac:dyDescent="0.2">
      <c r="A96" s="144" t="str">
        <v>H1</v>
      </c>
      <c r="B96" s="145">
        <v>4</v>
      </c>
      <c r="C96" s="129" t="str">
        <v>Destruction procedures on eyelash follicle (Electrolysis)</v>
      </c>
      <c r="D96" s="129" t="str">
        <v>H1 – Head: Minor Procedures</v>
      </c>
      <c r="E96" s="129" t="str">
        <v>01 - Head</v>
      </c>
      <c r="F96" s="129" t="str">
        <v>CESL – HNZ (commitment)</v>
      </c>
      <c r="G96" s="144" t="str">
        <v>CON-05</v>
      </c>
      <c r="H96" s="129" t="str">
        <v>Fixed fee schedule</v>
      </c>
      <c r="I96" s="144" t="str">
        <v>Yes</v>
      </c>
      <c r="J96" s="144" t="str">
        <v>Base</v>
      </c>
      <c r="K96" s="144" t="str">
        <v>HNZ44</v>
      </c>
      <c r="L96" s="146" t="str">
        <v/>
      </c>
      <c r="M96" s="142">
        <v>500</v>
      </c>
      <c r="N96" s="144" t="str">
        <v>Excl</v>
      </c>
      <c r="O96" s="142">
        <v>500</v>
      </c>
      <c r="P96" s="142">
        <v>575</v>
      </c>
      <c r="Q96" s="142" t="str">
        <v/>
      </c>
      <c r="R96" s="129" t="str">
        <v>Description – likely</v>
      </c>
      <c r="S96" s="143" t="str">
        <v/>
      </c>
      <c r="T96" s="144" t="str">
        <v>SRC-08</v>
      </c>
      <c r="U96" s="129" t="str">
        <v>Sheet row 50 – commitment</v>
      </c>
      <c r="V96" s="129" t="str">
        <v>CES HNZ Contract (Health NZ), commitment tier. Same fee in the panel tier. Printed excl. GST; no effective date printed. Likely: eyelid lesion surgery – matched to S+ 'Excision Of Lesion + Direct Closure Left Eyelid' (H1).</v>
      </c>
    </row>
    <row r="97" spans="1:22" x14ac:dyDescent="0.2">
      <c r="A97" s="144" t="str">
        <v>H1</v>
      </c>
      <c r="B97" s="145">
        <v>4</v>
      </c>
      <c r="C97" s="129" t="str">
        <v>Destruction procedures on eyelash follicle (Electrolysis)</v>
      </c>
      <c r="D97" s="129" t="str">
        <v>H1 – Head: Minor Procedures</v>
      </c>
      <c r="E97" s="129" t="str">
        <v>01 - Head</v>
      </c>
      <c r="F97" s="129" t="str">
        <v>CESL – HNZ (panel)</v>
      </c>
      <c r="G97" s="144" t="str">
        <v>CON-06</v>
      </c>
      <c r="H97" s="129" t="str">
        <v>Fixed fee schedule</v>
      </c>
      <c r="I97" s="144" t="str">
        <v>Yes</v>
      </c>
      <c r="J97" s="144" t="str">
        <v>Base</v>
      </c>
      <c r="K97" s="144" t="str">
        <v>HNZ44</v>
      </c>
      <c r="L97" s="146" t="str">
        <v/>
      </c>
      <c r="M97" s="142">
        <v>500</v>
      </c>
      <c r="N97" s="144" t="str">
        <v>Excl</v>
      </c>
      <c r="O97" s="142">
        <v>500</v>
      </c>
      <c r="P97" s="142">
        <v>575</v>
      </c>
      <c r="Q97" s="142" t="str">
        <v/>
      </c>
      <c r="R97" s="129" t="str">
        <v>Description – likely</v>
      </c>
      <c r="S97" s="143" t="str">
        <v/>
      </c>
      <c r="T97" s="144" t="str">
        <v>SRC-08</v>
      </c>
      <c r="U97" s="129" t="str">
        <v>Sheet row 50 – panel</v>
      </c>
      <c r="V97" s="129" t="str">
        <v>CES HNZ Contract (Health NZ), panel tier. Same fee in the commitment tier. Printed excl. GST; no effective date printed. Likely: eyelid lesion surgery – matched to S+ 'Excision Of Lesion + Direct Closure Left Eyelid' (H1).</v>
      </c>
    </row>
    <row r="98" spans="1:22" x14ac:dyDescent="0.2">
      <c r="A98" s="144" t="str">
        <v>H2</v>
      </c>
      <c r="B98" s="145">
        <v>5</v>
      </c>
      <c r="C98" s="129" t="str">
        <v>DHB - Adenotonsillectomy</v>
      </c>
      <c r="D98" s="129" t="str">
        <v>H2 – Head: Simple but Invasive Procedures</v>
      </c>
      <c r="E98" s="129" t="str">
        <v>01 - Head</v>
      </c>
      <c r="F98" s="129" t="str">
        <v>Solutions Plus</v>
      </c>
      <c r="G98" s="144" t="str">
        <v>CON-01</v>
      </c>
      <c r="H98" s="129" t="str">
        <v>To confirm</v>
      </c>
      <c r="I98" s="144" t="str">
        <v>No</v>
      </c>
      <c r="J98" s="144" t="str">
        <v>Base</v>
      </c>
      <c r="K98" s="144" t="str">
        <v/>
      </c>
      <c r="L98" s="146">
        <v>9</v>
      </c>
      <c r="M98" s="142">
        <v>495.55</v>
      </c>
      <c r="N98" s="144" t="str">
        <v>Unknown</v>
      </c>
      <c r="O98" s="142" t="str">
        <v/>
      </c>
      <c r="P98" s="142" t="str">
        <v/>
      </c>
      <c r="Q98" s="142">
        <v>55.06111111111111</v>
      </c>
      <c r="R98" s="129" t="str">
        <v>Description – exact</v>
      </c>
      <c r="S98" s="143" t="str">
        <v/>
      </c>
      <c r="T98" s="144" t="str">
        <v>SRC-00</v>
      </c>
      <c r="U98" s="129" t="str">
        <v>S+ row 243</v>
      </c>
      <c r="V98" s="129" t="str">
        <v/>
      </c>
    </row>
    <row r="99" spans="1:22" x14ac:dyDescent="0.2">
      <c r="A99" s="144" t="str">
        <v>H2</v>
      </c>
      <c r="B99" s="145">
        <v>5</v>
      </c>
      <c r="C99" s="129" t="str">
        <v>DHB - Adenotonsillectomy + EUA Ears +/- Grommet</v>
      </c>
      <c r="D99" s="129" t="str">
        <v>H2 – Head: Simple but Invasive Procedures</v>
      </c>
      <c r="E99" s="129" t="str">
        <v>01 - Head</v>
      </c>
      <c r="F99" s="129" t="str">
        <v>Solutions Plus</v>
      </c>
      <c r="G99" s="144" t="str">
        <v>CON-01</v>
      </c>
      <c r="H99" s="129" t="str">
        <v>To confirm</v>
      </c>
      <c r="I99" s="144" t="str">
        <v>No</v>
      </c>
      <c r="J99" s="144" t="str">
        <v>Base</v>
      </c>
      <c r="K99" s="144" t="str">
        <v/>
      </c>
      <c r="L99" s="146">
        <v>13</v>
      </c>
      <c r="M99" s="142">
        <v>715</v>
      </c>
      <c r="N99" s="144" t="str">
        <v>Unknown</v>
      </c>
      <c r="O99" s="142" t="str">
        <v/>
      </c>
      <c r="P99" s="142" t="str">
        <v/>
      </c>
      <c r="Q99" s="142">
        <v>55</v>
      </c>
      <c r="R99" s="129" t="str">
        <v>Description – exact</v>
      </c>
      <c r="S99" s="143" t="str">
        <v/>
      </c>
      <c r="T99" s="144" t="str">
        <v>SRC-00</v>
      </c>
      <c r="U99" s="129" t="str">
        <v>S+ row 244</v>
      </c>
      <c r="V99" s="129" t="str">
        <v/>
      </c>
    </row>
    <row r="100" spans="1:22" x14ac:dyDescent="0.2">
      <c r="A100" s="144" t="str">
        <v>H2</v>
      </c>
      <c r="B100" s="145">
        <v>5</v>
      </c>
      <c r="C100" s="129" t="str">
        <v>DHB - Bilateral Ventilation Tubes + Adenoidectomy</v>
      </c>
      <c r="D100" s="129" t="str">
        <v>H2 – Head: Simple but Invasive Procedures</v>
      </c>
      <c r="E100" s="129" t="str">
        <v>01 - Head</v>
      </c>
      <c r="F100" s="129" t="str">
        <v>Solutions Plus</v>
      </c>
      <c r="G100" s="144" t="str">
        <v>CON-01</v>
      </c>
      <c r="H100" s="129" t="str">
        <v>To confirm</v>
      </c>
      <c r="I100" s="144" t="str">
        <v>No</v>
      </c>
      <c r="J100" s="144" t="str">
        <v>Base</v>
      </c>
      <c r="K100" s="144" t="str">
        <v/>
      </c>
      <c r="L100" s="146">
        <v>12</v>
      </c>
      <c r="M100" s="142">
        <v>660</v>
      </c>
      <c r="N100" s="144" t="str">
        <v>Unknown</v>
      </c>
      <c r="O100" s="142" t="str">
        <v/>
      </c>
      <c r="P100" s="142" t="str">
        <v/>
      </c>
      <c r="Q100" s="142">
        <v>55</v>
      </c>
      <c r="R100" s="129" t="str">
        <v>Description – exact</v>
      </c>
      <c r="S100" s="143" t="str">
        <v/>
      </c>
      <c r="T100" s="144" t="str">
        <v>SRC-00</v>
      </c>
      <c r="U100" s="129" t="str">
        <v>S+ row 245</v>
      </c>
      <c r="V100" s="129" t="str">
        <v/>
      </c>
    </row>
    <row r="101" spans="1:22" x14ac:dyDescent="0.2">
      <c r="A101" s="144" t="str">
        <v>H2</v>
      </c>
      <c r="B101" s="145">
        <v>5</v>
      </c>
      <c r="C101" s="129" t="str">
        <v>DHB OUTSOURCED - Coblation Intracapsular Aden</v>
      </c>
      <c r="D101" s="129" t="str">
        <v>H2 – Head: Simple but Invasive Procedures</v>
      </c>
      <c r="E101" s="129" t="str">
        <v>01 - Head</v>
      </c>
      <c r="F101" s="129" t="str">
        <v>Solutions Plus</v>
      </c>
      <c r="G101" s="144" t="str">
        <v>CON-01</v>
      </c>
      <c r="H101" s="129" t="str">
        <v>To confirm</v>
      </c>
      <c r="I101" s="144" t="str">
        <v>No</v>
      </c>
      <c r="J101" s="144" t="str">
        <v>Base</v>
      </c>
      <c r="K101" s="144" t="str">
        <v/>
      </c>
      <c r="L101" s="146">
        <v>9</v>
      </c>
      <c r="M101" s="142">
        <v>495</v>
      </c>
      <c r="N101" s="144" t="str">
        <v>Unknown</v>
      </c>
      <c r="O101" s="142" t="str">
        <v/>
      </c>
      <c r="P101" s="142" t="str">
        <v/>
      </c>
      <c r="Q101" s="142">
        <v>55</v>
      </c>
      <c r="R101" s="129" t="str">
        <v>Description – exact</v>
      </c>
      <c r="S101" s="143" t="str">
        <v/>
      </c>
      <c r="T101" s="144" t="str">
        <v>SRC-00</v>
      </c>
      <c r="U101" s="129" t="str">
        <v>S+ row 249</v>
      </c>
      <c r="V101" s="129" t="str">
        <v/>
      </c>
    </row>
    <row r="102" spans="1:22" x14ac:dyDescent="0.2">
      <c r="A102" s="144" t="str">
        <v>H1</v>
      </c>
      <c r="B102" s="145">
        <v>4</v>
      </c>
      <c r="C102" s="129" t="str">
        <v>Division Tongue Tie</v>
      </c>
      <c r="D102" s="129" t="str">
        <v>H1 – Head: Minor Procedures</v>
      </c>
      <c r="E102" s="129" t="str">
        <v>01 - Head</v>
      </c>
      <c r="F102" s="129" t="str">
        <v>Solutions Plus</v>
      </c>
      <c r="G102" s="144" t="str">
        <v>CON-01</v>
      </c>
      <c r="H102" s="129" t="str">
        <v>To confirm</v>
      </c>
      <c r="I102" s="144" t="str">
        <v>No</v>
      </c>
      <c r="J102" s="144" t="str">
        <v>Base</v>
      </c>
      <c r="K102" s="144" t="str">
        <v/>
      </c>
      <c r="L102" s="146">
        <v>6.1</v>
      </c>
      <c r="M102" s="142">
        <v>337.7</v>
      </c>
      <c r="N102" s="144" t="str">
        <v>Unknown</v>
      </c>
      <c r="O102" s="142" t="str">
        <v/>
      </c>
      <c r="P102" s="142" t="str">
        <v/>
      </c>
      <c r="Q102" s="142">
        <v>55.360655737704917</v>
      </c>
      <c r="R102" s="129" t="str">
        <v>Description – likely</v>
      </c>
      <c r="S102" s="143" t="str">
        <v/>
      </c>
      <c r="T102" s="144" t="str">
        <v>SRC-00</v>
      </c>
      <c r="U102" s="129" t="str">
        <v>S+ row 259</v>
      </c>
      <c r="V102" s="129" t="str">
        <v/>
      </c>
    </row>
    <row r="103" spans="1:22" x14ac:dyDescent="0.2">
      <c r="A103" s="144" t="str">
        <v>H1</v>
      </c>
      <c r="B103" s="145">
        <v>4</v>
      </c>
      <c r="C103" s="129" t="str">
        <v>Ectropian repair</v>
      </c>
      <c r="D103" s="129" t="str">
        <v>H1 – Head: Minor Procedures</v>
      </c>
      <c r="E103" s="129" t="str">
        <v>01 - Head</v>
      </c>
      <c r="F103" s="129" t="str">
        <v>CESL – HNZ (commitment)</v>
      </c>
      <c r="G103" s="144" t="str">
        <v>CON-05</v>
      </c>
      <c r="H103" s="129" t="str">
        <v>Fixed fee schedule</v>
      </c>
      <c r="I103" s="144" t="str">
        <v>Yes</v>
      </c>
      <c r="J103" s="144" t="str">
        <v>Base</v>
      </c>
      <c r="K103" s="144" t="str">
        <v>HNZ21</v>
      </c>
      <c r="L103" s="146" t="str">
        <v/>
      </c>
      <c r="M103" s="142">
        <v>800</v>
      </c>
      <c r="N103" s="144" t="str">
        <v>Excl</v>
      </c>
      <c r="O103" s="142">
        <v>800</v>
      </c>
      <c r="P103" s="142">
        <v>919.99999999999989</v>
      </c>
      <c r="Q103" s="142" t="str">
        <v/>
      </c>
      <c r="R103" s="129" t="str">
        <v>Description – likely</v>
      </c>
      <c r="S103" s="143" t="str">
        <v/>
      </c>
      <c r="T103" s="144" t="str">
        <v>SRC-08</v>
      </c>
      <c r="U103" s="129" t="str">
        <v>Sheet row 29 – commitment</v>
      </c>
      <c r="V103" s="129" t="str">
        <v>CES HNZ Contract (Health NZ), commitment tier. Same fee in the panel tier. Printed excl. GST; no effective date printed. Likely: eyelid malposition surgery – grouped with S+ 'Bilateral Ectropion Repair' and the SRC-05 ectropion/entropion rows (H1).</v>
      </c>
    </row>
    <row r="104" spans="1:22" x14ac:dyDescent="0.2">
      <c r="A104" s="144" t="str">
        <v>H1</v>
      </c>
      <c r="B104" s="145">
        <v>4</v>
      </c>
      <c r="C104" s="129" t="str">
        <v>Ectropian repair</v>
      </c>
      <c r="D104" s="129" t="str">
        <v>H1 – Head: Minor Procedures</v>
      </c>
      <c r="E104" s="129" t="str">
        <v>01 - Head</v>
      </c>
      <c r="F104" s="129" t="str">
        <v>CESL – HNZ (panel)</v>
      </c>
      <c r="G104" s="144" t="str">
        <v>CON-06</v>
      </c>
      <c r="H104" s="129" t="str">
        <v>Fixed fee schedule</v>
      </c>
      <c r="I104" s="144" t="str">
        <v>Yes</v>
      </c>
      <c r="J104" s="144" t="str">
        <v>Base</v>
      </c>
      <c r="K104" s="144" t="str">
        <v>HNZ21</v>
      </c>
      <c r="L104" s="146" t="str">
        <v/>
      </c>
      <c r="M104" s="142">
        <v>800</v>
      </c>
      <c r="N104" s="144" t="str">
        <v>Excl</v>
      </c>
      <c r="O104" s="142">
        <v>800</v>
      </c>
      <c r="P104" s="142">
        <v>919.99999999999989</v>
      </c>
      <c r="Q104" s="142" t="str">
        <v/>
      </c>
      <c r="R104" s="129" t="str">
        <v>Description – likely</v>
      </c>
      <c r="S104" s="143" t="str">
        <v/>
      </c>
      <c r="T104" s="144" t="str">
        <v>SRC-08</v>
      </c>
      <c r="U104" s="129" t="str">
        <v>Sheet row 29 – panel</v>
      </c>
      <c r="V104" s="129" t="str">
        <v>CES HNZ Contract (Health NZ), panel tier. Same fee in the commitment tier. Printed excl. GST; no effective date printed. Likely: eyelid malposition surgery – grouped with S+ 'Bilateral Ectropion Repair' and the SRC-05 ectropion/entropion rows (H1).</v>
      </c>
    </row>
    <row r="105" spans="1:22" x14ac:dyDescent="0.2">
      <c r="A105" s="144" t="str">
        <v>H3</v>
      </c>
      <c r="B105" s="145">
        <v>6</v>
      </c>
      <c r="C105" s="129" t="str">
        <v>Endoscopic Nasal Surgey</v>
      </c>
      <c r="D105" s="129" t="str">
        <v>H3 – Head: Moderate Procedures</v>
      </c>
      <c r="E105" s="129" t="str">
        <v>01 - Head</v>
      </c>
      <c r="F105" s="129" t="str">
        <v>Solutions Plus</v>
      </c>
      <c r="G105" s="144" t="str">
        <v>CON-01</v>
      </c>
      <c r="H105" s="129" t="str">
        <v>To confirm</v>
      </c>
      <c r="I105" s="144" t="str">
        <v>No</v>
      </c>
      <c r="J105" s="144" t="str">
        <v>Base</v>
      </c>
      <c r="K105" s="144" t="str">
        <v/>
      </c>
      <c r="L105" s="146">
        <v>10.5</v>
      </c>
      <c r="M105" s="142">
        <v>577.5</v>
      </c>
      <c r="N105" s="144" t="str">
        <v>Unknown</v>
      </c>
      <c r="O105" s="142" t="str">
        <v/>
      </c>
      <c r="P105" s="142" t="str">
        <v/>
      </c>
      <c r="Q105" s="142">
        <v>55</v>
      </c>
      <c r="R105" s="129" t="str">
        <v>Description – exact</v>
      </c>
      <c r="S105" s="143" t="str">
        <v/>
      </c>
      <c r="T105" s="144" t="str">
        <v>SRC-00</v>
      </c>
      <c r="U105" s="129" t="str">
        <v>S+ row 273</v>
      </c>
      <c r="V105" s="129" t="str">
        <v/>
      </c>
    </row>
    <row r="106" spans="1:22" x14ac:dyDescent="0.2">
      <c r="A106" s="144" t="str">
        <v>H2</v>
      </c>
      <c r="B106" s="145">
        <v>5</v>
      </c>
      <c r="C106" s="129" t="str">
        <v>Endoscopic Septoplasty, Bilateral Inferior Turbinopl</v>
      </c>
      <c r="D106" s="129" t="str">
        <v>H2 – Head: Simple but Invasive Procedures</v>
      </c>
      <c r="E106" s="129" t="str">
        <v>01 - Head</v>
      </c>
      <c r="F106" s="129" t="str">
        <v>Solutions Plus</v>
      </c>
      <c r="G106" s="144" t="str">
        <v>CON-01</v>
      </c>
      <c r="H106" s="129" t="str">
        <v>To confirm</v>
      </c>
      <c r="I106" s="144" t="str">
        <v>No</v>
      </c>
      <c r="J106" s="144" t="str">
        <v>Base</v>
      </c>
      <c r="K106" s="144" t="str">
        <v/>
      </c>
      <c r="L106" s="146">
        <v>11.7</v>
      </c>
      <c r="M106" s="142">
        <v>645.15</v>
      </c>
      <c r="N106" s="144" t="str">
        <v>Unknown</v>
      </c>
      <c r="O106" s="142" t="str">
        <v/>
      </c>
      <c r="P106" s="142" t="str">
        <v/>
      </c>
      <c r="Q106" s="142">
        <v>55.141025641025642</v>
      </c>
      <c r="R106" s="129" t="str">
        <v>Description – exact</v>
      </c>
      <c r="S106" s="143" t="str">
        <v/>
      </c>
      <c r="T106" s="144" t="str">
        <v>SRC-00</v>
      </c>
      <c r="U106" s="129" t="str">
        <v>S+ row 274</v>
      </c>
      <c r="V106" s="129" t="str">
        <v/>
      </c>
    </row>
    <row r="107" spans="1:22" x14ac:dyDescent="0.2">
      <c r="A107" s="144" t="str">
        <v>H3</v>
      </c>
      <c r="B107" s="145">
        <v>6</v>
      </c>
      <c r="C107" s="129" t="str">
        <v>Endoscopic Sinus Surgery</v>
      </c>
      <c r="D107" s="129" t="str">
        <v>H3 – Head: Moderate Procedures</v>
      </c>
      <c r="E107" s="129" t="str">
        <v>01 - Head</v>
      </c>
      <c r="F107" s="129" t="str">
        <v>Solutions Plus</v>
      </c>
      <c r="G107" s="144" t="str">
        <v>CON-01</v>
      </c>
      <c r="H107" s="129" t="str">
        <v>To confirm</v>
      </c>
      <c r="I107" s="144" t="str">
        <v>No</v>
      </c>
      <c r="J107" s="144" t="str">
        <v>Base</v>
      </c>
      <c r="K107" s="144" t="str">
        <v/>
      </c>
      <c r="L107" s="146">
        <v>12.8</v>
      </c>
      <c r="M107" s="142">
        <v>702.9</v>
      </c>
      <c r="N107" s="144" t="str">
        <v>Unknown</v>
      </c>
      <c r="O107" s="142" t="str">
        <v/>
      </c>
      <c r="P107" s="142" t="str">
        <v/>
      </c>
      <c r="Q107" s="142">
        <v>54.914062499999993</v>
      </c>
      <c r="R107" s="129" t="str">
        <v>Description – exact</v>
      </c>
      <c r="S107" s="143" t="str">
        <v/>
      </c>
      <c r="T107" s="144" t="str">
        <v>SRC-00</v>
      </c>
      <c r="U107" s="129" t="str">
        <v>S+ row 275</v>
      </c>
      <c r="V107" s="129" t="str">
        <v/>
      </c>
    </row>
    <row r="108" spans="1:22" x14ac:dyDescent="0.2">
      <c r="A108" s="144" t="str">
        <v>H1</v>
      </c>
      <c r="B108" s="145">
        <v>4</v>
      </c>
      <c r="C108" s="129" t="str">
        <v>Entropian repair</v>
      </c>
      <c r="D108" s="129" t="str">
        <v>H1 – Head: Minor Procedures</v>
      </c>
      <c r="E108" s="129" t="str">
        <v>01 - Head</v>
      </c>
      <c r="F108" s="129" t="str">
        <v>CESL – HNZ (commitment)</v>
      </c>
      <c r="G108" s="144" t="str">
        <v>CON-05</v>
      </c>
      <c r="H108" s="129" t="str">
        <v>Fixed fee schedule</v>
      </c>
      <c r="I108" s="144" t="str">
        <v>Yes</v>
      </c>
      <c r="J108" s="144" t="str">
        <v>Base</v>
      </c>
      <c r="K108" s="144" t="str">
        <v>HNZ20</v>
      </c>
      <c r="L108" s="146" t="str">
        <v/>
      </c>
      <c r="M108" s="142">
        <v>800</v>
      </c>
      <c r="N108" s="144" t="str">
        <v>Excl</v>
      </c>
      <c r="O108" s="142">
        <v>800</v>
      </c>
      <c r="P108" s="142">
        <v>919.99999999999989</v>
      </c>
      <c r="Q108" s="142" t="str">
        <v/>
      </c>
      <c r="R108" s="129" t="str">
        <v>Description – likely</v>
      </c>
      <c r="S108" s="143" t="str">
        <v/>
      </c>
      <c r="T108" s="144" t="str">
        <v>SRC-08</v>
      </c>
      <c r="U108" s="129" t="str">
        <v>Sheet row 28 – commitment</v>
      </c>
      <c r="V108" s="129" t="str">
        <v>CES HNZ Contract (Health NZ), commitment tier. Same fee in the panel tier. Printed excl. GST; no effective date printed. Likely: eyelid malposition surgery – grouped with S+ 'Bilateral Ectropion Repair' and the SRC-05 ectropion/entropion rows (H1).</v>
      </c>
    </row>
    <row r="109" spans="1:22" x14ac:dyDescent="0.2">
      <c r="A109" s="144" t="str">
        <v>H1</v>
      </c>
      <c r="B109" s="145">
        <v>4</v>
      </c>
      <c r="C109" s="129" t="str">
        <v>Entropian repair</v>
      </c>
      <c r="D109" s="129" t="str">
        <v>H1 – Head: Minor Procedures</v>
      </c>
      <c r="E109" s="129" t="str">
        <v>01 - Head</v>
      </c>
      <c r="F109" s="129" t="str">
        <v>CESL – HNZ (panel)</v>
      </c>
      <c r="G109" s="144" t="str">
        <v>CON-06</v>
      </c>
      <c r="H109" s="129" t="str">
        <v>Fixed fee schedule</v>
      </c>
      <c r="I109" s="144" t="str">
        <v>Yes</v>
      </c>
      <c r="J109" s="144" t="str">
        <v>Base</v>
      </c>
      <c r="K109" s="144" t="str">
        <v>HNZ20</v>
      </c>
      <c r="L109" s="146" t="str">
        <v/>
      </c>
      <c r="M109" s="142">
        <v>800</v>
      </c>
      <c r="N109" s="144" t="str">
        <v>Excl</v>
      </c>
      <c r="O109" s="142">
        <v>800</v>
      </c>
      <c r="P109" s="142">
        <v>919.99999999999989</v>
      </c>
      <c r="Q109" s="142" t="str">
        <v/>
      </c>
      <c r="R109" s="129" t="str">
        <v>Description – likely</v>
      </c>
      <c r="S109" s="143" t="str">
        <v/>
      </c>
      <c r="T109" s="144" t="str">
        <v>SRC-08</v>
      </c>
      <c r="U109" s="129" t="str">
        <v>Sheet row 28 – panel</v>
      </c>
      <c r="V109" s="129" t="str">
        <v>CES HNZ Contract (Health NZ), panel tier. Same fee in the commitment tier. Printed excl. GST; no effective date printed. Likely: eyelid malposition surgery – grouped with S+ 'Bilateral Ectropion Repair' and the SRC-05 ectropion/entropion rows (H1).</v>
      </c>
    </row>
    <row r="110" spans="1:22" x14ac:dyDescent="0.2">
      <c r="A110" s="144" t="str">
        <v>H1</v>
      </c>
      <c r="B110" s="145">
        <v>4</v>
      </c>
      <c r="C110" s="129" t="str">
        <v>Epiblepharon repair</v>
      </c>
      <c r="D110" s="129" t="str">
        <v>H1 – Head: Minor Procedures</v>
      </c>
      <c r="E110" s="129" t="str">
        <v>01 - Head</v>
      </c>
      <c r="F110" s="129" t="str">
        <v>CESL – HNZ (commitment)</v>
      </c>
      <c r="G110" s="144" t="str">
        <v>CON-05</v>
      </c>
      <c r="H110" s="129" t="str">
        <v>Fixed fee schedule</v>
      </c>
      <c r="I110" s="144" t="str">
        <v>Yes</v>
      </c>
      <c r="J110" s="144" t="str">
        <v>Base</v>
      </c>
      <c r="K110" s="144" t="str">
        <v>HNZ22</v>
      </c>
      <c r="L110" s="146" t="str">
        <v/>
      </c>
      <c r="M110" s="142">
        <v>700</v>
      </c>
      <c r="N110" s="144" t="str">
        <v>Excl</v>
      </c>
      <c r="O110" s="142">
        <v>700</v>
      </c>
      <c r="P110" s="142">
        <v>804.99999999999989</v>
      </c>
      <c r="Q110" s="142" t="str">
        <v/>
      </c>
      <c r="R110" s="129" t="str">
        <v>Description – likely</v>
      </c>
      <c r="S110" s="143" t="str">
        <v/>
      </c>
      <c r="T110" s="144" t="str">
        <v>SRC-08</v>
      </c>
      <c r="U110" s="129" t="str">
        <v>Sheet row 30 – commitment</v>
      </c>
      <c r="V110" s="129" t="str">
        <v>CES HNZ Contract (Health NZ), commitment tier. Same fee in the panel tier. Printed excl. GST; no effective date printed. Likely: eyelid malposition surgery – grouped with S+ 'Bilateral Ectropion Repair' and the SRC-05 ectropion/entropion rows (H1).</v>
      </c>
    </row>
    <row r="111" spans="1:22" x14ac:dyDescent="0.2">
      <c r="A111" s="144" t="str">
        <v>H1</v>
      </c>
      <c r="B111" s="145">
        <v>4</v>
      </c>
      <c r="C111" s="129" t="str">
        <v>Epiblepharon repair</v>
      </c>
      <c r="D111" s="129" t="str">
        <v>H1 – Head: Minor Procedures</v>
      </c>
      <c r="E111" s="129" t="str">
        <v>01 - Head</v>
      </c>
      <c r="F111" s="129" t="str">
        <v>CESL – HNZ (panel)</v>
      </c>
      <c r="G111" s="144" t="str">
        <v>CON-06</v>
      </c>
      <c r="H111" s="129" t="str">
        <v>Fixed fee schedule</v>
      </c>
      <c r="I111" s="144" t="str">
        <v>Yes</v>
      </c>
      <c r="J111" s="144" t="str">
        <v>Base</v>
      </c>
      <c r="K111" s="144" t="str">
        <v>HNZ22</v>
      </c>
      <c r="L111" s="146" t="str">
        <v/>
      </c>
      <c r="M111" s="142">
        <v>700</v>
      </c>
      <c r="N111" s="144" t="str">
        <v>Excl</v>
      </c>
      <c r="O111" s="142">
        <v>700</v>
      </c>
      <c r="P111" s="142">
        <v>804.99999999999989</v>
      </c>
      <c r="Q111" s="142" t="str">
        <v/>
      </c>
      <c r="R111" s="129" t="str">
        <v>Description – likely</v>
      </c>
      <c r="S111" s="143" t="str">
        <v/>
      </c>
      <c r="T111" s="144" t="str">
        <v>SRC-08</v>
      </c>
      <c r="U111" s="129" t="str">
        <v>Sheet row 30 – panel</v>
      </c>
      <c r="V111" s="129" t="str">
        <v>CES HNZ Contract (Health NZ), panel tier. Same fee in the commitment tier. Printed excl. GST; no effective date printed. Likely: eyelid malposition surgery – grouped with S+ 'Bilateral Ectropion Repair' and the SRC-05 ectropion/entropion rows (H1).</v>
      </c>
    </row>
    <row r="112" spans="1:22" x14ac:dyDescent="0.2">
      <c r="A112" s="144" t="str">
        <v>H1</v>
      </c>
      <c r="B112" s="145">
        <v>4</v>
      </c>
      <c r="C112" s="129" t="str">
        <v>Excise Multiple Lesions Head</v>
      </c>
      <c r="D112" s="129" t="str">
        <v>H1 – Head: Minor Procedures</v>
      </c>
      <c r="E112" s="129" t="str">
        <v>01 - Head</v>
      </c>
      <c r="F112" s="129" t="str">
        <v>Solutions Plus</v>
      </c>
      <c r="G112" s="144" t="str">
        <v>CON-01</v>
      </c>
      <c r="H112" s="129" t="str">
        <v>To confirm</v>
      </c>
      <c r="I112" s="144" t="str">
        <v>No</v>
      </c>
      <c r="J112" s="144" t="str">
        <v>Base</v>
      </c>
      <c r="K112" s="144" t="str">
        <v/>
      </c>
      <c r="L112" s="146">
        <v>13</v>
      </c>
      <c r="M112" s="142">
        <v>715</v>
      </c>
      <c r="N112" s="144" t="str">
        <v>Unknown</v>
      </c>
      <c r="O112" s="142" t="str">
        <v/>
      </c>
      <c r="P112" s="142" t="str">
        <v/>
      </c>
      <c r="Q112" s="142">
        <v>55</v>
      </c>
      <c r="R112" s="129" t="str">
        <v>Description – exact</v>
      </c>
      <c r="S112" s="143" t="str">
        <v/>
      </c>
      <c r="T112" s="144" t="str">
        <v>SRC-00</v>
      </c>
      <c r="U112" s="129" t="str">
        <v>S+ row 303</v>
      </c>
      <c r="V112" s="129" t="str">
        <v/>
      </c>
    </row>
    <row r="113" spans="1:22" x14ac:dyDescent="0.2">
      <c r="A113" s="144" t="str">
        <v>H1</v>
      </c>
      <c r="B113" s="145">
        <v>4</v>
      </c>
      <c r="C113" s="129" t="str">
        <v>Excision Of Lesion + Direct Closure Left Eyelid</v>
      </c>
      <c r="D113" s="129" t="str">
        <v>H1 – Head: Minor Procedures</v>
      </c>
      <c r="E113" s="129" t="str">
        <v>01 - Head</v>
      </c>
      <c r="F113" s="129" t="str">
        <v>Solutions Plus</v>
      </c>
      <c r="G113" s="144" t="str">
        <v>CON-01</v>
      </c>
      <c r="H113" s="129" t="str">
        <v>To confirm</v>
      </c>
      <c r="I113" s="144" t="str">
        <v>No</v>
      </c>
      <c r="J113" s="144" t="str">
        <v>Base</v>
      </c>
      <c r="K113" s="144" t="str">
        <v/>
      </c>
      <c r="L113" s="146">
        <v>7</v>
      </c>
      <c r="M113" s="142">
        <v>385</v>
      </c>
      <c r="N113" s="144" t="str">
        <v>Unknown</v>
      </c>
      <c r="O113" s="142" t="str">
        <v/>
      </c>
      <c r="P113" s="142" t="str">
        <v/>
      </c>
      <c r="Q113" s="142">
        <v>55</v>
      </c>
      <c r="R113" s="129" t="str">
        <v>Description – likely</v>
      </c>
      <c r="S113" s="143" t="str">
        <v/>
      </c>
      <c r="T113" s="144" t="str">
        <v>SRC-00</v>
      </c>
      <c r="U113" s="129" t="str">
        <v>S+ row 319</v>
      </c>
      <c r="V113" s="129" t="str">
        <v/>
      </c>
    </row>
    <row r="114" spans="1:22" x14ac:dyDescent="0.2">
      <c r="A114" s="144" t="str">
        <v>H1</v>
      </c>
      <c r="B114" s="145">
        <v>4</v>
      </c>
      <c r="C114" s="129" t="str">
        <v>Excision of lesion of skin and subcutaneous tissue of eyelid</v>
      </c>
      <c r="D114" s="129" t="str">
        <v>H1 – Head: Minor Procedures</v>
      </c>
      <c r="E114" s="129" t="str">
        <v>01 - Head</v>
      </c>
      <c r="F114" s="129" t="str">
        <v>CESL – HNZ (commitment)</v>
      </c>
      <c r="G114" s="144" t="str">
        <v>CON-05</v>
      </c>
      <c r="H114" s="129" t="str">
        <v>Fixed fee schedule</v>
      </c>
      <c r="I114" s="144" t="str">
        <v>Yes</v>
      </c>
      <c r="J114" s="144" t="str">
        <v>Base</v>
      </c>
      <c r="K114" s="144" t="str">
        <v>HNZ42</v>
      </c>
      <c r="L114" s="146" t="str">
        <v/>
      </c>
      <c r="M114" s="142">
        <v>800</v>
      </c>
      <c r="N114" s="144" t="str">
        <v>Excl</v>
      </c>
      <c r="O114" s="142">
        <v>800</v>
      </c>
      <c r="P114" s="142">
        <v>919.99999999999989</v>
      </c>
      <c r="Q114" s="142" t="str">
        <v/>
      </c>
      <c r="R114" s="129" t="str">
        <v>Description – likely</v>
      </c>
      <c r="S114" s="143" t="str">
        <v/>
      </c>
      <c r="T114" s="144" t="str">
        <v>SRC-08</v>
      </c>
      <c r="U114" s="129" t="str">
        <v>Sheet row 48 – commitment</v>
      </c>
      <c r="V114" s="129" t="str">
        <v>CES HNZ Contract (Health NZ), commitment tier. Same fee in the panel tier. Printed excl. GST; no effective date printed. Likely: eyelid lesion surgery – matched to S+ 'Excision Of Lesion + Direct Closure Left Eyelid' (H1).</v>
      </c>
    </row>
    <row r="115" spans="1:22" x14ac:dyDescent="0.2">
      <c r="A115" s="144" t="str">
        <v>H1</v>
      </c>
      <c r="B115" s="145">
        <v>4</v>
      </c>
      <c r="C115" s="129" t="str">
        <v>Excision of lesion of skin and subcutaneous tissue of eyelid</v>
      </c>
      <c r="D115" s="129" t="str">
        <v>H1 – Head: Minor Procedures</v>
      </c>
      <c r="E115" s="129" t="str">
        <v>01 - Head</v>
      </c>
      <c r="F115" s="129" t="str">
        <v>CESL – HNZ (panel)</v>
      </c>
      <c r="G115" s="144" t="str">
        <v>CON-06</v>
      </c>
      <c r="H115" s="129" t="str">
        <v>Fixed fee schedule</v>
      </c>
      <c r="I115" s="144" t="str">
        <v>Yes</v>
      </c>
      <c r="J115" s="144" t="str">
        <v>Base</v>
      </c>
      <c r="K115" s="144" t="str">
        <v>HNZ42</v>
      </c>
      <c r="L115" s="146" t="str">
        <v/>
      </c>
      <c r="M115" s="142">
        <v>800</v>
      </c>
      <c r="N115" s="144" t="str">
        <v>Excl</v>
      </c>
      <c r="O115" s="142">
        <v>800</v>
      </c>
      <c r="P115" s="142">
        <v>919.99999999999989</v>
      </c>
      <c r="Q115" s="142" t="str">
        <v/>
      </c>
      <c r="R115" s="129" t="str">
        <v>Description – likely</v>
      </c>
      <c r="S115" s="143" t="str">
        <v/>
      </c>
      <c r="T115" s="144" t="str">
        <v>SRC-08</v>
      </c>
      <c r="U115" s="129" t="str">
        <v>Sheet row 48 – panel</v>
      </c>
      <c r="V115" s="129" t="str">
        <v>CES HNZ Contract (Health NZ), panel tier. Same fee in the commitment tier. Printed excl. GST; no effective date printed. Likely: eyelid lesion surgery – matched to S+ 'Excision Of Lesion + Direct Closure Left Eyelid' (H1).</v>
      </c>
    </row>
    <row r="116" spans="1:22" x14ac:dyDescent="0.2">
      <c r="A116" s="144" t="str">
        <v>H1</v>
      </c>
      <c r="B116" s="145">
        <v>4</v>
      </c>
      <c r="C116" s="129" t="str">
        <v>Excision Of Leson Scalp And SSG</v>
      </c>
      <c r="D116" s="129" t="str">
        <v>H1 – Head: Minor Procedures</v>
      </c>
      <c r="E116" s="129" t="str">
        <v>01 - Head</v>
      </c>
      <c r="F116" s="129" t="str">
        <v>Solutions Plus</v>
      </c>
      <c r="G116" s="144" t="str">
        <v>CON-01</v>
      </c>
      <c r="H116" s="129" t="str">
        <v>To confirm</v>
      </c>
      <c r="I116" s="144" t="str">
        <v>No</v>
      </c>
      <c r="J116" s="144" t="str">
        <v>Base</v>
      </c>
      <c r="K116" s="144" t="str">
        <v/>
      </c>
      <c r="L116" s="146">
        <v>10</v>
      </c>
      <c r="M116" s="142">
        <v>550</v>
      </c>
      <c r="N116" s="144" t="str">
        <v>Unknown</v>
      </c>
      <c r="O116" s="142" t="str">
        <v/>
      </c>
      <c r="P116" s="142" t="str">
        <v/>
      </c>
      <c r="Q116" s="142">
        <v>55</v>
      </c>
      <c r="R116" s="129" t="str">
        <v>Description – exact</v>
      </c>
      <c r="S116" s="143" t="str">
        <v/>
      </c>
      <c r="T116" s="144" t="str">
        <v>SRC-00</v>
      </c>
      <c r="U116" s="129" t="str">
        <v>S+ row 320</v>
      </c>
      <c r="V116" s="129" t="str">
        <v/>
      </c>
    </row>
    <row r="117" spans="1:22" x14ac:dyDescent="0.2">
      <c r="A117" s="144" t="str">
        <v>H1</v>
      </c>
      <c r="B117" s="145">
        <v>4</v>
      </c>
      <c r="C117" s="129" t="str">
        <v>Excision Of Skin Lesion Bridge Of Nose</v>
      </c>
      <c r="D117" s="129" t="str">
        <v>H1 – Head: Minor Procedures</v>
      </c>
      <c r="E117" s="129" t="str">
        <v>01 - Head</v>
      </c>
      <c r="F117" s="129" t="str">
        <v>Solutions Plus</v>
      </c>
      <c r="G117" s="144" t="str">
        <v>CON-01</v>
      </c>
      <c r="H117" s="129" t="str">
        <v>To confirm</v>
      </c>
      <c r="I117" s="144" t="str">
        <v>No</v>
      </c>
      <c r="J117" s="144" t="str">
        <v>Base</v>
      </c>
      <c r="K117" s="144" t="str">
        <v/>
      </c>
      <c r="L117" s="146">
        <v>0</v>
      </c>
      <c r="M117" s="142">
        <v>0</v>
      </c>
      <c r="N117" s="144" t="str">
        <v>Unknown</v>
      </c>
      <c r="O117" s="142" t="str">
        <v/>
      </c>
      <c r="P117" s="142" t="str">
        <v/>
      </c>
      <c r="Q117" s="142" t="str">
        <v/>
      </c>
      <c r="R117" s="129" t="str">
        <v>Description – exact</v>
      </c>
      <c r="S117" s="143" t="str">
        <v/>
      </c>
      <c r="T117" s="144" t="str">
        <v>SRC-00</v>
      </c>
      <c r="U117" s="129" t="str">
        <v>S+ row 321</v>
      </c>
      <c r="V117" s="129" t="str">
        <v/>
      </c>
    </row>
    <row r="118" spans="1:22" x14ac:dyDescent="0.2">
      <c r="A118" s="144" t="str">
        <v>H3</v>
      </c>
      <c r="B118" s="145">
        <v>6</v>
      </c>
      <c r="C118" s="129" t="str">
        <v>External Rhinoplasty</v>
      </c>
      <c r="D118" s="129" t="str">
        <v>H3 – Head: Moderate Procedures</v>
      </c>
      <c r="E118" s="129" t="str">
        <v>01 - Head</v>
      </c>
      <c r="F118" s="129" t="str">
        <v>Solutions Plus</v>
      </c>
      <c r="G118" s="144" t="str">
        <v>CON-01</v>
      </c>
      <c r="H118" s="129" t="str">
        <v>To confirm</v>
      </c>
      <c r="I118" s="144" t="str">
        <v>No</v>
      </c>
      <c r="J118" s="144" t="str">
        <v>Base</v>
      </c>
      <c r="K118" s="144" t="str">
        <v/>
      </c>
      <c r="L118" s="146">
        <v>11.7</v>
      </c>
      <c r="M118" s="142">
        <v>640.75</v>
      </c>
      <c r="N118" s="144" t="str">
        <v>Unknown</v>
      </c>
      <c r="O118" s="142" t="str">
        <v/>
      </c>
      <c r="P118" s="142" t="str">
        <v/>
      </c>
      <c r="Q118" s="142">
        <v>54.764957264957268</v>
      </c>
      <c r="R118" s="129" t="str">
        <v>Description – likely</v>
      </c>
      <c r="S118" s="143" t="str">
        <v/>
      </c>
      <c r="T118" s="144" t="str">
        <v>SRC-00</v>
      </c>
      <c r="U118" s="129" t="str">
        <v>S+ row 329</v>
      </c>
      <c r="V118" s="129" t="str">
        <v/>
      </c>
    </row>
    <row r="119" spans="1:22" x14ac:dyDescent="0.2">
      <c r="A119" s="144" t="str">
        <v>H3</v>
      </c>
      <c r="B119" s="145">
        <v>6</v>
      </c>
      <c r="C119" s="129" t="str">
        <v>External Septorhinoplasty</v>
      </c>
      <c r="D119" s="129" t="str">
        <v>H3 – Head: Moderate Procedures</v>
      </c>
      <c r="E119" s="129" t="str">
        <v>01 - Head</v>
      </c>
      <c r="F119" s="129" t="str">
        <v>Solutions Plus</v>
      </c>
      <c r="G119" s="144" t="str">
        <v>CON-01</v>
      </c>
      <c r="H119" s="129" t="str">
        <v>To confirm</v>
      </c>
      <c r="I119" s="144" t="str">
        <v>No</v>
      </c>
      <c r="J119" s="144" t="str">
        <v>Base</v>
      </c>
      <c r="K119" s="144" t="str">
        <v/>
      </c>
      <c r="L119" s="146">
        <v>16.5</v>
      </c>
      <c r="M119" s="142">
        <v>908.6</v>
      </c>
      <c r="N119" s="144" t="str">
        <v>Unknown</v>
      </c>
      <c r="O119" s="142" t="str">
        <v/>
      </c>
      <c r="P119" s="142" t="str">
        <v/>
      </c>
      <c r="Q119" s="142">
        <v>55.06666666666667</v>
      </c>
      <c r="R119" s="129" t="str">
        <v>Description – exact</v>
      </c>
      <c r="S119" s="143" t="str">
        <v/>
      </c>
      <c r="T119" s="144" t="str">
        <v>SRC-00</v>
      </c>
      <c r="U119" s="129" t="str">
        <v>S+ row 330</v>
      </c>
      <c r="V119" s="129" t="str">
        <v/>
      </c>
    </row>
    <row r="120" spans="1:22" x14ac:dyDescent="0.2">
      <c r="A120" s="144" t="str">
        <v>H3</v>
      </c>
      <c r="B120" s="145">
        <v>6</v>
      </c>
      <c r="C120" s="129" t="str">
        <v>External Septorhinoplasty</v>
      </c>
      <c r="D120" s="129" t="str">
        <v>H3 – Head: Moderate Procedures</v>
      </c>
      <c r="E120" s="129" t="str">
        <v>01 - Head</v>
      </c>
      <c r="F120" s="129" t="str">
        <v>Solutions Plus</v>
      </c>
      <c r="G120" s="144" t="str">
        <v>CON-01</v>
      </c>
      <c r="H120" s="129" t="str">
        <v>To confirm</v>
      </c>
      <c r="I120" s="144" t="str">
        <v>No</v>
      </c>
      <c r="J120" s="144" t="str">
        <v>Base</v>
      </c>
      <c r="K120" s="144" t="str">
        <v/>
      </c>
      <c r="L120" s="146">
        <v>16.5</v>
      </c>
      <c r="M120" s="142">
        <v>908.6</v>
      </c>
      <c r="N120" s="144" t="str">
        <v>Unknown</v>
      </c>
      <c r="O120" s="142" t="str">
        <v/>
      </c>
      <c r="P120" s="142" t="str">
        <v/>
      </c>
      <c r="Q120" s="142">
        <v>55.06666666666667</v>
      </c>
      <c r="R120" s="129" t="str">
        <v>Description – exact</v>
      </c>
      <c r="S120" s="143" t="str">
        <v/>
      </c>
      <c r="T120" s="144" t="str">
        <v>SRC-00</v>
      </c>
      <c r="U120" s="129" t="str">
        <v>S+ row 331</v>
      </c>
      <c r="V120" s="129" t="str">
        <v/>
      </c>
    </row>
    <row r="121" spans="1:22" x14ac:dyDescent="0.2">
      <c r="A121" s="144" t="str">
        <v>H3</v>
      </c>
      <c r="B121" s="145">
        <v>6</v>
      </c>
      <c r="C121" s="129" t="str">
        <v>External Septorhinoplasty &amp; Bilateral Inferior Turbin</v>
      </c>
      <c r="D121" s="129" t="str">
        <v>H3 – Head: Moderate Procedures</v>
      </c>
      <c r="E121" s="129" t="str">
        <v>01 - Head</v>
      </c>
      <c r="F121" s="129" t="str">
        <v>Solutions Plus</v>
      </c>
      <c r="G121" s="144" t="str">
        <v>CON-01</v>
      </c>
      <c r="H121" s="129" t="str">
        <v>To confirm</v>
      </c>
      <c r="I121" s="144" t="str">
        <v>No</v>
      </c>
      <c r="J121" s="144" t="str">
        <v>Base</v>
      </c>
      <c r="K121" s="144" t="str">
        <v/>
      </c>
      <c r="L121" s="146">
        <v>15.4</v>
      </c>
      <c r="M121" s="142">
        <v>847</v>
      </c>
      <c r="N121" s="144" t="str">
        <v>Unknown</v>
      </c>
      <c r="O121" s="142" t="str">
        <v/>
      </c>
      <c r="P121" s="142" t="str">
        <v/>
      </c>
      <c r="Q121" s="142">
        <v>55</v>
      </c>
      <c r="R121" s="129" t="str">
        <v>Description – exact</v>
      </c>
      <c r="S121" s="143" t="str">
        <v/>
      </c>
      <c r="T121" s="144" t="str">
        <v>SRC-00</v>
      </c>
      <c r="U121" s="129" t="str">
        <v>S+ row 332</v>
      </c>
      <c r="V121" s="129" t="str">
        <v/>
      </c>
    </row>
    <row r="122" spans="1:22" x14ac:dyDescent="0.2">
      <c r="A122" s="144" t="str">
        <v>H3</v>
      </c>
      <c r="B122" s="145">
        <v>6</v>
      </c>
      <c r="C122" s="129" t="str">
        <v>External Septorhinoplasty +/- Turbinoplasty &amp; Cosm</v>
      </c>
      <c r="D122" s="129" t="str">
        <v>H3 – Head: Moderate Procedures</v>
      </c>
      <c r="E122" s="129" t="str">
        <v>01 - Head</v>
      </c>
      <c r="F122" s="129" t="str">
        <v>Solutions Plus</v>
      </c>
      <c r="G122" s="144" t="str">
        <v>CON-01</v>
      </c>
      <c r="H122" s="129" t="str">
        <v>To confirm</v>
      </c>
      <c r="I122" s="144" t="str">
        <v>No</v>
      </c>
      <c r="J122" s="144" t="str">
        <v>Base</v>
      </c>
      <c r="K122" s="144" t="str">
        <v/>
      </c>
      <c r="L122" s="146">
        <v>0</v>
      </c>
      <c r="M122" s="142">
        <v>0</v>
      </c>
      <c r="N122" s="144" t="str">
        <v>Unknown</v>
      </c>
      <c r="O122" s="142" t="str">
        <v/>
      </c>
      <c r="P122" s="142" t="str">
        <v/>
      </c>
      <c r="Q122" s="142" t="str">
        <v/>
      </c>
      <c r="R122" s="129" t="str">
        <v>Description – exact</v>
      </c>
      <c r="S122" s="143" t="str">
        <v/>
      </c>
      <c r="T122" s="144" t="str">
        <v>SRC-00</v>
      </c>
      <c r="U122" s="129" t="str">
        <v>S+ row 333</v>
      </c>
      <c r="V122" s="129" t="str">
        <v/>
      </c>
    </row>
    <row r="123" spans="1:22" x14ac:dyDescent="0.2">
      <c r="A123" s="144" t="str">
        <v>H3</v>
      </c>
      <c r="B123" s="145">
        <v>6</v>
      </c>
      <c r="C123" s="129" t="str">
        <v>External Septorhinoplasty Revision</v>
      </c>
      <c r="D123" s="129" t="str">
        <v>H3 – Head: Moderate Procedures</v>
      </c>
      <c r="E123" s="129" t="str">
        <v>01 - Head</v>
      </c>
      <c r="F123" s="129" t="str">
        <v>Solutions Plus</v>
      </c>
      <c r="G123" s="144" t="str">
        <v>CON-01</v>
      </c>
      <c r="H123" s="129" t="str">
        <v>To confirm</v>
      </c>
      <c r="I123" s="144" t="str">
        <v>No</v>
      </c>
      <c r="J123" s="144" t="str">
        <v>Base</v>
      </c>
      <c r="K123" s="144" t="str">
        <v/>
      </c>
      <c r="L123" s="146">
        <v>14.1</v>
      </c>
      <c r="M123" s="142">
        <v>774.4</v>
      </c>
      <c r="N123" s="144" t="str">
        <v>Unknown</v>
      </c>
      <c r="O123" s="142" t="str">
        <v/>
      </c>
      <c r="P123" s="142" t="str">
        <v/>
      </c>
      <c r="Q123" s="142">
        <v>54.921985815602838</v>
      </c>
      <c r="R123" s="129" t="str">
        <v>Description – exact</v>
      </c>
      <c r="S123" s="143" t="str">
        <v/>
      </c>
      <c r="T123" s="144" t="str">
        <v>SRC-00</v>
      </c>
      <c r="U123" s="129" t="str">
        <v>S+ row 334</v>
      </c>
      <c r="V123" s="129" t="str">
        <v/>
      </c>
    </row>
    <row r="124" spans="1:22" x14ac:dyDescent="0.2">
      <c r="A124" s="144" t="str">
        <v>H3</v>
      </c>
      <c r="B124" s="145">
        <v>6</v>
      </c>
      <c r="C124" s="129" t="str">
        <v>Extreme Mastoidectomy And Tympanopp;asty</v>
      </c>
      <c r="D124" s="129" t="str">
        <v>H3 – Head: Moderate Procedures</v>
      </c>
      <c r="E124" s="129" t="str">
        <v>01 - Head</v>
      </c>
      <c r="F124" s="129" t="str">
        <v>Solutions Plus</v>
      </c>
      <c r="G124" s="144" t="str">
        <v>CON-01</v>
      </c>
      <c r="H124" s="129" t="str">
        <v>To confirm</v>
      </c>
      <c r="I124" s="144" t="str">
        <v>No</v>
      </c>
      <c r="J124" s="144" t="str">
        <v>Base</v>
      </c>
      <c r="K124" s="144" t="str">
        <v/>
      </c>
      <c r="L124" s="146">
        <v>0</v>
      </c>
      <c r="M124" s="142">
        <v>0</v>
      </c>
      <c r="N124" s="144" t="str">
        <v>Unknown</v>
      </c>
      <c r="O124" s="142" t="str">
        <v/>
      </c>
      <c r="P124" s="142" t="str">
        <v/>
      </c>
      <c r="Q124" s="142" t="str">
        <v/>
      </c>
      <c r="R124" s="129" t="str">
        <v>Description – likely</v>
      </c>
      <c r="S124" s="143" t="str">
        <v/>
      </c>
      <c r="T124" s="144" t="str">
        <v>SRC-00</v>
      </c>
      <c r="U124" s="129" t="str">
        <v>S+ row 354</v>
      </c>
      <c r="V124" s="129" t="str">
        <v/>
      </c>
    </row>
    <row r="125" spans="1:22" x14ac:dyDescent="0.2">
      <c r="A125" s="144" t="str">
        <v>H3</v>
      </c>
      <c r="B125" s="145">
        <v>6</v>
      </c>
      <c r="C125" s="129" t="str">
        <v>ExtRhinophasty</v>
      </c>
      <c r="D125" s="129" t="str">
        <v>H3 – Head: Moderate Procedures</v>
      </c>
      <c r="E125" s="129" t="str">
        <v>01 - Head</v>
      </c>
      <c r="F125" s="129" t="str">
        <v>Solutions Plus</v>
      </c>
      <c r="G125" s="144" t="str">
        <v>CON-01</v>
      </c>
      <c r="H125" s="129" t="str">
        <v>To confirm</v>
      </c>
      <c r="I125" s="144" t="str">
        <v>No</v>
      </c>
      <c r="J125" s="144" t="str">
        <v>Base</v>
      </c>
      <c r="K125" s="144" t="str">
        <v/>
      </c>
      <c r="L125" s="146">
        <v>0</v>
      </c>
      <c r="M125" s="142">
        <v>0</v>
      </c>
      <c r="N125" s="144" t="str">
        <v>Unknown</v>
      </c>
      <c r="O125" s="142" t="str">
        <v/>
      </c>
      <c r="P125" s="142" t="str">
        <v/>
      </c>
      <c r="Q125" s="142" t="str">
        <v/>
      </c>
      <c r="R125" s="129" t="str">
        <v>Description – likely</v>
      </c>
      <c r="S125" s="143" t="str">
        <v/>
      </c>
      <c r="T125" s="144" t="str">
        <v>SRC-00</v>
      </c>
      <c r="U125" s="129" t="str">
        <v>S+ row 355</v>
      </c>
      <c r="V125" s="129" t="str">
        <v/>
      </c>
    </row>
    <row r="126" spans="1:22" x14ac:dyDescent="0.2">
      <c r="A126" s="144" t="str">
        <v>H3</v>
      </c>
      <c r="B126" s="145">
        <v>6</v>
      </c>
      <c r="C126" s="129" t="str">
        <v>Face &amp; Neck Lift</v>
      </c>
      <c r="D126" s="129" t="str">
        <v>H3 – Head: Moderate Procedures</v>
      </c>
      <c r="E126" s="129" t="str">
        <v>01 - Head</v>
      </c>
      <c r="F126" s="129" t="str">
        <v>Solutions Plus</v>
      </c>
      <c r="G126" s="144" t="str">
        <v>CON-01</v>
      </c>
      <c r="H126" s="129" t="str">
        <v>To confirm</v>
      </c>
      <c r="I126" s="144" t="str">
        <v>No</v>
      </c>
      <c r="J126" s="144" t="str">
        <v>Base</v>
      </c>
      <c r="K126" s="144" t="str">
        <v/>
      </c>
      <c r="L126" s="146">
        <v>34.5</v>
      </c>
      <c r="M126" s="142">
        <v>1897.5</v>
      </c>
      <c r="N126" s="144" t="str">
        <v>Unknown</v>
      </c>
      <c r="O126" s="142" t="str">
        <v/>
      </c>
      <c r="P126" s="142" t="str">
        <v/>
      </c>
      <c r="Q126" s="142">
        <v>55</v>
      </c>
      <c r="R126" s="129" t="str">
        <v>Description – exact</v>
      </c>
      <c r="S126" s="143" t="str">
        <v/>
      </c>
      <c r="T126" s="144" t="str">
        <v>SRC-00</v>
      </c>
      <c r="U126" s="129" t="str">
        <v>S+ row 356</v>
      </c>
      <c r="V126" s="129" t="str">
        <v/>
      </c>
    </row>
    <row r="127" spans="1:22" x14ac:dyDescent="0.2">
      <c r="A127" s="144" t="str">
        <v>H3</v>
      </c>
      <c r="B127" s="145">
        <v>6</v>
      </c>
      <c r="C127" s="129" t="str">
        <v>Face And Neck Lift</v>
      </c>
      <c r="D127" s="129" t="str">
        <v>H3 – Head: Moderate Procedures</v>
      </c>
      <c r="E127" s="129" t="str">
        <v>01 - Head</v>
      </c>
      <c r="F127" s="129" t="str">
        <v>Solutions Plus</v>
      </c>
      <c r="G127" s="144" t="str">
        <v>CON-01</v>
      </c>
      <c r="H127" s="129" t="str">
        <v>To confirm</v>
      </c>
      <c r="I127" s="144" t="str">
        <v>No</v>
      </c>
      <c r="J127" s="144" t="str">
        <v>Base</v>
      </c>
      <c r="K127" s="144" t="str">
        <v/>
      </c>
      <c r="L127" s="146">
        <v>32.6</v>
      </c>
      <c r="M127" s="142">
        <v>1794.1</v>
      </c>
      <c r="N127" s="144" t="str">
        <v>Unknown</v>
      </c>
      <c r="O127" s="142" t="str">
        <v/>
      </c>
      <c r="P127" s="142" t="str">
        <v/>
      </c>
      <c r="Q127" s="142">
        <v>55.033742331288337</v>
      </c>
      <c r="R127" s="129" t="str">
        <v>Description – exact</v>
      </c>
      <c r="S127" s="143" t="str">
        <v/>
      </c>
      <c r="T127" s="144" t="str">
        <v>SRC-00</v>
      </c>
      <c r="U127" s="129" t="str">
        <v>S+ row 357</v>
      </c>
      <c r="V127" s="129" t="str">
        <v/>
      </c>
    </row>
    <row r="128" spans="1:22" x14ac:dyDescent="0.2">
      <c r="A128" s="144" t="str">
        <v>H3</v>
      </c>
      <c r="B128" s="145">
        <v>6</v>
      </c>
      <c r="C128" s="129" t="str">
        <v>Face Lift</v>
      </c>
      <c r="D128" s="129" t="str">
        <v>H3 – Head: Moderate Procedures</v>
      </c>
      <c r="E128" s="129" t="str">
        <v>01 - Head</v>
      </c>
      <c r="F128" s="129" t="str">
        <v>Solutions Plus</v>
      </c>
      <c r="G128" s="144" t="str">
        <v>CON-01</v>
      </c>
      <c r="H128" s="129" t="str">
        <v>To confirm</v>
      </c>
      <c r="I128" s="144" t="str">
        <v>No</v>
      </c>
      <c r="J128" s="144" t="str">
        <v>Base</v>
      </c>
      <c r="K128" s="144" t="str">
        <v/>
      </c>
      <c r="L128" s="146">
        <v>26.8</v>
      </c>
      <c r="M128" s="142">
        <v>1474</v>
      </c>
      <c r="N128" s="144" t="str">
        <v>Unknown</v>
      </c>
      <c r="O128" s="142" t="str">
        <v/>
      </c>
      <c r="P128" s="142" t="str">
        <v/>
      </c>
      <c r="Q128" s="142">
        <v>55</v>
      </c>
      <c r="R128" s="129" t="str">
        <v>Description – exact</v>
      </c>
      <c r="S128" s="143" t="str">
        <v/>
      </c>
      <c r="T128" s="144" t="str">
        <v>SRC-00</v>
      </c>
      <c r="U128" s="129" t="str">
        <v>S+ row 358</v>
      </c>
      <c r="V128" s="129" t="str">
        <v/>
      </c>
    </row>
    <row r="129" spans="1:22" x14ac:dyDescent="0.2">
      <c r="A129" s="144" t="str">
        <v>H3</v>
      </c>
      <c r="B129" s="145">
        <v>6</v>
      </c>
      <c r="C129" s="129" t="str">
        <v>Face lift</v>
      </c>
      <c r="D129" s="129" t="str">
        <v>H3 – Head: Moderate Procedures</v>
      </c>
      <c r="E129" s="129" t="str">
        <v>01 - Head</v>
      </c>
      <c r="F129" s="129" t="str">
        <v>Merivale PS – Self-funding</v>
      </c>
      <c r="G129" s="144" t="str">
        <v>CON-08</v>
      </c>
      <c r="H129" s="129" t="str">
        <v>Fixed fee schedule</v>
      </c>
      <c r="I129" s="144" t="str">
        <v>Yes</v>
      </c>
      <c r="J129" s="144" t="str">
        <v>Base</v>
      </c>
      <c r="K129" s="144" t="str">
        <v/>
      </c>
      <c r="L129" s="146" t="str">
        <v/>
      </c>
      <c r="M129" s="142">
        <v>3565</v>
      </c>
      <c r="N129" s="144" t="str">
        <v>Incl</v>
      </c>
      <c r="O129" s="142">
        <v>3100.0000000000005</v>
      </c>
      <c r="P129" s="142">
        <v>3565</v>
      </c>
      <c r="Q129" s="142" t="str">
        <v/>
      </c>
      <c r="R129" s="129" t="str">
        <v>Description – exact</v>
      </c>
      <c r="S129" s="143">
        <v>46174</v>
      </c>
      <c r="T129" s="144" t="str">
        <v>SRC-04</v>
      </c>
      <c r="U129" s="129" t="str">
        <v>p.1</v>
      </c>
      <c r="V129" s="129" t="str">
        <v>Self-funding patients of Dr Kerri Mooney (Merivale Plastic Surgery) only; anaesthetist invoices patient directly. Next review 1 Jun 2027.</v>
      </c>
    </row>
    <row r="130" spans="1:22" x14ac:dyDescent="0.2">
      <c r="A130" s="144" t="str">
        <v>H3</v>
      </c>
      <c r="B130" s="145">
        <v>6</v>
      </c>
      <c r="C130" s="129" t="str">
        <v>Face Lift &amp; Bilateral Upper Blepharoplasties</v>
      </c>
      <c r="D130" s="129" t="str">
        <v>H3 – Head: Moderate Procedures</v>
      </c>
      <c r="E130" s="129" t="str">
        <v>01 - Head</v>
      </c>
      <c r="F130" s="129" t="str">
        <v>Solutions Plus</v>
      </c>
      <c r="G130" s="144" t="str">
        <v>CON-01</v>
      </c>
      <c r="H130" s="129" t="str">
        <v>To confirm</v>
      </c>
      <c r="I130" s="144" t="str">
        <v>No</v>
      </c>
      <c r="J130" s="144" t="str">
        <v>Base</v>
      </c>
      <c r="K130" s="144" t="str">
        <v/>
      </c>
      <c r="L130" s="146">
        <v>35</v>
      </c>
      <c r="M130" s="142">
        <v>1925</v>
      </c>
      <c r="N130" s="144" t="str">
        <v>Unknown</v>
      </c>
      <c r="O130" s="142" t="str">
        <v/>
      </c>
      <c r="P130" s="142" t="str">
        <v/>
      </c>
      <c r="Q130" s="142">
        <v>55</v>
      </c>
      <c r="R130" s="129" t="str">
        <v>Description – exact</v>
      </c>
      <c r="S130" s="143" t="str">
        <v/>
      </c>
      <c r="T130" s="144" t="str">
        <v>SRC-00</v>
      </c>
      <c r="U130" s="129" t="str">
        <v>S+ row 359</v>
      </c>
      <c r="V130" s="129" t="str">
        <v/>
      </c>
    </row>
    <row r="131" spans="1:22" x14ac:dyDescent="0.2">
      <c r="A131" s="144" t="str">
        <v>H3</v>
      </c>
      <c r="B131" s="145">
        <v>6</v>
      </c>
      <c r="C131" s="129" t="str">
        <v>Facelift plus 1 add on (eg bleph)</v>
      </c>
      <c r="D131" s="129" t="str">
        <v>H3 – Head: Moderate Procedures</v>
      </c>
      <c r="E131" s="129" t="str">
        <v>01 - Head</v>
      </c>
      <c r="F131" s="129" t="str">
        <v>Merivale PS – Self-funding</v>
      </c>
      <c r="G131" s="144" t="str">
        <v>CON-08</v>
      </c>
      <c r="H131" s="129" t="str">
        <v>Fixed fee schedule</v>
      </c>
      <c r="I131" s="144" t="str">
        <v>Yes</v>
      </c>
      <c r="J131" s="144" t="str">
        <v>Base</v>
      </c>
      <c r="K131" s="144" t="str">
        <v/>
      </c>
      <c r="L131" s="146" t="str">
        <v/>
      </c>
      <c r="M131" s="142">
        <v>3910</v>
      </c>
      <c r="N131" s="144" t="str">
        <v>Incl</v>
      </c>
      <c r="O131" s="142">
        <v>3400.0000000000005</v>
      </c>
      <c r="P131" s="142">
        <v>3910</v>
      </c>
      <c r="Q131" s="142" t="str">
        <v/>
      </c>
      <c r="R131" s="129" t="str">
        <v>Description – likely</v>
      </c>
      <c r="S131" s="143">
        <v>46174</v>
      </c>
      <c r="T131" s="144" t="str">
        <v>SRC-04</v>
      </c>
      <c r="U131" s="129" t="str">
        <v>p.1</v>
      </c>
      <c r="V131" s="129" t="str">
        <v>Self-funding patients of Dr Kerri Mooney (Merivale Plastic Surgery) only; anaesthetist invoices patient directly. Next review 1 Jun 2027. Total fee for facelift + 1 add-on (implied add-on = $345 over 'Face lift'). Likely: add-on not specified.</v>
      </c>
    </row>
    <row r="132" spans="1:22" x14ac:dyDescent="0.2">
      <c r="A132" s="144" t="str">
        <v>H3</v>
      </c>
      <c r="B132" s="145">
        <v>6</v>
      </c>
      <c r="C132" s="129" t="str">
        <v>Facelift plus 2 add ons (eg bleph &amp; fat grafting)</v>
      </c>
      <c r="D132" s="129" t="str">
        <v>H3 – Head: Moderate Procedures</v>
      </c>
      <c r="E132" s="129" t="str">
        <v>01 - Head</v>
      </c>
      <c r="F132" s="129" t="str">
        <v>Merivale PS – Self-funding</v>
      </c>
      <c r="G132" s="144" t="str">
        <v>CON-08</v>
      </c>
      <c r="H132" s="129" t="str">
        <v>Fixed fee schedule</v>
      </c>
      <c r="I132" s="144" t="str">
        <v>Yes</v>
      </c>
      <c r="J132" s="144" t="str">
        <v>Base</v>
      </c>
      <c r="K132" s="144" t="str">
        <v/>
      </c>
      <c r="L132" s="146" t="str">
        <v/>
      </c>
      <c r="M132" s="142">
        <v>4255</v>
      </c>
      <c r="N132" s="144" t="str">
        <v>Incl</v>
      </c>
      <c r="O132" s="142">
        <v>3700.0000000000005</v>
      </c>
      <c r="P132" s="142">
        <v>4255</v>
      </c>
      <c r="Q132" s="142" t="str">
        <v/>
      </c>
      <c r="R132" s="129" t="str">
        <v>Description – likely</v>
      </c>
      <c r="S132" s="143">
        <v>46174</v>
      </c>
      <c r="T132" s="144" t="str">
        <v>SRC-04</v>
      </c>
      <c r="U132" s="129" t="str">
        <v>p.1</v>
      </c>
      <c r="V132" s="129" t="str">
        <v>Self-funding patients of Dr Kerri Mooney (Merivale Plastic Surgery) only; anaesthetist invoices patient directly. Next review 1 Jun 2027. Total fee for facelift + 2 add-ons (implied $345 each over 'Face lift'). Likely: add-ons not specified.</v>
      </c>
    </row>
    <row r="133" spans="1:22" x14ac:dyDescent="0.2">
      <c r="A133" s="144" t="str">
        <v>H3</v>
      </c>
      <c r="B133" s="145">
        <v>6</v>
      </c>
      <c r="C133" s="129" t="str">
        <v>FESS</v>
      </c>
      <c r="D133" s="129" t="str">
        <v>H3 – Head: Moderate Procedures</v>
      </c>
      <c r="E133" s="129" t="str">
        <v>01 - Head</v>
      </c>
      <c r="F133" s="129" t="str">
        <v>Solutions Plus</v>
      </c>
      <c r="G133" s="144" t="str">
        <v>CON-01</v>
      </c>
      <c r="H133" s="129" t="str">
        <v>To confirm</v>
      </c>
      <c r="I133" s="144" t="str">
        <v>No</v>
      </c>
      <c r="J133" s="144" t="str">
        <v>Base</v>
      </c>
      <c r="K133" s="144" t="str">
        <v/>
      </c>
      <c r="L133" s="146">
        <v>11.7</v>
      </c>
      <c r="M133" s="142">
        <v>645.15</v>
      </c>
      <c r="N133" s="144" t="str">
        <v>Unknown</v>
      </c>
      <c r="O133" s="142" t="str">
        <v/>
      </c>
      <c r="P133" s="142" t="str">
        <v/>
      </c>
      <c r="Q133" s="142">
        <v>55.141025641025642</v>
      </c>
      <c r="R133" s="129" t="str">
        <v>Description – exact</v>
      </c>
      <c r="S133" s="143" t="str">
        <v/>
      </c>
      <c r="T133" s="144" t="str">
        <v>SRC-00</v>
      </c>
      <c r="U133" s="129" t="str">
        <v>S+ row 365</v>
      </c>
      <c r="V133" s="129" t="str">
        <v/>
      </c>
    </row>
    <row r="134" spans="1:22" x14ac:dyDescent="0.2">
      <c r="A134" s="144" t="str">
        <v>H3</v>
      </c>
      <c r="B134" s="145">
        <v>6</v>
      </c>
      <c r="C134" s="129" t="str">
        <v>Functional External Septorhinoplasty</v>
      </c>
      <c r="D134" s="129" t="str">
        <v>H3 – Head: Moderate Procedures</v>
      </c>
      <c r="E134" s="129" t="str">
        <v>01 - Head</v>
      </c>
      <c r="F134" s="129" t="str">
        <v>Solutions Plus</v>
      </c>
      <c r="G134" s="144" t="str">
        <v>CON-01</v>
      </c>
      <c r="H134" s="129" t="str">
        <v>To confirm</v>
      </c>
      <c r="I134" s="144" t="str">
        <v>No</v>
      </c>
      <c r="J134" s="144" t="str">
        <v>Base</v>
      </c>
      <c r="K134" s="144" t="str">
        <v/>
      </c>
      <c r="L134" s="146">
        <v>18.8</v>
      </c>
      <c r="M134" s="142">
        <v>1034</v>
      </c>
      <c r="N134" s="144" t="str">
        <v>Unknown</v>
      </c>
      <c r="O134" s="142" t="str">
        <v/>
      </c>
      <c r="P134" s="142" t="str">
        <v/>
      </c>
      <c r="Q134" s="142">
        <v>55</v>
      </c>
      <c r="R134" s="129" t="str">
        <v>Description – exact</v>
      </c>
      <c r="S134" s="143" t="str">
        <v/>
      </c>
      <c r="T134" s="144" t="str">
        <v>SRC-00</v>
      </c>
      <c r="U134" s="129" t="str">
        <v>S+ row 378</v>
      </c>
      <c r="V134" s="129" t="str">
        <v/>
      </c>
    </row>
    <row r="135" spans="1:22" x14ac:dyDescent="0.2">
      <c r="A135" s="144" t="str">
        <v>H4</v>
      </c>
      <c r="B135" s="145">
        <v>10</v>
      </c>
      <c r="C135" s="129" t="str">
        <v>Genioplasty</v>
      </c>
      <c r="D135" s="129" t="str">
        <v>H4 – Head: Complex Procedures</v>
      </c>
      <c r="E135" s="129" t="str">
        <v>01 - Head</v>
      </c>
      <c r="F135" s="129" t="str">
        <v>Solutions Plus</v>
      </c>
      <c r="G135" s="144" t="str">
        <v>CON-01</v>
      </c>
      <c r="H135" s="129" t="str">
        <v>To confirm</v>
      </c>
      <c r="I135" s="144" t="str">
        <v>No</v>
      </c>
      <c r="J135" s="144" t="str">
        <v>Base</v>
      </c>
      <c r="K135" s="144" t="str">
        <v/>
      </c>
      <c r="L135" s="146">
        <v>16.5</v>
      </c>
      <c r="M135" s="142">
        <v>907.5</v>
      </c>
      <c r="N135" s="144" t="str">
        <v>Unknown</v>
      </c>
      <c r="O135" s="142" t="str">
        <v/>
      </c>
      <c r="P135" s="142" t="str">
        <v/>
      </c>
      <c r="Q135" s="142">
        <v>55</v>
      </c>
      <c r="R135" s="129" t="str">
        <v>Description – likely</v>
      </c>
      <c r="S135" s="143" t="str">
        <v/>
      </c>
      <c r="T135" s="144" t="str">
        <v>SRC-00</v>
      </c>
      <c r="U135" s="129" t="str">
        <v>S+ row 390</v>
      </c>
      <c r="V135" s="129" t="str">
        <v/>
      </c>
    </row>
    <row r="136" spans="1:22" x14ac:dyDescent="0.2">
      <c r="A136" s="144" t="str">
        <v>H1</v>
      </c>
      <c r="B136" s="145">
        <v>4</v>
      </c>
      <c r="C136" s="129" t="str">
        <v>Grommets</v>
      </c>
      <c r="D136" s="129" t="str">
        <v>H1 – Head: Minor Procedures</v>
      </c>
      <c r="E136" s="129" t="str">
        <v>01 - Head</v>
      </c>
      <c r="F136" s="129" t="str">
        <v>Solutions Plus</v>
      </c>
      <c r="G136" s="144" t="str">
        <v>CON-01</v>
      </c>
      <c r="H136" s="129" t="str">
        <v>To confirm</v>
      </c>
      <c r="I136" s="144" t="str">
        <v>No</v>
      </c>
      <c r="J136" s="144" t="str">
        <v>Base</v>
      </c>
      <c r="K136" s="144" t="str">
        <v/>
      </c>
      <c r="L136" s="146">
        <v>5.2</v>
      </c>
      <c r="M136" s="142">
        <v>286.55</v>
      </c>
      <c r="N136" s="144" t="str">
        <v>Unknown</v>
      </c>
      <c r="O136" s="142" t="str">
        <v/>
      </c>
      <c r="P136" s="142" t="str">
        <v/>
      </c>
      <c r="Q136" s="142">
        <v>55.105769230769234</v>
      </c>
      <c r="R136" s="129" t="str">
        <v>Description – exact</v>
      </c>
      <c r="S136" s="143" t="str">
        <v/>
      </c>
      <c r="T136" s="144" t="str">
        <v>SRC-00</v>
      </c>
      <c r="U136" s="129" t="str">
        <v>S+ row 392</v>
      </c>
      <c r="V136" s="129" t="str">
        <v/>
      </c>
    </row>
    <row r="137" spans="1:22" x14ac:dyDescent="0.2">
      <c r="A137" s="144" t="str">
        <v>H2</v>
      </c>
      <c r="B137" s="145">
        <v>5</v>
      </c>
      <c r="C137" s="129" t="str">
        <v>Inferior Turbinoplasty</v>
      </c>
      <c r="D137" s="129" t="str">
        <v>H2 – Head: Simple but Invasive Procedures</v>
      </c>
      <c r="E137" s="129" t="str">
        <v>01 - Head</v>
      </c>
      <c r="F137" s="129" t="str">
        <v>Solutions Plus</v>
      </c>
      <c r="G137" s="144" t="str">
        <v>CON-01</v>
      </c>
      <c r="H137" s="129" t="str">
        <v>To confirm</v>
      </c>
      <c r="I137" s="144" t="str">
        <v>No</v>
      </c>
      <c r="J137" s="144" t="str">
        <v>Base</v>
      </c>
      <c r="K137" s="144" t="str">
        <v/>
      </c>
      <c r="L137" s="146">
        <v>8.8000000000000007</v>
      </c>
      <c r="M137" s="142">
        <v>482.35</v>
      </c>
      <c r="N137" s="144" t="str">
        <v>Unknown</v>
      </c>
      <c r="O137" s="142" t="str">
        <v/>
      </c>
      <c r="P137" s="142" t="str">
        <v/>
      </c>
      <c r="Q137" s="142">
        <v>54.8125</v>
      </c>
      <c r="R137" s="129" t="str">
        <v>Description – likely</v>
      </c>
      <c r="S137" s="143" t="str">
        <v/>
      </c>
      <c r="T137" s="144" t="str">
        <v>SRC-00</v>
      </c>
      <c r="U137" s="129" t="str">
        <v>S+ row 435</v>
      </c>
      <c r="V137" s="129" t="str">
        <v/>
      </c>
    </row>
    <row r="138" spans="1:22" x14ac:dyDescent="0.2">
      <c r="A138" s="144" t="str">
        <v>H1</v>
      </c>
      <c r="B138" s="145">
        <v>4</v>
      </c>
      <c r="C138" s="129" t="str">
        <v>Insertion of Gold Weight</v>
      </c>
      <c r="D138" s="129" t="str">
        <v>H1 – Head: Minor Procedures</v>
      </c>
      <c r="E138" s="129" t="str">
        <v>01 - Head</v>
      </c>
      <c r="F138" s="129" t="str">
        <v>CESL – HNZ (commitment)</v>
      </c>
      <c r="G138" s="144" t="str">
        <v>CON-05</v>
      </c>
      <c r="H138" s="129" t="str">
        <v>Fixed fee schedule</v>
      </c>
      <c r="I138" s="144" t="str">
        <v>Yes</v>
      </c>
      <c r="J138" s="144" t="str">
        <v>Base</v>
      </c>
      <c r="K138" s="144" t="str">
        <v>HNZ30</v>
      </c>
      <c r="L138" s="146" t="str">
        <v/>
      </c>
      <c r="M138" s="142">
        <v>600</v>
      </c>
      <c r="N138" s="144" t="str">
        <v>Excl</v>
      </c>
      <c r="O138" s="142">
        <v>600</v>
      </c>
      <c r="P138" s="142">
        <v>690</v>
      </c>
      <c r="Q138" s="142" t="str">
        <v/>
      </c>
      <c r="R138" s="129" t="str">
        <v>Description – likely</v>
      </c>
      <c r="S138" s="143" t="str">
        <v/>
      </c>
      <c r="T138" s="144" t="str">
        <v>SRC-08</v>
      </c>
      <c r="U138" s="129" t="str">
        <v>Sheet row 38 – commitment</v>
      </c>
      <c r="V138" s="129" t="str">
        <v>CES HNZ Contract (Health NZ), commitment tier. Panel tier fee $700. Printed excl. GST; no effective date printed. Likely: upper-lid surgery – grouped with S+ upper-lid blepharoplasty and the SRC-07 bleph/ptosis rows (H1).</v>
      </c>
    </row>
    <row r="139" spans="1:22" x14ac:dyDescent="0.2">
      <c r="A139" s="144" t="str">
        <v>H1</v>
      </c>
      <c r="B139" s="145">
        <v>4</v>
      </c>
      <c r="C139" s="129" t="str">
        <v>Insertion of Gold Weight</v>
      </c>
      <c r="D139" s="129" t="str">
        <v>H1 – Head: Minor Procedures</v>
      </c>
      <c r="E139" s="129" t="str">
        <v>01 - Head</v>
      </c>
      <c r="F139" s="129" t="str">
        <v>CESL – HNZ (panel)</v>
      </c>
      <c r="G139" s="144" t="str">
        <v>CON-06</v>
      </c>
      <c r="H139" s="129" t="str">
        <v>Fixed fee schedule</v>
      </c>
      <c r="I139" s="144" t="str">
        <v>Yes</v>
      </c>
      <c r="J139" s="144" t="str">
        <v>Base</v>
      </c>
      <c r="K139" s="144" t="str">
        <v>HNZ30</v>
      </c>
      <c r="L139" s="146" t="str">
        <v/>
      </c>
      <c r="M139" s="142">
        <v>700</v>
      </c>
      <c r="N139" s="144" t="str">
        <v>Excl</v>
      </c>
      <c r="O139" s="142">
        <v>700</v>
      </c>
      <c r="P139" s="142">
        <v>804.99999999999989</v>
      </c>
      <c r="Q139" s="142" t="str">
        <v/>
      </c>
      <c r="R139" s="129" t="str">
        <v>Description – likely</v>
      </c>
      <c r="S139" s="143" t="str">
        <v/>
      </c>
      <c r="T139" s="144" t="str">
        <v>SRC-08</v>
      </c>
      <c r="U139" s="129" t="str">
        <v>Sheet row 38 – panel</v>
      </c>
      <c r="V139" s="129" t="str">
        <v>CES HNZ Contract (Health NZ), panel tier. Commitment tier fee $600. Printed excl. GST; no effective date printed. Likely: upper-lid surgery – grouped with S+ upper-lid blepharoplasty and the SRC-07 bleph/ptosis rows (H1).</v>
      </c>
    </row>
    <row r="140" spans="1:22" x14ac:dyDescent="0.2">
      <c r="A140" s="144" t="str">
        <v>H3</v>
      </c>
      <c r="B140" s="145">
        <v>6</v>
      </c>
      <c r="C140" s="129" t="str">
        <v>Internasal Septorhinoplasty &amp; Cautery To Inferior T</v>
      </c>
      <c r="D140" s="129" t="str">
        <v>H3 – Head: Moderate Procedures</v>
      </c>
      <c r="E140" s="129" t="str">
        <v>01 - Head</v>
      </c>
      <c r="F140" s="129" t="str">
        <v>Solutions Plus</v>
      </c>
      <c r="G140" s="144" t="str">
        <v>CON-01</v>
      </c>
      <c r="H140" s="129" t="str">
        <v>To confirm</v>
      </c>
      <c r="I140" s="144" t="str">
        <v>No</v>
      </c>
      <c r="J140" s="144" t="str">
        <v>Base</v>
      </c>
      <c r="K140" s="144" t="str">
        <v/>
      </c>
      <c r="L140" s="146">
        <v>0</v>
      </c>
      <c r="M140" s="142">
        <v>0</v>
      </c>
      <c r="N140" s="144" t="str">
        <v>Unknown</v>
      </c>
      <c r="O140" s="142" t="str">
        <v/>
      </c>
      <c r="P140" s="142" t="str">
        <v/>
      </c>
      <c r="Q140" s="142" t="str">
        <v/>
      </c>
      <c r="R140" s="129" t="str">
        <v>Description – exact</v>
      </c>
      <c r="S140" s="143" t="str">
        <v/>
      </c>
      <c r="T140" s="144" t="str">
        <v>SRC-00</v>
      </c>
      <c r="U140" s="129" t="str">
        <v>S+ row 443</v>
      </c>
      <c r="V140" s="129" t="str">
        <v/>
      </c>
    </row>
    <row r="141" spans="1:22" x14ac:dyDescent="0.2">
      <c r="A141" s="144" t="str">
        <v>H1</v>
      </c>
      <c r="B141" s="145">
        <v>4</v>
      </c>
      <c r="C141" s="129" t="str">
        <v>Lateral Tarsal Strip (LTS) +/- 3 snip punctoplasty +/- everting sutures</v>
      </c>
      <c r="D141" s="129" t="str">
        <v>H1 – Head: Minor Procedures</v>
      </c>
      <c r="E141" s="129" t="str">
        <v>01 - Head</v>
      </c>
      <c r="F141" s="129" t="str">
        <v>CESL – HNZ (commitment)</v>
      </c>
      <c r="G141" s="144" t="str">
        <v>CON-05</v>
      </c>
      <c r="H141" s="129" t="str">
        <v>Fixed fee schedule</v>
      </c>
      <c r="I141" s="144" t="str">
        <v>Yes</v>
      </c>
      <c r="J141" s="144" t="str">
        <v>Base</v>
      </c>
      <c r="K141" s="144" t="str">
        <v>HNZ16</v>
      </c>
      <c r="L141" s="146" t="str">
        <v/>
      </c>
      <c r="M141" s="142">
        <v>750</v>
      </c>
      <c r="N141" s="144" t="str">
        <v>Excl</v>
      </c>
      <c r="O141" s="142">
        <v>750</v>
      </c>
      <c r="P141" s="142">
        <v>862.49999999999989</v>
      </c>
      <c r="Q141" s="142" t="str">
        <v/>
      </c>
      <c r="R141" s="129" t="str">
        <v>Description – likely</v>
      </c>
      <c r="S141" s="143" t="str">
        <v/>
      </c>
      <c r="T141" s="144" t="str">
        <v>SRC-08</v>
      </c>
      <c r="U141" s="129" t="str">
        <v>Sheet row 24 – commitment</v>
      </c>
      <c r="V141" s="129" t="str">
        <v>CES HNZ Contract (Health NZ), commitment tier. Panel tier fee $800. Printed excl. GST; no effective date printed. Likely: eyelid malposition surgery – grouped with S+ 'Bilateral Ectropion Repair' and the SRC-05 ectropion/entropion rows (H1).</v>
      </c>
    </row>
    <row r="142" spans="1:22" x14ac:dyDescent="0.2">
      <c r="A142" s="144" t="str">
        <v>H1</v>
      </c>
      <c r="B142" s="145">
        <v>4</v>
      </c>
      <c r="C142" s="129" t="str">
        <v>Lateral Tarsal Strip (LTS) +/- 3 snip punctoplasty +/- everting sutures</v>
      </c>
      <c r="D142" s="129" t="str">
        <v>H1 – Head: Minor Procedures</v>
      </c>
      <c r="E142" s="129" t="str">
        <v>01 - Head</v>
      </c>
      <c r="F142" s="129" t="str">
        <v>CESL – HNZ (panel)</v>
      </c>
      <c r="G142" s="144" t="str">
        <v>CON-06</v>
      </c>
      <c r="H142" s="129" t="str">
        <v>Fixed fee schedule</v>
      </c>
      <c r="I142" s="144" t="str">
        <v>Yes</v>
      </c>
      <c r="J142" s="144" t="str">
        <v>Base</v>
      </c>
      <c r="K142" s="144" t="str">
        <v>HNZ16</v>
      </c>
      <c r="L142" s="146" t="str">
        <v/>
      </c>
      <c r="M142" s="142">
        <v>800</v>
      </c>
      <c r="N142" s="144" t="str">
        <v>Excl</v>
      </c>
      <c r="O142" s="142">
        <v>800</v>
      </c>
      <c r="P142" s="142">
        <v>919.99999999999989</v>
      </c>
      <c r="Q142" s="142" t="str">
        <v/>
      </c>
      <c r="R142" s="129" t="str">
        <v>Description – likely</v>
      </c>
      <c r="S142" s="143" t="str">
        <v/>
      </c>
      <c r="T142" s="144" t="str">
        <v>SRC-08</v>
      </c>
      <c r="U142" s="129" t="str">
        <v>Sheet row 24 – panel</v>
      </c>
      <c r="V142" s="129" t="str">
        <v>CES HNZ Contract (Health NZ), panel tier. Commitment tier fee $750. Printed excl. GST; no effective date printed. Likely: eyelid malposition surgery – grouped with S+ 'Bilateral Ectropion Repair' and the SRC-05 ectropion/entropion rows (H1).</v>
      </c>
    </row>
    <row r="143" spans="1:22" x14ac:dyDescent="0.2">
      <c r="A143" s="144" t="str">
        <v>H1</v>
      </c>
      <c r="B143" s="145">
        <v>4</v>
      </c>
      <c r="C143" s="129" t="str">
        <v>Lateral Tarsal Strip (LTS) procedure</v>
      </c>
      <c r="D143" s="129" t="str">
        <v>H1 – Head: Minor Procedures</v>
      </c>
      <c r="E143" s="129" t="str">
        <v>01 - Head</v>
      </c>
      <c r="F143" s="129" t="str">
        <v>CESL – HNZ (commitment)</v>
      </c>
      <c r="G143" s="144" t="str">
        <v>CON-05</v>
      </c>
      <c r="H143" s="129" t="str">
        <v>Fixed fee schedule</v>
      </c>
      <c r="I143" s="144" t="str">
        <v>Yes</v>
      </c>
      <c r="J143" s="144" t="str">
        <v>Base</v>
      </c>
      <c r="K143" s="144" t="str">
        <v>HNZ47</v>
      </c>
      <c r="L143" s="146" t="str">
        <v/>
      </c>
      <c r="M143" s="142">
        <v>750</v>
      </c>
      <c r="N143" s="144" t="str">
        <v>Excl</v>
      </c>
      <c r="O143" s="142">
        <v>750</v>
      </c>
      <c r="P143" s="142">
        <v>862.49999999999989</v>
      </c>
      <c r="Q143" s="142" t="str">
        <v/>
      </c>
      <c r="R143" s="129" t="str">
        <v>Description – likely</v>
      </c>
      <c r="S143" s="143" t="str">
        <v/>
      </c>
      <c r="T143" s="144" t="str">
        <v>SRC-08</v>
      </c>
      <c r="U143" s="129" t="str">
        <v>Sheet row 53 – commitment</v>
      </c>
      <c r="V143" s="129" t="str">
        <v>CES HNZ Contract (Health NZ), commitment tier. Panel tier fee $800. Printed excl. GST; no effective date printed. Likely: eyelid malposition surgery – grouped with S+ 'Bilateral Ectropion Repair' and the SRC-05 ectropion/entropion rows (H1).</v>
      </c>
    </row>
    <row r="144" spans="1:22" x14ac:dyDescent="0.2">
      <c r="A144" s="144" t="str">
        <v>H1</v>
      </c>
      <c r="B144" s="145">
        <v>4</v>
      </c>
      <c r="C144" s="129" t="str">
        <v>Lateral Tarsal Strip (LTS) procedure</v>
      </c>
      <c r="D144" s="129" t="str">
        <v>H1 – Head: Minor Procedures</v>
      </c>
      <c r="E144" s="129" t="str">
        <v>01 - Head</v>
      </c>
      <c r="F144" s="129" t="str">
        <v>CESL – HNZ (panel)</v>
      </c>
      <c r="G144" s="144" t="str">
        <v>CON-06</v>
      </c>
      <c r="H144" s="129" t="str">
        <v>Fixed fee schedule</v>
      </c>
      <c r="I144" s="144" t="str">
        <v>Yes</v>
      </c>
      <c r="J144" s="144" t="str">
        <v>Base</v>
      </c>
      <c r="K144" s="144" t="str">
        <v>HNZ47</v>
      </c>
      <c r="L144" s="146" t="str">
        <v/>
      </c>
      <c r="M144" s="142">
        <v>800</v>
      </c>
      <c r="N144" s="144" t="str">
        <v>Excl</v>
      </c>
      <c r="O144" s="142">
        <v>800</v>
      </c>
      <c r="P144" s="142">
        <v>919.99999999999989</v>
      </c>
      <c r="Q144" s="142" t="str">
        <v/>
      </c>
      <c r="R144" s="129" t="str">
        <v>Description – likely</v>
      </c>
      <c r="S144" s="143" t="str">
        <v/>
      </c>
      <c r="T144" s="144" t="str">
        <v>SRC-08</v>
      </c>
      <c r="U144" s="129" t="str">
        <v>Sheet row 53 – panel</v>
      </c>
      <c r="V144" s="129" t="str">
        <v>CES HNZ Contract (Health NZ), panel tier. Commitment tier fee $750. Printed excl. GST; no effective date printed. Likely: eyelid malposition surgery – grouped with S+ 'Bilateral Ectropion Repair' and the SRC-05 ectropion/entropion rows (H1).</v>
      </c>
    </row>
    <row r="145" spans="1:22" x14ac:dyDescent="0.2">
      <c r="A145" s="144" t="str">
        <v>H4</v>
      </c>
      <c r="B145" s="145">
        <v>10</v>
      </c>
      <c r="C145" s="129" t="str">
        <v>Le Fort 1 Advancement &amp; Removal Of 18 &amp; 28</v>
      </c>
      <c r="D145" s="129" t="str">
        <v>H4 – Head: Complex Procedures</v>
      </c>
      <c r="E145" s="129" t="str">
        <v>01 - Head</v>
      </c>
      <c r="F145" s="129" t="str">
        <v>Solutions Plus</v>
      </c>
      <c r="G145" s="144" t="str">
        <v>CON-01</v>
      </c>
      <c r="H145" s="129" t="str">
        <v>To confirm</v>
      </c>
      <c r="I145" s="144" t="str">
        <v>No</v>
      </c>
      <c r="J145" s="144" t="str">
        <v>Base</v>
      </c>
      <c r="K145" s="144" t="str">
        <v/>
      </c>
      <c r="L145" s="146">
        <v>22</v>
      </c>
      <c r="M145" s="142">
        <v>1210</v>
      </c>
      <c r="N145" s="144" t="str">
        <v>Unknown</v>
      </c>
      <c r="O145" s="142" t="str">
        <v/>
      </c>
      <c r="P145" s="142" t="str">
        <v/>
      </c>
      <c r="Q145" s="142">
        <v>55</v>
      </c>
      <c r="R145" s="129" t="str">
        <v>Description – exact</v>
      </c>
      <c r="S145" s="143" t="str">
        <v/>
      </c>
      <c r="T145" s="144" t="str">
        <v>SRC-00</v>
      </c>
      <c r="U145" s="129" t="str">
        <v>S+ row 524</v>
      </c>
      <c r="V145" s="129" t="str">
        <v/>
      </c>
    </row>
    <row r="146" spans="1:22" x14ac:dyDescent="0.2">
      <c r="A146" s="144" t="str">
        <v>H3</v>
      </c>
      <c r="B146" s="145">
        <v>6</v>
      </c>
      <c r="C146" s="129" t="str">
        <v>Left Cochlear Implant</v>
      </c>
      <c r="D146" s="129" t="str">
        <v>H3 – Head: Moderate Procedures</v>
      </c>
      <c r="E146" s="129" t="str">
        <v>01 - Head</v>
      </c>
      <c r="F146" s="129" t="str">
        <v>Solutions Plus</v>
      </c>
      <c r="G146" s="144" t="str">
        <v>CON-01</v>
      </c>
      <c r="H146" s="129" t="str">
        <v>To confirm</v>
      </c>
      <c r="I146" s="144" t="str">
        <v>No</v>
      </c>
      <c r="J146" s="144" t="str">
        <v>Base</v>
      </c>
      <c r="K146" s="144" t="str">
        <v/>
      </c>
      <c r="L146" s="146">
        <v>18</v>
      </c>
      <c r="M146" s="142">
        <v>987.25</v>
      </c>
      <c r="N146" s="144" t="str">
        <v>Unknown</v>
      </c>
      <c r="O146" s="142" t="str">
        <v/>
      </c>
      <c r="P146" s="142" t="str">
        <v/>
      </c>
      <c r="Q146" s="142">
        <v>54.847222222222221</v>
      </c>
      <c r="R146" s="129" t="str">
        <v>Description – likely</v>
      </c>
      <c r="S146" s="143" t="str">
        <v/>
      </c>
      <c r="T146" s="144" t="str">
        <v>SRC-00</v>
      </c>
      <c r="U146" s="129" t="str">
        <v>S+ row 550</v>
      </c>
      <c r="V146" s="129" t="str">
        <v/>
      </c>
    </row>
    <row r="147" spans="1:22" x14ac:dyDescent="0.2">
      <c r="A147" s="144" t="str">
        <v>H2</v>
      </c>
      <c r="B147" s="145">
        <v>5</v>
      </c>
      <c r="C147" s="129" t="str">
        <v>Left Eustachian Tube Balloon Dilatation</v>
      </c>
      <c r="D147" s="129" t="str">
        <v>H2 – Head: Simple but Invasive Procedures</v>
      </c>
      <c r="E147" s="129" t="str">
        <v>01 - Head</v>
      </c>
      <c r="F147" s="129" t="str">
        <v>Solutions Plus</v>
      </c>
      <c r="G147" s="144" t="str">
        <v>CON-01</v>
      </c>
      <c r="H147" s="129" t="str">
        <v>To confirm</v>
      </c>
      <c r="I147" s="144" t="str">
        <v>No</v>
      </c>
      <c r="J147" s="144" t="str">
        <v>Base</v>
      </c>
      <c r="K147" s="144" t="str">
        <v/>
      </c>
      <c r="L147" s="146">
        <v>7.4</v>
      </c>
      <c r="M147" s="142">
        <v>407</v>
      </c>
      <c r="N147" s="144" t="str">
        <v>Unknown</v>
      </c>
      <c r="O147" s="142" t="str">
        <v/>
      </c>
      <c r="P147" s="142" t="str">
        <v/>
      </c>
      <c r="Q147" s="142">
        <v>55</v>
      </c>
      <c r="R147" s="129" t="str">
        <v>Description – likely</v>
      </c>
      <c r="S147" s="143" t="str">
        <v/>
      </c>
      <c r="T147" s="144" t="str">
        <v>SRC-00</v>
      </c>
      <c r="U147" s="129" t="str">
        <v>S+ row 556</v>
      </c>
      <c r="V147" s="129" t="str">
        <v/>
      </c>
    </row>
    <row r="148" spans="1:22" x14ac:dyDescent="0.2">
      <c r="A148" s="144" t="str">
        <v>H3</v>
      </c>
      <c r="B148" s="145">
        <v>6</v>
      </c>
      <c r="C148" s="129" t="str">
        <v>Left Sphenoidotomy</v>
      </c>
      <c r="D148" s="129" t="str">
        <v>H3 – Head: Moderate Procedures</v>
      </c>
      <c r="E148" s="129" t="str">
        <v>01 - Head</v>
      </c>
      <c r="F148" s="129" t="str">
        <v>Solutions Plus</v>
      </c>
      <c r="G148" s="144" t="str">
        <v>CON-01</v>
      </c>
      <c r="H148" s="129" t="str">
        <v>To confirm</v>
      </c>
      <c r="I148" s="144" t="str">
        <v>No</v>
      </c>
      <c r="J148" s="144" t="str">
        <v>Base</v>
      </c>
      <c r="K148" s="144" t="str">
        <v/>
      </c>
      <c r="L148" s="146">
        <v>7</v>
      </c>
      <c r="M148" s="142">
        <v>385</v>
      </c>
      <c r="N148" s="144" t="str">
        <v>Unknown</v>
      </c>
      <c r="O148" s="142" t="str">
        <v/>
      </c>
      <c r="P148" s="142" t="str">
        <v/>
      </c>
      <c r="Q148" s="142">
        <v>55</v>
      </c>
      <c r="R148" s="129" t="str">
        <v>Description – exact</v>
      </c>
      <c r="S148" s="143" t="str">
        <v/>
      </c>
      <c r="T148" s="144" t="str">
        <v>SRC-00</v>
      </c>
      <c r="U148" s="129" t="str">
        <v>S+ row 594</v>
      </c>
      <c r="V148" s="129" t="str">
        <v/>
      </c>
    </row>
    <row r="149" spans="1:22" x14ac:dyDescent="0.2">
      <c r="A149" s="144" t="str">
        <v>H2</v>
      </c>
      <c r="B149" s="145">
        <v>5</v>
      </c>
      <c r="C149" s="129" t="str">
        <v>Left Ventilation Tube, Adenoidectomy</v>
      </c>
      <c r="D149" s="129" t="str">
        <v>H2 – Head: Simple but Invasive Procedures</v>
      </c>
      <c r="E149" s="129" t="str">
        <v>01 - Head</v>
      </c>
      <c r="F149" s="129" t="str">
        <v>Solutions Plus</v>
      </c>
      <c r="G149" s="144" t="str">
        <v>CON-01</v>
      </c>
      <c r="H149" s="129" t="str">
        <v>To confirm</v>
      </c>
      <c r="I149" s="144" t="str">
        <v>No</v>
      </c>
      <c r="J149" s="144" t="str">
        <v>Base</v>
      </c>
      <c r="K149" s="144" t="str">
        <v/>
      </c>
      <c r="L149" s="146">
        <v>8</v>
      </c>
      <c r="M149" s="142">
        <v>440</v>
      </c>
      <c r="N149" s="144" t="str">
        <v>Unknown</v>
      </c>
      <c r="O149" s="142" t="str">
        <v/>
      </c>
      <c r="P149" s="142" t="str">
        <v/>
      </c>
      <c r="Q149" s="142">
        <v>55</v>
      </c>
      <c r="R149" s="129" t="str">
        <v>Description – exact</v>
      </c>
      <c r="S149" s="143" t="str">
        <v/>
      </c>
      <c r="T149" s="144" t="str">
        <v>SRC-00</v>
      </c>
      <c r="U149" s="129" t="str">
        <v>S+ row 605</v>
      </c>
      <c r="V149" s="129" t="str">
        <v/>
      </c>
    </row>
    <row r="150" spans="1:22" x14ac:dyDescent="0.2">
      <c r="A150" s="144" t="str">
        <v>H1</v>
      </c>
      <c r="B150" s="145">
        <v>4</v>
      </c>
      <c r="C150" s="129" t="str">
        <v>Lesion Excision +/- Biopsy</v>
      </c>
      <c r="D150" s="129" t="str">
        <v>H1 – Head: Minor Procedures</v>
      </c>
      <c r="E150" s="129" t="str">
        <v>01 - Head</v>
      </c>
      <c r="F150" s="129" t="str">
        <v>CESL – HNZ (commitment)</v>
      </c>
      <c r="G150" s="144" t="str">
        <v>CON-05</v>
      </c>
      <c r="H150" s="129" t="str">
        <v>Fixed fee schedule</v>
      </c>
      <c r="I150" s="144" t="str">
        <v>Yes</v>
      </c>
      <c r="J150" s="144" t="str">
        <v>Base</v>
      </c>
      <c r="K150" s="144" t="str">
        <v>HNZ27</v>
      </c>
      <c r="L150" s="146" t="str">
        <v/>
      </c>
      <c r="M150" s="142">
        <v>750</v>
      </c>
      <c r="N150" s="144" t="str">
        <v>Excl</v>
      </c>
      <c r="O150" s="142">
        <v>750</v>
      </c>
      <c r="P150" s="142">
        <v>862.49999999999989</v>
      </c>
      <c r="Q150" s="142" t="str">
        <v/>
      </c>
      <c r="R150" s="129" t="str">
        <v>Description – likely</v>
      </c>
      <c r="S150" s="143" t="str">
        <v/>
      </c>
      <c r="T150" s="144" t="str">
        <v>SRC-08</v>
      </c>
      <c r="U150" s="129" t="str">
        <v>Sheet row 35 – commitment</v>
      </c>
      <c r="V150" s="129" t="str">
        <v>CES HNZ Contract (Health NZ), commitment tier. Panel tier fee $800. Printed excl. GST; no effective date printed. Likely: eyelid lesion surgery – matched to S+ 'Excision Of Lesion + Direct Closure Left Eyelid' (H1).</v>
      </c>
    </row>
    <row r="151" spans="1:22" x14ac:dyDescent="0.2">
      <c r="A151" s="144" t="str">
        <v>H1</v>
      </c>
      <c r="B151" s="145">
        <v>4</v>
      </c>
      <c r="C151" s="129" t="str">
        <v>Lesion Excision +/- Biopsy</v>
      </c>
      <c r="D151" s="129" t="str">
        <v>H1 – Head: Minor Procedures</v>
      </c>
      <c r="E151" s="129" t="str">
        <v>01 - Head</v>
      </c>
      <c r="F151" s="129" t="str">
        <v>CESL – HNZ (panel)</v>
      </c>
      <c r="G151" s="144" t="str">
        <v>CON-06</v>
      </c>
      <c r="H151" s="129" t="str">
        <v>Fixed fee schedule</v>
      </c>
      <c r="I151" s="144" t="str">
        <v>Yes</v>
      </c>
      <c r="J151" s="144" t="str">
        <v>Base</v>
      </c>
      <c r="K151" s="144" t="str">
        <v>HNZ27</v>
      </c>
      <c r="L151" s="146" t="str">
        <v/>
      </c>
      <c r="M151" s="142">
        <v>800</v>
      </c>
      <c r="N151" s="144" t="str">
        <v>Excl</v>
      </c>
      <c r="O151" s="142">
        <v>800</v>
      </c>
      <c r="P151" s="142">
        <v>919.99999999999989</v>
      </c>
      <c r="Q151" s="142" t="str">
        <v/>
      </c>
      <c r="R151" s="129" t="str">
        <v>Description – likely</v>
      </c>
      <c r="S151" s="143" t="str">
        <v/>
      </c>
      <c r="T151" s="144" t="str">
        <v>SRC-08</v>
      </c>
      <c r="U151" s="129" t="str">
        <v>Sheet row 35 – panel</v>
      </c>
      <c r="V151" s="129" t="str">
        <v>CES HNZ Contract (Health NZ), panel tier. Commitment tier fee $750. Printed excl. GST; no effective date printed. Likely: eyelid lesion surgery – matched to S+ 'Excision Of Lesion + Direct Closure Left Eyelid' (H1).</v>
      </c>
    </row>
    <row r="152" spans="1:22" x14ac:dyDescent="0.2">
      <c r="A152" s="144" t="str">
        <v>H1</v>
      </c>
      <c r="B152" s="145">
        <v>4</v>
      </c>
      <c r="C152" s="129" t="str">
        <v>Lower Eyelid Reduction</v>
      </c>
      <c r="D152" s="129" t="str">
        <v>H1 – Head: Minor Procedures</v>
      </c>
      <c r="E152" s="129" t="str">
        <v>01 - Head</v>
      </c>
      <c r="F152" s="129" t="str">
        <v>Solutions Plus</v>
      </c>
      <c r="G152" s="144" t="str">
        <v>CON-01</v>
      </c>
      <c r="H152" s="129" t="str">
        <v>To confirm</v>
      </c>
      <c r="I152" s="144" t="str">
        <v>No</v>
      </c>
      <c r="J152" s="144" t="str">
        <v>Base</v>
      </c>
      <c r="K152" s="144" t="str">
        <v/>
      </c>
      <c r="L152" s="146">
        <v>9</v>
      </c>
      <c r="M152" s="142">
        <v>494.45</v>
      </c>
      <c r="N152" s="144" t="str">
        <v>Unknown</v>
      </c>
      <c r="O152" s="142" t="str">
        <v/>
      </c>
      <c r="P152" s="142" t="str">
        <v/>
      </c>
      <c r="Q152" s="142">
        <v>54.93888888888889</v>
      </c>
      <c r="R152" s="129" t="str">
        <v>Description – likely</v>
      </c>
      <c r="S152" s="143" t="str">
        <v/>
      </c>
      <c r="T152" s="144" t="str">
        <v>SRC-00</v>
      </c>
      <c r="U152" s="129" t="str">
        <v>S+ row 621</v>
      </c>
      <c r="V152" s="129" t="str">
        <v/>
      </c>
    </row>
    <row r="153" spans="1:22" x14ac:dyDescent="0.2">
      <c r="A153" s="144" t="str">
        <v>H1</v>
      </c>
      <c r="B153" s="145">
        <v>4</v>
      </c>
      <c r="C153" s="129" t="str">
        <v>Lump/Mass Excision +/- Biopsy +/- frozen section</v>
      </c>
      <c r="D153" s="129" t="str">
        <v>H1 – Head: Minor Procedures</v>
      </c>
      <c r="E153" s="129" t="str">
        <v>01 - Head</v>
      </c>
      <c r="F153" s="129" t="str">
        <v>CESL – HNZ (commitment)</v>
      </c>
      <c r="G153" s="144" t="str">
        <v>CON-05</v>
      </c>
      <c r="H153" s="129" t="str">
        <v>Fixed fee schedule</v>
      </c>
      <c r="I153" s="144" t="str">
        <v>Yes</v>
      </c>
      <c r="J153" s="144" t="str">
        <v>Base</v>
      </c>
      <c r="K153" s="144" t="str">
        <v>HNZ25</v>
      </c>
      <c r="L153" s="146" t="str">
        <v/>
      </c>
      <c r="M153" s="142">
        <v>800</v>
      </c>
      <c r="N153" s="144" t="str">
        <v>Excl</v>
      </c>
      <c r="O153" s="142">
        <v>800</v>
      </c>
      <c r="P153" s="142">
        <v>919.99999999999989</v>
      </c>
      <c r="Q153" s="142" t="str">
        <v/>
      </c>
      <c r="R153" s="129" t="str">
        <v>Description – likely</v>
      </c>
      <c r="S153" s="143" t="str">
        <v/>
      </c>
      <c r="T153" s="144" t="str">
        <v>SRC-08</v>
      </c>
      <c r="U153" s="129" t="str">
        <v>Sheet row 33 – commitment</v>
      </c>
      <c r="V153" s="129" t="str">
        <v>CES HNZ Contract (Health NZ), commitment tier. Same fee in the panel tier. Printed excl. GST; no effective date printed. Likely: eyelid lesion surgery – matched to S+ 'Excision Of Lesion + Direct Closure Left Eyelid' (H1).</v>
      </c>
    </row>
    <row r="154" spans="1:22" x14ac:dyDescent="0.2">
      <c r="A154" s="144" t="str">
        <v>H1</v>
      </c>
      <c r="B154" s="145">
        <v>4</v>
      </c>
      <c r="C154" s="129" t="str">
        <v>Lump/Mass Excision +/- Biopsy +/- frozen section</v>
      </c>
      <c r="D154" s="129" t="str">
        <v>H1 – Head: Minor Procedures</v>
      </c>
      <c r="E154" s="129" t="str">
        <v>01 - Head</v>
      </c>
      <c r="F154" s="129" t="str">
        <v>CESL – HNZ (panel)</v>
      </c>
      <c r="G154" s="144" t="str">
        <v>CON-06</v>
      </c>
      <c r="H154" s="129" t="str">
        <v>Fixed fee schedule</v>
      </c>
      <c r="I154" s="144" t="str">
        <v>Yes</v>
      </c>
      <c r="J154" s="144" t="str">
        <v>Base</v>
      </c>
      <c r="K154" s="144" t="str">
        <v>HNZ25</v>
      </c>
      <c r="L154" s="146" t="str">
        <v/>
      </c>
      <c r="M154" s="142">
        <v>800</v>
      </c>
      <c r="N154" s="144" t="str">
        <v>Excl</v>
      </c>
      <c r="O154" s="142">
        <v>800</v>
      </c>
      <c r="P154" s="142">
        <v>919.99999999999989</v>
      </c>
      <c r="Q154" s="142" t="str">
        <v/>
      </c>
      <c r="R154" s="129" t="str">
        <v>Description – likely</v>
      </c>
      <c r="S154" s="143" t="str">
        <v/>
      </c>
      <c r="T154" s="144" t="str">
        <v>SRC-08</v>
      </c>
      <c r="U154" s="129" t="str">
        <v>Sheet row 33 – panel</v>
      </c>
      <c r="V154" s="129" t="str">
        <v>CES HNZ Contract (Health NZ), panel tier. Same fee in the commitment tier. Printed excl. GST; no effective date printed. Likely: eyelid lesion surgery – matched to S+ 'Excision Of Lesion + Direct Closure Left Eyelid' (H1).</v>
      </c>
    </row>
    <row r="155" spans="1:22" x14ac:dyDescent="0.2">
      <c r="A155" s="144" t="str">
        <v>H2</v>
      </c>
      <c r="B155" s="145">
        <v>5</v>
      </c>
      <c r="C155" s="129" t="str">
        <v>Malar Implants</v>
      </c>
      <c r="D155" s="129" t="str">
        <v>H2 – Head: Simple but Invasive Procedures</v>
      </c>
      <c r="E155" s="129" t="str">
        <v>01 - Head</v>
      </c>
      <c r="F155" s="129" t="str">
        <v>Solutions Plus</v>
      </c>
      <c r="G155" s="144" t="str">
        <v>CON-01</v>
      </c>
      <c r="H155" s="129" t="str">
        <v>To confirm</v>
      </c>
      <c r="I155" s="144" t="str">
        <v>No</v>
      </c>
      <c r="J155" s="144" t="str">
        <v>Base</v>
      </c>
      <c r="K155" s="144" t="str">
        <v/>
      </c>
      <c r="L155" s="146">
        <v>0</v>
      </c>
      <c r="M155" s="142">
        <v>0</v>
      </c>
      <c r="N155" s="144" t="str">
        <v>Unknown</v>
      </c>
      <c r="O155" s="142" t="str">
        <v/>
      </c>
      <c r="P155" s="142" t="str">
        <v/>
      </c>
      <c r="Q155" s="142" t="str">
        <v/>
      </c>
      <c r="R155" s="129" t="str">
        <v>Description – likely</v>
      </c>
      <c r="S155" s="143" t="str">
        <v/>
      </c>
      <c r="T155" s="144" t="str">
        <v>SRC-00</v>
      </c>
      <c r="U155" s="129" t="str">
        <v>S+ row 629</v>
      </c>
      <c r="V155" s="129" t="str">
        <v/>
      </c>
    </row>
    <row r="156" spans="1:22" x14ac:dyDescent="0.2">
      <c r="A156" s="144" t="str">
        <v>H3</v>
      </c>
      <c r="B156" s="145">
        <v>6</v>
      </c>
      <c r="C156" s="129" t="str">
        <v>Mastoidectomy</v>
      </c>
      <c r="D156" s="129" t="str">
        <v>H3 – Head: Moderate Procedures</v>
      </c>
      <c r="E156" s="129" t="str">
        <v>01 - Head</v>
      </c>
      <c r="F156" s="129" t="str">
        <v>Solutions Plus</v>
      </c>
      <c r="G156" s="144" t="str">
        <v>CON-01</v>
      </c>
      <c r="H156" s="129" t="str">
        <v>To confirm</v>
      </c>
      <c r="I156" s="144" t="str">
        <v>No</v>
      </c>
      <c r="J156" s="144" t="str">
        <v>Base</v>
      </c>
      <c r="K156" s="144" t="str">
        <v/>
      </c>
      <c r="L156" s="146">
        <v>22.7</v>
      </c>
      <c r="M156" s="142">
        <v>1246.3</v>
      </c>
      <c r="N156" s="144" t="str">
        <v>Unknown</v>
      </c>
      <c r="O156" s="142" t="str">
        <v/>
      </c>
      <c r="P156" s="142" t="str">
        <v/>
      </c>
      <c r="Q156" s="142">
        <v>54.903083700440526</v>
      </c>
      <c r="R156" s="129" t="str">
        <v>Description – likely</v>
      </c>
      <c r="S156" s="143" t="str">
        <v/>
      </c>
      <c r="T156" s="144" t="str">
        <v>SRC-00</v>
      </c>
      <c r="U156" s="129" t="str">
        <v>S+ row 631</v>
      </c>
      <c r="V156" s="129" t="str">
        <v/>
      </c>
    </row>
    <row r="157" spans="1:22" x14ac:dyDescent="0.2">
      <c r="A157" s="144" t="str">
        <v>H4</v>
      </c>
      <c r="B157" s="145">
        <v>10</v>
      </c>
      <c r="C157" s="129" t="str">
        <v>Maxillary Advancement Osteotomy</v>
      </c>
      <c r="D157" s="129" t="str">
        <v>H4 – Head: Complex Procedures</v>
      </c>
      <c r="E157" s="129" t="str">
        <v>01 - Head</v>
      </c>
      <c r="F157" s="129" t="str">
        <v>Solutions Plus</v>
      </c>
      <c r="G157" s="144" t="str">
        <v>CON-01</v>
      </c>
      <c r="H157" s="129" t="str">
        <v>To confirm</v>
      </c>
      <c r="I157" s="144" t="str">
        <v>No</v>
      </c>
      <c r="J157" s="144" t="str">
        <v>Base</v>
      </c>
      <c r="K157" s="144" t="str">
        <v/>
      </c>
      <c r="L157" s="146">
        <v>0</v>
      </c>
      <c r="M157" s="142">
        <v>0</v>
      </c>
      <c r="N157" s="144" t="str">
        <v>Unknown</v>
      </c>
      <c r="O157" s="142" t="str">
        <v/>
      </c>
      <c r="P157" s="142" t="str">
        <v/>
      </c>
      <c r="Q157" s="142" t="str">
        <v/>
      </c>
      <c r="R157" s="129" t="str">
        <v>Description – exact</v>
      </c>
      <c r="S157" s="143" t="str">
        <v/>
      </c>
      <c r="T157" s="144" t="str">
        <v>SRC-00</v>
      </c>
      <c r="U157" s="129" t="str">
        <v>S+ row 633</v>
      </c>
      <c r="V157" s="129" t="str">
        <v/>
      </c>
    </row>
    <row r="158" spans="1:22" x14ac:dyDescent="0.2">
      <c r="A158" s="144" t="str">
        <v>H3</v>
      </c>
      <c r="B158" s="145">
        <v>6</v>
      </c>
      <c r="C158" s="129" t="str">
        <v>Microlaryngoscopy</v>
      </c>
      <c r="D158" s="129" t="str">
        <v>H3 – Head: Moderate Procedures</v>
      </c>
      <c r="E158" s="129" t="str">
        <v>01 - Head</v>
      </c>
      <c r="F158" s="129" t="str">
        <v>Solutions Plus</v>
      </c>
      <c r="G158" s="144" t="str">
        <v>CON-01</v>
      </c>
      <c r="H158" s="129" t="str">
        <v>To confirm</v>
      </c>
      <c r="I158" s="144" t="str">
        <v>No</v>
      </c>
      <c r="J158" s="144" t="str">
        <v>Base</v>
      </c>
      <c r="K158" s="144" t="str">
        <v/>
      </c>
      <c r="L158" s="146">
        <v>8.8000000000000007</v>
      </c>
      <c r="M158" s="142">
        <v>484</v>
      </c>
      <c r="N158" s="144" t="str">
        <v>Unknown</v>
      </c>
      <c r="O158" s="142" t="str">
        <v/>
      </c>
      <c r="P158" s="142" t="str">
        <v/>
      </c>
      <c r="Q158" s="142">
        <v>54.999999999999993</v>
      </c>
      <c r="R158" s="129" t="str">
        <v>Description – exact</v>
      </c>
      <c r="S158" s="143" t="str">
        <v/>
      </c>
      <c r="T158" s="144" t="str">
        <v>SRC-00</v>
      </c>
      <c r="U158" s="129" t="str">
        <v>S+ row 641</v>
      </c>
      <c r="V158" s="129" t="str">
        <v/>
      </c>
    </row>
    <row r="159" spans="1:22" x14ac:dyDescent="0.2">
      <c r="A159" s="144" t="str">
        <v>H3</v>
      </c>
      <c r="B159" s="145">
        <v>6</v>
      </c>
      <c r="C159" s="129" t="str">
        <v>Microlaryngoscopy &amp; Bronchoscopy</v>
      </c>
      <c r="D159" s="129" t="str">
        <v>H3 – Head: Moderate Procedures</v>
      </c>
      <c r="E159" s="129" t="str">
        <v>01 - Head</v>
      </c>
      <c r="F159" s="129" t="str">
        <v>Solutions Plus</v>
      </c>
      <c r="G159" s="144" t="str">
        <v>CON-01</v>
      </c>
      <c r="H159" s="129" t="str">
        <v>To confirm</v>
      </c>
      <c r="I159" s="144" t="str">
        <v>No</v>
      </c>
      <c r="J159" s="144" t="str">
        <v>Base</v>
      </c>
      <c r="K159" s="144" t="str">
        <v/>
      </c>
      <c r="L159" s="146">
        <v>2.5</v>
      </c>
      <c r="M159" s="142">
        <v>136.94999999999999</v>
      </c>
      <c r="N159" s="144" t="str">
        <v>Unknown</v>
      </c>
      <c r="O159" s="142" t="str">
        <v/>
      </c>
      <c r="P159" s="142" t="str">
        <v/>
      </c>
      <c r="Q159" s="142">
        <v>54.779999999999994</v>
      </c>
      <c r="R159" s="129" t="str">
        <v>Description – exact</v>
      </c>
      <c r="S159" s="143" t="str">
        <v/>
      </c>
      <c r="T159" s="144" t="str">
        <v>SRC-00</v>
      </c>
      <c r="U159" s="129" t="str">
        <v>S+ row 642</v>
      </c>
      <c r="V159" s="129" t="str">
        <v/>
      </c>
    </row>
    <row r="160" spans="1:22" x14ac:dyDescent="0.2">
      <c r="A160" s="144" t="str">
        <v>H1</v>
      </c>
      <c r="B160" s="145">
        <v>4</v>
      </c>
      <c r="C160" s="129" t="str">
        <v>Microscopically controlled serial excision of lesion of skin</v>
      </c>
      <c r="D160" s="129" t="str">
        <v>H1 – Head: Minor Procedures</v>
      </c>
      <c r="E160" s="129" t="str">
        <v>01 - Head</v>
      </c>
      <c r="F160" s="129" t="str">
        <v>CESL – HNZ (commitment)</v>
      </c>
      <c r="G160" s="144" t="str">
        <v>CON-05</v>
      </c>
      <c r="H160" s="129" t="str">
        <v>Fixed fee schedule</v>
      </c>
      <c r="I160" s="144" t="str">
        <v>Yes</v>
      </c>
      <c r="J160" s="144" t="str">
        <v>Base</v>
      </c>
      <c r="K160" s="144" t="str">
        <v>HNZ43</v>
      </c>
      <c r="L160" s="146" t="str">
        <v/>
      </c>
      <c r="M160" s="142">
        <v>700</v>
      </c>
      <c r="N160" s="144" t="str">
        <v>Excl</v>
      </c>
      <c r="O160" s="142">
        <v>700</v>
      </c>
      <c r="P160" s="142">
        <v>804.99999999999989</v>
      </c>
      <c r="Q160" s="142" t="str">
        <v/>
      </c>
      <c r="R160" s="129" t="str">
        <v>Description – likely</v>
      </c>
      <c r="S160" s="143" t="str">
        <v/>
      </c>
      <c r="T160" s="144" t="str">
        <v>SRC-08</v>
      </c>
      <c r="U160" s="129" t="str">
        <v>Sheet row 49 – commitment</v>
      </c>
      <c r="V160" s="129" t="str">
        <v>CES HNZ Contract (Health NZ), commitment tier. Same fee in the panel tier. Printed excl. GST; no effective date printed. Likely: eyelid lesion surgery – matched to S+ 'Excision Of Lesion + Direct Closure Left Eyelid' (H1).</v>
      </c>
    </row>
    <row r="161" spans="1:22" x14ac:dyDescent="0.2">
      <c r="A161" s="144" t="str">
        <v>H1</v>
      </c>
      <c r="B161" s="145">
        <v>4</v>
      </c>
      <c r="C161" s="129" t="str">
        <v>Microscopically controlled serial excision of lesion of skin</v>
      </c>
      <c r="D161" s="129" t="str">
        <v>H1 – Head: Minor Procedures</v>
      </c>
      <c r="E161" s="129" t="str">
        <v>01 - Head</v>
      </c>
      <c r="F161" s="129" t="str">
        <v>CESL – HNZ (panel)</v>
      </c>
      <c r="G161" s="144" t="str">
        <v>CON-06</v>
      </c>
      <c r="H161" s="129" t="str">
        <v>Fixed fee schedule</v>
      </c>
      <c r="I161" s="144" t="str">
        <v>Yes</v>
      </c>
      <c r="J161" s="144" t="str">
        <v>Base</v>
      </c>
      <c r="K161" s="144" t="str">
        <v>HNZ43</v>
      </c>
      <c r="L161" s="146" t="str">
        <v/>
      </c>
      <c r="M161" s="142">
        <v>700</v>
      </c>
      <c r="N161" s="144" t="str">
        <v>Excl</v>
      </c>
      <c r="O161" s="142">
        <v>700</v>
      </c>
      <c r="P161" s="142">
        <v>804.99999999999989</v>
      </c>
      <c r="Q161" s="142" t="str">
        <v/>
      </c>
      <c r="R161" s="129" t="str">
        <v>Description – likely</v>
      </c>
      <c r="S161" s="143" t="str">
        <v/>
      </c>
      <c r="T161" s="144" t="str">
        <v>SRC-08</v>
      </c>
      <c r="U161" s="129" t="str">
        <v>Sheet row 49 – panel</v>
      </c>
      <c r="V161" s="129" t="str">
        <v>CES HNZ Contract (Health NZ), panel tier. Same fee in the commitment tier. Printed excl. GST; no effective date printed. Likely: eyelid lesion surgery – matched to S+ 'Excision Of Lesion + Direct Closure Left Eyelid' (H1).</v>
      </c>
    </row>
    <row r="162" spans="1:22" x14ac:dyDescent="0.2">
      <c r="A162" s="144" t="str">
        <v>H1</v>
      </c>
      <c r="B162" s="145">
        <v>4</v>
      </c>
      <c r="C162" s="129" t="str">
        <v>Minor Procedures e.g. Excision of Superficial Lesions, Myringotomies</v>
      </c>
      <c r="D162" s="129" t="str">
        <v>H1 – Head: Minor Procedures</v>
      </c>
      <c r="E162" s="129" t="str">
        <v>01 - Head</v>
      </c>
      <c r="F162" s="129" t="str">
        <v>NZSA RVG</v>
      </c>
      <c r="G162" s="144" t="str">
        <v>CON-10</v>
      </c>
      <c r="H162" s="129" t="str">
        <v>Reference – units only</v>
      </c>
      <c r="I162" s="144" t="str">
        <v>No</v>
      </c>
      <c r="J162" s="144" t="str">
        <v>Base</v>
      </c>
      <c r="K162" s="144" t="str">
        <v>H1</v>
      </c>
      <c r="L162" s="146">
        <v>4</v>
      </c>
      <c r="M162" s="142" t="str">
        <v/>
      </c>
      <c r="N162" s="144" t="str">
        <v/>
      </c>
      <c r="O162" s="142" t="str">
        <v/>
      </c>
      <c r="P162" s="142" t="str">
        <v/>
      </c>
      <c r="Q162" s="142">
        <v>0</v>
      </c>
      <c r="R162" s="129" t="str">
        <v>RVG code</v>
      </c>
      <c r="S162" s="143" t="str">
        <v/>
      </c>
      <c r="T162" s="144" t="str">
        <v>SRC-01</v>
      </c>
      <c r="U162" s="129" t="str">
        <v>p.7 – Head</v>
      </c>
      <c r="V162" s="129" t="str">
        <v>Reference units only – no $ fee (NZSA RVG 2021).</v>
      </c>
    </row>
    <row r="163" spans="1:22" x14ac:dyDescent="0.2">
      <c r="A163" s="144" t="str">
        <v>H3</v>
      </c>
      <c r="B163" s="145">
        <v>6</v>
      </c>
      <c r="C163" s="129" t="str">
        <v>Moderate Procedures e.g. Endoscopic Sinus Surgery, Septo-rhinoplasty, Micro-laryngoscopy, Bronchoscopy, Parotidectomy, Face-lift, Orbital Reconstruction</v>
      </c>
      <c r="D163" s="129" t="str">
        <v>H3 – Head: Moderate Procedures</v>
      </c>
      <c r="E163" s="129" t="str">
        <v>01 - Head</v>
      </c>
      <c r="F163" s="129" t="str">
        <v>NZSA RVG</v>
      </c>
      <c r="G163" s="144" t="str">
        <v>CON-10</v>
      </c>
      <c r="H163" s="129" t="str">
        <v>Reference – units only</v>
      </c>
      <c r="I163" s="144" t="str">
        <v>No</v>
      </c>
      <c r="J163" s="144" t="str">
        <v>Base</v>
      </c>
      <c r="K163" s="144" t="str">
        <v>H3</v>
      </c>
      <c r="L163" s="146">
        <v>6</v>
      </c>
      <c r="M163" s="142" t="str">
        <v/>
      </c>
      <c r="N163" s="144" t="str">
        <v/>
      </c>
      <c r="O163" s="142" t="str">
        <v/>
      </c>
      <c r="P163" s="142" t="str">
        <v/>
      </c>
      <c r="Q163" s="142">
        <v>0</v>
      </c>
      <c r="R163" s="129" t="str">
        <v>RVG code</v>
      </c>
      <c r="S163" s="143" t="str">
        <v/>
      </c>
      <c r="T163" s="144" t="str">
        <v>SRC-01</v>
      </c>
      <c r="U163" s="129" t="str">
        <v>p.7 – Head</v>
      </c>
      <c r="V163" s="129" t="str">
        <v>Reference units only – no $ fee (NZSA RVG 2021).</v>
      </c>
    </row>
    <row r="164" spans="1:22" x14ac:dyDescent="0.2">
      <c r="A164" s="144" t="str">
        <v>H2</v>
      </c>
      <c r="B164" s="145">
        <v>5</v>
      </c>
      <c r="C164" s="129" t="str">
        <v>Myringoplasty</v>
      </c>
      <c r="D164" s="129" t="str">
        <v>H2 – Head: Simple but Invasive Procedures</v>
      </c>
      <c r="E164" s="129" t="str">
        <v>01 - Head</v>
      </c>
      <c r="F164" s="129" t="str">
        <v>Solutions Plus</v>
      </c>
      <c r="G164" s="144" t="str">
        <v>CON-01</v>
      </c>
      <c r="H164" s="129" t="str">
        <v>To confirm</v>
      </c>
      <c r="I164" s="144" t="str">
        <v>No</v>
      </c>
      <c r="J164" s="144" t="str">
        <v>Base</v>
      </c>
      <c r="K164" s="144" t="str">
        <v/>
      </c>
      <c r="L164" s="146">
        <v>11.8</v>
      </c>
      <c r="M164" s="142">
        <v>647.9</v>
      </c>
      <c r="N164" s="144" t="str">
        <v>Unknown</v>
      </c>
      <c r="O164" s="142" t="str">
        <v/>
      </c>
      <c r="P164" s="142" t="str">
        <v/>
      </c>
      <c r="Q164" s="142">
        <v>54.906779661016941</v>
      </c>
      <c r="R164" s="129" t="str">
        <v>Description – exact</v>
      </c>
      <c r="S164" s="143" t="str">
        <v/>
      </c>
      <c r="T164" s="144" t="str">
        <v>SRC-00</v>
      </c>
      <c r="U164" s="129" t="str">
        <v>S+ row 653</v>
      </c>
      <c r="V164" s="129" t="str">
        <v/>
      </c>
    </row>
    <row r="165" spans="1:22" x14ac:dyDescent="0.2">
      <c r="A165" s="144" t="str">
        <v>H3</v>
      </c>
      <c r="B165" s="145">
        <v>6</v>
      </c>
      <c r="C165" s="129" t="str">
        <v>Oesphangoscopy Pharynoscopy</v>
      </c>
      <c r="D165" s="129" t="str">
        <v>H3 – Head: Moderate Procedures</v>
      </c>
      <c r="E165" s="129" t="str">
        <v>01 - Head</v>
      </c>
      <c r="F165" s="129" t="str">
        <v>Solutions Plus</v>
      </c>
      <c r="G165" s="144" t="str">
        <v>CON-01</v>
      </c>
      <c r="H165" s="129" t="str">
        <v>To confirm</v>
      </c>
      <c r="I165" s="144" t="str">
        <v>No</v>
      </c>
      <c r="J165" s="144" t="str">
        <v>Base</v>
      </c>
      <c r="K165" s="144" t="str">
        <v/>
      </c>
      <c r="L165" s="146">
        <v>8</v>
      </c>
      <c r="M165" s="142">
        <v>440</v>
      </c>
      <c r="N165" s="144" t="str">
        <v>Unknown</v>
      </c>
      <c r="O165" s="142" t="str">
        <v/>
      </c>
      <c r="P165" s="142" t="str">
        <v/>
      </c>
      <c r="Q165" s="142">
        <v>55</v>
      </c>
      <c r="R165" s="129" t="str">
        <v>Description – likely</v>
      </c>
      <c r="S165" s="143" t="str">
        <v/>
      </c>
      <c r="T165" s="144" t="str">
        <v>SRC-00</v>
      </c>
      <c r="U165" s="129" t="str">
        <v>S+ row 656</v>
      </c>
      <c r="V165" s="129" t="str">
        <v/>
      </c>
    </row>
    <row r="166" spans="1:22" x14ac:dyDescent="0.2">
      <c r="A166" s="144" t="str">
        <v>H2</v>
      </c>
      <c r="B166" s="145">
        <v>5</v>
      </c>
      <c r="C166" s="129" t="str">
        <v>Open Revision Septoplasty - Bilateral Endoscopic I</v>
      </c>
      <c r="D166" s="129" t="str">
        <v>H2 – Head: Simple but Invasive Procedures</v>
      </c>
      <c r="E166" s="129" t="str">
        <v>01 - Head</v>
      </c>
      <c r="F166" s="129" t="str">
        <v>Solutions Plus</v>
      </c>
      <c r="G166" s="144" t="str">
        <v>CON-01</v>
      </c>
      <c r="H166" s="129" t="str">
        <v>To confirm</v>
      </c>
      <c r="I166" s="144" t="str">
        <v>No</v>
      </c>
      <c r="J166" s="144" t="str">
        <v>Base</v>
      </c>
      <c r="K166" s="144" t="str">
        <v/>
      </c>
      <c r="L166" s="146">
        <v>0</v>
      </c>
      <c r="M166" s="142">
        <v>0</v>
      </c>
      <c r="N166" s="144" t="str">
        <v>Unknown</v>
      </c>
      <c r="O166" s="142" t="str">
        <v/>
      </c>
      <c r="P166" s="142" t="str">
        <v/>
      </c>
      <c r="Q166" s="142" t="str">
        <v/>
      </c>
      <c r="R166" s="129" t="str">
        <v>Description – exact</v>
      </c>
      <c r="S166" s="143" t="str">
        <v/>
      </c>
      <c r="T166" s="144" t="str">
        <v>SRC-00</v>
      </c>
      <c r="U166" s="129" t="str">
        <v>S+ row 668</v>
      </c>
      <c r="V166" s="129" t="str">
        <v/>
      </c>
    </row>
    <row r="167" spans="1:22" x14ac:dyDescent="0.2">
      <c r="A167" s="144" t="str">
        <v>H3</v>
      </c>
      <c r="B167" s="145">
        <v>6</v>
      </c>
      <c r="C167" s="129" t="str">
        <v>Open Rhinoplasty</v>
      </c>
      <c r="D167" s="129" t="str">
        <v>H3 – Head: Moderate Procedures</v>
      </c>
      <c r="E167" s="129" t="str">
        <v>01 - Head</v>
      </c>
      <c r="F167" s="129" t="str">
        <v>Solutions Plus</v>
      </c>
      <c r="G167" s="144" t="str">
        <v>CON-01</v>
      </c>
      <c r="H167" s="129" t="str">
        <v>To confirm</v>
      </c>
      <c r="I167" s="144" t="str">
        <v>No</v>
      </c>
      <c r="J167" s="144" t="str">
        <v>Base</v>
      </c>
      <c r="K167" s="144" t="str">
        <v/>
      </c>
      <c r="L167" s="146">
        <v>11.8</v>
      </c>
      <c r="M167" s="142">
        <v>649</v>
      </c>
      <c r="N167" s="144" t="str">
        <v>Unknown</v>
      </c>
      <c r="O167" s="142" t="str">
        <v/>
      </c>
      <c r="P167" s="142" t="str">
        <v/>
      </c>
      <c r="Q167" s="142">
        <v>55</v>
      </c>
      <c r="R167" s="129" t="str">
        <v>Description – likely</v>
      </c>
      <c r="S167" s="143" t="str">
        <v/>
      </c>
      <c r="T167" s="144" t="str">
        <v>SRC-00</v>
      </c>
      <c r="U167" s="129" t="str">
        <v>S+ row 669</v>
      </c>
      <c r="V167" s="129" t="str">
        <v/>
      </c>
    </row>
    <row r="168" spans="1:22" x14ac:dyDescent="0.2">
      <c r="A168" s="144" t="str">
        <v>H2</v>
      </c>
      <c r="B168" s="145">
        <v>5</v>
      </c>
      <c r="C168" s="129" t="str">
        <v>Open Septoplasty, Bilateral Endoscopic Inferior Tur</v>
      </c>
      <c r="D168" s="129" t="str">
        <v>H2 – Head: Simple but Invasive Procedures</v>
      </c>
      <c r="E168" s="129" t="str">
        <v>01 - Head</v>
      </c>
      <c r="F168" s="129" t="str">
        <v>Solutions Plus</v>
      </c>
      <c r="G168" s="144" t="str">
        <v>CON-01</v>
      </c>
      <c r="H168" s="129" t="str">
        <v>To confirm</v>
      </c>
      <c r="I168" s="144" t="str">
        <v>No</v>
      </c>
      <c r="J168" s="144" t="str">
        <v>Base</v>
      </c>
      <c r="K168" s="144" t="str">
        <v/>
      </c>
      <c r="L168" s="146">
        <v>14.4</v>
      </c>
      <c r="M168" s="142">
        <v>792</v>
      </c>
      <c r="N168" s="144" t="str">
        <v>Unknown</v>
      </c>
      <c r="O168" s="142" t="str">
        <v/>
      </c>
      <c r="P168" s="142" t="str">
        <v/>
      </c>
      <c r="Q168" s="142">
        <v>55</v>
      </c>
      <c r="R168" s="129" t="str">
        <v>Description – exact</v>
      </c>
      <c r="S168" s="143" t="str">
        <v/>
      </c>
      <c r="T168" s="144" t="str">
        <v>SRC-00</v>
      </c>
      <c r="U168" s="129" t="str">
        <v>S+ row 671</v>
      </c>
      <c r="V168" s="129" t="str">
        <v/>
      </c>
    </row>
    <row r="169" spans="1:22" x14ac:dyDescent="0.2">
      <c r="A169" s="144" t="str">
        <v>H3</v>
      </c>
      <c r="B169" s="145">
        <v>6</v>
      </c>
      <c r="C169" s="129" t="str">
        <v>Open Septorhinoplasty</v>
      </c>
      <c r="D169" s="129" t="str">
        <v>H3 – Head: Moderate Procedures</v>
      </c>
      <c r="E169" s="129" t="str">
        <v>01 - Head</v>
      </c>
      <c r="F169" s="129" t="str">
        <v>Solutions Plus</v>
      </c>
      <c r="G169" s="144" t="str">
        <v>CON-01</v>
      </c>
      <c r="H169" s="129" t="str">
        <v>To confirm</v>
      </c>
      <c r="I169" s="144" t="str">
        <v>No</v>
      </c>
      <c r="J169" s="144" t="str">
        <v>Base</v>
      </c>
      <c r="K169" s="144" t="str">
        <v/>
      </c>
      <c r="L169" s="146">
        <v>15.8</v>
      </c>
      <c r="M169" s="142">
        <v>867.9</v>
      </c>
      <c r="N169" s="144" t="str">
        <v>Unknown</v>
      </c>
      <c r="O169" s="142" t="str">
        <v/>
      </c>
      <c r="P169" s="142" t="str">
        <v/>
      </c>
      <c r="Q169" s="142">
        <v>54.930379746835442</v>
      </c>
      <c r="R169" s="129" t="str">
        <v>Description – exact</v>
      </c>
      <c r="S169" s="143" t="str">
        <v/>
      </c>
      <c r="T169" s="144" t="str">
        <v>SRC-00</v>
      </c>
      <c r="U169" s="129" t="str">
        <v>S+ row 672</v>
      </c>
      <c r="V169" s="129" t="str">
        <v/>
      </c>
    </row>
    <row r="170" spans="1:22" x14ac:dyDescent="0.2">
      <c r="A170" s="144" t="str">
        <v>H3</v>
      </c>
      <c r="B170" s="145">
        <v>6</v>
      </c>
      <c r="C170" s="129" t="str">
        <v>Open Septorhinoplasty (Right Ear Cartilage Inlay Gr</v>
      </c>
      <c r="D170" s="129" t="str">
        <v>H3 – Head: Moderate Procedures</v>
      </c>
      <c r="E170" s="129" t="str">
        <v>01 - Head</v>
      </c>
      <c r="F170" s="129" t="str">
        <v>Solutions Plus</v>
      </c>
      <c r="G170" s="144" t="str">
        <v>CON-01</v>
      </c>
      <c r="H170" s="129" t="str">
        <v>To confirm</v>
      </c>
      <c r="I170" s="144" t="str">
        <v>No</v>
      </c>
      <c r="J170" s="144" t="str">
        <v>Base</v>
      </c>
      <c r="K170" s="144" t="str">
        <v/>
      </c>
      <c r="L170" s="146">
        <v>14</v>
      </c>
      <c r="M170" s="142">
        <v>770</v>
      </c>
      <c r="N170" s="144" t="str">
        <v>Unknown</v>
      </c>
      <c r="O170" s="142" t="str">
        <v/>
      </c>
      <c r="P170" s="142" t="str">
        <v/>
      </c>
      <c r="Q170" s="142">
        <v>55</v>
      </c>
      <c r="R170" s="129" t="str">
        <v>Description – exact</v>
      </c>
      <c r="S170" s="143" t="str">
        <v/>
      </c>
      <c r="T170" s="144" t="str">
        <v>SRC-00</v>
      </c>
      <c r="U170" s="129" t="str">
        <v>S+ row 673</v>
      </c>
      <c r="V170" s="129" t="str">
        <v/>
      </c>
    </row>
    <row r="171" spans="1:22" x14ac:dyDescent="0.2">
      <c r="A171" s="144" t="str">
        <v>H2</v>
      </c>
      <c r="B171" s="145">
        <v>5</v>
      </c>
      <c r="C171" s="129" t="str">
        <v>Operating Adenoidectomy,Bilaterl Ventilation Tubes</v>
      </c>
      <c r="D171" s="129" t="str">
        <v>H2 – Head: Simple but Invasive Procedures</v>
      </c>
      <c r="E171" s="129" t="str">
        <v>01 - Head</v>
      </c>
      <c r="F171" s="129" t="str">
        <v>Solutions Plus</v>
      </c>
      <c r="G171" s="144" t="str">
        <v>CON-01</v>
      </c>
      <c r="H171" s="129" t="str">
        <v>To confirm</v>
      </c>
      <c r="I171" s="144" t="str">
        <v>No</v>
      </c>
      <c r="J171" s="144" t="str">
        <v>Base</v>
      </c>
      <c r="K171" s="144" t="str">
        <v/>
      </c>
      <c r="L171" s="146">
        <v>0</v>
      </c>
      <c r="M171" s="142">
        <v>0</v>
      </c>
      <c r="N171" s="144" t="str">
        <v>Unknown</v>
      </c>
      <c r="O171" s="142" t="str">
        <v/>
      </c>
      <c r="P171" s="142" t="str">
        <v/>
      </c>
      <c r="Q171" s="142" t="str">
        <v/>
      </c>
      <c r="R171" s="129" t="str">
        <v>Description – exact</v>
      </c>
      <c r="S171" s="143" t="str">
        <v/>
      </c>
      <c r="T171" s="144" t="str">
        <v>SRC-00</v>
      </c>
      <c r="U171" s="129" t="str">
        <v>S+ row 676</v>
      </c>
      <c r="V171" s="129" t="str">
        <v/>
      </c>
    </row>
    <row r="172" spans="1:22" x14ac:dyDescent="0.2">
      <c r="A172" s="144" t="str">
        <v>H2</v>
      </c>
      <c r="B172" s="145">
        <v>5</v>
      </c>
      <c r="C172" s="129" t="str">
        <v>Operating Bilateral Ventilation Tube, Adenoids</v>
      </c>
      <c r="D172" s="129" t="str">
        <v>H2 – Head: Simple but Invasive Procedures</v>
      </c>
      <c r="E172" s="129" t="str">
        <v>01 - Head</v>
      </c>
      <c r="F172" s="129" t="str">
        <v>Solutions Plus</v>
      </c>
      <c r="G172" s="144" t="str">
        <v>CON-01</v>
      </c>
      <c r="H172" s="129" t="str">
        <v>To confirm</v>
      </c>
      <c r="I172" s="144" t="str">
        <v>No</v>
      </c>
      <c r="J172" s="144" t="str">
        <v>Base</v>
      </c>
      <c r="K172" s="144" t="str">
        <v/>
      </c>
      <c r="L172" s="146">
        <v>0</v>
      </c>
      <c r="M172" s="142">
        <v>0</v>
      </c>
      <c r="N172" s="144" t="str">
        <v>Unknown</v>
      </c>
      <c r="O172" s="142" t="str">
        <v/>
      </c>
      <c r="P172" s="142" t="str">
        <v/>
      </c>
      <c r="Q172" s="142" t="str">
        <v/>
      </c>
      <c r="R172" s="129" t="str">
        <v>Description – exact</v>
      </c>
      <c r="S172" s="143" t="str">
        <v/>
      </c>
      <c r="T172" s="144" t="str">
        <v>SRC-00</v>
      </c>
      <c r="U172" s="129" t="str">
        <v>S+ row 677</v>
      </c>
      <c r="V172" s="129" t="str">
        <v/>
      </c>
    </row>
    <row r="173" spans="1:22" x14ac:dyDescent="0.2">
      <c r="A173" s="144" t="str">
        <v>H3</v>
      </c>
      <c r="B173" s="145">
        <v>6</v>
      </c>
      <c r="C173" s="129" t="str">
        <v>Ossiculoplasty</v>
      </c>
      <c r="D173" s="129" t="str">
        <v>H3 – Head: Moderate Procedures</v>
      </c>
      <c r="E173" s="129" t="str">
        <v>01 - Head</v>
      </c>
      <c r="F173" s="129" t="str">
        <v>Solutions Plus</v>
      </c>
      <c r="G173" s="144" t="str">
        <v>CON-01</v>
      </c>
      <c r="H173" s="129" t="str">
        <v>To confirm</v>
      </c>
      <c r="I173" s="144" t="str">
        <v>No</v>
      </c>
      <c r="J173" s="144" t="str">
        <v>Base</v>
      </c>
      <c r="K173" s="144" t="str">
        <v/>
      </c>
      <c r="L173" s="146">
        <v>12</v>
      </c>
      <c r="M173" s="142">
        <v>660</v>
      </c>
      <c r="N173" s="144" t="str">
        <v>Unknown</v>
      </c>
      <c r="O173" s="142" t="str">
        <v/>
      </c>
      <c r="P173" s="142" t="str">
        <v/>
      </c>
      <c r="Q173" s="142">
        <v>55</v>
      </c>
      <c r="R173" s="129" t="str">
        <v>Description – likely</v>
      </c>
      <c r="S173" s="143" t="str">
        <v/>
      </c>
      <c r="T173" s="144" t="str">
        <v>SRC-00</v>
      </c>
      <c r="U173" s="129" t="str">
        <v>S+ row 685</v>
      </c>
      <c r="V173" s="129" t="str">
        <v/>
      </c>
    </row>
    <row r="174" spans="1:22" x14ac:dyDescent="0.2">
      <c r="A174" s="144" t="str">
        <v>H2</v>
      </c>
      <c r="B174" s="145">
        <v>5</v>
      </c>
      <c r="C174" s="129" t="str">
        <v>Otoplasty</v>
      </c>
      <c r="D174" s="129" t="str">
        <v>H2 – Head: Simple but Invasive Procedures</v>
      </c>
      <c r="E174" s="129" t="str">
        <v>01 - Head</v>
      </c>
      <c r="F174" s="129" t="str">
        <v>Merivale PS – Self-funding</v>
      </c>
      <c r="G174" s="144" t="str">
        <v>CON-08</v>
      </c>
      <c r="H174" s="129" t="str">
        <v>Fixed fee schedule</v>
      </c>
      <c r="I174" s="144" t="str">
        <v>Yes</v>
      </c>
      <c r="J174" s="144" t="str">
        <v>Base</v>
      </c>
      <c r="K174" s="144" t="str">
        <v/>
      </c>
      <c r="L174" s="146" t="str">
        <v/>
      </c>
      <c r="M174" s="142">
        <v>1725</v>
      </c>
      <c r="N174" s="144" t="str">
        <v>Incl</v>
      </c>
      <c r="O174" s="142">
        <v>1500.0000000000002</v>
      </c>
      <c r="P174" s="142">
        <v>1725</v>
      </c>
      <c r="Q174" s="142" t="str">
        <v/>
      </c>
      <c r="R174" s="129" t="str">
        <v>Description – likely</v>
      </c>
      <c r="S174" s="143">
        <v>46174</v>
      </c>
      <c r="T174" s="144" t="str">
        <v>SRC-04</v>
      </c>
      <c r="U174" s="129" t="str">
        <v>p.1</v>
      </c>
      <c r="V174" s="129" t="str">
        <v>Self-funding patients of Dr Kerri Mooney (Merivale Plastic Surgery) only; anaesthetist invoices patient directly. Next review 1 Jun 2027. Likely: same code as S+ otoplasty rows (H2); RVG does not name otoplasty.</v>
      </c>
    </row>
    <row r="175" spans="1:22" x14ac:dyDescent="0.2">
      <c r="A175" s="144" t="str">
        <v>H2</v>
      </c>
      <c r="B175" s="145">
        <v>5</v>
      </c>
      <c r="C175" s="129" t="str">
        <v>Otoplasty - Bilateral DHB</v>
      </c>
      <c r="D175" s="129" t="str">
        <v>H2 – Head: Simple but Invasive Procedures</v>
      </c>
      <c r="E175" s="129" t="str">
        <v>01 - Head</v>
      </c>
      <c r="F175" s="129" t="str">
        <v>Solutions Plus</v>
      </c>
      <c r="G175" s="144" t="str">
        <v>CON-01</v>
      </c>
      <c r="H175" s="129" t="str">
        <v>To confirm</v>
      </c>
      <c r="I175" s="144" t="str">
        <v>No</v>
      </c>
      <c r="J175" s="144" t="str">
        <v>Base</v>
      </c>
      <c r="K175" s="144" t="str">
        <v/>
      </c>
      <c r="L175" s="146">
        <v>16</v>
      </c>
      <c r="M175" s="142">
        <v>880</v>
      </c>
      <c r="N175" s="144" t="str">
        <v>Unknown</v>
      </c>
      <c r="O175" s="142" t="str">
        <v/>
      </c>
      <c r="P175" s="142" t="str">
        <v/>
      </c>
      <c r="Q175" s="142">
        <v>55</v>
      </c>
      <c r="R175" s="129" t="str">
        <v>Description – likely</v>
      </c>
      <c r="S175" s="143" t="str">
        <v/>
      </c>
      <c r="T175" s="144" t="str">
        <v>SRC-00</v>
      </c>
      <c r="U175" s="129" t="str">
        <v>S+ row 687</v>
      </c>
      <c r="V175" s="129" t="str">
        <v/>
      </c>
    </row>
    <row r="176" spans="1:22" x14ac:dyDescent="0.2">
      <c r="A176" s="144" t="str">
        <v>H3</v>
      </c>
      <c r="B176" s="145">
        <v>6</v>
      </c>
      <c r="C176" s="129" t="str">
        <v>Parotidectomy</v>
      </c>
      <c r="D176" s="129" t="str">
        <v>H3 – Head: Moderate Procedures</v>
      </c>
      <c r="E176" s="129" t="str">
        <v>01 - Head</v>
      </c>
      <c r="F176" s="129" t="str">
        <v>Solutions Plus</v>
      </c>
      <c r="G176" s="144" t="str">
        <v>CON-01</v>
      </c>
      <c r="H176" s="129" t="str">
        <v>To confirm</v>
      </c>
      <c r="I176" s="144" t="str">
        <v>No</v>
      </c>
      <c r="J176" s="144" t="str">
        <v>Base</v>
      </c>
      <c r="K176" s="144" t="str">
        <v/>
      </c>
      <c r="L176" s="146">
        <v>17.3</v>
      </c>
      <c r="M176" s="142">
        <v>953.15</v>
      </c>
      <c r="N176" s="144" t="str">
        <v>Unknown</v>
      </c>
      <c r="O176" s="142" t="str">
        <v/>
      </c>
      <c r="P176" s="142" t="str">
        <v/>
      </c>
      <c r="Q176" s="142">
        <v>55.095375722543352</v>
      </c>
      <c r="R176" s="129" t="str">
        <v>Description – exact</v>
      </c>
      <c r="S176" s="143" t="str">
        <v/>
      </c>
      <c r="T176" s="144" t="str">
        <v>SRC-00</v>
      </c>
      <c r="U176" s="129" t="str">
        <v>S+ row 693</v>
      </c>
      <c r="V176" s="129" t="str">
        <v/>
      </c>
    </row>
    <row r="177" spans="1:22" x14ac:dyDescent="0.2">
      <c r="A177" s="144" t="str">
        <v>H1</v>
      </c>
      <c r="B177" s="145">
        <v>4</v>
      </c>
      <c r="C177" s="129" t="str">
        <v>Pentagon Excision Biopsy</v>
      </c>
      <c r="D177" s="129" t="str">
        <v>H1 – Head: Minor Procedures</v>
      </c>
      <c r="E177" s="129" t="str">
        <v>01 - Head</v>
      </c>
      <c r="F177" s="129" t="str">
        <v>CESL – HNZ (commitment)</v>
      </c>
      <c r="G177" s="144" t="str">
        <v>CON-05</v>
      </c>
      <c r="H177" s="129" t="str">
        <v>Fixed fee schedule</v>
      </c>
      <c r="I177" s="144" t="str">
        <v>Yes</v>
      </c>
      <c r="J177" s="144" t="str">
        <v>Base</v>
      </c>
      <c r="K177" s="144" t="str">
        <v>HNZ26</v>
      </c>
      <c r="L177" s="146" t="str">
        <v/>
      </c>
      <c r="M177" s="142">
        <v>750</v>
      </c>
      <c r="N177" s="144" t="str">
        <v>Excl</v>
      </c>
      <c r="O177" s="142">
        <v>750</v>
      </c>
      <c r="P177" s="142">
        <v>862.49999999999989</v>
      </c>
      <c r="Q177" s="142" t="str">
        <v/>
      </c>
      <c r="R177" s="129" t="str">
        <v>Description – likely</v>
      </c>
      <c r="S177" s="143" t="str">
        <v/>
      </c>
      <c r="T177" s="144" t="str">
        <v>SRC-08</v>
      </c>
      <c r="U177" s="129" t="str">
        <v>Sheet row 34 – commitment</v>
      </c>
      <c r="V177" s="129" t="str">
        <v>CES HNZ Contract (Health NZ), commitment tier. Panel tier fee $800. Printed excl. GST; no effective date printed. Likely: eyelid lesion surgery – matched to S+ 'Excision Of Lesion + Direct Closure Left Eyelid' (H1).</v>
      </c>
    </row>
    <row r="178" spans="1:22" x14ac:dyDescent="0.2">
      <c r="A178" s="144" t="str">
        <v>H1</v>
      </c>
      <c r="B178" s="145">
        <v>4</v>
      </c>
      <c r="C178" s="129" t="str">
        <v>Pentagon Excision Biopsy</v>
      </c>
      <c r="D178" s="129" t="str">
        <v>H1 – Head: Minor Procedures</v>
      </c>
      <c r="E178" s="129" t="str">
        <v>01 - Head</v>
      </c>
      <c r="F178" s="129" t="str">
        <v>CESL – HNZ (panel)</v>
      </c>
      <c r="G178" s="144" t="str">
        <v>CON-06</v>
      </c>
      <c r="H178" s="129" t="str">
        <v>Fixed fee schedule</v>
      </c>
      <c r="I178" s="144" t="str">
        <v>Yes</v>
      </c>
      <c r="J178" s="144" t="str">
        <v>Base</v>
      </c>
      <c r="K178" s="144" t="str">
        <v>HNZ26</v>
      </c>
      <c r="L178" s="146" t="str">
        <v/>
      </c>
      <c r="M178" s="142">
        <v>800</v>
      </c>
      <c r="N178" s="144" t="str">
        <v>Excl</v>
      </c>
      <c r="O178" s="142">
        <v>800</v>
      </c>
      <c r="P178" s="142">
        <v>919.99999999999989</v>
      </c>
      <c r="Q178" s="142" t="str">
        <v/>
      </c>
      <c r="R178" s="129" t="str">
        <v>Description – likely</v>
      </c>
      <c r="S178" s="143" t="str">
        <v/>
      </c>
      <c r="T178" s="144" t="str">
        <v>SRC-08</v>
      </c>
      <c r="U178" s="129" t="str">
        <v>Sheet row 34 – panel</v>
      </c>
      <c r="V178" s="129" t="str">
        <v>CES HNZ Contract (Health NZ), panel tier. Commitment tier fee $750. Printed excl. GST; no effective date printed. Likely: eyelid lesion surgery – matched to S+ 'Excision Of Lesion + Direct Closure Left Eyelid' (H1).</v>
      </c>
    </row>
    <row r="179" spans="1:22" x14ac:dyDescent="0.2">
      <c r="A179" s="144" t="str">
        <v>H3</v>
      </c>
      <c r="B179" s="145">
        <v>6</v>
      </c>
      <c r="C179" s="129" t="str">
        <v>Pharyngoscopy</v>
      </c>
      <c r="D179" s="129" t="str">
        <v>H3 – Head: Moderate Procedures</v>
      </c>
      <c r="E179" s="129" t="str">
        <v>01 - Head</v>
      </c>
      <c r="F179" s="129" t="str">
        <v>Solutions Plus</v>
      </c>
      <c r="G179" s="144" t="str">
        <v>CON-01</v>
      </c>
      <c r="H179" s="129" t="str">
        <v>To confirm</v>
      </c>
      <c r="I179" s="144" t="str">
        <v>No</v>
      </c>
      <c r="J179" s="144" t="str">
        <v>Base</v>
      </c>
      <c r="K179" s="144" t="str">
        <v/>
      </c>
      <c r="L179" s="146">
        <v>9.9</v>
      </c>
      <c r="M179" s="142">
        <v>541.75</v>
      </c>
      <c r="N179" s="144" t="str">
        <v>Unknown</v>
      </c>
      <c r="O179" s="142" t="str">
        <v/>
      </c>
      <c r="P179" s="142" t="str">
        <v/>
      </c>
      <c r="Q179" s="142">
        <v>54.722222222222221</v>
      </c>
      <c r="R179" s="129" t="str">
        <v>Description – likely</v>
      </c>
      <c r="S179" s="143" t="str">
        <v/>
      </c>
      <c r="T179" s="144" t="str">
        <v>SRC-00</v>
      </c>
      <c r="U179" s="129" t="str">
        <v>S+ row 695</v>
      </c>
      <c r="V179" s="129" t="str">
        <v/>
      </c>
    </row>
    <row r="180" spans="1:22" x14ac:dyDescent="0.2">
      <c r="A180" s="144" t="str">
        <v>H1</v>
      </c>
      <c r="B180" s="145">
        <v>4</v>
      </c>
      <c r="C180" s="129" t="str">
        <v>Ptosis repair – bilateral – LA (Day Stay/Theatre)</v>
      </c>
      <c r="D180" s="129" t="str">
        <v>H1 – Head: Minor Procedures</v>
      </c>
      <c r="E180" s="129" t="str">
        <v>01 - Head</v>
      </c>
      <c r="F180" s="129" t="str">
        <v>SXAP</v>
      </c>
      <c r="G180" s="144" t="str">
        <v>CON-02</v>
      </c>
      <c r="H180" s="129" t="str">
        <v>Fixed fee schedule</v>
      </c>
      <c r="I180" s="144" t="str">
        <v>Yes</v>
      </c>
      <c r="J180" s="144" t="str">
        <v>Base</v>
      </c>
      <c r="K180" s="144" t="str">
        <v>AP0131</v>
      </c>
      <c r="L180" s="146" t="str">
        <v/>
      </c>
      <c r="M180" s="142">
        <v>1250</v>
      </c>
      <c r="N180" s="144" t="str">
        <v>Incl</v>
      </c>
      <c r="O180" s="142">
        <v>1086.9565217391305</v>
      </c>
      <c r="P180" s="142">
        <v>1250</v>
      </c>
      <c r="Q180" s="142" t="str">
        <v/>
      </c>
      <c r="R180" s="129" t="str">
        <v>Description – likely</v>
      </c>
      <c r="S180" s="143">
        <v>46113</v>
      </c>
      <c r="T180" s="144" t="str">
        <v>SRC-07</v>
      </c>
      <c r="U180" s="129" t="str">
        <v>p.1</v>
      </c>
      <c r="V180" s="129" t="str">
        <v>Southern Cross Affiliated Provider (SXAP) – anaesthetist fee incl. GST, LA (Day Stay/Theatre). If two AP codes used, charge 50% for second procedure. GA add-on (8265) +$370 (combined $1,620). Likely: no ptosis row in master – grouped with the H1 blepharoplasty (eyelid) rows; see Open Questions.</v>
      </c>
    </row>
    <row r="181" spans="1:22" x14ac:dyDescent="0.2">
      <c r="A181" s="144" t="str">
        <v>H1</v>
      </c>
      <c r="B181" s="145">
        <v>4</v>
      </c>
      <c r="C181" s="129" t="str">
        <v>Ptosis repair – unilateral – LA (Day Stay/Theatre)</v>
      </c>
      <c r="D181" s="129" t="str">
        <v>H1 – Head: Minor Procedures</v>
      </c>
      <c r="E181" s="129" t="str">
        <v>01 - Head</v>
      </c>
      <c r="F181" s="129" t="str">
        <v>SXAP</v>
      </c>
      <c r="G181" s="144" t="str">
        <v>CON-02</v>
      </c>
      <c r="H181" s="129" t="str">
        <v>Fixed fee schedule</v>
      </c>
      <c r="I181" s="144" t="str">
        <v>Yes</v>
      </c>
      <c r="J181" s="144" t="str">
        <v>Base</v>
      </c>
      <c r="K181" s="144" t="str">
        <v>AP0130</v>
      </c>
      <c r="L181" s="146" t="str">
        <v/>
      </c>
      <c r="M181" s="142">
        <v>1030</v>
      </c>
      <c r="N181" s="144" t="str">
        <v>Incl</v>
      </c>
      <c r="O181" s="142">
        <v>895.6521739130435</v>
      </c>
      <c r="P181" s="142">
        <v>1030</v>
      </c>
      <c r="Q181" s="142" t="str">
        <v/>
      </c>
      <c r="R181" s="129" t="str">
        <v>Description – likely</v>
      </c>
      <c r="S181" s="143">
        <v>46113</v>
      </c>
      <c r="T181" s="144" t="str">
        <v>SRC-07</v>
      </c>
      <c r="U181" s="129" t="str">
        <v>p.1</v>
      </c>
      <c r="V181" s="129" t="str">
        <v>Southern Cross Affiliated Provider (SXAP) – anaesthetist fee incl. GST, LA (Day Stay/Theatre). If two AP codes used, charge 50% for second procedure. GA add-on (8265) +$370 (combined $1,400). Likely: no ptosis row in master – grouped with the H1 blepharoplasty (eyelid) rows; see Open Questions.</v>
      </c>
    </row>
    <row r="182" spans="1:22" x14ac:dyDescent="0.2">
      <c r="A182" s="144" t="str">
        <v>H1</v>
      </c>
      <c r="B182" s="145">
        <v>4</v>
      </c>
      <c r="C182" s="129" t="str">
        <v>Reconstruction of eyelid</v>
      </c>
      <c r="D182" s="129" t="str">
        <v>H1 – Head: Minor Procedures</v>
      </c>
      <c r="E182" s="129" t="str">
        <v>01 - Head</v>
      </c>
      <c r="F182" s="129" t="str">
        <v>CESL – HNZ (commitment)</v>
      </c>
      <c r="G182" s="144" t="str">
        <v>CON-05</v>
      </c>
      <c r="H182" s="129" t="str">
        <v>Fixed fee schedule</v>
      </c>
      <c r="I182" s="144" t="str">
        <v>Yes</v>
      </c>
      <c r="J182" s="144" t="str">
        <v>Base</v>
      </c>
      <c r="K182" s="144" t="str">
        <v>HNZ45</v>
      </c>
      <c r="L182" s="146" t="str">
        <v/>
      </c>
      <c r="M182" s="142">
        <v>700</v>
      </c>
      <c r="N182" s="144" t="str">
        <v>Excl</v>
      </c>
      <c r="O182" s="142">
        <v>700</v>
      </c>
      <c r="P182" s="142">
        <v>804.99999999999989</v>
      </c>
      <c r="Q182" s="142" t="str">
        <v/>
      </c>
      <c r="R182" s="129" t="str">
        <v>Description – likely</v>
      </c>
      <c r="S182" s="143" t="str">
        <v/>
      </c>
      <c r="T182" s="144" t="str">
        <v>SRC-08</v>
      </c>
      <c r="U182" s="129" t="str">
        <v>Sheet row 51 – commitment</v>
      </c>
      <c r="V182" s="129" t="str">
        <v>CES HNZ Contract (Health NZ), commitment tier. Same fee in the panel tier. Printed excl. GST; no effective date printed. Likely: eyelid lesion surgery – matched to S+ 'Excision Of Lesion + Direct Closure Left Eyelid' (H1).</v>
      </c>
    </row>
    <row r="183" spans="1:22" x14ac:dyDescent="0.2">
      <c r="A183" s="144" t="str">
        <v>H1</v>
      </c>
      <c r="B183" s="145">
        <v>4</v>
      </c>
      <c r="C183" s="129" t="str">
        <v>Reconstruction of eyelid</v>
      </c>
      <c r="D183" s="129" t="str">
        <v>H1 – Head: Minor Procedures</v>
      </c>
      <c r="E183" s="129" t="str">
        <v>01 - Head</v>
      </c>
      <c r="F183" s="129" t="str">
        <v>CESL – HNZ (panel)</v>
      </c>
      <c r="G183" s="144" t="str">
        <v>CON-06</v>
      </c>
      <c r="H183" s="129" t="str">
        <v>Fixed fee schedule</v>
      </c>
      <c r="I183" s="144" t="str">
        <v>Yes</v>
      </c>
      <c r="J183" s="144" t="str">
        <v>Base</v>
      </c>
      <c r="K183" s="144" t="str">
        <v>HNZ45</v>
      </c>
      <c r="L183" s="146" t="str">
        <v/>
      </c>
      <c r="M183" s="142">
        <v>700</v>
      </c>
      <c r="N183" s="144" t="str">
        <v>Excl</v>
      </c>
      <c r="O183" s="142">
        <v>700</v>
      </c>
      <c r="P183" s="142">
        <v>804.99999999999989</v>
      </c>
      <c r="Q183" s="142" t="str">
        <v/>
      </c>
      <c r="R183" s="129" t="str">
        <v>Description – likely</v>
      </c>
      <c r="S183" s="143" t="str">
        <v/>
      </c>
      <c r="T183" s="144" t="str">
        <v>SRC-08</v>
      </c>
      <c r="U183" s="129" t="str">
        <v>Sheet row 51 – panel</v>
      </c>
      <c r="V183" s="129" t="str">
        <v>CES HNZ Contract (Health NZ), panel tier. Same fee in the commitment tier. Printed excl. GST; no effective date printed. Likely: eyelid lesion surgery – matched to S+ 'Excision Of Lesion + Direct Closure Left Eyelid' (H1).</v>
      </c>
    </row>
    <row r="184" spans="1:22" x14ac:dyDescent="0.2">
      <c r="A184" s="144" t="str">
        <v>H2</v>
      </c>
      <c r="B184" s="145">
        <v>5</v>
      </c>
      <c r="C184" s="129" t="str">
        <v>Reduction Inferior Turbinates</v>
      </c>
      <c r="D184" s="129" t="str">
        <v>H2 – Head: Simple but Invasive Procedures</v>
      </c>
      <c r="E184" s="129" t="str">
        <v>01 - Head</v>
      </c>
      <c r="F184" s="129" t="str">
        <v>Solutions Plus</v>
      </c>
      <c r="G184" s="144" t="str">
        <v>CON-01</v>
      </c>
      <c r="H184" s="129" t="str">
        <v>To confirm</v>
      </c>
      <c r="I184" s="144" t="str">
        <v>No</v>
      </c>
      <c r="J184" s="144" t="str">
        <v>Base</v>
      </c>
      <c r="K184" s="144" t="str">
        <v/>
      </c>
      <c r="L184" s="146">
        <v>7.3</v>
      </c>
      <c r="M184" s="142">
        <v>401.5</v>
      </c>
      <c r="N184" s="144" t="str">
        <v>Unknown</v>
      </c>
      <c r="O184" s="142" t="str">
        <v/>
      </c>
      <c r="P184" s="142" t="str">
        <v/>
      </c>
      <c r="Q184" s="142">
        <v>55</v>
      </c>
      <c r="R184" s="129" t="str">
        <v>Description – likely</v>
      </c>
      <c r="S184" s="143" t="str">
        <v/>
      </c>
      <c r="T184" s="144" t="str">
        <v>SRC-00</v>
      </c>
      <c r="U184" s="129" t="str">
        <v>S+ row 714</v>
      </c>
      <c r="V184" s="129" t="str">
        <v/>
      </c>
    </row>
    <row r="185" spans="1:22" x14ac:dyDescent="0.2">
      <c r="A185" s="144" t="str">
        <v>H1</v>
      </c>
      <c r="B185" s="145">
        <v>4</v>
      </c>
      <c r="C185" s="129" t="str">
        <v>Removal Of Cyst From Eyelid</v>
      </c>
      <c r="D185" s="129" t="str">
        <v>H1 – Head: Minor Procedures</v>
      </c>
      <c r="E185" s="129" t="str">
        <v>01 - Head</v>
      </c>
      <c r="F185" s="129" t="str">
        <v>Solutions Plus</v>
      </c>
      <c r="G185" s="144" t="str">
        <v>CON-01</v>
      </c>
      <c r="H185" s="129" t="str">
        <v>To confirm</v>
      </c>
      <c r="I185" s="144" t="str">
        <v>No</v>
      </c>
      <c r="J185" s="144" t="str">
        <v>Base</v>
      </c>
      <c r="K185" s="144" t="str">
        <v/>
      </c>
      <c r="L185" s="146">
        <v>9</v>
      </c>
      <c r="M185" s="142">
        <v>495</v>
      </c>
      <c r="N185" s="144" t="str">
        <v>Unknown</v>
      </c>
      <c r="O185" s="142" t="str">
        <v/>
      </c>
      <c r="P185" s="142" t="str">
        <v/>
      </c>
      <c r="Q185" s="142">
        <v>55</v>
      </c>
      <c r="R185" s="129" t="str">
        <v>Description – likely</v>
      </c>
      <c r="S185" s="143" t="str">
        <v/>
      </c>
      <c r="T185" s="144" t="str">
        <v>SRC-00</v>
      </c>
      <c r="U185" s="129" t="str">
        <v>S+ row 725</v>
      </c>
      <c r="V185" s="129" t="str">
        <v/>
      </c>
    </row>
    <row r="186" spans="1:22" x14ac:dyDescent="0.2">
      <c r="A186" s="144" t="str">
        <v>H2</v>
      </c>
      <c r="B186" s="145">
        <v>5</v>
      </c>
      <c r="C186" s="129" t="str">
        <v>Return To OT: Post Adeno-tonsillectomy Haemorra</v>
      </c>
      <c r="D186" s="129" t="str">
        <v>H2 – Head: Simple but Invasive Procedures</v>
      </c>
      <c r="E186" s="129" t="str">
        <v>01 - Head</v>
      </c>
      <c r="F186" s="129" t="str">
        <v>Solutions Plus</v>
      </c>
      <c r="G186" s="144" t="str">
        <v>CON-01</v>
      </c>
      <c r="H186" s="129" t="str">
        <v>To confirm</v>
      </c>
      <c r="I186" s="144" t="str">
        <v>No</v>
      </c>
      <c r="J186" s="144" t="str">
        <v>Base</v>
      </c>
      <c r="K186" s="144" t="str">
        <v/>
      </c>
      <c r="L186" s="146">
        <v>0</v>
      </c>
      <c r="M186" s="142">
        <v>0</v>
      </c>
      <c r="N186" s="144" t="str">
        <v>Unknown</v>
      </c>
      <c r="O186" s="142" t="str">
        <v/>
      </c>
      <c r="P186" s="142" t="str">
        <v/>
      </c>
      <c r="Q186" s="142" t="str">
        <v/>
      </c>
      <c r="R186" s="129" t="str">
        <v>Description – likely</v>
      </c>
      <c r="S186" s="143" t="str">
        <v/>
      </c>
      <c r="T186" s="144" t="str">
        <v>SRC-00</v>
      </c>
      <c r="U186" s="129" t="str">
        <v>S+ row 741</v>
      </c>
      <c r="V186" s="129" t="str">
        <v/>
      </c>
    </row>
    <row r="187" spans="1:22" x14ac:dyDescent="0.2">
      <c r="A187" s="144" t="str">
        <v>H3</v>
      </c>
      <c r="B187" s="145">
        <v>6</v>
      </c>
      <c r="C187" s="129" t="str">
        <v>Revision Bilateral Comprehensive Ensoscopic Sinu</v>
      </c>
      <c r="D187" s="129" t="str">
        <v>H3 – Head: Moderate Procedures</v>
      </c>
      <c r="E187" s="129" t="str">
        <v>01 - Head</v>
      </c>
      <c r="F187" s="129" t="str">
        <v>Solutions Plus</v>
      </c>
      <c r="G187" s="144" t="str">
        <v>CON-01</v>
      </c>
      <c r="H187" s="129" t="str">
        <v>To confirm</v>
      </c>
      <c r="I187" s="144" t="str">
        <v>No</v>
      </c>
      <c r="J187" s="144" t="str">
        <v>Base</v>
      </c>
      <c r="K187" s="144" t="str">
        <v/>
      </c>
      <c r="L187" s="146">
        <v>15</v>
      </c>
      <c r="M187" s="142">
        <v>823.9</v>
      </c>
      <c r="N187" s="144" t="str">
        <v>Unknown</v>
      </c>
      <c r="O187" s="142" t="str">
        <v/>
      </c>
      <c r="P187" s="142" t="str">
        <v/>
      </c>
      <c r="Q187" s="142">
        <v>54.926666666666662</v>
      </c>
      <c r="R187" s="129" t="str">
        <v>Description – exact</v>
      </c>
      <c r="S187" s="143" t="str">
        <v/>
      </c>
      <c r="T187" s="144" t="str">
        <v>SRC-00</v>
      </c>
      <c r="U187" s="129" t="str">
        <v>S+ row 754</v>
      </c>
      <c r="V187" s="129" t="str">
        <v/>
      </c>
    </row>
    <row r="188" spans="1:22" x14ac:dyDescent="0.2">
      <c r="A188" s="144" t="str">
        <v>H3</v>
      </c>
      <c r="B188" s="145">
        <v>6</v>
      </c>
      <c r="C188" s="129" t="str">
        <v>Revision Bilateral FESS/Polypectomy</v>
      </c>
      <c r="D188" s="129" t="str">
        <v>H3 – Head: Moderate Procedures</v>
      </c>
      <c r="E188" s="129" t="str">
        <v>01 - Head</v>
      </c>
      <c r="F188" s="129" t="str">
        <v>Solutions Plus</v>
      </c>
      <c r="G188" s="144" t="str">
        <v>CON-01</v>
      </c>
      <c r="H188" s="129" t="str">
        <v>To confirm</v>
      </c>
      <c r="I188" s="144" t="str">
        <v>No</v>
      </c>
      <c r="J188" s="144" t="str">
        <v>Base</v>
      </c>
      <c r="K188" s="144" t="str">
        <v/>
      </c>
      <c r="L188" s="146">
        <v>2</v>
      </c>
      <c r="M188" s="142">
        <v>110</v>
      </c>
      <c r="N188" s="144" t="str">
        <v>Unknown</v>
      </c>
      <c r="O188" s="142" t="str">
        <v/>
      </c>
      <c r="P188" s="142" t="str">
        <v/>
      </c>
      <c r="Q188" s="142">
        <v>55</v>
      </c>
      <c r="R188" s="129" t="str">
        <v>Description – exact</v>
      </c>
      <c r="S188" s="143" t="str">
        <v/>
      </c>
      <c r="T188" s="144" t="str">
        <v>SRC-00</v>
      </c>
      <c r="U188" s="129" t="str">
        <v>S+ row 755</v>
      </c>
      <c r="V188" s="129" t="str">
        <v/>
      </c>
    </row>
    <row r="189" spans="1:22" x14ac:dyDescent="0.2">
      <c r="A189" s="144" t="str">
        <v>H3</v>
      </c>
      <c r="B189" s="145">
        <v>6</v>
      </c>
      <c r="C189" s="129" t="str">
        <v>Revision Turbinoplasty + Ossiculoplasty</v>
      </c>
      <c r="D189" s="129" t="str">
        <v>H3 – Head: Moderate Procedures</v>
      </c>
      <c r="E189" s="129" t="str">
        <v>01 - Head</v>
      </c>
      <c r="F189" s="129" t="str">
        <v>Solutions Plus</v>
      </c>
      <c r="G189" s="144" t="str">
        <v>CON-01</v>
      </c>
      <c r="H189" s="129" t="str">
        <v>To confirm</v>
      </c>
      <c r="I189" s="144" t="str">
        <v>No</v>
      </c>
      <c r="J189" s="144" t="str">
        <v>Base</v>
      </c>
      <c r="K189" s="144" t="str">
        <v/>
      </c>
      <c r="L189" s="146">
        <v>12</v>
      </c>
      <c r="M189" s="142">
        <v>660</v>
      </c>
      <c r="N189" s="144" t="str">
        <v>Unknown</v>
      </c>
      <c r="O189" s="142" t="str">
        <v/>
      </c>
      <c r="P189" s="142" t="str">
        <v/>
      </c>
      <c r="Q189" s="142">
        <v>55</v>
      </c>
      <c r="R189" s="129" t="str">
        <v>Description – likely</v>
      </c>
      <c r="S189" s="143" t="str">
        <v/>
      </c>
      <c r="T189" s="144" t="str">
        <v>SRC-00</v>
      </c>
      <c r="U189" s="129" t="str">
        <v>S+ row 761</v>
      </c>
      <c r="V189" s="129" t="str">
        <v/>
      </c>
    </row>
    <row r="190" spans="1:22" x14ac:dyDescent="0.2">
      <c r="A190" s="144" t="str">
        <v>H3</v>
      </c>
      <c r="B190" s="145">
        <v>6</v>
      </c>
      <c r="C190" s="129" t="str">
        <v>Rhinoplasty</v>
      </c>
      <c r="D190" s="129" t="str">
        <v>H3 – Head: Moderate Procedures</v>
      </c>
      <c r="E190" s="129" t="str">
        <v>01 - Head</v>
      </c>
      <c r="F190" s="129" t="str">
        <v>Solutions Plus</v>
      </c>
      <c r="G190" s="144" t="str">
        <v>CON-01</v>
      </c>
      <c r="H190" s="129" t="str">
        <v>To confirm</v>
      </c>
      <c r="I190" s="144" t="str">
        <v>No</v>
      </c>
      <c r="J190" s="144" t="str">
        <v>Base</v>
      </c>
      <c r="K190" s="144" t="str">
        <v/>
      </c>
      <c r="L190" s="146">
        <v>11.3</v>
      </c>
      <c r="M190" s="142">
        <v>619.85</v>
      </c>
      <c r="N190" s="144" t="str">
        <v>Unknown</v>
      </c>
      <c r="O190" s="142" t="str">
        <v/>
      </c>
      <c r="P190" s="142" t="str">
        <v/>
      </c>
      <c r="Q190" s="142">
        <v>54.853982300884951</v>
      </c>
      <c r="R190" s="129" t="str">
        <v>Description – likely</v>
      </c>
      <c r="S190" s="143" t="str">
        <v/>
      </c>
      <c r="T190" s="144" t="str">
        <v>SRC-00</v>
      </c>
      <c r="U190" s="129" t="str">
        <v>S+ row 762</v>
      </c>
      <c r="V190" s="129" t="str">
        <v/>
      </c>
    </row>
    <row r="191" spans="1:22" x14ac:dyDescent="0.2">
      <c r="A191" s="144" t="str">
        <v>H3</v>
      </c>
      <c r="B191" s="145">
        <v>6</v>
      </c>
      <c r="C191" s="129" t="str">
        <v>Rhinoplasty</v>
      </c>
      <c r="D191" s="129" t="str">
        <v>H3 – Head: Moderate Procedures</v>
      </c>
      <c r="E191" s="129" t="str">
        <v>01 - Head</v>
      </c>
      <c r="F191" s="129" t="str">
        <v>Solutions Plus</v>
      </c>
      <c r="G191" s="144" t="str">
        <v>CON-01</v>
      </c>
      <c r="H191" s="129" t="str">
        <v>To confirm</v>
      </c>
      <c r="I191" s="144" t="str">
        <v>No</v>
      </c>
      <c r="J191" s="144" t="str">
        <v>Base</v>
      </c>
      <c r="K191" s="144" t="str">
        <v/>
      </c>
      <c r="L191" s="146">
        <v>11.3</v>
      </c>
      <c r="M191" s="142">
        <v>619.85</v>
      </c>
      <c r="N191" s="144" t="str">
        <v>Unknown</v>
      </c>
      <c r="O191" s="142" t="str">
        <v/>
      </c>
      <c r="P191" s="142" t="str">
        <v/>
      </c>
      <c r="Q191" s="142">
        <v>54.853982300884951</v>
      </c>
      <c r="R191" s="129" t="str">
        <v>Description – likely</v>
      </c>
      <c r="S191" s="143" t="str">
        <v/>
      </c>
      <c r="T191" s="144" t="str">
        <v>SRC-00</v>
      </c>
      <c r="U191" s="129" t="str">
        <v>S+ row 763</v>
      </c>
      <c r="V191" s="129" t="str">
        <v/>
      </c>
    </row>
    <row r="192" spans="1:22" x14ac:dyDescent="0.2">
      <c r="A192" s="144" t="str">
        <v>H3</v>
      </c>
      <c r="B192" s="145">
        <v>6</v>
      </c>
      <c r="C192" s="129" t="str">
        <v>Rhinoplasty And Revision Right DCR Scar</v>
      </c>
      <c r="D192" s="129" t="str">
        <v>H3 – Head: Moderate Procedures</v>
      </c>
      <c r="E192" s="129" t="str">
        <v>01 - Head</v>
      </c>
      <c r="F192" s="129" t="str">
        <v>Solutions Plus</v>
      </c>
      <c r="G192" s="144" t="str">
        <v>CON-01</v>
      </c>
      <c r="H192" s="129" t="str">
        <v>To confirm</v>
      </c>
      <c r="I192" s="144" t="str">
        <v>No</v>
      </c>
      <c r="J192" s="144" t="str">
        <v>Base</v>
      </c>
      <c r="K192" s="144" t="str">
        <v/>
      </c>
      <c r="L192" s="146">
        <v>4</v>
      </c>
      <c r="M192" s="142">
        <v>220</v>
      </c>
      <c r="N192" s="144" t="str">
        <v>Unknown</v>
      </c>
      <c r="O192" s="142" t="str">
        <v/>
      </c>
      <c r="P192" s="142" t="str">
        <v/>
      </c>
      <c r="Q192" s="142">
        <v>55</v>
      </c>
      <c r="R192" s="129" t="str">
        <v>Description – likely</v>
      </c>
      <c r="S192" s="143" t="str">
        <v/>
      </c>
      <c r="T192" s="144" t="str">
        <v>SRC-00</v>
      </c>
      <c r="U192" s="129" t="str">
        <v>S+ row 764</v>
      </c>
      <c r="V192" s="129" t="str">
        <v/>
      </c>
    </row>
    <row r="193" spans="1:22" x14ac:dyDescent="0.2">
      <c r="A193" s="144" t="str">
        <v>H3</v>
      </c>
      <c r="B193" s="145">
        <v>6</v>
      </c>
      <c r="C193" s="129" t="str">
        <v>Right Cochlear Implant - ACC</v>
      </c>
      <c r="D193" s="129" t="str">
        <v>H3 – Head: Moderate Procedures</v>
      </c>
      <c r="E193" s="129" t="str">
        <v>01 - Head</v>
      </c>
      <c r="F193" s="129" t="str">
        <v>Solutions Plus</v>
      </c>
      <c r="G193" s="144" t="str">
        <v>CON-01</v>
      </c>
      <c r="H193" s="129" t="str">
        <v>To confirm</v>
      </c>
      <c r="I193" s="144" t="str">
        <v>No</v>
      </c>
      <c r="J193" s="144" t="str">
        <v>Base</v>
      </c>
      <c r="K193" s="144" t="str">
        <v/>
      </c>
      <c r="L193" s="146">
        <v>19</v>
      </c>
      <c r="M193" s="142">
        <v>1045</v>
      </c>
      <c r="N193" s="144" t="str">
        <v>Unknown</v>
      </c>
      <c r="O193" s="142" t="str">
        <v/>
      </c>
      <c r="P193" s="142" t="str">
        <v/>
      </c>
      <c r="Q193" s="142">
        <v>55</v>
      </c>
      <c r="R193" s="129" t="str">
        <v>Description – likely</v>
      </c>
      <c r="S193" s="143" t="str">
        <v/>
      </c>
      <c r="T193" s="144" t="str">
        <v>SRC-00</v>
      </c>
      <c r="U193" s="129" t="str">
        <v>S+ row 791</v>
      </c>
      <c r="V193" s="129" t="str">
        <v/>
      </c>
    </row>
    <row r="194" spans="1:22" x14ac:dyDescent="0.2">
      <c r="A194" s="144" t="str">
        <v>H3</v>
      </c>
      <c r="B194" s="145">
        <v>6</v>
      </c>
      <c r="C194" s="129" t="str">
        <v>Right Endoscopic DCR</v>
      </c>
      <c r="D194" s="129" t="str">
        <v>H3 – Head: Moderate Procedures</v>
      </c>
      <c r="E194" s="129" t="str">
        <v>01 - Head</v>
      </c>
      <c r="F194" s="129" t="str">
        <v>Solutions Plus</v>
      </c>
      <c r="G194" s="144" t="str">
        <v>CON-01</v>
      </c>
      <c r="H194" s="129" t="str">
        <v>To confirm</v>
      </c>
      <c r="I194" s="144" t="str">
        <v>No</v>
      </c>
      <c r="J194" s="144" t="str">
        <v>Base</v>
      </c>
      <c r="K194" s="144" t="str">
        <v/>
      </c>
      <c r="L194" s="146">
        <v>13</v>
      </c>
      <c r="M194" s="142">
        <v>715</v>
      </c>
      <c r="N194" s="144" t="str">
        <v>Unknown</v>
      </c>
      <c r="O194" s="142" t="str">
        <v/>
      </c>
      <c r="P194" s="142" t="str">
        <v/>
      </c>
      <c r="Q194" s="142">
        <v>55</v>
      </c>
      <c r="R194" s="129" t="str">
        <v>Description – likely</v>
      </c>
      <c r="S194" s="143" t="str">
        <v/>
      </c>
      <c r="T194" s="144" t="str">
        <v>SRC-00</v>
      </c>
      <c r="U194" s="129" t="str">
        <v>S+ row 797</v>
      </c>
      <c r="V194" s="129" t="str">
        <v/>
      </c>
    </row>
    <row r="195" spans="1:22" x14ac:dyDescent="0.2">
      <c r="A195" s="144" t="str">
        <v>H4</v>
      </c>
      <c r="B195" s="145">
        <v>10</v>
      </c>
      <c r="C195" s="129" t="str">
        <v>Right Temporo Mandibular Joint Replacement</v>
      </c>
      <c r="D195" s="129" t="str">
        <v>H4 – Head: Complex Procedures</v>
      </c>
      <c r="E195" s="129" t="str">
        <v>01 - Head</v>
      </c>
      <c r="F195" s="129" t="str">
        <v>Solutions Plus</v>
      </c>
      <c r="G195" s="144" t="str">
        <v>CON-01</v>
      </c>
      <c r="H195" s="129" t="str">
        <v>To confirm</v>
      </c>
      <c r="I195" s="144" t="str">
        <v>No</v>
      </c>
      <c r="J195" s="144" t="str">
        <v>Base</v>
      </c>
      <c r="K195" s="144" t="str">
        <v/>
      </c>
      <c r="L195" s="146">
        <v>39.799999999999997</v>
      </c>
      <c r="M195" s="142">
        <v>2186.25</v>
      </c>
      <c r="N195" s="144" t="str">
        <v>Unknown</v>
      </c>
      <c r="O195" s="142" t="str">
        <v/>
      </c>
      <c r="P195" s="142" t="str">
        <v/>
      </c>
      <c r="Q195" s="142">
        <v>54.930904522613069</v>
      </c>
      <c r="R195" s="129" t="str">
        <v>Description – likely</v>
      </c>
      <c r="S195" s="143" t="str">
        <v/>
      </c>
      <c r="T195" s="144" t="str">
        <v>SRC-00</v>
      </c>
      <c r="U195" s="129" t="str">
        <v>S+ row 822</v>
      </c>
      <c r="V195" s="129" t="str">
        <v/>
      </c>
    </row>
    <row r="196" spans="1:22" x14ac:dyDescent="0.2">
      <c r="A196" s="144" t="str">
        <v>H1</v>
      </c>
      <c r="B196" s="145">
        <v>4</v>
      </c>
      <c r="C196" s="129" t="str">
        <v>Right Upper Lid Blephs</v>
      </c>
      <c r="D196" s="129" t="str">
        <v>H1 – Head: Minor Procedures</v>
      </c>
      <c r="E196" s="129" t="str">
        <v>01 - Head</v>
      </c>
      <c r="F196" s="129" t="str">
        <v>Solutions Plus</v>
      </c>
      <c r="G196" s="144" t="str">
        <v>CON-01</v>
      </c>
      <c r="H196" s="129" t="str">
        <v>To confirm</v>
      </c>
      <c r="I196" s="144" t="str">
        <v>No</v>
      </c>
      <c r="J196" s="144" t="str">
        <v>Base</v>
      </c>
      <c r="K196" s="144" t="str">
        <v/>
      </c>
      <c r="L196" s="146">
        <v>4</v>
      </c>
      <c r="M196" s="142">
        <v>220</v>
      </c>
      <c r="N196" s="144" t="str">
        <v>Unknown</v>
      </c>
      <c r="O196" s="142" t="str">
        <v/>
      </c>
      <c r="P196" s="142" t="str">
        <v/>
      </c>
      <c r="Q196" s="142">
        <v>55</v>
      </c>
      <c r="R196" s="129" t="str">
        <v>Description – likely</v>
      </c>
      <c r="S196" s="143" t="str">
        <v/>
      </c>
      <c r="T196" s="144" t="str">
        <v>SRC-00</v>
      </c>
      <c r="U196" s="129" t="str">
        <v>S+ row 838</v>
      </c>
      <c r="V196" s="129" t="str">
        <v/>
      </c>
    </row>
    <row r="197" spans="1:22" x14ac:dyDescent="0.2">
      <c r="A197" s="144" t="str">
        <v>H1</v>
      </c>
      <c r="B197" s="145">
        <v>4</v>
      </c>
      <c r="C197" s="129" t="str">
        <v>Right Upper Lid Scar Revision</v>
      </c>
      <c r="D197" s="129" t="str">
        <v>H1 – Head: Minor Procedures</v>
      </c>
      <c r="E197" s="129" t="str">
        <v>01 - Head</v>
      </c>
      <c r="F197" s="129" t="str">
        <v>Solutions Plus</v>
      </c>
      <c r="G197" s="144" t="str">
        <v>CON-01</v>
      </c>
      <c r="H197" s="129" t="str">
        <v>To confirm</v>
      </c>
      <c r="I197" s="144" t="str">
        <v>No</v>
      </c>
      <c r="J197" s="144" t="str">
        <v>Base</v>
      </c>
      <c r="K197" s="144" t="str">
        <v/>
      </c>
      <c r="L197" s="146">
        <v>6</v>
      </c>
      <c r="M197" s="142">
        <v>330</v>
      </c>
      <c r="N197" s="144" t="str">
        <v>Unknown</v>
      </c>
      <c r="O197" s="142" t="str">
        <v/>
      </c>
      <c r="P197" s="142" t="str">
        <v/>
      </c>
      <c r="Q197" s="142">
        <v>55</v>
      </c>
      <c r="R197" s="129" t="str">
        <v>Description – likely</v>
      </c>
      <c r="S197" s="143" t="str">
        <v/>
      </c>
      <c r="T197" s="144" t="str">
        <v>SRC-00</v>
      </c>
      <c r="U197" s="129" t="str">
        <v>S+ row 839</v>
      </c>
      <c r="V197" s="129" t="str">
        <v/>
      </c>
    </row>
    <row r="198" spans="1:22" x14ac:dyDescent="0.2">
      <c r="A198" s="144" t="str">
        <v>H2</v>
      </c>
      <c r="B198" s="145">
        <v>5</v>
      </c>
      <c r="C198" s="129" t="str">
        <v>Septal Manipulation, Turbinoplasty</v>
      </c>
      <c r="D198" s="129" t="str">
        <v>H2 – Head: Simple but Invasive Procedures</v>
      </c>
      <c r="E198" s="129" t="str">
        <v>01 - Head</v>
      </c>
      <c r="F198" s="129" t="str">
        <v>Solutions Plus</v>
      </c>
      <c r="G198" s="144" t="str">
        <v>CON-01</v>
      </c>
      <c r="H198" s="129" t="str">
        <v>To confirm</v>
      </c>
      <c r="I198" s="144" t="str">
        <v>No</v>
      </c>
      <c r="J198" s="144" t="str">
        <v>Base</v>
      </c>
      <c r="K198" s="144" t="str">
        <v/>
      </c>
      <c r="L198" s="146">
        <v>12.7</v>
      </c>
      <c r="M198" s="142">
        <v>696.3</v>
      </c>
      <c r="N198" s="144" t="str">
        <v>Unknown</v>
      </c>
      <c r="O198" s="142" t="str">
        <v/>
      </c>
      <c r="P198" s="142" t="str">
        <v/>
      </c>
      <c r="Q198" s="142">
        <v>54.826771653543304</v>
      </c>
      <c r="R198" s="129" t="str">
        <v>Description – likely</v>
      </c>
      <c r="S198" s="143" t="str">
        <v/>
      </c>
      <c r="T198" s="144" t="str">
        <v>SRC-00</v>
      </c>
      <c r="U198" s="129" t="str">
        <v>S+ row 860</v>
      </c>
      <c r="V198" s="129" t="str">
        <v/>
      </c>
    </row>
    <row r="199" spans="1:22" x14ac:dyDescent="0.2">
      <c r="A199" s="144" t="str">
        <v>H2</v>
      </c>
      <c r="B199" s="145">
        <v>5</v>
      </c>
      <c r="C199" s="129" t="str">
        <v>Septoplasty</v>
      </c>
      <c r="D199" s="129" t="str">
        <v>H2 – Head: Simple but Invasive Procedures</v>
      </c>
      <c r="E199" s="129" t="str">
        <v>01 - Head</v>
      </c>
      <c r="F199" s="129" t="str">
        <v>Solutions Plus</v>
      </c>
      <c r="G199" s="144" t="str">
        <v>CON-01</v>
      </c>
      <c r="H199" s="129" t="str">
        <v>To confirm</v>
      </c>
      <c r="I199" s="144" t="str">
        <v>No</v>
      </c>
      <c r="J199" s="144" t="str">
        <v>Base</v>
      </c>
      <c r="K199" s="144" t="str">
        <v/>
      </c>
      <c r="L199" s="146">
        <v>10.1</v>
      </c>
      <c r="M199" s="142">
        <v>556.04999999999995</v>
      </c>
      <c r="N199" s="144" t="str">
        <v>Unknown</v>
      </c>
      <c r="O199" s="142" t="str">
        <v/>
      </c>
      <c r="P199" s="142" t="str">
        <v/>
      </c>
      <c r="Q199" s="142">
        <v>55.054455445544555</v>
      </c>
      <c r="R199" s="129" t="str">
        <v>Description – exact</v>
      </c>
      <c r="S199" s="143" t="str">
        <v/>
      </c>
      <c r="T199" s="144" t="str">
        <v>SRC-00</v>
      </c>
      <c r="U199" s="129" t="str">
        <v>S+ row 861</v>
      </c>
      <c r="V199" s="129" t="str">
        <v/>
      </c>
    </row>
    <row r="200" spans="1:22" x14ac:dyDescent="0.2">
      <c r="A200" s="144" t="str">
        <v>H2</v>
      </c>
      <c r="B200" s="145">
        <v>5</v>
      </c>
      <c r="C200" s="129" t="str">
        <v>Septoplasty - Turbinoplasty</v>
      </c>
      <c r="D200" s="129" t="str">
        <v>H2 – Head: Simple but Invasive Procedures</v>
      </c>
      <c r="E200" s="129" t="str">
        <v>01 - Head</v>
      </c>
      <c r="F200" s="129" t="str">
        <v>Solutions Plus</v>
      </c>
      <c r="G200" s="144" t="str">
        <v>CON-01</v>
      </c>
      <c r="H200" s="129" t="str">
        <v>To confirm</v>
      </c>
      <c r="I200" s="144" t="str">
        <v>No</v>
      </c>
      <c r="J200" s="144" t="str">
        <v>Base</v>
      </c>
      <c r="K200" s="144" t="str">
        <v/>
      </c>
      <c r="L200" s="146">
        <v>10.3</v>
      </c>
      <c r="M200" s="142">
        <v>563.75</v>
      </c>
      <c r="N200" s="144" t="str">
        <v>Unknown</v>
      </c>
      <c r="O200" s="142" t="str">
        <v/>
      </c>
      <c r="P200" s="142" t="str">
        <v/>
      </c>
      <c r="Q200" s="142">
        <v>54.73300970873786</v>
      </c>
      <c r="R200" s="129" t="str">
        <v>Description – exact</v>
      </c>
      <c r="S200" s="143" t="str">
        <v/>
      </c>
      <c r="T200" s="144" t="str">
        <v>SRC-00</v>
      </c>
      <c r="U200" s="129" t="str">
        <v>S+ row 862</v>
      </c>
      <c r="V200" s="129" t="str">
        <v/>
      </c>
    </row>
    <row r="201" spans="1:22" x14ac:dyDescent="0.2">
      <c r="A201" s="144" t="str">
        <v>H2</v>
      </c>
      <c r="B201" s="145">
        <v>5</v>
      </c>
      <c r="C201" s="129" t="str">
        <v>Septoplasty &amp; Bil Endoscopic Inferior Turbinoplasty</v>
      </c>
      <c r="D201" s="129" t="str">
        <v>H2 – Head: Simple but Invasive Procedures</v>
      </c>
      <c r="E201" s="129" t="str">
        <v>01 - Head</v>
      </c>
      <c r="F201" s="129" t="str">
        <v>Solutions Plus</v>
      </c>
      <c r="G201" s="144" t="str">
        <v>CON-01</v>
      </c>
      <c r="H201" s="129" t="str">
        <v>To confirm</v>
      </c>
      <c r="I201" s="144" t="str">
        <v>No</v>
      </c>
      <c r="J201" s="144" t="str">
        <v>Base</v>
      </c>
      <c r="K201" s="144" t="str">
        <v/>
      </c>
      <c r="L201" s="146">
        <v>12</v>
      </c>
      <c r="M201" s="142">
        <v>658.9</v>
      </c>
      <c r="N201" s="144" t="str">
        <v>Unknown</v>
      </c>
      <c r="O201" s="142" t="str">
        <v/>
      </c>
      <c r="P201" s="142" t="str">
        <v/>
      </c>
      <c r="Q201" s="142">
        <v>54.908333333333331</v>
      </c>
      <c r="R201" s="129" t="str">
        <v>Description – exact</v>
      </c>
      <c r="S201" s="143" t="str">
        <v/>
      </c>
      <c r="T201" s="144" t="str">
        <v>SRC-00</v>
      </c>
      <c r="U201" s="129" t="str">
        <v>S+ row 863</v>
      </c>
      <c r="V201" s="129" t="str">
        <v/>
      </c>
    </row>
    <row r="202" spans="1:22" x14ac:dyDescent="0.2">
      <c r="A202" s="144" t="str">
        <v>H2</v>
      </c>
      <c r="B202" s="145">
        <v>5</v>
      </c>
      <c r="C202" s="129" t="str">
        <v>Septoplasty &amp; Turbinoplasty</v>
      </c>
      <c r="D202" s="129" t="str">
        <v>H2 – Head: Simple but Invasive Procedures</v>
      </c>
      <c r="E202" s="129" t="str">
        <v>01 - Head</v>
      </c>
      <c r="F202" s="129" t="str">
        <v>Solutions Plus</v>
      </c>
      <c r="G202" s="144" t="str">
        <v>CON-01</v>
      </c>
      <c r="H202" s="129" t="str">
        <v>To confirm</v>
      </c>
      <c r="I202" s="144" t="str">
        <v>No</v>
      </c>
      <c r="J202" s="144" t="str">
        <v>Base</v>
      </c>
      <c r="K202" s="144" t="str">
        <v/>
      </c>
      <c r="L202" s="146">
        <v>10</v>
      </c>
      <c r="M202" s="142">
        <v>549.45000000000005</v>
      </c>
      <c r="N202" s="144" t="str">
        <v>Unknown</v>
      </c>
      <c r="O202" s="142" t="str">
        <v/>
      </c>
      <c r="P202" s="142" t="str">
        <v/>
      </c>
      <c r="Q202" s="142">
        <v>54.945000000000007</v>
      </c>
      <c r="R202" s="129" t="str">
        <v>Description – exact</v>
      </c>
      <c r="S202" s="143" t="str">
        <v/>
      </c>
      <c r="T202" s="144" t="str">
        <v>SRC-00</v>
      </c>
      <c r="U202" s="129" t="str">
        <v>S+ row 864</v>
      </c>
      <c r="V202" s="129" t="str">
        <v/>
      </c>
    </row>
    <row r="203" spans="1:22" x14ac:dyDescent="0.2">
      <c r="A203" s="144" t="str">
        <v>H2</v>
      </c>
      <c r="B203" s="145">
        <v>5</v>
      </c>
      <c r="C203" s="129" t="str">
        <v>Septoplasty And Bilateral Inferior Turbinoplasty</v>
      </c>
      <c r="D203" s="129" t="str">
        <v>H2 – Head: Simple but Invasive Procedures</v>
      </c>
      <c r="E203" s="129" t="str">
        <v>01 - Head</v>
      </c>
      <c r="F203" s="129" t="str">
        <v>Solutions Plus</v>
      </c>
      <c r="G203" s="144" t="str">
        <v>CON-01</v>
      </c>
      <c r="H203" s="129" t="str">
        <v>To confirm</v>
      </c>
      <c r="I203" s="144" t="str">
        <v>No</v>
      </c>
      <c r="J203" s="144" t="str">
        <v>Base</v>
      </c>
      <c r="K203" s="144" t="str">
        <v/>
      </c>
      <c r="L203" s="146">
        <v>10.4</v>
      </c>
      <c r="M203" s="142">
        <v>574.20000000000005</v>
      </c>
      <c r="N203" s="144" t="str">
        <v>Unknown</v>
      </c>
      <c r="O203" s="142" t="str">
        <v/>
      </c>
      <c r="P203" s="142" t="str">
        <v/>
      </c>
      <c r="Q203" s="142">
        <v>55.211538461538467</v>
      </c>
      <c r="R203" s="129" t="str">
        <v>Description – exact</v>
      </c>
      <c r="S203" s="143" t="str">
        <v/>
      </c>
      <c r="T203" s="144" t="str">
        <v>SRC-00</v>
      </c>
      <c r="U203" s="129" t="str">
        <v>S+ row 865</v>
      </c>
      <c r="V203" s="129" t="str">
        <v/>
      </c>
    </row>
    <row r="204" spans="1:22" x14ac:dyDescent="0.2">
      <c r="A204" s="144" t="str">
        <v>H2</v>
      </c>
      <c r="B204" s="145">
        <v>5</v>
      </c>
      <c r="C204" s="129" t="str">
        <v>Septoplasty And Left Inferior Turbinoplasty</v>
      </c>
      <c r="D204" s="129" t="str">
        <v>H2 – Head: Simple but Invasive Procedures</v>
      </c>
      <c r="E204" s="129" t="str">
        <v>01 - Head</v>
      </c>
      <c r="F204" s="129" t="str">
        <v>Solutions Plus</v>
      </c>
      <c r="G204" s="144" t="str">
        <v>CON-01</v>
      </c>
      <c r="H204" s="129" t="str">
        <v>To confirm</v>
      </c>
      <c r="I204" s="144" t="str">
        <v>No</v>
      </c>
      <c r="J204" s="144" t="str">
        <v>Base</v>
      </c>
      <c r="K204" s="144" t="str">
        <v/>
      </c>
      <c r="L204" s="146">
        <v>10.7</v>
      </c>
      <c r="M204" s="142">
        <v>588.5</v>
      </c>
      <c r="N204" s="144" t="str">
        <v>Unknown</v>
      </c>
      <c r="O204" s="142" t="str">
        <v/>
      </c>
      <c r="P204" s="142" t="str">
        <v/>
      </c>
      <c r="Q204" s="142">
        <v>55.000000000000007</v>
      </c>
      <c r="R204" s="129" t="str">
        <v>Description – exact</v>
      </c>
      <c r="S204" s="143" t="str">
        <v/>
      </c>
      <c r="T204" s="144" t="str">
        <v>SRC-00</v>
      </c>
      <c r="U204" s="129" t="str">
        <v>S+ row 866</v>
      </c>
      <c r="V204" s="129" t="str">
        <v/>
      </c>
    </row>
    <row r="205" spans="1:22" x14ac:dyDescent="0.2">
      <c r="A205" s="144" t="str">
        <v>H3</v>
      </c>
      <c r="B205" s="145">
        <v>6</v>
      </c>
      <c r="C205" s="129" t="str">
        <v>Septoplasty, ESS, Uvulopalatoplasty</v>
      </c>
      <c r="D205" s="129" t="str">
        <v>H3 – Head: Moderate Procedures</v>
      </c>
      <c r="E205" s="129" t="str">
        <v>01 - Head</v>
      </c>
      <c r="F205" s="129" t="str">
        <v>Solutions Plus</v>
      </c>
      <c r="G205" s="144" t="str">
        <v>CON-01</v>
      </c>
      <c r="H205" s="129" t="str">
        <v>To confirm</v>
      </c>
      <c r="I205" s="144" t="str">
        <v>No</v>
      </c>
      <c r="J205" s="144" t="str">
        <v>Base</v>
      </c>
      <c r="K205" s="144" t="str">
        <v/>
      </c>
      <c r="L205" s="146">
        <v>12</v>
      </c>
      <c r="M205" s="142">
        <v>660</v>
      </c>
      <c r="N205" s="144" t="str">
        <v>Unknown</v>
      </c>
      <c r="O205" s="142" t="str">
        <v/>
      </c>
      <c r="P205" s="142" t="str">
        <v/>
      </c>
      <c r="Q205" s="142">
        <v>55</v>
      </c>
      <c r="R205" s="129" t="str">
        <v>Description – exact</v>
      </c>
      <c r="S205" s="143" t="str">
        <v/>
      </c>
      <c r="T205" s="144" t="str">
        <v>SRC-00</v>
      </c>
      <c r="U205" s="129" t="str">
        <v>S+ row 867</v>
      </c>
      <c r="V205" s="129" t="str">
        <v/>
      </c>
    </row>
    <row r="206" spans="1:22" x14ac:dyDescent="0.2">
      <c r="A206" s="144" t="str">
        <v>H2</v>
      </c>
      <c r="B206" s="145">
        <v>5</v>
      </c>
      <c r="C206" s="129" t="str">
        <v>Septoplasty, Turbinoplasty, Tonsillectomy</v>
      </c>
      <c r="D206" s="129" t="str">
        <v>H2 – Head: Simple but Invasive Procedures</v>
      </c>
      <c r="E206" s="129" t="str">
        <v>01 - Head</v>
      </c>
      <c r="F206" s="129" t="str">
        <v>Solutions Plus</v>
      </c>
      <c r="G206" s="144" t="str">
        <v>CON-01</v>
      </c>
      <c r="H206" s="129" t="str">
        <v>To confirm</v>
      </c>
      <c r="I206" s="144" t="str">
        <v>No</v>
      </c>
      <c r="J206" s="144" t="str">
        <v>Base</v>
      </c>
      <c r="K206" s="144" t="str">
        <v/>
      </c>
      <c r="L206" s="146">
        <v>14.5</v>
      </c>
      <c r="M206" s="142">
        <v>797.5</v>
      </c>
      <c r="N206" s="144" t="str">
        <v>Unknown</v>
      </c>
      <c r="O206" s="142" t="str">
        <v/>
      </c>
      <c r="P206" s="142" t="str">
        <v/>
      </c>
      <c r="Q206" s="142">
        <v>55</v>
      </c>
      <c r="R206" s="129" t="str">
        <v>Description – exact</v>
      </c>
      <c r="S206" s="143" t="str">
        <v/>
      </c>
      <c r="T206" s="144" t="str">
        <v>SRC-00</v>
      </c>
      <c r="U206" s="129" t="str">
        <v>S+ row 868</v>
      </c>
      <c r="V206" s="129" t="str">
        <v/>
      </c>
    </row>
    <row r="207" spans="1:22" x14ac:dyDescent="0.2">
      <c r="A207" s="144" t="str">
        <v>H3</v>
      </c>
      <c r="B207" s="145">
        <v>6</v>
      </c>
      <c r="C207" s="129" t="str">
        <v>Septorhinoplasty</v>
      </c>
      <c r="D207" s="129" t="str">
        <v>H3 – Head: Moderate Procedures</v>
      </c>
      <c r="E207" s="129" t="str">
        <v>01 - Head</v>
      </c>
      <c r="F207" s="129" t="str">
        <v>Solutions Plus</v>
      </c>
      <c r="G207" s="144" t="str">
        <v>CON-01</v>
      </c>
      <c r="H207" s="129" t="str">
        <v>To confirm</v>
      </c>
      <c r="I207" s="144" t="str">
        <v>No</v>
      </c>
      <c r="J207" s="144" t="str">
        <v>Base</v>
      </c>
      <c r="K207" s="144" t="str">
        <v/>
      </c>
      <c r="L207" s="146">
        <v>13.7</v>
      </c>
      <c r="M207" s="142">
        <v>754.6</v>
      </c>
      <c r="N207" s="144" t="str">
        <v>Unknown</v>
      </c>
      <c r="O207" s="142" t="str">
        <v/>
      </c>
      <c r="P207" s="142" t="str">
        <v/>
      </c>
      <c r="Q207" s="142">
        <v>55.080291970802925</v>
      </c>
      <c r="R207" s="129" t="str">
        <v>Description – exact</v>
      </c>
      <c r="S207" s="143" t="str">
        <v/>
      </c>
      <c r="T207" s="144" t="str">
        <v>SRC-00</v>
      </c>
      <c r="U207" s="129" t="str">
        <v>S+ row 869</v>
      </c>
      <c r="V207" s="129" t="str">
        <v/>
      </c>
    </row>
    <row r="208" spans="1:22" x14ac:dyDescent="0.2">
      <c r="A208" s="144" t="str">
        <v>H2</v>
      </c>
      <c r="B208" s="145">
        <v>5</v>
      </c>
      <c r="C208" s="129" t="str">
        <v>Simple but Invasive Procedures e.g. Adenoidectomy, Tonsillectomy, Myringoplasty, Ear canal, Septoplasty</v>
      </c>
      <c r="D208" s="129" t="str">
        <v>H2 – Head: Simple but Invasive Procedures</v>
      </c>
      <c r="E208" s="129" t="str">
        <v>01 - Head</v>
      </c>
      <c r="F208" s="129" t="str">
        <v>NZSA RVG</v>
      </c>
      <c r="G208" s="144" t="str">
        <v>CON-10</v>
      </c>
      <c r="H208" s="129" t="str">
        <v>Reference – units only</v>
      </c>
      <c r="I208" s="144" t="str">
        <v>No</v>
      </c>
      <c r="J208" s="144" t="str">
        <v>Base</v>
      </c>
      <c r="K208" s="144" t="str">
        <v>H2</v>
      </c>
      <c r="L208" s="146">
        <v>5</v>
      </c>
      <c r="M208" s="142" t="str">
        <v/>
      </c>
      <c r="N208" s="144" t="str">
        <v/>
      </c>
      <c r="O208" s="142" t="str">
        <v/>
      </c>
      <c r="P208" s="142" t="str">
        <v/>
      </c>
      <c r="Q208" s="142">
        <v>0</v>
      </c>
      <c r="R208" s="129" t="str">
        <v>RVG code</v>
      </c>
      <c r="S208" s="143" t="str">
        <v/>
      </c>
      <c r="T208" s="144" t="str">
        <v>SRC-01</v>
      </c>
      <c r="U208" s="129" t="str">
        <v>p.7 – Head</v>
      </c>
      <c r="V208" s="129" t="str">
        <v>Reference units only – no $ fee (NZSA RVG 2021).</v>
      </c>
    </row>
    <row r="209" spans="1:22" x14ac:dyDescent="0.2">
      <c r="A209" s="144" t="str">
        <v>H3</v>
      </c>
      <c r="B209" s="145">
        <v>6</v>
      </c>
      <c r="C209" s="129" t="str">
        <v>Split Account - Bilateral Endoscopic Sinus Surgery</v>
      </c>
      <c r="D209" s="129" t="str">
        <v>H3 – Head: Moderate Procedures</v>
      </c>
      <c r="E209" s="129" t="str">
        <v>01 - Head</v>
      </c>
      <c r="F209" s="129" t="str">
        <v>Solutions Plus</v>
      </c>
      <c r="G209" s="144" t="str">
        <v>CON-01</v>
      </c>
      <c r="H209" s="129" t="str">
        <v>To confirm</v>
      </c>
      <c r="I209" s="144" t="str">
        <v>No</v>
      </c>
      <c r="J209" s="144" t="str">
        <v>Base</v>
      </c>
      <c r="K209" s="144" t="str">
        <v/>
      </c>
      <c r="L209" s="146">
        <v>11</v>
      </c>
      <c r="M209" s="142">
        <v>605</v>
      </c>
      <c r="N209" s="144" t="str">
        <v>Unknown</v>
      </c>
      <c r="O209" s="142" t="str">
        <v/>
      </c>
      <c r="P209" s="142" t="str">
        <v/>
      </c>
      <c r="Q209" s="142">
        <v>55</v>
      </c>
      <c r="R209" s="129" t="str">
        <v>Description – exact</v>
      </c>
      <c r="S209" s="143" t="str">
        <v/>
      </c>
      <c r="T209" s="144" t="str">
        <v>SRC-00</v>
      </c>
      <c r="U209" s="129" t="str">
        <v>S+ row 887</v>
      </c>
      <c r="V209" s="129" t="str">
        <v/>
      </c>
    </row>
    <row r="210" spans="1:22" x14ac:dyDescent="0.2">
      <c r="A210" s="144" t="str">
        <v>H2</v>
      </c>
      <c r="B210" s="145">
        <v>5</v>
      </c>
      <c r="C210" s="129" t="str">
        <v>Split Account - Enoscopic Transnasal Coblation Ad</v>
      </c>
      <c r="D210" s="129" t="str">
        <v>H2 – Head: Simple but Invasive Procedures</v>
      </c>
      <c r="E210" s="129" t="str">
        <v>01 - Head</v>
      </c>
      <c r="F210" s="129" t="str">
        <v>Solutions Plus</v>
      </c>
      <c r="G210" s="144" t="str">
        <v>CON-01</v>
      </c>
      <c r="H210" s="129" t="str">
        <v>To confirm</v>
      </c>
      <c r="I210" s="144" t="str">
        <v>No</v>
      </c>
      <c r="J210" s="144" t="str">
        <v>Base</v>
      </c>
      <c r="K210" s="144" t="str">
        <v/>
      </c>
      <c r="L210" s="146">
        <v>10</v>
      </c>
      <c r="M210" s="142">
        <v>550</v>
      </c>
      <c r="N210" s="144" t="str">
        <v>Unknown</v>
      </c>
      <c r="O210" s="142" t="str">
        <v/>
      </c>
      <c r="P210" s="142" t="str">
        <v/>
      </c>
      <c r="Q210" s="142">
        <v>55</v>
      </c>
      <c r="R210" s="129" t="str">
        <v>Description – exact</v>
      </c>
      <c r="S210" s="143" t="str">
        <v/>
      </c>
      <c r="T210" s="144" t="str">
        <v>SRC-00</v>
      </c>
      <c r="U210" s="129" t="str">
        <v>S+ row 891</v>
      </c>
      <c r="V210" s="129" t="str">
        <v/>
      </c>
    </row>
    <row r="211" spans="1:22" x14ac:dyDescent="0.2">
      <c r="A211" s="144" t="str">
        <v>H3</v>
      </c>
      <c r="B211" s="145">
        <v>6</v>
      </c>
      <c r="C211" s="129" t="str">
        <v>Stapedectomy</v>
      </c>
      <c r="D211" s="129" t="str">
        <v>H3 – Head: Moderate Procedures</v>
      </c>
      <c r="E211" s="129" t="str">
        <v>01 - Head</v>
      </c>
      <c r="F211" s="129" t="str">
        <v>Solutions Plus</v>
      </c>
      <c r="G211" s="144" t="str">
        <v>CON-01</v>
      </c>
      <c r="H211" s="129" t="str">
        <v>To confirm</v>
      </c>
      <c r="I211" s="144" t="str">
        <v>No</v>
      </c>
      <c r="J211" s="144" t="str">
        <v>Base</v>
      </c>
      <c r="K211" s="144" t="str">
        <v/>
      </c>
      <c r="L211" s="146">
        <v>12.5</v>
      </c>
      <c r="M211" s="142">
        <v>686.4</v>
      </c>
      <c r="N211" s="144" t="str">
        <v>Unknown</v>
      </c>
      <c r="O211" s="142" t="str">
        <v/>
      </c>
      <c r="P211" s="142" t="str">
        <v/>
      </c>
      <c r="Q211" s="142">
        <v>54.911999999999999</v>
      </c>
      <c r="R211" s="129" t="str">
        <v>Description – likely</v>
      </c>
      <c r="S211" s="143" t="str">
        <v/>
      </c>
      <c r="T211" s="144" t="str">
        <v>SRC-00</v>
      </c>
      <c r="U211" s="129" t="str">
        <v>S+ row 904</v>
      </c>
      <c r="V211" s="129" t="str">
        <v/>
      </c>
    </row>
    <row r="212" spans="1:22" x14ac:dyDescent="0.2">
      <c r="A212" s="144" t="str">
        <v>H1</v>
      </c>
      <c r="B212" s="145">
        <v>4</v>
      </c>
      <c r="C212" s="129" t="str">
        <v>Tarsorrhaphy</v>
      </c>
      <c r="D212" s="129" t="str">
        <v>H1 – Head: Minor Procedures</v>
      </c>
      <c r="E212" s="129" t="str">
        <v>01 - Head</v>
      </c>
      <c r="F212" s="129" t="str">
        <v>CESL – HNZ (commitment)</v>
      </c>
      <c r="G212" s="144" t="str">
        <v>CON-05</v>
      </c>
      <c r="H212" s="129" t="str">
        <v>Fixed fee schedule</v>
      </c>
      <c r="I212" s="144" t="str">
        <v>Yes</v>
      </c>
      <c r="J212" s="144" t="str">
        <v>Base</v>
      </c>
      <c r="K212" s="144" t="str">
        <v>HNZ48</v>
      </c>
      <c r="L212" s="146" t="str">
        <v/>
      </c>
      <c r="M212" s="142">
        <v>750</v>
      </c>
      <c r="N212" s="144" t="str">
        <v>Excl</v>
      </c>
      <c r="O212" s="142">
        <v>750</v>
      </c>
      <c r="P212" s="142">
        <v>862.49999999999989</v>
      </c>
      <c r="Q212" s="142" t="str">
        <v/>
      </c>
      <c r="R212" s="129" t="str">
        <v>Description – likely</v>
      </c>
      <c r="S212" s="143" t="str">
        <v/>
      </c>
      <c r="T212" s="144" t="str">
        <v>SRC-08</v>
      </c>
      <c r="U212" s="129" t="str">
        <v>Sheet row 54 – commitment</v>
      </c>
      <c r="V212" s="129" t="str">
        <v>CES HNZ Contract (Health NZ), commitment tier. Panel tier fee $800. Printed excl. GST; no effective date printed. Likely: eyelid malposition surgery – grouped with S+ 'Bilateral Ectropion Repair' and the SRC-05 ectropion/entropion rows (H1).</v>
      </c>
    </row>
    <row r="213" spans="1:22" x14ac:dyDescent="0.2">
      <c r="A213" s="144" t="str">
        <v>H1</v>
      </c>
      <c r="B213" s="145">
        <v>4</v>
      </c>
      <c r="C213" s="129" t="str">
        <v>Tarsorrhaphy</v>
      </c>
      <c r="D213" s="129" t="str">
        <v>H1 – Head: Minor Procedures</v>
      </c>
      <c r="E213" s="129" t="str">
        <v>01 - Head</v>
      </c>
      <c r="F213" s="129" t="str">
        <v>CESL – HNZ (panel)</v>
      </c>
      <c r="G213" s="144" t="str">
        <v>CON-06</v>
      </c>
      <c r="H213" s="129" t="str">
        <v>Fixed fee schedule</v>
      </c>
      <c r="I213" s="144" t="str">
        <v>Yes</v>
      </c>
      <c r="J213" s="144" t="str">
        <v>Base</v>
      </c>
      <c r="K213" s="144" t="str">
        <v>HNZ48</v>
      </c>
      <c r="L213" s="146" t="str">
        <v/>
      </c>
      <c r="M213" s="142">
        <v>800</v>
      </c>
      <c r="N213" s="144" t="str">
        <v>Excl</v>
      </c>
      <c r="O213" s="142">
        <v>800</v>
      </c>
      <c r="P213" s="142">
        <v>919.99999999999989</v>
      </c>
      <c r="Q213" s="142" t="str">
        <v/>
      </c>
      <c r="R213" s="129" t="str">
        <v>Description – likely</v>
      </c>
      <c r="S213" s="143" t="str">
        <v/>
      </c>
      <c r="T213" s="144" t="str">
        <v>SRC-08</v>
      </c>
      <c r="U213" s="129" t="str">
        <v>Sheet row 54 – panel</v>
      </c>
      <c r="V213" s="129" t="str">
        <v>CES HNZ Contract (Health NZ), panel tier. Commitment tier fee $750. Printed excl. GST; no effective date printed. Likely: eyelid malposition surgery – grouped with S+ 'Bilateral Ectropion Repair' and the SRC-05 ectropion/entropion rows (H1).</v>
      </c>
    </row>
    <row r="214" spans="1:22" x14ac:dyDescent="0.2">
      <c r="A214" s="144" t="str">
        <v>H1</v>
      </c>
      <c r="B214" s="145">
        <v>4</v>
      </c>
      <c r="C214" s="129" t="str">
        <v>Tongue Tie Release</v>
      </c>
      <c r="D214" s="129" t="str">
        <v>H1 – Head: Minor Procedures</v>
      </c>
      <c r="E214" s="129" t="str">
        <v>01 - Head</v>
      </c>
      <c r="F214" s="129" t="str">
        <v>Solutions Plus</v>
      </c>
      <c r="G214" s="144" t="str">
        <v>CON-01</v>
      </c>
      <c r="H214" s="129" t="str">
        <v>To confirm</v>
      </c>
      <c r="I214" s="144" t="str">
        <v>No</v>
      </c>
      <c r="J214" s="144" t="str">
        <v>Base</v>
      </c>
      <c r="K214" s="144" t="str">
        <v/>
      </c>
      <c r="L214" s="146">
        <v>6.9</v>
      </c>
      <c r="M214" s="142">
        <v>381.15</v>
      </c>
      <c r="N214" s="144" t="str">
        <v>Unknown</v>
      </c>
      <c r="O214" s="142" t="str">
        <v/>
      </c>
      <c r="P214" s="142" t="str">
        <v/>
      </c>
      <c r="Q214" s="142">
        <v>55.239130434782602</v>
      </c>
      <c r="R214" s="129" t="str">
        <v>Description – likely</v>
      </c>
      <c r="S214" s="143" t="str">
        <v/>
      </c>
      <c r="T214" s="144" t="str">
        <v>SRC-00</v>
      </c>
      <c r="U214" s="129" t="str">
        <v>S+ row 925</v>
      </c>
      <c r="V214" s="129" t="str">
        <v/>
      </c>
    </row>
    <row r="215" spans="1:22" x14ac:dyDescent="0.2">
      <c r="A215" s="144" t="str">
        <v>H2</v>
      </c>
      <c r="B215" s="145">
        <v>5</v>
      </c>
      <c r="C215" s="129" t="str">
        <v>Tonsillectomy</v>
      </c>
      <c r="D215" s="129" t="str">
        <v>H2 – Head: Simple but Invasive Procedures</v>
      </c>
      <c r="E215" s="129" t="str">
        <v>01 - Head</v>
      </c>
      <c r="F215" s="129" t="str">
        <v>Solutions Plus</v>
      </c>
      <c r="G215" s="144" t="str">
        <v>CON-01</v>
      </c>
      <c r="H215" s="129" t="str">
        <v>To confirm</v>
      </c>
      <c r="I215" s="144" t="str">
        <v>No</v>
      </c>
      <c r="J215" s="144" t="str">
        <v>Base</v>
      </c>
      <c r="K215" s="144" t="str">
        <v/>
      </c>
      <c r="L215" s="146">
        <v>8.1999999999999993</v>
      </c>
      <c r="M215" s="142">
        <v>450.45</v>
      </c>
      <c r="N215" s="144" t="str">
        <v>Unknown</v>
      </c>
      <c r="O215" s="142" t="str">
        <v/>
      </c>
      <c r="P215" s="142" t="str">
        <v/>
      </c>
      <c r="Q215" s="142">
        <v>54.932926829268297</v>
      </c>
      <c r="R215" s="129" t="str">
        <v>Description – exact</v>
      </c>
      <c r="S215" s="143" t="str">
        <v/>
      </c>
      <c r="T215" s="144" t="str">
        <v>SRC-00</v>
      </c>
      <c r="U215" s="129" t="str">
        <v>S+ row 926</v>
      </c>
      <c r="V215" s="129" t="str">
        <v/>
      </c>
    </row>
    <row r="216" spans="1:22" x14ac:dyDescent="0.2">
      <c r="A216" s="144" t="str">
        <v>H2</v>
      </c>
      <c r="B216" s="145">
        <v>5</v>
      </c>
      <c r="C216" s="129" t="str">
        <v>Tonsillectomy - CDHB</v>
      </c>
      <c r="D216" s="129" t="str">
        <v>H2 – Head: Simple but Invasive Procedures</v>
      </c>
      <c r="E216" s="129" t="str">
        <v>01 - Head</v>
      </c>
      <c r="F216" s="129" t="str">
        <v>Solutions Plus</v>
      </c>
      <c r="G216" s="144" t="str">
        <v>CON-01</v>
      </c>
      <c r="H216" s="129" t="str">
        <v>To confirm</v>
      </c>
      <c r="I216" s="144" t="str">
        <v>No</v>
      </c>
      <c r="J216" s="144" t="str">
        <v>Base</v>
      </c>
      <c r="K216" s="144" t="str">
        <v/>
      </c>
      <c r="L216" s="146">
        <v>8.1999999999999993</v>
      </c>
      <c r="M216" s="142">
        <v>449.35</v>
      </c>
      <c r="N216" s="144" t="str">
        <v>Unknown</v>
      </c>
      <c r="O216" s="142" t="str">
        <v/>
      </c>
      <c r="P216" s="142" t="str">
        <v/>
      </c>
      <c r="Q216" s="142">
        <v>54.798780487804883</v>
      </c>
      <c r="R216" s="129" t="str">
        <v>Description – exact</v>
      </c>
      <c r="S216" s="143" t="str">
        <v/>
      </c>
      <c r="T216" s="144" t="str">
        <v>SRC-00</v>
      </c>
      <c r="U216" s="129" t="str">
        <v>S+ row 927</v>
      </c>
      <c r="V216" s="129" t="str">
        <v/>
      </c>
    </row>
    <row r="217" spans="1:22" x14ac:dyDescent="0.2">
      <c r="A217" s="144" t="str">
        <v>H2</v>
      </c>
      <c r="B217" s="145">
        <v>5</v>
      </c>
      <c r="C217" s="129" t="str">
        <v>Tonsillectomy - St Georges Philanthropic Fund</v>
      </c>
      <c r="D217" s="129" t="str">
        <v>H2 – Head: Simple but Invasive Procedures</v>
      </c>
      <c r="E217" s="129" t="str">
        <v>01 - Head</v>
      </c>
      <c r="F217" s="129" t="str">
        <v>Solutions Plus</v>
      </c>
      <c r="G217" s="144" t="str">
        <v>CON-01</v>
      </c>
      <c r="H217" s="129" t="str">
        <v>To confirm</v>
      </c>
      <c r="I217" s="144" t="str">
        <v>No</v>
      </c>
      <c r="J217" s="144" t="str">
        <v>Base</v>
      </c>
      <c r="K217" s="144" t="str">
        <v/>
      </c>
      <c r="L217" s="146">
        <v>7</v>
      </c>
      <c r="M217" s="142">
        <v>385</v>
      </c>
      <c r="N217" s="144" t="str">
        <v>Unknown</v>
      </c>
      <c r="O217" s="142" t="str">
        <v/>
      </c>
      <c r="P217" s="142" t="str">
        <v/>
      </c>
      <c r="Q217" s="142">
        <v>55</v>
      </c>
      <c r="R217" s="129" t="str">
        <v>Description – exact</v>
      </c>
      <c r="S217" s="143" t="str">
        <v/>
      </c>
      <c r="T217" s="144" t="str">
        <v>SRC-00</v>
      </c>
      <c r="U217" s="129" t="str">
        <v>S+ row 928</v>
      </c>
      <c r="V217" s="129" t="str">
        <v/>
      </c>
    </row>
    <row r="218" spans="1:22" x14ac:dyDescent="0.2">
      <c r="A218" s="144" t="str">
        <v>H2</v>
      </c>
      <c r="B218" s="145">
        <v>5</v>
      </c>
      <c r="C218" s="129" t="str">
        <v>Tonsillectomy (bizact) Phillantropic Case</v>
      </c>
      <c r="D218" s="129" t="str">
        <v>H2 – Head: Simple but Invasive Procedures</v>
      </c>
      <c r="E218" s="129" t="str">
        <v>01 - Head</v>
      </c>
      <c r="F218" s="129" t="str">
        <v>Solutions Plus</v>
      </c>
      <c r="G218" s="144" t="str">
        <v>CON-01</v>
      </c>
      <c r="H218" s="129" t="str">
        <v>To confirm</v>
      </c>
      <c r="I218" s="144" t="str">
        <v>No</v>
      </c>
      <c r="J218" s="144" t="str">
        <v>Base</v>
      </c>
      <c r="K218" s="144" t="str">
        <v/>
      </c>
      <c r="L218" s="146">
        <v>0</v>
      </c>
      <c r="M218" s="142">
        <v>0</v>
      </c>
      <c r="N218" s="144" t="str">
        <v>Unknown</v>
      </c>
      <c r="O218" s="142" t="str">
        <v/>
      </c>
      <c r="P218" s="142" t="str">
        <v/>
      </c>
      <c r="Q218" s="142" t="str">
        <v/>
      </c>
      <c r="R218" s="129" t="str">
        <v>Description – exact</v>
      </c>
      <c r="S218" s="143" t="str">
        <v/>
      </c>
      <c r="T218" s="144" t="str">
        <v>SRC-00</v>
      </c>
      <c r="U218" s="129" t="str">
        <v>S+ row 929</v>
      </c>
      <c r="V218" s="129" t="str">
        <v/>
      </c>
    </row>
    <row r="219" spans="1:22" x14ac:dyDescent="0.2">
      <c r="A219" s="144" t="str">
        <v>H2</v>
      </c>
      <c r="B219" s="145">
        <v>5</v>
      </c>
      <c r="C219" s="129" t="str">
        <v>Turbinoplasty</v>
      </c>
      <c r="D219" s="129" t="str">
        <v>H2 – Head: Simple but Invasive Procedures</v>
      </c>
      <c r="E219" s="129" t="str">
        <v>01 - Head</v>
      </c>
      <c r="F219" s="129" t="str">
        <v>Solutions Plus</v>
      </c>
      <c r="G219" s="144" t="str">
        <v>CON-01</v>
      </c>
      <c r="H219" s="129" t="str">
        <v>To confirm</v>
      </c>
      <c r="I219" s="144" t="str">
        <v>No</v>
      </c>
      <c r="J219" s="144" t="str">
        <v>Base</v>
      </c>
      <c r="K219" s="144" t="str">
        <v/>
      </c>
      <c r="L219" s="146">
        <v>8.8000000000000007</v>
      </c>
      <c r="M219" s="142">
        <v>482.9</v>
      </c>
      <c r="N219" s="144" t="str">
        <v>Unknown</v>
      </c>
      <c r="O219" s="142" t="str">
        <v/>
      </c>
      <c r="P219" s="142" t="str">
        <v/>
      </c>
      <c r="Q219" s="142">
        <v>54.874999999999993</v>
      </c>
      <c r="R219" s="129" t="str">
        <v>Description – likely</v>
      </c>
      <c r="S219" s="143" t="str">
        <v/>
      </c>
      <c r="T219" s="144" t="str">
        <v>SRC-00</v>
      </c>
      <c r="U219" s="129" t="str">
        <v>S+ row 946</v>
      </c>
      <c r="V219" s="129" t="str">
        <v/>
      </c>
    </row>
    <row r="220" spans="1:22" x14ac:dyDescent="0.2">
      <c r="A220" s="144" t="str">
        <v>H3</v>
      </c>
      <c r="B220" s="145">
        <v>6</v>
      </c>
      <c r="C220" s="129" t="str">
        <v>Tympanoplasty</v>
      </c>
      <c r="D220" s="129" t="str">
        <v>H3 – Head: Moderate Procedures</v>
      </c>
      <c r="E220" s="129" t="str">
        <v>01 - Head</v>
      </c>
      <c r="F220" s="129" t="str">
        <v>Solutions Plus</v>
      </c>
      <c r="G220" s="144" t="str">
        <v>CON-01</v>
      </c>
      <c r="H220" s="129" t="str">
        <v>To confirm</v>
      </c>
      <c r="I220" s="144" t="str">
        <v>No</v>
      </c>
      <c r="J220" s="144" t="str">
        <v>Base</v>
      </c>
      <c r="K220" s="144" t="str">
        <v/>
      </c>
      <c r="L220" s="146">
        <v>12.3</v>
      </c>
      <c r="M220" s="142">
        <v>678.7</v>
      </c>
      <c r="N220" s="144" t="str">
        <v>Unknown</v>
      </c>
      <c r="O220" s="142" t="str">
        <v/>
      </c>
      <c r="P220" s="142" t="str">
        <v/>
      </c>
      <c r="Q220" s="142">
        <v>55.178861788617887</v>
      </c>
      <c r="R220" s="129" t="str">
        <v>Description – likely</v>
      </c>
      <c r="S220" s="143" t="str">
        <v/>
      </c>
      <c r="T220" s="144" t="str">
        <v>SRC-00</v>
      </c>
      <c r="U220" s="129" t="str">
        <v>S+ row 953</v>
      </c>
      <c r="V220" s="129" t="str">
        <v/>
      </c>
    </row>
    <row r="221" spans="1:22" x14ac:dyDescent="0.2">
      <c r="A221" s="144" t="str">
        <v>H1</v>
      </c>
      <c r="B221" s="145">
        <v>4</v>
      </c>
      <c r="C221" s="129" t="str">
        <v>Unilateral repair of ectropion – LA (Day Stay/Theatre)</v>
      </c>
      <c r="D221" s="129" t="str">
        <v>H1 – Head: Minor Procedures</v>
      </c>
      <c r="E221" s="129" t="str">
        <v>01 - Head</v>
      </c>
      <c r="F221" s="129" t="str">
        <v>SXAP</v>
      </c>
      <c r="G221" s="144" t="str">
        <v>CON-02</v>
      </c>
      <c r="H221" s="129" t="str">
        <v>Fixed fee schedule</v>
      </c>
      <c r="I221" s="144" t="str">
        <v>Yes</v>
      </c>
      <c r="J221" s="144" t="str">
        <v>Base</v>
      </c>
      <c r="K221" s="144" t="str">
        <v>AP0138</v>
      </c>
      <c r="L221" s="146" t="str">
        <v/>
      </c>
      <c r="M221" s="142">
        <v>1035</v>
      </c>
      <c r="N221" s="144" t="str">
        <v>Incl</v>
      </c>
      <c r="O221" s="142">
        <v>900.00000000000011</v>
      </c>
      <c r="P221" s="142">
        <v>1035</v>
      </c>
      <c r="Q221" s="142" t="str">
        <v/>
      </c>
      <c r="R221" s="129" t="str">
        <v>Description – likely</v>
      </c>
      <c r="S221" s="143">
        <v>46113</v>
      </c>
      <c r="T221" s="144" t="str">
        <v>SRC-05</v>
      </c>
      <c r="U221" s="129" t="str">
        <v>p.1</v>
      </c>
      <c r="V221" s="129" t="str">
        <v>Southern Cross Affiliated Provider (SXAP) – anaesthetist fee incl. GST, LA (Day Stay/Theatre). If two AP codes used, charge 50% for second procedure. GA add-on (8265) +$370 (combined $1,405). Likely: unilateral version of S+ 'Bilateral Ectropion Repair' (H1).</v>
      </c>
    </row>
    <row r="222" spans="1:22" x14ac:dyDescent="0.2">
      <c r="A222" s="144" t="str">
        <v>H1</v>
      </c>
      <c r="B222" s="145">
        <v>4</v>
      </c>
      <c r="C222" s="129" t="str">
        <v>Unilateral repair of ectropion with graft – LA (Day Stay/Theatre)</v>
      </c>
      <c r="D222" s="129" t="str">
        <v>H1 – Head: Minor Procedures</v>
      </c>
      <c r="E222" s="129" t="str">
        <v>01 - Head</v>
      </c>
      <c r="F222" s="129" t="str">
        <v>SXAP</v>
      </c>
      <c r="G222" s="144" t="str">
        <v>CON-02</v>
      </c>
      <c r="H222" s="129" t="str">
        <v>Fixed fee schedule</v>
      </c>
      <c r="I222" s="144" t="str">
        <v>Yes</v>
      </c>
      <c r="J222" s="144" t="str">
        <v>Base</v>
      </c>
      <c r="K222" s="144" t="str">
        <v>8942</v>
      </c>
      <c r="L222" s="146" t="str">
        <v/>
      </c>
      <c r="M222" s="142">
        <v>1035</v>
      </c>
      <c r="N222" s="144" t="str">
        <v>Incl</v>
      </c>
      <c r="O222" s="142">
        <v>900.00000000000011</v>
      </c>
      <c r="P222" s="142">
        <v>1035</v>
      </c>
      <c r="Q222" s="142" t="str">
        <v/>
      </c>
      <c r="R222" s="129" t="str">
        <v>Description – likely</v>
      </c>
      <c r="S222" s="143">
        <v>46113</v>
      </c>
      <c r="T222" s="144" t="str">
        <v>SRC-05</v>
      </c>
      <c r="U222" s="129" t="str">
        <v>p.1</v>
      </c>
      <c r="V222" s="129" t="str">
        <v>Southern Cross Affiliated Provider (SXAP) – anaesthetist fee incl. GST, LA (Day Stay/Theatre). If two AP codes used, charge 50% for second procedure. GA add-on (8265) +$370 (combined $1,405). Likely: unilateral ectropion repair plus graft – graft not separately listed in the RVG; same fee as AP0138. Numeric code as printed (no 'AP' prefix).</v>
      </c>
    </row>
    <row r="223" spans="1:22" x14ac:dyDescent="0.2">
      <c r="A223" s="144" t="str">
        <v>H1</v>
      </c>
      <c r="B223" s="145">
        <v>4</v>
      </c>
      <c r="C223" s="129" t="str">
        <v>Unilateral repair of entropion – LA (Day Stay/Theatre)</v>
      </c>
      <c r="D223" s="129" t="str">
        <v>H1 – Head: Minor Procedures</v>
      </c>
      <c r="E223" s="129" t="str">
        <v>01 - Head</v>
      </c>
      <c r="F223" s="129" t="str">
        <v>SXAP</v>
      </c>
      <c r="G223" s="144" t="str">
        <v>CON-02</v>
      </c>
      <c r="H223" s="129" t="str">
        <v>Fixed fee schedule</v>
      </c>
      <c r="I223" s="144" t="str">
        <v>Yes</v>
      </c>
      <c r="J223" s="144" t="str">
        <v>Base</v>
      </c>
      <c r="K223" s="144" t="str">
        <v>AP0140</v>
      </c>
      <c r="L223" s="146" t="str">
        <v/>
      </c>
      <c r="M223" s="142">
        <v>1035</v>
      </c>
      <c r="N223" s="144" t="str">
        <v>Incl</v>
      </c>
      <c r="O223" s="142">
        <v>900.00000000000011</v>
      </c>
      <c r="P223" s="142">
        <v>1035</v>
      </c>
      <c r="Q223" s="142" t="str">
        <v/>
      </c>
      <c r="R223" s="129" t="str">
        <v>Description – likely</v>
      </c>
      <c r="S223" s="143">
        <v>46113</v>
      </c>
      <c r="T223" s="144" t="str">
        <v>SRC-05</v>
      </c>
      <c r="U223" s="129" t="str">
        <v>p.1</v>
      </c>
      <c r="V223" s="129" t="str">
        <v>Southern Cross Affiliated Provider (SXAP) – anaesthetist fee incl. GST, LA (Day Stay/Theatre). If two AP codes used, charge 50% for second procedure. GA add-on (8265) +$370 (combined $1,405). Likely: no entropion row in master; grouped with ectropion repair (same eyelid malposition repair, same SXAP fee) – see Open Questions.</v>
      </c>
    </row>
    <row r="224" spans="1:22" x14ac:dyDescent="0.2">
      <c r="A224" s="144" t="str">
        <v>H2</v>
      </c>
      <c r="B224" s="145">
        <v>5</v>
      </c>
      <c r="C224" s="129" t="str">
        <v>UPPP</v>
      </c>
      <c r="D224" s="129" t="str">
        <v>H2 – Head: Simple but Invasive Procedures</v>
      </c>
      <c r="E224" s="129" t="str">
        <v>01 - Head</v>
      </c>
      <c r="F224" s="129" t="str">
        <v>Solutions Plus</v>
      </c>
      <c r="G224" s="144" t="str">
        <v>CON-01</v>
      </c>
      <c r="H224" s="129" t="str">
        <v>To confirm</v>
      </c>
      <c r="I224" s="144" t="str">
        <v>No</v>
      </c>
      <c r="J224" s="144" t="str">
        <v>Base</v>
      </c>
      <c r="K224" s="144" t="str">
        <v/>
      </c>
      <c r="L224" s="146">
        <v>8.8000000000000007</v>
      </c>
      <c r="M224" s="142">
        <v>481.25</v>
      </c>
      <c r="N224" s="144" t="str">
        <v>Unknown</v>
      </c>
      <c r="O224" s="142" t="str">
        <v/>
      </c>
      <c r="P224" s="142" t="str">
        <v/>
      </c>
      <c r="Q224" s="142">
        <v>54.687499999999993</v>
      </c>
      <c r="R224" s="129" t="str">
        <v>Description – likely</v>
      </c>
      <c r="S224" s="143" t="str">
        <v/>
      </c>
      <c r="T224" s="144" t="str">
        <v>SRC-00</v>
      </c>
      <c r="U224" s="129" t="str">
        <v>S+ row 958</v>
      </c>
      <c r="V224" s="129" t="str">
        <v/>
      </c>
    </row>
    <row r="225" spans="1:22" x14ac:dyDescent="0.2">
      <c r="A225" s="144" t="str">
        <v>H2</v>
      </c>
      <c r="B225" s="145">
        <v>5</v>
      </c>
      <c r="C225" s="129" t="str">
        <v>UPPPP</v>
      </c>
      <c r="D225" s="129" t="str">
        <v>H2 – Head: Simple but Invasive Procedures</v>
      </c>
      <c r="E225" s="129" t="str">
        <v>01 - Head</v>
      </c>
      <c r="F225" s="129" t="str">
        <v>Solutions Plus</v>
      </c>
      <c r="G225" s="144" t="str">
        <v>CON-01</v>
      </c>
      <c r="H225" s="129" t="str">
        <v>To confirm</v>
      </c>
      <c r="I225" s="144" t="str">
        <v>No</v>
      </c>
      <c r="J225" s="144" t="str">
        <v>Base</v>
      </c>
      <c r="K225" s="144" t="str">
        <v/>
      </c>
      <c r="L225" s="146">
        <v>0</v>
      </c>
      <c r="M225" s="142">
        <v>0</v>
      </c>
      <c r="N225" s="144" t="str">
        <v>Unknown</v>
      </c>
      <c r="O225" s="142" t="str">
        <v/>
      </c>
      <c r="P225" s="142" t="str">
        <v/>
      </c>
      <c r="Q225" s="142" t="str">
        <v/>
      </c>
      <c r="R225" s="129" t="str">
        <v>Description – likely</v>
      </c>
      <c r="S225" s="143" t="str">
        <v/>
      </c>
      <c r="T225" s="144" t="str">
        <v>SRC-00</v>
      </c>
      <c r="U225" s="129" t="str">
        <v>S+ row 959</v>
      </c>
      <c r="V225" s="129" t="str">
        <v/>
      </c>
    </row>
    <row r="226" spans="1:22" x14ac:dyDescent="0.2">
      <c r="A226" s="144" t="str">
        <v>H2</v>
      </c>
      <c r="B226" s="145">
        <v>5</v>
      </c>
      <c r="C226" s="129" t="str">
        <v>Uvulectomy</v>
      </c>
      <c r="D226" s="129" t="str">
        <v>H2 – Head: Simple but Invasive Procedures</v>
      </c>
      <c r="E226" s="129" t="str">
        <v>01 - Head</v>
      </c>
      <c r="F226" s="129" t="str">
        <v>Solutions Plus</v>
      </c>
      <c r="G226" s="144" t="str">
        <v>CON-01</v>
      </c>
      <c r="H226" s="129" t="str">
        <v>To confirm</v>
      </c>
      <c r="I226" s="144" t="str">
        <v>No</v>
      </c>
      <c r="J226" s="144" t="str">
        <v>Base</v>
      </c>
      <c r="K226" s="144" t="str">
        <v/>
      </c>
      <c r="L226" s="146">
        <v>1</v>
      </c>
      <c r="M226" s="142">
        <v>55</v>
      </c>
      <c r="N226" s="144" t="str">
        <v>Unknown</v>
      </c>
      <c r="O226" s="142" t="str">
        <v/>
      </c>
      <c r="P226" s="142" t="str">
        <v/>
      </c>
      <c r="Q226" s="142">
        <v>55</v>
      </c>
      <c r="R226" s="129" t="str">
        <v>Description – likely</v>
      </c>
      <c r="S226" s="143" t="str">
        <v/>
      </c>
      <c r="T226" s="144" t="str">
        <v>SRC-00</v>
      </c>
      <c r="U226" s="129" t="str">
        <v>S+ row 965</v>
      </c>
      <c r="V226" s="129" t="str">
        <v/>
      </c>
    </row>
    <row r="227" spans="1:22" x14ac:dyDescent="0.2">
      <c r="A227" s="144" t="str">
        <v>H2</v>
      </c>
      <c r="B227" s="145">
        <v>5</v>
      </c>
      <c r="C227" s="129" t="str">
        <v>Uvulopalatopharyngoplasty</v>
      </c>
      <c r="D227" s="129" t="str">
        <v>H2 – Head: Simple but Invasive Procedures</v>
      </c>
      <c r="E227" s="129" t="str">
        <v>01 - Head</v>
      </c>
      <c r="F227" s="129" t="str">
        <v>Solutions Plus</v>
      </c>
      <c r="G227" s="144" t="str">
        <v>CON-01</v>
      </c>
      <c r="H227" s="129" t="str">
        <v>To confirm</v>
      </c>
      <c r="I227" s="144" t="str">
        <v>No</v>
      </c>
      <c r="J227" s="144" t="str">
        <v>Base</v>
      </c>
      <c r="K227" s="144" t="str">
        <v/>
      </c>
      <c r="L227" s="146">
        <v>11.1</v>
      </c>
      <c r="M227" s="142">
        <v>609.4</v>
      </c>
      <c r="N227" s="144" t="str">
        <v>Unknown</v>
      </c>
      <c r="O227" s="142" t="str">
        <v/>
      </c>
      <c r="P227" s="142" t="str">
        <v/>
      </c>
      <c r="Q227" s="142">
        <v>54.900900900900901</v>
      </c>
      <c r="R227" s="129" t="str">
        <v>Description – likely</v>
      </c>
      <c r="S227" s="143" t="str">
        <v/>
      </c>
      <c r="T227" s="144" t="str">
        <v>SRC-00</v>
      </c>
      <c r="U227" s="129" t="str">
        <v>S+ row 966</v>
      </c>
      <c r="V227" s="129" t="str">
        <v/>
      </c>
    </row>
    <row r="228" spans="1:22" x14ac:dyDescent="0.2">
      <c r="A228" s="144" t="str">
        <v>H2</v>
      </c>
      <c r="B228" s="145">
        <v>5</v>
      </c>
      <c r="C228" s="129" t="str">
        <v>Uvulopalatoplasty</v>
      </c>
      <c r="D228" s="129" t="str">
        <v>H2 – Head: Simple but Invasive Procedures</v>
      </c>
      <c r="E228" s="129" t="str">
        <v>01 - Head</v>
      </c>
      <c r="F228" s="129" t="str">
        <v>Solutions Plus</v>
      </c>
      <c r="G228" s="144" t="str">
        <v>CON-01</v>
      </c>
      <c r="H228" s="129" t="str">
        <v>To confirm</v>
      </c>
      <c r="I228" s="144" t="str">
        <v>No</v>
      </c>
      <c r="J228" s="144" t="str">
        <v>Base</v>
      </c>
      <c r="K228" s="144" t="str">
        <v/>
      </c>
      <c r="L228" s="146">
        <v>7</v>
      </c>
      <c r="M228" s="142">
        <v>385</v>
      </c>
      <c r="N228" s="144" t="str">
        <v>Unknown</v>
      </c>
      <c r="O228" s="142" t="str">
        <v/>
      </c>
      <c r="P228" s="142" t="str">
        <v/>
      </c>
      <c r="Q228" s="142">
        <v>55</v>
      </c>
      <c r="R228" s="129" t="str">
        <v>Description – likely</v>
      </c>
      <c r="S228" s="143" t="str">
        <v/>
      </c>
      <c r="T228" s="144" t="str">
        <v>SRC-00</v>
      </c>
      <c r="U228" s="129" t="str">
        <v>S+ row 967</v>
      </c>
      <c r="V228" s="129" t="str">
        <v/>
      </c>
    </row>
    <row r="229" spans="1:22" x14ac:dyDescent="0.2">
      <c r="A229" s="144" t="str">
        <v>H1</v>
      </c>
      <c r="B229" s="145">
        <v>4</v>
      </c>
      <c r="C229" s="129" t="str">
        <v>Ventilation Tubes</v>
      </c>
      <c r="D229" s="129" t="str">
        <v>H1 – Head: Minor Procedures</v>
      </c>
      <c r="E229" s="129" t="str">
        <v>01 - Head</v>
      </c>
      <c r="F229" s="129" t="str">
        <v>Solutions Plus</v>
      </c>
      <c r="G229" s="144" t="str">
        <v>CON-01</v>
      </c>
      <c r="H229" s="129" t="str">
        <v>To confirm</v>
      </c>
      <c r="I229" s="144" t="str">
        <v>No</v>
      </c>
      <c r="J229" s="144" t="str">
        <v>Base</v>
      </c>
      <c r="K229" s="144" t="str">
        <v/>
      </c>
      <c r="L229" s="146">
        <v>5.5</v>
      </c>
      <c r="M229" s="142">
        <v>301.95</v>
      </c>
      <c r="N229" s="144" t="str">
        <v>Unknown</v>
      </c>
      <c r="O229" s="142" t="str">
        <v/>
      </c>
      <c r="P229" s="142" t="str">
        <v/>
      </c>
      <c r="Q229" s="142">
        <v>54.9</v>
      </c>
      <c r="R229" s="129" t="str">
        <v>Description – exact</v>
      </c>
      <c r="S229" s="143" t="str">
        <v/>
      </c>
      <c r="T229" s="144" t="str">
        <v>SRC-00</v>
      </c>
      <c r="U229" s="129" t="str">
        <v>S+ row 972</v>
      </c>
      <c r="V229" s="129" t="str">
        <v/>
      </c>
    </row>
    <row r="230" spans="1:22" x14ac:dyDescent="0.2">
      <c r="A230" s="144" t="str">
        <v>H1</v>
      </c>
      <c r="B230" s="145">
        <v>4</v>
      </c>
      <c r="C230" s="129" t="str">
        <v>Wedge Excision</v>
      </c>
      <c r="D230" s="129" t="str">
        <v>H1 – Head: Minor Procedures</v>
      </c>
      <c r="E230" s="129" t="str">
        <v>01 - Head</v>
      </c>
      <c r="F230" s="129" t="str">
        <v>CESL – HNZ (commitment)</v>
      </c>
      <c r="G230" s="144" t="str">
        <v>CON-05</v>
      </c>
      <c r="H230" s="129" t="str">
        <v>Fixed fee schedule</v>
      </c>
      <c r="I230" s="144" t="str">
        <v>Yes</v>
      </c>
      <c r="J230" s="144" t="str">
        <v>Base</v>
      </c>
      <c r="K230" s="144" t="str">
        <v>HNZ29</v>
      </c>
      <c r="L230" s="146" t="str">
        <v/>
      </c>
      <c r="M230" s="142">
        <v>600</v>
      </c>
      <c r="N230" s="144" t="str">
        <v>Excl</v>
      </c>
      <c r="O230" s="142">
        <v>600</v>
      </c>
      <c r="P230" s="142">
        <v>690</v>
      </c>
      <c r="Q230" s="142" t="str">
        <v/>
      </c>
      <c r="R230" s="129" t="str">
        <v>Description – likely</v>
      </c>
      <c r="S230" s="143" t="str">
        <v/>
      </c>
      <c r="T230" s="144" t="str">
        <v>SRC-08</v>
      </c>
      <c r="U230" s="129" t="str">
        <v>Sheet row 37 – commitment</v>
      </c>
      <c r="V230" s="129" t="str">
        <v>CES HNZ Contract (Health NZ), commitment tier. Same fee in the panel tier. Printed excl. GST; no effective date printed. Likely: eyelid lesion surgery – matched to S+ 'Excision Of Lesion + Direct Closure Left Eyelid' (H1).</v>
      </c>
    </row>
    <row r="231" spans="1:22" x14ac:dyDescent="0.2">
      <c r="A231" s="144" t="str">
        <v>H1</v>
      </c>
      <c r="B231" s="145">
        <v>4</v>
      </c>
      <c r="C231" s="129" t="str">
        <v>Wedge Excision</v>
      </c>
      <c r="D231" s="129" t="str">
        <v>H1 – Head: Minor Procedures</v>
      </c>
      <c r="E231" s="129" t="str">
        <v>01 - Head</v>
      </c>
      <c r="F231" s="129" t="str">
        <v>CESL – HNZ (panel)</v>
      </c>
      <c r="G231" s="144" t="str">
        <v>CON-06</v>
      </c>
      <c r="H231" s="129" t="str">
        <v>Fixed fee schedule</v>
      </c>
      <c r="I231" s="144" t="str">
        <v>Yes</v>
      </c>
      <c r="J231" s="144" t="str">
        <v>Base</v>
      </c>
      <c r="K231" s="144" t="str">
        <v>HNZ29</v>
      </c>
      <c r="L231" s="146" t="str">
        <v/>
      </c>
      <c r="M231" s="142">
        <v>600</v>
      </c>
      <c r="N231" s="144" t="str">
        <v>Excl</v>
      </c>
      <c r="O231" s="142">
        <v>600</v>
      </c>
      <c r="P231" s="142">
        <v>690</v>
      </c>
      <c r="Q231" s="142" t="str">
        <v/>
      </c>
      <c r="R231" s="129" t="str">
        <v>Description – likely</v>
      </c>
      <c r="S231" s="143" t="str">
        <v/>
      </c>
      <c r="T231" s="144" t="str">
        <v>SRC-08</v>
      </c>
      <c r="U231" s="129" t="str">
        <v>Sheet row 37 – panel</v>
      </c>
      <c r="V231" s="129" t="str">
        <v>CES HNZ Contract (Health NZ), panel tier. Same fee in the commitment tier. Printed excl. GST; no effective date printed. Likely: eyelid lesion surgery – matched to S+ 'Excision Of Lesion + Direct Closure Left Eyelid' (H1).</v>
      </c>
    </row>
    <row r="232" spans="1:22" x14ac:dyDescent="0.2">
      <c r="A232" s="144" t="str">
        <v>H5</v>
      </c>
      <c r="B232" s="145">
        <v>5</v>
      </c>
      <c r="C232" s="129" t="str">
        <v>Combined Dental Surgery (X-rays, Prophylaxsis, Co</v>
      </c>
      <c r="D232" s="129" t="str">
        <v>H5 – Head / Dental: Dental Extractions/Dental Restorations</v>
      </c>
      <c r="E232" s="129" t="str">
        <v>01 - Head</v>
      </c>
      <c r="F232" s="129" t="str">
        <v>Solutions Plus</v>
      </c>
      <c r="G232" s="144" t="str">
        <v>CON-01</v>
      </c>
      <c r="H232" s="129" t="str">
        <v>To confirm</v>
      </c>
      <c r="I232" s="144" t="str">
        <v>No</v>
      </c>
      <c r="J232" s="144" t="str">
        <v>Base</v>
      </c>
      <c r="K232" s="144" t="str">
        <v/>
      </c>
      <c r="L232" s="146">
        <v>3</v>
      </c>
      <c r="M232" s="142">
        <v>165</v>
      </c>
      <c r="N232" s="144" t="str">
        <v>Unknown</v>
      </c>
      <c r="O232" s="142" t="str">
        <v/>
      </c>
      <c r="P232" s="142" t="str">
        <v/>
      </c>
      <c r="Q232" s="142">
        <v>55</v>
      </c>
      <c r="R232" s="129" t="str">
        <v>Description – exact</v>
      </c>
      <c r="S232" s="143" t="str">
        <v/>
      </c>
      <c r="T232" s="144" t="str">
        <v>SRC-00</v>
      </c>
      <c r="U232" s="129" t="str">
        <v>S+ row 209</v>
      </c>
      <c r="V232" s="129" t="str">
        <v/>
      </c>
    </row>
    <row r="233" spans="1:22" x14ac:dyDescent="0.2">
      <c r="A233" s="144" t="str">
        <v>H5</v>
      </c>
      <c r="B233" s="145">
        <v>5</v>
      </c>
      <c r="C233" s="129" t="str">
        <v>Dental Clearance</v>
      </c>
      <c r="D233" s="129" t="str">
        <v>H5 – Head / Dental: Dental Extractions/Dental Restorations</v>
      </c>
      <c r="E233" s="129" t="str">
        <v>01 - Head</v>
      </c>
      <c r="F233" s="129" t="str">
        <v>Solutions Plus</v>
      </c>
      <c r="G233" s="144" t="str">
        <v>CON-01</v>
      </c>
      <c r="H233" s="129" t="str">
        <v>To confirm</v>
      </c>
      <c r="I233" s="144" t="str">
        <v>No</v>
      </c>
      <c r="J233" s="144" t="str">
        <v>Base</v>
      </c>
      <c r="K233" s="144" t="str">
        <v/>
      </c>
      <c r="L233" s="146">
        <v>10.6</v>
      </c>
      <c r="M233" s="142">
        <v>583.54999999999995</v>
      </c>
      <c r="N233" s="144" t="str">
        <v>Unknown</v>
      </c>
      <c r="O233" s="142" t="str">
        <v/>
      </c>
      <c r="P233" s="142" t="str">
        <v/>
      </c>
      <c r="Q233" s="142">
        <v>55.051886792452827</v>
      </c>
      <c r="R233" s="129" t="str">
        <v>Description – exact</v>
      </c>
      <c r="S233" s="143" t="str">
        <v/>
      </c>
      <c r="T233" s="144" t="str">
        <v>SRC-00</v>
      </c>
      <c r="U233" s="129" t="str">
        <v>S+ row 237</v>
      </c>
      <c r="V233" s="129" t="str">
        <v/>
      </c>
    </row>
    <row r="234" spans="1:22" x14ac:dyDescent="0.2">
      <c r="A234" s="144" t="str">
        <v>H5</v>
      </c>
      <c r="B234" s="145">
        <v>5</v>
      </c>
      <c r="C234" s="129" t="str">
        <v>Dental Extraction</v>
      </c>
      <c r="D234" s="129" t="str">
        <v>H5 – Head / Dental: Dental Extractions/Dental Restorations</v>
      </c>
      <c r="E234" s="129" t="str">
        <v>01 - Head</v>
      </c>
      <c r="F234" s="129" t="str">
        <v>Solutions Plus</v>
      </c>
      <c r="G234" s="144" t="str">
        <v>CON-01</v>
      </c>
      <c r="H234" s="129" t="str">
        <v>To confirm</v>
      </c>
      <c r="I234" s="144" t="str">
        <v>No</v>
      </c>
      <c r="J234" s="144" t="str">
        <v>Base</v>
      </c>
      <c r="K234" s="144" t="str">
        <v/>
      </c>
      <c r="L234" s="146">
        <v>9.6999999999999993</v>
      </c>
      <c r="M234" s="142">
        <v>532.4</v>
      </c>
      <c r="N234" s="144" t="str">
        <v>Unknown</v>
      </c>
      <c r="O234" s="142" t="str">
        <v/>
      </c>
      <c r="P234" s="142" t="str">
        <v/>
      </c>
      <c r="Q234" s="142">
        <v>54.886597938144334</v>
      </c>
      <c r="R234" s="129" t="str">
        <v>Description – exact</v>
      </c>
      <c r="S234" s="143" t="str">
        <v/>
      </c>
      <c r="T234" s="144" t="str">
        <v>SRC-00</v>
      </c>
      <c r="U234" s="129" t="str">
        <v>S+ row 238</v>
      </c>
      <c r="V234" s="129" t="str">
        <v/>
      </c>
    </row>
    <row r="235" spans="1:22" x14ac:dyDescent="0.2">
      <c r="A235" s="144" t="str">
        <v>H5</v>
      </c>
      <c r="B235" s="145">
        <v>5</v>
      </c>
      <c r="C235" s="129" t="str">
        <v>Dental Extractions/Dental Restorations</v>
      </c>
      <c r="D235" s="129" t="str">
        <v>H5 – Head / Dental: Dental Extractions/Dental Restorations</v>
      </c>
      <c r="E235" s="129" t="str">
        <v>01 - Head</v>
      </c>
      <c r="F235" s="129" t="str">
        <v>NZSA RVG</v>
      </c>
      <c r="G235" s="144" t="str">
        <v>CON-10</v>
      </c>
      <c r="H235" s="129" t="str">
        <v>Reference – units only</v>
      </c>
      <c r="I235" s="144" t="str">
        <v>No</v>
      </c>
      <c r="J235" s="144" t="str">
        <v>Base</v>
      </c>
      <c r="K235" s="144" t="str">
        <v>H5</v>
      </c>
      <c r="L235" s="146">
        <v>5</v>
      </c>
      <c r="M235" s="142" t="str">
        <v/>
      </c>
      <c r="N235" s="144" t="str">
        <v/>
      </c>
      <c r="O235" s="142" t="str">
        <v/>
      </c>
      <c r="P235" s="142" t="str">
        <v/>
      </c>
      <c r="Q235" s="142">
        <v>0</v>
      </c>
      <c r="R235" s="129" t="str">
        <v>RVG code</v>
      </c>
      <c r="S235" s="143" t="str">
        <v/>
      </c>
      <c r="T235" s="144" t="str">
        <v>SRC-01</v>
      </c>
      <c r="U235" s="129" t="str">
        <v>p.7 – Head / Dental</v>
      </c>
      <c r="V235" s="129" t="str">
        <v>Reference units only – no $ fee (NZSA RVG 2021).</v>
      </c>
    </row>
    <row r="236" spans="1:22" x14ac:dyDescent="0.2">
      <c r="A236" s="144" t="str">
        <v>H5</v>
      </c>
      <c r="B236" s="145">
        <v>5</v>
      </c>
      <c r="C236" s="129" t="str">
        <v>Dental Fillings</v>
      </c>
      <c r="D236" s="129" t="str">
        <v>H5 – Head / Dental: Dental Extractions/Dental Restorations</v>
      </c>
      <c r="E236" s="129" t="str">
        <v>01 - Head</v>
      </c>
      <c r="F236" s="129" t="str">
        <v>Solutions Plus</v>
      </c>
      <c r="G236" s="144" t="str">
        <v>CON-01</v>
      </c>
      <c r="H236" s="129" t="str">
        <v>To confirm</v>
      </c>
      <c r="I236" s="144" t="str">
        <v>No</v>
      </c>
      <c r="J236" s="144" t="str">
        <v>Base</v>
      </c>
      <c r="K236" s="144" t="str">
        <v/>
      </c>
      <c r="L236" s="146">
        <v>8.1999999999999993</v>
      </c>
      <c r="M236" s="142">
        <v>448.8</v>
      </c>
      <c r="N236" s="144" t="str">
        <v>Unknown</v>
      </c>
      <c r="O236" s="142" t="str">
        <v/>
      </c>
      <c r="P236" s="142" t="str">
        <v/>
      </c>
      <c r="Q236" s="142">
        <v>54.73170731707318</v>
      </c>
      <c r="R236" s="129" t="str">
        <v>Description – exact</v>
      </c>
      <c r="S236" s="143" t="str">
        <v/>
      </c>
      <c r="T236" s="144" t="str">
        <v>SRC-00</v>
      </c>
      <c r="U236" s="129" t="str">
        <v>S+ row 239</v>
      </c>
      <c r="V236" s="129" t="str">
        <v/>
      </c>
    </row>
    <row r="237" spans="1:22" x14ac:dyDescent="0.2">
      <c r="A237" s="144" t="str">
        <v>H5</v>
      </c>
      <c r="B237" s="145">
        <v>5</v>
      </c>
      <c r="C237" s="129" t="str">
        <v>Dental Fillings And Extractions CDHB</v>
      </c>
      <c r="D237" s="129" t="str">
        <v>H5 – Head / Dental: Dental Extractions/Dental Restorations</v>
      </c>
      <c r="E237" s="129" t="str">
        <v>01 - Head</v>
      </c>
      <c r="F237" s="129" t="str">
        <v>Solutions Plus</v>
      </c>
      <c r="G237" s="144" t="str">
        <v>CON-01</v>
      </c>
      <c r="H237" s="129" t="str">
        <v>To confirm</v>
      </c>
      <c r="I237" s="144" t="str">
        <v>No</v>
      </c>
      <c r="J237" s="144" t="str">
        <v>Base</v>
      </c>
      <c r="K237" s="144" t="str">
        <v/>
      </c>
      <c r="L237" s="146">
        <v>9</v>
      </c>
      <c r="M237" s="142">
        <v>495</v>
      </c>
      <c r="N237" s="144" t="str">
        <v>Unknown</v>
      </c>
      <c r="O237" s="142" t="str">
        <v/>
      </c>
      <c r="P237" s="142" t="str">
        <v/>
      </c>
      <c r="Q237" s="142">
        <v>55</v>
      </c>
      <c r="R237" s="129" t="str">
        <v>Description – exact</v>
      </c>
      <c r="S237" s="143" t="str">
        <v/>
      </c>
      <c r="T237" s="144" t="str">
        <v>SRC-00</v>
      </c>
      <c r="U237" s="129" t="str">
        <v>S+ row 240</v>
      </c>
      <c r="V237" s="129" t="str">
        <v/>
      </c>
    </row>
    <row r="238" spans="1:22" x14ac:dyDescent="0.2">
      <c r="A238" s="144" t="str">
        <v>H5</v>
      </c>
      <c r="B238" s="145">
        <v>5</v>
      </c>
      <c r="C238" s="129" t="str">
        <v>Dental Treatment</v>
      </c>
      <c r="D238" s="129" t="str">
        <v>H5 – Head / Dental: Dental Extractions/Dental Restorations</v>
      </c>
      <c r="E238" s="129" t="str">
        <v>01 - Head</v>
      </c>
      <c r="F238" s="129" t="str">
        <v>Solutions Plus</v>
      </c>
      <c r="G238" s="144" t="str">
        <v>CON-01</v>
      </c>
      <c r="H238" s="129" t="str">
        <v>To confirm</v>
      </c>
      <c r="I238" s="144" t="str">
        <v>No</v>
      </c>
      <c r="J238" s="144" t="str">
        <v>Base</v>
      </c>
      <c r="K238" s="144" t="str">
        <v/>
      </c>
      <c r="L238" s="146">
        <v>1.3</v>
      </c>
      <c r="M238" s="142">
        <v>72.599999999999994</v>
      </c>
      <c r="N238" s="144" t="str">
        <v>Unknown</v>
      </c>
      <c r="O238" s="142" t="str">
        <v/>
      </c>
      <c r="P238" s="142" t="str">
        <v/>
      </c>
      <c r="Q238" s="142">
        <v>55.84615384615384</v>
      </c>
      <c r="R238" s="129" t="str">
        <v>Description – exact</v>
      </c>
      <c r="S238" s="143" t="str">
        <v/>
      </c>
      <c r="T238" s="144" t="str">
        <v>SRC-00</v>
      </c>
      <c r="U238" s="129" t="str">
        <v>S+ row 241</v>
      </c>
      <c r="V238" s="129" t="str">
        <v/>
      </c>
    </row>
    <row r="239" spans="1:22" x14ac:dyDescent="0.2">
      <c r="A239" s="144" t="str">
        <v>H5</v>
      </c>
      <c r="B239" s="145">
        <v>5</v>
      </c>
      <c r="C239" s="129" t="str">
        <v>Exposure Of 12 &amp; 23</v>
      </c>
      <c r="D239" s="129" t="str">
        <v>H5 – Head / Dental: Dental Extractions/Dental Restorations</v>
      </c>
      <c r="E239" s="129" t="str">
        <v>01 - Head</v>
      </c>
      <c r="F239" s="129" t="str">
        <v>Solutions Plus</v>
      </c>
      <c r="G239" s="144" t="str">
        <v>CON-01</v>
      </c>
      <c r="H239" s="129" t="str">
        <v>To confirm</v>
      </c>
      <c r="I239" s="144" t="str">
        <v>No</v>
      </c>
      <c r="J239" s="144" t="str">
        <v>Base</v>
      </c>
      <c r="K239" s="144" t="str">
        <v/>
      </c>
      <c r="L239" s="146">
        <v>1</v>
      </c>
      <c r="M239" s="142">
        <v>55</v>
      </c>
      <c r="N239" s="144" t="str">
        <v>Unknown</v>
      </c>
      <c r="O239" s="142" t="str">
        <v/>
      </c>
      <c r="P239" s="142" t="str">
        <v/>
      </c>
      <c r="Q239" s="142">
        <v>55</v>
      </c>
      <c r="R239" s="129" t="str">
        <v>Description – exact</v>
      </c>
      <c r="S239" s="143" t="str">
        <v/>
      </c>
      <c r="T239" s="144" t="str">
        <v>SRC-00</v>
      </c>
      <c r="U239" s="129" t="str">
        <v>S+ row 327</v>
      </c>
      <c r="V239" s="129" t="str">
        <v/>
      </c>
    </row>
    <row r="240" spans="1:22" x14ac:dyDescent="0.2">
      <c r="A240" s="144" t="str">
        <v>H5</v>
      </c>
      <c r="B240" s="145">
        <v>5</v>
      </c>
      <c r="C240" s="129" t="str">
        <v>Extraction 18, 28, 38, 48</v>
      </c>
      <c r="D240" s="129" t="str">
        <v>H5 – Head / Dental: Dental Extractions/Dental Restorations</v>
      </c>
      <c r="E240" s="129" t="str">
        <v>01 - Head</v>
      </c>
      <c r="F240" s="129" t="str">
        <v>Solutions Plus</v>
      </c>
      <c r="G240" s="144" t="str">
        <v>CON-01</v>
      </c>
      <c r="H240" s="129" t="str">
        <v>To confirm</v>
      </c>
      <c r="I240" s="144" t="str">
        <v>No</v>
      </c>
      <c r="J240" s="144" t="str">
        <v>Base</v>
      </c>
      <c r="K240" s="144" t="str">
        <v/>
      </c>
      <c r="L240" s="146">
        <v>7.2</v>
      </c>
      <c r="M240" s="142">
        <v>396.55</v>
      </c>
      <c r="N240" s="144" t="str">
        <v>Unknown</v>
      </c>
      <c r="O240" s="142" t="str">
        <v/>
      </c>
      <c r="P240" s="142" t="str">
        <v/>
      </c>
      <c r="Q240" s="142">
        <v>55.076388888888886</v>
      </c>
      <c r="R240" s="129" t="str">
        <v>Description – exact</v>
      </c>
      <c r="S240" s="143" t="str">
        <v/>
      </c>
      <c r="T240" s="144" t="str">
        <v>SRC-00</v>
      </c>
      <c r="U240" s="129" t="str">
        <v>S+ row 335</v>
      </c>
      <c r="V240" s="129" t="str">
        <v/>
      </c>
    </row>
    <row r="241" spans="1:22" x14ac:dyDescent="0.2">
      <c r="A241" s="144" t="str">
        <v>H5</v>
      </c>
      <c r="B241" s="145">
        <v>5</v>
      </c>
      <c r="C241" s="129" t="str">
        <v>Extraction 18, 28, 38, 48,</v>
      </c>
      <c r="D241" s="129" t="str">
        <v>H5 – Head / Dental: Dental Extractions/Dental Restorations</v>
      </c>
      <c r="E241" s="129" t="str">
        <v>01 - Head</v>
      </c>
      <c r="F241" s="129" t="str">
        <v>Solutions Plus</v>
      </c>
      <c r="G241" s="144" t="str">
        <v>CON-01</v>
      </c>
      <c r="H241" s="129" t="str">
        <v>To confirm</v>
      </c>
      <c r="I241" s="144" t="str">
        <v>No</v>
      </c>
      <c r="J241" s="144" t="str">
        <v>Base</v>
      </c>
      <c r="K241" s="144" t="str">
        <v/>
      </c>
      <c r="L241" s="146">
        <v>11.5</v>
      </c>
      <c r="M241" s="142">
        <v>632.5</v>
      </c>
      <c r="N241" s="144" t="str">
        <v>Unknown</v>
      </c>
      <c r="O241" s="142" t="str">
        <v/>
      </c>
      <c r="P241" s="142" t="str">
        <v/>
      </c>
      <c r="Q241" s="142">
        <v>55</v>
      </c>
      <c r="R241" s="129" t="str">
        <v>Description – exact</v>
      </c>
      <c r="S241" s="143" t="str">
        <v/>
      </c>
      <c r="T241" s="144" t="str">
        <v>SRC-00</v>
      </c>
      <c r="U241" s="129" t="str">
        <v>S+ row 336</v>
      </c>
      <c r="V241" s="129" t="str">
        <v/>
      </c>
    </row>
    <row r="242" spans="1:22" x14ac:dyDescent="0.2">
      <c r="A242" s="144" t="str">
        <v>H5</v>
      </c>
      <c r="B242" s="145">
        <v>5</v>
      </c>
      <c r="C242" s="129" t="str">
        <v>Extraction 18, 28, 38, 48, 29 + 37</v>
      </c>
      <c r="D242" s="129" t="str">
        <v>H5 – Head / Dental: Dental Extractions/Dental Restorations</v>
      </c>
      <c r="E242" s="129" t="str">
        <v>01 - Head</v>
      </c>
      <c r="F242" s="129" t="str">
        <v>Solutions Plus</v>
      </c>
      <c r="G242" s="144" t="str">
        <v>CON-01</v>
      </c>
      <c r="H242" s="129" t="str">
        <v>To confirm</v>
      </c>
      <c r="I242" s="144" t="str">
        <v>No</v>
      </c>
      <c r="J242" s="144" t="str">
        <v>Base</v>
      </c>
      <c r="K242" s="144" t="str">
        <v/>
      </c>
      <c r="L242" s="146">
        <v>0</v>
      </c>
      <c r="M242" s="142">
        <v>0</v>
      </c>
      <c r="N242" s="144" t="str">
        <v>Unknown</v>
      </c>
      <c r="O242" s="142" t="str">
        <v/>
      </c>
      <c r="P242" s="142" t="str">
        <v/>
      </c>
      <c r="Q242" s="142" t="str">
        <v/>
      </c>
      <c r="R242" s="129" t="str">
        <v>Description – exact</v>
      </c>
      <c r="S242" s="143" t="str">
        <v/>
      </c>
      <c r="T242" s="144" t="str">
        <v>SRC-00</v>
      </c>
      <c r="U242" s="129" t="str">
        <v>S+ row 337</v>
      </c>
      <c r="V242" s="129" t="str">
        <v/>
      </c>
    </row>
    <row r="243" spans="1:22" x14ac:dyDescent="0.2">
      <c r="A243" s="144" t="str">
        <v>H5</v>
      </c>
      <c r="B243" s="145">
        <v>5</v>
      </c>
      <c r="C243" s="129" t="str">
        <v>Extraction 18, 28; Accessory Extraction 38 + 48</v>
      </c>
      <c r="D243" s="129" t="str">
        <v>H5 – Head / Dental: Dental Extractions/Dental Restorations</v>
      </c>
      <c r="E243" s="129" t="str">
        <v>01 - Head</v>
      </c>
      <c r="F243" s="129" t="str">
        <v>Solutions Plus</v>
      </c>
      <c r="G243" s="144" t="str">
        <v>CON-01</v>
      </c>
      <c r="H243" s="129" t="str">
        <v>To confirm</v>
      </c>
      <c r="I243" s="144" t="str">
        <v>No</v>
      </c>
      <c r="J243" s="144" t="str">
        <v>Base</v>
      </c>
      <c r="K243" s="144" t="str">
        <v/>
      </c>
      <c r="L243" s="146">
        <v>8</v>
      </c>
      <c r="M243" s="142">
        <v>440</v>
      </c>
      <c r="N243" s="144" t="str">
        <v>Unknown</v>
      </c>
      <c r="O243" s="142" t="str">
        <v/>
      </c>
      <c r="P243" s="142" t="str">
        <v/>
      </c>
      <c r="Q243" s="142">
        <v>55</v>
      </c>
      <c r="R243" s="129" t="str">
        <v>Description – exact</v>
      </c>
      <c r="S243" s="143" t="str">
        <v/>
      </c>
      <c r="T243" s="144" t="str">
        <v>SRC-00</v>
      </c>
      <c r="U243" s="129" t="str">
        <v>S+ row 338</v>
      </c>
      <c r="V243" s="129" t="str">
        <v/>
      </c>
    </row>
    <row r="244" spans="1:22" x14ac:dyDescent="0.2">
      <c r="A244" s="144" t="str">
        <v>H5</v>
      </c>
      <c r="B244" s="145">
        <v>5</v>
      </c>
      <c r="C244" s="129" t="str">
        <v>Extraction 4 X Wisdom Teeth</v>
      </c>
      <c r="D244" s="129" t="str">
        <v>H5 – Head / Dental: Dental Extractions/Dental Restorations</v>
      </c>
      <c r="E244" s="129" t="str">
        <v>01 - Head</v>
      </c>
      <c r="F244" s="129" t="str">
        <v>Solutions Plus</v>
      </c>
      <c r="G244" s="144" t="str">
        <v>CON-01</v>
      </c>
      <c r="H244" s="129" t="str">
        <v>To confirm</v>
      </c>
      <c r="I244" s="144" t="str">
        <v>No</v>
      </c>
      <c r="J244" s="144" t="str">
        <v>Base</v>
      </c>
      <c r="K244" s="144" t="str">
        <v/>
      </c>
      <c r="L244" s="146">
        <v>0</v>
      </c>
      <c r="M244" s="142">
        <v>0</v>
      </c>
      <c r="N244" s="144" t="str">
        <v>Unknown</v>
      </c>
      <c r="O244" s="142" t="str">
        <v/>
      </c>
      <c r="P244" s="142" t="str">
        <v/>
      </c>
      <c r="Q244" s="142" t="str">
        <v/>
      </c>
      <c r="R244" s="129" t="str">
        <v>Description – exact</v>
      </c>
      <c r="S244" s="143" t="str">
        <v/>
      </c>
      <c r="T244" s="144" t="str">
        <v>SRC-00</v>
      </c>
      <c r="U244" s="129" t="str">
        <v>S+ row 339</v>
      </c>
      <c r="V244" s="129" t="str">
        <v/>
      </c>
    </row>
    <row r="245" spans="1:22" x14ac:dyDescent="0.2">
      <c r="A245" s="144" t="str">
        <v>H5</v>
      </c>
      <c r="B245" s="145">
        <v>5</v>
      </c>
      <c r="C245" s="129" t="str">
        <v>Extraction Of 18, 28, 38</v>
      </c>
      <c r="D245" s="129" t="str">
        <v>H5 – Head / Dental: Dental Extractions/Dental Restorations</v>
      </c>
      <c r="E245" s="129" t="str">
        <v>01 - Head</v>
      </c>
      <c r="F245" s="129" t="str">
        <v>Solutions Plus</v>
      </c>
      <c r="G245" s="144" t="str">
        <v>CON-01</v>
      </c>
      <c r="H245" s="129" t="str">
        <v>To confirm</v>
      </c>
      <c r="I245" s="144" t="str">
        <v>No</v>
      </c>
      <c r="J245" s="144" t="str">
        <v>Base</v>
      </c>
      <c r="K245" s="144" t="str">
        <v/>
      </c>
      <c r="L245" s="146">
        <v>4.2</v>
      </c>
      <c r="M245" s="142">
        <v>232.1</v>
      </c>
      <c r="N245" s="144" t="str">
        <v>Unknown</v>
      </c>
      <c r="O245" s="142" t="str">
        <v/>
      </c>
      <c r="P245" s="142" t="str">
        <v/>
      </c>
      <c r="Q245" s="142">
        <v>55.261904761904759</v>
      </c>
      <c r="R245" s="129" t="str">
        <v>Description – exact</v>
      </c>
      <c r="S245" s="143" t="str">
        <v/>
      </c>
      <c r="T245" s="144" t="str">
        <v>SRC-00</v>
      </c>
      <c r="U245" s="129" t="str">
        <v>S+ row 340</v>
      </c>
      <c r="V245" s="129" t="str">
        <v/>
      </c>
    </row>
    <row r="246" spans="1:22" x14ac:dyDescent="0.2">
      <c r="A246" s="144" t="str">
        <v>H5</v>
      </c>
      <c r="B246" s="145">
        <v>5</v>
      </c>
      <c r="C246" s="129" t="str">
        <v>Extraction Of 18, 28, 38, 48</v>
      </c>
      <c r="D246" s="129" t="str">
        <v>H5 – Head / Dental: Dental Extractions/Dental Restorations</v>
      </c>
      <c r="E246" s="129" t="str">
        <v>01 - Head</v>
      </c>
      <c r="F246" s="129" t="str">
        <v>Solutions Plus</v>
      </c>
      <c r="G246" s="144" t="str">
        <v>CON-01</v>
      </c>
      <c r="H246" s="129" t="str">
        <v>To confirm</v>
      </c>
      <c r="I246" s="144" t="str">
        <v>No</v>
      </c>
      <c r="J246" s="144" t="str">
        <v>Base</v>
      </c>
      <c r="K246" s="144" t="str">
        <v/>
      </c>
      <c r="L246" s="146">
        <v>7.3</v>
      </c>
      <c r="M246" s="142">
        <v>402.05</v>
      </c>
      <c r="N246" s="144" t="str">
        <v>Unknown</v>
      </c>
      <c r="O246" s="142" t="str">
        <v/>
      </c>
      <c r="P246" s="142" t="str">
        <v/>
      </c>
      <c r="Q246" s="142">
        <v>55.07534246575343</v>
      </c>
      <c r="R246" s="129" t="str">
        <v>Description – exact</v>
      </c>
      <c r="S246" s="143" t="str">
        <v/>
      </c>
      <c r="T246" s="144" t="str">
        <v>SRC-00</v>
      </c>
      <c r="U246" s="129" t="str">
        <v>S+ row 341</v>
      </c>
      <c r="V246" s="129" t="str">
        <v/>
      </c>
    </row>
    <row r="247" spans="1:22" x14ac:dyDescent="0.2">
      <c r="A247" s="144" t="str">
        <v>H5</v>
      </c>
      <c r="B247" s="145">
        <v>5</v>
      </c>
      <c r="C247" s="129" t="str">
        <v>Extraction Of 18, 28, 48</v>
      </c>
      <c r="D247" s="129" t="str">
        <v>H5 – Head / Dental: Dental Extractions/Dental Restorations</v>
      </c>
      <c r="E247" s="129" t="str">
        <v>01 - Head</v>
      </c>
      <c r="F247" s="129" t="str">
        <v>Solutions Plus</v>
      </c>
      <c r="G247" s="144" t="str">
        <v>CON-01</v>
      </c>
      <c r="H247" s="129" t="str">
        <v>To confirm</v>
      </c>
      <c r="I247" s="144" t="str">
        <v>No</v>
      </c>
      <c r="J247" s="144" t="str">
        <v>Base</v>
      </c>
      <c r="K247" s="144" t="str">
        <v/>
      </c>
      <c r="L247" s="146">
        <v>8.5</v>
      </c>
      <c r="M247" s="142">
        <v>467.5</v>
      </c>
      <c r="N247" s="144" t="str">
        <v>Unknown</v>
      </c>
      <c r="O247" s="142" t="str">
        <v/>
      </c>
      <c r="P247" s="142" t="str">
        <v/>
      </c>
      <c r="Q247" s="142">
        <v>55</v>
      </c>
      <c r="R247" s="129" t="str">
        <v>Description – exact</v>
      </c>
      <c r="S247" s="143" t="str">
        <v/>
      </c>
      <c r="T247" s="144" t="str">
        <v>SRC-00</v>
      </c>
      <c r="U247" s="129" t="str">
        <v>S+ row 342</v>
      </c>
      <c r="V247" s="129" t="str">
        <v/>
      </c>
    </row>
    <row r="248" spans="1:22" x14ac:dyDescent="0.2">
      <c r="A248" s="144" t="str">
        <v>H5</v>
      </c>
      <c r="B248" s="145">
        <v>5</v>
      </c>
      <c r="C248" s="129" t="str">
        <v>Extraction Of 18, 38, 48</v>
      </c>
      <c r="D248" s="129" t="str">
        <v>H5 – Head / Dental: Dental Extractions/Dental Restorations</v>
      </c>
      <c r="E248" s="129" t="str">
        <v>01 - Head</v>
      </c>
      <c r="F248" s="129" t="str">
        <v>Solutions Plus</v>
      </c>
      <c r="G248" s="144" t="str">
        <v>CON-01</v>
      </c>
      <c r="H248" s="129" t="str">
        <v>To confirm</v>
      </c>
      <c r="I248" s="144" t="str">
        <v>No</v>
      </c>
      <c r="J248" s="144" t="str">
        <v>Base</v>
      </c>
      <c r="K248" s="144" t="str">
        <v/>
      </c>
      <c r="L248" s="146">
        <v>8.1999999999999993</v>
      </c>
      <c r="M248" s="142">
        <v>453.2</v>
      </c>
      <c r="N248" s="144" t="str">
        <v>Unknown</v>
      </c>
      <c r="O248" s="142" t="str">
        <v/>
      </c>
      <c r="P248" s="142" t="str">
        <v/>
      </c>
      <c r="Q248" s="142">
        <v>55.268292682926834</v>
      </c>
      <c r="R248" s="129" t="str">
        <v>Description – exact</v>
      </c>
      <c r="S248" s="143" t="str">
        <v/>
      </c>
      <c r="T248" s="144" t="str">
        <v>SRC-00</v>
      </c>
      <c r="U248" s="129" t="str">
        <v>S+ row 343</v>
      </c>
      <c r="V248" s="129" t="str">
        <v/>
      </c>
    </row>
    <row r="249" spans="1:22" x14ac:dyDescent="0.2">
      <c r="A249" s="144" t="str">
        <v>H5</v>
      </c>
      <c r="B249" s="145">
        <v>5</v>
      </c>
      <c r="C249" s="129" t="str">
        <v>Extraction Of 18, 48</v>
      </c>
      <c r="D249" s="129" t="str">
        <v>H5 – Head / Dental: Dental Extractions/Dental Restorations</v>
      </c>
      <c r="E249" s="129" t="str">
        <v>01 - Head</v>
      </c>
      <c r="F249" s="129" t="str">
        <v>Solutions Plus</v>
      </c>
      <c r="G249" s="144" t="str">
        <v>CON-01</v>
      </c>
      <c r="H249" s="129" t="str">
        <v>To confirm</v>
      </c>
      <c r="I249" s="144" t="str">
        <v>No</v>
      </c>
      <c r="J249" s="144" t="str">
        <v>Base</v>
      </c>
      <c r="K249" s="144" t="str">
        <v/>
      </c>
      <c r="L249" s="146">
        <v>7.5</v>
      </c>
      <c r="M249" s="142">
        <v>412.5</v>
      </c>
      <c r="N249" s="144" t="str">
        <v>Unknown</v>
      </c>
      <c r="O249" s="142" t="str">
        <v/>
      </c>
      <c r="P249" s="142" t="str">
        <v/>
      </c>
      <c r="Q249" s="142">
        <v>55</v>
      </c>
      <c r="R249" s="129" t="str">
        <v>Description – exact</v>
      </c>
      <c r="S249" s="143" t="str">
        <v/>
      </c>
      <c r="T249" s="144" t="str">
        <v>SRC-00</v>
      </c>
      <c r="U249" s="129" t="str">
        <v>S+ row 344</v>
      </c>
      <c r="V249" s="129" t="str">
        <v/>
      </c>
    </row>
    <row r="250" spans="1:22" x14ac:dyDescent="0.2">
      <c r="A250" s="144" t="str">
        <v>H5</v>
      </c>
      <c r="B250" s="145">
        <v>5</v>
      </c>
      <c r="C250" s="129" t="str">
        <v>Extraction Of 28, 38, 48</v>
      </c>
      <c r="D250" s="129" t="str">
        <v>H5 – Head / Dental: Dental Extractions/Dental Restorations</v>
      </c>
      <c r="E250" s="129" t="str">
        <v>01 - Head</v>
      </c>
      <c r="F250" s="129" t="str">
        <v>Solutions Plus</v>
      </c>
      <c r="G250" s="144" t="str">
        <v>CON-01</v>
      </c>
      <c r="H250" s="129" t="str">
        <v>To confirm</v>
      </c>
      <c r="I250" s="144" t="str">
        <v>No</v>
      </c>
      <c r="J250" s="144" t="str">
        <v>Base</v>
      </c>
      <c r="K250" s="144" t="str">
        <v/>
      </c>
      <c r="L250" s="146">
        <v>6.4</v>
      </c>
      <c r="M250" s="142">
        <v>352</v>
      </c>
      <c r="N250" s="144" t="str">
        <v>Unknown</v>
      </c>
      <c r="O250" s="142" t="str">
        <v/>
      </c>
      <c r="P250" s="142" t="str">
        <v/>
      </c>
      <c r="Q250" s="142">
        <v>55</v>
      </c>
      <c r="R250" s="129" t="str">
        <v>Description – exact</v>
      </c>
      <c r="S250" s="143" t="str">
        <v/>
      </c>
      <c r="T250" s="144" t="str">
        <v>SRC-00</v>
      </c>
      <c r="U250" s="129" t="str">
        <v>S+ row 345</v>
      </c>
      <c r="V250" s="129" t="str">
        <v/>
      </c>
    </row>
    <row r="251" spans="1:22" x14ac:dyDescent="0.2">
      <c r="A251" s="144" t="str">
        <v>H5</v>
      </c>
      <c r="B251" s="145">
        <v>5</v>
      </c>
      <c r="C251" s="129" t="str">
        <v>Extraction Of 47</v>
      </c>
      <c r="D251" s="129" t="str">
        <v>H5 – Head / Dental: Dental Extractions/Dental Restorations</v>
      </c>
      <c r="E251" s="129" t="str">
        <v>01 - Head</v>
      </c>
      <c r="F251" s="129" t="str">
        <v>Solutions Plus</v>
      </c>
      <c r="G251" s="144" t="str">
        <v>CON-01</v>
      </c>
      <c r="H251" s="129" t="str">
        <v>To confirm</v>
      </c>
      <c r="I251" s="144" t="str">
        <v>No</v>
      </c>
      <c r="J251" s="144" t="str">
        <v>Base</v>
      </c>
      <c r="K251" s="144" t="str">
        <v/>
      </c>
      <c r="L251" s="146">
        <v>1</v>
      </c>
      <c r="M251" s="142">
        <v>55</v>
      </c>
      <c r="N251" s="144" t="str">
        <v>Unknown</v>
      </c>
      <c r="O251" s="142" t="str">
        <v/>
      </c>
      <c r="P251" s="142" t="str">
        <v/>
      </c>
      <c r="Q251" s="142">
        <v>55</v>
      </c>
      <c r="R251" s="129" t="str">
        <v>Description – exact</v>
      </c>
      <c r="S251" s="143" t="str">
        <v/>
      </c>
      <c r="T251" s="144" t="str">
        <v>SRC-00</v>
      </c>
      <c r="U251" s="129" t="str">
        <v>S+ row 346</v>
      </c>
      <c r="V251" s="129" t="str">
        <v/>
      </c>
    </row>
    <row r="252" spans="1:22" x14ac:dyDescent="0.2">
      <c r="A252" s="144" t="str">
        <v>H5</v>
      </c>
      <c r="B252" s="145">
        <v>5</v>
      </c>
      <c r="C252" s="129" t="str">
        <v>Extraction Of 48</v>
      </c>
      <c r="D252" s="129" t="str">
        <v>H5 – Head / Dental: Dental Extractions/Dental Restorations</v>
      </c>
      <c r="E252" s="129" t="str">
        <v>01 - Head</v>
      </c>
      <c r="F252" s="129" t="str">
        <v>Solutions Plus</v>
      </c>
      <c r="G252" s="144" t="str">
        <v>CON-01</v>
      </c>
      <c r="H252" s="129" t="str">
        <v>To confirm</v>
      </c>
      <c r="I252" s="144" t="str">
        <v>No</v>
      </c>
      <c r="J252" s="144" t="str">
        <v>Base</v>
      </c>
      <c r="K252" s="144" t="str">
        <v/>
      </c>
      <c r="L252" s="146">
        <v>8.1999999999999993</v>
      </c>
      <c r="M252" s="142">
        <v>448.8</v>
      </c>
      <c r="N252" s="144" t="str">
        <v>Unknown</v>
      </c>
      <c r="O252" s="142" t="str">
        <v/>
      </c>
      <c r="P252" s="142" t="str">
        <v/>
      </c>
      <c r="Q252" s="142">
        <v>54.73170731707318</v>
      </c>
      <c r="R252" s="129" t="str">
        <v>Description – exact</v>
      </c>
      <c r="S252" s="143" t="str">
        <v/>
      </c>
      <c r="T252" s="144" t="str">
        <v>SRC-00</v>
      </c>
      <c r="U252" s="129" t="str">
        <v>S+ row 347</v>
      </c>
      <c r="V252" s="129" t="str">
        <v/>
      </c>
    </row>
    <row r="253" spans="1:22" x14ac:dyDescent="0.2">
      <c r="A253" s="144" t="str">
        <v>H5</v>
      </c>
      <c r="B253" s="145">
        <v>5</v>
      </c>
      <c r="C253" s="129" t="str">
        <v>Extraction Of Impacted 38 48</v>
      </c>
      <c r="D253" s="129" t="str">
        <v>H5 – Head / Dental: Dental Extractions/Dental Restorations</v>
      </c>
      <c r="E253" s="129" t="str">
        <v>01 - Head</v>
      </c>
      <c r="F253" s="129" t="str">
        <v>Solutions Plus</v>
      </c>
      <c r="G253" s="144" t="str">
        <v>CON-01</v>
      </c>
      <c r="H253" s="129" t="str">
        <v>To confirm</v>
      </c>
      <c r="I253" s="144" t="str">
        <v>No</v>
      </c>
      <c r="J253" s="144" t="str">
        <v>Base</v>
      </c>
      <c r="K253" s="144" t="str">
        <v/>
      </c>
      <c r="L253" s="146">
        <v>11</v>
      </c>
      <c r="M253" s="142">
        <v>605</v>
      </c>
      <c r="N253" s="144" t="str">
        <v>Unknown</v>
      </c>
      <c r="O253" s="142" t="str">
        <v/>
      </c>
      <c r="P253" s="142" t="str">
        <v/>
      </c>
      <c r="Q253" s="142">
        <v>55</v>
      </c>
      <c r="R253" s="129" t="str">
        <v>Description – exact</v>
      </c>
      <c r="S253" s="143" t="str">
        <v/>
      </c>
      <c r="T253" s="144" t="str">
        <v>SRC-00</v>
      </c>
      <c r="U253" s="129" t="str">
        <v>S+ row 348</v>
      </c>
      <c r="V253" s="129" t="str">
        <v/>
      </c>
    </row>
    <row r="254" spans="1:22" x14ac:dyDescent="0.2">
      <c r="A254" s="144" t="str">
        <v>H5</v>
      </c>
      <c r="B254" s="145">
        <v>5</v>
      </c>
      <c r="C254" s="129" t="str">
        <v>Extraction Of Teeth 18, 28, 38,48</v>
      </c>
      <c r="D254" s="129" t="str">
        <v>H5 – Head / Dental: Dental Extractions/Dental Restorations</v>
      </c>
      <c r="E254" s="129" t="str">
        <v>01 - Head</v>
      </c>
      <c r="F254" s="129" t="str">
        <v>Solutions Plus</v>
      </c>
      <c r="G254" s="144" t="str">
        <v>CON-01</v>
      </c>
      <c r="H254" s="129" t="str">
        <v>To confirm</v>
      </c>
      <c r="I254" s="144" t="str">
        <v>No</v>
      </c>
      <c r="J254" s="144" t="str">
        <v>Base</v>
      </c>
      <c r="K254" s="144" t="str">
        <v/>
      </c>
      <c r="L254" s="146">
        <v>5.4</v>
      </c>
      <c r="M254" s="142">
        <v>298.10000000000002</v>
      </c>
      <c r="N254" s="144" t="str">
        <v>Unknown</v>
      </c>
      <c r="O254" s="142" t="str">
        <v/>
      </c>
      <c r="P254" s="142" t="str">
        <v/>
      </c>
      <c r="Q254" s="142">
        <v>55.203703703703702</v>
      </c>
      <c r="R254" s="129" t="str">
        <v>Description – exact</v>
      </c>
      <c r="S254" s="143" t="str">
        <v/>
      </c>
      <c r="T254" s="144" t="str">
        <v>SRC-00</v>
      </c>
      <c r="U254" s="129" t="str">
        <v>S+ row 349</v>
      </c>
      <c r="V254" s="129" t="str">
        <v/>
      </c>
    </row>
    <row r="255" spans="1:22" x14ac:dyDescent="0.2">
      <c r="A255" s="144" t="str">
        <v>H5</v>
      </c>
      <c r="B255" s="145">
        <v>5</v>
      </c>
      <c r="C255" s="129" t="str">
        <v>Extraction Of Teeth 38,48</v>
      </c>
      <c r="D255" s="129" t="str">
        <v>H5 – Head / Dental: Dental Extractions/Dental Restorations</v>
      </c>
      <c r="E255" s="129" t="str">
        <v>01 - Head</v>
      </c>
      <c r="F255" s="129" t="str">
        <v>Solutions Plus</v>
      </c>
      <c r="G255" s="144" t="str">
        <v>CON-01</v>
      </c>
      <c r="H255" s="129" t="str">
        <v>To confirm</v>
      </c>
      <c r="I255" s="144" t="str">
        <v>No</v>
      </c>
      <c r="J255" s="144" t="str">
        <v>Base</v>
      </c>
      <c r="K255" s="144" t="str">
        <v/>
      </c>
      <c r="L255" s="146">
        <v>8.5</v>
      </c>
      <c r="M255" s="142">
        <v>466.95</v>
      </c>
      <c r="N255" s="144" t="str">
        <v>Unknown</v>
      </c>
      <c r="O255" s="142" t="str">
        <v/>
      </c>
      <c r="P255" s="142" t="str">
        <v/>
      </c>
      <c r="Q255" s="142">
        <v>54.935294117647061</v>
      </c>
      <c r="R255" s="129" t="str">
        <v>Description – exact</v>
      </c>
      <c r="S255" s="143" t="str">
        <v/>
      </c>
      <c r="T255" s="144" t="str">
        <v>SRC-00</v>
      </c>
      <c r="U255" s="129" t="str">
        <v>S+ row 350</v>
      </c>
      <c r="V255" s="129" t="str">
        <v/>
      </c>
    </row>
    <row r="256" spans="1:22" x14ac:dyDescent="0.2">
      <c r="A256" s="144" t="str">
        <v>H5</v>
      </c>
      <c r="B256" s="145">
        <v>5</v>
      </c>
      <c r="C256" s="129" t="str">
        <v>Extraction Teeth Of 18, 28</v>
      </c>
      <c r="D256" s="129" t="str">
        <v>H5 – Head / Dental: Dental Extractions/Dental Restorations</v>
      </c>
      <c r="E256" s="129" t="str">
        <v>01 - Head</v>
      </c>
      <c r="F256" s="129" t="str">
        <v>Solutions Plus</v>
      </c>
      <c r="G256" s="144" t="str">
        <v>CON-01</v>
      </c>
      <c r="H256" s="129" t="str">
        <v>To confirm</v>
      </c>
      <c r="I256" s="144" t="str">
        <v>No</v>
      </c>
      <c r="J256" s="144" t="str">
        <v>Base</v>
      </c>
      <c r="K256" s="144" t="str">
        <v/>
      </c>
      <c r="L256" s="146">
        <v>1</v>
      </c>
      <c r="M256" s="142">
        <v>55</v>
      </c>
      <c r="N256" s="144" t="str">
        <v>Unknown</v>
      </c>
      <c r="O256" s="142" t="str">
        <v/>
      </c>
      <c r="P256" s="142" t="str">
        <v/>
      </c>
      <c r="Q256" s="142">
        <v>55</v>
      </c>
      <c r="R256" s="129" t="str">
        <v>Description – exact</v>
      </c>
      <c r="S256" s="143" t="str">
        <v/>
      </c>
      <c r="T256" s="144" t="str">
        <v>SRC-00</v>
      </c>
      <c r="U256" s="129" t="str">
        <v>S+ row 352</v>
      </c>
      <c r="V256" s="129" t="str">
        <v/>
      </c>
    </row>
    <row r="257" spans="1:22" x14ac:dyDescent="0.2">
      <c r="A257" s="144" t="str">
        <v>H5</v>
      </c>
      <c r="B257" s="145">
        <v>5</v>
      </c>
      <c r="C257" s="129" t="str">
        <v>Extraction Teeth Of 38, 48</v>
      </c>
      <c r="D257" s="129" t="str">
        <v>H5 – Head / Dental: Dental Extractions/Dental Restorations</v>
      </c>
      <c r="E257" s="129" t="str">
        <v>01 - Head</v>
      </c>
      <c r="F257" s="129" t="str">
        <v>Solutions Plus</v>
      </c>
      <c r="G257" s="144" t="str">
        <v>CON-01</v>
      </c>
      <c r="H257" s="129" t="str">
        <v>To confirm</v>
      </c>
      <c r="I257" s="144" t="str">
        <v>No</v>
      </c>
      <c r="J257" s="144" t="str">
        <v>Base</v>
      </c>
      <c r="K257" s="144" t="str">
        <v/>
      </c>
      <c r="L257" s="146">
        <v>8</v>
      </c>
      <c r="M257" s="142">
        <v>440</v>
      </c>
      <c r="N257" s="144" t="str">
        <v>Unknown</v>
      </c>
      <c r="O257" s="142" t="str">
        <v/>
      </c>
      <c r="P257" s="142" t="str">
        <v/>
      </c>
      <c r="Q257" s="142">
        <v>55</v>
      </c>
      <c r="R257" s="129" t="str">
        <v>Description – exact</v>
      </c>
      <c r="S257" s="143" t="str">
        <v/>
      </c>
      <c r="T257" s="144" t="str">
        <v>SRC-00</v>
      </c>
      <c r="U257" s="129" t="str">
        <v>S+ row 351</v>
      </c>
      <c r="V257" s="129" t="str">
        <v/>
      </c>
    </row>
    <row r="258" spans="1:22" x14ac:dyDescent="0.2">
      <c r="A258" s="144" t="str">
        <v>H5</v>
      </c>
      <c r="B258" s="145">
        <v>5</v>
      </c>
      <c r="C258" s="129" t="str">
        <v>Extraction Wisdom Teeth</v>
      </c>
      <c r="D258" s="129" t="str">
        <v>H5 – Head / Dental: Dental Extractions/Dental Restorations</v>
      </c>
      <c r="E258" s="129" t="str">
        <v>01 - Head</v>
      </c>
      <c r="F258" s="129" t="str">
        <v>Solutions Plus</v>
      </c>
      <c r="G258" s="144" t="str">
        <v>CON-01</v>
      </c>
      <c r="H258" s="129" t="str">
        <v>To confirm</v>
      </c>
      <c r="I258" s="144" t="str">
        <v>No</v>
      </c>
      <c r="J258" s="144" t="str">
        <v>Base</v>
      </c>
      <c r="K258" s="144" t="str">
        <v/>
      </c>
      <c r="L258" s="146">
        <v>9.1999999999999993</v>
      </c>
      <c r="M258" s="142">
        <v>507.1</v>
      </c>
      <c r="N258" s="144" t="str">
        <v>Unknown</v>
      </c>
      <c r="O258" s="142" t="str">
        <v/>
      </c>
      <c r="P258" s="142" t="str">
        <v/>
      </c>
      <c r="Q258" s="142">
        <v>55.119565217391312</v>
      </c>
      <c r="R258" s="129" t="str">
        <v>Description – exact</v>
      </c>
      <c r="S258" s="143" t="str">
        <v/>
      </c>
      <c r="T258" s="144" t="str">
        <v>SRC-00</v>
      </c>
      <c r="U258" s="129" t="str">
        <v>S+ row 353</v>
      </c>
      <c r="V258" s="129" t="str">
        <v/>
      </c>
    </row>
    <row r="259" spans="1:22" x14ac:dyDescent="0.2">
      <c r="A259" s="144" t="str">
        <v>H5</v>
      </c>
      <c r="B259" s="145">
        <v>5</v>
      </c>
      <c r="C259" s="129" t="str">
        <v>Full Dental Treatment</v>
      </c>
      <c r="D259" s="129" t="str">
        <v>H5 – Head / Dental: Dental Extractions/Dental Restorations</v>
      </c>
      <c r="E259" s="129" t="str">
        <v>01 - Head</v>
      </c>
      <c r="F259" s="129" t="str">
        <v>Solutions Plus</v>
      </c>
      <c r="G259" s="144" t="str">
        <v>CON-01</v>
      </c>
      <c r="H259" s="129" t="str">
        <v>To confirm</v>
      </c>
      <c r="I259" s="144" t="str">
        <v>No</v>
      </c>
      <c r="J259" s="144" t="str">
        <v>Base</v>
      </c>
      <c r="K259" s="144" t="str">
        <v/>
      </c>
      <c r="L259" s="146">
        <v>9</v>
      </c>
      <c r="M259" s="142">
        <v>493.9</v>
      </c>
      <c r="N259" s="144" t="str">
        <v>Unknown</v>
      </c>
      <c r="O259" s="142" t="str">
        <v/>
      </c>
      <c r="P259" s="142" t="str">
        <v/>
      </c>
      <c r="Q259" s="142">
        <v>54.877777777777773</v>
      </c>
      <c r="R259" s="129" t="str">
        <v>Description – exact</v>
      </c>
      <c r="S259" s="143" t="str">
        <v/>
      </c>
      <c r="T259" s="144" t="str">
        <v>SRC-00</v>
      </c>
      <c r="U259" s="129" t="str">
        <v>S+ row 377</v>
      </c>
      <c r="V259" s="129" t="str">
        <v/>
      </c>
    </row>
    <row r="260" spans="1:22" x14ac:dyDescent="0.2">
      <c r="A260" s="144" t="str">
        <v>H5</v>
      </c>
      <c r="B260" s="145">
        <v>5</v>
      </c>
      <c r="C260" s="129" t="str">
        <v>Left Closure Of OAC At 27, Removal Of 21, Removal</v>
      </c>
      <c r="D260" s="129" t="str">
        <v>H5 – Head / Dental: Dental Extractions/Dental Restorations</v>
      </c>
      <c r="E260" s="129" t="str">
        <v>01 - Head</v>
      </c>
      <c r="F260" s="129" t="str">
        <v>Solutions Plus</v>
      </c>
      <c r="G260" s="144" t="str">
        <v>CON-01</v>
      </c>
      <c r="H260" s="129" t="str">
        <v>To confirm</v>
      </c>
      <c r="I260" s="144" t="str">
        <v>No</v>
      </c>
      <c r="J260" s="144" t="str">
        <v>Base</v>
      </c>
      <c r="K260" s="144" t="str">
        <v/>
      </c>
      <c r="L260" s="146">
        <v>8</v>
      </c>
      <c r="M260" s="142">
        <v>440</v>
      </c>
      <c r="N260" s="144" t="str">
        <v>Unknown</v>
      </c>
      <c r="O260" s="142" t="str">
        <v/>
      </c>
      <c r="P260" s="142" t="str">
        <v/>
      </c>
      <c r="Q260" s="142">
        <v>55</v>
      </c>
      <c r="R260" s="129" t="str">
        <v>Description – exact</v>
      </c>
      <c r="S260" s="143" t="str">
        <v/>
      </c>
      <c r="T260" s="144" t="str">
        <v>SRC-00</v>
      </c>
      <c r="U260" s="129" t="str">
        <v>S+ row 549</v>
      </c>
      <c r="V260" s="129" t="str">
        <v/>
      </c>
    </row>
    <row r="261" spans="1:22" x14ac:dyDescent="0.2">
      <c r="A261" s="144" t="str">
        <v>H5</v>
      </c>
      <c r="B261" s="145">
        <v>5</v>
      </c>
      <c r="C261" s="129" t="str">
        <v>Over-erupted 28</v>
      </c>
      <c r="D261" s="129" t="str">
        <v>H5 – Head / Dental: Dental Extractions/Dental Restorations</v>
      </c>
      <c r="E261" s="129" t="str">
        <v>01 - Head</v>
      </c>
      <c r="F261" s="129" t="str">
        <v>Solutions Plus</v>
      </c>
      <c r="G261" s="144" t="str">
        <v>CON-01</v>
      </c>
      <c r="H261" s="129" t="str">
        <v>To confirm</v>
      </c>
      <c r="I261" s="144" t="str">
        <v>No</v>
      </c>
      <c r="J261" s="144" t="str">
        <v>Base</v>
      </c>
      <c r="K261" s="144" t="str">
        <v/>
      </c>
      <c r="L261" s="146">
        <v>1</v>
      </c>
      <c r="M261" s="142">
        <v>55</v>
      </c>
      <c r="N261" s="144" t="str">
        <v>Unknown</v>
      </c>
      <c r="O261" s="142" t="str">
        <v/>
      </c>
      <c r="P261" s="142" t="str">
        <v/>
      </c>
      <c r="Q261" s="142">
        <v>55</v>
      </c>
      <c r="R261" s="129" t="str">
        <v>Description – exact</v>
      </c>
      <c r="S261" s="143" t="str">
        <v/>
      </c>
      <c r="T261" s="144" t="str">
        <v>SRC-00</v>
      </c>
      <c r="U261" s="129" t="str">
        <v>S+ row 688</v>
      </c>
      <c r="V261" s="129" t="str">
        <v/>
      </c>
    </row>
    <row r="262" spans="1:22" x14ac:dyDescent="0.2">
      <c r="A262" s="144" t="str">
        <v>H5</v>
      </c>
      <c r="B262" s="145">
        <v>5</v>
      </c>
      <c r="C262" s="129" t="str">
        <v>Removal Of 18, 28, 38, 48</v>
      </c>
      <c r="D262" s="129" t="str">
        <v>H5 – Head / Dental: Dental Extractions/Dental Restorations</v>
      </c>
      <c r="E262" s="129" t="str">
        <v>01 - Head</v>
      </c>
      <c r="F262" s="129" t="str">
        <v>Solutions Plus</v>
      </c>
      <c r="G262" s="144" t="str">
        <v>CON-01</v>
      </c>
      <c r="H262" s="129" t="str">
        <v>To confirm</v>
      </c>
      <c r="I262" s="144" t="str">
        <v>No</v>
      </c>
      <c r="J262" s="144" t="str">
        <v>Base</v>
      </c>
      <c r="K262" s="144" t="str">
        <v/>
      </c>
      <c r="L262" s="146">
        <v>9.8000000000000007</v>
      </c>
      <c r="M262" s="142">
        <v>538.45000000000005</v>
      </c>
      <c r="N262" s="144" t="str">
        <v>Unknown</v>
      </c>
      <c r="O262" s="142" t="str">
        <v/>
      </c>
      <c r="P262" s="142" t="str">
        <v/>
      </c>
      <c r="Q262" s="142">
        <v>54.943877551020407</v>
      </c>
      <c r="R262" s="129" t="str">
        <v>Description – exact</v>
      </c>
      <c r="S262" s="143" t="str">
        <v/>
      </c>
      <c r="T262" s="144" t="str">
        <v>SRC-00</v>
      </c>
      <c r="U262" s="129" t="str">
        <v>S+ row 718</v>
      </c>
      <c r="V262" s="129" t="str">
        <v/>
      </c>
    </row>
    <row r="263" spans="1:22" x14ac:dyDescent="0.2">
      <c r="A263" s="144" t="str">
        <v>H5</v>
      </c>
      <c r="B263" s="145">
        <v>5</v>
      </c>
      <c r="C263" s="129" t="str">
        <v>Removal Of 28 38 48</v>
      </c>
      <c r="D263" s="129" t="str">
        <v>H5 – Head / Dental: Dental Extractions/Dental Restorations</v>
      </c>
      <c r="E263" s="129" t="str">
        <v>01 - Head</v>
      </c>
      <c r="F263" s="129" t="str">
        <v>Solutions Plus</v>
      </c>
      <c r="G263" s="144" t="str">
        <v>CON-01</v>
      </c>
      <c r="H263" s="129" t="str">
        <v>To confirm</v>
      </c>
      <c r="I263" s="144" t="str">
        <v>No</v>
      </c>
      <c r="J263" s="144" t="str">
        <v>Base</v>
      </c>
      <c r="K263" s="144" t="str">
        <v/>
      </c>
      <c r="L263" s="146">
        <v>8</v>
      </c>
      <c r="M263" s="142">
        <v>439.45</v>
      </c>
      <c r="N263" s="144" t="str">
        <v>Unknown</v>
      </c>
      <c r="O263" s="142" t="str">
        <v/>
      </c>
      <c r="P263" s="142" t="str">
        <v/>
      </c>
      <c r="Q263" s="142">
        <v>54.931249999999999</v>
      </c>
      <c r="R263" s="129" t="str">
        <v>Description – exact</v>
      </c>
      <c r="S263" s="143" t="str">
        <v/>
      </c>
      <c r="T263" s="144" t="str">
        <v>SRC-00</v>
      </c>
      <c r="U263" s="129" t="str">
        <v>S+ row 719</v>
      </c>
      <c r="V263" s="129" t="str">
        <v/>
      </c>
    </row>
    <row r="264" spans="1:22" x14ac:dyDescent="0.2">
      <c r="A264" s="144" t="str">
        <v>H5</v>
      </c>
      <c r="B264" s="145">
        <v>5</v>
      </c>
      <c r="C264" s="129" t="str">
        <v>Removal Of 38, 48</v>
      </c>
      <c r="D264" s="129" t="str">
        <v>H5 – Head / Dental: Dental Extractions/Dental Restorations</v>
      </c>
      <c r="E264" s="129" t="str">
        <v>01 - Head</v>
      </c>
      <c r="F264" s="129" t="str">
        <v>Solutions Plus</v>
      </c>
      <c r="G264" s="144" t="str">
        <v>CON-01</v>
      </c>
      <c r="H264" s="129" t="str">
        <v>To confirm</v>
      </c>
      <c r="I264" s="144" t="str">
        <v>No</v>
      </c>
      <c r="J264" s="144" t="str">
        <v>Base</v>
      </c>
      <c r="K264" s="144" t="str">
        <v/>
      </c>
      <c r="L264" s="146">
        <v>9.6</v>
      </c>
      <c r="M264" s="142">
        <v>525.25</v>
      </c>
      <c r="N264" s="144" t="str">
        <v>Unknown</v>
      </c>
      <c r="O264" s="142" t="str">
        <v/>
      </c>
      <c r="P264" s="142" t="str">
        <v/>
      </c>
      <c r="Q264" s="142">
        <v>54.713541666666671</v>
      </c>
      <c r="R264" s="129" t="str">
        <v>Description – exact</v>
      </c>
      <c r="S264" s="143" t="str">
        <v/>
      </c>
      <c r="T264" s="144" t="str">
        <v>SRC-00</v>
      </c>
      <c r="U264" s="129" t="str">
        <v>S+ row 720</v>
      </c>
      <c r="V264" s="129" t="str">
        <v/>
      </c>
    </row>
    <row r="265" spans="1:22" x14ac:dyDescent="0.2">
      <c r="A265" s="144" t="str">
        <v>H5</v>
      </c>
      <c r="B265" s="145">
        <v>5</v>
      </c>
      <c r="C265" s="129" t="str">
        <v>Removal Of 38, 48, 35</v>
      </c>
      <c r="D265" s="129" t="str">
        <v>H5 – Head / Dental: Dental Extractions/Dental Restorations</v>
      </c>
      <c r="E265" s="129" t="str">
        <v>01 - Head</v>
      </c>
      <c r="F265" s="129" t="str">
        <v>Solutions Plus</v>
      </c>
      <c r="G265" s="144" t="str">
        <v>CON-01</v>
      </c>
      <c r="H265" s="129" t="str">
        <v>To confirm</v>
      </c>
      <c r="I265" s="144" t="str">
        <v>No</v>
      </c>
      <c r="J265" s="144" t="str">
        <v>Base</v>
      </c>
      <c r="K265" s="144" t="str">
        <v/>
      </c>
      <c r="L265" s="146">
        <v>8</v>
      </c>
      <c r="M265" s="142">
        <v>440</v>
      </c>
      <c r="N265" s="144" t="str">
        <v>Unknown</v>
      </c>
      <c r="O265" s="142" t="str">
        <v/>
      </c>
      <c r="P265" s="142" t="str">
        <v/>
      </c>
      <c r="Q265" s="142">
        <v>55</v>
      </c>
      <c r="R265" s="129" t="str">
        <v>Description – exact</v>
      </c>
      <c r="S265" s="143" t="str">
        <v/>
      </c>
      <c r="T265" s="144" t="str">
        <v>SRC-00</v>
      </c>
      <c r="U265" s="129" t="str">
        <v>S+ row 721</v>
      </c>
      <c r="V265" s="129" t="str">
        <v/>
      </c>
    </row>
    <row r="266" spans="1:22" x14ac:dyDescent="0.2">
      <c r="A266" s="144" t="str">
        <v>H5</v>
      </c>
      <c r="B266" s="145">
        <v>5</v>
      </c>
      <c r="C266" s="129" t="str">
        <v>Removal Of 48 + Coronectomy Tooth 38</v>
      </c>
      <c r="D266" s="129" t="str">
        <v>H5 – Head / Dental: Dental Extractions/Dental Restorations</v>
      </c>
      <c r="E266" s="129" t="str">
        <v>01 - Head</v>
      </c>
      <c r="F266" s="129" t="str">
        <v>Solutions Plus</v>
      </c>
      <c r="G266" s="144" t="str">
        <v>CON-01</v>
      </c>
      <c r="H266" s="129" t="str">
        <v>To confirm</v>
      </c>
      <c r="I266" s="144" t="str">
        <v>No</v>
      </c>
      <c r="J266" s="144" t="str">
        <v>Base</v>
      </c>
      <c r="K266" s="144" t="str">
        <v/>
      </c>
      <c r="L266" s="146">
        <v>10</v>
      </c>
      <c r="M266" s="142">
        <v>550</v>
      </c>
      <c r="N266" s="144" t="str">
        <v>Unknown</v>
      </c>
      <c r="O266" s="142" t="str">
        <v/>
      </c>
      <c r="P266" s="142" t="str">
        <v/>
      </c>
      <c r="Q266" s="142">
        <v>55</v>
      </c>
      <c r="R266" s="129" t="str">
        <v>Description – exact</v>
      </c>
      <c r="S266" s="143" t="str">
        <v/>
      </c>
      <c r="T266" s="144" t="str">
        <v>SRC-00</v>
      </c>
      <c r="U266" s="129" t="str">
        <v>S+ row 722</v>
      </c>
      <c r="V266" s="129" t="str">
        <v/>
      </c>
    </row>
    <row r="267" spans="1:22" x14ac:dyDescent="0.2">
      <c r="A267" s="144" t="str">
        <v>H5</v>
      </c>
      <c r="B267" s="145">
        <v>5</v>
      </c>
      <c r="C267" s="129" t="str">
        <v>Removal Of Erupted 28</v>
      </c>
      <c r="D267" s="129" t="str">
        <v>H5 – Head / Dental: Dental Extractions/Dental Restorations</v>
      </c>
      <c r="E267" s="129" t="str">
        <v>01 - Head</v>
      </c>
      <c r="F267" s="129" t="str">
        <v>Solutions Plus</v>
      </c>
      <c r="G267" s="144" t="str">
        <v>CON-01</v>
      </c>
      <c r="H267" s="129" t="str">
        <v>To confirm</v>
      </c>
      <c r="I267" s="144" t="str">
        <v>No</v>
      </c>
      <c r="J267" s="144" t="str">
        <v>Base</v>
      </c>
      <c r="K267" s="144" t="str">
        <v/>
      </c>
      <c r="L267" s="146">
        <v>1</v>
      </c>
      <c r="M267" s="142">
        <v>55</v>
      </c>
      <c r="N267" s="144" t="str">
        <v>Unknown</v>
      </c>
      <c r="O267" s="142" t="str">
        <v/>
      </c>
      <c r="P267" s="142" t="str">
        <v/>
      </c>
      <c r="Q267" s="142">
        <v>55</v>
      </c>
      <c r="R267" s="129" t="str">
        <v>Description – exact</v>
      </c>
      <c r="S267" s="143" t="str">
        <v/>
      </c>
      <c r="T267" s="144" t="str">
        <v>SRC-00</v>
      </c>
      <c r="U267" s="129" t="str">
        <v>S+ row 726</v>
      </c>
      <c r="V267" s="129" t="str">
        <v/>
      </c>
    </row>
    <row r="268" spans="1:22" x14ac:dyDescent="0.2">
      <c r="A268" s="144" t="str">
        <v>H5</v>
      </c>
      <c r="B268" s="145">
        <v>5</v>
      </c>
      <c r="C268" s="129" t="str">
        <v>Removal Of Four Wisdom Teeth (18,28,38,48)</v>
      </c>
      <c r="D268" s="129" t="str">
        <v>H5 – Head / Dental: Dental Extractions/Dental Restorations</v>
      </c>
      <c r="E268" s="129" t="str">
        <v>01 - Head</v>
      </c>
      <c r="F268" s="129" t="str">
        <v>Solutions Plus</v>
      </c>
      <c r="G268" s="144" t="str">
        <v>CON-01</v>
      </c>
      <c r="H268" s="129" t="str">
        <v>To confirm</v>
      </c>
      <c r="I268" s="144" t="str">
        <v>No</v>
      </c>
      <c r="J268" s="144" t="str">
        <v>Base</v>
      </c>
      <c r="K268" s="144" t="str">
        <v/>
      </c>
      <c r="L268" s="146">
        <v>9.8000000000000007</v>
      </c>
      <c r="M268" s="142">
        <v>540.65</v>
      </c>
      <c r="N268" s="144" t="str">
        <v>Unknown</v>
      </c>
      <c r="O268" s="142" t="str">
        <v/>
      </c>
      <c r="P268" s="142" t="str">
        <v/>
      </c>
      <c r="Q268" s="142">
        <v>55.168367346938766</v>
      </c>
      <c r="R268" s="129" t="str">
        <v>Description – exact</v>
      </c>
      <c r="S268" s="143" t="str">
        <v/>
      </c>
      <c r="T268" s="144" t="str">
        <v>SRC-00</v>
      </c>
      <c r="U268" s="129" t="str">
        <v>S+ row 727</v>
      </c>
      <c r="V268" s="129" t="str">
        <v/>
      </c>
    </row>
    <row r="269" spans="1:22" x14ac:dyDescent="0.2">
      <c r="A269" s="144" t="str">
        <v>H5</v>
      </c>
      <c r="B269" s="145">
        <v>5</v>
      </c>
      <c r="C269" s="129" t="str">
        <v>Removal Of Impacted 38,48</v>
      </c>
      <c r="D269" s="129" t="str">
        <v>H5 – Head / Dental: Dental Extractions/Dental Restorations</v>
      </c>
      <c r="E269" s="129" t="str">
        <v>01 - Head</v>
      </c>
      <c r="F269" s="129" t="str">
        <v>Solutions Plus</v>
      </c>
      <c r="G269" s="144" t="str">
        <v>CON-01</v>
      </c>
      <c r="H269" s="129" t="str">
        <v>To confirm</v>
      </c>
      <c r="I269" s="144" t="str">
        <v>No</v>
      </c>
      <c r="J269" s="144" t="str">
        <v>Base</v>
      </c>
      <c r="K269" s="144" t="str">
        <v/>
      </c>
      <c r="L269" s="146">
        <v>9.3000000000000007</v>
      </c>
      <c r="M269" s="142">
        <v>513.15</v>
      </c>
      <c r="N269" s="144" t="str">
        <v>Unknown</v>
      </c>
      <c r="O269" s="142" t="str">
        <v/>
      </c>
      <c r="P269" s="142" t="str">
        <v/>
      </c>
      <c r="Q269" s="142">
        <v>55.177419354838705</v>
      </c>
      <c r="R269" s="129" t="str">
        <v>Description – exact</v>
      </c>
      <c r="S269" s="143" t="str">
        <v/>
      </c>
      <c r="T269" s="144" t="str">
        <v>SRC-00</v>
      </c>
      <c r="U269" s="129" t="str">
        <v>S+ row 729</v>
      </c>
      <c r="V269" s="129" t="str">
        <v/>
      </c>
    </row>
    <row r="270" spans="1:22" x14ac:dyDescent="0.2">
      <c r="A270" s="144" t="str">
        <v>H5</v>
      </c>
      <c r="B270" s="145">
        <v>5</v>
      </c>
      <c r="C270" s="129" t="str">
        <v>Removal Of Lower Wisdom Teeth (38,48)</v>
      </c>
      <c r="D270" s="129" t="str">
        <v>H5 – Head / Dental: Dental Extractions/Dental Restorations</v>
      </c>
      <c r="E270" s="129" t="str">
        <v>01 - Head</v>
      </c>
      <c r="F270" s="129" t="str">
        <v>Solutions Plus</v>
      </c>
      <c r="G270" s="144" t="str">
        <v>CON-01</v>
      </c>
      <c r="H270" s="129" t="str">
        <v>To confirm</v>
      </c>
      <c r="I270" s="144" t="str">
        <v>No</v>
      </c>
      <c r="J270" s="144" t="str">
        <v>Base</v>
      </c>
      <c r="K270" s="144" t="str">
        <v/>
      </c>
      <c r="L270" s="146">
        <v>9</v>
      </c>
      <c r="M270" s="142">
        <v>495</v>
      </c>
      <c r="N270" s="144" t="str">
        <v>Unknown</v>
      </c>
      <c r="O270" s="142" t="str">
        <v/>
      </c>
      <c r="P270" s="142" t="str">
        <v/>
      </c>
      <c r="Q270" s="142">
        <v>55</v>
      </c>
      <c r="R270" s="129" t="str">
        <v>Description – exact</v>
      </c>
      <c r="S270" s="143" t="str">
        <v/>
      </c>
      <c r="T270" s="144" t="str">
        <v>SRC-00</v>
      </c>
      <c r="U270" s="129" t="str">
        <v>S+ row 731</v>
      </c>
      <c r="V270" s="129" t="str">
        <v/>
      </c>
    </row>
    <row r="271" spans="1:22" x14ac:dyDescent="0.2">
      <c r="A271" s="144" t="str">
        <v>H5</v>
      </c>
      <c r="B271" s="145">
        <v>5</v>
      </c>
      <c r="C271" s="129" t="str">
        <v>Removal Of Teeth</v>
      </c>
      <c r="D271" s="129" t="str">
        <v>H5 – Head / Dental: Dental Extractions/Dental Restorations</v>
      </c>
      <c r="E271" s="129" t="str">
        <v>01 - Head</v>
      </c>
      <c r="F271" s="129" t="str">
        <v>Solutions Plus</v>
      </c>
      <c r="G271" s="144" t="str">
        <v>CON-01</v>
      </c>
      <c r="H271" s="129" t="str">
        <v>To confirm</v>
      </c>
      <c r="I271" s="144" t="str">
        <v>No</v>
      </c>
      <c r="J271" s="144" t="str">
        <v>Base</v>
      </c>
      <c r="K271" s="144" t="str">
        <v/>
      </c>
      <c r="L271" s="146">
        <v>7.6</v>
      </c>
      <c r="M271" s="142">
        <v>418.55</v>
      </c>
      <c r="N271" s="144" t="str">
        <v>Unknown</v>
      </c>
      <c r="O271" s="142" t="str">
        <v/>
      </c>
      <c r="P271" s="142" t="str">
        <v/>
      </c>
      <c r="Q271" s="142">
        <v>55.072368421052637</v>
      </c>
      <c r="R271" s="129" t="str">
        <v>Description – exact</v>
      </c>
      <c r="S271" s="143" t="str">
        <v/>
      </c>
      <c r="T271" s="144" t="str">
        <v>SRC-00</v>
      </c>
      <c r="U271" s="129" t="str">
        <v>S+ row 733</v>
      </c>
      <c r="V271" s="129" t="str">
        <v/>
      </c>
    </row>
    <row r="272" spans="1:22" x14ac:dyDescent="0.2">
      <c r="A272" s="144" t="str">
        <v>H5</v>
      </c>
      <c r="B272" s="145">
        <v>5</v>
      </c>
      <c r="C272" s="129" t="str">
        <v>Removal Of Teeth 28 38 48</v>
      </c>
      <c r="D272" s="129" t="str">
        <v>H5 – Head / Dental: Dental Extractions/Dental Restorations</v>
      </c>
      <c r="E272" s="129" t="str">
        <v>01 - Head</v>
      </c>
      <c r="F272" s="129" t="str">
        <v>Solutions Plus</v>
      </c>
      <c r="G272" s="144" t="str">
        <v>CON-01</v>
      </c>
      <c r="H272" s="129" t="str">
        <v>To confirm</v>
      </c>
      <c r="I272" s="144" t="str">
        <v>No</v>
      </c>
      <c r="J272" s="144" t="str">
        <v>Base</v>
      </c>
      <c r="K272" s="144" t="str">
        <v/>
      </c>
      <c r="L272" s="146">
        <v>8.5</v>
      </c>
      <c r="M272" s="142">
        <v>467.5</v>
      </c>
      <c r="N272" s="144" t="str">
        <v>Unknown</v>
      </c>
      <c r="O272" s="142" t="str">
        <v/>
      </c>
      <c r="P272" s="142" t="str">
        <v/>
      </c>
      <c r="Q272" s="142">
        <v>55</v>
      </c>
      <c r="R272" s="129" t="str">
        <v>Description – exact</v>
      </c>
      <c r="S272" s="143" t="str">
        <v/>
      </c>
      <c r="T272" s="144" t="str">
        <v>SRC-00</v>
      </c>
      <c r="U272" s="129" t="str">
        <v>S+ row 734</v>
      </c>
      <c r="V272" s="129" t="str">
        <v/>
      </c>
    </row>
    <row r="273" spans="1:22" x14ac:dyDescent="0.2">
      <c r="A273" s="144" t="str">
        <v>H5</v>
      </c>
      <c r="B273" s="145">
        <v>5</v>
      </c>
      <c r="C273" s="129" t="str">
        <v>Removal Of Teeth 28, 38, 48</v>
      </c>
      <c r="D273" s="129" t="str">
        <v>H5 – Head / Dental: Dental Extractions/Dental Restorations</v>
      </c>
      <c r="E273" s="129" t="str">
        <v>01 - Head</v>
      </c>
      <c r="F273" s="129" t="str">
        <v>Solutions Plus</v>
      </c>
      <c r="G273" s="144" t="str">
        <v>CON-01</v>
      </c>
      <c r="H273" s="129" t="str">
        <v>To confirm</v>
      </c>
      <c r="I273" s="144" t="str">
        <v>No</v>
      </c>
      <c r="J273" s="144" t="str">
        <v>Base</v>
      </c>
      <c r="K273" s="144" t="str">
        <v/>
      </c>
      <c r="L273" s="146">
        <v>9</v>
      </c>
      <c r="M273" s="142">
        <v>495</v>
      </c>
      <c r="N273" s="144" t="str">
        <v>Unknown</v>
      </c>
      <c r="O273" s="142" t="str">
        <v/>
      </c>
      <c r="P273" s="142" t="str">
        <v/>
      </c>
      <c r="Q273" s="142">
        <v>55</v>
      </c>
      <c r="R273" s="129" t="str">
        <v>Description – exact</v>
      </c>
      <c r="S273" s="143" t="str">
        <v/>
      </c>
      <c r="T273" s="144" t="str">
        <v>SRC-00</v>
      </c>
      <c r="U273" s="129" t="str">
        <v>S+ row 735</v>
      </c>
      <c r="V273" s="129" t="str">
        <v/>
      </c>
    </row>
    <row r="274" spans="1:22" x14ac:dyDescent="0.2">
      <c r="A274" s="144" t="str">
        <v>H5</v>
      </c>
      <c r="B274" s="145">
        <v>5</v>
      </c>
      <c r="C274" s="129" t="str">
        <v>Removal Teeth 18 &amp; 17</v>
      </c>
      <c r="D274" s="129" t="str">
        <v>H5 – Head / Dental: Dental Extractions/Dental Restorations</v>
      </c>
      <c r="E274" s="129" t="str">
        <v>01 - Head</v>
      </c>
      <c r="F274" s="129" t="str">
        <v>Solutions Plus</v>
      </c>
      <c r="G274" s="144" t="str">
        <v>CON-01</v>
      </c>
      <c r="H274" s="129" t="str">
        <v>To confirm</v>
      </c>
      <c r="I274" s="144" t="str">
        <v>No</v>
      </c>
      <c r="J274" s="144" t="str">
        <v>Base</v>
      </c>
      <c r="K274" s="144" t="str">
        <v/>
      </c>
      <c r="L274" s="146">
        <v>4</v>
      </c>
      <c r="M274" s="142">
        <v>220</v>
      </c>
      <c r="N274" s="144" t="str">
        <v>Unknown</v>
      </c>
      <c r="O274" s="142" t="str">
        <v/>
      </c>
      <c r="P274" s="142" t="str">
        <v/>
      </c>
      <c r="Q274" s="142">
        <v>55</v>
      </c>
      <c r="R274" s="129" t="str">
        <v>Description – exact</v>
      </c>
      <c r="S274" s="143" t="str">
        <v/>
      </c>
      <c r="T274" s="144" t="str">
        <v>SRC-00</v>
      </c>
      <c r="U274" s="129" t="str">
        <v>S+ row 737</v>
      </c>
      <c r="V274" s="129" t="str">
        <v/>
      </c>
    </row>
    <row r="275" spans="1:22" x14ac:dyDescent="0.2">
      <c r="A275" s="144" t="str">
        <v>H5</v>
      </c>
      <c r="B275" s="145">
        <v>5</v>
      </c>
      <c r="C275" s="129" t="str">
        <v>Remove 37</v>
      </c>
      <c r="D275" s="129" t="str">
        <v>H5 – Head / Dental: Dental Extractions/Dental Restorations</v>
      </c>
      <c r="E275" s="129" t="str">
        <v>01 - Head</v>
      </c>
      <c r="F275" s="129" t="str">
        <v>Solutions Plus</v>
      </c>
      <c r="G275" s="144" t="str">
        <v>CON-01</v>
      </c>
      <c r="H275" s="129" t="str">
        <v>To confirm</v>
      </c>
      <c r="I275" s="144" t="str">
        <v>No</v>
      </c>
      <c r="J275" s="144" t="str">
        <v>Base</v>
      </c>
      <c r="K275" s="144" t="str">
        <v/>
      </c>
      <c r="L275" s="146">
        <v>1</v>
      </c>
      <c r="M275" s="142">
        <v>55</v>
      </c>
      <c r="N275" s="144" t="str">
        <v>Unknown</v>
      </c>
      <c r="O275" s="142" t="str">
        <v/>
      </c>
      <c r="P275" s="142" t="str">
        <v/>
      </c>
      <c r="Q275" s="142">
        <v>55</v>
      </c>
      <c r="R275" s="129" t="str">
        <v>Description – exact</v>
      </c>
      <c r="S275" s="143" t="str">
        <v/>
      </c>
      <c r="T275" s="144" t="str">
        <v>SRC-00</v>
      </c>
      <c r="U275" s="129" t="str">
        <v>S+ row 738</v>
      </c>
      <c r="V275" s="129" t="str">
        <v/>
      </c>
    </row>
    <row r="276" spans="1:22" x14ac:dyDescent="0.2">
      <c r="A276" s="144" t="str">
        <v>H5</v>
      </c>
      <c r="B276" s="145">
        <v>5</v>
      </c>
      <c r="C276" s="129" t="str">
        <v>Split Account - Extraction 18, 28, 38</v>
      </c>
      <c r="D276" s="129" t="str">
        <v>H5 – Head / Dental: Dental Extractions/Dental Restorations</v>
      </c>
      <c r="E276" s="129" t="str">
        <v>01 - Head</v>
      </c>
      <c r="F276" s="129" t="str">
        <v>Solutions Plus</v>
      </c>
      <c r="G276" s="144" t="str">
        <v>CON-01</v>
      </c>
      <c r="H276" s="129" t="str">
        <v>To confirm</v>
      </c>
      <c r="I276" s="144" t="str">
        <v>No</v>
      </c>
      <c r="J276" s="144" t="str">
        <v>Base</v>
      </c>
      <c r="K276" s="144" t="str">
        <v/>
      </c>
      <c r="L276" s="146">
        <v>4</v>
      </c>
      <c r="M276" s="142">
        <v>220</v>
      </c>
      <c r="N276" s="144" t="str">
        <v>Unknown</v>
      </c>
      <c r="O276" s="142" t="str">
        <v/>
      </c>
      <c r="P276" s="142" t="str">
        <v/>
      </c>
      <c r="Q276" s="142">
        <v>55</v>
      </c>
      <c r="R276" s="129" t="str">
        <v>Description – exact</v>
      </c>
      <c r="S276" s="143" t="str">
        <v/>
      </c>
      <c r="T276" s="144" t="str">
        <v>SRC-00</v>
      </c>
      <c r="U276" s="129" t="str">
        <v>S+ row 892</v>
      </c>
      <c r="V276" s="129" t="str">
        <v/>
      </c>
    </row>
    <row r="277" spans="1:22" x14ac:dyDescent="0.2">
      <c r="A277" s="144" t="str">
        <v>H5</v>
      </c>
      <c r="B277" s="145">
        <v>5</v>
      </c>
      <c r="C277" s="129" t="str">
        <v>Split Account - Extractions Of Impacted Teeth</v>
      </c>
      <c r="D277" s="129" t="str">
        <v>H5 – Head / Dental: Dental Extractions/Dental Restorations</v>
      </c>
      <c r="E277" s="129" t="str">
        <v>01 - Head</v>
      </c>
      <c r="F277" s="129" t="str">
        <v>Solutions Plus</v>
      </c>
      <c r="G277" s="144" t="str">
        <v>CON-01</v>
      </c>
      <c r="H277" s="129" t="str">
        <v>To confirm</v>
      </c>
      <c r="I277" s="144" t="str">
        <v>No</v>
      </c>
      <c r="J277" s="144" t="str">
        <v>Base</v>
      </c>
      <c r="K277" s="144" t="str">
        <v/>
      </c>
      <c r="L277" s="146">
        <v>0</v>
      </c>
      <c r="M277" s="142">
        <v>0</v>
      </c>
      <c r="N277" s="144" t="str">
        <v>Unknown</v>
      </c>
      <c r="O277" s="142" t="str">
        <v/>
      </c>
      <c r="P277" s="142" t="str">
        <v/>
      </c>
      <c r="Q277" s="142" t="str">
        <v/>
      </c>
      <c r="R277" s="129" t="str">
        <v>Description – exact</v>
      </c>
      <c r="S277" s="143" t="str">
        <v/>
      </c>
      <c r="T277" s="144" t="str">
        <v>SRC-00</v>
      </c>
      <c r="U277" s="129" t="str">
        <v>S+ row 893</v>
      </c>
      <c r="V277" s="129" t="str">
        <v/>
      </c>
    </row>
    <row r="278" spans="1:22" x14ac:dyDescent="0.2">
      <c r="A278" s="144" t="str">
        <v>H5</v>
      </c>
      <c r="B278" s="145">
        <v>5</v>
      </c>
      <c r="C278" s="129" t="str">
        <v>Split Account - Removal Teeth 48</v>
      </c>
      <c r="D278" s="129" t="str">
        <v>H5 – Head / Dental: Dental Extractions/Dental Restorations</v>
      </c>
      <c r="E278" s="129" t="str">
        <v>01 - Head</v>
      </c>
      <c r="F278" s="129" t="str">
        <v>Solutions Plus</v>
      </c>
      <c r="G278" s="144" t="str">
        <v>CON-01</v>
      </c>
      <c r="H278" s="129" t="str">
        <v>To confirm</v>
      </c>
      <c r="I278" s="144" t="str">
        <v>No</v>
      </c>
      <c r="J278" s="144" t="str">
        <v>Base</v>
      </c>
      <c r="K278" s="144" t="str">
        <v/>
      </c>
      <c r="L278" s="146">
        <v>7</v>
      </c>
      <c r="M278" s="142">
        <v>385</v>
      </c>
      <c r="N278" s="144" t="str">
        <v>Unknown</v>
      </c>
      <c r="O278" s="142" t="str">
        <v/>
      </c>
      <c r="P278" s="142" t="str">
        <v/>
      </c>
      <c r="Q278" s="142">
        <v>55</v>
      </c>
      <c r="R278" s="129" t="str">
        <v>Description – exact</v>
      </c>
      <c r="S278" s="143" t="str">
        <v/>
      </c>
      <c r="T278" s="144" t="str">
        <v>SRC-00</v>
      </c>
      <c r="U278" s="129" t="str">
        <v>S+ row 898</v>
      </c>
      <c r="V278" s="129" t="str">
        <v/>
      </c>
    </row>
    <row r="279" spans="1:22" x14ac:dyDescent="0.2">
      <c r="A279" s="144" t="str">
        <v>H5</v>
      </c>
      <c r="B279" s="145">
        <v>5</v>
      </c>
      <c r="C279" s="129" t="str">
        <v>Surgical Extractions Of Teeth 38 And 48</v>
      </c>
      <c r="D279" s="129" t="str">
        <v>H5 – Head / Dental: Dental Extractions/Dental Restorations</v>
      </c>
      <c r="E279" s="129" t="str">
        <v>01 - Head</v>
      </c>
      <c r="F279" s="129" t="str">
        <v>Solutions Plus</v>
      </c>
      <c r="G279" s="144" t="str">
        <v>CON-01</v>
      </c>
      <c r="H279" s="129" t="str">
        <v>To confirm</v>
      </c>
      <c r="I279" s="144" t="str">
        <v>No</v>
      </c>
      <c r="J279" s="144" t="str">
        <v>Base</v>
      </c>
      <c r="K279" s="144" t="str">
        <v/>
      </c>
      <c r="L279" s="146">
        <v>9.3000000000000007</v>
      </c>
      <c r="M279" s="142">
        <v>513.15</v>
      </c>
      <c r="N279" s="144" t="str">
        <v>Unknown</v>
      </c>
      <c r="O279" s="142" t="str">
        <v/>
      </c>
      <c r="P279" s="142" t="str">
        <v/>
      </c>
      <c r="Q279" s="142">
        <v>55.177419354838705</v>
      </c>
      <c r="R279" s="129" t="str">
        <v>Description – exact</v>
      </c>
      <c r="S279" s="143" t="str">
        <v/>
      </c>
      <c r="T279" s="144" t="str">
        <v>SRC-00</v>
      </c>
      <c r="U279" s="129" t="str">
        <v>S+ row 910</v>
      </c>
      <c r="V279" s="129" t="str">
        <v/>
      </c>
    </row>
    <row r="280" spans="1:22" x14ac:dyDescent="0.2">
      <c r="A280" s="144" t="str">
        <v>H5</v>
      </c>
      <c r="B280" s="145">
        <v>5</v>
      </c>
      <c r="C280" s="129" t="str">
        <v>Surgical Removal Tooth 18 28</v>
      </c>
      <c r="D280" s="129" t="str">
        <v>H5 – Head / Dental: Dental Extractions/Dental Restorations</v>
      </c>
      <c r="E280" s="129" t="str">
        <v>01 - Head</v>
      </c>
      <c r="F280" s="129" t="str">
        <v>Solutions Plus</v>
      </c>
      <c r="G280" s="144" t="str">
        <v>CON-01</v>
      </c>
      <c r="H280" s="129" t="str">
        <v>To confirm</v>
      </c>
      <c r="I280" s="144" t="str">
        <v>No</v>
      </c>
      <c r="J280" s="144" t="str">
        <v>Base</v>
      </c>
      <c r="K280" s="144" t="str">
        <v/>
      </c>
      <c r="L280" s="146">
        <v>9</v>
      </c>
      <c r="M280" s="142">
        <v>495</v>
      </c>
      <c r="N280" s="144" t="str">
        <v>Unknown</v>
      </c>
      <c r="O280" s="142" t="str">
        <v/>
      </c>
      <c r="P280" s="142" t="str">
        <v/>
      </c>
      <c r="Q280" s="142">
        <v>55</v>
      </c>
      <c r="R280" s="129" t="str">
        <v>Description – exact</v>
      </c>
      <c r="S280" s="143" t="str">
        <v/>
      </c>
      <c r="T280" s="144" t="str">
        <v>SRC-00</v>
      </c>
      <c r="U280" s="129" t="str">
        <v>S+ row 911</v>
      </c>
      <c r="V280" s="129" t="str">
        <v/>
      </c>
    </row>
    <row r="281" spans="1:22" x14ac:dyDescent="0.2">
      <c r="A281" s="144" t="str">
        <v>H7b</v>
      </c>
      <c r="B281" s="145">
        <v>12</v>
      </c>
      <c r="C281" s="129" t="str">
        <v>Cranioplasty/Cerebrospinal fluid shunt procedures supine/lateral – Prone/park bench/sitting</v>
      </c>
      <c r="D281" s="129" t="str">
        <v>H7b – Head / Neurosurgery: Cranioplasty/Cerebrospinal fluid shunt procedures supine/…</v>
      </c>
      <c r="E281" s="129" t="str">
        <v>01 - Head</v>
      </c>
      <c r="F281" s="129" t="str">
        <v>NZSA RVG</v>
      </c>
      <c r="G281" s="144" t="str">
        <v>CON-10</v>
      </c>
      <c r="H281" s="129" t="str">
        <v>Reference – units only</v>
      </c>
      <c r="I281" s="144" t="str">
        <v>No</v>
      </c>
      <c r="J281" s="144" t="str">
        <v>Base</v>
      </c>
      <c r="K281" s="144" t="str">
        <v>H7b</v>
      </c>
      <c r="L281" s="146">
        <v>12</v>
      </c>
      <c r="M281" s="142" t="str">
        <v/>
      </c>
      <c r="N281" s="144" t="str">
        <v/>
      </c>
      <c r="O281" s="142" t="str">
        <v/>
      </c>
      <c r="P281" s="142" t="str">
        <v/>
      </c>
      <c r="Q281" s="142">
        <v>0</v>
      </c>
      <c r="R281" s="129" t="str">
        <v>Unmatched</v>
      </c>
      <c r="S281" s="143" t="str">
        <v/>
      </c>
      <c r="T281" s="144" t="str">
        <v>SRC-01</v>
      </c>
      <c r="U281" s="129" t="str">
        <v>p.7 – Head / Neurosurgery</v>
      </c>
      <c r="V281" s="129" t="str">
        <v>Reference units only – no $ fee (NZSA RVG 2021). Base units include loading for prone positioning if needed (+2)</v>
      </c>
    </row>
    <row r="282" spans="1:22" x14ac:dyDescent="0.2">
      <c r="A282" s="144" t="str">
        <v>H7a</v>
      </c>
      <c r="B282" s="145">
        <v>10</v>
      </c>
      <c r="C282" s="129" t="str">
        <v>Cranioplasty/Cerebrospinal fluid shunt procedures supine/lateral – Supine/lateral</v>
      </c>
      <c r="D282" s="129" t="str">
        <v>H7a – Head / Neurosurgery: Cranioplasty/Cerebrospinal fluid shunt procedures supine/…</v>
      </c>
      <c r="E282" s="129" t="str">
        <v>01 - Head</v>
      </c>
      <c r="F282" s="129" t="str">
        <v>NZSA RVG</v>
      </c>
      <c r="G282" s="144" t="str">
        <v>CON-10</v>
      </c>
      <c r="H282" s="129" t="str">
        <v>Reference – units only</v>
      </c>
      <c r="I282" s="144" t="str">
        <v>No</v>
      </c>
      <c r="J282" s="144" t="str">
        <v>Base</v>
      </c>
      <c r="K282" s="144" t="str">
        <v>H7a</v>
      </c>
      <c r="L282" s="146">
        <v>10</v>
      </c>
      <c r="M282" s="142" t="str">
        <v/>
      </c>
      <c r="N282" s="144" t="str">
        <v/>
      </c>
      <c r="O282" s="142" t="str">
        <v/>
      </c>
      <c r="P282" s="142" t="str">
        <v/>
      </c>
      <c r="Q282" s="142">
        <v>0</v>
      </c>
      <c r="R282" s="129" t="str">
        <v>RVG code</v>
      </c>
      <c r="S282" s="143" t="str">
        <v/>
      </c>
      <c r="T282" s="144" t="str">
        <v>SRC-01</v>
      </c>
      <c r="U282" s="129" t="str">
        <v>p.7 – Head / Neurosurgery</v>
      </c>
      <c r="V282" s="129" t="str">
        <v>Reference units only – no $ fee (NZSA RVG 2021). Base units include loading for prone positioning if needed (+2); sub-code printed as "A"</v>
      </c>
    </row>
    <row r="283" spans="1:22" x14ac:dyDescent="0.2">
      <c r="A283" s="144" t="str">
        <v>H8a</v>
      </c>
      <c r="B283" s="145">
        <v>12</v>
      </c>
      <c r="C283" s="129" t="str">
        <v>Craniotomy</v>
      </c>
      <c r="D283" s="129" t="str">
        <v>H8a – Head / Neurosurgery: Non-Vascular Open Intracranial/Spinal cord – Supine/lateral</v>
      </c>
      <c r="E283" s="129" t="str">
        <v>01 - Head</v>
      </c>
      <c r="F283" s="129" t="str">
        <v>Solutions Plus</v>
      </c>
      <c r="G283" s="144" t="str">
        <v>CON-01</v>
      </c>
      <c r="H283" s="129" t="str">
        <v>To confirm</v>
      </c>
      <c r="I283" s="144" t="str">
        <v>No</v>
      </c>
      <c r="J283" s="144" t="str">
        <v>Base</v>
      </c>
      <c r="K283" s="144" t="str">
        <v/>
      </c>
      <c r="L283" s="146">
        <v>36.5</v>
      </c>
      <c r="M283" s="142">
        <v>2004.75</v>
      </c>
      <c r="N283" s="144" t="str">
        <v>Unknown</v>
      </c>
      <c r="O283" s="142" t="str">
        <v/>
      </c>
      <c r="P283" s="142" t="str">
        <v/>
      </c>
      <c r="Q283" s="142">
        <v>54.924657534246577</v>
      </c>
      <c r="R283" s="129" t="str">
        <v>Description – likely</v>
      </c>
      <c r="S283" s="143" t="str">
        <v/>
      </c>
      <c r="T283" s="144" t="str">
        <v>SRC-00</v>
      </c>
      <c r="U283" s="129" t="str">
        <v>S+ row 219</v>
      </c>
      <c r="V283" s="129" t="str">
        <v/>
      </c>
    </row>
    <row r="284" spans="1:22" x14ac:dyDescent="0.2">
      <c r="A284" s="144" t="str">
        <v>H8b</v>
      </c>
      <c r="B284" s="145">
        <v>14</v>
      </c>
      <c r="C284" s="129" t="str">
        <v>Non-Vascular Open Intracranial/Spinal cord – Prone/park bench/sitting</v>
      </c>
      <c r="D284" s="129" t="str">
        <v>H8b – Head / Neurosurgery: Non-Vascular Open Intracranial/Spinal cord – Prone/park b…</v>
      </c>
      <c r="E284" s="129" t="str">
        <v>01 - Head</v>
      </c>
      <c r="F284" s="129" t="str">
        <v>NZSA RVG</v>
      </c>
      <c r="G284" s="144" t="str">
        <v>CON-10</v>
      </c>
      <c r="H284" s="129" t="str">
        <v>Reference – units only</v>
      </c>
      <c r="I284" s="144" t="str">
        <v>No</v>
      </c>
      <c r="J284" s="144" t="str">
        <v>Base</v>
      </c>
      <c r="K284" s="144" t="str">
        <v>H8b</v>
      </c>
      <c r="L284" s="146">
        <v>14</v>
      </c>
      <c r="M284" s="142" t="str">
        <v/>
      </c>
      <c r="N284" s="144" t="str">
        <v/>
      </c>
      <c r="O284" s="142" t="str">
        <v/>
      </c>
      <c r="P284" s="142" t="str">
        <v/>
      </c>
      <c r="Q284" s="142">
        <v>0</v>
      </c>
      <c r="R284" s="129" t="str">
        <v>RVG code</v>
      </c>
      <c r="S284" s="143" t="str">
        <v/>
      </c>
      <c r="T284" s="144" t="str">
        <v>SRC-01</v>
      </c>
      <c r="U284" s="129" t="str">
        <v>p.7 – Head / Neurosurgery</v>
      </c>
      <c r="V284" s="129" t="str">
        <v>Reference units only – no $ fee (NZSA RVG 2021). Base units include loading for prone positioning if needed (+2)</v>
      </c>
    </row>
    <row r="285" spans="1:22" x14ac:dyDescent="0.2">
      <c r="A285" s="144" t="str">
        <v>H8a</v>
      </c>
      <c r="B285" s="145">
        <v>12</v>
      </c>
      <c r="C285" s="129" t="str">
        <v>Non-Vascular Open Intracranial/Spinal cord – Supine/lateral</v>
      </c>
      <c r="D285" s="129" t="str">
        <v>H8a – Head / Neurosurgery: Non-Vascular Open Intracranial/Spinal cord – Supine/lateral</v>
      </c>
      <c r="E285" s="129" t="str">
        <v>01 - Head</v>
      </c>
      <c r="F285" s="129" t="str">
        <v>NZSA RVG</v>
      </c>
      <c r="G285" s="144" t="str">
        <v>CON-10</v>
      </c>
      <c r="H285" s="129" t="str">
        <v>Reference – units only</v>
      </c>
      <c r="I285" s="144" t="str">
        <v>No</v>
      </c>
      <c r="J285" s="144" t="str">
        <v>Base</v>
      </c>
      <c r="K285" s="144" t="str">
        <v>H8a</v>
      </c>
      <c r="L285" s="146">
        <v>12</v>
      </c>
      <c r="M285" s="142" t="str">
        <v/>
      </c>
      <c r="N285" s="144" t="str">
        <v/>
      </c>
      <c r="O285" s="142" t="str">
        <v/>
      </c>
      <c r="P285" s="142" t="str">
        <v/>
      </c>
      <c r="Q285" s="142">
        <v>0</v>
      </c>
      <c r="R285" s="129" t="str">
        <v>RVG code</v>
      </c>
      <c r="S285" s="143" t="str">
        <v/>
      </c>
      <c r="T285" s="144" t="str">
        <v>SRC-01</v>
      </c>
      <c r="U285" s="129" t="str">
        <v>p.7 – Head / Neurosurgery</v>
      </c>
      <c r="V285" s="129" t="str">
        <v>Reference units only – no $ fee (NZSA RVG 2021). Base units include loading for prone positioning if needed (+2)</v>
      </c>
    </row>
    <row r="286" spans="1:22" x14ac:dyDescent="0.2">
      <c r="A286" s="144" t="str">
        <v>H8b</v>
      </c>
      <c r="B286" s="145">
        <v>14</v>
      </c>
      <c r="C286" s="129" t="str">
        <v>T11/12 Laminoplasty + Resection Intradural Extra</v>
      </c>
      <c r="D286" s="129" t="str">
        <v>H8b – Head / Neurosurgery: Non-Vascular Open Intracranial/Spinal cord – Prone/park b…</v>
      </c>
      <c r="E286" s="129" t="str">
        <v>01 - Head</v>
      </c>
      <c r="F286" s="129" t="str">
        <v>Solutions Plus</v>
      </c>
      <c r="G286" s="144" t="str">
        <v>CON-01</v>
      </c>
      <c r="H286" s="129" t="str">
        <v>To confirm</v>
      </c>
      <c r="I286" s="144" t="str">
        <v>No</v>
      </c>
      <c r="J286" s="144" t="str">
        <v>Base</v>
      </c>
      <c r="K286" s="144" t="str">
        <v/>
      </c>
      <c r="L286" s="146">
        <v>36</v>
      </c>
      <c r="M286" s="142">
        <v>1980</v>
      </c>
      <c r="N286" s="144" t="str">
        <v>Unknown</v>
      </c>
      <c r="O286" s="142" t="str">
        <v/>
      </c>
      <c r="P286" s="142" t="str">
        <v/>
      </c>
      <c r="Q286" s="142">
        <v>55</v>
      </c>
      <c r="R286" s="129" t="str">
        <v>Description – likely</v>
      </c>
      <c r="S286" s="143" t="str">
        <v/>
      </c>
      <c r="T286" s="144" t="str">
        <v>SRC-00</v>
      </c>
      <c r="U286" s="129" t="str">
        <v>S+ row 915</v>
      </c>
      <c r="V286" s="129" t="str">
        <v/>
      </c>
    </row>
    <row r="287" spans="1:22" x14ac:dyDescent="0.2">
      <c r="A287" s="144" t="str">
        <v>H7a</v>
      </c>
      <c r="B287" s="145">
        <v>10</v>
      </c>
      <c r="C287" s="129" t="str">
        <v>Titanium Cranioplasty</v>
      </c>
      <c r="D287" s="129" t="str">
        <v>H7a – Head / Neurosurgery: Cranioplasty/Cerebrospinal fluid shunt procedures supine/…</v>
      </c>
      <c r="E287" s="129" t="str">
        <v>01 - Head</v>
      </c>
      <c r="F287" s="129" t="str">
        <v>Solutions Plus</v>
      </c>
      <c r="G287" s="144" t="str">
        <v>CON-01</v>
      </c>
      <c r="H287" s="129" t="str">
        <v>To confirm</v>
      </c>
      <c r="I287" s="144" t="str">
        <v>No</v>
      </c>
      <c r="J287" s="144" t="str">
        <v>Base</v>
      </c>
      <c r="K287" s="144" t="str">
        <v/>
      </c>
      <c r="L287" s="146">
        <v>0</v>
      </c>
      <c r="M287" s="142">
        <v>0</v>
      </c>
      <c r="N287" s="144" t="str">
        <v>Unknown</v>
      </c>
      <c r="O287" s="142" t="str">
        <v/>
      </c>
      <c r="P287" s="142" t="str">
        <v/>
      </c>
      <c r="Q287" s="142" t="str">
        <v/>
      </c>
      <c r="R287" s="129" t="str">
        <v>Description – likely</v>
      </c>
      <c r="S287" s="143" t="str">
        <v/>
      </c>
      <c r="T287" s="144" t="str">
        <v>SRC-00</v>
      </c>
      <c r="U287" s="129" t="str">
        <v>S+ row 924</v>
      </c>
      <c r="V287" s="129" t="str">
        <v/>
      </c>
    </row>
    <row r="288" spans="1:22" x14ac:dyDescent="0.2">
      <c r="A288" s="144" t="str">
        <v>H9b</v>
      </c>
      <c r="B288" s="145">
        <v>22</v>
      </c>
      <c r="C288" s="129" t="str">
        <v>Vascular Open Intracranial/Spinal cord Procedures – Prone/park bench/sitting</v>
      </c>
      <c r="D288" s="129" t="str">
        <v>H9b – Head / Neurosurgery: Vascular Open Intracranial/Spinal cord Procedures – Prone…</v>
      </c>
      <c r="E288" s="129" t="str">
        <v>01 - Head</v>
      </c>
      <c r="F288" s="129" t="str">
        <v>NZSA RVG</v>
      </c>
      <c r="G288" s="144" t="str">
        <v>CON-10</v>
      </c>
      <c r="H288" s="129" t="str">
        <v>Reference – units only</v>
      </c>
      <c r="I288" s="144" t="str">
        <v>No</v>
      </c>
      <c r="J288" s="144" t="str">
        <v>Base</v>
      </c>
      <c r="K288" s="144" t="str">
        <v>H9b</v>
      </c>
      <c r="L288" s="146">
        <v>22</v>
      </c>
      <c r="M288" s="142" t="str">
        <v/>
      </c>
      <c r="N288" s="144" t="str">
        <v/>
      </c>
      <c r="O288" s="142" t="str">
        <v/>
      </c>
      <c r="P288" s="142" t="str">
        <v/>
      </c>
      <c r="Q288" s="142">
        <v>0</v>
      </c>
      <c r="R288" s="129" t="str">
        <v>Unmatched</v>
      </c>
      <c r="S288" s="143" t="str">
        <v/>
      </c>
      <c r="T288" s="144" t="str">
        <v>SRC-01</v>
      </c>
      <c r="U288" s="129" t="str">
        <v>p.7 – Head / Neurosurgery</v>
      </c>
      <c r="V288" s="129" t="str">
        <v>Reference units only – no $ fee (NZSA RVG 2021). Base units include loading for prone positioning if needed (+2)</v>
      </c>
    </row>
    <row r="289" spans="1:22" x14ac:dyDescent="0.2">
      <c r="A289" s="144" t="str">
        <v>H9a</v>
      </c>
      <c r="B289" s="145">
        <v>20</v>
      </c>
      <c r="C289" s="129" t="str">
        <v>Vascular Open Intracranial/Spinal cord Procedures – Supine/lateral</v>
      </c>
      <c r="D289" s="129" t="str">
        <v>H9a – Head / Neurosurgery: Vascular Open Intracranial/Spinal cord Procedures – Supin…</v>
      </c>
      <c r="E289" s="129" t="str">
        <v>01 - Head</v>
      </c>
      <c r="F289" s="129" t="str">
        <v>NZSA RVG</v>
      </c>
      <c r="G289" s="144" t="str">
        <v>CON-10</v>
      </c>
      <c r="H289" s="129" t="str">
        <v>Reference – units only</v>
      </c>
      <c r="I289" s="144" t="str">
        <v>No</v>
      </c>
      <c r="J289" s="144" t="str">
        <v>Base</v>
      </c>
      <c r="K289" s="144" t="str">
        <v>H9a</v>
      </c>
      <c r="L289" s="146">
        <v>20</v>
      </c>
      <c r="M289" s="142" t="str">
        <v/>
      </c>
      <c r="N289" s="144" t="str">
        <v/>
      </c>
      <c r="O289" s="142" t="str">
        <v/>
      </c>
      <c r="P289" s="142" t="str">
        <v/>
      </c>
      <c r="Q289" s="142">
        <v>0</v>
      </c>
      <c r="R289" s="129" t="str">
        <v>Unmatched</v>
      </c>
      <c r="S289" s="143" t="str">
        <v/>
      </c>
      <c r="T289" s="144" t="str">
        <v>SRC-01</v>
      </c>
      <c r="U289" s="129" t="str">
        <v>p.7 – Head / Neurosurgery</v>
      </c>
      <c r="V289" s="129" t="str">
        <v>Reference units only – no $ fee (NZSA RVG 2021). Base units include loading for prone positioning if needed (+2)</v>
      </c>
    </row>
    <row r="290" spans="1:22" x14ac:dyDescent="0.2">
      <c r="A290" s="144" t="str">
        <v>H6a</v>
      </c>
      <c r="B290" s="145">
        <v>4</v>
      </c>
      <c r="C290" s="129" t="str">
        <v>*AMENDED ACCOUNT* Bilateral Cataracts</v>
      </c>
      <c r="D290" s="129" t="str">
        <v>H6a – Head / Ocular: Ocular Procedure Under Local Anaesthetic or Eye Block or …</v>
      </c>
      <c r="E290" s="129" t="str">
        <v>01 - Head</v>
      </c>
      <c r="F290" s="129" t="str">
        <v>Solutions Plus</v>
      </c>
      <c r="G290" s="144" t="str">
        <v>CON-01</v>
      </c>
      <c r="H290" s="129" t="str">
        <v>To confirm</v>
      </c>
      <c r="I290" s="144" t="str">
        <v>No</v>
      </c>
      <c r="J290" s="144" t="str">
        <v>Base</v>
      </c>
      <c r="K290" s="144" t="str">
        <v/>
      </c>
      <c r="L290" s="146">
        <v>12</v>
      </c>
      <c r="M290" s="142">
        <v>660</v>
      </c>
      <c r="N290" s="144" t="str">
        <v>Unknown</v>
      </c>
      <c r="O290" s="142" t="str">
        <v/>
      </c>
      <c r="P290" s="142" t="str">
        <v/>
      </c>
      <c r="Q290" s="142">
        <v>55</v>
      </c>
      <c r="R290" s="129" t="str">
        <v>Description – likely</v>
      </c>
      <c r="S290" s="143" t="str">
        <v/>
      </c>
      <c r="T290" s="144" t="str">
        <v>SRC-00</v>
      </c>
      <c r="U290" s="129" t="str">
        <v>S+ row 5</v>
      </c>
      <c r="V290" s="129" t="str">
        <v/>
      </c>
    </row>
    <row r="291" spans="1:22" x14ac:dyDescent="0.2">
      <c r="A291" s="144" t="str">
        <v>H6a</v>
      </c>
      <c r="B291" s="145">
        <v>4</v>
      </c>
      <c r="C291" s="129" t="str">
        <v>2 Muscles Right Eye</v>
      </c>
      <c r="D291" s="129" t="str">
        <v>H6a – Head / Ocular: Ocular Procedure Under Local Anaesthetic or Eye Block or …</v>
      </c>
      <c r="E291" s="129" t="str">
        <v>01 - Head</v>
      </c>
      <c r="F291" s="129" t="str">
        <v>Solutions Plus</v>
      </c>
      <c r="G291" s="144" t="str">
        <v>CON-01</v>
      </c>
      <c r="H291" s="129" t="str">
        <v>To confirm</v>
      </c>
      <c r="I291" s="144" t="str">
        <v>No</v>
      </c>
      <c r="J291" s="144" t="str">
        <v>Base</v>
      </c>
      <c r="K291" s="144" t="str">
        <v/>
      </c>
      <c r="L291" s="146">
        <v>12</v>
      </c>
      <c r="M291" s="142">
        <v>660</v>
      </c>
      <c r="N291" s="144" t="str">
        <v>Unknown</v>
      </c>
      <c r="O291" s="142" t="str">
        <v/>
      </c>
      <c r="P291" s="142" t="str">
        <v/>
      </c>
      <c r="Q291" s="142">
        <v>55</v>
      </c>
      <c r="R291" s="129" t="str">
        <v>Description – likely</v>
      </c>
      <c r="S291" s="143" t="str">
        <v/>
      </c>
      <c r="T291" s="144" t="str">
        <v>SRC-00</v>
      </c>
      <c r="U291" s="129" t="str">
        <v>S+ row 7</v>
      </c>
      <c r="V291" s="129" t="str">
        <v/>
      </c>
    </row>
    <row r="292" spans="1:22" x14ac:dyDescent="0.2">
      <c r="A292" s="144" t="str">
        <v>H6a</v>
      </c>
      <c r="B292" s="145">
        <v>4</v>
      </c>
      <c r="C292" s="129" t="str">
        <v>3 snip punctoplasty</v>
      </c>
      <c r="D292" s="129" t="str">
        <v>H6a – Head / Ocular: Ocular Procedure Under Local Anaesthetic or Eye Block or …</v>
      </c>
      <c r="E292" s="129" t="str">
        <v>01 - Head</v>
      </c>
      <c r="F292" s="129" t="str">
        <v>CESL – HNZ (commitment)</v>
      </c>
      <c r="G292" s="144" t="str">
        <v>CON-05</v>
      </c>
      <c r="H292" s="129" t="str">
        <v>Fixed fee schedule</v>
      </c>
      <c r="I292" s="144" t="str">
        <v>Yes</v>
      </c>
      <c r="J292" s="144" t="str">
        <v>Base</v>
      </c>
      <c r="K292" s="144" t="str">
        <v>HNZ18</v>
      </c>
      <c r="L292" s="146" t="str">
        <v/>
      </c>
      <c r="M292" s="142">
        <v>800</v>
      </c>
      <c r="N292" s="144" t="str">
        <v>Excl</v>
      </c>
      <c r="O292" s="142">
        <v>800</v>
      </c>
      <c r="P292" s="142">
        <v>919.99999999999989</v>
      </c>
      <c r="Q292" s="142" t="str">
        <v/>
      </c>
      <c r="R292" s="129" t="str">
        <v>Description – likely</v>
      </c>
      <c r="S292" s="143" t="str">
        <v/>
      </c>
      <c r="T292" s="144" t="str">
        <v>SRC-08</v>
      </c>
      <c r="U292" s="129" t="str">
        <v>Sheet row 26 – commitment</v>
      </c>
      <c r="V292" s="129" t="str">
        <v>CES HNZ Contract (Health NZ), commitment tier. Same fee in the panel tier. Printed excl. GST; no effective date printed. Likely: lacrimal procedure – matched to S+ 'Syringe And Probe' (H6a).</v>
      </c>
    </row>
    <row r="293" spans="1:22" x14ac:dyDescent="0.2">
      <c r="A293" s="144" t="str">
        <v>H6a</v>
      </c>
      <c r="B293" s="145">
        <v>4</v>
      </c>
      <c r="C293" s="129" t="str">
        <v>3 snip punctoplasty</v>
      </c>
      <c r="D293" s="129" t="str">
        <v>H6a – Head / Ocular: Ocular Procedure Under Local Anaesthetic or Eye Block or …</v>
      </c>
      <c r="E293" s="129" t="str">
        <v>01 - Head</v>
      </c>
      <c r="F293" s="129" t="str">
        <v>CESL – HNZ (panel)</v>
      </c>
      <c r="G293" s="144" t="str">
        <v>CON-06</v>
      </c>
      <c r="H293" s="129" t="str">
        <v>Fixed fee schedule</v>
      </c>
      <c r="I293" s="144" t="str">
        <v>Yes</v>
      </c>
      <c r="J293" s="144" t="str">
        <v>Base</v>
      </c>
      <c r="K293" s="144" t="str">
        <v>HNZ18</v>
      </c>
      <c r="L293" s="146" t="str">
        <v/>
      </c>
      <c r="M293" s="142">
        <v>800</v>
      </c>
      <c r="N293" s="144" t="str">
        <v>Excl</v>
      </c>
      <c r="O293" s="142">
        <v>800</v>
      </c>
      <c r="P293" s="142">
        <v>919.99999999999989</v>
      </c>
      <c r="Q293" s="142" t="str">
        <v/>
      </c>
      <c r="R293" s="129" t="str">
        <v>Description – likely</v>
      </c>
      <c r="S293" s="143" t="str">
        <v/>
      </c>
      <c r="T293" s="144" t="str">
        <v>SRC-08</v>
      </c>
      <c r="U293" s="129" t="str">
        <v>Sheet row 26 – panel</v>
      </c>
      <c r="V293" s="129" t="str">
        <v>CES HNZ Contract (Health NZ), panel tier. Same fee in the commitment tier. Printed excl. GST; no effective date printed. Likely: lacrimal procedure – matched to S+ 'Syringe And Probe' (H6a).</v>
      </c>
    </row>
    <row r="294" spans="1:22" x14ac:dyDescent="0.2">
      <c r="A294" s="144" t="str">
        <v>H6a</v>
      </c>
      <c r="B294" s="145">
        <v>4</v>
      </c>
      <c r="C294" s="129" t="str">
        <v>61-90 minutes duration</v>
      </c>
      <c r="D294" s="129" t="str">
        <v>H6a – Head / Ocular: Ocular Procedure Under Local Anaesthetic or Eye Block or …</v>
      </c>
      <c r="E294" s="129" t="str">
        <v>01 - Head</v>
      </c>
      <c r="F294" s="129" t="str">
        <v>CESL – SX AP</v>
      </c>
      <c r="G294" s="144" t="str">
        <v>CON-03</v>
      </c>
      <c r="H294" s="129" t="str">
        <v>Fixed fee schedule</v>
      </c>
      <c r="I294" s="144" t="str">
        <v>Yes</v>
      </c>
      <c r="J294" s="144" t="str">
        <v>Time band</v>
      </c>
      <c r="K294" s="144" t="str">
        <v/>
      </c>
      <c r="L294" s="146" t="str">
        <v/>
      </c>
      <c r="M294" s="142">
        <v>834.78</v>
      </c>
      <c r="N294" s="144" t="str">
        <v>Excl</v>
      </c>
      <c r="O294" s="142">
        <v>834.78</v>
      </c>
      <c r="P294" s="142">
        <v>959.99699999999984</v>
      </c>
      <c r="Q294" s="142" t="str">
        <v/>
      </c>
      <c r="R294" s="129" t="str">
        <v>Description – likely</v>
      </c>
      <c r="S294" s="143">
        <v>46113</v>
      </c>
      <c r="T294" s="144" t="str">
        <v>SRC-02</v>
      </c>
      <c r="U294" s="129" t="str">
        <v>p.1 – SX AP Vitrectomy</v>
      </c>
      <c r="V294" s="129" t="str">
        <v>Christchurch Eye Surgery (CESL) contract. SX AP vitrectomy, time band 61–90 mins. Printed excl. $834.78 / incl. $960.00. Likely: grouped with S+ 'Vitrectomy' rows (H6a).</v>
      </c>
    </row>
    <row r="295" spans="1:22" x14ac:dyDescent="0.2">
      <c r="A295" s="144" t="str">
        <v>H6a</v>
      </c>
      <c r="B295" s="145">
        <v>4</v>
      </c>
      <c r="C295" s="129" t="str">
        <v>90-120 minutes duration</v>
      </c>
      <c r="D295" s="129" t="str">
        <v>H6a – Head / Ocular: Ocular Procedure Under Local Anaesthetic or Eye Block or …</v>
      </c>
      <c r="E295" s="129" t="str">
        <v>01 - Head</v>
      </c>
      <c r="F295" s="129" t="str">
        <v>CESL – SX AP</v>
      </c>
      <c r="G295" s="144" t="str">
        <v>CON-03</v>
      </c>
      <c r="H295" s="129" t="str">
        <v>Fixed fee schedule</v>
      </c>
      <c r="I295" s="144" t="str">
        <v>Yes</v>
      </c>
      <c r="J295" s="144" t="str">
        <v>Time band</v>
      </c>
      <c r="K295" s="144" t="str">
        <v/>
      </c>
      <c r="L295" s="146" t="str">
        <v/>
      </c>
      <c r="M295" s="142">
        <v>865.22</v>
      </c>
      <c r="N295" s="144" t="str">
        <v>Excl</v>
      </c>
      <c r="O295" s="142">
        <v>865.22</v>
      </c>
      <c r="P295" s="142">
        <v>995.00299999999993</v>
      </c>
      <c r="Q295" s="142" t="str">
        <v/>
      </c>
      <c r="R295" s="129" t="str">
        <v>Description – likely</v>
      </c>
      <c r="S295" s="143">
        <v>46113</v>
      </c>
      <c r="T295" s="144" t="str">
        <v>SRC-02</v>
      </c>
      <c r="U295" s="129" t="str">
        <v>p.1 – SX AP Vitrectomy</v>
      </c>
      <c r="V295" s="129" t="str">
        <v>Christchurch Eye Surgery (CESL) contract. SX AP vitrectomy, time band 90–120 mins (90 mins also in the 61–90 band, as printed). Printed excl. $865.22 / incl. $995.00. Likely: grouped with S+ 'Vitrectomy' rows (H6a).</v>
      </c>
    </row>
    <row r="296" spans="1:22" x14ac:dyDescent="0.2">
      <c r="A296" s="144" t="str">
        <v>H6a</v>
      </c>
      <c r="B296" s="145">
        <v>4</v>
      </c>
      <c r="C296" s="129" t="str">
        <v>All Cataract &amp; IOL</v>
      </c>
      <c r="D296" s="129" t="str">
        <v>H6a – Head / Ocular: Ocular Procedure Under Local Anaesthetic or Eye Block or …</v>
      </c>
      <c r="E296" s="129" t="str">
        <v>01 - Head</v>
      </c>
      <c r="F296" s="129" t="str">
        <v>CESL – SX AP</v>
      </c>
      <c r="G296" s="144" t="str">
        <v>CON-03</v>
      </c>
      <c r="H296" s="129" t="str">
        <v>Fixed fee schedule</v>
      </c>
      <c r="I296" s="144" t="str">
        <v>Yes</v>
      </c>
      <c r="J296" s="144" t="str">
        <v>Base</v>
      </c>
      <c r="K296" s="144" t="str">
        <v/>
      </c>
      <c r="L296" s="146" t="str">
        <v/>
      </c>
      <c r="M296" s="142">
        <v>357.39</v>
      </c>
      <c r="N296" s="144" t="str">
        <v>Excl</v>
      </c>
      <c r="O296" s="142">
        <v>357.39</v>
      </c>
      <c r="P296" s="142">
        <v>410.99849999999998</v>
      </c>
      <c r="Q296" s="142" t="str">
        <v/>
      </c>
      <c r="R296" s="129" t="str">
        <v>Description – likely</v>
      </c>
      <c r="S296" s="143">
        <v>46113</v>
      </c>
      <c r="T296" s="144" t="str">
        <v>SRC-02</v>
      </c>
      <c r="U296" s="129" t="str">
        <v>p.1 – SX AP Cataract</v>
      </c>
      <c r="V296" s="129" t="str">
        <v>Christchurch Eye Surgery (CESL) contract. Southern Cross Affiliated Provider (SX AP), LA. Printed excl. $357.39 / incl. $411.00. Likely: generic 'All Cataract &amp; IOL' grouped with S+ cataract extraction + IOL rows (H6a). SRC-03 MIGS add-ons quote 'Cat Fee $405.00', which differs from $411.00 – see Open Questions.</v>
      </c>
    </row>
    <row r="297" spans="1:22" x14ac:dyDescent="0.2">
      <c r="A297" s="144" t="str">
        <v>H6a</v>
      </c>
      <c r="B297" s="145">
        <v>4</v>
      </c>
      <c r="C297" s="129" t="str">
        <v>All Cataract &amp; IOL (WCDHB and CDHB outsourced)</v>
      </c>
      <c r="D297" s="129" t="str">
        <v>H6a – Head / Ocular: Ocular Procedure Under Local Anaesthetic or Eye Block or …</v>
      </c>
      <c r="E297" s="129" t="str">
        <v>01 - Head</v>
      </c>
      <c r="F297" s="129" t="str">
        <v>CESL – HNZ</v>
      </c>
      <c r="G297" s="144" t="str">
        <v>CON-04</v>
      </c>
      <c r="H297" s="129" t="str">
        <v>Fixed fee schedule</v>
      </c>
      <c r="I297" s="144" t="str">
        <v>Yes</v>
      </c>
      <c r="J297" s="144" t="str">
        <v>Base</v>
      </c>
      <c r="K297" s="144" t="str">
        <v/>
      </c>
      <c r="L297" s="146" t="str">
        <v/>
      </c>
      <c r="M297" s="142">
        <v>338</v>
      </c>
      <c r="N297" s="144" t="str">
        <v>Excl</v>
      </c>
      <c r="O297" s="142">
        <v>338</v>
      </c>
      <c r="P297" s="142">
        <v>388.7</v>
      </c>
      <c r="Q297" s="142" t="str">
        <v/>
      </c>
      <c r="R297" s="129" t="str">
        <v>Description – likely</v>
      </c>
      <c r="S297" s="143">
        <v>45931</v>
      </c>
      <c r="T297" s="144" t="str">
        <v>SRC-02</v>
      </c>
      <c r="U297" s="129" t="str">
        <v>p.1 – HNZ</v>
      </c>
      <c r="V297" s="129" t="str">
        <v>Christchurch Eye Surgery (CESL) contract. Health NZ outsourced cataract (WCDHB and CDHB). Printed excl. $338.00 / incl. $388.70. Likely: grouped with S+ cataract rows (H6a), which include CDHB/WCDHB cataract lines.</v>
      </c>
    </row>
    <row r="298" spans="1:22" x14ac:dyDescent="0.2">
      <c r="A298" s="144" t="str">
        <v>H6a</v>
      </c>
      <c r="B298" s="145">
        <v>4</v>
      </c>
      <c r="C298" s="129" t="str">
        <v>AMENDED ACCOUNT - Right Cataract</v>
      </c>
      <c r="D298" s="129" t="str">
        <v>H6a – Head / Ocular: Ocular Procedure Under Local Anaesthetic or Eye Block or …</v>
      </c>
      <c r="E298" s="129" t="str">
        <v>01 - Head</v>
      </c>
      <c r="F298" s="129" t="str">
        <v>Solutions Plus</v>
      </c>
      <c r="G298" s="144" t="str">
        <v>CON-01</v>
      </c>
      <c r="H298" s="129" t="str">
        <v>To confirm</v>
      </c>
      <c r="I298" s="144" t="str">
        <v>No</v>
      </c>
      <c r="J298" s="144" t="str">
        <v>Base</v>
      </c>
      <c r="K298" s="144" t="str">
        <v/>
      </c>
      <c r="L298" s="146">
        <v>0</v>
      </c>
      <c r="M298" s="142">
        <v>0</v>
      </c>
      <c r="N298" s="144" t="str">
        <v>Unknown</v>
      </c>
      <c r="O298" s="142" t="str">
        <v/>
      </c>
      <c r="P298" s="142" t="str">
        <v/>
      </c>
      <c r="Q298" s="142" t="str">
        <v/>
      </c>
      <c r="R298" s="129" t="str">
        <v>Description – likely</v>
      </c>
      <c r="S298" s="143" t="str">
        <v/>
      </c>
      <c r="T298" s="144" t="str">
        <v>SRC-00</v>
      </c>
      <c r="U298" s="129" t="str">
        <v>S+ row 35</v>
      </c>
      <c r="V298" s="129" t="str">
        <v/>
      </c>
    </row>
    <row r="299" spans="1:22" x14ac:dyDescent="0.2">
      <c r="A299" s="144" t="str">
        <v>H6a</v>
      </c>
      <c r="B299" s="145">
        <v>4</v>
      </c>
      <c r="C299" s="129" t="str">
        <v>AMENDED ACCOUNT - Right NLDO Recanalisation</v>
      </c>
      <c r="D299" s="129" t="str">
        <v>H6a – Head / Ocular: Ocular Procedure Under Local Anaesthetic or Eye Block or …</v>
      </c>
      <c r="E299" s="129" t="str">
        <v>01 - Head</v>
      </c>
      <c r="F299" s="129" t="str">
        <v>Solutions Plus</v>
      </c>
      <c r="G299" s="144" t="str">
        <v>CON-01</v>
      </c>
      <c r="H299" s="129" t="str">
        <v>To confirm</v>
      </c>
      <c r="I299" s="144" t="str">
        <v>No</v>
      </c>
      <c r="J299" s="144" t="str">
        <v>Base</v>
      </c>
      <c r="K299" s="144" t="str">
        <v/>
      </c>
      <c r="L299" s="146">
        <v>0</v>
      </c>
      <c r="M299" s="142">
        <v>0</v>
      </c>
      <c r="N299" s="144" t="str">
        <v>Unknown</v>
      </c>
      <c r="O299" s="142" t="str">
        <v/>
      </c>
      <c r="P299" s="142" t="str">
        <v/>
      </c>
      <c r="Q299" s="142" t="str">
        <v/>
      </c>
      <c r="R299" s="129" t="str">
        <v>Description – likely</v>
      </c>
      <c r="S299" s="143" t="str">
        <v/>
      </c>
      <c r="T299" s="144" t="str">
        <v>SRC-00</v>
      </c>
      <c r="U299" s="129" t="str">
        <v>S+ row 36</v>
      </c>
      <c r="V299" s="129" t="str">
        <v/>
      </c>
    </row>
    <row r="300" spans="1:22" x14ac:dyDescent="0.2">
      <c r="A300" s="144" t="str">
        <v>H6a</v>
      </c>
      <c r="B300" s="145">
        <v>4</v>
      </c>
      <c r="C300" s="129" t="str">
        <v>Anterior Vitrectomy added to Cataract &amp;IOL</v>
      </c>
      <c r="D300" s="129" t="str">
        <v>H6a – Head / Ocular: Ocular Procedure Under Local Anaesthetic or Eye Block or …</v>
      </c>
      <c r="E300" s="129" t="str">
        <v>01 - Head</v>
      </c>
      <c r="F300" s="129" t="str">
        <v>CESL – SX AP</v>
      </c>
      <c r="G300" s="144" t="str">
        <v>CON-03</v>
      </c>
      <c r="H300" s="129" t="str">
        <v>Fixed fee schedule</v>
      </c>
      <c r="I300" s="144" t="str">
        <v>Yes</v>
      </c>
      <c r="J300" s="144" t="str">
        <v>Add-on</v>
      </c>
      <c r="K300" s="144" t="str">
        <v/>
      </c>
      <c r="L300" s="146" t="str">
        <v/>
      </c>
      <c r="M300" s="142">
        <v>100</v>
      </c>
      <c r="N300" s="144" t="str">
        <v>Excl</v>
      </c>
      <c r="O300" s="142">
        <v>100</v>
      </c>
      <c r="P300" s="142">
        <v>114.99999999999999</v>
      </c>
      <c r="Q300" s="142" t="str">
        <v/>
      </c>
      <c r="R300" s="129" t="str">
        <v>Description – likely</v>
      </c>
      <c r="S300" s="143">
        <v>46113</v>
      </c>
      <c r="T300" s="144" t="str">
        <v>SRC-02</v>
      </c>
      <c r="U300" s="129" t="str">
        <v>p.1 – SX AP Cataract</v>
      </c>
      <c r="V300" s="129" t="str">
        <v>Christchurch Eye Surgery (CESL) contract. Add-on to SX AP 'All Cataract &amp; IOL': combined $457.39 excl. / $526.00 incl. Printed excl. $100.00 / incl. $115.00. Likely: add-on grouped with the cataract rows (H6a).</v>
      </c>
    </row>
    <row r="301" spans="1:22" x14ac:dyDescent="0.2">
      <c r="A301" s="144" t="str">
        <v>H6a</v>
      </c>
      <c r="B301" s="145">
        <v>4</v>
      </c>
      <c r="C301" s="129" t="str">
        <v>Bilateral Cataract</v>
      </c>
      <c r="D301" s="129" t="str">
        <v>H6a – Head / Ocular: Ocular Procedure Under Local Anaesthetic or Eye Block or …</v>
      </c>
      <c r="E301" s="129" t="str">
        <v>01 - Head</v>
      </c>
      <c r="F301" s="129" t="str">
        <v>Solutions Plus</v>
      </c>
      <c r="G301" s="144" t="str">
        <v>CON-01</v>
      </c>
      <c r="H301" s="129" t="str">
        <v>To confirm</v>
      </c>
      <c r="I301" s="144" t="str">
        <v>No</v>
      </c>
      <c r="J301" s="144" t="str">
        <v>Base</v>
      </c>
      <c r="K301" s="144" t="str">
        <v/>
      </c>
      <c r="L301" s="146">
        <v>3.1</v>
      </c>
      <c r="M301" s="142">
        <v>171.6</v>
      </c>
      <c r="N301" s="144" t="str">
        <v>Unknown</v>
      </c>
      <c r="O301" s="142" t="str">
        <v/>
      </c>
      <c r="P301" s="142" t="str">
        <v/>
      </c>
      <c r="Q301" s="142">
        <v>55.354838709677416</v>
      </c>
      <c r="R301" s="129" t="str">
        <v>Description – likely</v>
      </c>
      <c r="S301" s="143" t="str">
        <v/>
      </c>
      <c r="T301" s="144" t="str">
        <v>SRC-00</v>
      </c>
      <c r="U301" s="129" t="str">
        <v>S+ row 79</v>
      </c>
      <c r="V301" s="129" t="str">
        <v/>
      </c>
    </row>
    <row r="302" spans="1:22" x14ac:dyDescent="0.2">
      <c r="A302" s="144" t="str">
        <v>H6a</v>
      </c>
      <c r="B302" s="145">
        <v>4</v>
      </c>
      <c r="C302" s="129" t="str">
        <v>Bilateral Cataracts</v>
      </c>
      <c r="D302" s="129" t="str">
        <v>H6a – Head / Ocular: Ocular Procedure Under Local Anaesthetic or Eye Block or …</v>
      </c>
      <c r="E302" s="129" t="str">
        <v>01 - Head</v>
      </c>
      <c r="F302" s="129" t="str">
        <v>Solutions Plus</v>
      </c>
      <c r="G302" s="144" t="str">
        <v>CON-01</v>
      </c>
      <c r="H302" s="129" t="str">
        <v>To confirm</v>
      </c>
      <c r="I302" s="144" t="str">
        <v>No</v>
      </c>
      <c r="J302" s="144" t="str">
        <v>Base</v>
      </c>
      <c r="K302" s="144" t="str">
        <v/>
      </c>
      <c r="L302" s="146">
        <v>4.4000000000000004</v>
      </c>
      <c r="M302" s="142">
        <v>239.8</v>
      </c>
      <c r="N302" s="144" t="str">
        <v>Unknown</v>
      </c>
      <c r="O302" s="142" t="str">
        <v/>
      </c>
      <c r="P302" s="142" t="str">
        <v/>
      </c>
      <c r="Q302" s="142">
        <v>54.5</v>
      </c>
      <c r="R302" s="129" t="str">
        <v>Description – likely</v>
      </c>
      <c r="S302" s="143" t="str">
        <v/>
      </c>
      <c r="T302" s="144" t="str">
        <v>SRC-00</v>
      </c>
      <c r="U302" s="129" t="str">
        <v>S+ row 80</v>
      </c>
      <c r="V302" s="129" t="str">
        <v/>
      </c>
    </row>
    <row r="303" spans="1:22" x14ac:dyDescent="0.2">
      <c r="A303" s="144" t="str">
        <v>H6a</v>
      </c>
      <c r="B303" s="145">
        <v>4</v>
      </c>
      <c r="C303" s="129" t="str">
        <v>Bilateral Refractive Lens Exchange</v>
      </c>
      <c r="D303" s="129" t="str">
        <v>H6a – Head / Ocular: Ocular Procedure Under Local Anaesthetic or Eye Block or …</v>
      </c>
      <c r="E303" s="129" t="str">
        <v>01 - Head</v>
      </c>
      <c r="F303" s="129" t="str">
        <v>Solutions Plus</v>
      </c>
      <c r="G303" s="144" t="str">
        <v>CON-01</v>
      </c>
      <c r="H303" s="129" t="str">
        <v>To confirm</v>
      </c>
      <c r="I303" s="144" t="str">
        <v>No</v>
      </c>
      <c r="J303" s="144" t="str">
        <v>Base</v>
      </c>
      <c r="K303" s="144" t="str">
        <v/>
      </c>
      <c r="L303" s="146">
        <v>5</v>
      </c>
      <c r="M303" s="142">
        <v>274.45</v>
      </c>
      <c r="N303" s="144" t="str">
        <v>Unknown</v>
      </c>
      <c r="O303" s="142" t="str">
        <v/>
      </c>
      <c r="P303" s="142" t="str">
        <v/>
      </c>
      <c r="Q303" s="142">
        <v>54.89</v>
      </c>
      <c r="R303" s="129" t="str">
        <v>Description – likely</v>
      </c>
      <c r="S303" s="143" t="str">
        <v/>
      </c>
      <c r="T303" s="144" t="str">
        <v>SRC-00</v>
      </c>
      <c r="U303" s="129" t="str">
        <v>S+ row 107</v>
      </c>
      <c r="V303" s="129" t="str">
        <v/>
      </c>
    </row>
    <row r="304" spans="1:22" x14ac:dyDescent="0.2">
      <c r="A304" s="144" t="str">
        <v>H6a</v>
      </c>
      <c r="B304" s="145">
        <v>4</v>
      </c>
      <c r="C304" s="129" t="str">
        <v>Cataract  - inclusive of Standard  Intraocular Lens (Unilateral)</v>
      </c>
      <c r="D304" s="129" t="str">
        <v>H6a – Head / Ocular: Ocular Procedure Under Local Anaesthetic or Eye Block or …</v>
      </c>
      <c r="E304" s="129" t="str">
        <v>01 - Head</v>
      </c>
      <c r="F304" s="129" t="str">
        <v>CESL – HNZ (commitment)</v>
      </c>
      <c r="G304" s="144" t="str">
        <v>CON-05</v>
      </c>
      <c r="H304" s="129" t="str">
        <v>Fixed fee schedule</v>
      </c>
      <c r="I304" s="144" t="str">
        <v>Yes</v>
      </c>
      <c r="J304" s="144" t="str">
        <v>Base</v>
      </c>
      <c r="K304" s="144" t="str">
        <v>HNZCATall</v>
      </c>
      <c r="L304" s="146" t="str">
        <v/>
      </c>
      <c r="M304" s="142">
        <v>420</v>
      </c>
      <c r="N304" s="144" t="str">
        <v>Excl</v>
      </c>
      <c r="O304" s="142">
        <v>420</v>
      </c>
      <c r="P304" s="142">
        <v>482.99999999999994</v>
      </c>
      <c r="Q304" s="142" t="str">
        <v/>
      </c>
      <c r="R304" s="129" t="str">
        <v>Description – likely</v>
      </c>
      <c r="S304" s="143" t="str">
        <v/>
      </c>
      <c r="T304" s="144" t="str">
        <v>SRC-08</v>
      </c>
      <c r="U304" s="129" t="str">
        <v>Sheet row 8 – commitment</v>
      </c>
      <c r="V304" s="129" t="str">
        <v>CES HNZ Contract (Health NZ), commitment tier. Same fee in the panel tier. Printed excl. GST; no effective date printed. Likely: grouped with the S+ cataract rows and the SRC-02 CESL HNZ cataract row (H6a). Differs from SRC-02 CESL HNZ 'All Cataract &amp; IOL' $338 excl. – see Open Questions.</v>
      </c>
    </row>
    <row r="305" spans="1:22" x14ac:dyDescent="0.2">
      <c r="A305" s="144" t="str">
        <v>H6a</v>
      </c>
      <c r="B305" s="145">
        <v>4</v>
      </c>
      <c r="C305" s="129" t="str">
        <v>Cataract  - inclusive of Standard  Intraocular Lens (Unilateral)</v>
      </c>
      <c r="D305" s="129" t="str">
        <v>H6a – Head / Ocular: Ocular Procedure Under Local Anaesthetic or Eye Block or …</v>
      </c>
      <c r="E305" s="129" t="str">
        <v>01 - Head</v>
      </c>
      <c r="F305" s="129" t="str">
        <v>CESL – HNZ (panel)</v>
      </c>
      <c r="G305" s="144" t="str">
        <v>CON-06</v>
      </c>
      <c r="H305" s="129" t="str">
        <v>Fixed fee schedule</v>
      </c>
      <c r="I305" s="144" t="str">
        <v>Yes</v>
      </c>
      <c r="J305" s="144" t="str">
        <v>Base</v>
      </c>
      <c r="K305" s="144" t="str">
        <v>HNZCATall</v>
      </c>
      <c r="L305" s="146" t="str">
        <v/>
      </c>
      <c r="M305" s="142">
        <v>420</v>
      </c>
      <c r="N305" s="144" t="str">
        <v>Excl</v>
      </c>
      <c r="O305" s="142">
        <v>420</v>
      </c>
      <c r="P305" s="142">
        <v>482.99999999999994</v>
      </c>
      <c r="Q305" s="142" t="str">
        <v/>
      </c>
      <c r="R305" s="129" t="str">
        <v>Description – likely</v>
      </c>
      <c r="S305" s="143" t="str">
        <v/>
      </c>
      <c r="T305" s="144" t="str">
        <v>SRC-08</v>
      </c>
      <c r="U305" s="129" t="str">
        <v>Sheet row 8 – panel</v>
      </c>
      <c r="V305" s="129" t="str">
        <v>CES HNZ Contract (Health NZ), panel tier. Same fee in the commitment tier. Printed excl. GST; no effective date printed. Likely: grouped with the S+ cataract rows and the SRC-02 CESL HNZ cataract row (H6a). Differs from SRC-02 CESL HNZ 'All Cataract &amp; IOL' $338 excl. – see Open Questions.</v>
      </c>
    </row>
    <row r="306" spans="1:22" x14ac:dyDescent="0.2">
      <c r="A306" s="144" t="str">
        <v>H6a</v>
      </c>
      <c r="B306" s="145">
        <v>4</v>
      </c>
      <c r="C306" s="129" t="str">
        <v>CATARACT CDHB</v>
      </c>
      <c r="D306" s="129" t="str">
        <v>H6a – Head / Ocular: Ocular Procedure Under Local Anaesthetic or Eye Block or …</v>
      </c>
      <c r="E306" s="129" t="str">
        <v>01 - Head</v>
      </c>
      <c r="F306" s="129" t="str">
        <v>Solutions Plus</v>
      </c>
      <c r="G306" s="144" t="str">
        <v>CON-01</v>
      </c>
      <c r="H306" s="129" t="str">
        <v>To confirm</v>
      </c>
      <c r="I306" s="144" t="str">
        <v>No</v>
      </c>
      <c r="J306" s="144" t="str">
        <v>Base</v>
      </c>
      <c r="K306" s="144" t="str">
        <v/>
      </c>
      <c r="L306" s="146">
        <v>1.7</v>
      </c>
      <c r="M306" s="142">
        <v>95.15</v>
      </c>
      <c r="N306" s="144" t="str">
        <v>Unknown</v>
      </c>
      <c r="O306" s="142" t="str">
        <v/>
      </c>
      <c r="P306" s="142" t="str">
        <v/>
      </c>
      <c r="Q306" s="142">
        <v>55.970588235294123</v>
      </c>
      <c r="R306" s="129" t="str">
        <v>Description – likely</v>
      </c>
      <c r="S306" s="143" t="str">
        <v/>
      </c>
      <c r="T306" s="144" t="str">
        <v>SRC-00</v>
      </c>
      <c r="U306" s="129" t="str">
        <v>S+ row 152</v>
      </c>
      <c r="V306" s="129" t="str">
        <v/>
      </c>
    </row>
    <row r="307" spans="1:22" x14ac:dyDescent="0.2">
      <c r="A307" s="144" t="str">
        <v>H6a</v>
      </c>
      <c r="B307" s="145">
        <v>4</v>
      </c>
      <c r="C307" s="129" t="str">
        <v>Cataract CDHB</v>
      </c>
      <c r="D307" s="129" t="str">
        <v>H6a – Head / Ocular: Ocular Procedure Under Local Anaesthetic or Eye Block or …</v>
      </c>
      <c r="E307" s="129" t="str">
        <v>01 - Head</v>
      </c>
      <c r="F307" s="129" t="str">
        <v>Solutions Plus</v>
      </c>
      <c r="G307" s="144" t="str">
        <v>CON-01</v>
      </c>
      <c r="H307" s="129" t="str">
        <v>To confirm</v>
      </c>
      <c r="I307" s="144" t="str">
        <v>No</v>
      </c>
      <c r="J307" s="144" t="str">
        <v>Base</v>
      </c>
      <c r="K307" s="144" t="str">
        <v/>
      </c>
      <c r="L307" s="146">
        <v>2.8</v>
      </c>
      <c r="M307" s="142">
        <v>153.44999999999999</v>
      </c>
      <c r="N307" s="144" t="str">
        <v>Unknown</v>
      </c>
      <c r="O307" s="142" t="str">
        <v/>
      </c>
      <c r="P307" s="142" t="str">
        <v/>
      </c>
      <c r="Q307" s="142">
        <v>54.803571428571431</v>
      </c>
      <c r="R307" s="129" t="str">
        <v>Description – likely</v>
      </c>
      <c r="S307" s="143" t="str">
        <v/>
      </c>
      <c r="T307" s="144" t="str">
        <v>SRC-00</v>
      </c>
      <c r="U307" s="129" t="str">
        <v>S+ row 155</v>
      </c>
      <c r="V307" s="129" t="str">
        <v/>
      </c>
    </row>
    <row r="308" spans="1:22" x14ac:dyDescent="0.2">
      <c r="A308" s="144" t="str">
        <v>H6a</v>
      </c>
      <c r="B308" s="145">
        <v>4</v>
      </c>
      <c r="C308" s="129" t="str">
        <v>CATARACT CDHB Left</v>
      </c>
      <c r="D308" s="129" t="str">
        <v>H6a – Head / Ocular: Ocular Procedure Under Local Anaesthetic or Eye Block or …</v>
      </c>
      <c r="E308" s="129" t="str">
        <v>01 - Head</v>
      </c>
      <c r="F308" s="129" t="str">
        <v>Solutions Plus</v>
      </c>
      <c r="G308" s="144" t="str">
        <v>CON-01</v>
      </c>
      <c r="H308" s="129" t="str">
        <v>To confirm</v>
      </c>
      <c r="I308" s="144" t="str">
        <v>No</v>
      </c>
      <c r="J308" s="144" t="str">
        <v>Base</v>
      </c>
      <c r="K308" s="144" t="str">
        <v/>
      </c>
      <c r="L308" s="146">
        <v>0.5</v>
      </c>
      <c r="M308" s="142">
        <v>28.6</v>
      </c>
      <c r="N308" s="144" t="str">
        <v>Unknown</v>
      </c>
      <c r="O308" s="142" t="str">
        <v/>
      </c>
      <c r="P308" s="142" t="str">
        <v/>
      </c>
      <c r="Q308" s="142">
        <v>57.2</v>
      </c>
      <c r="R308" s="129" t="str">
        <v>Description – likely</v>
      </c>
      <c r="S308" s="143" t="str">
        <v/>
      </c>
      <c r="T308" s="144" t="str">
        <v>SRC-00</v>
      </c>
      <c r="U308" s="129" t="str">
        <v>S+ row 156</v>
      </c>
      <c r="V308" s="129" t="str">
        <v/>
      </c>
    </row>
    <row r="309" spans="1:22" x14ac:dyDescent="0.2">
      <c r="A309" s="144" t="str">
        <v>H6a</v>
      </c>
      <c r="B309" s="145">
        <v>4</v>
      </c>
      <c r="C309" s="129" t="str">
        <v>Cataract Extraction And Iol Implant - Local (Monitor</v>
      </c>
      <c r="D309" s="129" t="str">
        <v>H6a – Head / Ocular: Ocular Procedure Under Local Anaesthetic or Eye Block or …</v>
      </c>
      <c r="E309" s="129" t="str">
        <v>01 - Head</v>
      </c>
      <c r="F309" s="129" t="str">
        <v>Solutions Plus</v>
      </c>
      <c r="G309" s="144" t="str">
        <v>CON-01</v>
      </c>
      <c r="H309" s="129" t="str">
        <v>To confirm</v>
      </c>
      <c r="I309" s="144" t="str">
        <v>No</v>
      </c>
      <c r="J309" s="144" t="str">
        <v>Base</v>
      </c>
      <c r="K309" s="144" t="str">
        <v/>
      </c>
      <c r="L309" s="146">
        <v>0</v>
      </c>
      <c r="M309" s="142">
        <v>0</v>
      </c>
      <c r="N309" s="144" t="str">
        <v>Unknown</v>
      </c>
      <c r="O309" s="142" t="str">
        <v/>
      </c>
      <c r="P309" s="142" t="str">
        <v/>
      </c>
      <c r="Q309" s="142" t="str">
        <v/>
      </c>
      <c r="R309" s="129" t="str">
        <v>Description – likely</v>
      </c>
      <c r="S309" s="143" t="str">
        <v/>
      </c>
      <c r="T309" s="144" t="str">
        <v>SRC-00</v>
      </c>
      <c r="U309" s="129" t="str">
        <v>S+ row 157</v>
      </c>
      <c r="V309" s="129" t="str">
        <v/>
      </c>
    </row>
    <row r="310" spans="1:22" x14ac:dyDescent="0.2">
      <c r="A310" s="144" t="str">
        <v>H6a</v>
      </c>
      <c r="B310" s="145">
        <v>4</v>
      </c>
      <c r="C310" s="129" t="str">
        <v>Cataract Extraction Simple - Phacoemulsion and IOL</v>
      </c>
      <c r="D310" s="129" t="str">
        <v>H6a – Head / Ocular: Ocular Procedure Under Local Anaesthetic or Eye Block or …</v>
      </c>
      <c r="E310" s="129" t="str">
        <v>01 - Head</v>
      </c>
      <c r="F310" s="129" t="str">
        <v>CESL – ACC</v>
      </c>
      <c r="G310" s="144" t="str">
        <v>CON-07</v>
      </c>
      <c r="H310" s="129" t="str">
        <v>Fixed fee schedule</v>
      </c>
      <c r="I310" s="144" t="str">
        <v>Yes</v>
      </c>
      <c r="J310" s="144" t="str">
        <v>Base</v>
      </c>
      <c r="K310" s="144" t="str">
        <v>OPT101</v>
      </c>
      <c r="L310" s="146" t="str">
        <v/>
      </c>
      <c r="M310" s="142">
        <v>450</v>
      </c>
      <c r="N310" s="144" t="str">
        <v>Excl</v>
      </c>
      <c r="O310" s="142">
        <v>450</v>
      </c>
      <c r="P310" s="142">
        <v>517.5</v>
      </c>
      <c r="Q310" s="142" t="str">
        <v/>
      </c>
      <c r="R310" s="129" t="str">
        <v>Description – likely</v>
      </c>
      <c r="S310" s="143">
        <v>45717</v>
      </c>
      <c r="T310" s="144" t="str">
        <v>SRC-02</v>
      </c>
      <c r="U310" s="129" t="str">
        <v>p.1 – ACC</v>
      </c>
      <c r="V310" s="129" t="str">
        <v>Christchurch Eye Surgery (CESL) contract. ACC core price. Printed excl. $450.00 / incl. $517.50. Likely: phaco + IOL grouped with S+ cataract extraction + IOL rows (H6a). Document refers to the full ACC Core pricing list for other OPT codes (not in this document).</v>
      </c>
    </row>
    <row r="311" spans="1:22" x14ac:dyDescent="0.2">
      <c r="A311" s="144" t="str">
        <v>H6a</v>
      </c>
      <c r="B311" s="145">
        <v>4</v>
      </c>
      <c r="C311" s="129" t="str">
        <v>Cataract Left</v>
      </c>
      <c r="D311" s="129" t="str">
        <v>H6a – Head / Ocular: Ocular Procedure Under Local Anaesthetic or Eye Block or …</v>
      </c>
      <c r="E311" s="129" t="str">
        <v>01 - Head</v>
      </c>
      <c r="F311" s="129" t="str">
        <v>Solutions Plus</v>
      </c>
      <c r="G311" s="144" t="str">
        <v>CON-01</v>
      </c>
      <c r="H311" s="129" t="str">
        <v>To confirm</v>
      </c>
      <c r="I311" s="144" t="str">
        <v>No</v>
      </c>
      <c r="J311" s="144" t="str">
        <v>Base</v>
      </c>
      <c r="K311" s="144" t="str">
        <v/>
      </c>
      <c r="L311" s="146">
        <v>2.1</v>
      </c>
      <c r="M311" s="142">
        <v>116.6</v>
      </c>
      <c r="N311" s="144" t="str">
        <v>Unknown</v>
      </c>
      <c r="O311" s="142" t="str">
        <v/>
      </c>
      <c r="P311" s="142" t="str">
        <v/>
      </c>
      <c r="Q311" s="142">
        <v>55.523809523809518</v>
      </c>
      <c r="R311" s="129" t="str">
        <v>Description – likely</v>
      </c>
      <c r="S311" s="143" t="str">
        <v/>
      </c>
      <c r="T311" s="144" t="str">
        <v>SRC-00</v>
      </c>
      <c r="U311" s="129" t="str">
        <v>S+ row 153</v>
      </c>
      <c r="V311" s="129" t="str">
        <v/>
      </c>
    </row>
    <row r="312" spans="1:22" x14ac:dyDescent="0.2">
      <c r="A312" s="144" t="str">
        <v>H6a</v>
      </c>
      <c r="B312" s="145">
        <v>4</v>
      </c>
      <c r="C312" s="129" t="str">
        <v>Cataract Left</v>
      </c>
      <c r="D312" s="129" t="str">
        <v>H6a – Head / Ocular: Ocular Procedure Under Local Anaesthetic or Eye Block or …</v>
      </c>
      <c r="E312" s="129" t="str">
        <v>01 - Head</v>
      </c>
      <c r="F312" s="129" t="str">
        <v>Solutions Plus</v>
      </c>
      <c r="G312" s="144" t="str">
        <v>CON-01</v>
      </c>
      <c r="H312" s="129" t="str">
        <v>To confirm</v>
      </c>
      <c r="I312" s="144" t="str">
        <v>No</v>
      </c>
      <c r="J312" s="144" t="str">
        <v>Base</v>
      </c>
      <c r="K312" s="144" t="str">
        <v/>
      </c>
      <c r="L312" s="146">
        <v>1.6</v>
      </c>
      <c r="M312" s="142">
        <v>87.45</v>
      </c>
      <c r="N312" s="144" t="str">
        <v>Unknown</v>
      </c>
      <c r="O312" s="142" t="str">
        <v/>
      </c>
      <c r="P312" s="142" t="str">
        <v/>
      </c>
      <c r="Q312" s="142">
        <v>54.65625</v>
      </c>
      <c r="R312" s="129" t="str">
        <v>Description – likely</v>
      </c>
      <c r="S312" s="143" t="str">
        <v/>
      </c>
      <c r="T312" s="144" t="str">
        <v>SRC-00</v>
      </c>
      <c r="U312" s="129" t="str">
        <v>S+ row 158</v>
      </c>
      <c r="V312" s="129" t="str">
        <v/>
      </c>
    </row>
    <row r="313" spans="1:22" x14ac:dyDescent="0.2">
      <c r="A313" s="144" t="str">
        <v>H6a</v>
      </c>
      <c r="B313" s="145">
        <v>4</v>
      </c>
      <c r="C313" s="129" t="str">
        <v>Cataract Left - WCDHB</v>
      </c>
      <c r="D313" s="129" t="str">
        <v>H6a – Head / Ocular: Ocular Procedure Under Local Anaesthetic or Eye Block or …</v>
      </c>
      <c r="E313" s="129" t="str">
        <v>01 - Head</v>
      </c>
      <c r="F313" s="129" t="str">
        <v>Solutions Plus</v>
      </c>
      <c r="G313" s="144" t="str">
        <v>CON-01</v>
      </c>
      <c r="H313" s="129" t="str">
        <v>To confirm</v>
      </c>
      <c r="I313" s="144" t="str">
        <v>No</v>
      </c>
      <c r="J313" s="144" t="str">
        <v>Base</v>
      </c>
      <c r="K313" s="144" t="str">
        <v/>
      </c>
      <c r="L313" s="146">
        <v>0</v>
      </c>
      <c r="M313" s="142">
        <v>0</v>
      </c>
      <c r="N313" s="144" t="str">
        <v>Unknown</v>
      </c>
      <c r="O313" s="142" t="str">
        <v/>
      </c>
      <c r="P313" s="142" t="str">
        <v/>
      </c>
      <c r="Q313" s="142" t="str">
        <v/>
      </c>
      <c r="R313" s="129" t="str">
        <v>Description – likely</v>
      </c>
      <c r="S313" s="143" t="str">
        <v/>
      </c>
      <c r="T313" s="144" t="str">
        <v>SRC-00</v>
      </c>
      <c r="U313" s="129" t="str">
        <v>S+ row 154</v>
      </c>
      <c r="V313" s="129" t="str">
        <v/>
      </c>
    </row>
    <row r="314" spans="1:22" x14ac:dyDescent="0.2">
      <c r="A314" s="144" t="str">
        <v>H6a</v>
      </c>
      <c r="B314" s="145">
        <v>4</v>
      </c>
      <c r="C314" s="129" t="str">
        <v>Cataract Right</v>
      </c>
      <c r="D314" s="129" t="str">
        <v>H6a – Head / Ocular: Ocular Procedure Under Local Anaesthetic or Eye Block or …</v>
      </c>
      <c r="E314" s="129" t="str">
        <v>01 - Head</v>
      </c>
      <c r="F314" s="129" t="str">
        <v>Solutions Plus</v>
      </c>
      <c r="G314" s="144" t="str">
        <v>CON-01</v>
      </c>
      <c r="H314" s="129" t="str">
        <v>To confirm</v>
      </c>
      <c r="I314" s="144" t="str">
        <v>No</v>
      </c>
      <c r="J314" s="144" t="str">
        <v>Base</v>
      </c>
      <c r="K314" s="144" t="str">
        <v/>
      </c>
      <c r="L314" s="146">
        <v>1.4</v>
      </c>
      <c r="M314" s="142">
        <v>76.45</v>
      </c>
      <c r="N314" s="144" t="str">
        <v>Unknown</v>
      </c>
      <c r="O314" s="142" t="str">
        <v/>
      </c>
      <c r="P314" s="142" t="str">
        <v/>
      </c>
      <c r="Q314" s="142">
        <v>54.607142857142861</v>
      </c>
      <c r="R314" s="129" t="str">
        <v>Description – likely</v>
      </c>
      <c r="S314" s="143" t="str">
        <v/>
      </c>
      <c r="T314" s="144" t="str">
        <v>SRC-00</v>
      </c>
      <c r="U314" s="129" t="str">
        <v>S+ row 159</v>
      </c>
      <c r="V314" s="129" t="str">
        <v/>
      </c>
    </row>
    <row r="315" spans="1:22" x14ac:dyDescent="0.2">
      <c r="A315" s="144" t="str">
        <v>H6a</v>
      </c>
      <c r="B315" s="145">
        <v>4</v>
      </c>
      <c r="C315" s="129" t="str">
        <v>Cataract under GA (Add to Cataract fee)</v>
      </c>
      <c r="D315" s="129" t="str">
        <v>H6a – Head / Ocular: Ocular Procedure Under Local Anaesthetic or Eye Block or …</v>
      </c>
      <c r="E315" s="129" t="str">
        <v>01 - Head</v>
      </c>
      <c r="F315" s="129" t="str">
        <v>CESL – SX AP</v>
      </c>
      <c r="G315" s="144" t="str">
        <v>CON-03</v>
      </c>
      <c r="H315" s="129" t="str">
        <v>Fixed fee schedule</v>
      </c>
      <c r="I315" s="144" t="str">
        <v>Yes</v>
      </c>
      <c r="J315" s="144" t="str">
        <v>Add-on</v>
      </c>
      <c r="K315" s="144" t="str">
        <v/>
      </c>
      <c r="L315" s="146" t="str">
        <v/>
      </c>
      <c r="M315" s="142">
        <v>334.78</v>
      </c>
      <c r="N315" s="144" t="str">
        <v>Excl</v>
      </c>
      <c r="O315" s="142">
        <v>334.78</v>
      </c>
      <c r="P315" s="142">
        <v>384.99699999999996</v>
      </c>
      <c r="Q315" s="142" t="str">
        <v/>
      </c>
      <c r="R315" s="129" t="str">
        <v>Description – likely</v>
      </c>
      <c r="S315" s="143">
        <v>46113</v>
      </c>
      <c r="T315" s="144" t="str">
        <v>SRC-02</v>
      </c>
      <c r="U315" s="129" t="str">
        <v>p.1 – SX AP Cataract</v>
      </c>
      <c r="V315" s="129" t="str">
        <v>Christchurch Eye Surgery (CESL) contract. GA add-on to SX AP cataract fee: combined $692.17 excl. / $796.00 incl. Printed excl. $334.78 / incl. $385.00. Likely: grouped with the cataract rows (H6a covers GA over 2 years; see Q06 for paediatric).</v>
      </c>
    </row>
    <row r="316" spans="1:22" x14ac:dyDescent="0.2">
      <c r="A316" s="144" t="str">
        <v>H6a</v>
      </c>
      <c r="B316" s="145">
        <v>4</v>
      </c>
      <c r="C316" s="129" t="str">
        <v>CDHB - Left Cataract</v>
      </c>
      <c r="D316" s="129" t="str">
        <v>H6a – Head / Ocular: Ocular Procedure Under Local Anaesthetic or Eye Block or …</v>
      </c>
      <c r="E316" s="129" t="str">
        <v>01 - Head</v>
      </c>
      <c r="F316" s="129" t="str">
        <v>Solutions Plus</v>
      </c>
      <c r="G316" s="144" t="str">
        <v>CON-01</v>
      </c>
      <c r="H316" s="129" t="str">
        <v>To confirm</v>
      </c>
      <c r="I316" s="144" t="str">
        <v>No</v>
      </c>
      <c r="J316" s="144" t="str">
        <v>Base</v>
      </c>
      <c r="K316" s="144" t="str">
        <v/>
      </c>
      <c r="L316" s="146">
        <v>2.4</v>
      </c>
      <c r="M316" s="142">
        <v>130.9</v>
      </c>
      <c r="N316" s="144" t="str">
        <v>Unknown</v>
      </c>
      <c r="O316" s="142" t="str">
        <v/>
      </c>
      <c r="P316" s="142" t="str">
        <v/>
      </c>
      <c r="Q316" s="142">
        <v>54.541666666666671</v>
      </c>
      <c r="R316" s="129" t="str">
        <v>Description – likely</v>
      </c>
      <c r="S316" s="143" t="str">
        <v/>
      </c>
      <c r="T316" s="144" t="str">
        <v>SRC-00</v>
      </c>
      <c r="U316" s="129" t="str">
        <v>S+ row 162</v>
      </c>
      <c r="V316" s="129" t="str">
        <v/>
      </c>
    </row>
    <row r="317" spans="1:22" x14ac:dyDescent="0.2">
      <c r="A317" s="144" t="str">
        <v>H6a</v>
      </c>
      <c r="B317" s="145">
        <v>4</v>
      </c>
      <c r="C317" s="129" t="str">
        <v>Conjunctivoplasty +/- 3 snip punctoplasty +/- sutures</v>
      </c>
      <c r="D317" s="129" t="str">
        <v>H6a – Head / Ocular: Ocular Procedure Under Local Anaesthetic or Eye Block or …</v>
      </c>
      <c r="E317" s="129" t="str">
        <v>01 - Head</v>
      </c>
      <c r="F317" s="129" t="str">
        <v>CESL – HNZ (commitment)</v>
      </c>
      <c r="G317" s="144" t="str">
        <v>CON-05</v>
      </c>
      <c r="H317" s="129" t="str">
        <v>Fixed fee schedule</v>
      </c>
      <c r="I317" s="144" t="str">
        <v>Yes</v>
      </c>
      <c r="J317" s="144" t="str">
        <v>Base</v>
      </c>
      <c r="K317" s="144" t="str">
        <v>HNZ17</v>
      </c>
      <c r="L317" s="146" t="str">
        <v/>
      </c>
      <c r="M317" s="142">
        <v>800</v>
      </c>
      <c r="N317" s="144" t="str">
        <v>Excl</v>
      </c>
      <c r="O317" s="142">
        <v>800</v>
      </c>
      <c r="P317" s="142">
        <v>919.99999999999989</v>
      </c>
      <c r="Q317" s="142" t="str">
        <v/>
      </c>
      <c r="R317" s="129" t="str">
        <v>Description – likely</v>
      </c>
      <c r="S317" s="143" t="str">
        <v/>
      </c>
      <c r="T317" s="144" t="str">
        <v>SRC-08</v>
      </c>
      <c r="U317" s="129" t="str">
        <v>Sheet row 25 – commitment</v>
      </c>
      <c r="V317" s="129" t="str">
        <v>CES HNZ Contract (Health NZ), commitment tier. Same fee in the panel tier. Printed excl. GST; no effective date printed. Likely: grouped with S+ 'Pterygium' and the SRC-06 pterygium/conjunctival graft rows (H6a).</v>
      </c>
    </row>
    <row r="318" spans="1:22" x14ac:dyDescent="0.2">
      <c r="A318" s="144" t="str">
        <v>H6a</v>
      </c>
      <c r="B318" s="145">
        <v>4</v>
      </c>
      <c r="C318" s="129" t="str">
        <v>Conjunctivoplasty +/- 3 snip punctoplasty +/- sutures</v>
      </c>
      <c r="D318" s="129" t="str">
        <v>H6a – Head / Ocular: Ocular Procedure Under Local Anaesthetic or Eye Block or …</v>
      </c>
      <c r="E318" s="129" t="str">
        <v>01 - Head</v>
      </c>
      <c r="F318" s="129" t="str">
        <v>CESL – HNZ (panel)</v>
      </c>
      <c r="G318" s="144" t="str">
        <v>CON-06</v>
      </c>
      <c r="H318" s="129" t="str">
        <v>Fixed fee schedule</v>
      </c>
      <c r="I318" s="144" t="str">
        <v>Yes</v>
      </c>
      <c r="J318" s="144" t="str">
        <v>Base</v>
      </c>
      <c r="K318" s="144" t="str">
        <v>HNZ17</v>
      </c>
      <c r="L318" s="146" t="str">
        <v/>
      </c>
      <c r="M318" s="142">
        <v>800</v>
      </c>
      <c r="N318" s="144" t="str">
        <v>Excl</v>
      </c>
      <c r="O318" s="142">
        <v>800</v>
      </c>
      <c r="P318" s="142">
        <v>919.99999999999989</v>
      </c>
      <c r="Q318" s="142" t="str">
        <v/>
      </c>
      <c r="R318" s="129" t="str">
        <v>Description – likely</v>
      </c>
      <c r="S318" s="143" t="str">
        <v/>
      </c>
      <c r="T318" s="144" t="str">
        <v>SRC-08</v>
      </c>
      <c r="U318" s="129" t="str">
        <v>Sheet row 25 – panel</v>
      </c>
      <c r="V318" s="129" t="str">
        <v>CES HNZ Contract (Health NZ), panel tier. Same fee in the commitment tier. Printed excl. GST; no effective date printed. Likely: grouped with S+ 'Pterygium' and the SRC-06 pterygium/conjunctival graft rows (H6a).</v>
      </c>
    </row>
    <row r="319" spans="1:22" x14ac:dyDescent="0.2">
      <c r="A319" s="144" t="str">
        <v>H6a</v>
      </c>
      <c r="B319" s="145">
        <v>4</v>
      </c>
      <c r="C319" s="129" t="str">
        <v>Corneal Graft</v>
      </c>
      <c r="D319" s="129" t="str">
        <v>H6a – Head / Ocular: Ocular Procedure Under Local Anaesthetic or Eye Block or …</v>
      </c>
      <c r="E319" s="129" t="str">
        <v>01 - Head</v>
      </c>
      <c r="F319" s="129" t="str">
        <v>Solutions Plus</v>
      </c>
      <c r="G319" s="144" t="str">
        <v>CON-01</v>
      </c>
      <c r="H319" s="129" t="str">
        <v>To confirm</v>
      </c>
      <c r="I319" s="144" t="str">
        <v>No</v>
      </c>
      <c r="J319" s="144" t="str">
        <v>Base</v>
      </c>
      <c r="K319" s="144" t="str">
        <v/>
      </c>
      <c r="L319" s="146">
        <v>10.199999999999999</v>
      </c>
      <c r="M319" s="142">
        <v>558.25</v>
      </c>
      <c r="N319" s="144" t="str">
        <v>Unknown</v>
      </c>
      <c r="O319" s="142" t="str">
        <v/>
      </c>
      <c r="P319" s="142" t="str">
        <v/>
      </c>
      <c r="Q319" s="142">
        <v>54.730392156862749</v>
      </c>
      <c r="R319" s="129" t="str">
        <v>Description – likely</v>
      </c>
      <c r="S319" s="143" t="str">
        <v/>
      </c>
      <c r="T319" s="144" t="str">
        <v>SRC-00</v>
      </c>
      <c r="U319" s="129" t="str">
        <v>S+ row 213</v>
      </c>
      <c r="V319" s="129" t="str">
        <v/>
      </c>
    </row>
    <row r="320" spans="1:22" x14ac:dyDescent="0.2">
      <c r="A320" s="144" t="str">
        <v>H6a</v>
      </c>
      <c r="B320" s="145">
        <v>4</v>
      </c>
      <c r="C320" s="129" t="str">
        <v>Corneal Transplants – Full thickness</v>
      </c>
      <c r="D320" s="129" t="str">
        <v>H6a – Head / Ocular: Ocular Procedure Under Local Anaesthetic or Eye Block or …</v>
      </c>
      <c r="E320" s="129" t="str">
        <v>01 - Head</v>
      </c>
      <c r="F320" s="129" t="str">
        <v>CESL – HNZ (commitment)</v>
      </c>
      <c r="G320" s="144" t="str">
        <v>CON-05</v>
      </c>
      <c r="H320" s="129" t="str">
        <v>Fixed fee schedule</v>
      </c>
      <c r="I320" s="144" t="str">
        <v>Yes</v>
      </c>
      <c r="J320" s="144" t="str">
        <v>Base</v>
      </c>
      <c r="K320" s="144" t="str">
        <v>HNZ01</v>
      </c>
      <c r="L320" s="146" t="str">
        <v/>
      </c>
      <c r="M320" s="142">
        <v>900</v>
      </c>
      <c r="N320" s="144" t="str">
        <v>Excl</v>
      </c>
      <c r="O320" s="142">
        <v>900</v>
      </c>
      <c r="P320" s="142">
        <v>1035</v>
      </c>
      <c r="Q320" s="142" t="str">
        <v/>
      </c>
      <c r="R320" s="129" t="str">
        <v>Description – likely</v>
      </c>
      <c r="S320" s="143" t="str">
        <v/>
      </c>
      <c r="T320" s="144" t="str">
        <v>SRC-08</v>
      </c>
      <c r="U320" s="129" t="str">
        <v>Sheet row 9 – commitment</v>
      </c>
      <c r="V320" s="129" t="str">
        <v>CES HNZ Contract (Health NZ), commitment tier. Same fee in the panel tier. Printed excl. GST; no effective date printed. Likely: matched to S+ 'Corneal Graft' (H6a).</v>
      </c>
    </row>
    <row r="321" spans="1:22" x14ac:dyDescent="0.2">
      <c r="A321" s="144" t="str">
        <v>H6a</v>
      </c>
      <c r="B321" s="145">
        <v>4</v>
      </c>
      <c r="C321" s="129" t="str">
        <v>Corneal Transplants – Full thickness</v>
      </c>
      <c r="D321" s="129" t="str">
        <v>H6a – Head / Ocular: Ocular Procedure Under Local Anaesthetic or Eye Block or …</v>
      </c>
      <c r="E321" s="129" t="str">
        <v>01 - Head</v>
      </c>
      <c r="F321" s="129" t="str">
        <v>CESL – HNZ (panel)</v>
      </c>
      <c r="G321" s="144" t="str">
        <v>CON-06</v>
      </c>
      <c r="H321" s="129" t="str">
        <v>Fixed fee schedule</v>
      </c>
      <c r="I321" s="144" t="str">
        <v>Yes</v>
      </c>
      <c r="J321" s="144" t="str">
        <v>Base</v>
      </c>
      <c r="K321" s="144" t="str">
        <v>HNZ01</v>
      </c>
      <c r="L321" s="146" t="str">
        <v/>
      </c>
      <c r="M321" s="142">
        <v>900</v>
      </c>
      <c r="N321" s="144" t="str">
        <v>Excl</v>
      </c>
      <c r="O321" s="142">
        <v>900</v>
      </c>
      <c r="P321" s="142">
        <v>1035</v>
      </c>
      <c r="Q321" s="142" t="str">
        <v/>
      </c>
      <c r="R321" s="129" t="str">
        <v>Description – likely</v>
      </c>
      <c r="S321" s="143" t="str">
        <v/>
      </c>
      <c r="T321" s="144" t="str">
        <v>SRC-08</v>
      </c>
      <c r="U321" s="129" t="str">
        <v>Sheet row 9 – panel</v>
      </c>
      <c r="V321" s="129" t="str">
        <v>CES HNZ Contract (Health NZ), panel tier. Same fee in the commitment tier. Printed excl. GST; no effective date printed. Likely: matched to S+ 'Corneal Graft' (H6a).</v>
      </c>
    </row>
    <row r="322" spans="1:22" x14ac:dyDescent="0.2">
      <c r="A322" s="144" t="str">
        <v>H6a</v>
      </c>
      <c r="B322" s="145">
        <v>4</v>
      </c>
      <c r="C322" s="129" t="str">
        <v>Corneal Transplants – Partial thickness</v>
      </c>
      <c r="D322" s="129" t="str">
        <v>H6a – Head / Ocular: Ocular Procedure Under Local Anaesthetic or Eye Block or …</v>
      </c>
      <c r="E322" s="129" t="str">
        <v>01 - Head</v>
      </c>
      <c r="F322" s="129" t="str">
        <v>CESL – HNZ (commitment)</v>
      </c>
      <c r="G322" s="144" t="str">
        <v>CON-05</v>
      </c>
      <c r="H322" s="129" t="str">
        <v>Fixed fee schedule</v>
      </c>
      <c r="I322" s="144" t="str">
        <v>Yes</v>
      </c>
      <c r="J322" s="144" t="str">
        <v>Base</v>
      </c>
      <c r="K322" s="144" t="str">
        <v>HNZ02</v>
      </c>
      <c r="L322" s="146" t="str">
        <v/>
      </c>
      <c r="M322" s="142">
        <v>900</v>
      </c>
      <c r="N322" s="144" t="str">
        <v>Excl</v>
      </c>
      <c r="O322" s="142">
        <v>900</v>
      </c>
      <c r="P322" s="142">
        <v>1035</v>
      </c>
      <c r="Q322" s="142" t="str">
        <v/>
      </c>
      <c r="R322" s="129" t="str">
        <v>Description – likely</v>
      </c>
      <c r="S322" s="143" t="str">
        <v/>
      </c>
      <c r="T322" s="144" t="str">
        <v>SRC-08</v>
      </c>
      <c r="U322" s="129" t="str">
        <v>Sheet row 10 – commitment</v>
      </c>
      <c r="V322" s="129" t="str">
        <v>CES HNZ Contract (Health NZ), commitment tier. Same fee in the panel tier. Printed excl. GST; no effective date printed. Likely: matched to S+ 'Corneal Graft' (H6a).</v>
      </c>
    </row>
    <row r="323" spans="1:22" x14ac:dyDescent="0.2">
      <c r="A323" s="144" t="str">
        <v>H6a</v>
      </c>
      <c r="B323" s="145">
        <v>4</v>
      </c>
      <c r="C323" s="129" t="str">
        <v>Corneal Transplants – Partial thickness</v>
      </c>
      <c r="D323" s="129" t="str">
        <v>H6a – Head / Ocular: Ocular Procedure Under Local Anaesthetic or Eye Block or …</v>
      </c>
      <c r="E323" s="129" t="str">
        <v>01 - Head</v>
      </c>
      <c r="F323" s="129" t="str">
        <v>CESL – HNZ (panel)</v>
      </c>
      <c r="G323" s="144" t="str">
        <v>CON-06</v>
      </c>
      <c r="H323" s="129" t="str">
        <v>Fixed fee schedule</v>
      </c>
      <c r="I323" s="144" t="str">
        <v>Yes</v>
      </c>
      <c r="J323" s="144" t="str">
        <v>Base</v>
      </c>
      <c r="K323" s="144" t="str">
        <v>HNZ02</v>
      </c>
      <c r="L323" s="146" t="str">
        <v/>
      </c>
      <c r="M323" s="142">
        <v>900</v>
      </c>
      <c r="N323" s="144" t="str">
        <v>Excl</v>
      </c>
      <c r="O323" s="142">
        <v>900</v>
      </c>
      <c r="P323" s="142">
        <v>1035</v>
      </c>
      <c r="Q323" s="142" t="str">
        <v/>
      </c>
      <c r="R323" s="129" t="str">
        <v>Description – likely</v>
      </c>
      <c r="S323" s="143" t="str">
        <v/>
      </c>
      <c r="T323" s="144" t="str">
        <v>SRC-08</v>
      </c>
      <c r="U323" s="129" t="str">
        <v>Sheet row 10 – panel</v>
      </c>
      <c r="V323" s="129" t="str">
        <v>CES HNZ Contract (Health NZ), panel tier. Same fee in the commitment tier. Printed excl. GST; no effective date printed. Likely: matched to S+ 'Corneal Graft' (H6a).</v>
      </c>
    </row>
    <row r="324" spans="1:22" x14ac:dyDescent="0.2">
      <c r="A324" s="144" t="str">
        <v>H6a</v>
      </c>
      <c r="B324" s="145">
        <v>4</v>
      </c>
      <c r="C324" s="129" t="str">
        <v>Crosslinking</v>
      </c>
      <c r="D324" s="129" t="str">
        <v>H6a – Head / Ocular: Ocular Procedure Under Local Anaesthetic or Eye Block or …</v>
      </c>
      <c r="E324" s="129" t="str">
        <v>01 - Head</v>
      </c>
      <c r="F324" s="129" t="str">
        <v>CESL – HNZ (commitment)</v>
      </c>
      <c r="G324" s="144" t="str">
        <v>CON-05</v>
      </c>
      <c r="H324" s="129" t="str">
        <v>Fixed fee schedule</v>
      </c>
      <c r="I324" s="144" t="str">
        <v>Yes</v>
      </c>
      <c r="J324" s="144" t="str">
        <v>Base</v>
      </c>
      <c r="K324" s="144" t="str">
        <v>HNZ04</v>
      </c>
      <c r="L324" s="146" t="str">
        <v/>
      </c>
      <c r="M324" s="142">
        <v>600</v>
      </c>
      <c r="N324" s="144" t="str">
        <v>Excl</v>
      </c>
      <c r="O324" s="142">
        <v>600</v>
      </c>
      <c r="P324" s="142">
        <v>690</v>
      </c>
      <c r="Q324" s="142" t="str">
        <v/>
      </c>
      <c r="R324" s="129" t="str">
        <v>Description – likely</v>
      </c>
      <c r="S324" s="143" t="str">
        <v/>
      </c>
      <c r="T324" s="144" t="str">
        <v>SRC-08</v>
      </c>
      <c r="U324" s="129" t="str">
        <v>Sheet row 12 – commitment</v>
      </c>
      <c r="V324" s="129" t="str">
        <v>CES HNZ Contract (Health NZ), commitment tier. Same fee in the panel tier. Printed excl. GST; no effective date printed. Likely: no similar description in the master; ocular procedure, so grouped by the RVG group H6a (ocular procedure under LA/eye block/GA &gt; 2 yo) beneath the NZSA RVG H6a row.</v>
      </c>
    </row>
    <row r="325" spans="1:22" x14ac:dyDescent="0.2">
      <c r="A325" s="144" t="str">
        <v>H6a</v>
      </c>
      <c r="B325" s="145">
        <v>4</v>
      </c>
      <c r="C325" s="129" t="str">
        <v>Crosslinking</v>
      </c>
      <c r="D325" s="129" t="str">
        <v>H6a – Head / Ocular: Ocular Procedure Under Local Anaesthetic or Eye Block or …</v>
      </c>
      <c r="E325" s="129" t="str">
        <v>01 - Head</v>
      </c>
      <c r="F325" s="129" t="str">
        <v>CESL – HNZ (panel)</v>
      </c>
      <c r="G325" s="144" t="str">
        <v>CON-06</v>
      </c>
      <c r="H325" s="129" t="str">
        <v>Fixed fee schedule</v>
      </c>
      <c r="I325" s="144" t="str">
        <v>Yes</v>
      </c>
      <c r="J325" s="144" t="str">
        <v>Base</v>
      </c>
      <c r="K325" s="144" t="str">
        <v>HNZ04</v>
      </c>
      <c r="L325" s="146" t="str">
        <v/>
      </c>
      <c r="M325" s="142">
        <v>600</v>
      </c>
      <c r="N325" s="144" t="str">
        <v>Excl</v>
      </c>
      <c r="O325" s="142">
        <v>600</v>
      </c>
      <c r="P325" s="142">
        <v>690</v>
      </c>
      <c r="Q325" s="142" t="str">
        <v/>
      </c>
      <c r="R325" s="129" t="str">
        <v>Description – likely</v>
      </c>
      <c r="S325" s="143" t="str">
        <v/>
      </c>
      <c r="T325" s="144" t="str">
        <v>SRC-08</v>
      </c>
      <c r="U325" s="129" t="str">
        <v>Sheet row 12 – panel</v>
      </c>
      <c r="V325" s="129" t="str">
        <v>CES HNZ Contract (Health NZ), panel tier. Same fee in the commitment tier. Printed excl. GST; no effective date printed. Likely: no similar description in the master; ocular procedure, so grouped by the RVG group H6a (ocular procedure under LA/eye block/GA &gt; 2 yo) beneath the NZSA RVG H6a row.</v>
      </c>
    </row>
    <row r="326" spans="1:22" x14ac:dyDescent="0.2">
      <c r="A326" s="144" t="str">
        <v>H6a</v>
      </c>
      <c r="B326" s="145">
        <v>4</v>
      </c>
      <c r="C326" s="129" t="str">
        <v>Destruction of ciliary body</v>
      </c>
      <c r="D326" s="129" t="str">
        <v>H6a – Head / Ocular: Ocular Procedure Under Local Anaesthetic or Eye Block or …</v>
      </c>
      <c r="E326" s="129" t="str">
        <v>01 - Head</v>
      </c>
      <c r="F326" s="129" t="str">
        <v>CESL – HNZ (commitment)</v>
      </c>
      <c r="G326" s="144" t="str">
        <v>CON-05</v>
      </c>
      <c r="H326" s="129" t="str">
        <v>Fixed fee schedule</v>
      </c>
      <c r="I326" s="144" t="str">
        <v>Yes</v>
      </c>
      <c r="J326" s="144" t="str">
        <v>Base</v>
      </c>
      <c r="K326" s="144" t="str">
        <v>HNZ11</v>
      </c>
      <c r="L326" s="146" t="str">
        <v/>
      </c>
      <c r="M326" s="142">
        <v>700</v>
      </c>
      <c r="N326" s="144" t="str">
        <v>Excl</v>
      </c>
      <c r="O326" s="142">
        <v>700</v>
      </c>
      <c r="P326" s="142">
        <v>804.99999999999989</v>
      </c>
      <c r="Q326" s="142" t="str">
        <v/>
      </c>
      <c r="R326" s="129" t="str">
        <v>Description – likely</v>
      </c>
      <c r="S326" s="143" t="str">
        <v/>
      </c>
      <c r="T326" s="144" t="str">
        <v>SRC-08</v>
      </c>
      <c r="U326" s="129" t="str">
        <v>Sheet row 19 – commitment</v>
      </c>
      <c r="V326" s="129" t="str">
        <v>CES HNZ Contract (Health NZ), commitment tier. Same fee in the panel tier. Printed excl. GST; no effective date printed. Likely: no similar description in the master; ocular procedure, so grouped by the RVG group H6a (ocular procedure under LA/eye block/GA &gt; 2 yo) beneath the NZSA RVG H6a row.</v>
      </c>
    </row>
    <row r="327" spans="1:22" x14ac:dyDescent="0.2">
      <c r="A327" s="144" t="str">
        <v>H6a</v>
      </c>
      <c r="B327" s="145">
        <v>4</v>
      </c>
      <c r="C327" s="129" t="str">
        <v>Destruction of ciliary body</v>
      </c>
      <c r="D327" s="129" t="str">
        <v>H6a – Head / Ocular: Ocular Procedure Under Local Anaesthetic or Eye Block or …</v>
      </c>
      <c r="E327" s="129" t="str">
        <v>01 - Head</v>
      </c>
      <c r="F327" s="129" t="str">
        <v>CESL – HNZ (panel)</v>
      </c>
      <c r="G327" s="144" t="str">
        <v>CON-06</v>
      </c>
      <c r="H327" s="129" t="str">
        <v>Fixed fee schedule</v>
      </c>
      <c r="I327" s="144" t="str">
        <v>Yes</v>
      </c>
      <c r="J327" s="144" t="str">
        <v>Base</v>
      </c>
      <c r="K327" s="144" t="str">
        <v>HNZ11</v>
      </c>
      <c r="L327" s="146" t="str">
        <v/>
      </c>
      <c r="M327" s="142">
        <v>700</v>
      </c>
      <c r="N327" s="144" t="str">
        <v>Excl</v>
      </c>
      <c r="O327" s="142">
        <v>700</v>
      </c>
      <c r="P327" s="142">
        <v>804.99999999999989</v>
      </c>
      <c r="Q327" s="142" t="str">
        <v/>
      </c>
      <c r="R327" s="129" t="str">
        <v>Description – likely</v>
      </c>
      <c r="S327" s="143" t="str">
        <v/>
      </c>
      <c r="T327" s="144" t="str">
        <v>SRC-08</v>
      </c>
      <c r="U327" s="129" t="str">
        <v>Sheet row 19 – panel</v>
      </c>
      <c r="V327" s="129" t="str">
        <v>CES HNZ Contract (Health NZ), panel tier. Same fee in the commitment tier. Printed excl. GST; no effective date printed. Likely: no similar description in the master; ocular procedure, so grouped by the RVG group H6a (ocular procedure under LA/eye block/GA &gt; 2 yo) beneath the NZSA RVG H6a row.</v>
      </c>
    </row>
    <row r="328" spans="1:22" x14ac:dyDescent="0.2">
      <c r="A328" s="144" t="str">
        <v>H6a</v>
      </c>
      <c r="B328" s="145">
        <v>4</v>
      </c>
      <c r="C328" s="129" t="str">
        <v>Destruction procedures on retina, choroid or posterior chamber</v>
      </c>
      <c r="D328" s="129" t="str">
        <v>H6a – Head / Ocular: Ocular Procedure Under Local Anaesthetic or Eye Block or …</v>
      </c>
      <c r="E328" s="129" t="str">
        <v>01 - Head</v>
      </c>
      <c r="F328" s="129" t="str">
        <v>CESL – HNZ (commitment)</v>
      </c>
      <c r="G328" s="144" t="str">
        <v>CON-05</v>
      </c>
      <c r="H328" s="129" t="str">
        <v>Fixed fee schedule</v>
      </c>
      <c r="I328" s="144" t="str">
        <v>Yes</v>
      </c>
      <c r="J328" s="144" t="str">
        <v>Base</v>
      </c>
      <c r="K328" s="144" t="str">
        <v>HNZ12</v>
      </c>
      <c r="L328" s="146" t="str">
        <v/>
      </c>
      <c r="M328" s="142">
        <v>800</v>
      </c>
      <c r="N328" s="144" t="str">
        <v>Excl</v>
      </c>
      <c r="O328" s="142">
        <v>800</v>
      </c>
      <c r="P328" s="142">
        <v>919.99999999999989</v>
      </c>
      <c r="Q328" s="142" t="str">
        <v/>
      </c>
      <c r="R328" s="129" t="str">
        <v>Description – likely</v>
      </c>
      <c r="S328" s="143" t="str">
        <v/>
      </c>
      <c r="T328" s="144" t="str">
        <v>SRC-08</v>
      </c>
      <c r="U328" s="129" t="str">
        <v>Sheet row 20 – commitment</v>
      </c>
      <c r="V328" s="129" t="str">
        <v>CES HNZ Contract (Health NZ), commitment tier. Same fee in the panel tier. Printed excl. GST; no effective date printed. Likely: no similar description in the master; ocular procedure, so grouped by the RVG group H6a (ocular procedure under LA/eye block/GA &gt; 2 yo) beneath the NZSA RVG H6a row.</v>
      </c>
    </row>
    <row r="329" spans="1:22" x14ac:dyDescent="0.2">
      <c r="A329" s="144" t="str">
        <v>H6a</v>
      </c>
      <c r="B329" s="145">
        <v>4</v>
      </c>
      <c r="C329" s="129" t="str">
        <v>Destruction procedures on retina, choroid or posterior chamber</v>
      </c>
      <c r="D329" s="129" t="str">
        <v>H6a – Head / Ocular: Ocular Procedure Under Local Anaesthetic or Eye Block or …</v>
      </c>
      <c r="E329" s="129" t="str">
        <v>01 - Head</v>
      </c>
      <c r="F329" s="129" t="str">
        <v>CESL – HNZ (panel)</v>
      </c>
      <c r="G329" s="144" t="str">
        <v>CON-06</v>
      </c>
      <c r="H329" s="129" t="str">
        <v>Fixed fee schedule</v>
      </c>
      <c r="I329" s="144" t="str">
        <v>Yes</v>
      </c>
      <c r="J329" s="144" t="str">
        <v>Base</v>
      </c>
      <c r="K329" s="144" t="str">
        <v>HNZ12</v>
      </c>
      <c r="L329" s="146" t="str">
        <v/>
      </c>
      <c r="M329" s="142">
        <v>800</v>
      </c>
      <c r="N329" s="144" t="str">
        <v>Excl</v>
      </c>
      <c r="O329" s="142">
        <v>800</v>
      </c>
      <c r="P329" s="142">
        <v>919.99999999999989</v>
      </c>
      <c r="Q329" s="142" t="str">
        <v/>
      </c>
      <c r="R329" s="129" t="str">
        <v>Description – likely</v>
      </c>
      <c r="S329" s="143" t="str">
        <v/>
      </c>
      <c r="T329" s="144" t="str">
        <v>SRC-08</v>
      </c>
      <c r="U329" s="129" t="str">
        <v>Sheet row 20 – panel</v>
      </c>
      <c r="V329" s="129" t="str">
        <v>CES HNZ Contract (Health NZ), panel tier. Same fee in the commitment tier. Printed excl. GST; no effective date printed. Likely: no similar description in the master; ocular procedure, so grouped by the RVG group H6a (ocular procedure under LA/eye block/GA &gt; 2 yo) beneath the NZSA RVG H6a row.</v>
      </c>
    </row>
    <row r="330" spans="1:22" x14ac:dyDescent="0.2">
      <c r="A330" s="144" t="str">
        <v>H6a</v>
      </c>
      <c r="B330" s="145">
        <v>4</v>
      </c>
      <c r="C330" s="129" t="str">
        <v>DHB Cataract Right</v>
      </c>
      <c r="D330" s="129" t="str">
        <v>H6a – Head / Ocular: Ocular Procedure Under Local Anaesthetic or Eye Block or …</v>
      </c>
      <c r="E330" s="129" t="str">
        <v>01 - Head</v>
      </c>
      <c r="F330" s="129" t="str">
        <v>Solutions Plus</v>
      </c>
      <c r="G330" s="144" t="str">
        <v>CON-01</v>
      </c>
      <c r="H330" s="129" t="str">
        <v>To confirm</v>
      </c>
      <c r="I330" s="144" t="str">
        <v>No</v>
      </c>
      <c r="J330" s="144" t="str">
        <v>Base</v>
      </c>
      <c r="K330" s="144" t="str">
        <v/>
      </c>
      <c r="L330" s="146">
        <v>1.5</v>
      </c>
      <c r="M330" s="142">
        <v>81.95</v>
      </c>
      <c r="N330" s="144" t="str">
        <v>Unknown</v>
      </c>
      <c r="O330" s="142" t="str">
        <v/>
      </c>
      <c r="P330" s="142" t="str">
        <v/>
      </c>
      <c r="Q330" s="142">
        <v>54.633333333333333</v>
      </c>
      <c r="R330" s="129" t="str">
        <v>Description – likely</v>
      </c>
      <c r="S330" s="143" t="str">
        <v/>
      </c>
      <c r="T330" s="144" t="str">
        <v>SRC-00</v>
      </c>
      <c r="U330" s="129" t="str">
        <v>S+ row 246</v>
      </c>
      <c r="V330" s="129" t="str">
        <v/>
      </c>
    </row>
    <row r="331" spans="1:22" x14ac:dyDescent="0.2">
      <c r="A331" s="144" t="str">
        <v>H6a</v>
      </c>
      <c r="B331" s="145">
        <v>4</v>
      </c>
      <c r="C331" s="129" t="str">
        <v>DSAEK</v>
      </c>
      <c r="D331" s="129" t="str">
        <v>H6a – Head / Ocular: Ocular Procedure Under Local Anaesthetic or Eye Block or …</v>
      </c>
      <c r="E331" s="129" t="str">
        <v>01 - Head</v>
      </c>
      <c r="F331" s="129" t="str">
        <v>CESL – HNZ (commitment)</v>
      </c>
      <c r="G331" s="144" t="str">
        <v>CON-05</v>
      </c>
      <c r="H331" s="129" t="str">
        <v>Fixed fee schedule</v>
      </c>
      <c r="I331" s="144" t="str">
        <v>Yes</v>
      </c>
      <c r="J331" s="144" t="str">
        <v>Base</v>
      </c>
      <c r="K331" s="144" t="str">
        <v>HNZ07</v>
      </c>
      <c r="L331" s="146" t="str">
        <v/>
      </c>
      <c r="M331" s="142">
        <v>950</v>
      </c>
      <c r="N331" s="144" t="str">
        <v>Excl</v>
      </c>
      <c r="O331" s="142">
        <v>950</v>
      </c>
      <c r="P331" s="142">
        <v>1092.5</v>
      </c>
      <c r="Q331" s="142" t="str">
        <v/>
      </c>
      <c r="R331" s="129" t="str">
        <v>Description – likely</v>
      </c>
      <c r="S331" s="143" t="str">
        <v/>
      </c>
      <c r="T331" s="144" t="str">
        <v>SRC-08</v>
      </c>
      <c r="U331" s="129" t="str">
        <v>Sheet row 15 – commitment</v>
      </c>
      <c r="V331" s="129" t="str">
        <v>CES HNZ Contract (Health NZ), commitment tier. Panel tier fee $1000. Printed excl. GST; no effective date printed. Likely: matched to S+ 'Corneal Graft' (H6a).</v>
      </c>
    </row>
    <row r="332" spans="1:22" x14ac:dyDescent="0.2">
      <c r="A332" s="144" t="str">
        <v>H6a</v>
      </c>
      <c r="B332" s="145">
        <v>4</v>
      </c>
      <c r="C332" s="129" t="str">
        <v>DSAEK</v>
      </c>
      <c r="D332" s="129" t="str">
        <v>H6a – Head / Ocular: Ocular Procedure Under Local Anaesthetic or Eye Block or …</v>
      </c>
      <c r="E332" s="129" t="str">
        <v>01 - Head</v>
      </c>
      <c r="F332" s="129" t="str">
        <v>CESL – HNZ (panel)</v>
      </c>
      <c r="G332" s="144" t="str">
        <v>CON-06</v>
      </c>
      <c r="H332" s="129" t="str">
        <v>Fixed fee schedule</v>
      </c>
      <c r="I332" s="144" t="str">
        <v>Yes</v>
      </c>
      <c r="J332" s="144" t="str">
        <v>Base</v>
      </c>
      <c r="K332" s="144" t="str">
        <v>HNZ07</v>
      </c>
      <c r="L332" s="146" t="str">
        <v/>
      </c>
      <c r="M332" s="142">
        <v>1000</v>
      </c>
      <c r="N332" s="144" t="str">
        <v>Excl</v>
      </c>
      <c r="O332" s="142">
        <v>1000</v>
      </c>
      <c r="P332" s="142">
        <v>1150</v>
      </c>
      <c r="Q332" s="142" t="str">
        <v/>
      </c>
      <c r="R332" s="129" t="str">
        <v>Description – likely</v>
      </c>
      <c r="S332" s="143" t="str">
        <v/>
      </c>
      <c r="T332" s="144" t="str">
        <v>SRC-08</v>
      </c>
      <c r="U332" s="129" t="str">
        <v>Sheet row 15 – panel</v>
      </c>
      <c r="V332" s="129" t="str">
        <v>CES HNZ Contract (Health NZ), panel tier. Commitment tier fee $950. Printed excl. GST; no effective date printed. Likely: matched to S+ 'Corneal Graft' (H6a).</v>
      </c>
    </row>
    <row r="333" spans="1:22" x14ac:dyDescent="0.2">
      <c r="A333" s="144" t="str">
        <v>H6a</v>
      </c>
      <c r="B333" s="145">
        <v>4</v>
      </c>
      <c r="C333" s="129" t="str">
        <v>EDTA Chelation</v>
      </c>
      <c r="D333" s="129" t="str">
        <v>H6a – Head / Ocular: Ocular Procedure Under Local Anaesthetic or Eye Block or …</v>
      </c>
      <c r="E333" s="129" t="str">
        <v>01 - Head</v>
      </c>
      <c r="F333" s="129" t="str">
        <v>CESL – HNZ (commitment)</v>
      </c>
      <c r="G333" s="144" t="str">
        <v>CON-05</v>
      </c>
      <c r="H333" s="129" t="str">
        <v>Fixed fee schedule</v>
      </c>
      <c r="I333" s="144" t="str">
        <v>Yes</v>
      </c>
      <c r="J333" s="144" t="str">
        <v>Base</v>
      </c>
      <c r="K333" s="144" t="str">
        <v>HNZ05</v>
      </c>
      <c r="L333" s="146" t="str">
        <v/>
      </c>
      <c r="M333" s="142">
        <v>700</v>
      </c>
      <c r="N333" s="144" t="str">
        <v>Excl</v>
      </c>
      <c r="O333" s="142">
        <v>700</v>
      </c>
      <c r="P333" s="142">
        <v>804.99999999999989</v>
      </c>
      <c r="Q333" s="142" t="str">
        <v/>
      </c>
      <c r="R333" s="129" t="str">
        <v>Description – likely</v>
      </c>
      <c r="S333" s="143" t="str">
        <v/>
      </c>
      <c r="T333" s="144" t="str">
        <v>SRC-08</v>
      </c>
      <c r="U333" s="129" t="str">
        <v>Sheet row 13 – commitment</v>
      </c>
      <c r="V333" s="129" t="str">
        <v>CES HNZ Contract (Health NZ), commitment tier. Same fee in the panel tier. Printed excl. GST; no effective date printed. Likely: matched to S+ 'Lamellar Keratectomy/EDTA Chelation…' (H6a).</v>
      </c>
    </row>
    <row r="334" spans="1:22" x14ac:dyDescent="0.2">
      <c r="A334" s="144" t="str">
        <v>H6a</v>
      </c>
      <c r="B334" s="145">
        <v>4</v>
      </c>
      <c r="C334" s="129" t="str">
        <v>EDTA Chelation</v>
      </c>
      <c r="D334" s="129" t="str">
        <v>H6a – Head / Ocular: Ocular Procedure Under Local Anaesthetic or Eye Block or …</v>
      </c>
      <c r="E334" s="129" t="str">
        <v>01 - Head</v>
      </c>
      <c r="F334" s="129" t="str">
        <v>CESL – HNZ (panel)</v>
      </c>
      <c r="G334" s="144" t="str">
        <v>CON-06</v>
      </c>
      <c r="H334" s="129" t="str">
        <v>Fixed fee schedule</v>
      </c>
      <c r="I334" s="144" t="str">
        <v>Yes</v>
      </c>
      <c r="J334" s="144" t="str">
        <v>Base</v>
      </c>
      <c r="K334" s="144" t="str">
        <v>HNZ05</v>
      </c>
      <c r="L334" s="146" t="str">
        <v/>
      </c>
      <c r="M334" s="142">
        <v>700</v>
      </c>
      <c r="N334" s="144" t="str">
        <v>Excl</v>
      </c>
      <c r="O334" s="142">
        <v>700</v>
      </c>
      <c r="P334" s="142">
        <v>804.99999999999989</v>
      </c>
      <c r="Q334" s="142" t="str">
        <v/>
      </c>
      <c r="R334" s="129" t="str">
        <v>Description – likely</v>
      </c>
      <c r="S334" s="143" t="str">
        <v/>
      </c>
      <c r="T334" s="144" t="str">
        <v>SRC-08</v>
      </c>
      <c r="U334" s="129" t="str">
        <v>Sheet row 13 – panel</v>
      </c>
      <c r="V334" s="129" t="str">
        <v>CES HNZ Contract (Health NZ), panel tier. Same fee in the commitment tier. Printed excl. GST; no effective date printed. Likely: matched to S+ 'Lamellar Keratectomy/EDTA Chelation…' (H6a).</v>
      </c>
    </row>
    <row r="335" spans="1:22" x14ac:dyDescent="0.2">
      <c r="A335" s="144" t="str">
        <v>H6a</v>
      </c>
      <c r="B335" s="145">
        <v>4</v>
      </c>
      <c r="C335" s="129" t="str">
        <v>Enucleation +/- insertion of orbital implant +/- sclera</v>
      </c>
      <c r="D335" s="129" t="str">
        <v>H6a – Head / Ocular: Ocular Procedure Under Local Anaesthetic or Eye Block or …</v>
      </c>
      <c r="E335" s="129" t="str">
        <v>01 - Head</v>
      </c>
      <c r="F335" s="129" t="str">
        <v>CESL – HNZ (commitment)</v>
      </c>
      <c r="G335" s="144" t="str">
        <v>CON-05</v>
      </c>
      <c r="H335" s="129" t="str">
        <v>Fixed fee schedule</v>
      </c>
      <c r="I335" s="144" t="str">
        <v>Yes</v>
      </c>
      <c r="J335" s="144" t="str">
        <v>Base</v>
      </c>
      <c r="K335" s="144" t="str">
        <v>HNZ31</v>
      </c>
      <c r="L335" s="146" t="str">
        <v/>
      </c>
      <c r="M335" s="142">
        <v>950</v>
      </c>
      <c r="N335" s="144" t="str">
        <v>Excl</v>
      </c>
      <c r="O335" s="142">
        <v>950</v>
      </c>
      <c r="P335" s="142">
        <v>1092.5</v>
      </c>
      <c r="Q335" s="142" t="str">
        <v/>
      </c>
      <c r="R335" s="129" t="str">
        <v>Description – likely</v>
      </c>
      <c r="S335" s="143" t="str">
        <v/>
      </c>
      <c r="T335" s="144" t="str">
        <v>SRC-08</v>
      </c>
      <c r="U335" s="129" t="str">
        <v>Sheet row 39 – commitment</v>
      </c>
      <c r="V335" s="129" t="str">
        <v>CES HNZ Contract (Health NZ), commitment tier. Panel tier fee $1000. Printed excl. GST; no effective date printed. Likely: no similar description in the master; ocular procedure, so grouped by the RVG group H6a (ocular procedure under LA/eye block/GA &gt; 2 yo) beneath the NZSA RVG H6a row.</v>
      </c>
    </row>
    <row r="336" spans="1:22" x14ac:dyDescent="0.2">
      <c r="A336" s="144" t="str">
        <v>H6a</v>
      </c>
      <c r="B336" s="145">
        <v>4</v>
      </c>
      <c r="C336" s="129" t="str">
        <v>Enucleation +/- insertion of orbital implant +/- sclera</v>
      </c>
      <c r="D336" s="129" t="str">
        <v>H6a – Head / Ocular: Ocular Procedure Under Local Anaesthetic or Eye Block or …</v>
      </c>
      <c r="E336" s="129" t="str">
        <v>01 - Head</v>
      </c>
      <c r="F336" s="129" t="str">
        <v>CESL – HNZ (panel)</v>
      </c>
      <c r="G336" s="144" t="str">
        <v>CON-06</v>
      </c>
      <c r="H336" s="129" t="str">
        <v>Fixed fee schedule</v>
      </c>
      <c r="I336" s="144" t="str">
        <v>Yes</v>
      </c>
      <c r="J336" s="144" t="str">
        <v>Base</v>
      </c>
      <c r="K336" s="144" t="str">
        <v>HNZ31</v>
      </c>
      <c r="L336" s="146" t="str">
        <v/>
      </c>
      <c r="M336" s="142">
        <v>1000</v>
      </c>
      <c r="N336" s="144" t="str">
        <v>Excl</v>
      </c>
      <c r="O336" s="142">
        <v>1000</v>
      </c>
      <c r="P336" s="142">
        <v>1150</v>
      </c>
      <c r="Q336" s="142" t="str">
        <v/>
      </c>
      <c r="R336" s="129" t="str">
        <v>Description – likely</v>
      </c>
      <c r="S336" s="143" t="str">
        <v/>
      </c>
      <c r="T336" s="144" t="str">
        <v>SRC-08</v>
      </c>
      <c r="U336" s="129" t="str">
        <v>Sheet row 39 – panel</v>
      </c>
      <c r="V336" s="129" t="str">
        <v>CES HNZ Contract (Health NZ), panel tier. Commitment tier fee $950. Printed excl. GST; no effective date printed. Likely: no similar description in the master; ocular procedure, so grouped by the RVG group H6a (ocular procedure under LA/eye block/GA &gt; 2 yo) beneath the NZSA RVG H6a row.</v>
      </c>
    </row>
    <row r="337" spans="1:22" x14ac:dyDescent="0.2">
      <c r="A337" s="144" t="str">
        <v>H6a</v>
      </c>
      <c r="B337" s="145">
        <v>4</v>
      </c>
      <c r="C337" s="129" t="str">
        <v>Epiretinal membrane peel</v>
      </c>
      <c r="D337" s="129" t="str">
        <v>H6a – Head / Ocular: Ocular Procedure Under Local Anaesthetic or Eye Block or …</v>
      </c>
      <c r="E337" s="129" t="str">
        <v>01 - Head</v>
      </c>
      <c r="F337" s="129" t="str">
        <v>CESL – HNZ (commitment)</v>
      </c>
      <c r="G337" s="144" t="str">
        <v>CON-05</v>
      </c>
      <c r="H337" s="129" t="str">
        <v>Fixed fee schedule</v>
      </c>
      <c r="I337" s="144" t="str">
        <v>Yes</v>
      </c>
      <c r="J337" s="144" t="str">
        <v>Base</v>
      </c>
      <c r="K337" s="144" t="str">
        <v>HNZ59</v>
      </c>
      <c r="L337" s="146" t="str">
        <v/>
      </c>
      <c r="M337" s="142">
        <v>800</v>
      </c>
      <c r="N337" s="144" t="str">
        <v>Excl</v>
      </c>
      <c r="O337" s="142">
        <v>800</v>
      </c>
      <c r="P337" s="142">
        <v>919.99999999999989</v>
      </c>
      <c r="Q337" s="142" t="str">
        <v/>
      </c>
      <c r="R337" s="129" t="str">
        <v>Description – likely</v>
      </c>
      <c r="S337" s="143" t="str">
        <v/>
      </c>
      <c r="T337" s="144" t="str">
        <v>SRC-08</v>
      </c>
      <c r="U337" s="129" t="str">
        <v>Sheet row 64 – commitment</v>
      </c>
      <c r="V337" s="129" t="str">
        <v>CES HNZ Contract (Health NZ), commitment tier. Same fee in the panel tier. Printed excl. GST; no effective date printed. Likely: vitreoretinal surgery – grouped with S+ 'Vitrectomy' rows and the SRC-02 vitrectomy rows (H6a).</v>
      </c>
    </row>
    <row r="338" spans="1:22" x14ac:dyDescent="0.2">
      <c r="A338" s="144" t="str">
        <v>H6a</v>
      </c>
      <c r="B338" s="145">
        <v>4</v>
      </c>
      <c r="C338" s="129" t="str">
        <v>Epiretinal membrane peel</v>
      </c>
      <c r="D338" s="129" t="str">
        <v>H6a – Head / Ocular: Ocular Procedure Under Local Anaesthetic or Eye Block or …</v>
      </c>
      <c r="E338" s="129" t="str">
        <v>01 - Head</v>
      </c>
      <c r="F338" s="129" t="str">
        <v>CESL – HNZ (panel)</v>
      </c>
      <c r="G338" s="144" t="str">
        <v>CON-06</v>
      </c>
      <c r="H338" s="129" t="str">
        <v>Fixed fee schedule</v>
      </c>
      <c r="I338" s="144" t="str">
        <v>Yes</v>
      </c>
      <c r="J338" s="144" t="str">
        <v>Base</v>
      </c>
      <c r="K338" s="144" t="str">
        <v>HNZ59</v>
      </c>
      <c r="L338" s="146" t="str">
        <v/>
      </c>
      <c r="M338" s="142">
        <v>800</v>
      </c>
      <c r="N338" s="144" t="str">
        <v>Excl</v>
      </c>
      <c r="O338" s="142">
        <v>800</v>
      </c>
      <c r="P338" s="142">
        <v>919.99999999999989</v>
      </c>
      <c r="Q338" s="142" t="str">
        <v/>
      </c>
      <c r="R338" s="129" t="str">
        <v>Description – likely</v>
      </c>
      <c r="S338" s="143" t="str">
        <v/>
      </c>
      <c r="T338" s="144" t="str">
        <v>SRC-08</v>
      </c>
      <c r="U338" s="129" t="str">
        <v>Sheet row 64 – panel</v>
      </c>
      <c r="V338" s="129" t="str">
        <v>CES HNZ Contract (Health NZ), panel tier. Same fee in the commitment tier. Printed excl. GST; no effective date printed. Likely: vitreoretinal surgery – grouped with S+ 'Vitrectomy' rows and the SRC-02 vitrectomy rows (H6a).</v>
      </c>
    </row>
    <row r="339" spans="1:22" x14ac:dyDescent="0.2">
      <c r="A339" s="144" t="str">
        <v>H6a</v>
      </c>
      <c r="B339" s="145">
        <v>4</v>
      </c>
      <c r="C339" s="129" t="str">
        <v>Evisceration +/- implant</v>
      </c>
      <c r="D339" s="129" t="str">
        <v>H6a – Head / Ocular: Ocular Procedure Under Local Anaesthetic or Eye Block or …</v>
      </c>
      <c r="E339" s="129" t="str">
        <v>01 - Head</v>
      </c>
      <c r="F339" s="129" t="str">
        <v>CESL – HNZ (commitment)</v>
      </c>
      <c r="G339" s="144" t="str">
        <v>CON-05</v>
      </c>
      <c r="H339" s="129" t="str">
        <v>Fixed fee schedule</v>
      </c>
      <c r="I339" s="144" t="str">
        <v>Yes</v>
      </c>
      <c r="J339" s="144" t="str">
        <v>Base</v>
      </c>
      <c r="K339" s="144" t="str">
        <v>HNZ32</v>
      </c>
      <c r="L339" s="146" t="str">
        <v/>
      </c>
      <c r="M339" s="142">
        <v>1000</v>
      </c>
      <c r="N339" s="144" t="str">
        <v>Excl</v>
      </c>
      <c r="O339" s="142">
        <v>1000</v>
      </c>
      <c r="P339" s="142">
        <v>1150</v>
      </c>
      <c r="Q339" s="142" t="str">
        <v/>
      </c>
      <c r="R339" s="129" t="str">
        <v>Description – likely</v>
      </c>
      <c r="S339" s="143" t="str">
        <v/>
      </c>
      <c r="T339" s="144" t="str">
        <v>SRC-08</v>
      </c>
      <c r="U339" s="129" t="str">
        <v>Sheet row 40 – commitment</v>
      </c>
      <c r="V339" s="129" t="str">
        <v>CES HNZ Contract (Health NZ), commitment tier. Same fee in the panel tier. Printed excl. GST; no effective date printed. Likely: no similar description in the master; ocular procedure, so grouped by the RVG group H6a (ocular procedure under LA/eye block/GA &gt; 2 yo) beneath the NZSA RVG H6a row.</v>
      </c>
    </row>
    <row r="340" spans="1:22" x14ac:dyDescent="0.2">
      <c r="A340" s="144" t="str">
        <v>H6a</v>
      </c>
      <c r="B340" s="145">
        <v>4</v>
      </c>
      <c r="C340" s="129" t="str">
        <v>Evisceration +/- implant</v>
      </c>
      <c r="D340" s="129" t="str">
        <v>H6a – Head / Ocular: Ocular Procedure Under Local Anaesthetic or Eye Block or …</v>
      </c>
      <c r="E340" s="129" t="str">
        <v>01 - Head</v>
      </c>
      <c r="F340" s="129" t="str">
        <v>CESL – HNZ (panel)</v>
      </c>
      <c r="G340" s="144" t="str">
        <v>CON-06</v>
      </c>
      <c r="H340" s="129" t="str">
        <v>Fixed fee schedule</v>
      </c>
      <c r="I340" s="144" t="str">
        <v>Yes</v>
      </c>
      <c r="J340" s="144" t="str">
        <v>Base</v>
      </c>
      <c r="K340" s="144" t="str">
        <v>HNZ32</v>
      </c>
      <c r="L340" s="146" t="str">
        <v/>
      </c>
      <c r="M340" s="142">
        <v>1000</v>
      </c>
      <c r="N340" s="144" t="str">
        <v>Excl</v>
      </c>
      <c r="O340" s="142">
        <v>1000</v>
      </c>
      <c r="P340" s="142">
        <v>1150</v>
      </c>
      <c r="Q340" s="142" t="str">
        <v/>
      </c>
      <c r="R340" s="129" t="str">
        <v>Description – likely</v>
      </c>
      <c r="S340" s="143" t="str">
        <v/>
      </c>
      <c r="T340" s="144" t="str">
        <v>SRC-08</v>
      </c>
      <c r="U340" s="129" t="str">
        <v>Sheet row 40 – panel</v>
      </c>
      <c r="V340" s="129" t="str">
        <v>CES HNZ Contract (Health NZ), panel tier. Same fee in the commitment tier. Printed excl. GST; no effective date printed. Likely: no similar description in the master; ocular procedure, so grouped by the RVG group H6a (ocular procedure under LA/eye block/GA &gt; 2 yo) beneath the NZSA RVG H6a row.</v>
      </c>
    </row>
    <row r="341" spans="1:22" x14ac:dyDescent="0.2">
      <c r="A341" s="144" t="str">
        <v>H6a</v>
      </c>
      <c r="B341" s="145">
        <v>4</v>
      </c>
      <c r="C341" s="129" t="str">
        <v>Excision of pterygium +/- conjunctival graft</v>
      </c>
      <c r="D341" s="129" t="str">
        <v>H6a – Head / Ocular: Ocular Procedure Under Local Anaesthetic or Eye Block or …</v>
      </c>
      <c r="E341" s="129" t="str">
        <v>01 - Head</v>
      </c>
      <c r="F341" s="129" t="str">
        <v>CESL – HNZ (commitment)</v>
      </c>
      <c r="G341" s="144" t="str">
        <v>CON-05</v>
      </c>
      <c r="H341" s="129" t="str">
        <v>Fixed fee schedule</v>
      </c>
      <c r="I341" s="144" t="str">
        <v>Yes</v>
      </c>
      <c r="J341" s="144" t="str">
        <v>Base</v>
      </c>
      <c r="K341" s="144" t="str">
        <v>HNZ06</v>
      </c>
      <c r="L341" s="146" t="str">
        <v/>
      </c>
      <c r="M341" s="142">
        <v>700</v>
      </c>
      <c r="N341" s="144" t="str">
        <v>Excl</v>
      </c>
      <c r="O341" s="142">
        <v>700</v>
      </c>
      <c r="P341" s="142">
        <v>804.99999999999989</v>
      </c>
      <c r="Q341" s="142" t="str">
        <v/>
      </c>
      <c r="R341" s="129" t="str">
        <v>Description – likely</v>
      </c>
      <c r="S341" s="143" t="str">
        <v/>
      </c>
      <c r="T341" s="144" t="str">
        <v>SRC-08</v>
      </c>
      <c r="U341" s="129" t="str">
        <v>Sheet row 14 – commitment</v>
      </c>
      <c r="V341" s="129" t="str">
        <v>CES HNZ Contract (Health NZ), commitment tier. Same fee in the panel tier. Printed excl. GST; no effective date printed. Likely: grouped with S+ 'Pterygium' and the SRC-06 pterygium/conjunctival graft rows (H6a).</v>
      </c>
    </row>
    <row r="342" spans="1:22" x14ac:dyDescent="0.2">
      <c r="A342" s="144" t="str">
        <v>H6a</v>
      </c>
      <c r="B342" s="145">
        <v>4</v>
      </c>
      <c r="C342" s="129" t="str">
        <v>Excision of pterygium +/- conjunctival graft</v>
      </c>
      <c r="D342" s="129" t="str">
        <v>H6a – Head / Ocular: Ocular Procedure Under Local Anaesthetic or Eye Block or …</v>
      </c>
      <c r="E342" s="129" t="str">
        <v>01 - Head</v>
      </c>
      <c r="F342" s="129" t="str">
        <v>CESL – HNZ (panel)</v>
      </c>
      <c r="G342" s="144" t="str">
        <v>CON-06</v>
      </c>
      <c r="H342" s="129" t="str">
        <v>Fixed fee schedule</v>
      </c>
      <c r="I342" s="144" t="str">
        <v>Yes</v>
      </c>
      <c r="J342" s="144" t="str">
        <v>Base</v>
      </c>
      <c r="K342" s="144" t="str">
        <v>HNZ06</v>
      </c>
      <c r="L342" s="146" t="str">
        <v/>
      </c>
      <c r="M342" s="142">
        <v>700</v>
      </c>
      <c r="N342" s="144" t="str">
        <v>Excl</v>
      </c>
      <c r="O342" s="142">
        <v>700</v>
      </c>
      <c r="P342" s="142">
        <v>804.99999999999989</v>
      </c>
      <c r="Q342" s="142" t="str">
        <v/>
      </c>
      <c r="R342" s="129" t="str">
        <v>Description – likely</v>
      </c>
      <c r="S342" s="143" t="str">
        <v/>
      </c>
      <c r="T342" s="144" t="str">
        <v>SRC-08</v>
      </c>
      <c r="U342" s="129" t="str">
        <v>Sheet row 14 – panel</v>
      </c>
      <c r="V342" s="129" t="str">
        <v>CES HNZ Contract (Health NZ), panel tier. Same fee in the commitment tier. Printed excl. GST; no effective date printed. Likely: grouped with S+ 'Pterygium' and the SRC-06 pterygium/conjunctival graft rows (H6a).</v>
      </c>
    </row>
    <row r="343" spans="1:22" x14ac:dyDescent="0.2">
      <c r="A343" s="144" t="str">
        <v>H6a</v>
      </c>
      <c r="B343" s="145">
        <v>4</v>
      </c>
      <c r="C343" s="129" t="str">
        <v>Insertion of a tube implant +/- scleral patch</v>
      </c>
      <c r="D343" s="129" t="str">
        <v>H6a – Head / Ocular: Ocular Procedure Under Local Anaesthetic or Eye Block or …</v>
      </c>
      <c r="E343" s="129" t="str">
        <v>01 - Head</v>
      </c>
      <c r="F343" s="129" t="str">
        <v>CESL – HNZ (commitment)</v>
      </c>
      <c r="G343" s="144" t="str">
        <v>CON-05</v>
      </c>
      <c r="H343" s="129" t="str">
        <v>Fixed fee schedule</v>
      </c>
      <c r="I343" s="144" t="str">
        <v>Yes</v>
      </c>
      <c r="J343" s="144" t="str">
        <v>Base</v>
      </c>
      <c r="K343" s="144" t="str">
        <v>HNZ10</v>
      </c>
      <c r="L343" s="146" t="str">
        <v/>
      </c>
      <c r="M343" s="142">
        <v>800</v>
      </c>
      <c r="N343" s="144" t="str">
        <v>Excl</v>
      </c>
      <c r="O343" s="142">
        <v>800</v>
      </c>
      <c r="P343" s="142">
        <v>919.99999999999989</v>
      </c>
      <c r="Q343" s="142" t="str">
        <v/>
      </c>
      <c r="R343" s="129" t="str">
        <v>Description – likely</v>
      </c>
      <c r="S343" s="143" t="str">
        <v/>
      </c>
      <c r="T343" s="144" t="str">
        <v>SRC-08</v>
      </c>
      <c r="U343" s="129" t="str">
        <v>Sheet row 18 – commitment</v>
      </c>
      <c r="V343" s="129" t="str">
        <v>CES HNZ Contract (Health NZ), commitment tier. Same fee in the panel tier. Printed excl. GST; no effective date printed. Likely: glaucoma drainage tube – matched to S+ 'Molteno Implant' (H6a).</v>
      </c>
    </row>
    <row r="344" spans="1:22" x14ac:dyDescent="0.2">
      <c r="A344" s="144" t="str">
        <v>H6a</v>
      </c>
      <c r="B344" s="145">
        <v>4</v>
      </c>
      <c r="C344" s="129" t="str">
        <v>Insertion of a tube implant +/- scleral patch</v>
      </c>
      <c r="D344" s="129" t="str">
        <v>H6a – Head / Ocular: Ocular Procedure Under Local Anaesthetic or Eye Block or …</v>
      </c>
      <c r="E344" s="129" t="str">
        <v>01 - Head</v>
      </c>
      <c r="F344" s="129" t="str">
        <v>CESL – HNZ (panel)</v>
      </c>
      <c r="G344" s="144" t="str">
        <v>CON-06</v>
      </c>
      <c r="H344" s="129" t="str">
        <v>Fixed fee schedule</v>
      </c>
      <c r="I344" s="144" t="str">
        <v>Yes</v>
      </c>
      <c r="J344" s="144" t="str">
        <v>Base</v>
      </c>
      <c r="K344" s="144" t="str">
        <v>HNZ10</v>
      </c>
      <c r="L344" s="146" t="str">
        <v/>
      </c>
      <c r="M344" s="142">
        <v>800</v>
      </c>
      <c r="N344" s="144" t="str">
        <v>Excl</v>
      </c>
      <c r="O344" s="142">
        <v>800</v>
      </c>
      <c r="P344" s="142">
        <v>919.99999999999989</v>
      </c>
      <c r="Q344" s="142" t="str">
        <v/>
      </c>
      <c r="R344" s="129" t="str">
        <v>Description – likely</v>
      </c>
      <c r="S344" s="143" t="str">
        <v/>
      </c>
      <c r="T344" s="144" t="str">
        <v>SRC-08</v>
      </c>
      <c r="U344" s="129" t="str">
        <v>Sheet row 18 – panel</v>
      </c>
      <c r="V344" s="129" t="str">
        <v>CES HNZ Contract (Health NZ), panel tier. Same fee in the commitment tier. Printed excl. GST; no effective date printed. Likely: glaucoma drainage tube – matched to S+ 'Molteno Implant' (H6a).</v>
      </c>
    </row>
    <row r="345" spans="1:22" x14ac:dyDescent="0.2">
      <c r="A345" s="144" t="str">
        <v>H6a</v>
      </c>
      <c r="B345" s="145">
        <v>4</v>
      </c>
      <c r="C345" s="129" t="str">
        <v>Insertion/removal of sutures</v>
      </c>
      <c r="D345" s="129" t="str">
        <v>H6a – Head / Ocular: Ocular Procedure Under Local Anaesthetic or Eye Block or …</v>
      </c>
      <c r="E345" s="129" t="str">
        <v>01 - Head</v>
      </c>
      <c r="F345" s="129" t="str">
        <v>CESL – HNZ (commitment)</v>
      </c>
      <c r="G345" s="144" t="str">
        <v>CON-05</v>
      </c>
      <c r="H345" s="129" t="str">
        <v>Fixed fee schedule</v>
      </c>
      <c r="I345" s="144" t="str">
        <v>Yes</v>
      </c>
      <c r="J345" s="144" t="str">
        <v>Base</v>
      </c>
      <c r="K345" s="144" t="str">
        <v>HNZ38</v>
      </c>
      <c r="L345" s="146" t="str">
        <v/>
      </c>
      <c r="M345" s="142">
        <v>480</v>
      </c>
      <c r="N345" s="144" t="str">
        <v>Excl</v>
      </c>
      <c r="O345" s="142">
        <v>480</v>
      </c>
      <c r="P345" s="142">
        <v>552</v>
      </c>
      <c r="Q345" s="142" t="str">
        <v/>
      </c>
      <c r="R345" s="129" t="str">
        <v>Description – likely</v>
      </c>
      <c r="S345" s="143" t="str">
        <v/>
      </c>
      <c r="T345" s="144" t="str">
        <v>SRC-08</v>
      </c>
      <c r="U345" s="129" t="str">
        <v>Sheet row 44 – commitment</v>
      </c>
      <c r="V345" s="129" t="str">
        <v>CES HNZ Contract (Health NZ), commitment tier. Panel tier fee $500. Printed excl. GST; no effective date printed. Likely: no similar description in the master; ocular procedure, so grouped by the RVG group H6a (ocular procedure under LA/eye block/GA &gt; 2 yo) beneath the NZSA RVG H6a row.</v>
      </c>
    </row>
    <row r="346" spans="1:22" x14ac:dyDescent="0.2">
      <c r="A346" s="144" t="str">
        <v>H6a</v>
      </c>
      <c r="B346" s="145">
        <v>4</v>
      </c>
      <c r="C346" s="129" t="str">
        <v>Insertion/removal of sutures</v>
      </c>
      <c r="D346" s="129" t="str">
        <v>H6a – Head / Ocular: Ocular Procedure Under Local Anaesthetic or Eye Block or …</v>
      </c>
      <c r="E346" s="129" t="str">
        <v>01 - Head</v>
      </c>
      <c r="F346" s="129" t="str">
        <v>CESL – HNZ (panel)</v>
      </c>
      <c r="G346" s="144" t="str">
        <v>CON-06</v>
      </c>
      <c r="H346" s="129" t="str">
        <v>Fixed fee schedule</v>
      </c>
      <c r="I346" s="144" t="str">
        <v>Yes</v>
      </c>
      <c r="J346" s="144" t="str">
        <v>Base</v>
      </c>
      <c r="K346" s="144" t="str">
        <v>HNZ38</v>
      </c>
      <c r="L346" s="146" t="str">
        <v/>
      </c>
      <c r="M346" s="142">
        <v>500</v>
      </c>
      <c r="N346" s="144" t="str">
        <v>Excl</v>
      </c>
      <c r="O346" s="142">
        <v>500</v>
      </c>
      <c r="P346" s="142">
        <v>575</v>
      </c>
      <c r="Q346" s="142" t="str">
        <v/>
      </c>
      <c r="R346" s="129" t="str">
        <v>Description – likely</v>
      </c>
      <c r="S346" s="143" t="str">
        <v/>
      </c>
      <c r="T346" s="144" t="str">
        <v>SRC-08</v>
      </c>
      <c r="U346" s="129" t="str">
        <v>Sheet row 44 – panel</v>
      </c>
      <c r="V346" s="129" t="str">
        <v>CES HNZ Contract (Health NZ), panel tier. Commitment tier fee $480. Printed excl. GST; no effective date printed. Likely: no similar description in the master; ocular procedure, so grouped by the RVG group H6a (ocular procedure under LA/eye block/GA &gt; 2 yo) beneath the NZSA RVG H6a row.</v>
      </c>
    </row>
    <row r="347" spans="1:22" x14ac:dyDescent="0.2">
      <c r="A347" s="144" t="str">
        <v>H6a</v>
      </c>
      <c r="B347" s="145">
        <v>4</v>
      </c>
      <c r="C347" s="129" t="str">
        <v>Iridoplasty</v>
      </c>
      <c r="D347" s="129" t="str">
        <v>H6a – Head / Ocular: Ocular Procedure Under Local Anaesthetic or Eye Block or …</v>
      </c>
      <c r="E347" s="129" t="str">
        <v>01 - Head</v>
      </c>
      <c r="F347" s="129" t="str">
        <v>CESL – HNZ (commitment)</v>
      </c>
      <c r="G347" s="144" t="str">
        <v>CON-05</v>
      </c>
      <c r="H347" s="129" t="str">
        <v>Fixed fee schedule</v>
      </c>
      <c r="I347" s="144" t="str">
        <v>Yes</v>
      </c>
      <c r="J347" s="144" t="str">
        <v>Base</v>
      </c>
      <c r="K347" s="144" t="str">
        <v>HNZ13</v>
      </c>
      <c r="L347" s="146" t="str">
        <v/>
      </c>
      <c r="M347" s="142">
        <v>700</v>
      </c>
      <c r="N347" s="144" t="str">
        <v>Excl</v>
      </c>
      <c r="O347" s="142">
        <v>700</v>
      </c>
      <c r="P347" s="142">
        <v>804.99999999999989</v>
      </c>
      <c r="Q347" s="142" t="str">
        <v/>
      </c>
      <c r="R347" s="129" t="str">
        <v>Description – likely</v>
      </c>
      <c r="S347" s="143" t="str">
        <v/>
      </c>
      <c r="T347" s="144" t="str">
        <v>SRC-08</v>
      </c>
      <c r="U347" s="129" t="str">
        <v>Sheet row 21 – commitment</v>
      </c>
      <c r="V347" s="129" t="str">
        <v>CES HNZ Contract (Health NZ), commitment tier. Same fee in the panel tier. Printed excl. GST; no effective date printed. Likely: no similar description in the master; ocular procedure, so grouped by the RVG group H6a (ocular procedure under LA/eye block/GA &gt; 2 yo) beneath the NZSA RVG H6a row.</v>
      </c>
    </row>
    <row r="348" spans="1:22" x14ac:dyDescent="0.2">
      <c r="A348" s="144" t="str">
        <v>H6a</v>
      </c>
      <c r="B348" s="145">
        <v>4</v>
      </c>
      <c r="C348" s="129" t="str">
        <v>Iridoplasty</v>
      </c>
      <c r="D348" s="129" t="str">
        <v>H6a – Head / Ocular: Ocular Procedure Under Local Anaesthetic or Eye Block or …</v>
      </c>
      <c r="E348" s="129" t="str">
        <v>01 - Head</v>
      </c>
      <c r="F348" s="129" t="str">
        <v>CESL – HNZ (panel)</v>
      </c>
      <c r="G348" s="144" t="str">
        <v>CON-06</v>
      </c>
      <c r="H348" s="129" t="str">
        <v>Fixed fee schedule</v>
      </c>
      <c r="I348" s="144" t="str">
        <v>Yes</v>
      </c>
      <c r="J348" s="144" t="str">
        <v>Base</v>
      </c>
      <c r="K348" s="144" t="str">
        <v>HNZ13</v>
      </c>
      <c r="L348" s="146" t="str">
        <v/>
      </c>
      <c r="M348" s="142">
        <v>700</v>
      </c>
      <c r="N348" s="144" t="str">
        <v>Excl</v>
      </c>
      <c r="O348" s="142">
        <v>700</v>
      </c>
      <c r="P348" s="142">
        <v>804.99999999999989</v>
      </c>
      <c r="Q348" s="142" t="str">
        <v/>
      </c>
      <c r="R348" s="129" t="str">
        <v>Description – likely</v>
      </c>
      <c r="S348" s="143" t="str">
        <v/>
      </c>
      <c r="T348" s="144" t="str">
        <v>SRC-08</v>
      </c>
      <c r="U348" s="129" t="str">
        <v>Sheet row 21 – panel</v>
      </c>
      <c r="V348" s="129" t="str">
        <v>CES HNZ Contract (Health NZ), panel tier. Same fee in the commitment tier. Printed excl. GST; no effective date printed. Likely: no similar description in the master; ocular procedure, so grouped by the RVG group H6a (ocular procedure under LA/eye block/GA &gt; 2 yo) beneath the NZSA RVG H6a row.</v>
      </c>
    </row>
    <row r="349" spans="1:22" x14ac:dyDescent="0.2">
      <c r="A349" s="144" t="str">
        <v>H6a</v>
      </c>
      <c r="B349" s="145">
        <v>4</v>
      </c>
      <c r="C349" s="129" t="str">
        <v>Lamellar Keratectomy/EDTA Chelation Of Calcium L</v>
      </c>
      <c r="D349" s="129" t="str">
        <v>H6a – Head / Ocular: Ocular Procedure Under Local Anaesthetic or Eye Block or …</v>
      </c>
      <c r="E349" s="129" t="str">
        <v>01 - Head</v>
      </c>
      <c r="F349" s="129" t="str">
        <v>Solutions Plus</v>
      </c>
      <c r="G349" s="144" t="str">
        <v>CON-01</v>
      </c>
      <c r="H349" s="129" t="str">
        <v>To confirm</v>
      </c>
      <c r="I349" s="144" t="str">
        <v>No</v>
      </c>
      <c r="J349" s="144" t="str">
        <v>Base</v>
      </c>
      <c r="K349" s="144" t="str">
        <v/>
      </c>
      <c r="L349" s="146">
        <v>0</v>
      </c>
      <c r="M349" s="142">
        <v>0</v>
      </c>
      <c r="N349" s="144" t="str">
        <v>Unknown</v>
      </c>
      <c r="O349" s="142" t="str">
        <v/>
      </c>
      <c r="P349" s="142" t="str">
        <v/>
      </c>
      <c r="Q349" s="142" t="str">
        <v/>
      </c>
      <c r="R349" s="129" t="str">
        <v>Description – likely</v>
      </c>
      <c r="S349" s="143" t="str">
        <v/>
      </c>
      <c r="T349" s="144" t="str">
        <v>SRC-00</v>
      </c>
      <c r="U349" s="129" t="str">
        <v>S+ row 456</v>
      </c>
      <c r="V349" s="129" t="str">
        <v/>
      </c>
    </row>
    <row r="350" spans="1:22" x14ac:dyDescent="0.2">
      <c r="A350" s="144" t="str">
        <v>H6a</v>
      </c>
      <c r="B350" s="145">
        <v>4</v>
      </c>
      <c r="C350" s="129" t="str">
        <v>Left Cataract</v>
      </c>
      <c r="D350" s="129" t="str">
        <v>H6a – Head / Ocular: Ocular Procedure Under Local Anaesthetic or Eye Block or …</v>
      </c>
      <c r="E350" s="129" t="str">
        <v>01 - Head</v>
      </c>
      <c r="F350" s="129" t="str">
        <v>Solutions Plus</v>
      </c>
      <c r="G350" s="144" t="str">
        <v>CON-01</v>
      </c>
      <c r="H350" s="129" t="str">
        <v>To confirm</v>
      </c>
      <c r="I350" s="144" t="str">
        <v>No</v>
      </c>
      <c r="J350" s="144" t="str">
        <v>Base</v>
      </c>
      <c r="K350" s="144" t="str">
        <v/>
      </c>
      <c r="L350" s="146">
        <v>2.2999999999999998</v>
      </c>
      <c r="M350" s="142">
        <v>126.5</v>
      </c>
      <c r="N350" s="144" t="str">
        <v>Unknown</v>
      </c>
      <c r="O350" s="142" t="str">
        <v/>
      </c>
      <c r="P350" s="142" t="str">
        <v/>
      </c>
      <c r="Q350" s="142">
        <v>55.000000000000007</v>
      </c>
      <c r="R350" s="129" t="str">
        <v>Description – likely</v>
      </c>
      <c r="S350" s="143" t="str">
        <v/>
      </c>
      <c r="T350" s="144" t="str">
        <v>SRC-00</v>
      </c>
      <c r="U350" s="129" t="str">
        <v>S+ row 535</v>
      </c>
      <c r="V350" s="129" t="str">
        <v/>
      </c>
    </row>
    <row r="351" spans="1:22" x14ac:dyDescent="0.2">
      <c r="A351" s="144" t="str">
        <v>H6a</v>
      </c>
      <c r="B351" s="145">
        <v>4</v>
      </c>
      <c r="C351" s="129" t="str">
        <v>Left Cataract - CDHB</v>
      </c>
      <c r="D351" s="129" t="str">
        <v>H6a – Head / Ocular: Ocular Procedure Under Local Anaesthetic or Eye Block or …</v>
      </c>
      <c r="E351" s="129" t="str">
        <v>01 - Head</v>
      </c>
      <c r="F351" s="129" t="str">
        <v>Solutions Plus</v>
      </c>
      <c r="G351" s="144" t="str">
        <v>CON-01</v>
      </c>
      <c r="H351" s="129" t="str">
        <v>To confirm</v>
      </c>
      <c r="I351" s="144" t="str">
        <v>No</v>
      </c>
      <c r="J351" s="144" t="str">
        <v>Base</v>
      </c>
      <c r="K351" s="144" t="str">
        <v/>
      </c>
      <c r="L351" s="146">
        <v>2.1</v>
      </c>
      <c r="M351" s="142">
        <v>112.75</v>
      </c>
      <c r="N351" s="144" t="str">
        <v>Unknown</v>
      </c>
      <c r="O351" s="142" t="str">
        <v/>
      </c>
      <c r="P351" s="142" t="str">
        <v/>
      </c>
      <c r="Q351" s="142">
        <v>53.69047619047619</v>
      </c>
      <c r="R351" s="129" t="str">
        <v>Description – likely</v>
      </c>
      <c r="S351" s="143" t="str">
        <v/>
      </c>
      <c r="T351" s="144" t="str">
        <v>SRC-00</v>
      </c>
      <c r="U351" s="129" t="str">
        <v>S+ row 537</v>
      </c>
      <c r="V351" s="129" t="str">
        <v/>
      </c>
    </row>
    <row r="352" spans="1:22" x14ac:dyDescent="0.2">
      <c r="A352" s="144" t="str">
        <v>H6a</v>
      </c>
      <c r="B352" s="145">
        <v>4</v>
      </c>
      <c r="C352" s="129" t="str">
        <v>Left Cataract - DHB</v>
      </c>
      <c r="D352" s="129" t="str">
        <v>H6a – Head / Ocular: Ocular Procedure Under Local Anaesthetic or Eye Block or …</v>
      </c>
      <c r="E352" s="129" t="str">
        <v>01 - Head</v>
      </c>
      <c r="F352" s="129" t="str">
        <v>Solutions Plus</v>
      </c>
      <c r="G352" s="144" t="str">
        <v>CON-01</v>
      </c>
      <c r="H352" s="129" t="str">
        <v>To confirm</v>
      </c>
      <c r="I352" s="144" t="str">
        <v>No</v>
      </c>
      <c r="J352" s="144" t="str">
        <v>Base</v>
      </c>
      <c r="K352" s="144" t="str">
        <v/>
      </c>
      <c r="L352" s="146">
        <v>1.1000000000000001</v>
      </c>
      <c r="M352" s="142">
        <v>62.15</v>
      </c>
      <c r="N352" s="144" t="str">
        <v>Unknown</v>
      </c>
      <c r="O352" s="142" t="str">
        <v/>
      </c>
      <c r="P352" s="142" t="str">
        <v/>
      </c>
      <c r="Q352" s="142">
        <v>56.499999999999993</v>
      </c>
      <c r="R352" s="129" t="str">
        <v>Description – likely</v>
      </c>
      <c r="S352" s="143" t="str">
        <v/>
      </c>
      <c r="T352" s="144" t="str">
        <v>SRC-00</v>
      </c>
      <c r="U352" s="129" t="str">
        <v>S+ row 538</v>
      </c>
      <c r="V352" s="129" t="str">
        <v/>
      </c>
    </row>
    <row r="353" spans="1:22" x14ac:dyDescent="0.2">
      <c r="A353" s="144" t="str">
        <v>H6a</v>
      </c>
      <c r="B353" s="145">
        <v>4</v>
      </c>
      <c r="C353" s="129" t="str">
        <v>Left Cataract - WCDHB</v>
      </c>
      <c r="D353" s="129" t="str">
        <v>H6a – Head / Ocular: Ocular Procedure Under Local Anaesthetic or Eye Block or …</v>
      </c>
      <c r="E353" s="129" t="str">
        <v>01 - Head</v>
      </c>
      <c r="F353" s="129" t="str">
        <v>Solutions Plus</v>
      </c>
      <c r="G353" s="144" t="str">
        <v>CON-01</v>
      </c>
      <c r="H353" s="129" t="str">
        <v>To confirm</v>
      </c>
      <c r="I353" s="144" t="str">
        <v>No</v>
      </c>
      <c r="J353" s="144" t="str">
        <v>Base</v>
      </c>
      <c r="K353" s="144" t="str">
        <v/>
      </c>
      <c r="L353" s="146">
        <v>3.5</v>
      </c>
      <c r="M353" s="142">
        <v>190.85</v>
      </c>
      <c r="N353" s="144" t="str">
        <v>Unknown</v>
      </c>
      <c r="O353" s="142" t="str">
        <v/>
      </c>
      <c r="P353" s="142" t="str">
        <v/>
      </c>
      <c r="Q353" s="142">
        <v>54.528571428571425</v>
      </c>
      <c r="R353" s="129" t="str">
        <v>Description – likely</v>
      </c>
      <c r="S353" s="143" t="str">
        <v/>
      </c>
      <c r="T353" s="144" t="str">
        <v>SRC-00</v>
      </c>
      <c r="U353" s="129" t="str">
        <v>S+ row 539</v>
      </c>
      <c r="V353" s="129" t="str">
        <v/>
      </c>
    </row>
    <row r="354" spans="1:22" x14ac:dyDescent="0.2">
      <c r="A354" s="144" t="str">
        <v>H6a</v>
      </c>
      <c r="B354" s="145">
        <v>4</v>
      </c>
      <c r="C354" s="129" t="str">
        <v>Left Cataract &amp; Left Vitrectomy</v>
      </c>
      <c r="D354" s="129" t="str">
        <v>H6a – Head / Ocular: Ocular Procedure Under Local Anaesthetic or Eye Block or …</v>
      </c>
      <c r="E354" s="129" t="str">
        <v>01 - Head</v>
      </c>
      <c r="F354" s="129" t="str">
        <v>Solutions Plus</v>
      </c>
      <c r="G354" s="144" t="str">
        <v>CON-01</v>
      </c>
      <c r="H354" s="129" t="str">
        <v>To confirm</v>
      </c>
      <c r="I354" s="144" t="str">
        <v>No</v>
      </c>
      <c r="J354" s="144" t="str">
        <v>Base</v>
      </c>
      <c r="K354" s="144" t="str">
        <v/>
      </c>
      <c r="L354" s="146">
        <v>9</v>
      </c>
      <c r="M354" s="142">
        <v>495</v>
      </c>
      <c r="N354" s="144" t="str">
        <v>Unknown</v>
      </c>
      <c r="O354" s="142" t="str">
        <v/>
      </c>
      <c r="P354" s="142" t="str">
        <v/>
      </c>
      <c r="Q354" s="142">
        <v>55</v>
      </c>
      <c r="R354" s="129" t="str">
        <v>Description – likely</v>
      </c>
      <c r="S354" s="143" t="str">
        <v/>
      </c>
      <c r="T354" s="144" t="str">
        <v>SRC-00</v>
      </c>
      <c r="U354" s="129" t="str">
        <v>S+ row 540</v>
      </c>
      <c r="V354" s="129" t="str">
        <v/>
      </c>
    </row>
    <row r="355" spans="1:22" x14ac:dyDescent="0.2">
      <c r="A355" s="144" t="str">
        <v>H6a</v>
      </c>
      <c r="B355" s="145">
        <v>4</v>
      </c>
      <c r="C355" s="129" t="str">
        <v>Left Cataract CDHB</v>
      </c>
      <c r="D355" s="129" t="str">
        <v>H6a – Head / Ocular: Ocular Procedure Under Local Anaesthetic or Eye Block or …</v>
      </c>
      <c r="E355" s="129" t="str">
        <v>01 - Head</v>
      </c>
      <c r="F355" s="129" t="str">
        <v>Solutions Plus</v>
      </c>
      <c r="G355" s="144" t="str">
        <v>CON-01</v>
      </c>
      <c r="H355" s="129" t="str">
        <v>To confirm</v>
      </c>
      <c r="I355" s="144" t="str">
        <v>No</v>
      </c>
      <c r="J355" s="144" t="str">
        <v>Base</v>
      </c>
      <c r="K355" s="144" t="str">
        <v/>
      </c>
      <c r="L355" s="146">
        <v>4.0999999999999996</v>
      </c>
      <c r="M355" s="142">
        <v>227.7</v>
      </c>
      <c r="N355" s="144" t="str">
        <v>Unknown</v>
      </c>
      <c r="O355" s="142" t="str">
        <v/>
      </c>
      <c r="P355" s="142" t="str">
        <v/>
      </c>
      <c r="Q355" s="142">
        <v>55.536585365853661</v>
      </c>
      <c r="R355" s="129" t="str">
        <v>Description – likely</v>
      </c>
      <c r="S355" s="143" t="str">
        <v/>
      </c>
      <c r="T355" s="144" t="str">
        <v>SRC-00</v>
      </c>
      <c r="U355" s="129" t="str">
        <v>S+ row 541</v>
      </c>
      <c r="V355" s="129" t="str">
        <v/>
      </c>
    </row>
    <row r="356" spans="1:22" x14ac:dyDescent="0.2">
      <c r="A356" s="144" t="str">
        <v>H6a</v>
      </c>
      <c r="B356" s="145">
        <v>4</v>
      </c>
      <c r="C356" s="129" t="str">
        <v>Left Cataract DHB</v>
      </c>
      <c r="D356" s="129" t="str">
        <v>H6a – Head / Ocular: Ocular Procedure Under Local Anaesthetic or Eye Block or …</v>
      </c>
      <c r="E356" s="129" t="str">
        <v>01 - Head</v>
      </c>
      <c r="F356" s="129" t="str">
        <v>Solutions Plus</v>
      </c>
      <c r="G356" s="144" t="str">
        <v>CON-01</v>
      </c>
      <c r="H356" s="129" t="str">
        <v>To confirm</v>
      </c>
      <c r="I356" s="144" t="str">
        <v>No</v>
      </c>
      <c r="J356" s="144" t="str">
        <v>Base</v>
      </c>
      <c r="K356" s="144" t="str">
        <v/>
      </c>
      <c r="L356" s="146">
        <v>0.3</v>
      </c>
      <c r="M356" s="142">
        <v>16.5</v>
      </c>
      <c r="N356" s="144" t="str">
        <v>Unknown</v>
      </c>
      <c r="O356" s="142" t="str">
        <v/>
      </c>
      <c r="P356" s="142" t="str">
        <v/>
      </c>
      <c r="Q356" s="142">
        <v>55</v>
      </c>
      <c r="R356" s="129" t="str">
        <v>Description – likely</v>
      </c>
      <c r="S356" s="143" t="str">
        <v/>
      </c>
      <c r="T356" s="144" t="str">
        <v>SRC-00</v>
      </c>
      <c r="U356" s="129" t="str">
        <v>S+ row 542</v>
      </c>
      <c r="V356" s="129" t="str">
        <v/>
      </c>
    </row>
    <row r="357" spans="1:22" x14ac:dyDescent="0.2">
      <c r="A357" s="144" t="str">
        <v>H6a</v>
      </c>
      <c r="B357" s="145">
        <v>4</v>
      </c>
      <c r="C357" s="129" t="str">
        <v>Left Cataract Extraction And IOL Implant</v>
      </c>
      <c r="D357" s="129" t="str">
        <v>H6a – Head / Ocular: Ocular Procedure Under Local Anaesthetic or Eye Block or …</v>
      </c>
      <c r="E357" s="129" t="str">
        <v>01 - Head</v>
      </c>
      <c r="F357" s="129" t="str">
        <v>Solutions Plus</v>
      </c>
      <c r="G357" s="144" t="str">
        <v>CON-01</v>
      </c>
      <c r="H357" s="129" t="str">
        <v>To confirm</v>
      </c>
      <c r="I357" s="144" t="str">
        <v>No</v>
      </c>
      <c r="J357" s="144" t="str">
        <v>Base</v>
      </c>
      <c r="K357" s="144" t="str">
        <v/>
      </c>
      <c r="L357" s="146">
        <v>4.2</v>
      </c>
      <c r="M357" s="142">
        <v>231.55</v>
      </c>
      <c r="N357" s="144" t="str">
        <v>Unknown</v>
      </c>
      <c r="O357" s="142" t="str">
        <v/>
      </c>
      <c r="P357" s="142" t="str">
        <v/>
      </c>
      <c r="Q357" s="142">
        <v>55.13095238095238</v>
      </c>
      <c r="R357" s="129" t="str">
        <v>Description – likely</v>
      </c>
      <c r="S357" s="143" t="str">
        <v/>
      </c>
      <c r="T357" s="144" t="str">
        <v>SRC-00</v>
      </c>
      <c r="U357" s="129" t="str">
        <v>S+ row 543</v>
      </c>
      <c r="V357" s="129" t="str">
        <v/>
      </c>
    </row>
    <row r="358" spans="1:22" x14ac:dyDescent="0.2">
      <c r="A358" s="144" t="str">
        <v>H6a</v>
      </c>
      <c r="B358" s="145">
        <v>4</v>
      </c>
      <c r="C358" s="129" t="str">
        <v>Left Cataract Extraction And Iol Implant - CDHB</v>
      </c>
      <c r="D358" s="129" t="str">
        <v>H6a – Head / Ocular: Ocular Procedure Under Local Anaesthetic or Eye Block or …</v>
      </c>
      <c r="E358" s="129" t="str">
        <v>01 - Head</v>
      </c>
      <c r="F358" s="129" t="str">
        <v>Solutions Plus</v>
      </c>
      <c r="G358" s="144" t="str">
        <v>CON-01</v>
      </c>
      <c r="H358" s="129" t="str">
        <v>To confirm</v>
      </c>
      <c r="I358" s="144" t="str">
        <v>No</v>
      </c>
      <c r="J358" s="144" t="str">
        <v>Base</v>
      </c>
      <c r="K358" s="144" t="str">
        <v/>
      </c>
      <c r="L358" s="146">
        <v>3</v>
      </c>
      <c r="M358" s="142">
        <v>163.9</v>
      </c>
      <c r="N358" s="144" t="str">
        <v>Unknown</v>
      </c>
      <c r="O358" s="142" t="str">
        <v/>
      </c>
      <c r="P358" s="142" t="str">
        <v/>
      </c>
      <c r="Q358" s="142">
        <v>54.633333333333333</v>
      </c>
      <c r="R358" s="129" t="str">
        <v>Description – likely</v>
      </c>
      <c r="S358" s="143" t="str">
        <v/>
      </c>
      <c r="T358" s="144" t="str">
        <v>SRC-00</v>
      </c>
      <c r="U358" s="129" t="str">
        <v>S+ row 545</v>
      </c>
      <c r="V358" s="129" t="str">
        <v/>
      </c>
    </row>
    <row r="359" spans="1:22" x14ac:dyDescent="0.2">
      <c r="A359" s="144" t="str">
        <v>H6a</v>
      </c>
      <c r="B359" s="145">
        <v>4</v>
      </c>
      <c r="C359" s="129" t="str">
        <v>Left Cataract Extraction And Iol Implant CDHB</v>
      </c>
      <c r="D359" s="129" t="str">
        <v>H6a – Head / Ocular: Ocular Procedure Under Local Anaesthetic or Eye Block or …</v>
      </c>
      <c r="E359" s="129" t="str">
        <v>01 - Head</v>
      </c>
      <c r="F359" s="129" t="str">
        <v>Solutions Plus</v>
      </c>
      <c r="G359" s="144" t="str">
        <v>CON-01</v>
      </c>
      <c r="H359" s="129" t="str">
        <v>To confirm</v>
      </c>
      <c r="I359" s="144" t="str">
        <v>No</v>
      </c>
      <c r="J359" s="144" t="str">
        <v>Base</v>
      </c>
      <c r="K359" s="144" t="str">
        <v/>
      </c>
      <c r="L359" s="146">
        <v>0</v>
      </c>
      <c r="M359" s="142">
        <v>0</v>
      </c>
      <c r="N359" s="144" t="str">
        <v>Unknown</v>
      </c>
      <c r="O359" s="142" t="str">
        <v/>
      </c>
      <c r="P359" s="142" t="str">
        <v/>
      </c>
      <c r="Q359" s="142" t="str">
        <v/>
      </c>
      <c r="R359" s="129" t="str">
        <v>Description – likely</v>
      </c>
      <c r="S359" s="143" t="str">
        <v/>
      </c>
      <c r="T359" s="144" t="str">
        <v>SRC-00</v>
      </c>
      <c r="U359" s="129" t="str">
        <v>S+ row 544</v>
      </c>
      <c r="V359" s="129" t="str">
        <v/>
      </c>
    </row>
    <row r="360" spans="1:22" x14ac:dyDescent="0.2">
      <c r="A360" s="144" t="str">
        <v>H6a</v>
      </c>
      <c r="B360" s="145">
        <v>4</v>
      </c>
      <c r="C360" s="129" t="str">
        <v>Left Cataract Extraction And Iol Implant CDHB</v>
      </c>
      <c r="D360" s="129" t="str">
        <v>H6a – Head / Ocular: Ocular Procedure Under Local Anaesthetic or Eye Block or …</v>
      </c>
      <c r="E360" s="129" t="str">
        <v>01 - Head</v>
      </c>
      <c r="F360" s="129" t="str">
        <v>Solutions Plus</v>
      </c>
      <c r="G360" s="144" t="str">
        <v>CON-01</v>
      </c>
      <c r="H360" s="129" t="str">
        <v>To confirm</v>
      </c>
      <c r="I360" s="144" t="str">
        <v>No</v>
      </c>
      <c r="J360" s="144" t="str">
        <v>Base</v>
      </c>
      <c r="K360" s="144" t="str">
        <v/>
      </c>
      <c r="L360" s="146">
        <v>4.9000000000000004</v>
      </c>
      <c r="M360" s="142">
        <v>271.7</v>
      </c>
      <c r="N360" s="144" t="str">
        <v>Unknown</v>
      </c>
      <c r="O360" s="142" t="str">
        <v/>
      </c>
      <c r="P360" s="142" t="str">
        <v/>
      </c>
      <c r="Q360" s="142">
        <v>55.448979591836725</v>
      </c>
      <c r="R360" s="129" t="str">
        <v>Description – likely</v>
      </c>
      <c r="S360" s="143" t="str">
        <v/>
      </c>
      <c r="T360" s="144" t="str">
        <v>SRC-00</v>
      </c>
      <c r="U360" s="129" t="str">
        <v>S+ row 546</v>
      </c>
      <c r="V360" s="129" t="str">
        <v/>
      </c>
    </row>
    <row r="361" spans="1:22" x14ac:dyDescent="0.2">
      <c r="A361" s="144" t="str">
        <v>H6a</v>
      </c>
      <c r="B361" s="145">
        <v>4</v>
      </c>
      <c r="C361" s="129" t="str">
        <v>Left Cataract Extraction And Iol Implant DHB</v>
      </c>
      <c r="D361" s="129" t="str">
        <v>H6a – Head / Ocular: Ocular Procedure Under Local Anaesthetic or Eye Block or …</v>
      </c>
      <c r="E361" s="129" t="str">
        <v>01 - Head</v>
      </c>
      <c r="F361" s="129" t="str">
        <v>Solutions Plus</v>
      </c>
      <c r="G361" s="144" t="str">
        <v>CON-01</v>
      </c>
      <c r="H361" s="129" t="str">
        <v>To confirm</v>
      </c>
      <c r="I361" s="144" t="str">
        <v>No</v>
      </c>
      <c r="J361" s="144" t="str">
        <v>Base</v>
      </c>
      <c r="K361" s="144" t="str">
        <v/>
      </c>
      <c r="L361" s="146">
        <v>0</v>
      </c>
      <c r="M361" s="142">
        <v>0</v>
      </c>
      <c r="N361" s="144" t="str">
        <v>Unknown</v>
      </c>
      <c r="O361" s="142" t="str">
        <v/>
      </c>
      <c r="P361" s="142" t="str">
        <v/>
      </c>
      <c r="Q361" s="142" t="str">
        <v/>
      </c>
      <c r="R361" s="129" t="str">
        <v>Description – likely</v>
      </c>
      <c r="S361" s="143" t="str">
        <v/>
      </c>
      <c r="T361" s="144" t="str">
        <v>SRC-00</v>
      </c>
      <c r="U361" s="129" t="str">
        <v>S+ row 547</v>
      </c>
      <c r="V361" s="129" t="str">
        <v/>
      </c>
    </row>
    <row r="362" spans="1:22" x14ac:dyDescent="0.2">
      <c r="A362" s="144" t="str">
        <v>H6a</v>
      </c>
      <c r="B362" s="145">
        <v>4</v>
      </c>
      <c r="C362" s="129" t="str">
        <v>Left Cataract WCDHB</v>
      </c>
      <c r="D362" s="129" t="str">
        <v>H6a – Head / Ocular: Ocular Procedure Under Local Anaesthetic or Eye Block or …</v>
      </c>
      <c r="E362" s="129" t="str">
        <v>01 - Head</v>
      </c>
      <c r="F362" s="129" t="str">
        <v>Solutions Plus</v>
      </c>
      <c r="G362" s="144" t="str">
        <v>CON-01</v>
      </c>
      <c r="H362" s="129" t="str">
        <v>To confirm</v>
      </c>
      <c r="I362" s="144" t="str">
        <v>No</v>
      </c>
      <c r="J362" s="144" t="str">
        <v>Base</v>
      </c>
      <c r="K362" s="144" t="str">
        <v/>
      </c>
      <c r="L362" s="146">
        <v>3.4</v>
      </c>
      <c r="M362" s="142">
        <v>187</v>
      </c>
      <c r="N362" s="144" t="str">
        <v>Unknown</v>
      </c>
      <c r="O362" s="142" t="str">
        <v/>
      </c>
      <c r="P362" s="142" t="str">
        <v/>
      </c>
      <c r="Q362" s="142">
        <v>55</v>
      </c>
      <c r="R362" s="129" t="str">
        <v>Description – likely</v>
      </c>
      <c r="S362" s="143" t="str">
        <v/>
      </c>
      <c r="T362" s="144" t="str">
        <v>SRC-00</v>
      </c>
      <c r="U362" s="129" t="str">
        <v>S+ row 536</v>
      </c>
      <c r="V362" s="129" t="str">
        <v/>
      </c>
    </row>
    <row r="363" spans="1:22" x14ac:dyDescent="0.2">
      <c r="A363" s="144" t="str">
        <v>H6a</v>
      </c>
      <c r="B363" s="145">
        <v>4</v>
      </c>
      <c r="C363" s="129" t="str">
        <v>Left Combined Cataract And DSAEK Corneal Graft</v>
      </c>
      <c r="D363" s="129" t="str">
        <v>H6a – Head / Ocular: Ocular Procedure Under Local Anaesthetic or Eye Block or …</v>
      </c>
      <c r="E363" s="129" t="str">
        <v>01 - Head</v>
      </c>
      <c r="F363" s="129" t="str">
        <v>Solutions Plus</v>
      </c>
      <c r="G363" s="144" t="str">
        <v>CON-01</v>
      </c>
      <c r="H363" s="129" t="str">
        <v>To confirm</v>
      </c>
      <c r="I363" s="144" t="str">
        <v>No</v>
      </c>
      <c r="J363" s="144" t="str">
        <v>Base</v>
      </c>
      <c r="K363" s="144" t="str">
        <v/>
      </c>
      <c r="L363" s="146">
        <v>11</v>
      </c>
      <c r="M363" s="142">
        <v>605</v>
      </c>
      <c r="N363" s="144" t="str">
        <v>Unknown</v>
      </c>
      <c r="O363" s="142" t="str">
        <v/>
      </c>
      <c r="P363" s="142" t="str">
        <v/>
      </c>
      <c r="Q363" s="142">
        <v>55</v>
      </c>
      <c r="R363" s="129" t="str">
        <v>Description – likely</v>
      </c>
      <c r="S363" s="143" t="str">
        <v/>
      </c>
      <c r="T363" s="144" t="str">
        <v>SRC-00</v>
      </c>
      <c r="U363" s="129" t="str">
        <v>S+ row 551</v>
      </c>
      <c r="V363" s="129" t="str">
        <v/>
      </c>
    </row>
    <row r="364" spans="1:22" x14ac:dyDescent="0.2">
      <c r="A364" s="144" t="str">
        <v>H6a</v>
      </c>
      <c r="B364" s="145">
        <v>4</v>
      </c>
      <c r="C364" s="129" t="str">
        <v>Left Macular Hole - Vitrectomy</v>
      </c>
      <c r="D364" s="129" t="str">
        <v>H6a – Head / Ocular: Ocular Procedure Under Local Anaesthetic or Eye Block or …</v>
      </c>
      <c r="E364" s="129" t="str">
        <v>01 - Head</v>
      </c>
      <c r="F364" s="129" t="str">
        <v>Solutions Plus</v>
      </c>
      <c r="G364" s="144" t="str">
        <v>CON-01</v>
      </c>
      <c r="H364" s="129" t="str">
        <v>To confirm</v>
      </c>
      <c r="I364" s="144" t="str">
        <v>No</v>
      </c>
      <c r="J364" s="144" t="str">
        <v>Base</v>
      </c>
      <c r="K364" s="144" t="str">
        <v/>
      </c>
      <c r="L364" s="146">
        <v>8</v>
      </c>
      <c r="M364" s="142">
        <v>440</v>
      </c>
      <c r="N364" s="144" t="str">
        <v>Unknown</v>
      </c>
      <c r="O364" s="142" t="str">
        <v/>
      </c>
      <c r="P364" s="142" t="str">
        <v/>
      </c>
      <c r="Q364" s="142">
        <v>55</v>
      </c>
      <c r="R364" s="129" t="str">
        <v>Description – likely</v>
      </c>
      <c r="S364" s="143" t="str">
        <v/>
      </c>
      <c r="T364" s="144" t="str">
        <v>SRC-00</v>
      </c>
      <c r="U364" s="129" t="str">
        <v>S+ row 583</v>
      </c>
      <c r="V364" s="129" t="str">
        <v/>
      </c>
    </row>
    <row r="365" spans="1:22" x14ac:dyDescent="0.2">
      <c r="A365" s="144" t="str">
        <v>H6a</v>
      </c>
      <c r="B365" s="145">
        <v>4</v>
      </c>
      <c r="C365" s="129" t="str">
        <v>Left Pterygium SCDHB</v>
      </c>
      <c r="D365" s="129" t="str">
        <v>H6a – Head / Ocular: Ocular Procedure Under Local Anaesthetic or Eye Block or …</v>
      </c>
      <c r="E365" s="129" t="str">
        <v>01 - Head</v>
      </c>
      <c r="F365" s="129" t="str">
        <v>Solutions Plus</v>
      </c>
      <c r="G365" s="144" t="str">
        <v>CON-01</v>
      </c>
      <c r="H365" s="129" t="str">
        <v>To confirm</v>
      </c>
      <c r="I365" s="144" t="str">
        <v>No</v>
      </c>
      <c r="J365" s="144" t="str">
        <v>Base</v>
      </c>
      <c r="K365" s="144" t="str">
        <v/>
      </c>
      <c r="L365" s="146">
        <v>9</v>
      </c>
      <c r="M365" s="142">
        <v>495</v>
      </c>
      <c r="N365" s="144" t="str">
        <v>Unknown</v>
      </c>
      <c r="O365" s="142" t="str">
        <v/>
      </c>
      <c r="P365" s="142" t="str">
        <v/>
      </c>
      <c r="Q365" s="142">
        <v>55</v>
      </c>
      <c r="R365" s="129" t="str">
        <v>Description – likely</v>
      </c>
      <c r="S365" s="143" t="str">
        <v/>
      </c>
      <c r="T365" s="144" t="str">
        <v>SRC-00</v>
      </c>
      <c r="U365" s="129" t="str">
        <v>S+ row 585</v>
      </c>
      <c r="V365" s="129" t="str">
        <v/>
      </c>
    </row>
    <row r="366" spans="1:22" x14ac:dyDescent="0.2">
      <c r="A366" s="144" t="str">
        <v>H6a</v>
      </c>
      <c r="B366" s="145">
        <v>4</v>
      </c>
      <c r="C366" s="129" t="str">
        <v>Left Refractive Lens Exchange</v>
      </c>
      <c r="D366" s="129" t="str">
        <v>H6a – Head / Ocular: Ocular Procedure Under Local Anaesthetic or Eye Block or …</v>
      </c>
      <c r="E366" s="129" t="str">
        <v>01 - Head</v>
      </c>
      <c r="F366" s="129" t="str">
        <v>Solutions Plus</v>
      </c>
      <c r="G366" s="144" t="str">
        <v>CON-01</v>
      </c>
      <c r="H366" s="129" t="str">
        <v>To confirm</v>
      </c>
      <c r="I366" s="144" t="str">
        <v>No</v>
      </c>
      <c r="J366" s="144" t="str">
        <v>Base</v>
      </c>
      <c r="K366" s="144" t="str">
        <v/>
      </c>
      <c r="L366" s="146">
        <v>2.9</v>
      </c>
      <c r="M366" s="142">
        <v>161.69999999999999</v>
      </c>
      <c r="N366" s="144" t="str">
        <v>Unknown</v>
      </c>
      <c r="O366" s="142" t="str">
        <v/>
      </c>
      <c r="P366" s="142" t="str">
        <v/>
      </c>
      <c r="Q366" s="142">
        <v>55.758620689655167</v>
      </c>
      <c r="R366" s="129" t="str">
        <v>Description – likely</v>
      </c>
      <c r="S366" s="143" t="str">
        <v/>
      </c>
      <c r="T366" s="144" t="str">
        <v>SRC-00</v>
      </c>
      <c r="U366" s="129" t="str">
        <v>S+ row 586</v>
      </c>
      <c r="V366" s="129" t="str">
        <v/>
      </c>
    </row>
    <row r="367" spans="1:22" x14ac:dyDescent="0.2">
      <c r="A367" s="144" t="str">
        <v>H6a</v>
      </c>
      <c r="B367" s="145">
        <v>4</v>
      </c>
      <c r="C367" s="129" t="str">
        <v>Left Vitrectomy</v>
      </c>
      <c r="D367" s="129" t="str">
        <v>H6a – Head / Ocular: Ocular Procedure Under Local Anaesthetic or Eye Block or …</v>
      </c>
      <c r="E367" s="129" t="str">
        <v>01 - Head</v>
      </c>
      <c r="F367" s="129" t="str">
        <v>Solutions Plus</v>
      </c>
      <c r="G367" s="144" t="str">
        <v>CON-01</v>
      </c>
      <c r="H367" s="129" t="str">
        <v>To confirm</v>
      </c>
      <c r="I367" s="144" t="str">
        <v>No</v>
      </c>
      <c r="J367" s="144" t="str">
        <v>Base</v>
      </c>
      <c r="K367" s="144" t="str">
        <v/>
      </c>
      <c r="L367" s="146">
        <v>7.9</v>
      </c>
      <c r="M367" s="142">
        <v>436.7</v>
      </c>
      <c r="N367" s="144" t="str">
        <v>Unknown</v>
      </c>
      <c r="O367" s="142" t="str">
        <v/>
      </c>
      <c r="P367" s="142" t="str">
        <v/>
      </c>
      <c r="Q367" s="142">
        <v>55.278481012658226</v>
      </c>
      <c r="R367" s="129" t="str">
        <v>Description – likely</v>
      </c>
      <c r="S367" s="143" t="str">
        <v/>
      </c>
      <c r="T367" s="144" t="str">
        <v>SRC-00</v>
      </c>
      <c r="U367" s="129" t="str">
        <v>S+ row 606</v>
      </c>
      <c r="V367" s="129" t="str">
        <v/>
      </c>
    </row>
    <row r="368" spans="1:22" x14ac:dyDescent="0.2">
      <c r="A368" s="144" t="str">
        <v>H6a</v>
      </c>
      <c r="B368" s="145">
        <v>4</v>
      </c>
      <c r="C368" s="129" t="str">
        <v>Medial Rectus Botox - Amended</v>
      </c>
      <c r="D368" s="129" t="str">
        <v>H6a – Head / Ocular: Ocular Procedure Under Local Anaesthetic or Eye Block or …</v>
      </c>
      <c r="E368" s="129" t="str">
        <v>01 - Head</v>
      </c>
      <c r="F368" s="129" t="str">
        <v>Solutions Plus</v>
      </c>
      <c r="G368" s="144" t="str">
        <v>CON-01</v>
      </c>
      <c r="H368" s="129" t="str">
        <v>To confirm</v>
      </c>
      <c r="I368" s="144" t="str">
        <v>No</v>
      </c>
      <c r="J368" s="144" t="str">
        <v>Base</v>
      </c>
      <c r="K368" s="144" t="str">
        <v/>
      </c>
      <c r="L368" s="146">
        <v>7</v>
      </c>
      <c r="M368" s="142">
        <v>385</v>
      </c>
      <c r="N368" s="144" t="str">
        <v>Unknown</v>
      </c>
      <c r="O368" s="142" t="str">
        <v/>
      </c>
      <c r="P368" s="142" t="str">
        <v/>
      </c>
      <c r="Q368" s="142">
        <v>55</v>
      </c>
      <c r="R368" s="129" t="str">
        <v>Description – likely</v>
      </c>
      <c r="S368" s="143" t="str">
        <v/>
      </c>
      <c r="T368" s="144" t="str">
        <v>SRC-00</v>
      </c>
      <c r="U368" s="129" t="str">
        <v>S+ row 635</v>
      </c>
      <c r="V368" s="129" t="str">
        <v/>
      </c>
    </row>
    <row r="369" spans="1:22" x14ac:dyDescent="0.2">
      <c r="A369" s="144" t="str">
        <v>H6a</v>
      </c>
      <c r="B369" s="145">
        <v>4</v>
      </c>
      <c r="C369" s="129" t="str">
        <v>Membrane graft and fornix suture</v>
      </c>
      <c r="D369" s="129" t="str">
        <v>H6a – Head / Ocular: Ocular Procedure Under Local Anaesthetic or Eye Block or …</v>
      </c>
      <c r="E369" s="129" t="str">
        <v>01 - Head</v>
      </c>
      <c r="F369" s="129" t="str">
        <v>CESL – HNZ (commitment)</v>
      </c>
      <c r="G369" s="144" t="str">
        <v>CON-05</v>
      </c>
      <c r="H369" s="129" t="str">
        <v>Fixed fee schedule</v>
      </c>
      <c r="I369" s="144" t="str">
        <v>Yes</v>
      </c>
      <c r="J369" s="144" t="str">
        <v>Base</v>
      </c>
      <c r="K369" s="144" t="str">
        <v>HNZ35</v>
      </c>
      <c r="L369" s="146" t="str">
        <v/>
      </c>
      <c r="M369" s="142">
        <v>800</v>
      </c>
      <c r="N369" s="144" t="str">
        <v>Excl</v>
      </c>
      <c r="O369" s="142">
        <v>800</v>
      </c>
      <c r="P369" s="142">
        <v>919.99999999999989</v>
      </c>
      <c r="Q369" s="142" t="str">
        <v/>
      </c>
      <c r="R369" s="129" t="str">
        <v>Description – likely</v>
      </c>
      <c r="S369" s="143" t="str">
        <v/>
      </c>
      <c r="T369" s="144" t="str">
        <v>SRC-08</v>
      </c>
      <c r="U369" s="129" t="str">
        <v>Sheet row 42 – commitment</v>
      </c>
      <c r="V369" s="129" t="str">
        <v>CES HNZ Contract (Health NZ), commitment tier. Same fee in the panel tier. Printed excl. GST; no effective date printed. Likely: no similar description in the master; ocular procedure, so grouped by the RVG group H6a (ocular procedure under LA/eye block/GA &gt; 2 yo) beneath the NZSA RVG H6a row.</v>
      </c>
    </row>
    <row r="370" spans="1:22" x14ac:dyDescent="0.2">
      <c r="A370" s="144" t="str">
        <v>H6a</v>
      </c>
      <c r="B370" s="145">
        <v>4</v>
      </c>
      <c r="C370" s="129" t="str">
        <v>Membrane graft and fornix suture</v>
      </c>
      <c r="D370" s="129" t="str">
        <v>H6a – Head / Ocular: Ocular Procedure Under Local Anaesthetic or Eye Block or …</v>
      </c>
      <c r="E370" s="129" t="str">
        <v>01 - Head</v>
      </c>
      <c r="F370" s="129" t="str">
        <v>CESL – HNZ (panel)</v>
      </c>
      <c r="G370" s="144" t="str">
        <v>CON-06</v>
      </c>
      <c r="H370" s="129" t="str">
        <v>Fixed fee schedule</v>
      </c>
      <c r="I370" s="144" t="str">
        <v>Yes</v>
      </c>
      <c r="J370" s="144" t="str">
        <v>Base</v>
      </c>
      <c r="K370" s="144" t="str">
        <v>HNZ35</v>
      </c>
      <c r="L370" s="146" t="str">
        <v/>
      </c>
      <c r="M370" s="142">
        <v>800</v>
      </c>
      <c r="N370" s="144" t="str">
        <v>Excl</v>
      </c>
      <c r="O370" s="142">
        <v>800</v>
      </c>
      <c r="P370" s="142">
        <v>919.99999999999989</v>
      </c>
      <c r="Q370" s="142" t="str">
        <v/>
      </c>
      <c r="R370" s="129" t="str">
        <v>Description – likely</v>
      </c>
      <c r="S370" s="143" t="str">
        <v/>
      </c>
      <c r="T370" s="144" t="str">
        <v>SRC-08</v>
      </c>
      <c r="U370" s="129" t="str">
        <v>Sheet row 42 – panel</v>
      </c>
      <c r="V370" s="129" t="str">
        <v>CES HNZ Contract (Health NZ), panel tier. Same fee in the commitment tier. Printed excl. GST; no effective date printed. Likely: no similar description in the master; ocular procedure, so grouped by the RVG group H6a (ocular procedure under LA/eye block/GA &gt; 2 yo) beneath the NZSA RVG H6a row.</v>
      </c>
    </row>
    <row r="371" spans="1:22" x14ac:dyDescent="0.2">
      <c r="A371" s="144" t="str">
        <v>H6a</v>
      </c>
      <c r="B371" s="145">
        <v>4</v>
      </c>
      <c r="C371" s="129" t="str">
        <v>Minimally Invasive Glaucoma Surgery - Category B - LA</v>
      </c>
      <c r="D371" s="129" t="str">
        <v>H6a – Head / Ocular: Ocular Procedure Under Local Anaesthetic or Eye Block or …</v>
      </c>
      <c r="E371" s="129" t="str">
        <v>01 - Head</v>
      </c>
      <c r="F371" s="129" t="str">
        <v>SXAP</v>
      </c>
      <c r="G371" s="144" t="str">
        <v>CON-02</v>
      </c>
      <c r="H371" s="129" t="str">
        <v>Fixed fee schedule</v>
      </c>
      <c r="I371" s="144" t="str">
        <v>Yes</v>
      </c>
      <c r="J371" s="144" t="str">
        <v>Base</v>
      </c>
      <c r="K371" s="144" t="str">
        <v>AP1319</v>
      </c>
      <c r="L371" s="146" t="str">
        <v/>
      </c>
      <c r="M371" s="142">
        <v>910</v>
      </c>
      <c r="N371" s="144" t="str">
        <v>Incl</v>
      </c>
      <c r="O371" s="142">
        <v>791.304347826087</v>
      </c>
      <c r="P371" s="142">
        <v>910</v>
      </c>
      <c r="Q371" s="142" t="str">
        <v/>
      </c>
      <c r="R371" s="129" t="str">
        <v>Description – likely</v>
      </c>
      <c r="S371" s="143">
        <v>46113</v>
      </c>
      <c r="T371" s="144" t="str">
        <v>SRC-03</v>
      </c>
      <c r="U371" s="129" t="str">
        <v>p.1</v>
      </c>
      <c r="V371" s="129" t="str">
        <v>Southern Cross Affiliated Provider (SXAP) – anaesthetist fee incl. GST. LA. Standalone MIGS Category B. Fee as printed equals the AP1320 combined total – possible print error, see Open Questions. Likely: MIGS is glaucoma surgery – no MIGS row in master and no RVG code printed; grouped with S+ 'Trabeculectomy' (H6a).</v>
      </c>
    </row>
    <row r="372" spans="1:22" x14ac:dyDescent="0.2">
      <c r="A372" s="144" t="str">
        <v>H6a</v>
      </c>
      <c r="B372" s="145">
        <v>4</v>
      </c>
      <c r="C372" s="129" t="str">
        <v>Minimally Invasive Glaucoma Surgery - Category B (GA)</v>
      </c>
      <c r="D372" s="129" t="str">
        <v>H6a – Head / Ocular: Ocular Procedure Under Local Anaesthetic or Eye Block or …</v>
      </c>
      <c r="E372" s="129" t="str">
        <v>01 - Head</v>
      </c>
      <c r="F372" s="129" t="str">
        <v>SXAP</v>
      </c>
      <c r="G372" s="144" t="str">
        <v>CON-02</v>
      </c>
      <c r="H372" s="129" t="str">
        <v>Fixed fee schedule</v>
      </c>
      <c r="I372" s="144" t="str">
        <v>Yes</v>
      </c>
      <c r="J372" s="144" t="str">
        <v>Base</v>
      </c>
      <c r="K372" s="144" t="str">
        <v>AP1315</v>
      </c>
      <c r="L372" s="146" t="str">
        <v/>
      </c>
      <c r="M372" s="142">
        <v>950</v>
      </c>
      <c r="N372" s="144" t="str">
        <v>Incl</v>
      </c>
      <c r="O372" s="142">
        <v>826.08695652173924</v>
      </c>
      <c r="P372" s="142">
        <v>950</v>
      </c>
      <c r="Q372" s="142" t="str">
        <v/>
      </c>
      <c r="R372" s="129" t="str">
        <v>Description – likely</v>
      </c>
      <c r="S372" s="143">
        <v>46113</v>
      </c>
      <c r="T372" s="144" t="str">
        <v>SRC-03</v>
      </c>
      <c r="U372" s="129" t="str">
        <v>p.1</v>
      </c>
      <c r="V372" s="129" t="str">
        <v>Southern Cross Affiliated Provider (SXAP) – anaesthetist fee incl. GST. GA. Standalone MIGS Category B. Likely: MIGS is glaucoma surgery – no MIGS row in master and no RVG code printed; grouped with S+ 'Trabeculectomy' (H6a).</v>
      </c>
    </row>
    <row r="373" spans="1:22" x14ac:dyDescent="0.2">
      <c r="A373" s="144" t="str">
        <v>H6a</v>
      </c>
      <c r="B373" s="145">
        <v>4</v>
      </c>
      <c r="C373" s="129" t="str">
        <v>Minimally Invasive Glaucoma Surgery - Category B (GA) Add on to Cataract</v>
      </c>
      <c r="D373" s="129" t="str">
        <v>H6a – Head / Ocular: Ocular Procedure Under Local Anaesthetic or Eye Block or …</v>
      </c>
      <c r="E373" s="129" t="str">
        <v>01 - Head</v>
      </c>
      <c r="F373" s="129" t="str">
        <v>SXAP</v>
      </c>
      <c r="G373" s="144" t="str">
        <v>CON-02</v>
      </c>
      <c r="H373" s="129" t="str">
        <v>Fixed fee schedule</v>
      </c>
      <c r="I373" s="144" t="str">
        <v>Yes</v>
      </c>
      <c r="J373" s="144" t="str">
        <v>Add-on</v>
      </c>
      <c r="K373" s="144" t="str">
        <v>AP1316</v>
      </c>
      <c r="L373" s="146" t="str">
        <v/>
      </c>
      <c r="M373" s="142">
        <v>545</v>
      </c>
      <c r="N373" s="144" t="str">
        <v>Incl</v>
      </c>
      <c r="O373" s="142">
        <v>473.91304347826093</v>
      </c>
      <c r="P373" s="142">
        <v>545</v>
      </c>
      <c r="Q373" s="142" t="str">
        <v/>
      </c>
      <c r="R373" s="129" t="str">
        <v>Description – likely</v>
      </c>
      <c r="S373" s="143">
        <v>46113</v>
      </c>
      <c r="T373" s="144" t="str">
        <v>SRC-03</v>
      </c>
      <c r="U373" s="129" t="str">
        <v>p.1</v>
      </c>
      <c r="V373" s="129" t="str">
        <v>Southern Cross Affiliated Provider (SXAP) – anaesthetist fee incl. GST. GA. Add-on to cataract: add Cat Fee $405.00 = $950.00 combined (as printed). Likely: MIGS is glaucoma surgery – no MIGS row in master and no RVG code printed; grouped with S+ 'Trabeculectomy' (H6a).</v>
      </c>
    </row>
    <row r="374" spans="1:22" x14ac:dyDescent="0.2">
      <c r="A374" s="144" t="str">
        <v>H6a</v>
      </c>
      <c r="B374" s="145">
        <v>4</v>
      </c>
      <c r="C374" s="129" t="str">
        <v>Minimally Invasive Glaucoma Surgery and Goniotomy - Category A - (GA) Add on to Cataract</v>
      </c>
      <c r="D374" s="129" t="str">
        <v>H6a – Head / Ocular: Ocular Procedure Under Local Anaesthetic or Eye Block or …</v>
      </c>
      <c r="E374" s="129" t="str">
        <v>01 - Head</v>
      </c>
      <c r="F374" s="129" t="str">
        <v>SXAP</v>
      </c>
      <c r="G374" s="144" t="str">
        <v>CON-02</v>
      </c>
      <c r="H374" s="129" t="str">
        <v>Fixed fee schedule</v>
      </c>
      <c r="I374" s="144" t="str">
        <v>Yes</v>
      </c>
      <c r="J374" s="144" t="str">
        <v>Add-on</v>
      </c>
      <c r="K374" s="144" t="str">
        <v>AP1314</v>
      </c>
      <c r="L374" s="146" t="str">
        <v/>
      </c>
      <c r="M374" s="142">
        <v>545</v>
      </c>
      <c r="N374" s="144" t="str">
        <v>Incl</v>
      </c>
      <c r="O374" s="142">
        <v>473.91304347826093</v>
      </c>
      <c r="P374" s="142">
        <v>545</v>
      </c>
      <c r="Q374" s="142" t="str">
        <v/>
      </c>
      <c r="R374" s="129" t="str">
        <v>Description – likely</v>
      </c>
      <c r="S374" s="143">
        <v>46113</v>
      </c>
      <c r="T374" s="144" t="str">
        <v>SRC-03</v>
      </c>
      <c r="U374" s="129" t="str">
        <v>p.1</v>
      </c>
      <c r="V374" s="129" t="str">
        <v>Southern Cross Affiliated Provider (SXAP) – anaesthetist fee incl. GST. GA. Add-on to cataract: add Cat Fee $405.00 = $950.00 combined (as printed). Likely: MIGS is glaucoma surgery – no MIGS row in master and no RVG code printed; grouped with S+ 'Trabeculectomy' (H6a).</v>
      </c>
    </row>
    <row r="375" spans="1:22" x14ac:dyDescent="0.2">
      <c r="A375" s="144" t="str">
        <v>H6a</v>
      </c>
      <c r="B375" s="145">
        <v>4</v>
      </c>
      <c r="C375" s="129" t="str">
        <v>Minimally Invasive Glaucoma Surgery and Goniotomy - Category A (GA)</v>
      </c>
      <c r="D375" s="129" t="str">
        <v>H6a – Head / Ocular: Ocular Procedure Under Local Anaesthetic or Eye Block or …</v>
      </c>
      <c r="E375" s="129" t="str">
        <v>01 - Head</v>
      </c>
      <c r="F375" s="129" t="str">
        <v>SXAP</v>
      </c>
      <c r="G375" s="144" t="str">
        <v>CON-02</v>
      </c>
      <c r="H375" s="129" t="str">
        <v>Fixed fee schedule</v>
      </c>
      <c r="I375" s="144" t="str">
        <v>Yes</v>
      </c>
      <c r="J375" s="144" t="str">
        <v>Base</v>
      </c>
      <c r="K375" s="144" t="str">
        <v>AP1313</v>
      </c>
      <c r="L375" s="146" t="str">
        <v/>
      </c>
      <c r="M375" s="142">
        <v>950</v>
      </c>
      <c r="N375" s="144" t="str">
        <v>Incl</v>
      </c>
      <c r="O375" s="142">
        <v>826.08695652173924</v>
      </c>
      <c r="P375" s="142">
        <v>950</v>
      </c>
      <c r="Q375" s="142" t="str">
        <v/>
      </c>
      <c r="R375" s="129" t="str">
        <v>Description – likely</v>
      </c>
      <c r="S375" s="143">
        <v>46113</v>
      </c>
      <c r="T375" s="144" t="str">
        <v>SRC-03</v>
      </c>
      <c r="U375" s="129" t="str">
        <v>p.1</v>
      </c>
      <c r="V375" s="129" t="str">
        <v>Southern Cross Affiliated Provider (SXAP) – anaesthetist fee incl. GST. GA. Standalone MIGS Category A with goniotomy. Likely: MIGS is glaucoma surgery – no MIGS row in master and no RVG code printed; grouped with S+ 'Trabeculectomy' (H6a).</v>
      </c>
    </row>
    <row r="376" spans="1:22" x14ac:dyDescent="0.2">
      <c r="A376" s="144" t="str">
        <v>H6a</v>
      </c>
      <c r="B376" s="145">
        <v>4</v>
      </c>
      <c r="C376" s="129" t="str">
        <v>Minimally Invasive Glaucoma Surgery and Goniotomy - Category A (LA)</v>
      </c>
      <c r="D376" s="129" t="str">
        <v>H6a – Head / Ocular: Ocular Procedure Under Local Anaesthetic or Eye Block or …</v>
      </c>
      <c r="E376" s="129" t="str">
        <v>01 - Head</v>
      </c>
      <c r="F376" s="129" t="str">
        <v>SXAP</v>
      </c>
      <c r="G376" s="144" t="str">
        <v>CON-02</v>
      </c>
      <c r="H376" s="129" t="str">
        <v>Fixed fee schedule</v>
      </c>
      <c r="I376" s="144" t="str">
        <v>Yes</v>
      </c>
      <c r="J376" s="144" t="str">
        <v>Base</v>
      </c>
      <c r="K376" s="144" t="str">
        <v>AP1317</v>
      </c>
      <c r="L376" s="146" t="str">
        <v/>
      </c>
      <c r="M376" s="142">
        <v>510</v>
      </c>
      <c r="N376" s="144" t="str">
        <v>Incl</v>
      </c>
      <c r="O376" s="142">
        <v>443.47826086956525</v>
      </c>
      <c r="P376" s="142">
        <v>510</v>
      </c>
      <c r="Q376" s="142" t="str">
        <v/>
      </c>
      <c r="R376" s="129" t="str">
        <v>Description – likely</v>
      </c>
      <c r="S376" s="143">
        <v>46113</v>
      </c>
      <c r="T376" s="144" t="str">
        <v>SRC-03</v>
      </c>
      <c r="U376" s="129" t="str">
        <v>p.1</v>
      </c>
      <c r="V376" s="129" t="str">
        <v>Southern Cross Affiliated Provider (SXAP) – anaesthetist fee incl. GST. LA. Standalone MIGS Category A with goniotomy. Likely: MIGS is glaucoma surgery – no MIGS row in master and no RVG code printed; grouped with S+ 'Trabeculectomy' (H6a).</v>
      </c>
    </row>
    <row r="377" spans="1:22" x14ac:dyDescent="0.2">
      <c r="A377" s="144" t="str">
        <v>H6a</v>
      </c>
      <c r="B377" s="145">
        <v>4</v>
      </c>
      <c r="C377" s="129" t="str">
        <v>Minimally Invasive Glaucoma Surgery and Goniotomy - Category A (LA) Add on to Cataract</v>
      </c>
      <c r="D377" s="129" t="str">
        <v>H6a – Head / Ocular: Ocular Procedure Under Local Anaesthetic or Eye Block or …</v>
      </c>
      <c r="E377" s="129" t="str">
        <v>01 - Head</v>
      </c>
      <c r="F377" s="129" t="str">
        <v>SXAP</v>
      </c>
      <c r="G377" s="144" t="str">
        <v>CON-02</v>
      </c>
      <c r="H377" s="129" t="str">
        <v>Fixed fee schedule</v>
      </c>
      <c r="I377" s="144" t="str">
        <v>Yes</v>
      </c>
      <c r="J377" s="144" t="str">
        <v>Add-on</v>
      </c>
      <c r="K377" s="144" t="str">
        <v>AP1318</v>
      </c>
      <c r="L377" s="146" t="str">
        <v/>
      </c>
      <c r="M377" s="142">
        <v>460</v>
      </c>
      <c r="N377" s="144" t="str">
        <v>Incl</v>
      </c>
      <c r="O377" s="142">
        <v>400.00000000000006</v>
      </c>
      <c r="P377" s="142">
        <v>460</v>
      </c>
      <c r="Q377" s="142" t="str">
        <v/>
      </c>
      <c r="R377" s="129" t="str">
        <v>Description – likely</v>
      </c>
      <c r="S377" s="143">
        <v>46113</v>
      </c>
      <c r="T377" s="144" t="str">
        <v>SRC-03</v>
      </c>
      <c r="U377" s="129" t="str">
        <v>p.1</v>
      </c>
      <c r="V377" s="129" t="str">
        <v>Southern Cross Affiliated Provider (SXAP) – anaesthetist fee incl. GST. LA. Add-on to cataract: add Cat Fee $405.00 = $865.00 combined (as printed). Likely: MIGS is glaucoma surgery – no MIGS row in master and no RVG code printed; grouped with S+ 'Trabeculectomy' (H6a).</v>
      </c>
    </row>
    <row r="378" spans="1:22" x14ac:dyDescent="0.2">
      <c r="A378" s="144" t="str">
        <v>H6a</v>
      </c>
      <c r="B378" s="145">
        <v>4</v>
      </c>
      <c r="C378" s="129" t="str">
        <v>Minimally Invasive Glaucoma Surgery Category B - (LA) Add on to Cataract</v>
      </c>
      <c r="D378" s="129" t="str">
        <v>H6a – Head / Ocular: Ocular Procedure Under Local Anaesthetic or Eye Block or …</v>
      </c>
      <c r="E378" s="129" t="str">
        <v>01 - Head</v>
      </c>
      <c r="F378" s="129" t="str">
        <v>SXAP</v>
      </c>
      <c r="G378" s="144" t="str">
        <v>CON-02</v>
      </c>
      <c r="H378" s="129" t="str">
        <v>Fixed fee schedule</v>
      </c>
      <c r="I378" s="144" t="str">
        <v>Yes</v>
      </c>
      <c r="J378" s="144" t="str">
        <v>Add-on</v>
      </c>
      <c r="K378" s="144" t="str">
        <v>AP1320</v>
      </c>
      <c r="L378" s="146" t="str">
        <v/>
      </c>
      <c r="M378" s="142">
        <v>505</v>
      </c>
      <c r="N378" s="144" t="str">
        <v>Incl</v>
      </c>
      <c r="O378" s="142">
        <v>439.13043478260875</v>
      </c>
      <c r="P378" s="142">
        <v>505</v>
      </c>
      <c r="Q378" s="142" t="str">
        <v/>
      </c>
      <c r="R378" s="129" t="str">
        <v>Description – likely</v>
      </c>
      <c r="S378" s="143">
        <v>46113</v>
      </c>
      <c r="T378" s="144" t="str">
        <v>SRC-03</v>
      </c>
      <c r="U378" s="129" t="str">
        <v>p.1</v>
      </c>
      <c r="V378" s="129" t="str">
        <v>Southern Cross Affiliated Provider (SXAP) – anaesthetist fee incl. GST. LA. Add-on to cataract: add Cat Fee $405.00 = $910.00 combined (as printed). Likely: MIGS is glaucoma surgery – no MIGS row in master and no RVG code printed; grouped with S+ 'Trabeculectomy' (H6a).</v>
      </c>
    </row>
    <row r="379" spans="1:22" x14ac:dyDescent="0.2">
      <c r="A379" s="144" t="str">
        <v>H6a</v>
      </c>
      <c r="B379" s="145">
        <v>4</v>
      </c>
      <c r="C379" s="129" t="str">
        <v>Molteno Implant</v>
      </c>
      <c r="D379" s="129" t="str">
        <v>H6a – Head / Ocular: Ocular Procedure Under Local Anaesthetic or Eye Block or …</v>
      </c>
      <c r="E379" s="129" t="str">
        <v>01 - Head</v>
      </c>
      <c r="F379" s="129" t="str">
        <v>Solutions Plus</v>
      </c>
      <c r="G379" s="144" t="str">
        <v>CON-01</v>
      </c>
      <c r="H379" s="129" t="str">
        <v>To confirm</v>
      </c>
      <c r="I379" s="144" t="str">
        <v>No</v>
      </c>
      <c r="J379" s="144" t="str">
        <v>Base</v>
      </c>
      <c r="K379" s="144" t="str">
        <v/>
      </c>
      <c r="L379" s="146">
        <v>14.2</v>
      </c>
      <c r="M379" s="142">
        <v>781</v>
      </c>
      <c r="N379" s="144" t="str">
        <v>Unknown</v>
      </c>
      <c r="O379" s="142" t="str">
        <v/>
      </c>
      <c r="P379" s="142" t="str">
        <v/>
      </c>
      <c r="Q379" s="142">
        <v>55</v>
      </c>
      <c r="R379" s="129" t="str">
        <v>Description – likely</v>
      </c>
      <c r="S379" s="143" t="str">
        <v/>
      </c>
      <c r="T379" s="144" t="str">
        <v>SRC-00</v>
      </c>
      <c r="U379" s="129" t="str">
        <v>S+ row 645</v>
      </c>
      <c r="V379" s="129" t="str">
        <v/>
      </c>
    </row>
    <row r="380" spans="1:22" x14ac:dyDescent="0.2">
      <c r="A380" s="144" t="str">
        <v>H6b</v>
      </c>
      <c r="B380" s="145">
        <v>5</v>
      </c>
      <c r="C380" s="129" t="str">
        <v>Ocular Procedure Under GA [YOUNGER than Aged TWO Years]</v>
      </c>
      <c r="D380" s="129" t="str">
        <v>H6b – Head / Ocular: Ocular Procedure Under GA [YOUNGER than Aged TWO Years]</v>
      </c>
      <c r="E380" s="129" t="str">
        <v>01 - Head</v>
      </c>
      <c r="F380" s="129" t="str">
        <v>NZSA RVG</v>
      </c>
      <c r="G380" s="144" t="str">
        <v>CON-10</v>
      </c>
      <c r="H380" s="129" t="str">
        <v>Reference – units only</v>
      </c>
      <c r="I380" s="144" t="str">
        <v>No</v>
      </c>
      <c r="J380" s="144" t="str">
        <v>Base</v>
      </c>
      <c r="K380" s="144" t="str">
        <v>H6b</v>
      </c>
      <c r="L380" s="146">
        <v>5</v>
      </c>
      <c r="M380" s="142" t="str">
        <v/>
      </c>
      <c r="N380" s="144" t="str">
        <v/>
      </c>
      <c r="O380" s="142" t="str">
        <v/>
      </c>
      <c r="P380" s="142" t="str">
        <v/>
      </c>
      <c r="Q380" s="142">
        <v>0</v>
      </c>
      <c r="R380" s="129" t="str">
        <v>Unmatched</v>
      </c>
      <c r="S380" s="143" t="str">
        <v/>
      </c>
      <c r="T380" s="144" t="str">
        <v>SRC-01</v>
      </c>
      <c r="U380" s="129" t="str">
        <v>p.7 – Head / Ocular</v>
      </c>
      <c r="V380" s="129" t="str">
        <v>Reference units only – no $ fee (NZSA RVG 2021).</v>
      </c>
    </row>
    <row r="381" spans="1:22" x14ac:dyDescent="0.2">
      <c r="A381" s="144" t="str">
        <v>H6a</v>
      </c>
      <c r="B381" s="145">
        <v>4</v>
      </c>
      <c r="C381" s="129" t="str">
        <v>Ocular Procedure Under Local Anaesthetic or Eye Block or GA &gt; 2yo</v>
      </c>
      <c r="D381" s="129" t="str">
        <v>H6a – Head / Ocular: Ocular Procedure Under Local Anaesthetic or Eye Block or …</v>
      </c>
      <c r="E381" s="129" t="str">
        <v>01 - Head</v>
      </c>
      <c r="F381" s="129" t="str">
        <v>NZSA RVG</v>
      </c>
      <c r="G381" s="144" t="str">
        <v>CON-10</v>
      </c>
      <c r="H381" s="129" t="str">
        <v>Reference – units only</v>
      </c>
      <c r="I381" s="144" t="str">
        <v>No</v>
      </c>
      <c r="J381" s="144" t="str">
        <v>Base</v>
      </c>
      <c r="K381" s="144" t="str">
        <v>H6a</v>
      </c>
      <c r="L381" s="146">
        <v>4</v>
      </c>
      <c r="M381" s="142" t="str">
        <v/>
      </c>
      <c r="N381" s="144" t="str">
        <v/>
      </c>
      <c r="O381" s="142" t="str">
        <v/>
      </c>
      <c r="P381" s="142" t="str">
        <v/>
      </c>
      <c r="Q381" s="142">
        <v>0</v>
      </c>
      <c r="R381" s="129" t="str">
        <v>RVG code</v>
      </c>
      <c r="S381" s="143" t="str">
        <v/>
      </c>
      <c r="T381" s="144" t="str">
        <v>SRC-01</v>
      </c>
      <c r="U381" s="129" t="str">
        <v>p.7 – Head / Ocular</v>
      </c>
      <c r="V381" s="129" t="str">
        <v>Reference units only – no $ fee (NZSA RVG 2021).</v>
      </c>
    </row>
    <row r="382" spans="1:22" x14ac:dyDescent="0.2">
      <c r="A382" s="144" t="str">
        <v>H6a</v>
      </c>
      <c r="B382" s="145">
        <v>4</v>
      </c>
      <c r="C382" s="129" t="str">
        <v>Ophthalmological examination (examination under anaesthetic)</v>
      </c>
      <c r="D382" s="129" t="str">
        <v>H6a – Head / Ocular: Ocular Procedure Under Local Anaesthetic or Eye Block or …</v>
      </c>
      <c r="E382" s="129" t="str">
        <v>01 - Head</v>
      </c>
      <c r="F382" s="129" t="str">
        <v>CESL – HNZ (commitment)</v>
      </c>
      <c r="G382" s="144" t="str">
        <v>CON-05</v>
      </c>
      <c r="H382" s="129" t="str">
        <v>Fixed fee schedule</v>
      </c>
      <c r="I382" s="144" t="str">
        <v>Yes</v>
      </c>
      <c r="J382" s="144" t="str">
        <v>Base</v>
      </c>
      <c r="K382" s="144" t="str">
        <v>HNZ08</v>
      </c>
      <c r="L382" s="146" t="str">
        <v/>
      </c>
      <c r="M382" s="142">
        <v>500</v>
      </c>
      <c r="N382" s="144" t="str">
        <v>Excl</v>
      </c>
      <c r="O382" s="142">
        <v>500</v>
      </c>
      <c r="P382" s="142">
        <v>575</v>
      </c>
      <c r="Q382" s="142" t="str">
        <v/>
      </c>
      <c r="R382" s="129" t="str">
        <v>Description – likely</v>
      </c>
      <c r="S382" s="143" t="str">
        <v/>
      </c>
      <c r="T382" s="144" t="str">
        <v>SRC-08</v>
      </c>
      <c r="U382" s="129" t="str">
        <v>Sheet row 16 – commitment</v>
      </c>
      <c r="V382" s="129" t="str">
        <v>CES HNZ Contract (Health NZ), commitment tier. Same fee in the panel tier. Printed excl. GST; no effective date printed. Likely: no similar description in the master; ocular procedure, so grouped by the RVG group H6a (ocular procedure under LA/eye block/GA &gt; 2 yo) beneath the NZSA RVG H6a row.</v>
      </c>
    </row>
    <row r="383" spans="1:22" x14ac:dyDescent="0.2">
      <c r="A383" s="144" t="str">
        <v>H6a</v>
      </c>
      <c r="B383" s="145">
        <v>4</v>
      </c>
      <c r="C383" s="129" t="str">
        <v>Ophthalmological examination (examination under anaesthetic)</v>
      </c>
      <c r="D383" s="129" t="str">
        <v>H6a – Head / Ocular: Ocular Procedure Under Local Anaesthetic or Eye Block or …</v>
      </c>
      <c r="E383" s="129" t="str">
        <v>01 - Head</v>
      </c>
      <c r="F383" s="129" t="str">
        <v>CESL – HNZ (panel)</v>
      </c>
      <c r="G383" s="144" t="str">
        <v>CON-06</v>
      </c>
      <c r="H383" s="129" t="str">
        <v>Fixed fee schedule</v>
      </c>
      <c r="I383" s="144" t="str">
        <v>Yes</v>
      </c>
      <c r="J383" s="144" t="str">
        <v>Base</v>
      </c>
      <c r="K383" s="144" t="str">
        <v>HNZ08</v>
      </c>
      <c r="L383" s="146" t="str">
        <v/>
      </c>
      <c r="M383" s="142">
        <v>500</v>
      </c>
      <c r="N383" s="144" t="str">
        <v>Excl</v>
      </c>
      <c r="O383" s="142">
        <v>500</v>
      </c>
      <c r="P383" s="142">
        <v>575</v>
      </c>
      <c r="Q383" s="142" t="str">
        <v/>
      </c>
      <c r="R383" s="129" t="str">
        <v>Description – likely</v>
      </c>
      <c r="S383" s="143" t="str">
        <v/>
      </c>
      <c r="T383" s="144" t="str">
        <v>SRC-08</v>
      </c>
      <c r="U383" s="129" t="str">
        <v>Sheet row 16 – panel</v>
      </c>
      <c r="V383" s="129" t="str">
        <v>CES HNZ Contract (Health NZ), panel tier. Same fee in the commitment tier. Printed excl. GST; no effective date printed. Likely: no similar description in the master; ocular procedure, so grouped by the RVG group H6a (ocular procedure under LA/eye block/GA &gt; 2 yo) beneath the NZSA RVG H6a row.</v>
      </c>
    </row>
    <row r="384" spans="1:22" x14ac:dyDescent="0.2">
      <c r="A384" s="144" t="str">
        <v>H6a</v>
      </c>
      <c r="B384" s="145">
        <v>4</v>
      </c>
      <c r="C384" s="129" t="str">
        <v>Over 120 minutes add $100 per additional 15 minutes</v>
      </c>
      <c r="D384" s="129" t="str">
        <v>H6a – Head / Ocular: Ocular Procedure Under Local Anaesthetic or Eye Block or …</v>
      </c>
      <c r="E384" s="129" t="str">
        <v>01 - Head</v>
      </c>
      <c r="F384" s="129" t="str">
        <v>CESL – SX AP</v>
      </c>
      <c r="G384" s="144" t="str">
        <v>CON-03</v>
      </c>
      <c r="H384" s="129" t="str">
        <v>Fixed fee schedule</v>
      </c>
      <c r="I384" s="144" t="str">
        <v>Yes</v>
      </c>
      <c r="J384" s="144" t="str">
        <v>Time band</v>
      </c>
      <c r="K384" s="144" t="str">
        <v/>
      </c>
      <c r="L384" s="146" t="str">
        <v/>
      </c>
      <c r="M384" s="142">
        <v>86.96</v>
      </c>
      <c r="N384" s="144" t="str">
        <v>Excl</v>
      </c>
      <c r="O384" s="142">
        <v>86.96</v>
      </c>
      <c r="P384" s="142">
        <v>100.00399999999999</v>
      </c>
      <c r="Q384" s="142" t="str">
        <v/>
      </c>
      <c r="R384" s="129" t="str">
        <v>Description – likely</v>
      </c>
      <c r="S384" s="143">
        <v>46113</v>
      </c>
      <c r="T384" s="144" t="str">
        <v>SRC-02</v>
      </c>
      <c r="U384" s="129" t="str">
        <v>p.1 – SX AP Vitrectomy</v>
      </c>
      <c r="V384" s="129" t="str">
        <v>Christchurch Eye Surgery (CESL) contract. SX AP vitrectomy, per additional 15 mins over 120 mins – presumably added to the 90–120 band fee (not stated). Printed excl. '$86.96 per 15 minutes' / incl. '$100.00 per extra 15 mins'. Likely: grouped with S+ 'Vitrectomy' rows (H6a).</v>
      </c>
    </row>
    <row r="385" spans="1:22" x14ac:dyDescent="0.2">
      <c r="A385" s="144" t="str">
        <v>H6a</v>
      </c>
      <c r="B385" s="145">
        <v>4</v>
      </c>
      <c r="C385" s="129" t="str">
        <v>Pterygium</v>
      </c>
      <c r="D385" s="129" t="str">
        <v>H6a – Head / Ocular: Ocular Procedure Under Local Anaesthetic or Eye Block or …</v>
      </c>
      <c r="E385" s="129" t="str">
        <v>01 - Head</v>
      </c>
      <c r="F385" s="129" t="str">
        <v>Solutions Plus</v>
      </c>
      <c r="G385" s="144" t="str">
        <v>CON-01</v>
      </c>
      <c r="H385" s="129" t="str">
        <v>To confirm</v>
      </c>
      <c r="I385" s="144" t="str">
        <v>No</v>
      </c>
      <c r="J385" s="144" t="str">
        <v>Base</v>
      </c>
      <c r="K385" s="144" t="str">
        <v/>
      </c>
      <c r="L385" s="146">
        <v>7.9</v>
      </c>
      <c r="M385" s="142">
        <v>431.75</v>
      </c>
      <c r="N385" s="144" t="str">
        <v>Unknown</v>
      </c>
      <c r="O385" s="142" t="str">
        <v/>
      </c>
      <c r="P385" s="142" t="str">
        <v/>
      </c>
      <c r="Q385" s="142">
        <v>54.651898734177216</v>
      </c>
      <c r="R385" s="129" t="str">
        <v>Description – likely</v>
      </c>
      <c r="S385" s="143" t="str">
        <v/>
      </c>
      <c r="T385" s="144" t="str">
        <v>SRC-00</v>
      </c>
      <c r="U385" s="129" t="str">
        <v>S+ row 707</v>
      </c>
      <c r="V385" s="129" t="str">
        <v/>
      </c>
    </row>
    <row r="386" spans="1:22" x14ac:dyDescent="0.2">
      <c r="A386" s="144" t="str">
        <v>H6a</v>
      </c>
      <c r="B386" s="145">
        <v>4</v>
      </c>
      <c r="C386" s="129" t="str">
        <v>Pterygium (or pinguecula) excision and conjunctival graft with glue – general anaesthetic</v>
      </c>
      <c r="D386" s="129" t="str">
        <v>H6a – Head / Ocular: Ocular Procedure Under Local Anaesthetic or Eye Block or …</v>
      </c>
      <c r="E386" s="129" t="str">
        <v>01 - Head</v>
      </c>
      <c r="F386" s="129" t="str">
        <v>SXAP</v>
      </c>
      <c r="G386" s="144" t="str">
        <v>CON-02</v>
      </c>
      <c r="H386" s="129" t="str">
        <v>Fixed fee schedule</v>
      </c>
      <c r="I386" s="144" t="str">
        <v>Yes</v>
      </c>
      <c r="J386" s="144" t="str">
        <v>Base</v>
      </c>
      <c r="K386" s="144" t="str">
        <v>7333</v>
      </c>
      <c r="L386" s="146" t="str">
        <v/>
      </c>
      <c r="M386" s="142">
        <v>1150</v>
      </c>
      <c r="N386" s="144" t="str">
        <v>Incl</v>
      </c>
      <c r="O386" s="142">
        <v>1000.0000000000001</v>
      </c>
      <c r="P386" s="142">
        <v>1150</v>
      </c>
      <c r="Q386" s="142" t="str">
        <v/>
      </c>
      <c r="R386" s="129" t="str">
        <v>Description – likely</v>
      </c>
      <c r="S386" s="143">
        <v>46113</v>
      </c>
      <c r="T386" s="144" t="str">
        <v>SRC-06</v>
      </c>
      <c r="U386" s="129" t="str">
        <v>p.1</v>
      </c>
      <c r="V386" s="129" t="str">
        <v>Southern Cross Affiliated Provider (SXAP) – anaesthetist fee incl. GST. If two AP codes used, charge 50% for second procedure. Graft with glue, GA (H6a covers GA over 2 years old – see Q06). Likely: matches S+ 'Pterygium' (H6a; generic description – SXAP specifies graft technique and anaesthetic). Numeric code as printed (no 'AP' prefix).</v>
      </c>
    </row>
    <row r="387" spans="1:22" x14ac:dyDescent="0.2">
      <c r="A387" s="144" t="str">
        <v>H6a</v>
      </c>
      <c r="B387" s="145">
        <v>4</v>
      </c>
      <c r="C387" s="129" t="str">
        <v>Pterygium (or pinguecula) excision and conjunctival graft with glue – local anaesthetic</v>
      </c>
      <c r="D387" s="129" t="str">
        <v>H6a – Head / Ocular: Ocular Procedure Under Local Anaesthetic or Eye Block or …</v>
      </c>
      <c r="E387" s="129" t="str">
        <v>01 - Head</v>
      </c>
      <c r="F387" s="129" t="str">
        <v>SXAP</v>
      </c>
      <c r="G387" s="144" t="str">
        <v>CON-02</v>
      </c>
      <c r="H387" s="129" t="str">
        <v>Fixed fee schedule</v>
      </c>
      <c r="I387" s="144" t="str">
        <v>Yes</v>
      </c>
      <c r="J387" s="144" t="str">
        <v>Base</v>
      </c>
      <c r="K387" s="144" t="str">
        <v>7332</v>
      </c>
      <c r="L387" s="146" t="str">
        <v/>
      </c>
      <c r="M387" s="142">
        <v>1035</v>
      </c>
      <c r="N387" s="144" t="str">
        <v>Incl</v>
      </c>
      <c r="O387" s="142">
        <v>900.00000000000011</v>
      </c>
      <c r="P387" s="142">
        <v>1035</v>
      </c>
      <c r="Q387" s="142" t="str">
        <v/>
      </c>
      <c r="R387" s="129" t="str">
        <v>Description – likely</v>
      </c>
      <c r="S387" s="143">
        <v>46113</v>
      </c>
      <c r="T387" s="144" t="str">
        <v>SRC-06</v>
      </c>
      <c r="U387" s="129" t="str">
        <v>p.1</v>
      </c>
      <c r="V387" s="129" t="str">
        <v>Southern Cross Affiliated Provider (SXAP) – anaesthetist fee incl. GST. If two AP codes used, charge 50% for second procedure. Graft with glue, LA. Likely: matches S+ 'Pterygium' (H6a; generic description – SXAP specifies graft technique and anaesthetic). Numeric code as printed (no 'AP' prefix).</v>
      </c>
    </row>
    <row r="388" spans="1:22" x14ac:dyDescent="0.2">
      <c r="A388" s="144" t="str">
        <v>H6a</v>
      </c>
      <c r="B388" s="145">
        <v>4</v>
      </c>
      <c r="C388" s="129" t="str">
        <v>Pterygium (or pinguecula) excision and conjunctival graft with glue – under sedation</v>
      </c>
      <c r="D388" s="129" t="str">
        <v>H6a – Head / Ocular: Ocular Procedure Under Local Anaesthetic or Eye Block or …</v>
      </c>
      <c r="E388" s="129" t="str">
        <v>01 - Head</v>
      </c>
      <c r="F388" s="129" t="str">
        <v>SXAP</v>
      </c>
      <c r="G388" s="144" t="str">
        <v>CON-02</v>
      </c>
      <c r="H388" s="129" t="str">
        <v>Fixed fee schedule</v>
      </c>
      <c r="I388" s="144" t="str">
        <v>Yes</v>
      </c>
      <c r="J388" s="144" t="str">
        <v>Base</v>
      </c>
      <c r="K388" s="144" t="str">
        <v>AP0879</v>
      </c>
      <c r="L388" s="146" t="str">
        <v/>
      </c>
      <c r="M388" s="142">
        <v>1035</v>
      </c>
      <c r="N388" s="144" t="str">
        <v>Incl</v>
      </c>
      <c r="O388" s="142">
        <v>900.00000000000011</v>
      </c>
      <c r="P388" s="142">
        <v>1035</v>
      </c>
      <c r="Q388" s="142" t="str">
        <v/>
      </c>
      <c r="R388" s="129" t="str">
        <v>Description – likely</v>
      </c>
      <c r="S388" s="143">
        <v>46113</v>
      </c>
      <c r="T388" s="144" t="str">
        <v>SRC-06</v>
      </c>
      <c r="U388" s="129" t="str">
        <v>p.1</v>
      </c>
      <c r="V388" s="129" t="str">
        <v>Southern Cross Affiliated Provider (SXAP) – anaesthetist fee incl. GST. If two AP codes used, charge 50% for second procedure. Graft with glue, under sedation. Likely: matches S+ 'Pterygium' (H6a; generic description – SXAP specifies graft technique and anaesthetic).</v>
      </c>
    </row>
    <row r="389" spans="1:22" x14ac:dyDescent="0.2">
      <c r="A389" s="144" t="str">
        <v>H6a</v>
      </c>
      <c r="B389" s="145">
        <v>4</v>
      </c>
      <c r="C389" s="129" t="str">
        <v>Pterygium (or pinguecula) excision and conjunctival graft with suture – local anaesthetic</v>
      </c>
      <c r="D389" s="129" t="str">
        <v>H6a – Head / Ocular: Ocular Procedure Under Local Anaesthetic or Eye Block or …</v>
      </c>
      <c r="E389" s="129" t="str">
        <v>01 - Head</v>
      </c>
      <c r="F389" s="129" t="str">
        <v>SXAP</v>
      </c>
      <c r="G389" s="144" t="str">
        <v>CON-02</v>
      </c>
      <c r="H389" s="129" t="str">
        <v>Fixed fee schedule</v>
      </c>
      <c r="I389" s="144" t="str">
        <v>Yes</v>
      </c>
      <c r="J389" s="144" t="str">
        <v>Base</v>
      </c>
      <c r="K389" s="144" t="str">
        <v>7329</v>
      </c>
      <c r="L389" s="146" t="str">
        <v/>
      </c>
      <c r="M389" s="142">
        <v>1035</v>
      </c>
      <c r="N389" s="144" t="str">
        <v>Incl</v>
      </c>
      <c r="O389" s="142">
        <v>900.00000000000011</v>
      </c>
      <c r="P389" s="142">
        <v>1035</v>
      </c>
      <c r="Q389" s="142" t="str">
        <v/>
      </c>
      <c r="R389" s="129" t="str">
        <v>Description – likely</v>
      </c>
      <c r="S389" s="143">
        <v>46113</v>
      </c>
      <c r="T389" s="144" t="str">
        <v>SRC-06</v>
      </c>
      <c r="U389" s="129" t="str">
        <v>p.1</v>
      </c>
      <c r="V389" s="129" t="str">
        <v>Southern Cross Affiliated Provider (SXAP) – anaesthetist fee incl. GST. If two AP codes used, charge 50% for second procedure. Graft with suture, LA. Likely: matches S+ 'Pterygium' (H6a; generic description – SXAP specifies graft technique and anaesthetic). Numeric code as printed (no 'AP' prefix).</v>
      </c>
    </row>
    <row r="390" spans="1:22" x14ac:dyDescent="0.2">
      <c r="A390" s="144" t="str">
        <v>H6a</v>
      </c>
      <c r="B390" s="145">
        <v>4</v>
      </c>
      <c r="C390" s="129" t="str">
        <v>Pterygium (or pinguecula) excision and conjunctival graft with tissue glue – local anaesthetic: one eye/two pterygia or two eyes/one pterygium</v>
      </c>
      <c r="D390" s="129" t="str">
        <v>H6a – Head / Ocular: Ocular Procedure Under Local Anaesthetic or Eye Block or …</v>
      </c>
      <c r="E390" s="129" t="str">
        <v>01 - Head</v>
      </c>
      <c r="F390" s="129" t="str">
        <v>SXAP</v>
      </c>
      <c r="G390" s="144" t="str">
        <v>CON-02</v>
      </c>
      <c r="H390" s="129" t="str">
        <v>Fixed fee schedule</v>
      </c>
      <c r="I390" s="144" t="str">
        <v>Yes</v>
      </c>
      <c r="J390" s="144" t="str">
        <v>Base</v>
      </c>
      <c r="K390" s="144" t="str">
        <v>7397</v>
      </c>
      <c r="L390" s="146" t="str">
        <v/>
      </c>
      <c r="M390" s="142">
        <v>1265</v>
      </c>
      <c r="N390" s="144" t="str">
        <v>Incl</v>
      </c>
      <c r="O390" s="142">
        <v>1100</v>
      </c>
      <c r="P390" s="142">
        <v>1265</v>
      </c>
      <c r="Q390" s="142" t="str">
        <v/>
      </c>
      <c r="R390" s="129" t="str">
        <v>Description – likely</v>
      </c>
      <c r="S390" s="143">
        <v>46113</v>
      </c>
      <c r="T390" s="144" t="str">
        <v>SRC-06</v>
      </c>
      <c r="U390" s="129" t="str">
        <v>p.1</v>
      </c>
      <c r="V390" s="129" t="str">
        <v>Southern Cross Affiliated Provider (SXAP) – anaesthetist fee incl. GST. If two AP codes used, charge 50% for second procedure. Graft with tissue glue, LA; one eye/two pterygia or two eyes/one pterygium (double procedure priced as one line). Likely: matches S+ 'Pterygium' (H6a; generic description – SXAP specifies graft technique and anaesthetic). Numeric code as printed (no 'AP' prefix).</v>
      </c>
    </row>
    <row r="391" spans="1:22" x14ac:dyDescent="0.2">
      <c r="A391" s="144" t="str">
        <v>H6a</v>
      </c>
      <c r="B391" s="145">
        <v>4</v>
      </c>
      <c r="C391" s="129" t="str">
        <v>Pterygium (or pinguecula) excision and conjunctival graft with tissue glue – topical anaesthetic</v>
      </c>
      <c r="D391" s="129" t="str">
        <v>H6a – Head / Ocular: Ocular Procedure Under Local Anaesthetic or Eye Block or …</v>
      </c>
      <c r="E391" s="129" t="str">
        <v>01 - Head</v>
      </c>
      <c r="F391" s="129" t="str">
        <v>SXAP</v>
      </c>
      <c r="G391" s="144" t="str">
        <v>CON-02</v>
      </c>
      <c r="H391" s="129" t="str">
        <v>Fixed fee schedule</v>
      </c>
      <c r="I391" s="144" t="str">
        <v>Yes</v>
      </c>
      <c r="J391" s="144" t="str">
        <v>Base</v>
      </c>
      <c r="K391" s="144" t="str">
        <v>7331</v>
      </c>
      <c r="L391" s="146" t="str">
        <v/>
      </c>
      <c r="M391" s="142">
        <v>1035</v>
      </c>
      <c r="N391" s="144" t="str">
        <v>Incl</v>
      </c>
      <c r="O391" s="142">
        <v>900.00000000000011</v>
      </c>
      <c r="P391" s="142">
        <v>1035</v>
      </c>
      <c r="Q391" s="142" t="str">
        <v/>
      </c>
      <c r="R391" s="129" t="str">
        <v>Description – likely</v>
      </c>
      <c r="S391" s="143">
        <v>46113</v>
      </c>
      <c r="T391" s="144" t="str">
        <v>SRC-06</v>
      </c>
      <c r="U391" s="129" t="str">
        <v>p.1</v>
      </c>
      <c r="V391" s="129" t="str">
        <v>Southern Cross Affiliated Provider (SXAP) – anaesthetist fee incl. GST. If two AP codes used, charge 50% for second procedure. Graft with tissue glue, topical anaesthetic. Likely: matches S+ 'Pterygium' (H6a; generic description – SXAP specifies graft technique and anaesthetic). Numeric code as printed (no 'AP' prefix).</v>
      </c>
    </row>
    <row r="392" spans="1:22" x14ac:dyDescent="0.2">
      <c r="A392" s="144" t="str">
        <v>H6a</v>
      </c>
      <c r="B392" s="145">
        <v>4</v>
      </c>
      <c r="C392" s="129" t="str">
        <v>Punctoplasty +/- syringing</v>
      </c>
      <c r="D392" s="129" t="str">
        <v>H6a – Head / Ocular: Ocular Procedure Under Local Anaesthetic or Eye Block or …</v>
      </c>
      <c r="E392" s="129" t="str">
        <v>01 - Head</v>
      </c>
      <c r="F392" s="129" t="str">
        <v>CESL – HNZ (commitment)</v>
      </c>
      <c r="G392" s="144" t="str">
        <v>CON-05</v>
      </c>
      <c r="H392" s="129" t="str">
        <v>Fixed fee schedule</v>
      </c>
      <c r="I392" s="144" t="str">
        <v>Yes</v>
      </c>
      <c r="J392" s="144" t="str">
        <v>Base</v>
      </c>
      <c r="K392" s="144" t="str">
        <v>HNZ24</v>
      </c>
      <c r="L392" s="146" t="str">
        <v/>
      </c>
      <c r="M392" s="142">
        <v>750</v>
      </c>
      <c r="N392" s="144" t="str">
        <v>Excl</v>
      </c>
      <c r="O392" s="142">
        <v>750</v>
      </c>
      <c r="P392" s="142">
        <v>862.49999999999989</v>
      </c>
      <c r="Q392" s="142" t="str">
        <v/>
      </c>
      <c r="R392" s="129" t="str">
        <v>Description – likely</v>
      </c>
      <c r="S392" s="143" t="str">
        <v/>
      </c>
      <c r="T392" s="144" t="str">
        <v>SRC-08</v>
      </c>
      <c r="U392" s="129" t="str">
        <v>Sheet row 32 – commitment</v>
      </c>
      <c r="V392" s="129" t="str">
        <v>CES HNZ Contract (Health NZ), commitment tier. Panel tier fee $800. Printed excl. GST; no effective date printed. Likely: lacrimal procedure – matched to S+ 'Syringe And Probe' (H6a).</v>
      </c>
    </row>
    <row r="393" spans="1:22" x14ac:dyDescent="0.2">
      <c r="A393" s="144" t="str">
        <v>H6a</v>
      </c>
      <c r="B393" s="145">
        <v>4</v>
      </c>
      <c r="C393" s="129" t="str">
        <v>Punctoplasty +/- syringing</v>
      </c>
      <c r="D393" s="129" t="str">
        <v>H6a – Head / Ocular: Ocular Procedure Under Local Anaesthetic or Eye Block or …</v>
      </c>
      <c r="E393" s="129" t="str">
        <v>01 - Head</v>
      </c>
      <c r="F393" s="129" t="str">
        <v>CESL – HNZ (panel)</v>
      </c>
      <c r="G393" s="144" t="str">
        <v>CON-06</v>
      </c>
      <c r="H393" s="129" t="str">
        <v>Fixed fee schedule</v>
      </c>
      <c r="I393" s="144" t="str">
        <v>Yes</v>
      </c>
      <c r="J393" s="144" t="str">
        <v>Base</v>
      </c>
      <c r="K393" s="144" t="str">
        <v>HNZ24</v>
      </c>
      <c r="L393" s="146" t="str">
        <v/>
      </c>
      <c r="M393" s="142">
        <v>800</v>
      </c>
      <c r="N393" s="144" t="str">
        <v>Excl</v>
      </c>
      <c r="O393" s="142">
        <v>800</v>
      </c>
      <c r="P393" s="142">
        <v>919.99999999999989</v>
      </c>
      <c r="Q393" s="142" t="str">
        <v/>
      </c>
      <c r="R393" s="129" t="str">
        <v>Description – likely</v>
      </c>
      <c r="S393" s="143" t="str">
        <v/>
      </c>
      <c r="T393" s="144" t="str">
        <v>SRC-08</v>
      </c>
      <c r="U393" s="129" t="str">
        <v>Sheet row 32 – panel</v>
      </c>
      <c r="V393" s="129" t="str">
        <v>CES HNZ Contract (Health NZ), panel tier. Commitment tier fee $750. Printed excl. GST; no effective date printed. Likely: lacrimal procedure – matched to S+ 'Syringe And Probe' (H6a).</v>
      </c>
    </row>
    <row r="394" spans="1:22" x14ac:dyDescent="0.2">
      <c r="A394" s="144" t="str">
        <v>H6a</v>
      </c>
      <c r="B394" s="145">
        <v>4</v>
      </c>
      <c r="C394" s="129" t="str">
        <v>Removal of corneal sutures</v>
      </c>
      <c r="D394" s="129" t="str">
        <v>H6a – Head / Ocular: Ocular Procedure Under Local Anaesthetic or Eye Block or …</v>
      </c>
      <c r="E394" s="129" t="str">
        <v>01 - Head</v>
      </c>
      <c r="F394" s="129" t="str">
        <v>CESL – HNZ (commitment)</v>
      </c>
      <c r="G394" s="144" t="str">
        <v>CON-05</v>
      </c>
      <c r="H394" s="129" t="str">
        <v>Fixed fee schedule</v>
      </c>
      <c r="I394" s="144" t="str">
        <v>Yes</v>
      </c>
      <c r="J394" s="144" t="str">
        <v>Base</v>
      </c>
      <c r="K394" s="144" t="str">
        <v>HNZ03</v>
      </c>
      <c r="L394" s="146" t="str">
        <v/>
      </c>
      <c r="M394" s="142">
        <v>600</v>
      </c>
      <c r="N394" s="144" t="str">
        <v>Excl</v>
      </c>
      <c r="O394" s="142">
        <v>600</v>
      </c>
      <c r="P394" s="142">
        <v>690</v>
      </c>
      <c r="Q394" s="142" t="str">
        <v/>
      </c>
      <c r="R394" s="129" t="str">
        <v>Description – likely</v>
      </c>
      <c r="S394" s="143" t="str">
        <v/>
      </c>
      <c r="T394" s="144" t="str">
        <v>SRC-08</v>
      </c>
      <c r="U394" s="129" t="str">
        <v>Sheet row 11 – commitment</v>
      </c>
      <c r="V394" s="129" t="str">
        <v>CES HNZ Contract (Health NZ), commitment tier. Same fee in the panel tier. Printed excl. GST; no effective date printed. Likely: no similar description in the master; ocular procedure, so grouped by the RVG group H6a (ocular procedure under LA/eye block/GA &gt; 2 yo) beneath the NZSA RVG H6a row.</v>
      </c>
    </row>
    <row r="395" spans="1:22" x14ac:dyDescent="0.2">
      <c r="A395" s="144" t="str">
        <v>H6a</v>
      </c>
      <c r="B395" s="145">
        <v>4</v>
      </c>
      <c r="C395" s="129" t="str">
        <v>Removal of corneal sutures</v>
      </c>
      <c r="D395" s="129" t="str">
        <v>H6a – Head / Ocular: Ocular Procedure Under Local Anaesthetic or Eye Block or …</v>
      </c>
      <c r="E395" s="129" t="str">
        <v>01 - Head</v>
      </c>
      <c r="F395" s="129" t="str">
        <v>CESL – HNZ (panel)</v>
      </c>
      <c r="G395" s="144" t="str">
        <v>CON-06</v>
      </c>
      <c r="H395" s="129" t="str">
        <v>Fixed fee schedule</v>
      </c>
      <c r="I395" s="144" t="str">
        <v>Yes</v>
      </c>
      <c r="J395" s="144" t="str">
        <v>Base</v>
      </c>
      <c r="K395" s="144" t="str">
        <v>HNZ03</v>
      </c>
      <c r="L395" s="146" t="str">
        <v/>
      </c>
      <c r="M395" s="142">
        <v>600</v>
      </c>
      <c r="N395" s="144" t="str">
        <v>Excl</v>
      </c>
      <c r="O395" s="142">
        <v>600</v>
      </c>
      <c r="P395" s="142">
        <v>690</v>
      </c>
      <c r="Q395" s="142" t="str">
        <v/>
      </c>
      <c r="R395" s="129" t="str">
        <v>Description – likely</v>
      </c>
      <c r="S395" s="143" t="str">
        <v/>
      </c>
      <c r="T395" s="144" t="str">
        <v>SRC-08</v>
      </c>
      <c r="U395" s="129" t="str">
        <v>Sheet row 11 – panel</v>
      </c>
      <c r="V395" s="129" t="str">
        <v>CES HNZ Contract (Health NZ), panel tier. Same fee in the commitment tier. Printed excl. GST; no effective date printed. Likely: no similar description in the master; ocular procedure, so grouped by the RVG group H6a (ocular procedure under LA/eye block/GA &gt; 2 yo) beneath the NZSA RVG H6a row.</v>
      </c>
    </row>
    <row r="396" spans="1:22" x14ac:dyDescent="0.2">
      <c r="A396" s="144" t="str">
        <v>H6a</v>
      </c>
      <c r="B396" s="145">
        <v>4</v>
      </c>
      <c r="C396" s="129" t="str">
        <v>Removal of vitreous, pars plana approach</v>
      </c>
      <c r="D396" s="129" t="str">
        <v>H6a – Head / Ocular: Ocular Procedure Under Local Anaesthetic or Eye Block or …</v>
      </c>
      <c r="E396" s="129" t="str">
        <v>01 - Head</v>
      </c>
      <c r="F396" s="129" t="str">
        <v>CESL – HNZ (commitment)</v>
      </c>
      <c r="G396" s="144" t="str">
        <v>CON-05</v>
      </c>
      <c r="H396" s="129" t="str">
        <v>Fixed fee schedule</v>
      </c>
      <c r="I396" s="144" t="str">
        <v>Yes</v>
      </c>
      <c r="J396" s="144" t="str">
        <v>Base</v>
      </c>
      <c r="K396" s="144" t="str">
        <v>HNZ55</v>
      </c>
      <c r="L396" s="146" t="str">
        <v/>
      </c>
      <c r="M396" s="142">
        <v>800</v>
      </c>
      <c r="N396" s="144" t="str">
        <v>Excl</v>
      </c>
      <c r="O396" s="142">
        <v>800</v>
      </c>
      <c r="P396" s="142">
        <v>919.99999999999989</v>
      </c>
      <c r="Q396" s="142" t="str">
        <v/>
      </c>
      <c r="R396" s="129" t="str">
        <v>Description – likely</v>
      </c>
      <c r="S396" s="143" t="str">
        <v/>
      </c>
      <c r="T396" s="144" t="str">
        <v>SRC-08</v>
      </c>
      <c r="U396" s="129" t="str">
        <v>Sheet row 61 – commitment</v>
      </c>
      <c r="V396" s="129" t="str">
        <v>CES HNZ Contract (Health NZ), commitment tier. Same fee in the panel tier. Printed excl. GST; no effective date printed. Likely: vitreoretinal surgery – grouped with S+ 'Vitrectomy' rows and the SRC-02 vitrectomy rows (H6a).</v>
      </c>
    </row>
    <row r="397" spans="1:22" x14ac:dyDescent="0.2">
      <c r="A397" s="144" t="str">
        <v>H6a</v>
      </c>
      <c r="B397" s="145">
        <v>4</v>
      </c>
      <c r="C397" s="129" t="str">
        <v>Removal of vitreous, pars plana approach</v>
      </c>
      <c r="D397" s="129" t="str">
        <v>H6a – Head / Ocular: Ocular Procedure Under Local Anaesthetic or Eye Block or …</v>
      </c>
      <c r="E397" s="129" t="str">
        <v>01 - Head</v>
      </c>
      <c r="F397" s="129" t="str">
        <v>CESL – HNZ (panel)</v>
      </c>
      <c r="G397" s="144" t="str">
        <v>CON-06</v>
      </c>
      <c r="H397" s="129" t="str">
        <v>Fixed fee schedule</v>
      </c>
      <c r="I397" s="144" t="str">
        <v>Yes</v>
      </c>
      <c r="J397" s="144" t="str">
        <v>Base</v>
      </c>
      <c r="K397" s="144" t="str">
        <v>HNZ55</v>
      </c>
      <c r="L397" s="146" t="str">
        <v/>
      </c>
      <c r="M397" s="142">
        <v>800</v>
      </c>
      <c r="N397" s="144" t="str">
        <v>Excl</v>
      </c>
      <c r="O397" s="142">
        <v>800</v>
      </c>
      <c r="P397" s="142">
        <v>919.99999999999989</v>
      </c>
      <c r="Q397" s="142" t="str">
        <v/>
      </c>
      <c r="R397" s="129" t="str">
        <v>Description – likely</v>
      </c>
      <c r="S397" s="143" t="str">
        <v/>
      </c>
      <c r="T397" s="144" t="str">
        <v>SRC-08</v>
      </c>
      <c r="U397" s="129" t="str">
        <v>Sheet row 61 – panel</v>
      </c>
      <c r="V397" s="129" t="str">
        <v>CES HNZ Contract (Health NZ), panel tier. Same fee in the commitment tier. Printed excl. GST; no effective date printed. Likely: vitreoretinal surgery – grouped with S+ 'Vitrectomy' rows and the SRC-02 vitrectomy rows (H6a).</v>
      </c>
    </row>
    <row r="398" spans="1:22" x14ac:dyDescent="0.2">
      <c r="A398" s="144" t="str">
        <v>H6a</v>
      </c>
      <c r="B398" s="145">
        <v>4</v>
      </c>
      <c r="C398" s="129" t="str">
        <v>Repair of macula hole</v>
      </c>
      <c r="D398" s="129" t="str">
        <v>H6a – Head / Ocular: Ocular Procedure Under Local Anaesthetic or Eye Block or …</v>
      </c>
      <c r="E398" s="129" t="str">
        <v>01 - Head</v>
      </c>
      <c r="F398" s="129" t="str">
        <v>CESL – HNZ (commitment)</v>
      </c>
      <c r="G398" s="144" t="str">
        <v>CON-05</v>
      </c>
      <c r="H398" s="129" t="str">
        <v>Fixed fee schedule</v>
      </c>
      <c r="I398" s="144" t="str">
        <v>Yes</v>
      </c>
      <c r="J398" s="144" t="str">
        <v>Base</v>
      </c>
      <c r="K398" s="144" t="str">
        <v>HNZ58</v>
      </c>
      <c r="L398" s="146" t="str">
        <v/>
      </c>
      <c r="M398" s="142">
        <v>800</v>
      </c>
      <c r="N398" s="144" t="str">
        <v>Excl</v>
      </c>
      <c r="O398" s="142">
        <v>800</v>
      </c>
      <c r="P398" s="142">
        <v>919.99999999999989</v>
      </c>
      <c r="Q398" s="142" t="str">
        <v/>
      </c>
      <c r="R398" s="129" t="str">
        <v>Description – likely</v>
      </c>
      <c r="S398" s="143" t="str">
        <v/>
      </c>
      <c r="T398" s="144" t="str">
        <v>SRC-08</v>
      </c>
      <c r="U398" s="129" t="str">
        <v>Sheet row 63 – commitment</v>
      </c>
      <c r="V398" s="129" t="str">
        <v>CES HNZ Contract (Health NZ), commitment tier. Same fee in the panel tier. Printed excl. GST; no effective date printed. Likely: matched to S+ 'Left Macular Hole - Vitrectomy' (H6a).</v>
      </c>
    </row>
    <row r="399" spans="1:22" x14ac:dyDescent="0.2">
      <c r="A399" s="144" t="str">
        <v>H6a</v>
      </c>
      <c r="B399" s="145">
        <v>4</v>
      </c>
      <c r="C399" s="129" t="str">
        <v>Repair of macula hole</v>
      </c>
      <c r="D399" s="129" t="str">
        <v>H6a – Head / Ocular: Ocular Procedure Under Local Anaesthetic or Eye Block or …</v>
      </c>
      <c r="E399" s="129" t="str">
        <v>01 - Head</v>
      </c>
      <c r="F399" s="129" t="str">
        <v>CESL – HNZ (panel)</v>
      </c>
      <c r="G399" s="144" t="str">
        <v>CON-06</v>
      </c>
      <c r="H399" s="129" t="str">
        <v>Fixed fee schedule</v>
      </c>
      <c r="I399" s="144" t="str">
        <v>Yes</v>
      </c>
      <c r="J399" s="144" t="str">
        <v>Base</v>
      </c>
      <c r="K399" s="144" t="str">
        <v>HNZ58</v>
      </c>
      <c r="L399" s="146" t="str">
        <v/>
      </c>
      <c r="M399" s="142">
        <v>800</v>
      </c>
      <c r="N399" s="144" t="str">
        <v>Excl</v>
      </c>
      <c r="O399" s="142">
        <v>800</v>
      </c>
      <c r="P399" s="142">
        <v>919.99999999999989</v>
      </c>
      <c r="Q399" s="142" t="str">
        <v/>
      </c>
      <c r="R399" s="129" t="str">
        <v>Description – likely</v>
      </c>
      <c r="S399" s="143" t="str">
        <v/>
      </c>
      <c r="T399" s="144" t="str">
        <v>SRC-08</v>
      </c>
      <c r="U399" s="129" t="str">
        <v>Sheet row 63 – panel</v>
      </c>
      <c r="V399" s="129" t="str">
        <v>CES HNZ Contract (Health NZ), panel tier. Same fee in the commitment tier. Printed excl. GST; no effective date printed. Likely: matched to S+ 'Left Macular Hole - Vitrectomy' (H6a).</v>
      </c>
    </row>
    <row r="400" spans="1:22" x14ac:dyDescent="0.2">
      <c r="A400" s="144" t="str">
        <v>H6a</v>
      </c>
      <c r="B400" s="145">
        <v>4</v>
      </c>
      <c r="C400" s="129" t="str">
        <v>Repair of retinal detachment</v>
      </c>
      <c r="D400" s="129" t="str">
        <v>H6a – Head / Ocular: Ocular Procedure Under Local Anaesthetic or Eye Block or …</v>
      </c>
      <c r="E400" s="129" t="str">
        <v>01 - Head</v>
      </c>
      <c r="F400" s="129" t="str">
        <v>CESL – HNZ (commitment)</v>
      </c>
      <c r="G400" s="144" t="str">
        <v>CON-05</v>
      </c>
      <c r="H400" s="129" t="str">
        <v>Fixed fee schedule</v>
      </c>
      <c r="I400" s="144" t="str">
        <v>Yes</v>
      </c>
      <c r="J400" s="144" t="str">
        <v>Base</v>
      </c>
      <c r="K400" s="144" t="str">
        <v>HNZ57</v>
      </c>
      <c r="L400" s="146" t="str">
        <v/>
      </c>
      <c r="M400" s="142">
        <v>800</v>
      </c>
      <c r="N400" s="144" t="str">
        <v>Excl</v>
      </c>
      <c r="O400" s="142">
        <v>800</v>
      </c>
      <c r="P400" s="142">
        <v>919.99999999999989</v>
      </c>
      <c r="Q400" s="142" t="str">
        <v/>
      </c>
      <c r="R400" s="129" t="str">
        <v>Description – likely</v>
      </c>
      <c r="S400" s="143" t="str">
        <v/>
      </c>
      <c r="T400" s="144" t="str">
        <v>SRC-08</v>
      </c>
      <c r="U400" s="129" t="str">
        <v>Sheet row 62 – commitment</v>
      </c>
      <c r="V400" s="129" t="str">
        <v>CES HNZ Contract (Health NZ), commitment tier. Same fee in the panel tier. Printed excl. GST; no effective date printed. Likely: vitreoretinal surgery – grouped with S+ 'Vitrectomy' rows and the SRC-02 vitrectomy rows (H6a).</v>
      </c>
    </row>
    <row r="401" spans="1:22" x14ac:dyDescent="0.2">
      <c r="A401" s="144" t="str">
        <v>H6a</v>
      </c>
      <c r="B401" s="145">
        <v>4</v>
      </c>
      <c r="C401" s="129" t="str">
        <v>Repair of retinal detachment</v>
      </c>
      <c r="D401" s="129" t="str">
        <v>H6a – Head / Ocular: Ocular Procedure Under Local Anaesthetic or Eye Block or …</v>
      </c>
      <c r="E401" s="129" t="str">
        <v>01 - Head</v>
      </c>
      <c r="F401" s="129" t="str">
        <v>CESL – HNZ (panel)</v>
      </c>
      <c r="G401" s="144" t="str">
        <v>CON-06</v>
      </c>
      <c r="H401" s="129" t="str">
        <v>Fixed fee schedule</v>
      </c>
      <c r="I401" s="144" t="str">
        <v>Yes</v>
      </c>
      <c r="J401" s="144" t="str">
        <v>Base</v>
      </c>
      <c r="K401" s="144" t="str">
        <v>HNZ57</v>
      </c>
      <c r="L401" s="146" t="str">
        <v/>
      </c>
      <c r="M401" s="142">
        <v>800</v>
      </c>
      <c r="N401" s="144" t="str">
        <v>Excl</v>
      </c>
      <c r="O401" s="142">
        <v>800</v>
      </c>
      <c r="P401" s="142">
        <v>919.99999999999989</v>
      </c>
      <c r="Q401" s="142" t="str">
        <v/>
      </c>
      <c r="R401" s="129" t="str">
        <v>Description – likely</v>
      </c>
      <c r="S401" s="143" t="str">
        <v/>
      </c>
      <c r="T401" s="144" t="str">
        <v>SRC-08</v>
      </c>
      <c r="U401" s="129" t="str">
        <v>Sheet row 62 – panel</v>
      </c>
      <c r="V401" s="129" t="str">
        <v>CES HNZ Contract (Health NZ), panel tier. Same fee in the commitment tier. Printed excl. GST; no effective date printed. Likely: vitreoretinal surgery – grouped with S+ 'Vitrectomy' rows and the SRC-02 vitrectomy rows (H6a).</v>
      </c>
    </row>
    <row r="402" spans="1:22" x14ac:dyDescent="0.2">
      <c r="A402" s="144" t="str">
        <v>H6a</v>
      </c>
      <c r="B402" s="145">
        <v>4</v>
      </c>
      <c r="C402" s="129" t="str">
        <v>Richt Cataract Extraction And IOL Implant</v>
      </c>
      <c r="D402" s="129" t="str">
        <v>H6a – Head / Ocular: Ocular Procedure Under Local Anaesthetic or Eye Block or …</v>
      </c>
      <c r="E402" s="129" t="str">
        <v>01 - Head</v>
      </c>
      <c r="F402" s="129" t="str">
        <v>Solutions Plus</v>
      </c>
      <c r="G402" s="144" t="str">
        <v>CON-01</v>
      </c>
      <c r="H402" s="129" t="str">
        <v>To confirm</v>
      </c>
      <c r="I402" s="144" t="str">
        <v>No</v>
      </c>
      <c r="J402" s="144" t="str">
        <v>Base</v>
      </c>
      <c r="K402" s="144" t="str">
        <v/>
      </c>
      <c r="L402" s="146">
        <v>0</v>
      </c>
      <c r="M402" s="142">
        <v>0</v>
      </c>
      <c r="N402" s="144" t="str">
        <v>Unknown</v>
      </c>
      <c r="O402" s="142" t="str">
        <v/>
      </c>
      <c r="P402" s="142" t="str">
        <v/>
      </c>
      <c r="Q402" s="142" t="str">
        <v/>
      </c>
      <c r="R402" s="129" t="str">
        <v>Description – likely</v>
      </c>
      <c r="S402" s="143" t="str">
        <v/>
      </c>
      <c r="T402" s="144" t="str">
        <v>SRC-00</v>
      </c>
      <c r="U402" s="129" t="str">
        <v>S+ row 765</v>
      </c>
      <c r="V402" s="129" t="str">
        <v/>
      </c>
    </row>
    <row r="403" spans="1:22" x14ac:dyDescent="0.2">
      <c r="A403" s="144" t="str">
        <v>H6a</v>
      </c>
      <c r="B403" s="145">
        <v>4</v>
      </c>
      <c r="C403" s="129" t="str">
        <v>Right Cataract</v>
      </c>
      <c r="D403" s="129" t="str">
        <v>H6a – Head / Ocular: Ocular Procedure Under Local Anaesthetic or Eye Block or …</v>
      </c>
      <c r="E403" s="129" t="str">
        <v>01 - Head</v>
      </c>
      <c r="F403" s="129" t="str">
        <v>Solutions Plus</v>
      </c>
      <c r="G403" s="144" t="str">
        <v>CON-01</v>
      </c>
      <c r="H403" s="129" t="str">
        <v>To confirm</v>
      </c>
      <c r="I403" s="144" t="str">
        <v>No</v>
      </c>
      <c r="J403" s="144" t="str">
        <v>Base</v>
      </c>
      <c r="K403" s="144" t="str">
        <v/>
      </c>
      <c r="L403" s="146">
        <v>2.2999999999999998</v>
      </c>
      <c r="M403" s="142">
        <v>128.15</v>
      </c>
      <c r="N403" s="144" t="str">
        <v>Unknown</v>
      </c>
      <c r="O403" s="142" t="str">
        <v/>
      </c>
      <c r="P403" s="142" t="str">
        <v/>
      </c>
      <c r="Q403" s="142">
        <v>55.717391304347835</v>
      </c>
      <c r="R403" s="129" t="str">
        <v>Description – likely</v>
      </c>
      <c r="S403" s="143" t="str">
        <v/>
      </c>
      <c r="T403" s="144" t="str">
        <v>SRC-00</v>
      </c>
      <c r="U403" s="129" t="str">
        <v>S+ row 774</v>
      </c>
      <c r="V403" s="129" t="str">
        <v/>
      </c>
    </row>
    <row r="404" spans="1:22" x14ac:dyDescent="0.2">
      <c r="A404" s="144" t="str">
        <v>H6a</v>
      </c>
      <c r="B404" s="145">
        <v>4</v>
      </c>
      <c r="C404" s="129" t="str">
        <v>Right Cataract</v>
      </c>
      <c r="D404" s="129" t="str">
        <v>H6a – Head / Ocular: Ocular Procedure Under Local Anaesthetic or Eye Block or …</v>
      </c>
      <c r="E404" s="129" t="str">
        <v>01 - Head</v>
      </c>
      <c r="F404" s="129" t="str">
        <v>Solutions Plus</v>
      </c>
      <c r="G404" s="144" t="str">
        <v>CON-01</v>
      </c>
      <c r="H404" s="129" t="str">
        <v>To confirm</v>
      </c>
      <c r="I404" s="144" t="str">
        <v>No</v>
      </c>
      <c r="J404" s="144" t="str">
        <v>Base</v>
      </c>
      <c r="K404" s="144" t="str">
        <v/>
      </c>
      <c r="L404" s="146">
        <v>2.2999999999999998</v>
      </c>
      <c r="M404" s="142">
        <v>128.15</v>
      </c>
      <c r="N404" s="144" t="str">
        <v>Unknown</v>
      </c>
      <c r="O404" s="142" t="str">
        <v/>
      </c>
      <c r="P404" s="142" t="str">
        <v/>
      </c>
      <c r="Q404" s="142">
        <v>55.717391304347835</v>
      </c>
      <c r="R404" s="129" t="str">
        <v>Description – likely</v>
      </c>
      <c r="S404" s="143" t="str">
        <v/>
      </c>
      <c r="T404" s="144" t="str">
        <v>SRC-00</v>
      </c>
      <c r="U404" s="129" t="str">
        <v>S+ row 775</v>
      </c>
      <c r="V404" s="129" t="str">
        <v/>
      </c>
    </row>
    <row r="405" spans="1:22" x14ac:dyDescent="0.2">
      <c r="A405" s="144" t="str">
        <v>H6a</v>
      </c>
      <c r="B405" s="145">
        <v>4</v>
      </c>
      <c r="C405" s="129" t="str">
        <v>Right Cataract - CDHB</v>
      </c>
      <c r="D405" s="129" t="str">
        <v>H6a – Head / Ocular: Ocular Procedure Under Local Anaesthetic or Eye Block or …</v>
      </c>
      <c r="E405" s="129" t="str">
        <v>01 - Head</v>
      </c>
      <c r="F405" s="129" t="str">
        <v>Solutions Plus</v>
      </c>
      <c r="G405" s="144" t="str">
        <v>CON-01</v>
      </c>
      <c r="H405" s="129" t="str">
        <v>To confirm</v>
      </c>
      <c r="I405" s="144" t="str">
        <v>No</v>
      </c>
      <c r="J405" s="144" t="str">
        <v>Base</v>
      </c>
      <c r="K405" s="144" t="str">
        <v/>
      </c>
      <c r="L405" s="146">
        <v>1.8</v>
      </c>
      <c r="M405" s="142">
        <v>98.45</v>
      </c>
      <c r="N405" s="144" t="str">
        <v>Unknown</v>
      </c>
      <c r="O405" s="142" t="str">
        <v/>
      </c>
      <c r="P405" s="142" t="str">
        <v/>
      </c>
      <c r="Q405" s="142">
        <v>54.694444444444443</v>
      </c>
      <c r="R405" s="129" t="str">
        <v>Description – likely</v>
      </c>
      <c r="S405" s="143" t="str">
        <v/>
      </c>
      <c r="T405" s="144" t="str">
        <v>SRC-00</v>
      </c>
      <c r="U405" s="129" t="str">
        <v>S+ row 780</v>
      </c>
      <c r="V405" s="129" t="str">
        <v/>
      </c>
    </row>
    <row r="406" spans="1:22" x14ac:dyDescent="0.2">
      <c r="A406" s="144" t="str">
        <v>H6a</v>
      </c>
      <c r="B406" s="145">
        <v>4</v>
      </c>
      <c r="C406" s="129" t="str">
        <v>Right Cataract - WCDHB</v>
      </c>
      <c r="D406" s="129" t="str">
        <v>H6a – Head / Ocular: Ocular Procedure Under Local Anaesthetic or Eye Block or …</v>
      </c>
      <c r="E406" s="129" t="str">
        <v>01 - Head</v>
      </c>
      <c r="F406" s="129" t="str">
        <v>Solutions Plus</v>
      </c>
      <c r="G406" s="144" t="str">
        <v>CON-01</v>
      </c>
      <c r="H406" s="129" t="str">
        <v>To confirm</v>
      </c>
      <c r="I406" s="144" t="str">
        <v>No</v>
      </c>
      <c r="J406" s="144" t="str">
        <v>Base</v>
      </c>
      <c r="K406" s="144" t="str">
        <v/>
      </c>
      <c r="L406" s="146">
        <v>3.4</v>
      </c>
      <c r="M406" s="142">
        <v>185.35</v>
      </c>
      <c r="N406" s="144" t="str">
        <v>Unknown</v>
      </c>
      <c r="O406" s="142" t="str">
        <v/>
      </c>
      <c r="P406" s="142" t="str">
        <v/>
      </c>
      <c r="Q406" s="142">
        <v>54.514705882352942</v>
      </c>
      <c r="R406" s="129" t="str">
        <v>Description – likely</v>
      </c>
      <c r="S406" s="143" t="str">
        <v/>
      </c>
      <c r="T406" s="144" t="str">
        <v>SRC-00</v>
      </c>
      <c r="U406" s="129" t="str">
        <v>S+ row 782</v>
      </c>
      <c r="V406" s="129" t="str">
        <v/>
      </c>
    </row>
    <row r="407" spans="1:22" x14ac:dyDescent="0.2">
      <c r="A407" s="144" t="str">
        <v>H6a</v>
      </c>
      <c r="B407" s="145">
        <v>4</v>
      </c>
      <c r="C407" s="129" t="str">
        <v>Right Cataract + Vitrectomy</v>
      </c>
      <c r="D407" s="129" t="str">
        <v>H6a – Head / Ocular: Ocular Procedure Under Local Anaesthetic or Eye Block or …</v>
      </c>
      <c r="E407" s="129" t="str">
        <v>01 - Head</v>
      </c>
      <c r="F407" s="129" t="str">
        <v>Solutions Plus</v>
      </c>
      <c r="G407" s="144" t="str">
        <v>CON-01</v>
      </c>
      <c r="H407" s="129" t="str">
        <v>To confirm</v>
      </c>
      <c r="I407" s="144" t="str">
        <v>No</v>
      </c>
      <c r="J407" s="144" t="str">
        <v>Base</v>
      </c>
      <c r="K407" s="144" t="str">
        <v/>
      </c>
      <c r="L407" s="146">
        <v>8</v>
      </c>
      <c r="M407" s="142">
        <v>439.45</v>
      </c>
      <c r="N407" s="144" t="str">
        <v>Unknown</v>
      </c>
      <c r="O407" s="142" t="str">
        <v/>
      </c>
      <c r="P407" s="142" t="str">
        <v/>
      </c>
      <c r="Q407" s="142">
        <v>54.931249999999999</v>
      </c>
      <c r="R407" s="129" t="str">
        <v>Description – likely</v>
      </c>
      <c r="S407" s="143" t="str">
        <v/>
      </c>
      <c r="T407" s="144" t="str">
        <v>SRC-00</v>
      </c>
      <c r="U407" s="129" t="str">
        <v>S+ row 783</v>
      </c>
      <c r="V407" s="129" t="str">
        <v/>
      </c>
    </row>
    <row r="408" spans="1:22" x14ac:dyDescent="0.2">
      <c r="A408" s="144" t="str">
        <v>H6a</v>
      </c>
      <c r="B408" s="145">
        <v>4</v>
      </c>
      <c r="C408" s="129" t="str">
        <v>Right CATARACT CDHB</v>
      </c>
      <c r="D408" s="129" t="str">
        <v>H6a – Head / Ocular: Ocular Procedure Under Local Anaesthetic or Eye Block or …</v>
      </c>
      <c r="E408" s="129" t="str">
        <v>01 - Head</v>
      </c>
      <c r="F408" s="129" t="str">
        <v>Solutions Plus</v>
      </c>
      <c r="G408" s="144" t="str">
        <v>CON-01</v>
      </c>
      <c r="H408" s="129" t="str">
        <v>To confirm</v>
      </c>
      <c r="I408" s="144" t="str">
        <v>No</v>
      </c>
      <c r="J408" s="144" t="str">
        <v>Base</v>
      </c>
      <c r="K408" s="144" t="str">
        <v/>
      </c>
      <c r="L408" s="146">
        <v>2.2999999999999998</v>
      </c>
      <c r="M408" s="142">
        <v>124.85</v>
      </c>
      <c r="N408" s="144" t="str">
        <v>Unknown</v>
      </c>
      <c r="O408" s="142" t="str">
        <v/>
      </c>
      <c r="P408" s="142" t="str">
        <v/>
      </c>
      <c r="Q408" s="142">
        <v>54.282608695652179</v>
      </c>
      <c r="R408" s="129" t="str">
        <v>Description – likely</v>
      </c>
      <c r="S408" s="143" t="str">
        <v/>
      </c>
      <c r="T408" s="144" t="str">
        <v>SRC-00</v>
      </c>
      <c r="U408" s="129" t="str">
        <v>S+ row 776</v>
      </c>
      <c r="V408" s="129" t="str">
        <v/>
      </c>
    </row>
    <row r="409" spans="1:22" x14ac:dyDescent="0.2">
      <c r="A409" s="144" t="str">
        <v>H6a</v>
      </c>
      <c r="B409" s="145">
        <v>4</v>
      </c>
      <c r="C409" s="129" t="str">
        <v>Right Cataract CDHB</v>
      </c>
      <c r="D409" s="129" t="str">
        <v>H6a – Head / Ocular: Ocular Procedure Under Local Anaesthetic or Eye Block or …</v>
      </c>
      <c r="E409" s="129" t="str">
        <v>01 - Head</v>
      </c>
      <c r="F409" s="129" t="str">
        <v>Solutions Plus</v>
      </c>
      <c r="G409" s="144" t="str">
        <v>CON-01</v>
      </c>
      <c r="H409" s="129" t="str">
        <v>To confirm</v>
      </c>
      <c r="I409" s="144" t="str">
        <v>No</v>
      </c>
      <c r="J409" s="144" t="str">
        <v>Base</v>
      </c>
      <c r="K409" s="144" t="str">
        <v/>
      </c>
      <c r="L409" s="146">
        <v>2.7</v>
      </c>
      <c r="M409" s="142">
        <v>147.4</v>
      </c>
      <c r="N409" s="144" t="str">
        <v>Unknown</v>
      </c>
      <c r="O409" s="142" t="str">
        <v/>
      </c>
      <c r="P409" s="142" t="str">
        <v/>
      </c>
      <c r="Q409" s="142">
        <v>54.592592592592588</v>
      </c>
      <c r="R409" s="129" t="str">
        <v>Description – likely</v>
      </c>
      <c r="S409" s="143" t="str">
        <v/>
      </c>
      <c r="T409" s="144" t="str">
        <v>SRC-00</v>
      </c>
      <c r="U409" s="129" t="str">
        <v>S+ row 778</v>
      </c>
      <c r="V409" s="129" t="str">
        <v/>
      </c>
    </row>
    <row r="410" spans="1:22" x14ac:dyDescent="0.2">
      <c r="A410" s="144" t="str">
        <v>H6a</v>
      </c>
      <c r="B410" s="145">
        <v>4</v>
      </c>
      <c r="C410" s="129" t="str">
        <v>Right CATARACT CDHB</v>
      </c>
      <c r="D410" s="129" t="str">
        <v>H6a – Head / Ocular: Ocular Procedure Under Local Anaesthetic or Eye Block or …</v>
      </c>
      <c r="E410" s="129" t="str">
        <v>01 - Head</v>
      </c>
      <c r="F410" s="129" t="str">
        <v>Solutions Plus</v>
      </c>
      <c r="G410" s="144" t="str">
        <v>CON-01</v>
      </c>
      <c r="H410" s="129" t="str">
        <v>To confirm</v>
      </c>
      <c r="I410" s="144" t="str">
        <v>No</v>
      </c>
      <c r="J410" s="144" t="str">
        <v>Base</v>
      </c>
      <c r="K410" s="144" t="str">
        <v/>
      </c>
      <c r="L410" s="146">
        <v>2.7</v>
      </c>
      <c r="M410" s="142">
        <v>145.75</v>
      </c>
      <c r="N410" s="144" t="str">
        <v>Unknown</v>
      </c>
      <c r="O410" s="142" t="str">
        <v/>
      </c>
      <c r="P410" s="142" t="str">
        <v/>
      </c>
      <c r="Q410" s="142">
        <v>53.981481481481481</v>
      </c>
      <c r="R410" s="129" t="str">
        <v>Description – likely</v>
      </c>
      <c r="S410" s="143" t="str">
        <v/>
      </c>
      <c r="T410" s="144" t="str">
        <v>SRC-00</v>
      </c>
      <c r="U410" s="129" t="str">
        <v>S+ row 779</v>
      </c>
      <c r="V410" s="129" t="str">
        <v/>
      </c>
    </row>
    <row r="411" spans="1:22" x14ac:dyDescent="0.2">
      <c r="A411" s="144" t="str">
        <v>H6a</v>
      </c>
      <c r="B411" s="145">
        <v>4</v>
      </c>
      <c r="C411" s="129" t="str">
        <v>Right Cataract CDHB</v>
      </c>
      <c r="D411" s="129" t="str">
        <v>H6a – Head / Ocular: Ocular Procedure Under Local Anaesthetic or Eye Block or …</v>
      </c>
      <c r="E411" s="129" t="str">
        <v>01 - Head</v>
      </c>
      <c r="F411" s="129" t="str">
        <v>Solutions Plus</v>
      </c>
      <c r="G411" s="144" t="str">
        <v>CON-01</v>
      </c>
      <c r="H411" s="129" t="str">
        <v>To confirm</v>
      </c>
      <c r="I411" s="144" t="str">
        <v>No</v>
      </c>
      <c r="J411" s="144" t="str">
        <v>Base</v>
      </c>
      <c r="K411" s="144" t="str">
        <v/>
      </c>
      <c r="L411" s="146">
        <v>3.6</v>
      </c>
      <c r="M411" s="142">
        <v>198</v>
      </c>
      <c r="N411" s="144" t="str">
        <v>Unknown</v>
      </c>
      <c r="O411" s="142" t="str">
        <v/>
      </c>
      <c r="P411" s="142" t="str">
        <v/>
      </c>
      <c r="Q411" s="142">
        <v>55</v>
      </c>
      <c r="R411" s="129" t="str">
        <v>Description – likely</v>
      </c>
      <c r="S411" s="143" t="str">
        <v/>
      </c>
      <c r="T411" s="144" t="str">
        <v>SRC-00</v>
      </c>
      <c r="U411" s="129" t="str">
        <v>S+ row 784</v>
      </c>
      <c r="V411" s="129" t="str">
        <v/>
      </c>
    </row>
    <row r="412" spans="1:22" x14ac:dyDescent="0.2">
      <c r="A412" s="144" t="str">
        <v>H6a</v>
      </c>
      <c r="B412" s="145">
        <v>4</v>
      </c>
      <c r="C412" s="129" t="str">
        <v>Right Cataract DHB</v>
      </c>
      <c r="D412" s="129" t="str">
        <v>H6a – Head / Ocular: Ocular Procedure Under Local Anaesthetic or Eye Block or …</v>
      </c>
      <c r="E412" s="129" t="str">
        <v>01 - Head</v>
      </c>
      <c r="F412" s="129" t="str">
        <v>Solutions Plus</v>
      </c>
      <c r="G412" s="144" t="str">
        <v>CON-01</v>
      </c>
      <c r="H412" s="129" t="str">
        <v>To confirm</v>
      </c>
      <c r="I412" s="144" t="str">
        <v>No</v>
      </c>
      <c r="J412" s="144" t="str">
        <v>Base</v>
      </c>
      <c r="K412" s="144" t="str">
        <v/>
      </c>
      <c r="L412" s="146">
        <v>1.5</v>
      </c>
      <c r="M412" s="142">
        <v>81.400000000000006</v>
      </c>
      <c r="N412" s="144" t="str">
        <v>Unknown</v>
      </c>
      <c r="O412" s="142" t="str">
        <v/>
      </c>
      <c r="P412" s="142" t="str">
        <v/>
      </c>
      <c r="Q412" s="142">
        <v>54.266666666666673</v>
      </c>
      <c r="R412" s="129" t="str">
        <v>Description – likely</v>
      </c>
      <c r="S412" s="143" t="str">
        <v/>
      </c>
      <c r="T412" s="144" t="str">
        <v>SRC-00</v>
      </c>
      <c r="U412" s="129" t="str">
        <v>S+ row 785</v>
      </c>
      <c r="V412" s="129" t="str">
        <v/>
      </c>
    </row>
    <row r="413" spans="1:22" x14ac:dyDescent="0.2">
      <c r="A413" s="144" t="str">
        <v>H6a</v>
      </c>
      <c r="B413" s="145">
        <v>4</v>
      </c>
      <c r="C413" s="129" t="str">
        <v>Right Cataract Extraction And Iol Implant - Local (M</v>
      </c>
      <c r="D413" s="129" t="str">
        <v>H6a – Head / Ocular: Ocular Procedure Under Local Anaesthetic or Eye Block or …</v>
      </c>
      <c r="E413" s="129" t="str">
        <v>01 - Head</v>
      </c>
      <c r="F413" s="129" t="str">
        <v>Solutions Plus</v>
      </c>
      <c r="G413" s="144" t="str">
        <v>CON-01</v>
      </c>
      <c r="H413" s="129" t="str">
        <v>To confirm</v>
      </c>
      <c r="I413" s="144" t="str">
        <v>No</v>
      </c>
      <c r="J413" s="144" t="str">
        <v>Base</v>
      </c>
      <c r="K413" s="144" t="str">
        <v/>
      </c>
      <c r="L413" s="146">
        <v>3.6</v>
      </c>
      <c r="M413" s="142">
        <v>200.2</v>
      </c>
      <c r="N413" s="144" t="str">
        <v>Unknown</v>
      </c>
      <c r="O413" s="142" t="str">
        <v/>
      </c>
      <c r="P413" s="142" t="str">
        <v/>
      </c>
      <c r="Q413" s="142">
        <v>55.611111111111107</v>
      </c>
      <c r="R413" s="129" t="str">
        <v>Description – likely</v>
      </c>
      <c r="S413" s="143" t="str">
        <v/>
      </c>
      <c r="T413" s="144" t="str">
        <v>SRC-00</v>
      </c>
      <c r="U413" s="129" t="str">
        <v>S+ row 786</v>
      </c>
      <c r="V413" s="129" t="str">
        <v/>
      </c>
    </row>
    <row r="414" spans="1:22" x14ac:dyDescent="0.2">
      <c r="A414" s="144" t="str">
        <v>H6a</v>
      </c>
      <c r="B414" s="145">
        <v>4</v>
      </c>
      <c r="C414" s="129" t="str">
        <v>Right Cataract Extraction And Iol Implant - Local (M</v>
      </c>
      <c r="D414" s="129" t="str">
        <v>H6a – Head / Ocular: Ocular Procedure Under Local Anaesthetic or Eye Block or …</v>
      </c>
      <c r="E414" s="129" t="str">
        <v>01 - Head</v>
      </c>
      <c r="F414" s="129" t="str">
        <v>Solutions Plus</v>
      </c>
      <c r="G414" s="144" t="str">
        <v>CON-01</v>
      </c>
      <c r="H414" s="129" t="str">
        <v>To confirm</v>
      </c>
      <c r="I414" s="144" t="str">
        <v>No</v>
      </c>
      <c r="J414" s="144" t="str">
        <v>Base</v>
      </c>
      <c r="K414" s="144" t="str">
        <v/>
      </c>
      <c r="L414" s="146">
        <v>0.2</v>
      </c>
      <c r="M414" s="142">
        <v>12.1</v>
      </c>
      <c r="N414" s="144" t="str">
        <v>Unknown</v>
      </c>
      <c r="O414" s="142" t="str">
        <v/>
      </c>
      <c r="P414" s="142" t="str">
        <v/>
      </c>
      <c r="Q414" s="142">
        <v>60.499999999999993</v>
      </c>
      <c r="R414" s="129" t="str">
        <v>Description – likely</v>
      </c>
      <c r="S414" s="143" t="str">
        <v/>
      </c>
      <c r="T414" s="144" t="str">
        <v>SRC-00</v>
      </c>
      <c r="U414" s="129" t="str">
        <v>S+ row 787</v>
      </c>
      <c r="V414" s="129" t="str">
        <v/>
      </c>
    </row>
    <row r="415" spans="1:22" x14ac:dyDescent="0.2">
      <c r="A415" s="144" t="str">
        <v>H6a</v>
      </c>
      <c r="B415" s="145">
        <v>4</v>
      </c>
      <c r="C415" s="129" t="str">
        <v>Right Cataract Extraction And Iol Implant CDHB</v>
      </c>
      <c r="D415" s="129" t="str">
        <v>H6a – Head / Ocular: Ocular Procedure Under Local Anaesthetic or Eye Block or …</v>
      </c>
      <c r="E415" s="129" t="str">
        <v>01 - Head</v>
      </c>
      <c r="F415" s="129" t="str">
        <v>Solutions Plus</v>
      </c>
      <c r="G415" s="144" t="str">
        <v>CON-01</v>
      </c>
      <c r="H415" s="129" t="str">
        <v>To confirm</v>
      </c>
      <c r="I415" s="144" t="str">
        <v>No</v>
      </c>
      <c r="J415" s="144" t="str">
        <v>Base</v>
      </c>
      <c r="K415" s="144" t="str">
        <v/>
      </c>
      <c r="L415" s="146">
        <v>4.9000000000000004</v>
      </c>
      <c r="M415" s="142">
        <v>269.5</v>
      </c>
      <c r="N415" s="144" t="str">
        <v>Unknown</v>
      </c>
      <c r="O415" s="142" t="str">
        <v/>
      </c>
      <c r="P415" s="142" t="str">
        <v/>
      </c>
      <c r="Q415" s="142">
        <v>54.999999999999993</v>
      </c>
      <c r="R415" s="129" t="str">
        <v>Description – likely</v>
      </c>
      <c r="S415" s="143" t="str">
        <v/>
      </c>
      <c r="T415" s="144" t="str">
        <v>SRC-00</v>
      </c>
      <c r="U415" s="129" t="str">
        <v>S+ row 788</v>
      </c>
      <c r="V415" s="129" t="str">
        <v/>
      </c>
    </row>
    <row r="416" spans="1:22" x14ac:dyDescent="0.2">
      <c r="A416" s="144" t="str">
        <v>H6a</v>
      </c>
      <c r="B416" s="145">
        <v>4</v>
      </c>
      <c r="C416" s="129" t="str">
        <v>Right Cataract Extraction And Iol Implant DHB</v>
      </c>
      <c r="D416" s="129" t="str">
        <v>H6a – Head / Ocular: Ocular Procedure Under Local Anaesthetic or Eye Block or …</v>
      </c>
      <c r="E416" s="129" t="str">
        <v>01 - Head</v>
      </c>
      <c r="F416" s="129" t="str">
        <v>Solutions Plus</v>
      </c>
      <c r="G416" s="144" t="str">
        <v>CON-01</v>
      </c>
      <c r="H416" s="129" t="str">
        <v>To confirm</v>
      </c>
      <c r="I416" s="144" t="str">
        <v>No</v>
      </c>
      <c r="J416" s="144" t="str">
        <v>Base</v>
      </c>
      <c r="K416" s="144" t="str">
        <v/>
      </c>
      <c r="L416" s="146">
        <v>0</v>
      </c>
      <c r="M416" s="142">
        <v>0</v>
      </c>
      <c r="N416" s="144" t="str">
        <v>Unknown</v>
      </c>
      <c r="O416" s="142" t="str">
        <v/>
      </c>
      <c r="P416" s="142" t="str">
        <v/>
      </c>
      <c r="Q416" s="142" t="str">
        <v/>
      </c>
      <c r="R416" s="129" t="str">
        <v>Description – likely</v>
      </c>
      <c r="S416" s="143" t="str">
        <v/>
      </c>
      <c r="T416" s="144" t="str">
        <v>SRC-00</v>
      </c>
      <c r="U416" s="129" t="str">
        <v>S+ row 789</v>
      </c>
      <c r="V416" s="129" t="str">
        <v/>
      </c>
    </row>
    <row r="417" spans="1:22" x14ac:dyDescent="0.2">
      <c r="A417" s="144" t="str">
        <v>H6a</v>
      </c>
      <c r="B417" s="145">
        <v>4</v>
      </c>
      <c r="C417" s="129" t="str">
        <v>Right Cataract WCDHB</v>
      </c>
      <c r="D417" s="129" t="str">
        <v>H6a – Head / Ocular: Ocular Procedure Under Local Anaesthetic or Eye Block or …</v>
      </c>
      <c r="E417" s="129" t="str">
        <v>01 - Head</v>
      </c>
      <c r="F417" s="129" t="str">
        <v>Solutions Plus</v>
      </c>
      <c r="G417" s="144" t="str">
        <v>CON-01</v>
      </c>
      <c r="H417" s="129" t="str">
        <v>To confirm</v>
      </c>
      <c r="I417" s="144" t="str">
        <v>No</v>
      </c>
      <c r="J417" s="144" t="str">
        <v>Base</v>
      </c>
      <c r="K417" s="144" t="str">
        <v/>
      </c>
      <c r="L417" s="146">
        <v>3</v>
      </c>
      <c r="M417" s="142">
        <v>166.65</v>
      </c>
      <c r="N417" s="144" t="str">
        <v>Unknown</v>
      </c>
      <c r="O417" s="142" t="str">
        <v/>
      </c>
      <c r="P417" s="142" t="str">
        <v/>
      </c>
      <c r="Q417" s="142">
        <v>55.550000000000004</v>
      </c>
      <c r="R417" s="129" t="str">
        <v>Description – likely</v>
      </c>
      <c r="S417" s="143" t="str">
        <v/>
      </c>
      <c r="T417" s="144" t="str">
        <v>SRC-00</v>
      </c>
      <c r="U417" s="129" t="str">
        <v>S+ row 777</v>
      </c>
      <c r="V417" s="129" t="str">
        <v/>
      </c>
    </row>
    <row r="418" spans="1:22" x14ac:dyDescent="0.2">
      <c r="A418" s="144" t="str">
        <v>H6a</v>
      </c>
      <c r="B418" s="145">
        <v>4</v>
      </c>
      <c r="C418" s="129" t="str">
        <v>Right CATARACT WCDHB</v>
      </c>
      <c r="D418" s="129" t="str">
        <v>H6a – Head / Ocular: Ocular Procedure Under Local Anaesthetic or Eye Block or …</v>
      </c>
      <c r="E418" s="129" t="str">
        <v>01 - Head</v>
      </c>
      <c r="F418" s="129" t="str">
        <v>Solutions Plus</v>
      </c>
      <c r="G418" s="144" t="str">
        <v>CON-01</v>
      </c>
      <c r="H418" s="129" t="str">
        <v>To confirm</v>
      </c>
      <c r="I418" s="144" t="str">
        <v>No</v>
      </c>
      <c r="J418" s="144" t="str">
        <v>Base</v>
      </c>
      <c r="K418" s="144" t="str">
        <v/>
      </c>
      <c r="L418" s="146">
        <v>3.2</v>
      </c>
      <c r="M418" s="142">
        <v>173.8</v>
      </c>
      <c r="N418" s="144" t="str">
        <v>Unknown</v>
      </c>
      <c r="O418" s="142" t="str">
        <v/>
      </c>
      <c r="P418" s="142" t="str">
        <v/>
      </c>
      <c r="Q418" s="142">
        <v>54.3125</v>
      </c>
      <c r="R418" s="129" t="str">
        <v>Description – likely</v>
      </c>
      <c r="S418" s="143" t="str">
        <v/>
      </c>
      <c r="T418" s="144" t="str">
        <v>SRC-00</v>
      </c>
      <c r="U418" s="129" t="str">
        <v>S+ row 781</v>
      </c>
      <c r="V418" s="129" t="str">
        <v/>
      </c>
    </row>
    <row r="419" spans="1:22" x14ac:dyDescent="0.2">
      <c r="A419" s="144" t="str">
        <v>H6a</v>
      </c>
      <c r="B419" s="145">
        <v>4</v>
      </c>
      <c r="C419" s="129" t="str">
        <v>Right Cataract WCDHB</v>
      </c>
      <c r="D419" s="129" t="str">
        <v>H6a – Head / Ocular: Ocular Procedure Under Local Anaesthetic or Eye Block or …</v>
      </c>
      <c r="E419" s="129" t="str">
        <v>01 - Head</v>
      </c>
      <c r="F419" s="129" t="str">
        <v>Solutions Plus</v>
      </c>
      <c r="G419" s="144" t="str">
        <v>CON-01</v>
      </c>
      <c r="H419" s="129" t="str">
        <v>To confirm</v>
      </c>
      <c r="I419" s="144" t="str">
        <v>No</v>
      </c>
      <c r="J419" s="144" t="str">
        <v>Base</v>
      </c>
      <c r="K419" s="144" t="str">
        <v/>
      </c>
      <c r="L419" s="146">
        <v>3.3</v>
      </c>
      <c r="M419" s="142">
        <v>178.75</v>
      </c>
      <c r="N419" s="144" t="str">
        <v>Unknown</v>
      </c>
      <c r="O419" s="142" t="str">
        <v/>
      </c>
      <c r="P419" s="142" t="str">
        <v/>
      </c>
      <c r="Q419" s="142">
        <v>54.166666666666671</v>
      </c>
      <c r="R419" s="129" t="str">
        <v>Description – likely</v>
      </c>
      <c r="S419" s="143" t="str">
        <v/>
      </c>
      <c r="T419" s="144" t="str">
        <v>SRC-00</v>
      </c>
      <c r="U419" s="129" t="str">
        <v>S+ row 790</v>
      </c>
      <c r="V419" s="129" t="str">
        <v/>
      </c>
    </row>
    <row r="420" spans="1:22" x14ac:dyDescent="0.2">
      <c r="A420" s="144" t="str">
        <v>H6a</v>
      </c>
      <c r="B420" s="145">
        <v>4</v>
      </c>
      <c r="C420" s="129" t="str">
        <v>Right NLDO Recanalisation With Stent</v>
      </c>
      <c r="D420" s="129" t="str">
        <v>H6a – Head / Ocular: Ocular Procedure Under Local Anaesthetic or Eye Block or …</v>
      </c>
      <c r="E420" s="129" t="str">
        <v>01 - Head</v>
      </c>
      <c r="F420" s="129" t="str">
        <v>Solutions Plus</v>
      </c>
      <c r="G420" s="144" t="str">
        <v>CON-01</v>
      </c>
      <c r="H420" s="129" t="str">
        <v>To confirm</v>
      </c>
      <c r="I420" s="144" t="str">
        <v>No</v>
      </c>
      <c r="J420" s="144" t="str">
        <v>Base</v>
      </c>
      <c r="K420" s="144" t="str">
        <v/>
      </c>
      <c r="L420" s="146">
        <v>7</v>
      </c>
      <c r="M420" s="142">
        <v>385</v>
      </c>
      <c r="N420" s="144" t="str">
        <v>Unknown</v>
      </c>
      <c r="O420" s="142" t="str">
        <v/>
      </c>
      <c r="P420" s="142" t="str">
        <v/>
      </c>
      <c r="Q420" s="142">
        <v>55</v>
      </c>
      <c r="R420" s="129" t="str">
        <v>Description – likely</v>
      </c>
      <c r="S420" s="143" t="str">
        <v/>
      </c>
      <c r="T420" s="144" t="str">
        <v>SRC-00</v>
      </c>
      <c r="U420" s="129" t="str">
        <v>S+ row 815</v>
      </c>
      <c r="V420" s="129" t="str">
        <v/>
      </c>
    </row>
    <row r="421" spans="1:22" x14ac:dyDescent="0.2">
      <c r="A421" s="144" t="str">
        <v>H6a</v>
      </c>
      <c r="B421" s="145">
        <v>4</v>
      </c>
      <c r="C421" s="129" t="str">
        <v>Right Refractive Lens Exchange</v>
      </c>
      <c r="D421" s="129" t="str">
        <v>H6a – Head / Ocular: Ocular Procedure Under Local Anaesthetic or Eye Block or …</v>
      </c>
      <c r="E421" s="129" t="str">
        <v>01 - Head</v>
      </c>
      <c r="F421" s="129" t="str">
        <v>Solutions Plus</v>
      </c>
      <c r="G421" s="144" t="str">
        <v>CON-01</v>
      </c>
      <c r="H421" s="129" t="str">
        <v>To confirm</v>
      </c>
      <c r="I421" s="144" t="str">
        <v>No</v>
      </c>
      <c r="J421" s="144" t="str">
        <v>Base</v>
      </c>
      <c r="K421" s="144" t="str">
        <v/>
      </c>
      <c r="L421" s="146">
        <v>3.1</v>
      </c>
      <c r="M421" s="142">
        <v>168.3</v>
      </c>
      <c r="N421" s="144" t="str">
        <v>Unknown</v>
      </c>
      <c r="O421" s="142" t="str">
        <v/>
      </c>
      <c r="P421" s="142" t="str">
        <v/>
      </c>
      <c r="Q421" s="142">
        <v>54.29032258064516</v>
      </c>
      <c r="R421" s="129" t="str">
        <v>Description – likely</v>
      </c>
      <c r="S421" s="143" t="str">
        <v/>
      </c>
      <c r="T421" s="144" t="str">
        <v>SRC-00</v>
      </c>
      <c r="U421" s="129" t="str">
        <v>S+ row 817</v>
      </c>
      <c r="V421" s="129" t="str">
        <v/>
      </c>
    </row>
    <row r="422" spans="1:22" x14ac:dyDescent="0.2">
      <c r="A422" s="144" t="str">
        <v>H6a</v>
      </c>
      <c r="B422" s="145">
        <v>4</v>
      </c>
      <c r="C422" s="129" t="str">
        <v>Right Virectomy</v>
      </c>
      <c r="D422" s="129" t="str">
        <v>H6a – Head / Ocular: Ocular Procedure Under Local Anaesthetic or Eye Block or …</v>
      </c>
      <c r="E422" s="129" t="str">
        <v>01 - Head</v>
      </c>
      <c r="F422" s="129" t="str">
        <v>Solutions Plus</v>
      </c>
      <c r="G422" s="144" t="str">
        <v>CON-01</v>
      </c>
      <c r="H422" s="129" t="str">
        <v>To confirm</v>
      </c>
      <c r="I422" s="144" t="str">
        <v>No</v>
      </c>
      <c r="J422" s="144" t="str">
        <v>Base</v>
      </c>
      <c r="K422" s="144" t="str">
        <v/>
      </c>
      <c r="L422" s="146">
        <v>7.8</v>
      </c>
      <c r="M422" s="142">
        <v>430.1</v>
      </c>
      <c r="N422" s="144" t="str">
        <v>Unknown</v>
      </c>
      <c r="O422" s="142" t="str">
        <v/>
      </c>
      <c r="P422" s="142" t="str">
        <v/>
      </c>
      <c r="Q422" s="142">
        <v>55.141025641025642</v>
      </c>
      <c r="R422" s="129" t="str">
        <v>Description – likely</v>
      </c>
      <c r="S422" s="143" t="str">
        <v/>
      </c>
      <c r="T422" s="144" t="str">
        <v>SRC-00</v>
      </c>
      <c r="U422" s="129" t="str">
        <v>S+ row 841</v>
      </c>
      <c r="V422" s="129" t="str">
        <v/>
      </c>
    </row>
    <row r="423" spans="1:22" x14ac:dyDescent="0.2">
      <c r="A423" s="144" t="str">
        <v>H6a</v>
      </c>
      <c r="B423" s="145">
        <v>4</v>
      </c>
      <c r="C423" s="129" t="str">
        <v>Right Vitrectomy</v>
      </c>
      <c r="D423" s="129" t="str">
        <v>H6a – Head / Ocular: Ocular Procedure Under Local Anaesthetic or Eye Block or …</v>
      </c>
      <c r="E423" s="129" t="str">
        <v>01 - Head</v>
      </c>
      <c r="F423" s="129" t="str">
        <v>Solutions Plus</v>
      </c>
      <c r="G423" s="144" t="str">
        <v>CON-01</v>
      </c>
      <c r="H423" s="129" t="str">
        <v>To confirm</v>
      </c>
      <c r="I423" s="144" t="str">
        <v>No</v>
      </c>
      <c r="J423" s="144" t="str">
        <v>Base</v>
      </c>
      <c r="K423" s="144" t="str">
        <v/>
      </c>
      <c r="L423" s="146">
        <v>8.1</v>
      </c>
      <c r="M423" s="142">
        <v>445.5</v>
      </c>
      <c r="N423" s="144" t="str">
        <v>Unknown</v>
      </c>
      <c r="O423" s="142" t="str">
        <v/>
      </c>
      <c r="P423" s="142" t="str">
        <v/>
      </c>
      <c r="Q423" s="142">
        <v>55</v>
      </c>
      <c r="R423" s="129" t="str">
        <v>Description – likely</v>
      </c>
      <c r="S423" s="143" t="str">
        <v/>
      </c>
      <c r="T423" s="144" t="str">
        <v>SRC-00</v>
      </c>
      <c r="U423" s="129" t="str">
        <v>S+ row 842</v>
      </c>
      <c r="V423" s="129" t="str">
        <v/>
      </c>
    </row>
    <row r="424" spans="1:22" x14ac:dyDescent="0.2">
      <c r="A424" s="144" t="str">
        <v>H6a</v>
      </c>
      <c r="B424" s="145">
        <v>4</v>
      </c>
      <c r="C424" s="129" t="str">
        <v>Scleral Fixation Of IOL</v>
      </c>
      <c r="D424" s="129" t="str">
        <v>H6a – Head / Ocular: Ocular Procedure Under Local Anaesthetic or Eye Block or …</v>
      </c>
      <c r="E424" s="129" t="str">
        <v>01 - Head</v>
      </c>
      <c r="F424" s="129" t="str">
        <v>Solutions Plus</v>
      </c>
      <c r="G424" s="144" t="str">
        <v>CON-01</v>
      </c>
      <c r="H424" s="129" t="str">
        <v>To confirm</v>
      </c>
      <c r="I424" s="144" t="str">
        <v>No</v>
      </c>
      <c r="J424" s="144" t="str">
        <v>Base</v>
      </c>
      <c r="K424" s="144" t="str">
        <v/>
      </c>
      <c r="L424" s="146">
        <v>6</v>
      </c>
      <c r="M424" s="142">
        <v>330</v>
      </c>
      <c r="N424" s="144" t="str">
        <v>Unknown</v>
      </c>
      <c r="O424" s="142" t="str">
        <v/>
      </c>
      <c r="P424" s="142" t="str">
        <v/>
      </c>
      <c r="Q424" s="142">
        <v>55</v>
      </c>
      <c r="R424" s="129" t="str">
        <v>Description – likely</v>
      </c>
      <c r="S424" s="143" t="str">
        <v/>
      </c>
      <c r="T424" s="144" t="str">
        <v>SRC-00</v>
      </c>
      <c r="U424" s="129" t="str">
        <v>S+ row 857</v>
      </c>
      <c r="V424" s="129" t="str">
        <v/>
      </c>
    </row>
    <row r="425" spans="1:22" x14ac:dyDescent="0.2">
      <c r="A425" s="144" t="str">
        <v>H6a</v>
      </c>
      <c r="B425" s="145">
        <v>4</v>
      </c>
      <c r="C425" s="129" t="str">
        <v>Squint procedure (one eye) 1 muscle</v>
      </c>
      <c r="D425" s="129" t="str">
        <v>H6a – Head / Ocular: Ocular Procedure Under Local Anaesthetic or Eye Block or …</v>
      </c>
      <c r="E425" s="129" t="str">
        <v>01 - Head</v>
      </c>
      <c r="F425" s="129" t="str">
        <v>CESL – HNZ (commitment)</v>
      </c>
      <c r="G425" s="144" t="str">
        <v>CON-05</v>
      </c>
      <c r="H425" s="129" t="str">
        <v>Fixed fee schedule</v>
      </c>
      <c r="I425" s="144" t="str">
        <v>Yes</v>
      </c>
      <c r="J425" s="144" t="str">
        <v>Base</v>
      </c>
      <c r="K425" s="144" t="str">
        <v>HNZ49</v>
      </c>
      <c r="L425" s="146" t="str">
        <v/>
      </c>
      <c r="M425" s="142">
        <v>750</v>
      </c>
      <c r="N425" s="144" t="str">
        <v>Excl</v>
      </c>
      <c r="O425" s="142">
        <v>750</v>
      </c>
      <c r="P425" s="142">
        <v>862.49999999999989</v>
      </c>
      <c r="Q425" s="142" t="str">
        <v/>
      </c>
      <c r="R425" s="129" t="str">
        <v>Description – likely</v>
      </c>
      <c r="S425" s="143" t="str">
        <v/>
      </c>
      <c r="T425" s="144" t="str">
        <v>SRC-08</v>
      </c>
      <c r="U425" s="129" t="str">
        <v>Sheet row 55 – commitment</v>
      </c>
      <c r="V425" s="129" t="str">
        <v>CES HNZ Contract (Health NZ), commitment tier. Panel tier fee $800. Printed excl. GST; no effective date printed. Likely: matched to S+ 'Squint Repair' / 'Strabismus' (H6a). Printed twice in the source (rows 55 and 65, identical) – added once.</v>
      </c>
    </row>
    <row r="426" spans="1:22" x14ac:dyDescent="0.2">
      <c r="A426" s="144" t="str">
        <v>H6a</v>
      </c>
      <c r="B426" s="145">
        <v>4</v>
      </c>
      <c r="C426" s="129" t="str">
        <v>Squint procedure (one eye) 1 muscle</v>
      </c>
      <c r="D426" s="129" t="str">
        <v>H6a – Head / Ocular: Ocular Procedure Under Local Anaesthetic or Eye Block or …</v>
      </c>
      <c r="E426" s="129" t="str">
        <v>01 - Head</v>
      </c>
      <c r="F426" s="129" t="str">
        <v>CESL – HNZ (panel)</v>
      </c>
      <c r="G426" s="144" t="str">
        <v>CON-06</v>
      </c>
      <c r="H426" s="129" t="str">
        <v>Fixed fee schedule</v>
      </c>
      <c r="I426" s="144" t="str">
        <v>Yes</v>
      </c>
      <c r="J426" s="144" t="str">
        <v>Base</v>
      </c>
      <c r="K426" s="144" t="str">
        <v>HNZ49</v>
      </c>
      <c r="L426" s="146" t="str">
        <v/>
      </c>
      <c r="M426" s="142">
        <v>800</v>
      </c>
      <c r="N426" s="144" t="str">
        <v>Excl</v>
      </c>
      <c r="O426" s="142">
        <v>800</v>
      </c>
      <c r="P426" s="142">
        <v>919.99999999999989</v>
      </c>
      <c r="Q426" s="142" t="str">
        <v/>
      </c>
      <c r="R426" s="129" t="str">
        <v>Description – likely</v>
      </c>
      <c r="S426" s="143" t="str">
        <v/>
      </c>
      <c r="T426" s="144" t="str">
        <v>SRC-08</v>
      </c>
      <c r="U426" s="129" t="str">
        <v>Sheet row 55 – panel</v>
      </c>
      <c r="V426" s="129" t="str">
        <v>CES HNZ Contract (Health NZ), panel tier. Commitment tier fee $750. Printed excl. GST; no effective date printed. Likely: matched to S+ 'Squint Repair' / 'Strabismus' (H6a). Printed twice in the source (rows 55 and 65, identical) – added once.</v>
      </c>
    </row>
    <row r="427" spans="1:22" x14ac:dyDescent="0.2">
      <c r="A427" s="144" t="str">
        <v>H6a</v>
      </c>
      <c r="B427" s="145">
        <v>4</v>
      </c>
      <c r="C427" s="129" t="str">
        <v>Squint procedure (one eye) 2 muscle</v>
      </c>
      <c r="D427" s="129" t="str">
        <v>H6a – Head / Ocular: Ocular Procedure Under Local Anaesthetic or Eye Block or …</v>
      </c>
      <c r="E427" s="129" t="str">
        <v>01 - Head</v>
      </c>
      <c r="F427" s="129" t="str">
        <v>CESL – HNZ (commitment)</v>
      </c>
      <c r="G427" s="144" t="str">
        <v>CON-05</v>
      </c>
      <c r="H427" s="129" t="str">
        <v>Fixed fee schedule</v>
      </c>
      <c r="I427" s="144" t="str">
        <v>Yes</v>
      </c>
      <c r="J427" s="144" t="str">
        <v>Base</v>
      </c>
      <c r="K427" s="144" t="str">
        <v>HNZ50</v>
      </c>
      <c r="L427" s="146" t="str">
        <v/>
      </c>
      <c r="M427" s="142">
        <v>850</v>
      </c>
      <c r="N427" s="144" t="str">
        <v>Excl</v>
      </c>
      <c r="O427" s="142">
        <v>850</v>
      </c>
      <c r="P427" s="142">
        <v>977.49999999999989</v>
      </c>
      <c r="Q427" s="142" t="str">
        <v/>
      </c>
      <c r="R427" s="129" t="str">
        <v>Description – likely</v>
      </c>
      <c r="S427" s="143" t="str">
        <v/>
      </c>
      <c r="T427" s="144" t="str">
        <v>SRC-08</v>
      </c>
      <c r="U427" s="129" t="str">
        <v>Sheet row 56 – commitment</v>
      </c>
      <c r="V427" s="129" t="str">
        <v>CES HNZ Contract (Health NZ), commitment tier. Panel tier fee $900. Printed excl. GST; no effective date printed. Likely: matched to S+ 'Squint Repair' / 'Strabismus' (H6a). Printed twice in the source (rows 56 and 66, identical) – added once.</v>
      </c>
    </row>
    <row r="428" spans="1:22" x14ac:dyDescent="0.2">
      <c r="A428" s="144" t="str">
        <v>H6a</v>
      </c>
      <c r="B428" s="145">
        <v>4</v>
      </c>
      <c r="C428" s="129" t="str">
        <v>Squint procedure (one eye) 2 muscle</v>
      </c>
      <c r="D428" s="129" t="str">
        <v>H6a – Head / Ocular: Ocular Procedure Under Local Anaesthetic or Eye Block or …</v>
      </c>
      <c r="E428" s="129" t="str">
        <v>01 - Head</v>
      </c>
      <c r="F428" s="129" t="str">
        <v>CESL – HNZ (panel)</v>
      </c>
      <c r="G428" s="144" t="str">
        <v>CON-06</v>
      </c>
      <c r="H428" s="129" t="str">
        <v>Fixed fee schedule</v>
      </c>
      <c r="I428" s="144" t="str">
        <v>Yes</v>
      </c>
      <c r="J428" s="144" t="str">
        <v>Base</v>
      </c>
      <c r="K428" s="144" t="str">
        <v>HNZ50</v>
      </c>
      <c r="L428" s="146" t="str">
        <v/>
      </c>
      <c r="M428" s="142">
        <v>900</v>
      </c>
      <c r="N428" s="144" t="str">
        <v>Excl</v>
      </c>
      <c r="O428" s="142">
        <v>900</v>
      </c>
      <c r="P428" s="142">
        <v>1035</v>
      </c>
      <c r="Q428" s="142" t="str">
        <v/>
      </c>
      <c r="R428" s="129" t="str">
        <v>Description – likely</v>
      </c>
      <c r="S428" s="143" t="str">
        <v/>
      </c>
      <c r="T428" s="144" t="str">
        <v>SRC-08</v>
      </c>
      <c r="U428" s="129" t="str">
        <v>Sheet row 56 – panel</v>
      </c>
      <c r="V428" s="129" t="str">
        <v>CES HNZ Contract (Health NZ), panel tier. Commitment tier fee $850. Printed excl. GST; no effective date printed. Likely: matched to S+ 'Squint Repair' / 'Strabismus' (H6a). Printed twice in the source (rows 56 and 66, identical) – added once.</v>
      </c>
    </row>
    <row r="429" spans="1:22" x14ac:dyDescent="0.2">
      <c r="A429" s="144" t="str">
        <v>H6a</v>
      </c>
      <c r="B429" s="145">
        <v>4</v>
      </c>
      <c r="C429" s="129" t="str">
        <v>Squint procedure (one eye) 3 muscle</v>
      </c>
      <c r="D429" s="129" t="str">
        <v>H6a – Head / Ocular: Ocular Procedure Under Local Anaesthetic or Eye Block or …</v>
      </c>
      <c r="E429" s="129" t="str">
        <v>01 - Head</v>
      </c>
      <c r="F429" s="129" t="str">
        <v>CESL – HNZ (commitment)</v>
      </c>
      <c r="G429" s="144" t="str">
        <v>CON-05</v>
      </c>
      <c r="H429" s="129" t="str">
        <v>Fixed fee schedule</v>
      </c>
      <c r="I429" s="144" t="str">
        <v>Yes</v>
      </c>
      <c r="J429" s="144" t="str">
        <v>Base</v>
      </c>
      <c r="K429" s="144" t="str">
        <v>HNZ51</v>
      </c>
      <c r="L429" s="146" t="str">
        <v/>
      </c>
      <c r="M429" s="142">
        <v>900</v>
      </c>
      <c r="N429" s="144" t="str">
        <v>Excl</v>
      </c>
      <c r="O429" s="142">
        <v>900</v>
      </c>
      <c r="P429" s="142">
        <v>1035</v>
      </c>
      <c r="Q429" s="142" t="str">
        <v/>
      </c>
      <c r="R429" s="129" t="str">
        <v>Description – likely</v>
      </c>
      <c r="S429" s="143" t="str">
        <v/>
      </c>
      <c r="T429" s="144" t="str">
        <v>SRC-08</v>
      </c>
      <c r="U429" s="129" t="str">
        <v>Sheet row 57 – commitment</v>
      </c>
      <c r="V429" s="129" t="str">
        <v>CES HNZ Contract (Health NZ), commitment tier. Panel tier fee $950. Printed excl. GST; no effective date printed. Likely: matched to S+ 'Squint Repair' / 'Strabismus' (H6a). Printed twice in the source (rows 57 and 67, identical) – added once.</v>
      </c>
    </row>
    <row r="430" spans="1:22" x14ac:dyDescent="0.2">
      <c r="A430" s="144" t="str">
        <v>H6a</v>
      </c>
      <c r="B430" s="145">
        <v>4</v>
      </c>
      <c r="C430" s="129" t="str">
        <v>Squint procedure (one eye) 3 muscle</v>
      </c>
      <c r="D430" s="129" t="str">
        <v>H6a – Head / Ocular: Ocular Procedure Under Local Anaesthetic or Eye Block or …</v>
      </c>
      <c r="E430" s="129" t="str">
        <v>01 - Head</v>
      </c>
      <c r="F430" s="129" t="str">
        <v>CESL – HNZ (panel)</v>
      </c>
      <c r="G430" s="144" t="str">
        <v>CON-06</v>
      </c>
      <c r="H430" s="129" t="str">
        <v>Fixed fee schedule</v>
      </c>
      <c r="I430" s="144" t="str">
        <v>Yes</v>
      </c>
      <c r="J430" s="144" t="str">
        <v>Base</v>
      </c>
      <c r="K430" s="144" t="str">
        <v>HNZ51</v>
      </c>
      <c r="L430" s="146" t="str">
        <v/>
      </c>
      <c r="M430" s="142">
        <v>950</v>
      </c>
      <c r="N430" s="144" t="str">
        <v>Excl</v>
      </c>
      <c r="O430" s="142">
        <v>950</v>
      </c>
      <c r="P430" s="142">
        <v>1092.5</v>
      </c>
      <c r="Q430" s="142" t="str">
        <v/>
      </c>
      <c r="R430" s="129" t="str">
        <v>Description – likely</v>
      </c>
      <c r="S430" s="143" t="str">
        <v/>
      </c>
      <c r="T430" s="144" t="str">
        <v>SRC-08</v>
      </c>
      <c r="U430" s="129" t="str">
        <v>Sheet row 57 – panel</v>
      </c>
      <c r="V430" s="129" t="str">
        <v>CES HNZ Contract (Health NZ), panel tier. Commitment tier fee $900. Printed excl. GST; no effective date printed. Likely: matched to S+ 'Squint Repair' / 'Strabismus' (H6a). Printed twice in the source (rows 57 and 67, identical) – added once.</v>
      </c>
    </row>
    <row r="431" spans="1:22" x14ac:dyDescent="0.2">
      <c r="A431" s="144" t="str">
        <v>H6a</v>
      </c>
      <c r="B431" s="145">
        <v>4</v>
      </c>
      <c r="C431" s="129" t="str">
        <v>Squint procedure (one eye) 4 muscle</v>
      </c>
      <c r="D431" s="129" t="str">
        <v>H6a – Head / Ocular: Ocular Procedure Under Local Anaesthetic or Eye Block or …</v>
      </c>
      <c r="E431" s="129" t="str">
        <v>01 - Head</v>
      </c>
      <c r="F431" s="129" t="str">
        <v>CESL – HNZ (commitment)</v>
      </c>
      <c r="G431" s="144" t="str">
        <v>CON-05</v>
      </c>
      <c r="H431" s="129" t="str">
        <v>Fixed fee schedule</v>
      </c>
      <c r="I431" s="144" t="str">
        <v>Yes</v>
      </c>
      <c r="J431" s="144" t="str">
        <v>Base</v>
      </c>
      <c r="K431" s="144" t="str">
        <v>HNZ52</v>
      </c>
      <c r="L431" s="146" t="str">
        <v/>
      </c>
      <c r="M431" s="142">
        <v>950</v>
      </c>
      <c r="N431" s="144" t="str">
        <v>Excl</v>
      </c>
      <c r="O431" s="142">
        <v>950</v>
      </c>
      <c r="P431" s="142">
        <v>1092.5</v>
      </c>
      <c r="Q431" s="142" t="str">
        <v/>
      </c>
      <c r="R431" s="129" t="str">
        <v>Description – likely</v>
      </c>
      <c r="S431" s="143" t="str">
        <v/>
      </c>
      <c r="T431" s="144" t="str">
        <v>SRC-08</v>
      </c>
      <c r="U431" s="129" t="str">
        <v>Sheet row 58 – commitment</v>
      </c>
      <c r="V431" s="129" t="str">
        <v>CES HNZ Contract (Health NZ), commitment tier. Panel tier fee $1000. Printed excl. GST; no effective date printed. Likely: matched to S+ 'Squint Repair' / 'Strabismus' (H6a). Printed twice in the source (rows 58 and 68, identical) – added once.</v>
      </c>
    </row>
    <row r="432" spans="1:22" x14ac:dyDescent="0.2">
      <c r="A432" s="144" t="str">
        <v>H6a</v>
      </c>
      <c r="B432" s="145">
        <v>4</v>
      </c>
      <c r="C432" s="129" t="str">
        <v>Squint procedure (one eye) 4 muscle</v>
      </c>
      <c r="D432" s="129" t="str">
        <v>H6a – Head / Ocular: Ocular Procedure Under Local Anaesthetic or Eye Block or …</v>
      </c>
      <c r="E432" s="129" t="str">
        <v>01 - Head</v>
      </c>
      <c r="F432" s="129" t="str">
        <v>CESL – HNZ (panel)</v>
      </c>
      <c r="G432" s="144" t="str">
        <v>CON-06</v>
      </c>
      <c r="H432" s="129" t="str">
        <v>Fixed fee schedule</v>
      </c>
      <c r="I432" s="144" t="str">
        <v>Yes</v>
      </c>
      <c r="J432" s="144" t="str">
        <v>Base</v>
      </c>
      <c r="K432" s="144" t="str">
        <v>HNZ52</v>
      </c>
      <c r="L432" s="146" t="str">
        <v/>
      </c>
      <c r="M432" s="142">
        <v>1000</v>
      </c>
      <c r="N432" s="144" t="str">
        <v>Excl</v>
      </c>
      <c r="O432" s="142">
        <v>1000</v>
      </c>
      <c r="P432" s="142">
        <v>1150</v>
      </c>
      <c r="Q432" s="142" t="str">
        <v/>
      </c>
      <c r="R432" s="129" t="str">
        <v>Description – likely</v>
      </c>
      <c r="S432" s="143" t="str">
        <v/>
      </c>
      <c r="T432" s="144" t="str">
        <v>SRC-08</v>
      </c>
      <c r="U432" s="129" t="str">
        <v>Sheet row 58 – panel</v>
      </c>
      <c r="V432" s="129" t="str">
        <v>CES HNZ Contract (Health NZ), panel tier. Commitment tier fee $950. Printed excl. GST; no effective date printed. Likely: matched to S+ 'Squint Repair' / 'Strabismus' (H6a). Printed twice in the source (rows 58 and 68, identical) – added once.</v>
      </c>
    </row>
    <row r="433" spans="1:22" x14ac:dyDescent="0.2">
      <c r="A433" s="144" t="str">
        <v>H6a</v>
      </c>
      <c r="B433" s="145">
        <v>4</v>
      </c>
      <c r="C433" s="129" t="str">
        <v>Squint Repair</v>
      </c>
      <c r="D433" s="129" t="str">
        <v>H6a – Head / Ocular: Ocular Procedure Under Local Anaesthetic or Eye Block or …</v>
      </c>
      <c r="E433" s="129" t="str">
        <v>01 - Head</v>
      </c>
      <c r="F433" s="129" t="str">
        <v>Solutions Plus</v>
      </c>
      <c r="G433" s="144" t="str">
        <v>CON-01</v>
      </c>
      <c r="H433" s="129" t="str">
        <v>To confirm</v>
      </c>
      <c r="I433" s="144" t="str">
        <v>No</v>
      </c>
      <c r="J433" s="144" t="str">
        <v>Base</v>
      </c>
      <c r="K433" s="144" t="str">
        <v/>
      </c>
      <c r="L433" s="146">
        <v>8.8000000000000007</v>
      </c>
      <c r="M433" s="142">
        <v>484.55</v>
      </c>
      <c r="N433" s="144" t="str">
        <v>Unknown</v>
      </c>
      <c r="O433" s="142" t="str">
        <v/>
      </c>
      <c r="P433" s="142" t="str">
        <v/>
      </c>
      <c r="Q433" s="142">
        <v>55.0625</v>
      </c>
      <c r="R433" s="129" t="str">
        <v>Description – likely</v>
      </c>
      <c r="S433" s="143" t="str">
        <v/>
      </c>
      <c r="T433" s="144" t="str">
        <v>SRC-00</v>
      </c>
      <c r="U433" s="129" t="str">
        <v>S+ row 902</v>
      </c>
      <c r="V433" s="129" t="str">
        <v/>
      </c>
    </row>
    <row r="434" spans="1:22" x14ac:dyDescent="0.2">
      <c r="A434" s="144" t="str">
        <v>H6a</v>
      </c>
      <c r="B434" s="145">
        <v>4</v>
      </c>
      <c r="C434" s="129" t="str">
        <v>Strabismus</v>
      </c>
      <c r="D434" s="129" t="str">
        <v>H6a – Head / Ocular: Ocular Procedure Under Local Anaesthetic or Eye Block or …</v>
      </c>
      <c r="E434" s="129" t="str">
        <v>01 - Head</v>
      </c>
      <c r="F434" s="129" t="str">
        <v>Solutions Plus</v>
      </c>
      <c r="G434" s="144" t="str">
        <v>CON-01</v>
      </c>
      <c r="H434" s="129" t="str">
        <v>To confirm</v>
      </c>
      <c r="I434" s="144" t="str">
        <v>No</v>
      </c>
      <c r="J434" s="144" t="str">
        <v>Base</v>
      </c>
      <c r="K434" s="144" t="str">
        <v/>
      </c>
      <c r="L434" s="146">
        <v>10.1</v>
      </c>
      <c r="M434" s="142">
        <v>553.29999999999995</v>
      </c>
      <c r="N434" s="144" t="str">
        <v>Unknown</v>
      </c>
      <c r="O434" s="142" t="str">
        <v/>
      </c>
      <c r="P434" s="142" t="str">
        <v/>
      </c>
      <c r="Q434" s="142">
        <v>54.78217821782178</v>
      </c>
      <c r="R434" s="129" t="str">
        <v>Description – likely</v>
      </c>
      <c r="S434" s="143" t="str">
        <v/>
      </c>
      <c r="T434" s="144" t="str">
        <v>SRC-00</v>
      </c>
      <c r="U434" s="129" t="str">
        <v>S+ row 905</v>
      </c>
      <c r="V434" s="129" t="str">
        <v/>
      </c>
    </row>
    <row r="435" spans="1:22" x14ac:dyDescent="0.2">
      <c r="A435" s="144" t="str">
        <v>H6a</v>
      </c>
      <c r="B435" s="145">
        <v>4</v>
      </c>
      <c r="C435" s="129" t="str">
        <v>Syringe And Probe</v>
      </c>
      <c r="D435" s="129" t="str">
        <v>H6a – Head / Ocular: Ocular Procedure Under Local Anaesthetic or Eye Block or …</v>
      </c>
      <c r="E435" s="129" t="str">
        <v>01 - Head</v>
      </c>
      <c r="F435" s="129" t="str">
        <v>Solutions Plus</v>
      </c>
      <c r="G435" s="144" t="str">
        <v>CON-01</v>
      </c>
      <c r="H435" s="129" t="str">
        <v>To confirm</v>
      </c>
      <c r="I435" s="144" t="str">
        <v>No</v>
      </c>
      <c r="J435" s="144" t="str">
        <v>Base</v>
      </c>
      <c r="K435" s="144" t="str">
        <v/>
      </c>
      <c r="L435" s="146">
        <v>7</v>
      </c>
      <c r="M435" s="142">
        <v>385</v>
      </c>
      <c r="N435" s="144" t="str">
        <v>Unknown</v>
      </c>
      <c r="O435" s="142" t="str">
        <v/>
      </c>
      <c r="P435" s="142" t="str">
        <v/>
      </c>
      <c r="Q435" s="142">
        <v>55</v>
      </c>
      <c r="R435" s="129" t="str">
        <v>Description – likely</v>
      </c>
      <c r="S435" s="143" t="str">
        <v/>
      </c>
      <c r="T435" s="144" t="str">
        <v>SRC-00</v>
      </c>
      <c r="U435" s="129" t="str">
        <v>S+ row 914</v>
      </c>
      <c r="V435" s="129" t="str">
        <v/>
      </c>
    </row>
    <row r="436" spans="1:22" x14ac:dyDescent="0.2">
      <c r="A436" s="144" t="str">
        <v>H6a</v>
      </c>
      <c r="B436" s="145">
        <v>4</v>
      </c>
      <c r="C436" s="129" t="str">
        <v>Syringe and Probe Bilateral</v>
      </c>
      <c r="D436" s="129" t="str">
        <v>H6a – Head / Ocular: Ocular Procedure Under Local Anaesthetic or Eye Block or …</v>
      </c>
      <c r="E436" s="129" t="str">
        <v>01 - Head</v>
      </c>
      <c r="F436" s="129" t="str">
        <v>CESL – HNZ (commitment)</v>
      </c>
      <c r="G436" s="144" t="str">
        <v>CON-05</v>
      </c>
      <c r="H436" s="129" t="str">
        <v>Fixed fee schedule</v>
      </c>
      <c r="I436" s="144" t="str">
        <v>Yes</v>
      </c>
      <c r="J436" s="144" t="str">
        <v>Base</v>
      </c>
      <c r="K436" s="144" t="str">
        <v>HNZ54</v>
      </c>
      <c r="L436" s="146" t="str">
        <v/>
      </c>
      <c r="M436" s="142">
        <v>500</v>
      </c>
      <c r="N436" s="144" t="str">
        <v>Excl</v>
      </c>
      <c r="O436" s="142">
        <v>500</v>
      </c>
      <c r="P436" s="142">
        <v>575</v>
      </c>
      <c r="Q436" s="142" t="str">
        <v/>
      </c>
      <c r="R436" s="129" t="str">
        <v>Description – exact</v>
      </c>
      <c r="S436" s="143" t="str">
        <v/>
      </c>
      <c r="T436" s="144" t="str">
        <v>SRC-08</v>
      </c>
      <c r="U436" s="129" t="str">
        <v>Sheet row 60 – commitment</v>
      </c>
      <c r="V436" s="129" t="str">
        <v>CES HNZ Contract (Health NZ), commitment tier. Same fee in the panel tier. Printed excl. GST; no effective date printed. Exact: same procedure as S+ 'Syringe And Probe' (laterality added).</v>
      </c>
    </row>
    <row r="437" spans="1:22" x14ac:dyDescent="0.2">
      <c r="A437" s="144" t="str">
        <v>H6a</v>
      </c>
      <c r="B437" s="145">
        <v>4</v>
      </c>
      <c r="C437" s="129" t="str">
        <v>Syringe and Probe Bilateral</v>
      </c>
      <c r="D437" s="129" t="str">
        <v>H6a – Head / Ocular: Ocular Procedure Under Local Anaesthetic or Eye Block or …</v>
      </c>
      <c r="E437" s="129" t="str">
        <v>01 - Head</v>
      </c>
      <c r="F437" s="129" t="str">
        <v>CESL – HNZ (panel)</v>
      </c>
      <c r="G437" s="144" t="str">
        <v>CON-06</v>
      </c>
      <c r="H437" s="129" t="str">
        <v>Fixed fee schedule</v>
      </c>
      <c r="I437" s="144" t="str">
        <v>Yes</v>
      </c>
      <c r="J437" s="144" t="str">
        <v>Base</v>
      </c>
      <c r="K437" s="144" t="str">
        <v>HNZ54</v>
      </c>
      <c r="L437" s="146" t="str">
        <v/>
      </c>
      <c r="M437" s="142">
        <v>500</v>
      </c>
      <c r="N437" s="144" t="str">
        <v>Excl</v>
      </c>
      <c r="O437" s="142">
        <v>500</v>
      </c>
      <c r="P437" s="142">
        <v>575</v>
      </c>
      <c r="Q437" s="142" t="str">
        <v/>
      </c>
      <c r="R437" s="129" t="str">
        <v>Description – exact</v>
      </c>
      <c r="S437" s="143" t="str">
        <v/>
      </c>
      <c r="T437" s="144" t="str">
        <v>SRC-08</v>
      </c>
      <c r="U437" s="129" t="str">
        <v>Sheet row 60 – panel</v>
      </c>
      <c r="V437" s="129" t="str">
        <v>CES HNZ Contract (Health NZ), panel tier. Same fee in the commitment tier. Printed excl. GST; no effective date printed. Exact: same procedure as S+ 'Syringe And Probe' (laterality added).</v>
      </c>
    </row>
    <row r="438" spans="1:22" x14ac:dyDescent="0.2">
      <c r="A438" s="144" t="str">
        <v>H6a</v>
      </c>
      <c r="B438" s="145">
        <v>4</v>
      </c>
      <c r="C438" s="129" t="str">
        <v>Syringe and Probe Unilateral</v>
      </c>
      <c r="D438" s="129" t="str">
        <v>H6a – Head / Ocular: Ocular Procedure Under Local Anaesthetic or Eye Block or …</v>
      </c>
      <c r="E438" s="129" t="str">
        <v>01 - Head</v>
      </c>
      <c r="F438" s="129" t="str">
        <v>CESL – HNZ (commitment)</v>
      </c>
      <c r="G438" s="144" t="str">
        <v>CON-05</v>
      </c>
      <c r="H438" s="129" t="str">
        <v>Fixed fee schedule</v>
      </c>
      <c r="I438" s="144" t="str">
        <v>Yes</v>
      </c>
      <c r="J438" s="144" t="str">
        <v>Base</v>
      </c>
      <c r="K438" s="144" t="str">
        <v>HNZ53</v>
      </c>
      <c r="L438" s="146" t="str">
        <v/>
      </c>
      <c r="M438" s="142">
        <v>500</v>
      </c>
      <c r="N438" s="144" t="str">
        <v>Excl</v>
      </c>
      <c r="O438" s="142">
        <v>500</v>
      </c>
      <c r="P438" s="142">
        <v>575</v>
      </c>
      <c r="Q438" s="142" t="str">
        <v/>
      </c>
      <c r="R438" s="129" t="str">
        <v>Description – exact</v>
      </c>
      <c r="S438" s="143" t="str">
        <v/>
      </c>
      <c r="T438" s="144" t="str">
        <v>SRC-08</v>
      </c>
      <c r="U438" s="129" t="str">
        <v>Sheet row 59 – commitment</v>
      </c>
      <c r="V438" s="129" t="str">
        <v>CES HNZ Contract (Health NZ), commitment tier. Same fee in the panel tier. Printed excl. GST; no effective date printed. Exact: same procedure as S+ 'Syringe And Probe' (laterality added).</v>
      </c>
    </row>
    <row r="439" spans="1:22" x14ac:dyDescent="0.2">
      <c r="A439" s="144" t="str">
        <v>H6a</v>
      </c>
      <c r="B439" s="145">
        <v>4</v>
      </c>
      <c r="C439" s="129" t="str">
        <v>Syringe and Probe Unilateral</v>
      </c>
      <c r="D439" s="129" t="str">
        <v>H6a – Head / Ocular: Ocular Procedure Under Local Anaesthetic or Eye Block or …</v>
      </c>
      <c r="E439" s="129" t="str">
        <v>01 - Head</v>
      </c>
      <c r="F439" s="129" t="str">
        <v>CESL – HNZ (panel)</v>
      </c>
      <c r="G439" s="144" t="str">
        <v>CON-06</v>
      </c>
      <c r="H439" s="129" t="str">
        <v>Fixed fee schedule</v>
      </c>
      <c r="I439" s="144" t="str">
        <v>Yes</v>
      </c>
      <c r="J439" s="144" t="str">
        <v>Base</v>
      </c>
      <c r="K439" s="144" t="str">
        <v>HNZ53</v>
      </c>
      <c r="L439" s="146" t="str">
        <v/>
      </c>
      <c r="M439" s="142">
        <v>500</v>
      </c>
      <c r="N439" s="144" t="str">
        <v>Excl</v>
      </c>
      <c r="O439" s="142">
        <v>500</v>
      </c>
      <c r="P439" s="142">
        <v>575</v>
      </c>
      <c r="Q439" s="142" t="str">
        <v/>
      </c>
      <c r="R439" s="129" t="str">
        <v>Description – exact</v>
      </c>
      <c r="S439" s="143" t="str">
        <v/>
      </c>
      <c r="T439" s="144" t="str">
        <v>SRC-08</v>
      </c>
      <c r="U439" s="129" t="str">
        <v>Sheet row 59 – panel</v>
      </c>
      <c r="V439" s="129" t="str">
        <v>CES HNZ Contract (Health NZ), panel tier. Same fee in the commitment tier. Printed excl. GST; no effective date printed. Exact: same procedure as S+ 'Syringe And Probe' (laterality added).</v>
      </c>
    </row>
    <row r="440" spans="1:22" x14ac:dyDescent="0.2">
      <c r="A440" s="144" t="str">
        <v>H6a</v>
      </c>
      <c r="B440" s="145">
        <v>4</v>
      </c>
      <c r="C440" s="129" t="str">
        <v>Trabeculectomy</v>
      </c>
      <c r="D440" s="129" t="str">
        <v>H6a – Head / Ocular: Ocular Procedure Under Local Anaesthetic or Eye Block or …</v>
      </c>
      <c r="E440" s="129" t="str">
        <v>01 - Head</v>
      </c>
      <c r="F440" s="129" t="str">
        <v>Solutions Plus</v>
      </c>
      <c r="G440" s="144" t="str">
        <v>CON-01</v>
      </c>
      <c r="H440" s="129" t="str">
        <v>To confirm</v>
      </c>
      <c r="I440" s="144" t="str">
        <v>No</v>
      </c>
      <c r="J440" s="144" t="str">
        <v>Base</v>
      </c>
      <c r="K440" s="144" t="str">
        <v/>
      </c>
      <c r="L440" s="146">
        <v>12.1</v>
      </c>
      <c r="M440" s="142">
        <v>666.05</v>
      </c>
      <c r="N440" s="144" t="str">
        <v>Unknown</v>
      </c>
      <c r="O440" s="142" t="str">
        <v/>
      </c>
      <c r="P440" s="142" t="str">
        <v/>
      </c>
      <c r="Q440" s="142">
        <v>55.045454545454547</v>
      </c>
      <c r="R440" s="129" t="str">
        <v>Description – likely</v>
      </c>
      <c r="S440" s="143" t="str">
        <v/>
      </c>
      <c r="T440" s="144" t="str">
        <v>SRC-00</v>
      </c>
      <c r="U440" s="129" t="str">
        <v>S+ row 940</v>
      </c>
      <c r="V440" s="129" t="str">
        <v/>
      </c>
    </row>
    <row r="441" spans="1:22" x14ac:dyDescent="0.2">
      <c r="A441" s="144" t="str">
        <v>H6a</v>
      </c>
      <c r="B441" s="145">
        <v>4</v>
      </c>
      <c r="C441" s="129" t="str">
        <v>Trabulectomy +/- MMC</v>
      </c>
      <c r="D441" s="129" t="str">
        <v>H6a – Head / Ocular: Ocular Procedure Under Local Anaesthetic or Eye Block or …</v>
      </c>
      <c r="E441" s="129" t="str">
        <v>01 - Head</v>
      </c>
      <c r="F441" s="129" t="str">
        <v>CESL – HNZ (commitment)</v>
      </c>
      <c r="G441" s="144" t="str">
        <v>CON-05</v>
      </c>
      <c r="H441" s="129" t="str">
        <v>Fixed fee schedule</v>
      </c>
      <c r="I441" s="144" t="str">
        <v>Yes</v>
      </c>
      <c r="J441" s="144" t="str">
        <v>Base</v>
      </c>
      <c r="K441" s="144" t="str">
        <v>HNZ09</v>
      </c>
      <c r="L441" s="146" t="str">
        <v/>
      </c>
      <c r="M441" s="142">
        <v>900</v>
      </c>
      <c r="N441" s="144" t="str">
        <v>Excl</v>
      </c>
      <c r="O441" s="142">
        <v>900</v>
      </c>
      <c r="P441" s="142">
        <v>1035</v>
      </c>
      <c r="Q441" s="142" t="str">
        <v/>
      </c>
      <c r="R441" s="129" t="str">
        <v>Description – likely</v>
      </c>
      <c r="S441" s="143" t="str">
        <v/>
      </c>
      <c r="T441" s="144" t="str">
        <v>SRC-08</v>
      </c>
      <c r="U441" s="129" t="str">
        <v>Sheet row 17 – commitment</v>
      </c>
      <c r="V441" s="129" t="str">
        <v>CES HNZ Contract (Health NZ), commitment tier. Same fee in the panel tier. Printed excl. GST; no effective date printed. Likely: matched to S+ 'Trabeculectomy' and the SRC-03 glaucoma rows (H6a).</v>
      </c>
    </row>
    <row r="442" spans="1:22" x14ac:dyDescent="0.2">
      <c r="A442" s="144" t="str">
        <v>H6a</v>
      </c>
      <c r="B442" s="145">
        <v>4</v>
      </c>
      <c r="C442" s="129" t="str">
        <v>Trabulectomy +/- MMC</v>
      </c>
      <c r="D442" s="129" t="str">
        <v>H6a – Head / Ocular: Ocular Procedure Under Local Anaesthetic or Eye Block or …</v>
      </c>
      <c r="E442" s="129" t="str">
        <v>01 - Head</v>
      </c>
      <c r="F442" s="129" t="str">
        <v>CESL – HNZ (panel)</v>
      </c>
      <c r="G442" s="144" t="str">
        <v>CON-06</v>
      </c>
      <c r="H442" s="129" t="str">
        <v>Fixed fee schedule</v>
      </c>
      <c r="I442" s="144" t="str">
        <v>Yes</v>
      </c>
      <c r="J442" s="144" t="str">
        <v>Base</v>
      </c>
      <c r="K442" s="144" t="str">
        <v>HNZ09</v>
      </c>
      <c r="L442" s="146" t="str">
        <v/>
      </c>
      <c r="M442" s="142">
        <v>900</v>
      </c>
      <c r="N442" s="144" t="str">
        <v>Excl</v>
      </c>
      <c r="O442" s="142">
        <v>900</v>
      </c>
      <c r="P442" s="142">
        <v>1035</v>
      </c>
      <c r="Q442" s="142" t="str">
        <v/>
      </c>
      <c r="R442" s="129" t="str">
        <v>Description – likely</v>
      </c>
      <c r="S442" s="143" t="str">
        <v/>
      </c>
      <c r="T442" s="144" t="str">
        <v>SRC-08</v>
      </c>
      <c r="U442" s="129" t="str">
        <v>Sheet row 17 – panel</v>
      </c>
      <c r="V442" s="129" t="str">
        <v>CES HNZ Contract (Health NZ), panel tier. Same fee in the commitment tier. Printed excl. GST; no effective date printed. Likely: matched to S+ 'Trabeculectomy' and the SRC-03 glaucoma rows (H6a).</v>
      </c>
    </row>
    <row r="443" spans="1:22" x14ac:dyDescent="0.2">
      <c r="A443" s="144" t="str">
        <v>H6a</v>
      </c>
      <c r="B443" s="145">
        <v>4</v>
      </c>
      <c r="C443" s="129" t="str">
        <v>Up to 60 minutes duration</v>
      </c>
      <c r="D443" s="129" t="str">
        <v>H6a – Head / Ocular: Ocular Procedure Under Local Anaesthetic or Eye Block or …</v>
      </c>
      <c r="E443" s="129" t="str">
        <v>01 - Head</v>
      </c>
      <c r="F443" s="129" t="str">
        <v>CESL – SX AP</v>
      </c>
      <c r="G443" s="144" t="str">
        <v>CON-03</v>
      </c>
      <c r="H443" s="129" t="str">
        <v>Fixed fee schedule</v>
      </c>
      <c r="I443" s="144" t="str">
        <v>Yes</v>
      </c>
      <c r="J443" s="144" t="str">
        <v>Time band</v>
      </c>
      <c r="K443" s="144" t="str">
        <v/>
      </c>
      <c r="L443" s="146" t="str">
        <v/>
      </c>
      <c r="M443" s="142">
        <v>739.13</v>
      </c>
      <c r="N443" s="144" t="str">
        <v>Excl</v>
      </c>
      <c r="O443" s="142">
        <v>739.13</v>
      </c>
      <c r="P443" s="142">
        <v>849.9994999999999</v>
      </c>
      <c r="Q443" s="142" t="str">
        <v/>
      </c>
      <c r="R443" s="129" t="str">
        <v>Description – likely</v>
      </c>
      <c r="S443" s="143">
        <v>46113</v>
      </c>
      <c r="T443" s="144" t="str">
        <v>SRC-02</v>
      </c>
      <c r="U443" s="129" t="str">
        <v>p.1 – SX AP Vitrectomy</v>
      </c>
      <c r="V443" s="129" t="str">
        <v>Christchurch Eye Surgery (CESL) contract. SX AP vitrectomy, time band up to 60 mins. Printed excl. $739.13 / incl. $850.00. Likely: grouped with S+ 'Vitrectomy' rows (H6a).</v>
      </c>
    </row>
    <row r="444" spans="1:22" x14ac:dyDescent="0.2">
      <c r="A444" s="144" t="str">
        <v>H6a</v>
      </c>
      <c r="B444" s="145">
        <v>4</v>
      </c>
      <c r="C444" s="129" t="str">
        <v>Vitrectomy</v>
      </c>
      <c r="D444" s="129" t="str">
        <v>H6a – Head / Ocular: Ocular Procedure Under Local Anaesthetic or Eye Block or …</v>
      </c>
      <c r="E444" s="129" t="str">
        <v>01 - Head</v>
      </c>
      <c r="F444" s="129" t="str">
        <v>Solutions Plus</v>
      </c>
      <c r="G444" s="144" t="str">
        <v>CON-01</v>
      </c>
      <c r="H444" s="129" t="str">
        <v>To confirm</v>
      </c>
      <c r="I444" s="144" t="str">
        <v>No</v>
      </c>
      <c r="J444" s="144" t="str">
        <v>Base</v>
      </c>
      <c r="K444" s="144" t="str">
        <v/>
      </c>
      <c r="L444" s="146">
        <v>8.6999999999999993</v>
      </c>
      <c r="M444" s="142">
        <v>477.95</v>
      </c>
      <c r="N444" s="144" t="str">
        <v>Unknown</v>
      </c>
      <c r="O444" s="142" t="str">
        <v/>
      </c>
      <c r="P444" s="142" t="str">
        <v/>
      </c>
      <c r="Q444" s="142">
        <v>54.936781609195407</v>
      </c>
      <c r="R444" s="129" t="str">
        <v>Description – likely</v>
      </c>
      <c r="S444" s="143" t="str">
        <v/>
      </c>
      <c r="T444" s="144" t="str">
        <v>SRC-00</v>
      </c>
      <c r="U444" s="129" t="str">
        <v>S+ row 974</v>
      </c>
      <c r="V444" s="129" t="str">
        <v/>
      </c>
    </row>
    <row r="445" spans="1:22" x14ac:dyDescent="0.2">
      <c r="A445" s="144" t="str">
        <v>H6a</v>
      </c>
      <c r="B445" s="145">
        <v>4</v>
      </c>
      <c r="C445" s="129" t="str">
        <v>Vitrectomy - Left</v>
      </c>
      <c r="D445" s="129" t="str">
        <v>H6a – Head / Ocular: Ocular Procedure Under Local Anaesthetic or Eye Block or …</v>
      </c>
      <c r="E445" s="129" t="str">
        <v>01 - Head</v>
      </c>
      <c r="F445" s="129" t="str">
        <v>Solutions Plus</v>
      </c>
      <c r="G445" s="144" t="str">
        <v>CON-01</v>
      </c>
      <c r="H445" s="129" t="str">
        <v>To confirm</v>
      </c>
      <c r="I445" s="144" t="str">
        <v>No</v>
      </c>
      <c r="J445" s="144" t="str">
        <v>Base</v>
      </c>
      <c r="K445" s="144" t="str">
        <v/>
      </c>
      <c r="L445" s="146">
        <v>7.8</v>
      </c>
      <c r="M445" s="142">
        <v>427.35</v>
      </c>
      <c r="N445" s="144" t="str">
        <v>Unknown</v>
      </c>
      <c r="O445" s="142" t="str">
        <v/>
      </c>
      <c r="P445" s="142" t="str">
        <v/>
      </c>
      <c r="Q445" s="142">
        <v>54.78846153846154</v>
      </c>
      <c r="R445" s="129" t="str">
        <v>Description – likely</v>
      </c>
      <c r="S445" s="143" t="str">
        <v/>
      </c>
      <c r="T445" s="144" t="str">
        <v>SRC-00</v>
      </c>
      <c r="U445" s="129" t="str">
        <v>S+ row 975</v>
      </c>
      <c r="V445" s="129" t="str">
        <v/>
      </c>
    </row>
    <row r="446" spans="1:22" x14ac:dyDescent="0.2">
      <c r="A446" s="144" t="str">
        <v>H6a</v>
      </c>
      <c r="B446" s="145">
        <v>4</v>
      </c>
      <c r="C446" s="129" t="str">
        <v>Vitrectomy - Right</v>
      </c>
      <c r="D446" s="129" t="str">
        <v>H6a – Head / Ocular: Ocular Procedure Under Local Anaesthetic or Eye Block or …</v>
      </c>
      <c r="E446" s="129" t="str">
        <v>01 - Head</v>
      </c>
      <c r="F446" s="129" t="str">
        <v>Solutions Plus</v>
      </c>
      <c r="G446" s="144" t="str">
        <v>CON-01</v>
      </c>
      <c r="H446" s="129" t="str">
        <v>To confirm</v>
      </c>
      <c r="I446" s="144" t="str">
        <v>No</v>
      </c>
      <c r="J446" s="144" t="str">
        <v>Base</v>
      </c>
      <c r="K446" s="144" t="str">
        <v/>
      </c>
      <c r="L446" s="146">
        <v>7.7</v>
      </c>
      <c r="M446" s="142">
        <v>421.3</v>
      </c>
      <c r="N446" s="144" t="str">
        <v>Unknown</v>
      </c>
      <c r="O446" s="142" t="str">
        <v/>
      </c>
      <c r="P446" s="142" t="str">
        <v/>
      </c>
      <c r="Q446" s="142">
        <v>54.714285714285715</v>
      </c>
      <c r="R446" s="129" t="str">
        <v>Description – likely</v>
      </c>
      <c r="S446" s="143" t="str">
        <v/>
      </c>
      <c r="T446" s="144" t="str">
        <v>SRC-00</v>
      </c>
      <c r="U446" s="129" t="str">
        <v>S+ row 976</v>
      </c>
      <c r="V446" s="129" t="str">
        <v/>
      </c>
    </row>
    <row r="447" spans="1:22" x14ac:dyDescent="0.2">
      <c r="A447" s="144" t="str">
        <v>H6a</v>
      </c>
      <c r="B447" s="145">
        <v>4</v>
      </c>
      <c r="C447" s="129" t="str">
        <v>Vitrectomy under GA Add to Vitrectomy Fee</v>
      </c>
      <c r="D447" s="129" t="str">
        <v>H6a – Head / Ocular: Ocular Procedure Under Local Anaesthetic or Eye Block or …</v>
      </c>
      <c r="E447" s="129" t="str">
        <v>01 - Head</v>
      </c>
      <c r="F447" s="129" t="str">
        <v>CESL – SX AP</v>
      </c>
      <c r="G447" s="144" t="str">
        <v>CON-03</v>
      </c>
      <c r="H447" s="129" t="str">
        <v>Fixed fee schedule</v>
      </c>
      <c r="I447" s="144" t="str">
        <v>Yes</v>
      </c>
      <c r="J447" s="144" t="str">
        <v>Add-on</v>
      </c>
      <c r="K447" s="144" t="str">
        <v/>
      </c>
      <c r="L447" s="146" t="str">
        <v/>
      </c>
      <c r="M447" s="142">
        <v>334.78</v>
      </c>
      <c r="N447" s="144" t="str">
        <v>Excl</v>
      </c>
      <c r="O447" s="142">
        <v>334.78</v>
      </c>
      <c r="P447" s="142">
        <v>384.99699999999996</v>
      </c>
      <c r="Q447" s="142" t="str">
        <v/>
      </c>
      <c r="R447" s="129" t="str">
        <v>Description – likely</v>
      </c>
      <c r="S447" s="143">
        <v>46113</v>
      </c>
      <c r="T447" s="144" t="str">
        <v>SRC-02</v>
      </c>
      <c r="U447" s="129" t="str">
        <v>p.1 – SX AP Vitrectomy</v>
      </c>
      <c r="V447" s="129" t="str">
        <v>Christchurch Eye Surgery (CESL) contract. GA add-on to SX AP vitrectomy fee (added to the applicable time band). Printed excl. $334.78 / incl. $385.00. Likely: grouped with S+ 'Vitrectomy' rows (H6a).</v>
      </c>
    </row>
    <row r="448" spans="1:22" x14ac:dyDescent="0.2">
      <c r="A448" s="144" t="str">
        <v>H6a</v>
      </c>
      <c r="B448" s="145">
        <v>4</v>
      </c>
      <c r="C448" s="129" t="str">
        <v>Vitrectomy/left Phaco</v>
      </c>
      <c r="D448" s="129" t="str">
        <v>H6a – Head / Ocular: Ocular Procedure Under Local Anaesthetic or Eye Block or …</v>
      </c>
      <c r="E448" s="129" t="str">
        <v>01 - Head</v>
      </c>
      <c r="F448" s="129" t="str">
        <v>Solutions Plus</v>
      </c>
      <c r="G448" s="144" t="str">
        <v>CON-01</v>
      </c>
      <c r="H448" s="129" t="str">
        <v>To confirm</v>
      </c>
      <c r="I448" s="144" t="str">
        <v>No</v>
      </c>
      <c r="J448" s="144" t="str">
        <v>Base</v>
      </c>
      <c r="K448" s="144" t="str">
        <v/>
      </c>
      <c r="L448" s="146">
        <v>10</v>
      </c>
      <c r="M448" s="142">
        <v>550</v>
      </c>
      <c r="N448" s="144" t="str">
        <v>Unknown</v>
      </c>
      <c r="O448" s="142" t="str">
        <v/>
      </c>
      <c r="P448" s="142" t="str">
        <v/>
      </c>
      <c r="Q448" s="142">
        <v>55</v>
      </c>
      <c r="R448" s="129" t="str">
        <v>Description – likely</v>
      </c>
      <c r="S448" s="143" t="str">
        <v/>
      </c>
      <c r="T448" s="144" t="str">
        <v>SRC-00</v>
      </c>
      <c r="U448" s="129" t="str">
        <v>S+ row 977</v>
      </c>
      <c r="V448" s="129" t="str">
        <v/>
      </c>
    </row>
    <row r="449" spans="1:22" x14ac:dyDescent="0.2">
      <c r="A449" s="144" t="str">
        <v>H6a</v>
      </c>
      <c r="B449" s="145">
        <v>4</v>
      </c>
      <c r="C449" s="129" t="str">
        <v>Vity +EMR Peel + CAT LAS (Vitrectomy + Epiretinal Membrane Peel + Cataract Procedure + Laser Treatment)</v>
      </c>
      <c r="D449" s="129" t="str">
        <v>H6a – Head / Ocular: Ocular Procedure Under Local Anaesthetic or Eye Block or …</v>
      </c>
      <c r="E449" s="129" t="str">
        <v>01 - Head</v>
      </c>
      <c r="F449" s="129" t="str">
        <v>CESL – HNZ (commitment)</v>
      </c>
      <c r="G449" s="144" t="str">
        <v>CON-05</v>
      </c>
      <c r="H449" s="129" t="str">
        <v>Fixed fee schedule</v>
      </c>
      <c r="I449" s="144" t="str">
        <v>Yes</v>
      </c>
      <c r="J449" s="144" t="str">
        <v>Base</v>
      </c>
      <c r="K449" s="144" t="str">
        <v>HNZ65</v>
      </c>
      <c r="L449" s="146" t="str">
        <v/>
      </c>
      <c r="M449" s="142">
        <v>1000</v>
      </c>
      <c r="N449" s="144" t="str">
        <v>Excl</v>
      </c>
      <c r="O449" s="142">
        <v>1000</v>
      </c>
      <c r="P449" s="142">
        <v>1150</v>
      </c>
      <c r="Q449" s="142" t="str">
        <v/>
      </c>
      <c r="R449" s="129" t="str">
        <v>Description – likely</v>
      </c>
      <c r="S449" s="143" t="str">
        <v/>
      </c>
      <c r="T449" s="144" t="str">
        <v>SRC-08</v>
      </c>
      <c r="U449" s="129" t="str">
        <v>Sheet row 70 – commitment</v>
      </c>
      <c r="V449" s="129" t="str">
        <v>CES HNZ Contract (Health NZ), commitment tier. Same fee in the panel tier. Printed excl. GST; no effective date printed. Likely: vitreoretinal surgery – grouped with S+ 'Vitrectomy' rows and the SRC-02 vitrectomy rows (H6a).</v>
      </c>
    </row>
    <row r="450" spans="1:22" x14ac:dyDescent="0.2">
      <c r="A450" s="144" t="str">
        <v>H6a</v>
      </c>
      <c r="B450" s="145">
        <v>4</v>
      </c>
      <c r="C450" s="129" t="str">
        <v>Vity +EMR Peel + CAT LAS (Vitrectomy + Epiretinal Membrane Peel + Cataract Procedure + Laser Treatment)</v>
      </c>
      <c r="D450" s="129" t="str">
        <v>H6a – Head / Ocular: Ocular Procedure Under Local Anaesthetic or Eye Block or …</v>
      </c>
      <c r="E450" s="129" t="str">
        <v>01 - Head</v>
      </c>
      <c r="F450" s="129" t="str">
        <v>CESL – HNZ (panel)</v>
      </c>
      <c r="G450" s="144" t="str">
        <v>CON-06</v>
      </c>
      <c r="H450" s="129" t="str">
        <v>Fixed fee schedule</v>
      </c>
      <c r="I450" s="144" t="str">
        <v>Yes</v>
      </c>
      <c r="J450" s="144" t="str">
        <v>Base</v>
      </c>
      <c r="K450" s="144" t="str">
        <v>HNZ65</v>
      </c>
      <c r="L450" s="146" t="str">
        <v/>
      </c>
      <c r="M450" s="142">
        <v>1000</v>
      </c>
      <c r="N450" s="144" t="str">
        <v>Excl</v>
      </c>
      <c r="O450" s="142">
        <v>1000</v>
      </c>
      <c r="P450" s="142">
        <v>1150</v>
      </c>
      <c r="Q450" s="142" t="str">
        <v/>
      </c>
      <c r="R450" s="129" t="str">
        <v>Description – likely</v>
      </c>
      <c r="S450" s="143" t="str">
        <v/>
      </c>
      <c r="T450" s="144" t="str">
        <v>SRC-08</v>
      </c>
      <c r="U450" s="129" t="str">
        <v>Sheet row 70 – panel</v>
      </c>
      <c r="V450" s="129" t="str">
        <v>CES HNZ Contract (Health NZ), panel tier. Same fee in the commitment tier. Printed excl. GST; no effective date printed. Likely: vitreoretinal surgery – grouped with S+ 'Vitrectomy' rows and the SRC-02 vitrectomy rows (H6a).</v>
      </c>
    </row>
    <row r="451" spans="1:22" x14ac:dyDescent="0.2">
      <c r="A451" s="144" t="str">
        <v>H6a</v>
      </c>
      <c r="B451" s="145">
        <v>4</v>
      </c>
      <c r="C451" s="129" t="str">
        <v>Vity +EMR Peel LAS (Vitrectomy + Epiretinal Membrane Peel + Laser Photocoagulation)</v>
      </c>
      <c r="D451" s="129" t="str">
        <v>H6a – Head / Ocular: Ocular Procedure Under Local Anaesthetic or Eye Block or …</v>
      </c>
      <c r="E451" s="129" t="str">
        <v>01 - Head</v>
      </c>
      <c r="F451" s="129" t="str">
        <v>CESL – HNZ (commitment)</v>
      </c>
      <c r="G451" s="144" t="str">
        <v>CON-05</v>
      </c>
      <c r="H451" s="129" t="str">
        <v>Fixed fee schedule</v>
      </c>
      <c r="I451" s="144" t="str">
        <v>Yes</v>
      </c>
      <c r="J451" s="144" t="str">
        <v>Base</v>
      </c>
      <c r="K451" s="144" t="str">
        <v>HNZ64</v>
      </c>
      <c r="L451" s="146" t="str">
        <v/>
      </c>
      <c r="M451" s="142">
        <v>900</v>
      </c>
      <c r="N451" s="144" t="str">
        <v>Excl</v>
      </c>
      <c r="O451" s="142">
        <v>900</v>
      </c>
      <c r="P451" s="142">
        <v>1035</v>
      </c>
      <c r="Q451" s="142" t="str">
        <v/>
      </c>
      <c r="R451" s="129" t="str">
        <v>Description – likely</v>
      </c>
      <c r="S451" s="143" t="str">
        <v/>
      </c>
      <c r="T451" s="144" t="str">
        <v>SRC-08</v>
      </c>
      <c r="U451" s="129" t="str">
        <v>Sheet row 69 – commitment</v>
      </c>
      <c r="V451" s="129" t="str">
        <v>CES HNZ Contract (Health NZ), commitment tier. Same fee in the panel tier. Printed excl. GST; no effective date printed. Likely: vitreoretinal surgery – grouped with S+ 'Vitrectomy' rows and the SRC-02 vitrectomy rows (H6a).</v>
      </c>
    </row>
    <row r="452" spans="1:22" x14ac:dyDescent="0.2">
      <c r="A452" s="144" t="str">
        <v>H6a</v>
      </c>
      <c r="B452" s="145">
        <v>4</v>
      </c>
      <c r="C452" s="129" t="str">
        <v>Vity +EMR Peel LAS (Vitrectomy + Epiretinal Membrane Peel + Laser Photocoagulation)</v>
      </c>
      <c r="D452" s="129" t="str">
        <v>H6a – Head / Ocular: Ocular Procedure Under Local Anaesthetic or Eye Block or …</v>
      </c>
      <c r="E452" s="129" t="str">
        <v>01 - Head</v>
      </c>
      <c r="F452" s="129" t="str">
        <v>CESL – HNZ (panel)</v>
      </c>
      <c r="G452" s="144" t="str">
        <v>CON-06</v>
      </c>
      <c r="H452" s="129" t="str">
        <v>Fixed fee schedule</v>
      </c>
      <c r="I452" s="144" t="str">
        <v>Yes</v>
      </c>
      <c r="J452" s="144" t="str">
        <v>Base</v>
      </c>
      <c r="K452" s="144" t="str">
        <v>HNZ64</v>
      </c>
      <c r="L452" s="146" t="str">
        <v/>
      </c>
      <c r="M452" s="142">
        <v>900</v>
      </c>
      <c r="N452" s="144" t="str">
        <v>Excl</v>
      </c>
      <c r="O452" s="142">
        <v>900</v>
      </c>
      <c r="P452" s="142">
        <v>1035</v>
      </c>
      <c r="Q452" s="142" t="str">
        <v/>
      </c>
      <c r="R452" s="129" t="str">
        <v>Description – likely</v>
      </c>
      <c r="S452" s="143" t="str">
        <v/>
      </c>
      <c r="T452" s="144" t="str">
        <v>SRC-08</v>
      </c>
      <c r="U452" s="129" t="str">
        <v>Sheet row 69 – panel</v>
      </c>
      <c r="V452" s="129" t="str">
        <v>CES HNZ Contract (Health NZ), panel tier. Same fee in the commitment tier. Printed excl. GST; no effective date printed. Likely: vitreoretinal surgery – grouped with S+ 'Vitrectomy' rows and the SRC-02 vitrectomy rows (H6a).</v>
      </c>
    </row>
    <row r="453" spans="1:22" x14ac:dyDescent="0.2">
      <c r="A453" s="144" t="str">
        <v>H6a</v>
      </c>
      <c r="B453" s="145">
        <v>4</v>
      </c>
      <c r="C453" s="129" t="str">
        <v>WCDCataract Right Phaco/IOL</v>
      </c>
      <c r="D453" s="129" t="str">
        <v>H6a – Head / Ocular: Ocular Procedure Under Local Anaesthetic or Eye Block or …</v>
      </c>
      <c r="E453" s="129" t="str">
        <v>01 - Head</v>
      </c>
      <c r="F453" s="129" t="str">
        <v>Solutions Plus</v>
      </c>
      <c r="G453" s="144" t="str">
        <v>CON-01</v>
      </c>
      <c r="H453" s="129" t="str">
        <v>To confirm</v>
      </c>
      <c r="I453" s="144" t="str">
        <v>No</v>
      </c>
      <c r="J453" s="144" t="str">
        <v>Base</v>
      </c>
      <c r="K453" s="144" t="str">
        <v/>
      </c>
      <c r="L453" s="146">
        <v>0</v>
      </c>
      <c r="M453" s="142">
        <v>0</v>
      </c>
      <c r="N453" s="144" t="str">
        <v>Unknown</v>
      </c>
      <c r="O453" s="142" t="str">
        <v/>
      </c>
      <c r="P453" s="142" t="str">
        <v/>
      </c>
      <c r="Q453" s="142" t="str">
        <v/>
      </c>
      <c r="R453" s="129" t="str">
        <v>Description – likely</v>
      </c>
      <c r="S453" s="143" t="str">
        <v/>
      </c>
      <c r="T453" s="144" t="str">
        <v>SRC-00</v>
      </c>
      <c r="U453" s="129" t="str">
        <v>S+ row 978</v>
      </c>
      <c r="V453" s="129" t="str">
        <v/>
      </c>
    </row>
    <row r="454" spans="1:22" x14ac:dyDescent="0.2">
      <c r="A454" s="144" t="str">
        <v>H6a</v>
      </c>
      <c r="B454" s="145">
        <v>4</v>
      </c>
      <c r="C454" s="129" t="str">
        <v>WCDHB - Left Cataract</v>
      </c>
      <c r="D454" s="129" t="str">
        <v>H6a – Head / Ocular: Ocular Procedure Under Local Anaesthetic or Eye Block or …</v>
      </c>
      <c r="E454" s="129" t="str">
        <v>01 - Head</v>
      </c>
      <c r="F454" s="129" t="str">
        <v>Solutions Plus</v>
      </c>
      <c r="G454" s="144" t="str">
        <v>CON-01</v>
      </c>
      <c r="H454" s="129" t="str">
        <v>To confirm</v>
      </c>
      <c r="I454" s="144" t="str">
        <v>No</v>
      </c>
      <c r="J454" s="144" t="str">
        <v>Base</v>
      </c>
      <c r="K454" s="144" t="str">
        <v/>
      </c>
      <c r="L454" s="146">
        <v>2.5</v>
      </c>
      <c r="M454" s="142">
        <v>135.30000000000001</v>
      </c>
      <c r="N454" s="144" t="str">
        <v>Unknown</v>
      </c>
      <c r="O454" s="142" t="str">
        <v/>
      </c>
      <c r="P454" s="142" t="str">
        <v/>
      </c>
      <c r="Q454" s="142">
        <v>54.120000000000005</v>
      </c>
      <c r="R454" s="129" t="str">
        <v>Description – likely</v>
      </c>
      <c r="S454" s="143" t="str">
        <v/>
      </c>
      <c r="T454" s="144" t="str">
        <v>SRC-00</v>
      </c>
      <c r="U454" s="129" t="str">
        <v>S+ row 979</v>
      </c>
      <c r="V454" s="129" t="str">
        <v/>
      </c>
    </row>
    <row r="455" spans="1:22" x14ac:dyDescent="0.2">
      <c r="A455" s="144" t="str">
        <v>H6a</v>
      </c>
      <c r="B455" s="145">
        <v>4</v>
      </c>
      <c r="C455" s="129" t="str">
        <v>WCDHB - Right Cataract</v>
      </c>
      <c r="D455" s="129" t="str">
        <v>H6a – Head / Ocular: Ocular Procedure Under Local Anaesthetic or Eye Block or …</v>
      </c>
      <c r="E455" s="129" t="str">
        <v>01 - Head</v>
      </c>
      <c r="F455" s="129" t="str">
        <v>Solutions Plus</v>
      </c>
      <c r="G455" s="144" t="str">
        <v>CON-01</v>
      </c>
      <c r="H455" s="129" t="str">
        <v>To confirm</v>
      </c>
      <c r="I455" s="144" t="str">
        <v>No</v>
      </c>
      <c r="J455" s="144" t="str">
        <v>Base</v>
      </c>
      <c r="K455" s="144" t="str">
        <v/>
      </c>
      <c r="L455" s="146">
        <v>3.8</v>
      </c>
      <c r="M455" s="142">
        <v>207.35</v>
      </c>
      <c r="N455" s="144" t="str">
        <v>Unknown</v>
      </c>
      <c r="O455" s="142" t="str">
        <v/>
      </c>
      <c r="P455" s="142" t="str">
        <v/>
      </c>
      <c r="Q455" s="142">
        <v>54.565789473684212</v>
      </c>
      <c r="R455" s="129" t="str">
        <v>Description – likely</v>
      </c>
      <c r="S455" s="143" t="str">
        <v/>
      </c>
      <c r="T455" s="144" t="str">
        <v>SRC-00</v>
      </c>
      <c r="U455" s="129" t="str">
        <v>S+ row 980</v>
      </c>
      <c r="V455" s="129" t="str">
        <v/>
      </c>
    </row>
    <row r="456" spans="1:22" x14ac:dyDescent="0.2">
      <c r="A456" s="144" t="str">
        <v>H6a</v>
      </c>
      <c r="B456" s="145">
        <v>4</v>
      </c>
      <c r="C456" s="129" t="str">
        <v>WDHB - Left Cataract</v>
      </c>
      <c r="D456" s="129" t="str">
        <v>H6a – Head / Ocular: Ocular Procedure Under Local Anaesthetic or Eye Block or …</v>
      </c>
      <c r="E456" s="129" t="str">
        <v>01 - Head</v>
      </c>
      <c r="F456" s="129" t="str">
        <v>Solutions Plus</v>
      </c>
      <c r="G456" s="144" t="str">
        <v>CON-01</v>
      </c>
      <c r="H456" s="129" t="str">
        <v>To confirm</v>
      </c>
      <c r="I456" s="144" t="str">
        <v>No</v>
      </c>
      <c r="J456" s="144" t="str">
        <v>Base</v>
      </c>
      <c r="K456" s="144" t="str">
        <v/>
      </c>
      <c r="L456" s="146">
        <v>0</v>
      </c>
      <c r="M456" s="142">
        <v>0</v>
      </c>
      <c r="N456" s="144" t="str">
        <v>Unknown</v>
      </c>
      <c r="O456" s="142" t="str">
        <v/>
      </c>
      <c r="P456" s="142" t="str">
        <v/>
      </c>
      <c r="Q456" s="142" t="str">
        <v/>
      </c>
      <c r="R456" s="129" t="str">
        <v>Description – likely</v>
      </c>
      <c r="S456" s="143" t="str">
        <v/>
      </c>
      <c r="T456" s="144" t="str">
        <v>SRC-00</v>
      </c>
      <c r="U456" s="129" t="str">
        <v>S+ row 981</v>
      </c>
      <c r="V456" s="129" t="str">
        <v/>
      </c>
    </row>
    <row r="457" spans="1:22" x14ac:dyDescent="0.2">
      <c r="A457" s="144" t="str">
        <v>N4</v>
      </c>
      <c r="B457" s="145">
        <v>10</v>
      </c>
      <c r="C457" s="129" t="str">
        <v>Laryngectomy</v>
      </c>
      <c r="D457" s="129" t="str">
        <v>N4 – Neck (Non vascular): Significant Complex Procedures</v>
      </c>
      <c r="E457" s="129" t="str">
        <v>02 - Neck (Non vascular)</v>
      </c>
      <c r="F457" s="129" t="str">
        <v>Solutions Plus</v>
      </c>
      <c r="G457" s="144" t="str">
        <v>CON-01</v>
      </c>
      <c r="H457" s="129" t="str">
        <v>To confirm</v>
      </c>
      <c r="I457" s="144" t="str">
        <v>No</v>
      </c>
      <c r="J457" s="144" t="str">
        <v>Base</v>
      </c>
      <c r="K457" s="144" t="str">
        <v/>
      </c>
      <c r="L457" s="146">
        <v>31</v>
      </c>
      <c r="M457" s="142">
        <v>1705</v>
      </c>
      <c r="N457" s="144" t="str">
        <v>Unknown</v>
      </c>
      <c r="O457" s="142" t="str">
        <v/>
      </c>
      <c r="P457" s="142" t="str">
        <v/>
      </c>
      <c r="Q457" s="142">
        <v>55</v>
      </c>
      <c r="R457" s="129" t="str">
        <v>Description – exact</v>
      </c>
      <c r="S457" s="143" t="str">
        <v/>
      </c>
      <c r="T457" s="144" t="str">
        <v>SRC-00</v>
      </c>
      <c r="U457" s="129" t="str">
        <v>S+ row 520</v>
      </c>
      <c r="V457" s="129" t="str">
        <v/>
      </c>
    </row>
    <row r="458" spans="1:22" x14ac:dyDescent="0.2">
      <c r="A458" s="144" t="str">
        <v>N1</v>
      </c>
      <c r="B458" s="145">
        <v>4</v>
      </c>
      <c r="C458" s="129" t="str">
        <v>Minor Procedures e.g. Excision of Superficial Lesions</v>
      </c>
      <c r="D458" s="129" t="str">
        <v>N1 – Neck (Non vascular): Minor Procedures</v>
      </c>
      <c r="E458" s="129" t="str">
        <v>02 - Neck (Non vascular)</v>
      </c>
      <c r="F458" s="129" t="str">
        <v>NZSA RVG</v>
      </c>
      <c r="G458" s="144" t="str">
        <v>CON-10</v>
      </c>
      <c r="H458" s="129" t="str">
        <v>Reference – units only</v>
      </c>
      <c r="I458" s="144" t="str">
        <v>No</v>
      </c>
      <c r="J458" s="144" t="str">
        <v>Base</v>
      </c>
      <c r="K458" s="144" t="str">
        <v>N1</v>
      </c>
      <c r="L458" s="146">
        <v>4</v>
      </c>
      <c r="M458" s="142" t="str">
        <v/>
      </c>
      <c r="N458" s="144" t="str">
        <v/>
      </c>
      <c r="O458" s="142" t="str">
        <v/>
      </c>
      <c r="P458" s="142" t="str">
        <v/>
      </c>
      <c r="Q458" s="142">
        <v>0</v>
      </c>
      <c r="R458" s="129" t="str">
        <v>Unmatched</v>
      </c>
      <c r="S458" s="143" t="str">
        <v/>
      </c>
      <c r="T458" s="144" t="str">
        <v>SRC-01</v>
      </c>
      <c r="U458" s="129" t="str">
        <v>p.7 – Neck (Non vascular)</v>
      </c>
      <c r="V458" s="129" t="str">
        <v>Reference units only – no $ fee (NZSA RVG 2021).</v>
      </c>
    </row>
    <row r="459" spans="1:22" x14ac:dyDescent="0.2">
      <c r="A459" s="144" t="str">
        <v>N3</v>
      </c>
      <c r="B459" s="145">
        <v>6</v>
      </c>
      <c r="C459" s="129" t="str">
        <v>Moderate Procedures e.g. Thyroidectomy, Simple Neck Dissection (Not part of more extensive surgery)</v>
      </c>
      <c r="D459" s="129" t="str">
        <v>N3 – Neck (Non vascular): Moderate Procedures</v>
      </c>
      <c r="E459" s="129" t="str">
        <v>02 - Neck (Non vascular)</v>
      </c>
      <c r="F459" s="129" t="str">
        <v>NZSA RVG</v>
      </c>
      <c r="G459" s="144" t="str">
        <v>CON-10</v>
      </c>
      <c r="H459" s="129" t="str">
        <v>Reference – units only</v>
      </c>
      <c r="I459" s="144" t="str">
        <v>No</v>
      </c>
      <c r="J459" s="144" t="str">
        <v>Base</v>
      </c>
      <c r="K459" s="144" t="str">
        <v>N3</v>
      </c>
      <c r="L459" s="146">
        <v>6</v>
      </c>
      <c r="M459" s="142" t="str">
        <v/>
      </c>
      <c r="N459" s="144" t="str">
        <v/>
      </c>
      <c r="O459" s="142" t="str">
        <v/>
      </c>
      <c r="P459" s="142" t="str">
        <v/>
      </c>
      <c r="Q459" s="142">
        <v>0</v>
      </c>
      <c r="R459" s="129" t="str">
        <v>RVG code</v>
      </c>
      <c r="S459" s="143" t="str">
        <v/>
      </c>
      <c r="T459" s="144" t="str">
        <v>SRC-01</v>
      </c>
      <c r="U459" s="129" t="str">
        <v>p.7 – Neck (Non vascular)</v>
      </c>
      <c r="V459" s="129" t="str">
        <v>Reference units only – no $ fee (NZSA RVG 2021).</v>
      </c>
    </row>
    <row r="460" spans="1:22" x14ac:dyDescent="0.2">
      <c r="A460" s="144" t="str">
        <v>N3</v>
      </c>
      <c r="B460" s="145">
        <v>6</v>
      </c>
      <c r="C460" s="129" t="str">
        <v>Parathyroidectomy</v>
      </c>
      <c r="D460" s="129" t="str">
        <v>N3 – Neck (Non vascular): Moderate Procedures</v>
      </c>
      <c r="E460" s="129" t="str">
        <v>02 - Neck (Non vascular)</v>
      </c>
      <c r="F460" s="129" t="str">
        <v>Solutions Plus</v>
      </c>
      <c r="G460" s="144" t="str">
        <v>CON-01</v>
      </c>
      <c r="H460" s="129" t="str">
        <v>To confirm</v>
      </c>
      <c r="I460" s="144" t="str">
        <v>No</v>
      </c>
      <c r="J460" s="144" t="str">
        <v>Base</v>
      </c>
      <c r="K460" s="144" t="str">
        <v/>
      </c>
      <c r="L460" s="146">
        <v>13.8</v>
      </c>
      <c r="M460" s="142">
        <v>757.9</v>
      </c>
      <c r="N460" s="144" t="str">
        <v>Unknown</v>
      </c>
      <c r="O460" s="142" t="str">
        <v/>
      </c>
      <c r="P460" s="142" t="str">
        <v/>
      </c>
      <c r="Q460" s="142">
        <v>54.920289855072461</v>
      </c>
      <c r="R460" s="129" t="str">
        <v>Description – likely</v>
      </c>
      <c r="S460" s="143" t="str">
        <v/>
      </c>
      <c r="T460" s="144" t="str">
        <v>SRC-00</v>
      </c>
      <c r="U460" s="129" t="str">
        <v>S+ row 691</v>
      </c>
      <c r="V460" s="129" t="str">
        <v/>
      </c>
    </row>
    <row r="461" spans="1:22" x14ac:dyDescent="0.2">
      <c r="A461" s="144" t="str">
        <v>N3</v>
      </c>
      <c r="B461" s="145">
        <v>6</v>
      </c>
      <c r="C461" s="129" t="str">
        <v>Parathyroidectomy - Cdhb</v>
      </c>
      <c r="D461" s="129" t="str">
        <v>N3 – Neck (Non vascular): Moderate Procedures</v>
      </c>
      <c r="E461" s="129" t="str">
        <v>02 - Neck (Non vascular)</v>
      </c>
      <c r="F461" s="129" t="str">
        <v>Solutions Plus</v>
      </c>
      <c r="G461" s="144" t="str">
        <v>CON-01</v>
      </c>
      <c r="H461" s="129" t="str">
        <v>To confirm</v>
      </c>
      <c r="I461" s="144" t="str">
        <v>No</v>
      </c>
      <c r="J461" s="144" t="str">
        <v>Base</v>
      </c>
      <c r="K461" s="144" t="str">
        <v/>
      </c>
      <c r="L461" s="146">
        <v>12</v>
      </c>
      <c r="M461" s="142">
        <v>658.9</v>
      </c>
      <c r="N461" s="144" t="str">
        <v>Unknown</v>
      </c>
      <c r="O461" s="142" t="str">
        <v/>
      </c>
      <c r="P461" s="142" t="str">
        <v/>
      </c>
      <c r="Q461" s="142">
        <v>54.908333333333331</v>
      </c>
      <c r="R461" s="129" t="str">
        <v>Description – likely</v>
      </c>
      <c r="S461" s="143" t="str">
        <v/>
      </c>
      <c r="T461" s="144" t="str">
        <v>SRC-00</v>
      </c>
      <c r="U461" s="129" t="str">
        <v>S+ row 692</v>
      </c>
      <c r="V461" s="129" t="str">
        <v/>
      </c>
    </row>
    <row r="462" spans="1:22" x14ac:dyDescent="0.2">
      <c r="A462" s="144" t="str">
        <v>N4</v>
      </c>
      <c r="B462" s="145">
        <v>10</v>
      </c>
      <c r="C462" s="129" t="str">
        <v>Significant Complex Procedures e.g. Laryngectomy, Carotid Endarterectomy, Tumour Resection +/- Neck Dissection, Free Flap Placement</v>
      </c>
      <c r="D462" s="129" t="str">
        <v>N4 – Neck (Non vascular): Significant Complex Procedures</v>
      </c>
      <c r="E462" s="129" t="str">
        <v>02 - Neck (Non vascular)</v>
      </c>
      <c r="F462" s="129" t="str">
        <v>NZSA RVG</v>
      </c>
      <c r="G462" s="144" t="str">
        <v>CON-10</v>
      </c>
      <c r="H462" s="129" t="str">
        <v>Reference – units only</v>
      </c>
      <c r="I462" s="144" t="str">
        <v>No</v>
      </c>
      <c r="J462" s="144" t="str">
        <v>Base</v>
      </c>
      <c r="K462" s="144" t="str">
        <v>N4</v>
      </c>
      <c r="L462" s="146" t="str">
        <v/>
      </c>
      <c r="M462" s="142" t="str">
        <v/>
      </c>
      <c r="N462" s="144" t="str">
        <v/>
      </c>
      <c r="O462" s="142" t="str">
        <v/>
      </c>
      <c r="P462" s="142" t="str">
        <v/>
      </c>
      <c r="Q462" s="142" t="str">
        <v/>
      </c>
      <c r="R462" s="129" t="str">
        <v>RVG code</v>
      </c>
      <c r="S462" s="143" t="str">
        <v/>
      </c>
      <c r="T462" s="144" t="str">
        <v>SRC-01</v>
      </c>
      <c r="U462" s="129" t="str">
        <v>p.7 – Neck (Non vascular)</v>
      </c>
      <c r="V462" s="129" t="str">
        <v>Reference units only – no $ fee (NZSA RVG 2021). Units as printed: "10-14" (lower bound in units columns). Printed as a range 10-14</v>
      </c>
    </row>
    <row r="463" spans="1:22" x14ac:dyDescent="0.2">
      <c r="A463" s="144" t="str">
        <v>N2</v>
      </c>
      <c r="B463" s="145">
        <v>5</v>
      </c>
      <c r="C463" s="129" t="str">
        <v>Simple but Invasive Procedures e.g. Closure of Tracheostomy</v>
      </c>
      <c r="D463" s="129" t="str">
        <v>N2 – Neck (Non vascular): Simple but Invasive Procedures</v>
      </c>
      <c r="E463" s="129" t="str">
        <v>02 - Neck (Non vascular)</v>
      </c>
      <c r="F463" s="129" t="str">
        <v>NZSA RVG</v>
      </c>
      <c r="G463" s="144" t="str">
        <v>CON-10</v>
      </c>
      <c r="H463" s="129" t="str">
        <v>Reference – units only</v>
      </c>
      <c r="I463" s="144" t="str">
        <v>No</v>
      </c>
      <c r="J463" s="144" t="str">
        <v>Base</v>
      </c>
      <c r="K463" s="144" t="str">
        <v>N2</v>
      </c>
      <c r="L463" s="146">
        <v>5</v>
      </c>
      <c r="M463" s="142" t="str">
        <v/>
      </c>
      <c r="N463" s="144" t="str">
        <v/>
      </c>
      <c r="O463" s="142" t="str">
        <v/>
      </c>
      <c r="P463" s="142" t="str">
        <v/>
      </c>
      <c r="Q463" s="142">
        <v>0</v>
      </c>
      <c r="R463" s="129" t="str">
        <v>Unmatched</v>
      </c>
      <c r="S463" s="143" t="str">
        <v/>
      </c>
      <c r="T463" s="144" t="str">
        <v>SRC-01</v>
      </c>
      <c r="U463" s="129" t="str">
        <v>p.7 – Neck (Non vascular)</v>
      </c>
      <c r="V463" s="129" t="str">
        <v>Reference units only – no $ fee (NZSA RVG 2021).</v>
      </c>
    </row>
    <row r="464" spans="1:22" x14ac:dyDescent="0.2">
      <c r="A464" s="144" t="str">
        <v>N3</v>
      </c>
      <c r="B464" s="145">
        <v>6</v>
      </c>
      <c r="C464" s="129" t="str">
        <v>Submandibular Gland</v>
      </c>
      <c r="D464" s="129" t="str">
        <v>N3 – Neck (Non vascular): Moderate Procedures</v>
      </c>
      <c r="E464" s="129" t="str">
        <v>02 - Neck (Non vascular)</v>
      </c>
      <c r="F464" s="129" t="str">
        <v>Solutions Plus</v>
      </c>
      <c r="G464" s="144" t="str">
        <v>CON-01</v>
      </c>
      <c r="H464" s="129" t="str">
        <v>To confirm</v>
      </c>
      <c r="I464" s="144" t="str">
        <v>No</v>
      </c>
      <c r="J464" s="144" t="str">
        <v>Base</v>
      </c>
      <c r="K464" s="144" t="str">
        <v/>
      </c>
      <c r="L464" s="146">
        <v>12</v>
      </c>
      <c r="M464" s="142">
        <v>660</v>
      </c>
      <c r="N464" s="144" t="str">
        <v>Unknown</v>
      </c>
      <c r="O464" s="142" t="str">
        <v/>
      </c>
      <c r="P464" s="142" t="str">
        <v/>
      </c>
      <c r="Q464" s="142">
        <v>55</v>
      </c>
      <c r="R464" s="129" t="str">
        <v>Description – likely</v>
      </c>
      <c r="S464" s="143" t="str">
        <v/>
      </c>
      <c r="T464" s="144" t="str">
        <v>SRC-00</v>
      </c>
      <c r="U464" s="129" t="str">
        <v>S+ row 907</v>
      </c>
      <c r="V464" s="129" t="str">
        <v/>
      </c>
    </row>
    <row r="465" spans="1:22" x14ac:dyDescent="0.2">
      <c r="A465" s="144" t="str">
        <v>N3</v>
      </c>
      <c r="B465" s="145">
        <v>6</v>
      </c>
      <c r="C465" s="129" t="str">
        <v>Thyroid Lobectomy</v>
      </c>
      <c r="D465" s="129" t="str">
        <v>N3 – Neck (Non vascular): Moderate Procedures</v>
      </c>
      <c r="E465" s="129" t="str">
        <v>02 - Neck (Non vascular)</v>
      </c>
      <c r="F465" s="129" t="str">
        <v>Solutions Plus</v>
      </c>
      <c r="G465" s="144" t="str">
        <v>CON-01</v>
      </c>
      <c r="H465" s="129" t="str">
        <v>To confirm</v>
      </c>
      <c r="I465" s="144" t="str">
        <v>No</v>
      </c>
      <c r="J465" s="144" t="str">
        <v>Base</v>
      </c>
      <c r="K465" s="144" t="str">
        <v/>
      </c>
      <c r="L465" s="146">
        <v>15.3</v>
      </c>
      <c r="M465" s="142">
        <v>839.3</v>
      </c>
      <c r="N465" s="144" t="str">
        <v>Unknown</v>
      </c>
      <c r="O465" s="142" t="str">
        <v/>
      </c>
      <c r="P465" s="142" t="str">
        <v/>
      </c>
      <c r="Q465" s="142">
        <v>54.856209150326791</v>
      </c>
      <c r="R465" s="129" t="str">
        <v>Description – exact</v>
      </c>
      <c r="S465" s="143" t="str">
        <v/>
      </c>
      <c r="T465" s="144" t="str">
        <v>SRC-00</v>
      </c>
      <c r="U465" s="129" t="str">
        <v>S+ row 921</v>
      </c>
      <c r="V465" s="129" t="str">
        <v/>
      </c>
    </row>
    <row r="466" spans="1:22" x14ac:dyDescent="0.2">
      <c r="A466" s="144" t="str">
        <v>N3</v>
      </c>
      <c r="B466" s="145">
        <v>6</v>
      </c>
      <c r="C466" s="129" t="str">
        <v>Thyroidectomy</v>
      </c>
      <c r="D466" s="129" t="str">
        <v>N3 – Neck (Non vascular): Moderate Procedures</v>
      </c>
      <c r="E466" s="129" t="str">
        <v>02 - Neck (Non vascular)</v>
      </c>
      <c r="F466" s="129" t="str">
        <v>Solutions Plus</v>
      </c>
      <c r="G466" s="144" t="str">
        <v>CON-01</v>
      </c>
      <c r="H466" s="129" t="str">
        <v>To confirm</v>
      </c>
      <c r="I466" s="144" t="str">
        <v>No</v>
      </c>
      <c r="J466" s="144" t="str">
        <v>Base</v>
      </c>
      <c r="K466" s="144" t="str">
        <v/>
      </c>
      <c r="L466" s="146">
        <v>18.2</v>
      </c>
      <c r="M466" s="142">
        <v>1001.55</v>
      </c>
      <c r="N466" s="144" t="str">
        <v>Unknown</v>
      </c>
      <c r="O466" s="142" t="str">
        <v/>
      </c>
      <c r="P466" s="142" t="str">
        <v/>
      </c>
      <c r="Q466" s="142">
        <v>55.030219780219781</v>
      </c>
      <c r="R466" s="129" t="str">
        <v>Description – exact</v>
      </c>
      <c r="S466" s="143" t="str">
        <v/>
      </c>
      <c r="T466" s="144" t="str">
        <v>SRC-00</v>
      </c>
      <c r="U466" s="129" t="str">
        <v>S+ row 922</v>
      </c>
      <c r="V466" s="129" t="str">
        <v/>
      </c>
    </row>
    <row r="467" spans="1:22" x14ac:dyDescent="0.2">
      <c r="A467" s="144" t="str">
        <v>N3</v>
      </c>
      <c r="B467" s="145">
        <v>6</v>
      </c>
      <c r="C467" s="129" t="str">
        <v>Total Thyroidectomy</v>
      </c>
      <c r="D467" s="129" t="str">
        <v>N3 – Neck (Non vascular): Moderate Procedures</v>
      </c>
      <c r="E467" s="129" t="str">
        <v>02 - Neck (Non vascular)</v>
      </c>
      <c r="F467" s="129" t="str">
        <v>Solutions Plus</v>
      </c>
      <c r="G467" s="144" t="str">
        <v>CON-01</v>
      </c>
      <c r="H467" s="129" t="str">
        <v>To confirm</v>
      </c>
      <c r="I467" s="144" t="str">
        <v>No</v>
      </c>
      <c r="J467" s="144" t="str">
        <v>Base</v>
      </c>
      <c r="K467" s="144" t="str">
        <v/>
      </c>
      <c r="L467" s="146">
        <v>18.7</v>
      </c>
      <c r="M467" s="142">
        <v>1028.5</v>
      </c>
      <c r="N467" s="144" t="str">
        <v>Unknown</v>
      </c>
      <c r="O467" s="142" t="str">
        <v/>
      </c>
      <c r="P467" s="142" t="str">
        <v/>
      </c>
      <c r="Q467" s="142">
        <v>55</v>
      </c>
      <c r="R467" s="129" t="str">
        <v>Description – exact</v>
      </c>
      <c r="S467" s="143" t="str">
        <v/>
      </c>
      <c r="T467" s="144" t="str">
        <v>SRC-00</v>
      </c>
      <c r="U467" s="129" t="str">
        <v>S+ row 939</v>
      </c>
      <c r="V467" s="129" t="str">
        <v/>
      </c>
    </row>
    <row r="468" spans="1:22" x14ac:dyDescent="0.2">
      <c r="A468" s="144" t="str">
        <v>UL3</v>
      </c>
      <c r="B468" s="145">
        <v>6</v>
      </c>
      <c r="C468" s="129" t="str">
        <v>Acromioplasty</v>
      </c>
      <c r="D468" s="129" t="str">
        <v>UL3 – Upper Limb: Moderate Soft Tissue/Muscle/Nerve Procedures</v>
      </c>
      <c r="E468" s="129" t="str">
        <v>03 - Upper Limb</v>
      </c>
      <c r="F468" s="129" t="str">
        <v>Solutions Plus</v>
      </c>
      <c r="G468" s="144" t="str">
        <v>CON-01</v>
      </c>
      <c r="H468" s="129" t="str">
        <v>To confirm</v>
      </c>
      <c r="I468" s="144" t="str">
        <v>No</v>
      </c>
      <c r="J468" s="144" t="str">
        <v>Base</v>
      </c>
      <c r="K468" s="144" t="str">
        <v/>
      </c>
      <c r="L468" s="146">
        <v>11</v>
      </c>
      <c r="M468" s="142">
        <v>605</v>
      </c>
      <c r="N468" s="144" t="str">
        <v>Unknown</v>
      </c>
      <c r="O468" s="142" t="str">
        <v/>
      </c>
      <c r="P468" s="142" t="str">
        <v/>
      </c>
      <c r="Q468" s="142">
        <v>55</v>
      </c>
      <c r="R468" s="129" t="str">
        <v>Description – likely</v>
      </c>
      <c r="S468" s="143" t="str">
        <v/>
      </c>
      <c r="T468" s="144" t="str">
        <v>SRC-00</v>
      </c>
      <c r="U468" s="129" t="str">
        <v>S+ row 23</v>
      </c>
      <c r="V468" s="129" t="str">
        <v/>
      </c>
    </row>
    <row r="469" spans="1:22" x14ac:dyDescent="0.2">
      <c r="A469" s="144" t="str">
        <v>UL3</v>
      </c>
      <c r="B469" s="145">
        <v>6</v>
      </c>
      <c r="C469" s="129" t="str">
        <v>Amended - Right Shoulder Arthroscopic Repair Of S</v>
      </c>
      <c r="D469" s="129" t="str">
        <v>UL3 – Upper Limb: Moderate Soft Tissue/Muscle/Nerve Procedures</v>
      </c>
      <c r="E469" s="129" t="str">
        <v>03 - Upper Limb</v>
      </c>
      <c r="F469" s="129" t="str">
        <v>Solutions Plus</v>
      </c>
      <c r="G469" s="144" t="str">
        <v>CON-01</v>
      </c>
      <c r="H469" s="129" t="str">
        <v>To confirm</v>
      </c>
      <c r="I469" s="144" t="str">
        <v>No</v>
      </c>
      <c r="J469" s="144" t="str">
        <v>Base</v>
      </c>
      <c r="K469" s="144" t="str">
        <v/>
      </c>
      <c r="L469" s="146">
        <v>14</v>
      </c>
      <c r="M469" s="142">
        <v>770</v>
      </c>
      <c r="N469" s="144" t="str">
        <v>Unknown</v>
      </c>
      <c r="O469" s="142" t="str">
        <v/>
      </c>
      <c r="P469" s="142" t="str">
        <v/>
      </c>
      <c r="Q469" s="142">
        <v>55</v>
      </c>
      <c r="R469" s="129" t="str">
        <v>Description – likely</v>
      </c>
      <c r="S469" s="143" t="str">
        <v/>
      </c>
      <c r="T469" s="144" t="str">
        <v>SRC-00</v>
      </c>
      <c r="U469" s="129" t="str">
        <v>S+ row 34</v>
      </c>
      <c r="V469" s="129" t="str">
        <v/>
      </c>
    </row>
    <row r="470" spans="1:22" x14ac:dyDescent="0.2">
      <c r="A470" s="144" t="str">
        <v>UL3</v>
      </c>
      <c r="B470" s="145">
        <v>6</v>
      </c>
      <c r="C470" s="129" t="str">
        <v>Arthroscopic Acromioplasty + Rotator Cuff Repair</v>
      </c>
      <c r="D470" s="129" t="str">
        <v>UL3 – Upper Limb: Moderate Soft Tissue/Muscle/Nerve Procedures</v>
      </c>
      <c r="E470" s="129" t="str">
        <v>03 - Upper Limb</v>
      </c>
      <c r="F470" s="129" t="str">
        <v>Solutions Plus</v>
      </c>
      <c r="G470" s="144" t="str">
        <v>CON-01</v>
      </c>
      <c r="H470" s="129" t="str">
        <v>To confirm</v>
      </c>
      <c r="I470" s="144" t="str">
        <v>No</v>
      </c>
      <c r="J470" s="144" t="str">
        <v>Base</v>
      </c>
      <c r="K470" s="144" t="str">
        <v/>
      </c>
      <c r="L470" s="146">
        <v>12.7</v>
      </c>
      <c r="M470" s="142">
        <v>695.75</v>
      </c>
      <c r="N470" s="144" t="str">
        <v>Unknown</v>
      </c>
      <c r="O470" s="142" t="str">
        <v/>
      </c>
      <c r="P470" s="142" t="str">
        <v/>
      </c>
      <c r="Q470" s="142">
        <v>54.78346456692914</v>
      </c>
      <c r="R470" s="129" t="str">
        <v>Description – exact</v>
      </c>
      <c r="S470" s="143" t="str">
        <v/>
      </c>
      <c r="T470" s="144" t="str">
        <v>SRC-00</v>
      </c>
      <c r="U470" s="129" t="str">
        <v>S+ row 51</v>
      </c>
      <c r="V470" s="129" t="str">
        <v/>
      </c>
    </row>
    <row r="471" spans="1:22" x14ac:dyDescent="0.2">
      <c r="A471" s="144" t="str">
        <v>UL3</v>
      </c>
      <c r="B471" s="145">
        <v>6</v>
      </c>
      <c r="C471" s="129" t="str">
        <v>Arthroscopic Shoulder Decompression</v>
      </c>
      <c r="D471" s="129" t="str">
        <v>UL3 – Upper Limb: Moderate Soft Tissue/Muscle/Nerve Procedures</v>
      </c>
      <c r="E471" s="129" t="str">
        <v>03 - Upper Limb</v>
      </c>
      <c r="F471" s="129" t="str">
        <v>Solutions Plus</v>
      </c>
      <c r="G471" s="144" t="str">
        <v>CON-01</v>
      </c>
      <c r="H471" s="129" t="str">
        <v>To confirm</v>
      </c>
      <c r="I471" s="144" t="str">
        <v>No</v>
      </c>
      <c r="J471" s="144" t="str">
        <v>Base</v>
      </c>
      <c r="K471" s="144" t="str">
        <v/>
      </c>
      <c r="L471" s="146">
        <v>9.8000000000000007</v>
      </c>
      <c r="M471" s="142">
        <v>539</v>
      </c>
      <c r="N471" s="144" t="str">
        <v>Unknown</v>
      </c>
      <c r="O471" s="142" t="str">
        <v/>
      </c>
      <c r="P471" s="142" t="str">
        <v/>
      </c>
      <c r="Q471" s="142">
        <v>54.999999999999993</v>
      </c>
      <c r="R471" s="129" t="str">
        <v>Description – likely</v>
      </c>
      <c r="S471" s="143" t="str">
        <v/>
      </c>
      <c r="T471" s="144" t="str">
        <v>SRC-00</v>
      </c>
      <c r="U471" s="129" t="str">
        <v>S+ row 54</v>
      </c>
      <c r="V471" s="129" t="str">
        <v/>
      </c>
    </row>
    <row r="472" spans="1:22" x14ac:dyDescent="0.2">
      <c r="A472" s="144" t="str">
        <v>UL3</v>
      </c>
      <c r="B472" s="145">
        <v>6</v>
      </c>
      <c r="C472" s="129" t="str">
        <v>Arthroscopic Shoulder Stabilization</v>
      </c>
      <c r="D472" s="129" t="str">
        <v>UL3 – Upper Limb: Moderate Soft Tissue/Muscle/Nerve Procedures</v>
      </c>
      <c r="E472" s="129" t="str">
        <v>03 - Upper Limb</v>
      </c>
      <c r="F472" s="129" t="str">
        <v>Solutions Plus</v>
      </c>
      <c r="G472" s="144" t="str">
        <v>CON-01</v>
      </c>
      <c r="H472" s="129" t="str">
        <v>To confirm</v>
      </c>
      <c r="I472" s="144" t="str">
        <v>No</v>
      </c>
      <c r="J472" s="144" t="str">
        <v>Base</v>
      </c>
      <c r="K472" s="144" t="str">
        <v/>
      </c>
      <c r="L472" s="146">
        <v>12.9</v>
      </c>
      <c r="M472" s="142">
        <v>706.75</v>
      </c>
      <c r="N472" s="144" t="str">
        <v>Unknown</v>
      </c>
      <c r="O472" s="142" t="str">
        <v/>
      </c>
      <c r="P472" s="142" t="str">
        <v/>
      </c>
      <c r="Q472" s="142">
        <v>54.786821705426355</v>
      </c>
      <c r="R472" s="129" t="str">
        <v>Description – likely</v>
      </c>
      <c r="S472" s="143" t="str">
        <v/>
      </c>
      <c r="T472" s="144" t="str">
        <v>SRC-00</v>
      </c>
      <c r="U472" s="129" t="str">
        <v>S+ row 55</v>
      </c>
      <c r="V472" s="129" t="str">
        <v/>
      </c>
    </row>
    <row r="473" spans="1:22" x14ac:dyDescent="0.2">
      <c r="A473" s="144" t="str">
        <v>UL1</v>
      </c>
      <c r="B473" s="145">
        <v>4</v>
      </c>
      <c r="C473" s="129" t="str">
        <v>Bilateral Carpal Tunnel</v>
      </c>
      <c r="D473" s="129" t="str">
        <v>UL1 – Upper Limb: Minor Procedures</v>
      </c>
      <c r="E473" s="129" t="str">
        <v>03 - Upper Limb</v>
      </c>
      <c r="F473" s="129" t="str">
        <v>Solutions Plus</v>
      </c>
      <c r="G473" s="144" t="str">
        <v>CON-01</v>
      </c>
      <c r="H473" s="129" t="str">
        <v>To confirm</v>
      </c>
      <c r="I473" s="144" t="str">
        <v>No</v>
      </c>
      <c r="J473" s="144" t="str">
        <v>Base</v>
      </c>
      <c r="K473" s="144" t="str">
        <v/>
      </c>
      <c r="L473" s="146">
        <v>8.4</v>
      </c>
      <c r="M473" s="142">
        <v>460.35</v>
      </c>
      <c r="N473" s="144" t="str">
        <v>Unknown</v>
      </c>
      <c r="O473" s="142" t="str">
        <v/>
      </c>
      <c r="P473" s="142" t="str">
        <v/>
      </c>
      <c r="Q473" s="142">
        <v>54.803571428571431</v>
      </c>
      <c r="R473" s="129" t="str">
        <v>Description – exact</v>
      </c>
      <c r="S473" s="143" t="str">
        <v/>
      </c>
      <c r="T473" s="144" t="str">
        <v>SRC-00</v>
      </c>
      <c r="U473" s="129" t="str">
        <v>S+ row 78</v>
      </c>
      <c r="V473" s="129" t="str">
        <v/>
      </c>
    </row>
    <row r="474" spans="1:22" x14ac:dyDescent="0.2">
      <c r="A474" s="144" t="str">
        <v>UL1</v>
      </c>
      <c r="B474" s="145">
        <v>4</v>
      </c>
      <c r="C474" s="129" t="str">
        <v>Carpal Tunnel</v>
      </c>
      <c r="D474" s="129" t="str">
        <v>UL1 – Upper Limb: Minor Procedures</v>
      </c>
      <c r="E474" s="129" t="str">
        <v>03 - Upper Limb</v>
      </c>
      <c r="F474" s="129" t="str">
        <v>Solutions Plus</v>
      </c>
      <c r="G474" s="144" t="str">
        <v>CON-01</v>
      </c>
      <c r="H474" s="129" t="str">
        <v>To confirm</v>
      </c>
      <c r="I474" s="144" t="str">
        <v>No</v>
      </c>
      <c r="J474" s="144" t="str">
        <v>Base</v>
      </c>
      <c r="K474" s="144" t="str">
        <v/>
      </c>
      <c r="L474" s="146">
        <v>6.8</v>
      </c>
      <c r="M474" s="142">
        <v>372.9</v>
      </c>
      <c r="N474" s="144" t="str">
        <v>Unknown</v>
      </c>
      <c r="O474" s="142" t="str">
        <v/>
      </c>
      <c r="P474" s="142" t="str">
        <v/>
      </c>
      <c r="Q474" s="142">
        <v>54.838235294117645</v>
      </c>
      <c r="R474" s="129" t="str">
        <v>Description – exact</v>
      </c>
      <c r="S474" s="143" t="str">
        <v/>
      </c>
      <c r="T474" s="144" t="str">
        <v>SRC-00</v>
      </c>
      <c r="U474" s="129" t="str">
        <v>S+ row 151</v>
      </c>
      <c r="V474" s="129" t="str">
        <v/>
      </c>
    </row>
    <row r="475" spans="1:22" x14ac:dyDescent="0.2">
      <c r="A475" s="144" t="str">
        <v>UL2</v>
      </c>
      <c r="B475" s="145">
        <v>5</v>
      </c>
      <c r="C475" s="129" t="str">
        <v>Corrective Osteotomy Right Distal Radius</v>
      </c>
      <c r="D475" s="129" t="str">
        <v>UL2 – Upper Limb: Simple but Invasive Procedures</v>
      </c>
      <c r="E475" s="129" t="str">
        <v>03 - Upper Limb</v>
      </c>
      <c r="F475" s="129" t="str">
        <v>Solutions Plus</v>
      </c>
      <c r="G475" s="144" t="str">
        <v>CON-01</v>
      </c>
      <c r="H475" s="129" t="str">
        <v>To confirm</v>
      </c>
      <c r="I475" s="144" t="str">
        <v>No</v>
      </c>
      <c r="J475" s="144" t="str">
        <v>Base</v>
      </c>
      <c r="K475" s="144" t="str">
        <v/>
      </c>
      <c r="L475" s="146">
        <v>24</v>
      </c>
      <c r="M475" s="142">
        <v>1320</v>
      </c>
      <c r="N475" s="144" t="str">
        <v>Unknown</v>
      </c>
      <c r="O475" s="142" t="str">
        <v/>
      </c>
      <c r="P475" s="142" t="str">
        <v/>
      </c>
      <c r="Q475" s="142">
        <v>55</v>
      </c>
      <c r="R475" s="129" t="str">
        <v>Description – exact</v>
      </c>
      <c r="S475" s="143" t="str">
        <v/>
      </c>
      <c r="T475" s="144" t="str">
        <v>SRC-00</v>
      </c>
      <c r="U475" s="129" t="str">
        <v>S+ row 218</v>
      </c>
      <c r="V475" s="129" t="str">
        <v/>
      </c>
    </row>
    <row r="476" spans="1:22" x14ac:dyDescent="0.2">
      <c r="A476" s="144" t="str">
        <v>UL1</v>
      </c>
      <c r="B476" s="145">
        <v>4</v>
      </c>
      <c r="C476" s="129" t="str">
        <v>De Quervains Release</v>
      </c>
      <c r="D476" s="129" t="str">
        <v>UL1 – Upper Limb: Minor Procedures</v>
      </c>
      <c r="E476" s="129" t="str">
        <v>03 - Upper Limb</v>
      </c>
      <c r="F476" s="129" t="str">
        <v>Solutions Plus</v>
      </c>
      <c r="G476" s="144" t="str">
        <v>CON-01</v>
      </c>
      <c r="H476" s="129" t="str">
        <v>To confirm</v>
      </c>
      <c r="I476" s="144" t="str">
        <v>No</v>
      </c>
      <c r="J476" s="144" t="str">
        <v>Base</v>
      </c>
      <c r="K476" s="144" t="str">
        <v/>
      </c>
      <c r="L476" s="146">
        <v>7.6</v>
      </c>
      <c r="M476" s="142">
        <v>411.95</v>
      </c>
      <c r="N476" s="144" t="str">
        <v>Unknown</v>
      </c>
      <c r="O476" s="142" t="str">
        <v/>
      </c>
      <c r="P476" s="142" t="str">
        <v/>
      </c>
      <c r="Q476" s="142">
        <v>54.203947368421055</v>
      </c>
      <c r="R476" s="129" t="str">
        <v>Description – likely</v>
      </c>
      <c r="S476" s="143" t="str">
        <v/>
      </c>
      <c r="T476" s="144" t="str">
        <v>SRC-00</v>
      </c>
      <c r="U476" s="129" t="str">
        <v>S+ row 233</v>
      </c>
      <c r="V476" s="129" t="str">
        <v/>
      </c>
    </row>
    <row r="477" spans="1:22" x14ac:dyDescent="0.2">
      <c r="A477" s="144" t="str">
        <v>UL2</v>
      </c>
      <c r="B477" s="145">
        <v>5</v>
      </c>
      <c r="C477" s="129" t="str">
        <v>Decompression Ulnar Nerve</v>
      </c>
      <c r="D477" s="129" t="str">
        <v>UL2 – Upper Limb: Simple but Invasive Procedures</v>
      </c>
      <c r="E477" s="129" t="str">
        <v>03 - Upper Limb</v>
      </c>
      <c r="F477" s="129" t="str">
        <v>Solutions Plus</v>
      </c>
      <c r="G477" s="144" t="str">
        <v>CON-01</v>
      </c>
      <c r="H477" s="129" t="str">
        <v>To confirm</v>
      </c>
      <c r="I477" s="144" t="str">
        <v>No</v>
      </c>
      <c r="J477" s="144" t="str">
        <v>Base</v>
      </c>
      <c r="K477" s="144" t="str">
        <v/>
      </c>
      <c r="L477" s="146">
        <v>8.5</v>
      </c>
      <c r="M477" s="142">
        <v>467.5</v>
      </c>
      <c r="N477" s="144" t="str">
        <v>Unknown</v>
      </c>
      <c r="O477" s="142" t="str">
        <v/>
      </c>
      <c r="P477" s="142" t="str">
        <v/>
      </c>
      <c r="Q477" s="142">
        <v>55</v>
      </c>
      <c r="R477" s="129" t="str">
        <v>Description – likely</v>
      </c>
      <c r="S477" s="143" t="str">
        <v/>
      </c>
      <c r="T477" s="144" t="str">
        <v>SRC-00</v>
      </c>
      <c r="U477" s="129" t="str">
        <v>S+ row 236</v>
      </c>
      <c r="V477" s="129" t="str">
        <v/>
      </c>
    </row>
    <row r="478" spans="1:22" x14ac:dyDescent="0.2">
      <c r="A478" s="144" t="str">
        <v>UL1</v>
      </c>
      <c r="B478" s="145">
        <v>4</v>
      </c>
      <c r="C478" s="129" t="str">
        <v>Dorsal Extensor Compartment Release</v>
      </c>
      <c r="D478" s="129" t="str">
        <v>UL1 – Upper Limb: Minor Procedures</v>
      </c>
      <c r="E478" s="129" t="str">
        <v>03 - Upper Limb</v>
      </c>
      <c r="F478" s="129" t="str">
        <v>Solutions Plus</v>
      </c>
      <c r="G478" s="144" t="str">
        <v>CON-01</v>
      </c>
      <c r="H478" s="129" t="str">
        <v>To confirm</v>
      </c>
      <c r="I478" s="144" t="str">
        <v>No</v>
      </c>
      <c r="J478" s="144" t="str">
        <v>Base</v>
      </c>
      <c r="K478" s="144" t="str">
        <v/>
      </c>
      <c r="L478" s="146">
        <v>6</v>
      </c>
      <c r="M478" s="142">
        <v>330</v>
      </c>
      <c r="N478" s="144" t="str">
        <v>Unknown</v>
      </c>
      <c r="O478" s="142" t="str">
        <v/>
      </c>
      <c r="P478" s="142" t="str">
        <v/>
      </c>
      <c r="Q478" s="142">
        <v>55</v>
      </c>
      <c r="R478" s="129" t="str">
        <v>Description – likely</v>
      </c>
      <c r="S478" s="143" t="str">
        <v/>
      </c>
      <c r="T478" s="144" t="str">
        <v>SRC-00</v>
      </c>
      <c r="U478" s="129" t="str">
        <v>S+ row 260</v>
      </c>
      <c r="V478" s="129" t="str">
        <v/>
      </c>
    </row>
    <row r="479" spans="1:22" x14ac:dyDescent="0.2">
      <c r="A479" s="144" t="str">
        <v>UL2</v>
      </c>
      <c r="B479" s="145">
        <v>5</v>
      </c>
      <c r="C479" s="129" t="str">
        <v>Dupuytrens</v>
      </c>
      <c r="D479" s="129" t="str">
        <v>UL2 – Upper Limb: Simple but Invasive Procedures</v>
      </c>
      <c r="E479" s="129" t="str">
        <v>03 - Upper Limb</v>
      </c>
      <c r="F479" s="129" t="str">
        <v>Solutions Plus</v>
      </c>
      <c r="G479" s="144" t="str">
        <v>CON-01</v>
      </c>
      <c r="H479" s="129" t="str">
        <v>To confirm</v>
      </c>
      <c r="I479" s="144" t="str">
        <v>No</v>
      </c>
      <c r="J479" s="144" t="str">
        <v>Base</v>
      </c>
      <c r="K479" s="144" t="str">
        <v/>
      </c>
      <c r="L479" s="146">
        <v>10.8</v>
      </c>
      <c r="M479" s="142">
        <v>595.65</v>
      </c>
      <c r="N479" s="144" t="str">
        <v>Unknown</v>
      </c>
      <c r="O479" s="142" t="str">
        <v/>
      </c>
      <c r="P479" s="142" t="str">
        <v/>
      </c>
      <c r="Q479" s="142">
        <v>55.152777777777771</v>
      </c>
      <c r="R479" s="129" t="str">
        <v>Description – likely</v>
      </c>
      <c r="S479" s="143" t="str">
        <v/>
      </c>
      <c r="T479" s="144" t="str">
        <v>SRC-00</v>
      </c>
      <c r="U479" s="129" t="str">
        <v>S+ row 262</v>
      </c>
      <c r="V479" s="129" t="str">
        <v/>
      </c>
    </row>
    <row r="480" spans="1:22" x14ac:dyDescent="0.2">
      <c r="A480" s="144" t="str">
        <v>UL2</v>
      </c>
      <c r="B480" s="145">
        <v>5</v>
      </c>
      <c r="C480" s="129" t="str">
        <v>Dupuytrens - Carpal Tunnel</v>
      </c>
      <c r="D480" s="129" t="str">
        <v>UL2 – Upper Limb: Simple but Invasive Procedures</v>
      </c>
      <c r="E480" s="129" t="str">
        <v>03 - Upper Limb</v>
      </c>
      <c r="F480" s="129" t="str">
        <v>Solutions Plus</v>
      </c>
      <c r="G480" s="144" t="str">
        <v>CON-01</v>
      </c>
      <c r="H480" s="129" t="str">
        <v>To confirm</v>
      </c>
      <c r="I480" s="144" t="str">
        <v>No</v>
      </c>
      <c r="J480" s="144" t="str">
        <v>Base</v>
      </c>
      <c r="K480" s="144" t="str">
        <v/>
      </c>
      <c r="L480" s="146">
        <v>0</v>
      </c>
      <c r="M480" s="142">
        <v>0</v>
      </c>
      <c r="N480" s="144" t="str">
        <v>Unknown</v>
      </c>
      <c r="O480" s="142" t="str">
        <v/>
      </c>
      <c r="P480" s="142" t="str">
        <v/>
      </c>
      <c r="Q480" s="142" t="str">
        <v/>
      </c>
      <c r="R480" s="129" t="str">
        <v>Description – likely</v>
      </c>
      <c r="S480" s="143" t="str">
        <v/>
      </c>
      <c r="T480" s="144" t="str">
        <v>SRC-00</v>
      </c>
      <c r="U480" s="129" t="str">
        <v>S+ row 263</v>
      </c>
      <c r="V480" s="129" t="str">
        <v/>
      </c>
    </row>
    <row r="481" spans="1:22" x14ac:dyDescent="0.2">
      <c r="A481" s="144" t="str">
        <v>UL2</v>
      </c>
      <c r="B481" s="145">
        <v>5</v>
      </c>
      <c r="C481" s="129" t="str">
        <v>Dupuytrens Contracture</v>
      </c>
      <c r="D481" s="129" t="str">
        <v>UL2 – Upper Limb: Simple but Invasive Procedures</v>
      </c>
      <c r="E481" s="129" t="str">
        <v>03 - Upper Limb</v>
      </c>
      <c r="F481" s="129" t="str">
        <v>Solutions Plus</v>
      </c>
      <c r="G481" s="144" t="str">
        <v>CON-01</v>
      </c>
      <c r="H481" s="129" t="str">
        <v>To confirm</v>
      </c>
      <c r="I481" s="144" t="str">
        <v>No</v>
      </c>
      <c r="J481" s="144" t="str">
        <v>Base</v>
      </c>
      <c r="K481" s="144" t="str">
        <v/>
      </c>
      <c r="L481" s="146">
        <v>10.9</v>
      </c>
      <c r="M481" s="142">
        <v>600.6</v>
      </c>
      <c r="N481" s="144" t="str">
        <v>Unknown</v>
      </c>
      <c r="O481" s="142" t="str">
        <v/>
      </c>
      <c r="P481" s="142" t="str">
        <v/>
      </c>
      <c r="Q481" s="142">
        <v>55.100917431192663</v>
      </c>
      <c r="R481" s="129" t="str">
        <v>Description – likely</v>
      </c>
      <c r="S481" s="143" t="str">
        <v/>
      </c>
      <c r="T481" s="144" t="str">
        <v>SRC-00</v>
      </c>
      <c r="U481" s="129" t="str">
        <v>S+ row 264</v>
      </c>
      <c r="V481" s="129" t="str">
        <v/>
      </c>
    </row>
    <row r="482" spans="1:22" x14ac:dyDescent="0.2">
      <c r="A482" s="144" t="str">
        <v>UL2</v>
      </c>
      <c r="B482" s="145">
        <v>5</v>
      </c>
      <c r="C482" s="129" t="str">
        <v>Dupuytrens Release</v>
      </c>
      <c r="D482" s="129" t="str">
        <v>UL2 – Upper Limb: Simple but Invasive Procedures</v>
      </c>
      <c r="E482" s="129" t="str">
        <v>03 - Upper Limb</v>
      </c>
      <c r="F482" s="129" t="str">
        <v>Solutions Plus</v>
      </c>
      <c r="G482" s="144" t="str">
        <v>CON-01</v>
      </c>
      <c r="H482" s="129" t="str">
        <v>To confirm</v>
      </c>
      <c r="I482" s="144" t="str">
        <v>No</v>
      </c>
      <c r="J482" s="144" t="str">
        <v>Base</v>
      </c>
      <c r="K482" s="144" t="str">
        <v/>
      </c>
      <c r="L482" s="146">
        <v>12.5</v>
      </c>
      <c r="M482" s="142">
        <v>685.85</v>
      </c>
      <c r="N482" s="144" t="str">
        <v>Unknown</v>
      </c>
      <c r="O482" s="142" t="str">
        <v/>
      </c>
      <c r="P482" s="142" t="str">
        <v/>
      </c>
      <c r="Q482" s="142">
        <v>54.868000000000002</v>
      </c>
      <c r="R482" s="129" t="str">
        <v>Description – likely</v>
      </c>
      <c r="S482" s="143" t="str">
        <v/>
      </c>
      <c r="T482" s="144" t="str">
        <v>SRC-00</v>
      </c>
      <c r="U482" s="129" t="str">
        <v>S+ row 265</v>
      </c>
      <c r="V482" s="129" t="str">
        <v/>
      </c>
    </row>
    <row r="483" spans="1:22" x14ac:dyDescent="0.2">
      <c r="A483" s="144" t="str">
        <v>UL2</v>
      </c>
      <c r="B483" s="145">
        <v>5</v>
      </c>
      <c r="C483" s="129" t="str">
        <v>Dupuytrens Release Of Right Ring Finger - CDHB</v>
      </c>
      <c r="D483" s="129" t="str">
        <v>UL2 – Upper Limb: Simple but Invasive Procedures</v>
      </c>
      <c r="E483" s="129" t="str">
        <v>03 - Upper Limb</v>
      </c>
      <c r="F483" s="129" t="str">
        <v>Solutions Plus</v>
      </c>
      <c r="G483" s="144" t="str">
        <v>CON-01</v>
      </c>
      <c r="H483" s="129" t="str">
        <v>To confirm</v>
      </c>
      <c r="I483" s="144" t="str">
        <v>No</v>
      </c>
      <c r="J483" s="144" t="str">
        <v>Base</v>
      </c>
      <c r="K483" s="144" t="str">
        <v/>
      </c>
      <c r="L483" s="146">
        <v>12.5</v>
      </c>
      <c r="M483" s="142">
        <v>687.5</v>
      </c>
      <c r="N483" s="144" t="str">
        <v>Unknown</v>
      </c>
      <c r="O483" s="142" t="str">
        <v/>
      </c>
      <c r="P483" s="142" t="str">
        <v/>
      </c>
      <c r="Q483" s="142">
        <v>55</v>
      </c>
      <c r="R483" s="129" t="str">
        <v>Description – likely</v>
      </c>
      <c r="S483" s="143" t="str">
        <v/>
      </c>
      <c r="T483" s="144" t="str">
        <v>SRC-00</v>
      </c>
      <c r="U483" s="129" t="str">
        <v>S+ row 266</v>
      </c>
      <c r="V483" s="129" t="str">
        <v/>
      </c>
    </row>
    <row r="484" spans="1:22" x14ac:dyDescent="0.2">
      <c r="A484" s="144" t="str">
        <v>UL1</v>
      </c>
      <c r="B484" s="145">
        <v>4</v>
      </c>
      <c r="C484" s="129" t="str">
        <v>E/O Ganglion</v>
      </c>
      <c r="D484" s="129" t="str">
        <v>UL1 – Upper Limb: Minor Procedures</v>
      </c>
      <c r="E484" s="129" t="str">
        <v>03 - Upper Limb</v>
      </c>
      <c r="F484" s="129" t="str">
        <v>Solutions Plus</v>
      </c>
      <c r="G484" s="144" t="str">
        <v>CON-01</v>
      </c>
      <c r="H484" s="129" t="str">
        <v>To confirm</v>
      </c>
      <c r="I484" s="144" t="str">
        <v>No</v>
      </c>
      <c r="J484" s="144" t="str">
        <v>Base</v>
      </c>
      <c r="K484" s="144" t="str">
        <v/>
      </c>
      <c r="L484" s="146">
        <v>0</v>
      </c>
      <c r="M484" s="142">
        <v>0</v>
      </c>
      <c r="N484" s="144" t="str">
        <v>Unknown</v>
      </c>
      <c r="O484" s="142" t="str">
        <v/>
      </c>
      <c r="P484" s="142" t="str">
        <v/>
      </c>
      <c r="Q484" s="142" t="str">
        <v/>
      </c>
      <c r="R484" s="129" t="str">
        <v>Description – likely</v>
      </c>
      <c r="S484" s="143" t="str">
        <v/>
      </c>
      <c r="T484" s="144" t="str">
        <v>SRC-00</v>
      </c>
      <c r="U484" s="129" t="str">
        <v>S+ row 268</v>
      </c>
      <c r="V484" s="129" t="str">
        <v/>
      </c>
    </row>
    <row r="485" spans="1:22" x14ac:dyDescent="0.2">
      <c r="A485" s="144" t="str">
        <v>UL1</v>
      </c>
      <c r="B485" s="145">
        <v>4</v>
      </c>
      <c r="C485" s="129" t="str">
        <v>Epicondylar Release</v>
      </c>
      <c r="D485" s="129" t="str">
        <v>UL1 – Upper Limb: Minor Procedures</v>
      </c>
      <c r="E485" s="129" t="str">
        <v>03 - Upper Limb</v>
      </c>
      <c r="F485" s="129" t="str">
        <v>Solutions Plus</v>
      </c>
      <c r="G485" s="144" t="str">
        <v>CON-01</v>
      </c>
      <c r="H485" s="129" t="str">
        <v>To confirm</v>
      </c>
      <c r="I485" s="144" t="str">
        <v>No</v>
      </c>
      <c r="J485" s="144" t="str">
        <v>Base</v>
      </c>
      <c r="K485" s="144" t="str">
        <v/>
      </c>
      <c r="L485" s="146">
        <v>6.5</v>
      </c>
      <c r="M485" s="142">
        <v>355.3</v>
      </c>
      <c r="N485" s="144" t="str">
        <v>Unknown</v>
      </c>
      <c r="O485" s="142" t="str">
        <v/>
      </c>
      <c r="P485" s="142" t="str">
        <v/>
      </c>
      <c r="Q485" s="142">
        <v>54.661538461538463</v>
      </c>
      <c r="R485" s="129" t="str">
        <v>Description – likely</v>
      </c>
      <c r="S485" s="143" t="str">
        <v/>
      </c>
      <c r="T485" s="144" t="str">
        <v>SRC-00</v>
      </c>
      <c r="U485" s="129" t="str">
        <v>S+ row 279</v>
      </c>
      <c r="V485" s="129" t="str">
        <v/>
      </c>
    </row>
    <row r="486" spans="1:22" x14ac:dyDescent="0.2">
      <c r="A486" s="144" t="str">
        <v>UL1</v>
      </c>
      <c r="B486" s="145">
        <v>4</v>
      </c>
      <c r="C486" s="129" t="str">
        <v>Excision Biopsy Osteochondrona Right Wrist</v>
      </c>
      <c r="D486" s="129" t="str">
        <v>UL1 – Upper Limb: Minor Procedures</v>
      </c>
      <c r="E486" s="129" t="str">
        <v>03 - Upper Limb</v>
      </c>
      <c r="F486" s="129" t="str">
        <v>Solutions Plus</v>
      </c>
      <c r="G486" s="144" t="str">
        <v>CON-01</v>
      </c>
      <c r="H486" s="129" t="str">
        <v>To confirm</v>
      </c>
      <c r="I486" s="144" t="str">
        <v>No</v>
      </c>
      <c r="J486" s="144" t="str">
        <v>Base</v>
      </c>
      <c r="K486" s="144" t="str">
        <v/>
      </c>
      <c r="L486" s="146">
        <v>8</v>
      </c>
      <c r="M486" s="142">
        <v>440</v>
      </c>
      <c r="N486" s="144" t="str">
        <v>Unknown</v>
      </c>
      <c r="O486" s="142" t="str">
        <v/>
      </c>
      <c r="P486" s="142" t="str">
        <v/>
      </c>
      <c r="Q486" s="142">
        <v>55</v>
      </c>
      <c r="R486" s="129" t="str">
        <v>Description – likely</v>
      </c>
      <c r="S486" s="143" t="str">
        <v/>
      </c>
      <c r="T486" s="144" t="str">
        <v>SRC-00</v>
      </c>
      <c r="U486" s="129" t="str">
        <v>S+ row 306</v>
      </c>
      <c r="V486" s="129" t="str">
        <v/>
      </c>
    </row>
    <row r="487" spans="1:22" x14ac:dyDescent="0.2">
      <c r="A487" s="144" t="str">
        <v>UL1</v>
      </c>
      <c r="B487" s="145">
        <v>4</v>
      </c>
      <c r="C487" s="129" t="str">
        <v>Excision Ganglia Right Thumb &amp; Right Index Finger</v>
      </c>
      <c r="D487" s="129" t="str">
        <v>UL1 – Upper Limb: Minor Procedures</v>
      </c>
      <c r="E487" s="129" t="str">
        <v>03 - Upper Limb</v>
      </c>
      <c r="F487" s="129" t="str">
        <v>Solutions Plus</v>
      </c>
      <c r="G487" s="144" t="str">
        <v>CON-01</v>
      </c>
      <c r="H487" s="129" t="str">
        <v>To confirm</v>
      </c>
      <c r="I487" s="144" t="str">
        <v>No</v>
      </c>
      <c r="J487" s="144" t="str">
        <v>Base</v>
      </c>
      <c r="K487" s="144" t="str">
        <v/>
      </c>
      <c r="L487" s="146">
        <v>14</v>
      </c>
      <c r="M487" s="142">
        <v>770</v>
      </c>
      <c r="N487" s="144" t="str">
        <v>Unknown</v>
      </c>
      <c r="O487" s="142" t="str">
        <v/>
      </c>
      <c r="P487" s="142" t="str">
        <v/>
      </c>
      <c r="Q487" s="142">
        <v>55</v>
      </c>
      <c r="R487" s="129" t="str">
        <v>Description – likely</v>
      </c>
      <c r="S487" s="143" t="str">
        <v/>
      </c>
      <c r="T487" s="144" t="str">
        <v>SRC-00</v>
      </c>
      <c r="U487" s="129" t="str">
        <v>S+ row 309</v>
      </c>
      <c r="V487" s="129" t="str">
        <v/>
      </c>
    </row>
    <row r="488" spans="1:22" x14ac:dyDescent="0.2">
      <c r="A488" s="144" t="str">
        <v>UL1</v>
      </c>
      <c r="B488" s="145">
        <v>4</v>
      </c>
      <c r="C488" s="129" t="str">
        <v>Excision Ganglion</v>
      </c>
      <c r="D488" s="129" t="str">
        <v>UL1 – Upper Limb: Minor Procedures</v>
      </c>
      <c r="E488" s="129" t="str">
        <v>03 - Upper Limb</v>
      </c>
      <c r="F488" s="129" t="str">
        <v>Solutions Plus</v>
      </c>
      <c r="G488" s="144" t="str">
        <v>CON-01</v>
      </c>
      <c r="H488" s="129" t="str">
        <v>To confirm</v>
      </c>
      <c r="I488" s="144" t="str">
        <v>No</v>
      </c>
      <c r="J488" s="144" t="str">
        <v>Base</v>
      </c>
      <c r="K488" s="144" t="str">
        <v/>
      </c>
      <c r="L488" s="146">
        <v>7.9</v>
      </c>
      <c r="M488" s="142">
        <v>434.5</v>
      </c>
      <c r="N488" s="144" t="str">
        <v>Unknown</v>
      </c>
      <c r="O488" s="142" t="str">
        <v/>
      </c>
      <c r="P488" s="142" t="str">
        <v/>
      </c>
      <c r="Q488" s="142">
        <v>55</v>
      </c>
      <c r="R488" s="129" t="str">
        <v>Description – likely</v>
      </c>
      <c r="S488" s="143" t="str">
        <v/>
      </c>
      <c r="T488" s="144" t="str">
        <v>SRC-00</v>
      </c>
      <c r="U488" s="129" t="str">
        <v>S+ row 310</v>
      </c>
      <c r="V488" s="129" t="str">
        <v/>
      </c>
    </row>
    <row r="489" spans="1:22" x14ac:dyDescent="0.2">
      <c r="A489" s="144" t="str">
        <v>UL1</v>
      </c>
      <c r="B489" s="145">
        <v>4</v>
      </c>
      <c r="C489" s="129" t="str">
        <v>Excision Left Dorsal Wrist Ganglion</v>
      </c>
      <c r="D489" s="129" t="str">
        <v>UL1 – Upper Limb: Minor Procedures</v>
      </c>
      <c r="E489" s="129" t="str">
        <v>03 - Upper Limb</v>
      </c>
      <c r="F489" s="129" t="str">
        <v>Solutions Plus</v>
      </c>
      <c r="G489" s="144" t="str">
        <v>CON-01</v>
      </c>
      <c r="H489" s="129" t="str">
        <v>To confirm</v>
      </c>
      <c r="I489" s="144" t="str">
        <v>No</v>
      </c>
      <c r="J489" s="144" t="str">
        <v>Base</v>
      </c>
      <c r="K489" s="144" t="str">
        <v/>
      </c>
      <c r="L489" s="146">
        <v>8.1</v>
      </c>
      <c r="M489" s="142">
        <v>443.3</v>
      </c>
      <c r="N489" s="144" t="str">
        <v>Unknown</v>
      </c>
      <c r="O489" s="142" t="str">
        <v/>
      </c>
      <c r="P489" s="142" t="str">
        <v/>
      </c>
      <c r="Q489" s="142">
        <v>54.728395061728399</v>
      </c>
      <c r="R489" s="129" t="str">
        <v>Description – likely</v>
      </c>
      <c r="S489" s="143" t="str">
        <v/>
      </c>
      <c r="T489" s="144" t="str">
        <v>SRC-00</v>
      </c>
      <c r="U489" s="129" t="str">
        <v>S+ row 312</v>
      </c>
      <c r="V489" s="129" t="str">
        <v/>
      </c>
    </row>
    <row r="490" spans="1:22" x14ac:dyDescent="0.2">
      <c r="A490" s="144" t="str">
        <v>UL2</v>
      </c>
      <c r="B490" s="145">
        <v>5</v>
      </c>
      <c r="C490" s="129" t="str">
        <v>Fasciectomy</v>
      </c>
      <c r="D490" s="129" t="str">
        <v>UL2 – Upper Limb: Simple but Invasive Procedures</v>
      </c>
      <c r="E490" s="129" t="str">
        <v>03 - Upper Limb</v>
      </c>
      <c r="F490" s="129" t="str">
        <v>Solutions Plus</v>
      </c>
      <c r="G490" s="144" t="str">
        <v>CON-01</v>
      </c>
      <c r="H490" s="129" t="str">
        <v>To confirm</v>
      </c>
      <c r="I490" s="144" t="str">
        <v>No</v>
      </c>
      <c r="J490" s="144" t="str">
        <v>Base</v>
      </c>
      <c r="K490" s="144" t="str">
        <v/>
      </c>
      <c r="L490" s="146">
        <v>9</v>
      </c>
      <c r="M490" s="142">
        <v>495</v>
      </c>
      <c r="N490" s="144" t="str">
        <v>Unknown</v>
      </c>
      <c r="O490" s="142" t="str">
        <v/>
      </c>
      <c r="P490" s="142" t="str">
        <v/>
      </c>
      <c r="Q490" s="142">
        <v>55</v>
      </c>
      <c r="R490" s="129" t="str">
        <v>Description – likely</v>
      </c>
      <c r="S490" s="143" t="str">
        <v/>
      </c>
      <c r="T490" s="144" t="str">
        <v>SRC-00</v>
      </c>
      <c r="U490" s="129" t="str">
        <v>S+ row 360</v>
      </c>
      <c r="V490" s="129" t="str">
        <v/>
      </c>
    </row>
    <row r="491" spans="1:22" x14ac:dyDescent="0.2">
      <c r="A491" s="144" t="str">
        <v>UL2</v>
      </c>
      <c r="B491" s="145">
        <v>5</v>
      </c>
      <c r="C491" s="129" t="str">
        <v>Left Carpal And Cubital Tunnel Release</v>
      </c>
      <c r="D491" s="129" t="str">
        <v>UL2 – Upper Limb: Simple but Invasive Procedures</v>
      </c>
      <c r="E491" s="129" t="str">
        <v>03 - Upper Limb</v>
      </c>
      <c r="F491" s="129" t="str">
        <v>Solutions Plus</v>
      </c>
      <c r="G491" s="144" t="str">
        <v>CON-01</v>
      </c>
      <c r="H491" s="129" t="str">
        <v>To confirm</v>
      </c>
      <c r="I491" s="144" t="str">
        <v>No</v>
      </c>
      <c r="J491" s="144" t="str">
        <v>Base</v>
      </c>
      <c r="K491" s="144" t="str">
        <v/>
      </c>
      <c r="L491" s="146">
        <v>10</v>
      </c>
      <c r="M491" s="142">
        <v>550</v>
      </c>
      <c r="N491" s="144" t="str">
        <v>Unknown</v>
      </c>
      <c r="O491" s="142" t="str">
        <v/>
      </c>
      <c r="P491" s="142" t="str">
        <v/>
      </c>
      <c r="Q491" s="142">
        <v>55</v>
      </c>
      <c r="R491" s="129" t="str">
        <v>Description – likely</v>
      </c>
      <c r="S491" s="143" t="str">
        <v/>
      </c>
      <c r="T491" s="144" t="str">
        <v>SRC-00</v>
      </c>
      <c r="U491" s="129" t="str">
        <v>S+ row 532</v>
      </c>
      <c r="V491" s="129" t="str">
        <v/>
      </c>
    </row>
    <row r="492" spans="1:22" x14ac:dyDescent="0.2">
      <c r="A492" s="144" t="str">
        <v>UL1</v>
      </c>
      <c r="B492" s="145">
        <v>4</v>
      </c>
      <c r="C492" s="129" t="str">
        <v>Left Carpal Tunnel Decompression</v>
      </c>
      <c r="D492" s="129" t="str">
        <v>UL1 – Upper Limb: Minor Procedures</v>
      </c>
      <c r="E492" s="129" t="str">
        <v>03 - Upper Limb</v>
      </c>
      <c r="F492" s="129" t="str">
        <v>Solutions Plus</v>
      </c>
      <c r="G492" s="144" t="str">
        <v>CON-01</v>
      </c>
      <c r="H492" s="129" t="str">
        <v>To confirm</v>
      </c>
      <c r="I492" s="144" t="str">
        <v>No</v>
      </c>
      <c r="J492" s="144" t="str">
        <v>Base</v>
      </c>
      <c r="K492" s="144" t="str">
        <v/>
      </c>
      <c r="L492" s="146">
        <v>6.7</v>
      </c>
      <c r="M492" s="142">
        <v>366.85</v>
      </c>
      <c r="N492" s="144" t="str">
        <v>Unknown</v>
      </c>
      <c r="O492" s="142" t="str">
        <v/>
      </c>
      <c r="P492" s="142" t="str">
        <v/>
      </c>
      <c r="Q492" s="142">
        <v>54.753731343283583</v>
      </c>
      <c r="R492" s="129" t="str">
        <v>Description – exact</v>
      </c>
      <c r="S492" s="143" t="str">
        <v/>
      </c>
      <c r="T492" s="144" t="str">
        <v>SRC-00</v>
      </c>
      <c r="U492" s="129" t="str">
        <v>S+ row 533</v>
      </c>
      <c r="V492" s="129" t="str">
        <v/>
      </c>
    </row>
    <row r="493" spans="1:22" x14ac:dyDescent="0.2">
      <c r="A493" s="144" t="str">
        <v>UL1</v>
      </c>
      <c r="B493" s="145">
        <v>4</v>
      </c>
      <c r="C493" s="129" t="str">
        <v>Left Carpal Tunnel Release</v>
      </c>
      <c r="D493" s="129" t="str">
        <v>UL1 – Upper Limb: Minor Procedures</v>
      </c>
      <c r="E493" s="129" t="str">
        <v>03 - Upper Limb</v>
      </c>
      <c r="F493" s="129" t="str">
        <v>Solutions Plus</v>
      </c>
      <c r="G493" s="144" t="str">
        <v>CON-01</v>
      </c>
      <c r="H493" s="129" t="str">
        <v>To confirm</v>
      </c>
      <c r="I493" s="144" t="str">
        <v>No</v>
      </c>
      <c r="J493" s="144" t="str">
        <v>Base</v>
      </c>
      <c r="K493" s="144" t="str">
        <v/>
      </c>
      <c r="L493" s="146">
        <v>7</v>
      </c>
      <c r="M493" s="142">
        <v>385</v>
      </c>
      <c r="N493" s="144" t="str">
        <v>Unknown</v>
      </c>
      <c r="O493" s="142" t="str">
        <v/>
      </c>
      <c r="P493" s="142" t="str">
        <v/>
      </c>
      <c r="Q493" s="142">
        <v>55</v>
      </c>
      <c r="R493" s="129" t="str">
        <v>Description – exact</v>
      </c>
      <c r="S493" s="143" t="str">
        <v/>
      </c>
      <c r="T493" s="144" t="str">
        <v>SRC-00</v>
      </c>
      <c r="U493" s="129" t="str">
        <v>S+ row 534</v>
      </c>
      <c r="V493" s="129" t="str">
        <v/>
      </c>
    </row>
    <row r="494" spans="1:22" x14ac:dyDescent="0.2">
      <c r="A494" s="144" t="str">
        <v>UL2</v>
      </c>
      <c r="B494" s="145">
        <v>5</v>
      </c>
      <c r="C494" s="129" t="str">
        <v>Left Clavicle Removal Plate And Screws</v>
      </c>
      <c r="D494" s="129" t="str">
        <v>UL2 – Upper Limb: Simple but Invasive Procedures</v>
      </c>
      <c r="E494" s="129" t="str">
        <v>03 - Upper Limb</v>
      </c>
      <c r="F494" s="129" t="str">
        <v>Solutions Plus</v>
      </c>
      <c r="G494" s="144" t="str">
        <v>CON-01</v>
      </c>
      <c r="H494" s="129" t="str">
        <v>To confirm</v>
      </c>
      <c r="I494" s="144" t="str">
        <v>No</v>
      </c>
      <c r="J494" s="144" t="str">
        <v>Base</v>
      </c>
      <c r="K494" s="144" t="str">
        <v/>
      </c>
      <c r="L494" s="146">
        <v>10</v>
      </c>
      <c r="M494" s="142">
        <v>550</v>
      </c>
      <c r="N494" s="144" t="str">
        <v>Unknown</v>
      </c>
      <c r="O494" s="142" t="str">
        <v/>
      </c>
      <c r="P494" s="142" t="str">
        <v/>
      </c>
      <c r="Q494" s="142">
        <v>55</v>
      </c>
      <c r="R494" s="129" t="str">
        <v>Description – likely</v>
      </c>
      <c r="S494" s="143" t="str">
        <v/>
      </c>
      <c r="T494" s="144" t="str">
        <v>SRC-00</v>
      </c>
      <c r="U494" s="129" t="str">
        <v>S+ row 548</v>
      </c>
      <c r="V494" s="129" t="str">
        <v/>
      </c>
    </row>
    <row r="495" spans="1:22" x14ac:dyDescent="0.2">
      <c r="A495" s="144" t="str">
        <v>UL1</v>
      </c>
      <c r="B495" s="145">
        <v>4</v>
      </c>
      <c r="C495" s="129" t="str">
        <v>Left De Quervains Release +/- Retinacular Flap + Ex</v>
      </c>
      <c r="D495" s="129" t="str">
        <v>UL1 – Upper Limb: Minor Procedures</v>
      </c>
      <c r="E495" s="129" t="str">
        <v>03 - Upper Limb</v>
      </c>
      <c r="F495" s="129" t="str">
        <v>Solutions Plus</v>
      </c>
      <c r="G495" s="144" t="str">
        <v>CON-01</v>
      </c>
      <c r="H495" s="129" t="str">
        <v>To confirm</v>
      </c>
      <c r="I495" s="144" t="str">
        <v>No</v>
      </c>
      <c r="J495" s="144" t="str">
        <v>Base</v>
      </c>
      <c r="K495" s="144" t="str">
        <v/>
      </c>
      <c r="L495" s="146">
        <v>11</v>
      </c>
      <c r="M495" s="142">
        <v>605</v>
      </c>
      <c r="N495" s="144" t="str">
        <v>Unknown</v>
      </c>
      <c r="O495" s="142" t="str">
        <v/>
      </c>
      <c r="P495" s="142" t="str">
        <v/>
      </c>
      <c r="Q495" s="142">
        <v>55</v>
      </c>
      <c r="R495" s="129" t="str">
        <v>Description – likely</v>
      </c>
      <c r="S495" s="143" t="str">
        <v/>
      </c>
      <c r="T495" s="144" t="str">
        <v>SRC-00</v>
      </c>
      <c r="U495" s="129" t="str">
        <v>S+ row 552</v>
      </c>
      <c r="V495" s="129" t="str">
        <v/>
      </c>
    </row>
    <row r="496" spans="1:22" x14ac:dyDescent="0.2">
      <c r="A496" s="144" t="str">
        <v>UL2</v>
      </c>
      <c r="B496" s="145">
        <v>5</v>
      </c>
      <c r="C496" s="129" t="str">
        <v>Left Little And Ring Finger Dupuytren's Release</v>
      </c>
      <c r="D496" s="129" t="str">
        <v>UL2 – Upper Limb: Simple but Invasive Procedures</v>
      </c>
      <c r="E496" s="129" t="str">
        <v>03 - Upper Limb</v>
      </c>
      <c r="F496" s="129" t="str">
        <v>Solutions Plus</v>
      </c>
      <c r="G496" s="144" t="str">
        <v>CON-01</v>
      </c>
      <c r="H496" s="129" t="str">
        <v>To confirm</v>
      </c>
      <c r="I496" s="144" t="str">
        <v>No</v>
      </c>
      <c r="J496" s="144" t="str">
        <v>Base</v>
      </c>
      <c r="K496" s="144" t="str">
        <v/>
      </c>
      <c r="L496" s="146">
        <v>11</v>
      </c>
      <c r="M496" s="142">
        <v>605</v>
      </c>
      <c r="N496" s="144" t="str">
        <v>Unknown</v>
      </c>
      <c r="O496" s="142" t="str">
        <v/>
      </c>
      <c r="P496" s="142" t="str">
        <v/>
      </c>
      <c r="Q496" s="142">
        <v>55</v>
      </c>
      <c r="R496" s="129" t="str">
        <v>Description – likely</v>
      </c>
      <c r="S496" s="143" t="str">
        <v/>
      </c>
      <c r="T496" s="144" t="str">
        <v>SRC-00</v>
      </c>
      <c r="U496" s="129" t="str">
        <v>S+ row 581</v>
      </c>
      <c r="V496" s="129" t="str">
        <v/>
      </c>
    </row>
    <row r="497" spans="1:22" x14ac:dyDescent="0.2">
      <c r="A497" s="144" t="str">
        <v>UL1</v>
      </c>
      <c r="B497" s="145">
        <v>4</v>
      </c>
      <c r="C497" s="129" t="str">
        <v>Left Little Finger Scar Revision</v>
      </c>
      <c r="D497" s="129" t="str">
        <v>UL1 – Upper Limb: Minor Procedures</v>
      </c>
      <c r="E497" s="129" t="str">
        <v>03 - Upper Limb</v>
      </c>
      <c r="F497" s="129" t="str">
        <v>Solutions Plus</v>
      </c>
      <c r="G497" s="144" t="str">
        <v>CON-01</v>
      </c>
      <c r="H497" s="129" t="str">
        <v>To confirm</v>
      </c>
      <c r="I497" s="144" t="str">
        <v>No</v>
      </c>
      <c r="J497" s="144" t="str">
        <v>Base</v>
      </c>
      <c r="K497" s="144" t="str">
        <v/>
      </c>
      <c r="L497" s="146">
        <v>10</v>
      </c>
      <c r="M497" s="142">
        <v>550</v>
      </c>
      <c r="N497" s="144" t="str">
        <v>Unknown</v>
      </c>
      <c r="O497" s="142" t="str">
        <v/>
      </c>
      <c r="P497" s="142" t="str">
        <v/>
      </c>
      <c r="Q497" s="142">
        <v>55</v>
      </c>
      <c r="R497" s="129" t="str">
        <v>Description – likely</v>
      </c>
      <c r="S497" s="143" t="str">
        <v/>
      </c>
      <c r="T497" s="144" t="str">
        <v>SRC-00</v>
      </c>
      <c r="U497" s="129" t="str">
        <v>S+ row 582</v>
      </c>
      <c r="V497" s="129" t="str">
        <v/>
      </c>
    </row>
    <row r="498" spans="1:22" x14ac:dyDescent="0.2">
      <c r="A498" s="144" t="str">
        <v>UL1</v>
      </c>
      <c r="B498" s="145">
        <v>4</v>
      </c>
      <c r="C498" s="129" t="str">
        <v>Left Release Of Carpal Tunnel + Right Ring And Mid</v>
      </c>
      <c r="D498" s="129" t="str">
        <v>UL1 – Upper Limb: Minor Procedures</v>
      </c>
      <c r="E498" s="129" t="str">
        <v>03 - Upper Limb</v>
      </c>
      <c r="F498" s="129" t="str">
        <v>Solutions Plus</v>
      </c>
      <c r="G498" s="144" t="str">
        <v>CON-01</v>
      </c>
      <c r="H498" s="129" t="str">
        <v>To confirm</v>
      </c>
      <c r="I498" s="144" t="str">
        <v>No</v>
      </c>
      <c r="J498" s="144" t="str">
        <v>Base</v>
      </c>
      <c r="K498" s="144" t="str">
        <v/>
      </c>
      <c r="L498" s="146">
        <v>0</v>
      </c>
      <c r="M498" s="142">
        <v>0</v>
      </c>
      <c r="N498" s="144" t="str">
        <v>Unknown</v>
      </c>
      <c r="O498" s="142" t="str">
        <v/>
      </c>
      <c r="P498" s="142" t="str">
        <v/>
      </c>
      <c r="Q498" s="142" t="str">
        <v/>
      </c>
      <c r="R498" s="129" t="str">
        <v>Description – exact</v>
      </c>
      <c r="S498" s="143" t="str">
        <v/>
      </c>
      <c r="T498" s="144" t="str">
        <v>SRC-00</v>
      </c>
      <c r="U498" s="129" t="str">
        <v>S+ row 587</v>
      </c>
      <c r="V498" s="129" t="str">
        <v/>
      </c>
    </row>
    <row r="499" spans="1:22" x14ac:dyDescent="0.2">
      <c r="A499" s="144" t="str">
        <v>UL3</v>
      </c>
      <c r="B499" s="145">
        <v>6</v>
      </c>
      <c r="C499" s="129" t="str">
        <v>Left Shoulder Arthroscopic Repair Supraspinatus</v>
      </c>
      <c r="D499" s="129" t="str">
        <v>UL3 – Upper Limb: Moderate Soft Tissue/Muscle/Nerve Procedures</v>
      </c>
      <c r="E499" s="129" t="str">
        <v>03 - Upper Limb</v>
      </c>
      <c r="F499" s="129" t="str">
        <v>Solutions Plus</v>
      </c>
      <c r="G499" s="144" t="str">
        <v>CON-01</v>
      </c>
      <c r="H499" s="129" t="str">
        <v>To confirm</v>
      </c>
      <c r="I499" s="144" t="str">
        <v>No</v>
      </c>
      <c r="J499" s="144" t="str">
        <v>Base</v>
      </c>
      <c r="K499" s="144" t="str">
        <v/>
      </c>
      <c r="L499" s="146">
        <v>13.3</v>
      </c>
      <c r="M499" s="142">
        <v>729.85</v>
      </c>
      <c r="N499" s="144" t="str">
        <v>Unknown</v>
      </c>
      <c r="O499" s="142" t="str">
        <v/>
      </c>
      <c r="P499" s="142" t="str">
        <v/>
      </c>
      <c r="Q499" s="142">
        <v>54.875939849624061</v>
      </c>
      <c r="R499" s="129" t="str">
        <v>Description – likely</v>
      </c>
      <c r="S499" s="143" t="str">
        <v/>
      </c>
      <c r="T499" s="144" t="str">
        <v>SRC-00</v>
      </c>
      <c r="U499" s="129" t="str">
        <v>S+ row 590</v>
      </c>
      <c r="V499" s="129" t="str">
        <v/>
      </c>
    </row>
    <row r="500" spans="1:22" x14ac:dyDescent="0.2">
      <c r="A500" s="144" t="str">
        <v>UL3</v>
      </c>
      <c r="B500" s="145">
        <v>6</v>
      </c>
      <c r="C500" s="129" t="str">
        <v>Left Shoulder Arthroscopic To Open Latarjet</v>
      </c>
      <c r="D500" s="129" t="str">
        <v>UL3 – Upper Limb: Moderate Soft Tissue/Muscle/Nerve Procedures</v>
      </c>
      <c r="E500" s="129" t="str">
        <v>03 - Upper Limb</v>
      </c>
      <c r="F500" s="129" t="str">
        <v>Solutions Plus</v>
      </c>
      <c r="G500" s="144" t="str">
        <v>CON-01</v>
      </c>
      <c r="H500" s="129" t="str">
        <v>To confirm</v>
      </c>
      <c r="I500" s="144" t="str">
        <v>No</v>
      </c>
      <c r="J500" s="144" t="str">
        <v>Base</v>
      </c>
      <c r="K500" s="144" t="str">
        <v/>
      </c>
      <c r="L500" s="146">
        <v>26</v>
      </c>
      <c r="M500" s="142">
        <v>1430</v>
      </c>
      <c r="N500" s="144" t="str">
        <v>Unknown</v>
      </c>
      <c r="O500" s="142" t="str">
        <v/>
      </c>
      <c r="P500" s="142" t="str">
        <v/>
      </c>
      <c r="Q500" s="142">
        <v>55</v>
      </c>
      <c r="R500" s="129" t="str">
        <v>Description – likely</v>
      </c>
      <c r="S500" s="143" t="str">
        <v/>
      </c>
      <c r="T500" s="144" t="str">
        <v>SRC-00</v>
      </c>
      <c r="U500" s="129" t="str">
        <v>S+ row 591</v>
      </c>
      <c r="V500" s="129" t="str">
        <v/>
      </c>
    </row>
    <row r="501" spans="1:22" x14ac:dyDescent="0.2">
      <c r="A501" s="144" t="str">
        <v>UL3</v>
      </c>
      <c r="B501" s="145">
        <v>6</v>
      </c>
      <c r="C501" s="129" t="str">
        <v>Left Shoulder Open Stabilisation - Latarjet Bone Blo</v>
      </c>
      <c r="D501" s="129" t="str">
        <v>UL3 – Upper Limb: Moderate Soft Tissue/Muscle/Nerve Procedures</v>
      </c>
      <c r="E501" s="129" t="str">
        <v>03 - Upper Limb</v>
      </c>
      <c r="F501" s="129" t="str">
        <v>Solutions Plus</v>
      </c>
      <c r="G501" s="144" t="str">
        <v>CON-01</v>
      </c>
      <c r="H501" s="129" t="str">
        <v>To confirm</v>
      </c>
      <c r="I501" s="144" t="str">
        <v>No</v>
      </c>
      <c r="J501" s="144" t="str">
        <v>Base</v>
      </c>
      <c r="K501" s="144" t="str">
        <v/>
      </c>
      <c r="L501" s="146">
        <v>18</v>
      </c>
      <c r="M501" s="142">
        <v>990</v>
      </c>
      <c r="N501" s="144" t="str">
        <v>Unknown</v>
      </c>
      <c r="O501" s="142" t="str">
        <v/>
      </c>
      <c r="P501" s="142" t="str">
        <v/>
      </c>
      <c r="Q501" s="142">
        <v>55</v>
      </c>
      <c r="R501" s="129" t="str">
        <v>Description – likely</v>
      </c>
      <c r="S501" s="143" t="str">
        <v/>
      </c>
      <c r="T501" s="144" t="str">
        <v>SRC-00</v>
      </c>
      <c r="U501" s="129" t="str">
        <v>S+ row 592</v>
      </c>
      <c r="V501" s="129" t="str">
        <v/>
      </c>
    </row>
    <row r="502" spans="1:22" x14ac:dyDescent="0.2">
      <c r="A502" s="144" t="str">
        <v>UL4</v>
      </c>
      <c r="B502" s="145">
        <v>8</v>
      </c>
      <c r="C502" s="129" t="str">
        <v>Major Bony/Joint Procedures e.g. Shoulder Replacement arthroplasty upper limb</v>
      </c>
      <c r="D502" s="129" t="str">
        <v>UL4 – Upper Limb: Major Bony/Joint Procedures</v>
      </c>
      <c r="E502" s="129" t="str">
        <v>03 - Upper Limb</v>
      </c>
      <c r="F502" s="129" t="str">
        <v>NZSA RVG</v>
      </c>
      <c r="G502" s="144" t="str">
        <v>CON-10</v>
      </c>
      <c r="H502" s="129" t="str">
        <v>Reference – units only</v>
      </c>
      <c r="I502" s="144" t="str">
        <v>No</v>
      </c>
      <c r="J502" s="144" t="str">
        <v>Base</v>
      </c>
      <c r="K502" s="144" t="str">
        <v>UL4</v>
      </c>
      <c r="L502" s="146">
        <v>8</v>
      </c>
      <c r="M502" s="142" t="str">
        <v/>
      </c>
      <c r="N502" s="144" t="str">
        <v/>
      </c>
      <c r="O502" s="142" t="str">
        <v/>
      </c>
      <c r="P502" s="142" t="str">
        <v/>
      </c>
      <c r="Q502" s="142">
        <v>0</v>
      </c>
      <c r="R502" s="129" t="str">
        <v>RVG code</v>
      </c>
      <c r="S502" s="143" t="str">
        <v/>
      </c>
      <c r="T502" s="144" t="str">
        <v>SRC-01</v>
      </c>
      <c r="U502" s="129" t="str">
        <v>p.8 – Upper Limb</v>
      </c>
      <c r="V502" s="129" t="str">
        <v>Reference units only – no $ fee (NZSA RVG 2021). Add 2 units if sitting position (+2)</v>
      </c>
    </row>
    <row r="503" spans="1:22" x14ac:dyDescent="0.2">
      <c r="A503" s="144" t="str">
        <v>UL2</v>
      </c>
      <c r="B503" s="145">
        <v>5</v>
      </c>
      <c r="C503" s="129" t="str">
        <v>Metacarpal Osteotomy</v>
      </c>
      <c r="D503" s="129" t="str">
        <v>UL2 – Upper Limb: Simple but Invasive Procedures</v>
      </c>
      <c r="E503" s="129" t="str">
        <v>03 - Upper Limb</v>
      </c>
      <c r="F503" s="129" t="str">
        <v>Solutions Plus</v>
      </c>
      <c r="G503" s="144" t="str">
        <v>CON-01</v>
      </c>
      <c r="H503" s="129" t="str">
        <v>To confirm</v>
      </c>
      <c r="I503" s="144" t="str">
        <v>No</v>
      </c>
      <c r="J503" s="144" t="str">
        <v>Base</v>
      </c>
      <c r="K503" s="144" t="str">
        <v/>
      </c>
      <c r="L503" s="146">
        <v>8.1</v>
      </c>
      <c r="M503" s="142">
        <v>444.4</v>
      </c>
      <c r="N503" s="144" t="str">
        <v>Unknown</v>
      </c>
      <c r="O503" s="142" t="str">
        <v/>
      </c>
      <c r="P503" s="142" t="str">
        <v/>
      </c>
      <c r="Q503" s="142">
        <v>54.864197530864196</v>
      </c>
      <c r="R503" s="129" t="str">
        <v>Description – likely</v>
      </c>
      <c r="S503" s="143" t="str">
        <v/>
      </c>
      <c r="T503" s="144" t="str">
        <v>SRC-00</v>
      </c>
      <c r="U503" s="129" t="str">
        <v>S+ row 637</v>
      </c>
      <c r="V503" s="129" t="str">
        <v/>
      </c>
    </row>
    <row r="504" spans="1:22" x14ac:dyDescent="0.2">
      <c r="A504" s="144" t="str">
        <v>UL1</v>
      </c>
      <c r="B504" s="145">
        <v>4</v>
      </c>
      <c r="C504" s="129" t="str">
        <v>Minor Procedures e.g. Excision Skin Lesions, Carpal Tunnel Release</v>
      </c>
      <c r="D504" s="129" t="str">
        <v>UL1 – Upper Limb: Minor Procedures</v>
      </c>
      <c r="E504" s="129" t="str">
        <v>03 - Upper Limb</v>
      </c>
      <c r="F504" s="129" t="str">
        <v>NZSA RVG</v>
      </c>
      <c r="G504" s="144" t="str">
        <v>CON-10</v>
      </c>
      <c r="H504" s="129" t="str">
        <v>Reference – units only</v>
      </c>
      <c r="I504" s="144" t="str">
        <v>No</v>
      </c>
      <c r="J504" s="144" t="str">
        <v>Base</v>
      </c>
      <c r="K504" s="144" t="str">
        <v>UL1</v>
      </c>
      <c r="L504" s="146">
        <v>4</v>
      </c>
      <c r="M504" s="142" t="str">
        <v/>
      </c>
      <c r="N504" s="144" t="str">
        <v/>
      </c>
      <c r="O504" s="142" t="str">
        <v/>
      </c>
      <c r="P504" s="142" t="str">
        <v/>
      </c>
      <c r="Q504" s="142">
        <v>0</v>
      </c>
      <c r="R504" s="129" t="str">
        <v>RVG code</v>
      </c>
      <c r="S504" s="143" t="str">
        <v/>
      </c>
      <c r="T504" s="144" t="str">
        <v>SRC-01</v>
      </c>
      <c r="U504" s="129" t="str">
        <v>p.8 – Upper Limb</v>
      </c>
      <c r="V504" s="129" t="str">
        <v>Reference units only – no $ fee (NZSA RVG 2021). Add 2 units if sitting position (+2)</v>
      </c>
    </row>
    <row r="505" spans="1:22" x14ac:dyDescent="0.2">
      <c r="A505" s="144" t="str">
        <v>UL3</v>
      </c>
      <c r="B505" s="145">
        <v>6</v>
      </c>
      <c r="C505" s="129" t="str">
        <v>Moderate Soft Tissue/Muscle/Nerve Procedures e.g. Rotator Cuff Surgery, Wrist Joint Replacement, Finger Joint Replacement/Fusion, Wrist Arthroscopy, complicated removal of metal wear</v>
      </c>
      <c r="D505" s="129" t="str">
        <v>UL3 – Upper Limb: Moderate Soft Tissue/Muscle/Nerve Procedures</v>
      </c>
      <c r="E505" s="129" t="str">
        <v>03 - Upper Limb</v>
      </c>
      <c r="F505" s="129" t="str">
        <v>NZSA RVG</v>
      </c>
      <c r="G505" s="144" t="str">
        <v>CON-10</v>
      </c>
      <c r="H505" s="129" t="str">
        <v>Reference – units only</v>
      </c>
      <c r="I505" s="144" t="str">
        <v>No</v>
      </c>
      <c r="J505" s="144" t="str">
        <v>Base</v>
      </c>
      <c r="K505" s="144" t="str">
        <v>UL3</v>
      </c>
      <c r="L505" s="146">
        <v>6</v>
      </c>
      <c r="M505" s="142" t="str">
        <v/>
      </c>
      <c r="N505" s="144" t="str">
        <v/>
      </c>
      <c r="O505" s="142" t="str">
        <v/>
      </c>
      <c r="P505" s="142" t="str">
        <v/>
      </c>
      <c r="Q505" s="142">
        <v>0</v>
      </c>
      <c r="R505" s="129" t="str">
        <v>RVG code</v>
      </c>
      <c r="S505" s="143" t="str">
        <v/>
      </c>
      <c r="T505" s="144" t="str">
        <v>SRC-01</v>
      </c>
      <c r="U505" s="129" t="str">
        <v>p.8 – Upper Limb</v>
      </c>
      <c r="V505" s="129" t="str">
        <v>Reference units only – no $ fee (NZSA RVG 2021). Add 2 units if sitting position (+2)</v>
      </c>
    </row>
    <row r="506" spans="1:22" x14ac:dyDescent="0.2">
      <c r="A506" s="144" t="str">
        <v>UL2</v>
      </c>
      <c r="B506" s="145">
        <v>5</v>
      </c>
      <c r="C506" s="129" t="str">
        <v>Release Left Cubital Tunnel And Left Carpal Tunnel</v>
      </c>
      <c r="D506" s="129" t="str">
        <v>UL2 – Upper Limb: Simple but Invasive Procedures</v>
      </c>
      <c r="E506" s="129" t="str">
        <v>03 - Upper Limb</v>
      </c>
      <c r="F506" s="129" t="str">
        <v>Solutions Plus</v>
      </c>
      <c r="G506" s="144" t="str">
        <v>CON-01</v>
      </c>
      <c r="H506" s="129" t="str">
        <v>To confirm</v>
      </c>
      <c r="I506" s="144" t="str">
        <v>No</v>
      </c>
      <c r="J506" s="144" t="str">
        <v>Base</v>
      </c>
      <c r="K506" s="144" t="str">
        <v/>
      </c>
      <c r="L506" s="146">
        <v>0</v>
      </c>
      <c r="M506" s="142">
        <v>0</v>
      </c>
      <c r="N506" s="144" t="str">
        <v>Unknown</v>
      </c>
      <c r="O506" s="142" t="str">
        <v/>
      </c>
      <c r="P506" s="142" t="str">
        <v/>
      </c>
      <c r="Q506" s="142" t="str">
        <v/>
      </c>
      <c r="R506" s="129" t="str">
        <v>Description – likely</v>
      </c>
      <c r="S506" s="143" t="str">
        <v/>
      </c>
      <c r="T506" s="144" t="str">
        <v>SRC-00</v>
      </c>
      <c r="U506" s="129" t="str">
        <v>S+ row 715</v>
      </c>
      <c r="V506" s="129" t="str">
        <v/>
      </c>
    </row>
    <row r="507" spans="1:22" x14ac:dyDescent="0.2">
      <c r="A507" s="144" t="str">
        <v>UL2</v>
      </c>
      <c r="B507" s="145">
        <v>5</v>
      </c>
      <c r="C507" s="129" t="str">
        <v>Removal Left Distal Radius Screws &amp; Plate AMEND</v>
      </c>
      <c r="D507" s="129" t="str">
        <v>UL2 – Upper Limb: Simple but Invasive Procedures</v>
      </c>
      <c r="E507" s="129" t="str">
        <v>03 - Upper Limb</v>
      </c>
      <c r="F507" s="129" t="str">
        <v>Solutions Plus</v>
      </c>
      <c r="G507" s="144" t="str">
        <v>CON-01</v>
      </c>
      <c r="H507" s="129" t="str">
        <v>To confirm</v>
      </c>
      <c r="I507" s="144" t="str">
        <v>No</v>
      </c>
      <c r="J507" s="144" t="str">
        <v>Base</v>
      </c>
      <c r="K507" s="144" t="str">
        <v/>
      </c>
      <c r="L507" s="146">
        <v>11</v>
      </c>
      <c r="M507" s="142">
        <v>605</v>
      </c>
      <c r="N507" s="144" t="str">
        <v>Unknown</v>
      </c>
      <c r="O507" s="142" t="str">
        <v/>
      </c>
      <c r="P507" s="142" t="str">
        <v/>
      </c>
      <c r="Q507" s="142">
        <v>55</v>
      </c>
      <c r="R507" s="129" t="str">
        <v>Description – exact</v>
      </c>
      <c r="S507" s="143" t="str">
        <v/>
      </c>
      <c r="T507" s="144" t="str">
        <v>SRC-00</v>
      </c>
      <c r="U507" s="129" t="str">
        <v>S+ row 717</v>
      </c>
      <c r="V507" s="129" t="str">
        <v/>
      </c>
    </row>
    <row r="508" spans="1:22" x14ac:dyDescent="0.2">
      <c r="A508" s="144" t="str">
        <v>UL3</v>
      </c>
      <c r="B508" s="145">
        <v>6</v>
      </c>
      <c r="C508" s="129" t="str">
        <v>Removal Of Screws Right Shoulder</v>
      </c>
      <c r="D508" s="129" t="str">
        <v>UL3 – Upper Limb: Moderate Soft Tissue/Muscle/Nerve Procedures</v>
      </c>
      <c r="E508" s="129" t="str">
        <v>03 - Upper Limb</v>
      </c>
      <c r="F508" s="129" t="str">
        <v>Solutions Plus</v>
      </c>
      <c r="G508" s="144" t="str">
        <v>CON-01</v>
      </c>
      <c r="H508" s="129" t="str">
        <v>To confirm</v>
      </c>
      <c r="I508" s="144" t="str">
        <v>No</v>
      </c>
      <c r="J508" s="144" t="str">
        <v>Base</v>
      </c>
      <c r="K508" s="144" t="str">
        <v/>
      </c>
      <c r="L508" s="146">
        <v>9.5</v>
      </c>
      <c r="M508" s="142">
        <v>522.5</v>
      </c>
      <c r="N508" s="144" t="str">
        <v>Unknown</v>
      </c>
      <c r="O508" s="142" t="str">
        <v/>
      </c>
      <c r="P508" s="142" t="str">
        <v/>
      </c>
      <c r="Q508" s="142">
        <v>55</v>
      </c>
      <c r="R508" s="129" t="str">
        <v>Description – likely</v>
      </c>
      <c r="S508" s="143" t="str">
        <v/>
      </c>
      <c r="T508" s="144" t="str">
        <v>SRC-00</v>
      </c>
      <c r="U508" s="129" t="str">
        <v>S+ row 732</v>
      </c>
      <c r="V508" s="129" t="str">
        <v/>
      </c>
    </row>
    <row r="509" spans="1:22" x14ac:dyDescent="0.2">
      <c r="A509" s="144" t="str">
        <v>UL1</v>
      </c>
      <c r="B509" s="145">
        <v>4</v>
      </c>
      <c r="C509" s="129" t="str">
        <v>Right Carpal Tunnel</v>
      </c>
      <c r="D509" s="129" t="str">
        <v>UL1 – Upper Limb: Minor Procedures</v>
      </c>
      <c r="E509" s="129" t="str">
        <v>03 - Upper Limb</v>
      </c>
      <c r="F509" s="129" t="str">
        <v>Solutions Plus</v>
      </c>
      <c r="G509" s="144" t="str">
        <v>CON-01</v>
      </c>
      <c r="H509" s="129" t="str">
        <v>To confirm</v>
      </c>
      <c r="I509" s="144" t="str">
        <v>No</v>
      </c>
      <c r="J509" s="144" t="str">
        <v>Base</v>
      </c>
      <c r="K509" s="144" t="str">
        <v/>
      </c>
      <c r="L509" s="146">
        <v>6.9</v>
      </c>
      <c r="M509" s="142">
        <v>381.7</v>
      </c>
      <c r="N509" s="144" t="str">
        <v>Unknown</v>
      </c>
      <c r="O509" s="142" t="str">
        <v/>
      </c>
      <c r="P509" s="142" t="str">
        <v/>
      </c>
      <c r="Q509" s="142">
        <v>55.318840579710141</v>
      </c>
      <c r="R509" s="129" t="str">
        <v>Description – exact</v>
      </c>
      <c r="S509" s="143" t="str">
        <v/>
      </c>
      <c r="T509" s="144" t="str">
        <v>SRC-00</v>
      </c>
      <c r="U509" s="129" t="str">
        <v>S+ row 770</v>
      </c>
      <c r="V509" s="129" t="str">
        <v/>
      </c>
    </row>
    <row r="510" spans="1:22" x14ac:dyDescent="0.2">
      <c r="A510" s="144" t="str">
        <v>UL1</v>
      </c>
      <c r="B510" s="145">
        <v>4</v>
      </c>
      <c r="C510" s="129" t="str">
        <v>Right Carpal Tunnel Decompression</v>
      </c>
      <c r="D510" s="129" t="str">
        <v>UL1 – Upper Limb: Minor Procedures</v>
      </c>
      <c r="E510" s="129" t="str">
        <v>03 - Upper Limb</v>
      </c>
      <c r="F510" s="129" t="str">
        <v>Solutions Plus</v>
      </c>
      <c r="G510" s="144" t="str">
        <v>CON-01</v>
      </c>
      <c r="H510" s="129" t="str">
        <v>To confirm</v>
      </c>
      <c r="I510" s="144" t="str">
        <v>No</v>
      </c>
      <c r="J510" s="144" t="str">
        <v>Base</v>
      </c>
      <c r="K510" s="144" t="str">
        <v/>
      </c>
      <c r="L510" s="146">
        <v>6.9</v>
      </c>
      <c r="M510" s="142">
        <v>376.75</v>
      </c>
      <c r="N510" s="144" t="str">
        <v>Unknown</v>
      </c>
      <c r="O510" s="142" t="str">
        <v/>
      </c>
      <c r="P510" s="142" t="str">
        <v/>
      </c>
      <c r="Q510" s="142">
        <v>54.601449275362313</v>
      </c>
      <c r="R510" s="129" t="str">
        <v>Description – exact</v>
      </c>
      <c r="S510" s="143" t="str">
        <v/>
      </c>
      <c r="T510" s="144" t="str">
        <v>SRC-00</v>
      </c>
      <c r="U510" s="129" t="str">
        <v>S+ row 771</v>
      </c>
      <c r="V510" s="129" t="str">
        <v/>
      </c>
    </row>
    <row r="511" spans="1:22" x14ac:dyDescent="0.2">
      <c r="A511" s="144" t="str">
        <v>UL1</v>
      </c>
      <c r="B511" s="145">
        <v>4</v>
      </c>
      <c r="C511" s="129" t="str">
        <v>Right Carpal Tunnel Release</v>
      </c>
      <c r="D511" s="129" t="str">
        <v>UL1 – Upper Limb: Minor Procedures</v>
      </c>
      <c r="E511" s="129" t="str">
        <v>03 - Upper Limb</v>
      </c>
      <c r="F511" s="129" t="str">
        <v>Solutions Plus</v>
      </c>
      <c r="G511" s="144" t="str">
        <v>CON-01</v>
      </c>
      <c r="H511" s="129" t="str">
        <v>To confirm</v>
      </c>
      <c r="I511" s="144" t="str">
        <v>No</v>
      </c>
      <c r="J511" s="144" t="str">
        <v>Base</v>
      </c>
      <c r="K511" s="144" t="str">
        <v/>
      </c>
      <c r="L511" s="146">
        <v>7.2</v>
      </c>
      <c r="M511" s="142">
        <v>397.65</v>
      </c>
      <c r="N511" s="144" t="str">
        <v>Unknown</v>
      </c>
      <c r="O511" s="142" t="str">
        <v/>
      </c>
      <c r="P511" s="142" t="str">
        <v/>
      </c>
      <c r="Q511" s="142">
        <v>55.229166666666664</v>
      </c>
      <c r="R511" s="129" t="str">
        <v>Description – exact</v>
      </c>
      <c r="S511" s="143" t="str">
        <v/>
      </c>
      <c r="T511" s="144" t="str">
        <v>SRC-00</v>
      </c>
      <c r="U511" s="129" t="str">
        <v>S+ row 772</v>
      </c>
      <c r="V511" s="129" t="str">
        <v/>
      </c>
    </row>
    <row r="512" spans="1:22" x14ac:dyDescent="0.2">
      <c r="A512" s="144" t="str">
        <v>UL1</v>
      </c>
      <c r="B512" s="145">
        <v>4</v>
      </c>
      <c r="C512" s="129" t="str">
        <v>Right Carpal Tunnel ReleaseRight Elbow Nirchl Pro</v>
      </c>
      <c r="D512" s="129" t="str">
        <v>UL1 – Upper Limb: Minor Procedures</v>
      </c>
      <c r="E512" s="129" t="str">
        <v>03 - Upper Limb</v>
      </c>
      <c r="F512" s="129" t="str">
        <v>Solutions Plus</v>
      </c>
      <c r="G512" s="144" t="str">
        <v>CON-01</v>
      </c>
      <c r="H512" s="129" t="str">
        <v>To confirm</v>
      </c>
      <c r="I512" s="144" t="str">
        <v>No</v>
      </c>
      <c r="J512" s="144" t="str">
        <v>Base</v>
      </c>
      <c r="K512" s="144" t="str">
        <v/>
      </c>
      <c r="L512" s="146">
        <v>0</v>
      </c>
      <c r="M512" s="142">
        <v>0</v>
      </c>
      <c r="N512" s="144" t="str">
        <v>Unknown</v>
      </c>
      <c r="O512" s="142" t="str">
        <v/>
      </c>
      <c r="P512" s="142" t="str">
        <v/>
      </c>
      <c r="Q512" s="142" t="str">
        <v/>
      </c>
      <c r="R512" s="129" t="str">
        <v>Description – exact</v>
      </c>
      <c r="S512" s="143" t="str">
        <v/>
      </c>
      <c r="T512" s="144" t="str">
        <v>SRC-00</v>
      </c>
      <c r="U512" s="129" t="str">
        <v>S+ row 773</v>
      </c>
      <c r="V512" s="129" t="str">
        <v/>
      </c>
    </row>
    <row r="513" spans="1:22" x14ac:dyDescent="0.2">
      <c r="A513" s="144" t="str">
        <v>UL2</v>
      </c>
      <c r="B513" s="145">
        <v>5</v>
      </c>
      <c r="C513" s="129" t="str">
        <v>Right Cubital Tunnel Release</v>
      </c>
      <c r="D513" s="129" t="str">
        <v>UL2 – Upper Limb: Simple but Invasive Procedures</v>
      </c>
      <c r="E513" s="129" t="str">
        <v>03 - Upper Limb</v>
      </c>
      <c r="F513" s="129" t="str">
        <v>Solutions Plus</v>
      </c>
      <c r="G513" s="144" t="str">
        <v>CON-01</v>
      </c>
      <c r="H513" s="129" t="str">
        <v>To confirm</v>
      </c>
      <c r="I513" s="144" t="str">
        <v>No</v>
      </c>
      <c r="J513" s="144" t="str">
        <v>Base</v>
      </c>
      <c r="K513" s="144" t="str">
        <v/>
      </c>
      <c r="L513" s="146">
        <v>10</v>
      </c>
      <c r="M513" s="142">
        <v>549.45000000000005</v>
      </c>
      <c r="N513" s="144" t="str">
        <v>Unknown</v>
      </c>
      <c r="O513" s="142" t="str">
        <v/>
      </c>
      <c r="P513" s="142" t="str">
        <v/>
      </c>
      <c r="Q513" s="142">
        <v>54.945000000000007</v>
      </c>
      <c r="R513" s="129" t="str">
        <v>Description – likely</v>
      </c>
      <c r="S513" s="143" t="str">
        <v/>
      </c>
      <c r="T513" s="144" t="str">
        <v>SRC-00</v>
      </c>
      <c r="U513" s="129" t="str">
        <v>S+ row 792</v>
      </c>
      <c r="V513" s="129" t="str">
        <v/>
      </c>
    </row>
    <row r="514" spans="1:22" x14ac:dyDescent="0.2">
      <c r="A514" s="144" t="str">
        <v>UL2</v>
      </c>
      <c r="B514" s="145">
        <v>5</v>
      </c>
      <c r="C514" s="129" t="str">
        <v>Right Dupuytrens Release - CDHB</v>
      </c>
      <c r="D514" s="129" t="str">
        <v>UL2 – Upper Limb: Simple but Invasive Procedures</v>
      </c>
      <c r="E514" s="129" t="str">
        <v>03 - Upper Limb</v>
      </c>
      <c r="F514" s="129" t="str">
        <v>Solutions Plus</v>
      </c>
      <c r="G514" s="144" t="str">
        <v>CON-01</v>
      </c>
      <c r="H514" s="129" t="str">
        <v>To confirm</v>
      </c>
      <c r="I514" s="144" t="str">
        <v>No</v>
      </c>
      <c r="J514" s="144" t="str">
        <v>Base</v>
      </c>
      <c r="K514" s="144" t="str">
        <v/>
      </c>
      <c r="L514" s="146">
        <v>12.7</v>
      </c>
      <c r="M514" s="142">
        <v>696.3</v>
      </c>
      <c r="N514" s="144" t="str">
        <v>Unknown</v>
      </c>
      <c r="O514" s="142" t="str">
        <v/>
      </c>
      <c r="P514" s="142" t="str">
        <v/>
      </c>
      <c r="Q514" s="142">
        <v>54.826771653543304</v>
      </c>
      <c r="R514" s="129" t="str">
        <v>Description – likely</v>
      </c>
      <c r="S514" s="143" t="str">
        <v/>
      </c>
      <c r="T514" s="144" t="str">
        <v>SRC-00</v>
      </c>
      <c r="U514" s="129" t="str">
        <v>S+ row 795</v>
      </c>
      <c r="V514" s="129" t="str">
        <v/>
      </c>
    </row>
    <row r="515" spans="1:22" x14ac:dyDescent="0.2">
      <c r="A515" s="144" t="str">
        <v>UL3</v>
      </c>
      <c r="B515" s="145">
        <v>6</v>
      </c>
      <c r="C515" s="129" t="str">
        <v>Right Elbow Repair Medial Ligament</v>
      </c>
      <c r="D515" s="129" t="str">
        <v>UL3 – Upper Limb: Moderate Soft Tissue/Muscle/Nerve Procedures</v>
      </c>
      <c r="E515" s="129" t="str">
        <v>03 - Upper Limb</v>
      </c>
      <c r="F515" s="129" t="str">
        <v>Solutions Plus</v>
      </c>
      <c r="G515" s="144" t="str">
        <v>CON-01</v>
      </c>
      <c r="H515" s="129" t="str">
        <v>To confirm</v>
      </c>
      <c r="I515" s="144" t="str">
        <v>No</v>
      </c>
      <c r="J515" s="144" t="str">
        <v>Base</v>
      </c>
      <c r="K515" s="144" t="str">
        <v/>
      </c>
      <c r="L515" s="146">
        <v>14</v>
      </c>
      <c r="M515" s="142">
        <v>770</v>
      </c>
      <c r="N515" s="144" t="str">
        <v>Unknown</v>
      </c>
      <c r="O515" s="142" t="str">
        <v/>
      </c>
      <c r="P515" s="142" t="str">
        <v/>
      </c>
      <c r="Q515" s="142">
        <v>55</v>
      </c>
      <c r="R515" s="129" t="str">
        <v>Description – likely</v>
      </c>
      <c r="S515" s="143" t="str">
        <v/>
      </c>
      <c r="T515" s="144" t="str">
        <v>SRC-00</v>
      </c>
      <c r="U515" s="129" t="str">
        <v>S+ row 796</v>
      </c>
      <c r="V515" s="129" t="str">
        <v/>
      </c>
    </row>
    <row r="516" spans="1:22" x14ac:dyDescent="0.2">
      <c r="A516" s="144" t="str">
        <v>UL3</v>
      </c>
      <c r="B516" s="145">
        <v>6</v>
      </c>
      <c r="C516" s="129" t="str">
        <v>Right Shoulder</v>
      </c>
      <c r="D516" s="129" t="str">
        <v>UL3 – Upper Limb: Moderate Soft Tissue/Muscle/Nerve Procedures</v>
      </c>
      <c r="E516" s="129" t="str">
        <v>03 - Upper Limb</v>
      </c>
      <c r="F516" s="129" t="str">
        <v>Solutions Plus</v>
      </c>
      <c r="G516" s="144" t="str">
        <v>CON-01</v>
      </c>
      <c r="H516" s="129" t="str">
        <v>To confirm</v>
      </c>
      <c r="I516" s="144" t="str">
        <v>No</v>
      </c>
      <c r="J516" s="144" t="str">
        <v>Base</v>
      </c>
      <c r="K516" s="144" t="str">
        <v/>
      </c>
      <c r="L516" s="146">
        <v>14.5</v>
      </c>
      <c r="M516" s="142">
        <v>796.4</v>
      </c>
      <c r="N516" s="144" t="str">
        <v>Unknown</v>
      </c>
      <c r="O516" s="142" t="str">
        <v/>
      </c>
      <c r="P516" s="142" t="str">
        <v/>
      </c>
      <c r="Q516" s="142">
        <v>54.92413793103448</v>
      </c>
      <c r="R516" s="129" t="str">
        <v>Description – likely</v>
      </c>
      <c r="S516" s="143" t="str">
        <v/>
      </c>
      <c r="T516" s="144" t="str">
        <v>SRC-00</v>
      </c>
      <c r="U516" s="129" t="str">
        <v>S+ row 818</v>
      </c>
      <c r="V516" s="129" t="str">
        <v/>
      </c>
    </row>
    <row r="517" spans="1:22" x14ac:dyDescent="0.2">
      <c r="A517" s="144" t="str">
        <v>UL3</v>
      </c>
      <c r="B517" s="145">
        <v>6</v>
      </c>
      <c r="C517" s="129" t="str">
        <v>Right Shoulder Arthroscopic Debridement +/- Cuff R</v>
      </c>
      <c r="D517" s="129" t="str">
        <v>UL3 – Upper Limb: Moderate Soft Tissue/Muscle/Nerve Procedures</v>
      </c>
      <c r="E517" s="129" t="str">
        <v>03 - Upper Limb</v>
      </c>
      <c r="F517" s="129" t="str">
        <v>Solutions Plus</v>
      </c>
      <c r="G517" s="144" t="str">
        <v>CON-01</v>
      </c>
      <c r="H517" s="129" t="str">
        <v>To confirm</v>
      </c>
      <c r="I517" s="144" t="str">
        <v>No</v>
      </c>
      <c r="J517" s="144" t="str">
        <v>Base</v>
      </c>
      <c r="K517" s="144" t="str">
        <v/>
      </c>
      <c r="L517" s="146">
        <v>12.4</v>
      </c>
      <c r="M517" s="142">
        <v>683.1</v>
      </c>
      <c r="N517" s="144" t="str">
        <v>Unknown</v>
      </c>
      <c r="O517" s="142" t="str">
        <v/>
      </c>
      <c r="P517" s="142" t="str">
        <v/>
      </c>
      <c r="Q517" s="142">
        <v>55.088709677419352</v>
      </c>
      <c r="R517" s="129" t="str">
        <v>Description – likely</v>
      </c>
      <c r="S517" s="143" t="str">
        <v/>
      </c>
      <c r="T517" s="144" t="str">
        <v>SRC-00</v>
      </c>
      <c r="U517" s="129" t="str">
        <v>S+ row 819</v>
      </c>
      <c r="V517" s="129" t="str">
        <v/>
      </c>
    </row>
    <row r="518" spans="1:22" x14ac:dyDescent="0.2">
      <c r="A518" s="144" t="str">
        <v>UL3</v>
      </c>
      <c r="B518" s="145">
        <v>6</v>
      </c>
      <c r="C518" s="129" t="str">
        <v>Right Shoulder Arthroscopic Repair Of Subscapular</v>
      </c>
      <c r="D518" s="129" t="str">
        <v>UL3 – Upper Limb: Moderate Soft Tissue/Muscle/Nerve Procedures</v>
      </c>
      <c r="E518" s="129" t="str">
        <v>03 - Upper Limb</v>
      </c>
      <c r="F518" s="129" t="str">
        <v>Solutions Plus</v>
      </c>
      <c r="G518" s="144" t="str">
        <v>CON-01</v>
      </c>
      <c r="H518" s="129" t="str">
        <v>To confirm</v>
      </c>
      <c r="I518" s="144" t="str">
        <v>No</v>
      </c>
      <c r="J518" s="144" t="str">
        <v>Base</v>
      </c>
      <c r="K518" s="144" t="str">
        <v/>
      </c>
      <c r="L518" s="146">
        <v>13.8</v>
      </c>
      <c r="M518" s="142">
        <v>759</v>
      </c>
      <c r="N518" s="144" t="str">
        <v>Unknown</v>
      </c>
      <c r="O518" s="142" t="str">
        <v/>
      </c>
      <c r="P518" s="142" t="str">
        <v/>
      </c>
      <c r="Q518" s="142">
        <v>55</v>
      </c>
      <c r="R518" s="129" t="str">
        <v>Description – likely</v>
      </c>
      <c r="S518" s="143" t="str">
        <v/>
      </c>
      <c r="T518" s="144" t="str">
        <v>SRC-00</v>
      </c>
      <c r="U518" s="129" t="str">
        <v>S+ row 820</v>
      </c>
      <c r="V518" s="129" t="str">
        <v/>
      </c>
    </row>
    <row r="519" spans="1:22" x14ac:dyDescent="0.2">
      <c r="A519" s="144" t="str">
        <v>UL4</v>
      </c>
      <c r="B519" s="145">
        <v>8</v>
      </c>
      <c r="C519" s="129" t="str">
        <v>Right Shoulder Hemi Arthroplasty Pyrocarbon Head</v>
      </c>
      <c r="D519" s="129" t="str">
        <v>UL4 – Upper Limb: Major Bony/Joint Procedures</v>
      </c>
      <c r="E519" s="129" t="str">
        <v>03 - Upper Limb</v>
      </c>
      <c r="F519" s="129" t="str">
        <v>Solutions Plus</v>
      </c>
      <c r="G519" s="144" t="str">
        <v>CON-01</v>
      </c>
      <c r="H519" s="129" t="str">
        <v>To confirm</v>
      </c>
      <c r="I519" s="144" t="str">
        <v>No</v>
      </c>
      <c r="J519" s="144" t="str">
        <v>Base</v>
      </c>
      <c r="K519" s="144" t="str">
        <v/>
      </c>
      <c r="L519" s="146">
        <v>17</v>
      </c>
      <c r="M519" s="142">
        <v>935</v>
      </c>
      <c r="N519" s="144" t="str">
        <v>Unknown</v>
      </c>
      <c r="O519" s="142" t="str">
        <v/>
      </c>
      <c r="P519" s="142" t="str">
        <v/>
      </c>
      <c r="Q519" s="142">
        <v>55</v>
      </c>
      <c r="R519" s="129" t="str">
        <v>Description – exact</v>
      </c>
      <c r="S519" s="143" t="str">
        <v/>
      </c>
      <c r="T519" s="144" t="str">
        <v>SRC-00</v>
      </c>
      <c r="U519" s="129" t="str">
        <v>S+ row 821</v>
      </c>
      <c r="V519" s="129" t="str">
        <v/>
      </c>
    </row>
    <row r="520" spans="1:22" x14ac:dyDescent="0.2">
      <c r="A520" s="144" t="str">
        <v>UL3</v>
      </c>
      <c r="B520" s="145">
        <v>6</v>
      </c>
      <c r="C520" s="129" t="str">
        <v>Right Thumb Trapeziectomy</v>
      </c>
      <c r="D520" s="129" t="str">
        <v>UL3 – Upper Limb: Moderate Soft Tissue/Muscle/Nerve Procedures</v>
      </c>
      <c r="E520" s="129" t="str">
        <v>03 - Upper Limb</v>
      </c>
      <c r="F520" s="129" t="str">
        <v>Solutions Plus</v>
      </c>
      <c r="G520" s="144" t="str">
        <v>CON-01</v>
      </c>
      <c r="H520" s="129" t="str">
        <v>To confirm</v>
      </c>
      <c r="I520" s="144" t="str">
        <v>No</v>
      </c>
      <c r="J520" s="144" t="str">
        <v>Base</v>
      </c>
      <c r="K520" s="144" t="str">
        <v/>
      </c>
      <c r="L520" s="146">
        <v>13.7</v>
      </c>
      <c r="M520" s="142">
        <v>751.3</v>
      </c>
      <c r="N520" s="144" t="str">
        <v>Unknown</v>
      </c>
      <c r="O520" s="142" t="str">
        <v/>
      </c>
      <c r="P520" s="142" t="str">
        <v/>
      </c>
      <c r="Q520" s="142">
        <v>54.839416058394157</v>
      </c>
      <c r="R520" s="129" t="str">
        <v>Description – likely</v>
      </c>
      <c r="S520" s="143" t="str">
        <v/>
      </c>
      <c r="T520" s="144" t="str">
        <v>SRC-00</v>
      </c>
      <c r="U520" s="129" t="str">
        <v>S+ row 823</v>
      </c>
      <c r="V520" s="129" t="str">
        <v/>
      </c>
    </row>
    <row r="521" spans="1:22" x14ac:dyDescent="0.2">
      <c r="A521" s="144" t="str">
        <v>UL4</v>
      </c>
      <c r="B521" s="145">
        <v>8</v>
      </c>
      <c r="C521" s="129" t="str">
        <v>Right Total Shoulder Replacement</v>
      </c>
      <c r="D521" s="129" t="str">
        <v>UL4 – Upper Limb: Major Bony/Joint Procedures</v>
      </c>
      <c r="E521" s="129" t="str">
        <v>03 - Upper Limb</v>
      </c>
      <c r="F521" s="129" t="str">
        <v>Solutions Plus</v>
      </c>
      <c r="G521" s="144" t="str">
        <v>CON-01</v>
      </c>
      <c r="H521" s="129" t="str">
        <v>To confirm</v>
      </c>
      <c r="I521" s="144" t="str">
        <v>No</v>
      </c>
      <c r="J521" s="144" t="str">
        <v>Base</v>
      </c>
      <c r="K521" s="144" t="str">
        <v/>
      </c>
      <c r="L521" s="146">
        <v>22.9</v>
      </c>
      <c r="M521" s="142">
        <v>1258.95</v>
      </c>
      <c r="N521" s="144" t="str">
        <v>Unknown</v>
      </c>
      <c r="O521" s="142" t="str">
        <v/>
      </c>
      <c r="P521" s="142" t="str">
        <v/>
      </c>
      <c r="Q521" s="142">
        <v>54.975982532751097</v>
      </c>
      <c r="R521" s="129" t="str">
        <v>Description – exact</v>
      </c>
      <c r="S521" s="143" t="str">
        <v/>
      </c>
      <c r="T521" s="144" t="str">
        <v>SRC-00</v>
      </c>
      <c r="U521" s="129" t="str">
        <v>S+ row 832</v>
      </c>
      <c r="V521" s="129" t="str">
        <v/>
      </c>
    </row>
    <row r="522" spans="1:22" x14ac:dyDescent="0.2">
      <c r="A522" s="144" t="str">
        <v>UL2</v>
      </c>
      <c r="B522" s="145">
        <v>5</v>
      </c>
      <c r="C522" s="129" t="str">
        <v>Right Ulnar Decompression +/- Transposition</v>
      </c>
      <c r="D522" s="129" t="str">
        <v>UL2 – Upper Limb: Simple but Invasive Procedures</v>
      </c>
      <c r="E522" s="129" t="str">
        <v>03 - Upper Limb</v>
      </c>
      <c r="F522" s="129" t="str">
        <v>Solutions Plus</v>
      </c>
      <c r="G522" s="144" t="str">
        <v>CON-01</v>
      </c>
      <c r="H522" s="129" t="str">
        <v>To confirm</v>
      </c>
      <c r="I522" s="144" t="str">
        <v>No</v>
      </c>
      <c r="J522" s="144" t="str">
        <v>Base</v>
      </c>
      <c r="K522" s="144" t="str">
        <v/>
      </c>
      <c r="L522" s="146">
        <v>3</v>
      </c>
      <c r="M522" s="142">
        <v>165</v>
      </c>
      <c r="N522" s="144" t="str">
        <v>Unknown</v>
      </c>
      <c r="O522" s="142" t="str">
        <v/>
      </c>
      <c r="P522" s="142" t="str">
        <v/>
      </c>
      <c r="Q522" s="142">
        <v>55</v>
      </c>
      <c r="R522" s="129" t="str">
        <v>Description – likely</v>
      </c>
      <c r="S522" s="143" t="str">
        <v/>
      </c>
      <c r="T522" s="144" t="str">
        <v>SRC-00</v>
      </c>
      <c r="U522" s="129" t="str">
        <v>S+ row 833</v>
      </c>
      <c r="V522" s="129" t="str">
        <v/>
      </c>
    </row>
    <row r="523" spans="1:22" x14ac:dyDescent="0.2">
      <c r="A523" s="144" t="str">
        <v>UL1</v>
      </c>
      <c r="B523" s="145">
        <v>4</v>
      </c>
      <c r="C523" s="129" t="str">
        <v>Right Wrist Doral Ganglion</v>
      </c>
      <c r="D523" s="129" t="str">
        <v>UL1 – Upper Limb: Minor Procedures</v>
      </c>
      <c r="E523" s="129" t="str">
        <v>03 - Upper Limb</v>
      </c>
      <c r="F523" s="129" t="str">
        <v>Solutions Plus</v>
      </c>
      <c r="G523" s="144" t="str">
        <v>CON-01</v>
      </c>
      <c r="H523" s="129" t="str">
        <v>To confirm</v>
      </c>
      <c r="I523" s="144" t="str">
        <v>No</v>
      </c>
      <c r="J523" s="144" t="str">
        <v>Base</v>
      </c>
      <c r="K523" s="144" t="str">
        <v/>
      </c>
      <c r="L523" s="146">
        <v>6</v>
      </c>
      <c r="M523" s="142">
        <v>330</v>
      </c>
      <c r="N523" s="144" t="str">
        <v>Unknown</v>
      </c>
      <c r="O523" s="142" t="str">
        <v/>
      </c>
      <c r="P523" s="142" t="str">
        <v/>
      </c>
      <c r="Q523" s="142">
        <v>55</v>
      </c>
      <c r="R523" s="129" t="str">
        <v>Description – likely</v>
      </c>
      <c r="S523" s="143" t="str">
        <v/>
      </c>
      <c r="T523" s="144" t="str">
        <v>SRC-00</v>
      </c>
      <c r="U523" s="129" t="str">
        <v>S+ row 843</v>
      </c>
      <c r="V523" s="129" t="str">
        <v/>
      </c>
    </row>
    <row r="524" spans="1:22" x14ac:dyDescent="0.2">
      <c r="A524" s="144" t="str">
        <v>UL3</v>
      </c>
      <c r="B524" s="145">
        <v>6</v>
      </c>
      <c r="C524" s="129" t="str">
        <v>Rotator Cuff Repair</v>
      </c>
      <c r="D524" s="129" t="str">
        <v>UL3 – Upper Limb: Moderate Soft Tissue/Muscle/Nerve Procedures</v>
      </c>
      <c r="E524" s="129" t="str">
        <v>03 - Upper Limb</v>
      </c>
      <c r="F524" s="129" t="str">
        <v>Solutions Plus</v>
      </c>
      <c r="G524" s="144" t="str">
        <v>CON-01</v>
      </c>
      <c r="H524" s="129" t="str">
        <v>To confirm</v>
      </c>
      <c r="I524" s="144" t="str">
        <v>No</v>
      </c>
      <c r="J524" s="144" t="str">
        <v>Base</v>
      </c>
      <c r="K524" s="144" t="str">
        <v/>
      </c>
      <c r="L524" s="146">
        <v>12.9</v>
      </c>
      <c r="M524" s="142">
        <v>711.15</v>
      </c>
      <c r="N524" s="144" t="str">
        <v>Unknown</v>
      </c>
      <c r="O524" s="142" t="str">
        <v/>
      </c>
      <c r="P524" s="142" t="str">
        <v/>
      </c>
      <c r="Q524" s="142">
        <v>55.127906976744185</v>
      </c>
      <c r="R524" s="129" t="str">
        <v>Description – exact</v>
      </c>
      <c r="S524" s="143" t="str">
        <v/>
      </c>
      <c r="T524" s="144" t="str">
        <v>SRC-00</v>
      </c>
      <c r="U524" s="129" t="str">
        <v>S+ row 851</v>
      </c>
      <c r="V524" s="129" t="str">
        <v/>
      </c>
    </row>
    <row r="525" spans="1:22" x14ac:dyDescent="0.2">
      <c r="A525" s="144" t="str">
        <v>UL2</v>
      </c>
      <c r="B525" s="145">
        <v>5</v>
      </c>
      <c r="C525" s="129" t="str">
        <v>Scaphoid ORIF</v>
      </c>
      <c r="D525" s="129" t="str">
        <v>UL2 – Upper Limb: Simple but Invasive Procedures</v>
      </c>
      <c r="E525" s="129" t="str">
        <v>03 - Upper Limb</v>
      </c>
      <c r="F525" s="129" t="str">
        <v>Solutions Plus</v>
      </c>
      <c r="G525" s="144" t="str">
        <v>CON-01</v>
      </c>
      <c r="H525" s="129" t="str">
        <v>To confirm</v>
      </c>
      <c r="I525" s="144" t="str">
        <v>No</v>
      </c>
      <c r="J525" s="144" t="str">
        <v>Base</v>
      </c>
      <c r="K525" s="144" t="str">
        <v/>
      </c>
      <c r="L525" s="146">
        <v>11.5</v>
      </c>
      <c r="M525" s="142">
        <v>632.5</v>
      </c>
      <c r="N525" s="144" t="str">
        <v>Unknown</v>
      </c>
      <c r="O525" s="142" t="str">
        <v/>
      </c>
      <c r="P525" s="142" t="str">
        <v/>
      </c>
      <c r="Q525" s="142">
        <v>55</v>
      </c>
      <c r="R525" s="129" t="str">
        <v>Description – likely</v>
      </c>
      <c r="S525" s="143" t="str">
        <v/>
      </c>
      <c r="T525" s="144" t="str">
        <v>SRC-00</v>
      </c>
      <c r="U525" s="129" t="str">
        <v>S+ row 855</v>
      </c>
      <c r="V525" s="129" t="str">
        <v/>
      </c>
    </row>
    <row r="526" spans="1:22" x14ac:dyDescent="0.2">
      <c r="A526" s="144" t="str">
        <v>UL3</v>
      </c>
      <c r="B526" s="145">
        <v>6</v>
      </c>
      <c r="C526" s="129" t="str">
        <v>Shoulder Decompression</v>
      </c>
      <c r="D526" s="129" t="str">
        <v>UL3 – Upper Limb: Moderate Soft Tissue/Muscle/Nerve Procedures</v>
      </c>
      <c r="E526" s="129" t="str">
        <v>03 - Upper Limb</v>
      </c>
      <c r="F526" s="129" t="str">
        <v>Solutions Plus</v>
      </c>
      <c r="G526" s="144" t="str">
        <v>CON-01</v>
      </c>
      <c r="H526" s="129" t="str">
        <v>To confirm</v>
      </c>
      <c r="I526" s="144" t="str">
        <v>No</v>
      </c>
      <c r="J526" s="144" t="str">
        <v>Base</v>
      </c>
      <c r="K526" s="144" t="str">
        <v/>
      </c>
      <c r="L526" s="146">
        <v>11.6</v>
      </c>
      <c r="M526" s="142">
        <v>638</v>
      </c>
      <c r="N526" s="144" t="str">
        <v>Unknown</v>
      </c>
      <c r="O526" s="142" t="str">
        <v/>
      </c>
      <c r="P526" s="142" t="str">
        <v/>
      </c>
      <c r="Q526" s="142">
        <v>55</v>
      </c>
      <c r="R526" s="129" t="str">
        <v>Description – likely</v>
      </c>
      <c r="S526" s="143" t="str">
        <v/>
      </c>
      <c r="T526" s="144" t="str">
        <v>SRC-00</v>
      </c>
      <c r="U526" s="129" t="str">
        <v>S+ row 871</v>
      </c>
      <c r="V526" s="129" t="str">
        <v/>
      </c>
    </row>
    <row r="527" spans="1:22" x14ac:dyDescent="0.2">
      <c r="A527" s="144" t="str">
        <v>UL3</v>
      </c>
      <c r="B527" s="145">
        <v>6</v>
      </c>
      <c r="C527" s="129" t="str">
        <v>Shoulder Repair</v>
      </c>
      <c r="D527" s="129" t="str">
        <v>UL3 – Upper Limb: Moderate Soft Tissue/Muscle/Nerve Procedures</v>
      </c>
      <c r="E527" s="129" t="str">
        <v>03 - Upper Limb</v>
      </c>
      <c r="F527" s="129" t="str">
        <v>Solutions Plus</v>
      </c>
      <c r="G527" s="144" t="str">
        <v>CON-01</v>
      </c>
      <c r="H527" s="129" t="str">
        <v>To confirm</v>
      </c>
      <c r="I527" s="144" t="str">
        <v>No</v>
      </c>
      <c r="J527" s="144" t="str">
        <v>Base</v>
      </c>
      <c r="K527" s="144" t="str">
        <v/>
      </c>
      <c r="L527" s="146">
        <v>13.6</v>
      </c>
      <c r="M527" s="142">
        <v>749.1</v>
      </c>
      <c r="N527" s="144" t="str">
        <v>Unknown</v>
      </c>
      <c r="O527" s="142" t="str">
        <v/>
      </c>
      <c r="P527" s="142" t="str">
        <v/>
      </c>
      <c r="Q527" s="142">
        <v>55.080882352941181</v>
      </c>
      <c r="R527" s="129" t="str">
        <v>Description – likely</v>
      </c>
      <c r="S527" s="143" t="str">
        <v/>
      </c>
      <c r="T527" s="144" t="str">
        <v>SRC-00</v>
      </c>
      <c r="U527" s="129" t="str">
        <v>S+ row 872</v>
      </c>
      <c r="V527" s="129" t="str">
        <v/>
      </c>
    </row>
    <row r="528" spans="1:22" x14ac:dyDescent="0.2">
      <c r="A528" s="144" t="str">
        <v>UL2</v>
      </c>
      <c r="B528" s="145">
        <v>5</v>
      </c>
      <c r="C528" s="129" t="str">
        <v>Simple but Invasive Procedures e.g., Simple Tendon Transposition, Simple Nerve Transposition, Open Radius/Ulnar Surgery, straightforward removal of metal wear</v>
      </c>
      <c r="D528" s="129" t="str">
        <v>UL2 – Upper Limb: Simple but Invasive Procedures</v>
      </c>
      <c r="E528" s="129" t="str">
        <v>03 - Upper Limb</v>
      </c>
      <c r="F528" s="129" t="str">
        <v>NZSA RVG</v>
      </c>
      <c r="G528" s="144" t="str">
        <v>CON-10</v>
      </c>
      <c r="H528" s="129" t="str">
        <v>Reference – units only</v>
      </c>
      <c r="I528" s="144" t="str">
        <v>No</v>
      </c>
      <c r="J528" s="144" t="str">
        <v>Base</v>
      </c>
      <c r="K528" s="144" t="str">
        <v>UL2</v>
      </c>
      <c r="L528" s="146">
        <v>5</v>
      </c>
      <c r="M528" s="142" t="str">
        <v/>
      </c>
      <c r="N528" s="144" t="str">
        <v/>
      </c>
      <c r="O528" s="142" t="str">
        <v/>
      </c>
      <c r="P528" s="142" t="str">
        <v/>
      </c>
      <c r="Q528" s="142">
        <v>0</v>
      </c>
      <c r="R528" s="129" t="str">
        <v>RVG code</v>
      </c>
      <c r="S528" s="143" t="str">
        <v/>
      </c>
      <c r="T528" s="144" t="str">
        <v>SRC-01</v>
      </c>
      <c r="U528" s="129" t="str">
        <v>p.8 – Upper Limb</v>
      </c>
      <c r="V528" s="129" t="str">
        <v>Reference units only – no $ fee (NZSA RVG 2021). Add 2 units if sitting position (+2)</v>
      </c>
    </row>
    <row r="529" spans="1:22" x14ac:dyDescent="0.2">
      <c r="A529" s="144" t="str">
        <v>UL3</v>
      </c>
      <c r="B529" s="145">
        <v>6</v>
      </c>
      <c r="C529" s="129" t="str">
        <v>Split Account - Right Shoulder Arthroscopic Repair</v>
      </c>
      <c r="D529" s="129" t="str">
        <v>UL3 – Upper Limb: Moderate Soft Tissue/Muscle/Nerve Procedures</v>
      </c>
      <c r="E529" s="129" t="str">
        <v>03 - Upper Limb</v>
      </c>
      <c r="F529" s="129" t="str">
        <v>Solutions Plus</v>
      </c>
      <c r="G529" s="144" t="str">
        <v>CON-01</v>
      </c>
      <c r="H529" s="129" t="str">
        <v>To confirm</v>
      </c>
      <c r="I529" s="144" t="str">
        <v>No</v>
      </c>
      <c r="J529" s="144" t="str">
        <v>Base</v>
      </c>
      <c r="K529" s="144" t="str">
        <v/>
      </c>
      <c r="L529" s="146">
        <v>12</v>
      </c>
      <c r="M529" s="142">
        <v>660</v>
      </c>
      <c r="N529" s="144" t="str">
        <v>Unknown</v>
      </c>
      <c r="O529" s="142" t="str">
        <v/>
      </c>
      <c r="P529" s="142" t="str">
        <v/>
      </c>
      <c r="Q529" s="142">
        <v>55</v>
      </c>
      <c r="R529" s="129" t="str">
        <v>Description – likely</v>
      </c>
      <c r="S529" s="143" t="str">
        <v/>
      </c>
      <c r="T529" s="144" t="str">
        <v>SRC-00</v>
      </c>
      <c r="U529" s="129" t="str">
        <v>S+ row 900</v>
      </c>
      <c r="V529" s="129" t="str">
        <v/>
      </c>
    </row>
    <row r="530" spans="1:22" x14ac:dyDescent="0.2">
      <c r="A530" s="144" t="str">
        <v>UL3</v>
      </c>
      <c r="B530" s="145">
        <v>6</v>
      </c>
      <c r="C530" s="129" t="str">
        <v>Subacromial Decompression</v>
      </c>
      <c r="D530" s="129" t="str">
        <v>UL3 – Upper Limb: Moderate Soft Tissue/Muscle/Nerve Procedures</v>
      </c>
      <c r="E530" s="129" t="str">
        <v>03 - Upper Limb</v>
      </c>
      <c r="F530" s="129" t="str">
        <v>Solutions Plus</v>
      </c>
      <c r="G530" s="144" t="str">
        <v>CON-01</v>
      </c>
      <c r="H530" s="129" t="str">
        <v>To confirm</v>
      </c>
      <c r="I530" s="144" t="str">
        <v>No</v>
      </c>
      <c r="J530" s="144" t="str">
        <v>Base</v>
      </c>
      <c r="K530" s="144" t="str">
        <v/>
      </c>
      <c r="L530" s="146">
        <v>11.4</v>
      </c>
      <c r="M530" s="142">
        <v>627</v>
      </c>
      <c r="N530" s="144" t="str">
        <v>Unknown</v>
      </c>
      <c r="O530" s="142" t="str">
        <v/>
      </c>
      <c r="P530" s="142" t="str">
        <v/>
      </c>
      <c r="Q530" s="142">
        <v>55</v>
      </c>
      <c r="R530" s="129" t="str">
        <v>Description – likely</v>
      </c>
      <c r="S530" s="143" t="str">
        <v/>
      </c>
      <c r="T530" s="144" t="str">
        <v>SRC-00</v>
      </c>
      <c r="U530" s="129" t="str">
        <v>S+ row 906</v>
      </c>
      <c r="V530" s="129" t="str">
        <v/>
      </c>
    </row>
    <row r="531" spans="1:22" x14ac:dyDescent="0.2">
      <c r="A531" s="144" t="str">
        <v>UL1</v>
      </c>
      <c r="B531" s="145">
        <v>4</v>
      </c>
      <c r="C531" s="129" t="str">
        <v>Tennis Elbow Release</v>
      </c>
      <c r="D531" s="129" t="str">
        <v>UL1 – Upper Limb: Minor Procedures</v>
      </c>
      <c r="E531" s="129" t="str">
        <v>03 - Upper Limb</v>
      </c>
      <c r="F531" s="129" t="str">
        <v>Solutions Plus</v>
      </c>
      <c r="G531" s="144" t="str">
        <v>CON-01</v>
      </c>
      <c r="H531" s="129" t="str">
        <v>To confirm</v>
      </c>
      <c r="I531" s="144" t="str">
        <v>No</v>
      </c>
      <c r="J531" s="144" t="str">
        <v>Base</v>
      </c>
      <c r="K531" s="144" t="str">
        <v/>
      </c>
      <c r="L531" s="146">
        <v>6.2</v>
      </c>
      <c r="M531" s="142">
        <v>338.8</v>
      </c>
      <c r="N531" s="144" t="str">
        <v>Unknown</v>
      </c>
      <c r="O531" s="142" t="str">
        <v/>
      </c>
      <c r="P531" s="142" t="str">
        <v/>
      </c>
      <c r="Q531" s="142">
        <v>54.645161290322584</v>
      </c>
      <c r="R531" s="129" t="str">
        <v>Description – likely</v>
      </c>
      <c r="S531" s="143" t="str">
        <v/>
      </c>
      <c r="T531" s="144" t="str">
        <v>SRC-00</v>
      </c>
      <c r="U531" s="129" t="str">
        <v>S+ row 917</v>
      </c>
      <c r="V531" s="129" t="str">
        <v/>
      </c>
    </row>
    <row r="532" spans="1:22" x14ac:dyDescent="0.2">
      <c r="A532" s="144" t="str">
        <v>UL2</v>
      </c>
      <c r="B532" s="145">
        <v>5</v>
      </c>
      <c r="C532" s="129" t="str">
        <v>Thumb Osteotomy</v>
      </c>
      <c r="D532" s="129" t="str">
        <v>UL2 – Upper Limb: Simple but Invasive Procedures</v>
      </c>
      <c r="E532" s="129" t="str">
        <v>03 - Upper Limb</v>
      </c>
      <c r="F532" s="129" t="str">
        <v>Solutions Plus</v>
      </c>
      <c r="G532" s="144" t="str">
        <v>CON-01</v>
      </c>
      <c r="H532" s="129" t="str">
        <v>To confirm</v>
      </c>
      <c r="I532" s="144" t="str">
        <v>No</v>
      </c>
      <c r="J532" s="144" t="str">
        <v>Base</v>
      </c>
      <c r="K532" s="144" t="str">
        <v/>
      </c>
      <c r="L532" s="146">
        <v>2</v>
      </c>
      <c r="M532" s="142">
        <v>110</v>
      </c>
      <c r="N532" s="144" t="str">
        <v>Unknown</v>
      </c>
      <c r="O532" s="142" t="str">
        <v/>
      </c>
      <c r="P532" s="142" t="str">
        <v/>
      </c>
      <c r="Q532" s="142">
        <v>55</v>
      </c>
      <c r="R532" s="129" t="str">
        <v>Description – likely</v>
      </c>
      <c r="S532" s="143" t="str">
        <v/>
      </c>
      <c r="T532" s="144" t="str">
        <v>SRC-00</v>
      </c>
      <c r="U532" s="129" t="str">
        <v>S+ row 919</v>
      </c>
      <c r="V532" s="129" t="str">
        <v/>
      </c>
    </row>
    <row r="533" spans="1:22" x14ac:dyDescent="0.2">
      <c r="A533" s="144" t="str">
        <v>UL2</v>
      </c>
      <c r="B533" s="145">
        <v>5</v>
      </c>
      <c r="C533" s="129" t="str">
        <v>Ulna Nerve Release</v>
      </c>
      <c r="D533" s="129" t="str">
        <v>UL2 – Upper Limb: Simple but Invasive Procedures</v>
      </c>
      <c r="E533" s="129" t="str">
        <v>03 - Upper Limb</v>
      </c>
      <c r="F533" s="129" t="str">
        <v>Solutions Plus</v>
      </c>
      <c r="G533" s="144" t="str">
        <v>CON-01</v>
      </c>
      <c r="H533" s="129" t="str">
        <v>To confirm</v>
      </c>
      <c r="I533" s="144" t="str">
        <v>No</v>
      </c>
      <c r="J533" s="144" t="str">
        <v>Base</v>
      </c>
      <c r="K533" s="144" t="str">
        <v/>
      </c>
      <c r="L533" s="146">
        <v>8</v>
      </c>
      <c r="M533" s="142">
        <v>442.2</v>
      </c>
      <c r="N533" s="144" t="str">
        <v>Unknown</v>
      </c>
      <c r="O533" s="142" t="str">
        <v/>
      </c>
      <c r="P533" s="142" t="str">
        <v/>
      </c>
      <c r="Q533" s="142">
        <v>55.274999999999999</v>
      </c>
      <c r="R533" s="129" t="str">
        <v>Description – likely</v>
      </c>
      <c r="S533" s="143" t="str">
        <v/>
      </c>
      <c r="T533" s="144" t="str">
        <v>SRC-00</v>
      </c>
      <c r="U533" s="129" t="str">
        <v>S+ row 954</v>
      </c>
      <c r="V533" s="129" t="str">
        <v/>
      </c>
    </row>
    <row r="534" spans="1:22" x14ac:dyDescent="0.2">
      <c r="A534" s="144" t="str">
        <v>UL2</v>
      </c>
      <c r="B534" s="145">
        <v>5</v>
      </c>
      <c r="C534" s="129" t="str">
        <v>Ulnar Nerve Decompression +/-Transposition +/- Epi</v>
      </c>
      <c r="D534" s="129" t="str">
        <v>UL2 – Upper Limb: Simple but Invasive Procedures</v>
      </c>
      <c r="E534" s="129" t="str">
        <v>03 - Upper Limb</v>
      </c>
      <c r="F534" s="129" t="str">
        <v>Solutions Plus</v>
      </c>
      <c r="G534" s="144" t="str">
        <v>CON-01</v>
      </c>
      <c r="H534" s="129" t="str">
        <v>To confirm</v>
      </c>
      <c r="I534" s="144" t="str">
        <v>No</v>
      </c>
      <c r="J534" s="144" t="str">
        <v>Base</v>
      </c>
      <c r="K534" s="144" t="str">
        <v/>
      </c>
      <c r="L534" s="146">
        <v>8</v>
      </c>
      <c r="M534" s="142">
        <v>440</v>
      </c>
      <c r="N534" s="144" t="str">
        <v>Unknown</v>
      </c>
      <c r="O534" s="142" t="str">
        <v/>
      </c>
      <c r="P534" s="142" t="str">
        <v/>
      </c>
      <c r="Q534" s="142">
        <v>55</v>
      </c>
      <c r="R534" s="129" t="str">
        <v>Description – likely</v>
      </c>
      <c r="S534" s="143" t="str">
        <v/>
      </c>
      <c r="T534" s="144" t="str">
        <v>SRC-00</v>
      </c>
      <c r="U534" s="129" t="str">
        <v>S+ row 955</v>
      </c>
      <c r="V534" s="129" t="str">
        <v/>
      </c>
    </row>
    <row r="535" spans="1:22" x14ac:dyDescent="0.2">
      <c r="A535" s="144" t="str">
        <v>T1</v>
      </c>
      <c r="B535" s="145">
        <v>4</v>
      </c>
      <c r="C535" s="129" t="str">
        <v>Excision Lesion Left Chest Wall</v>
      </c>
      <c r="D535" s="129" t="str">
        <v>T1 – Thorax: Minor Procedures</v>
      </c>
      <c r="E535" s="129" t="str">
        <v>04 - Thorax</v>
      </c>
      <c r="F535" s="129" t="str">
        <v>Solutions Plus</v>
      </c>
      <c r="G535" s="144" t="str">
        <v>CON-01</v>
      </c>
      <c r="H535" s="129" t="str">
        <v>To confirm</v>
      </c>
      <c r="I535" s="144" t="str">
        <v>No</v>
      </c>
      <c r="J535" s="144" t="str">
        <v>Base</v>
      </c>
      <c r="K535" s="144" t="str">
        <v/>
      </c>
      <c r="L535" s="146">
        <v>4.8</v>
      </c>
      <c r="M535" s="142">
        <v>261.25</v>
      </c>
      <c r="N535" s="144" t="str">
        <v>Unknown</v>
      </c>
      <c r="O535" s="142" t="str">
        <v/>
      </c>
      <c r="P535" s="142" t="str">
        <v/>
      </c>
      <c r="Q535" s="142">
        <v>54.427083333333336</v>
      </c>
      <c r="R535" s="129" t="str">
        <v>Description – exact</v>
      </c>
      <c r="S535" s="143" t="str">
        <v/>
      </c>
      <c r="T535" s="144" t="str">
        <v>SRC-00</v>
      </c>
      <c r="U535" s="129" t="str">
        <v>S+ row 313</v>
      </c>
      <c r="V535" s="129" t="str">
        <v/>
      </c>
    </row>
    <row r="536" spans="1:22" x14ac:dyDescent="0.2">
      <c r="A536" s="144" t="str">
        <v>T1</v>
      </c>
      <c r="B536" s="145">
        <v>4</v>
      </c>
      <c r="C536" s="129" t="str">
        <v>Excision Lipoma Right Thoracic Back</v>
      </c>
      <c r="D536" s="129" t="str">
        <v>T1 – Thorax: Minor Procedures</v>
      </c>
      <c r="E536" s="129" t="str">
        <v>04 - Thorax</v>
      </c>
      <c r="F536" s="129" t="str">
        <v>Solutions Plus</v>
      </c>
      <c r="G536" s="144" t="str">
        <v>CON-01</v>
      </c>
      <c r="H536" s="129" t="str">
        <v>To confirm</v>
      </c>
      <c r="I536" s="144" t="str">
        <v>No</v>
      </c>
      <c r="J536" s="144" t="str">
        <v>Base</v>
      </c>
      <c r="K536" s="144" t="str">
        <v/>
      </c>
      <c r="L536" s="146">
        <v>12</v>
      </c>
      <c r="M536" s="142">
        <v>660</v>
      </c>
      <c r="N536" s="144" t="str">
        <v>Unknown</v>
      </c>
      <c r="O536" s="142" t="str">
        <v/>
      </c>
      <c r="P536" s="142" t="str">
        <v/>
      </c>
      <c r="Q536" s="142">
        <v>55</v>
      </c>
      <c r="R536" s="129" t="str">
        <v>Description – likely</v>
      </c>
      <c r="S536" s="143" t="str">
        <v/>
      </c>
      <c r="T536" s="144" t="str">
        <v>SRC-00</v>
      </c>
      <c r="U536" s="129" t="str">
        <v>S+ row 315</v>
      </c>
      <c r="V536" s="129" t="str">
        <v/>
      </c>
    </row>
    <row r="537" spans="1:22" x14ac:dyDescent="0.2">
      <c r="A537" s="144" t="str">
        <v>T1</v>
      </c>
      <c r="B537" s="145">
        <v>4</v>
      </c>
      <c r="C537" s="129" t="str">
        <v>Minor Procedures e.g. Excision of Superficial Lesions (Shoulder/Chest/Back)</v>
      </c>
      <c r="D537" s="129" t="str">
        <v>T1 – Thorax: Minor Procedures</v>
      </c>
      <c r="E537" s="129" t="str">
        <v>04 - Thorax</v>
      </c>
      <c r="F537" s="129" t="str">
        <v>NZSA RVG</v>
      </c>
      <c r="G537" s="144" t="str">
        <v>CON-10</v>
      </c>
      <c r="H537" s="129" t="str">
        <v>Reference – units only</v>
      </c>
      <c r="I537" s="144" t="str">
        <v>No</v>
      </c>
      <c r="J537" s="144" t="str">
        <v>Base</v>
      </c>
      <c r="K537" s="144" t="str">
        <v>T1</v>
      </c>
      <c r="L537" s="146">
        <v>4</v>
      </c>
      <c r="M537" s="142" t="str">
        <v/>
      </c>
      <c r="N537" s="144" t="str">
        <v/>
      </c>
      <c r="O537" s="142" t="str">
        <v/>
      </c>
      <c r="P537" s="142" t="str">
        <v/>
      </c>
      <c r="Q537" s="142">
        <v>0</v>
      </c>
      <c r="R537" s="129" t="str">
        <v>RVG code</v>
      </c>
      <c r="S537" s="143" t="str">
        <v/>
      </c>
      <c r="T537" s="144" t="str">
        <v>SRC-01</v>
      </c>
      <c r="U537" s="129" t="str">
        <v>p.8 – Thorax</v>
      </c>
      <c r="V537" s="129" t="str">
        <v>Reference units only – no $ fee (NZSA RVG 2021). Code also used for Time billing (T1)</v>
      </c>
    </row>
    <row r="538" spans="1:22" x14ac:dyDescent="0.2">
      <c r="A538" s="144" t="str">
        <v>T2</v>
      </c>
      <c r="B538" s="145">
        <v>4</v>
      </c>
      <c r="C538" s="129" t="str">
        <v>Augmentation mastopexy</v>
      </c>
      <c r="D538" s="129" t="str">
        <v>T2 – Thorax / Breast (printed twice: 4 and 5 units)</v>
      </c>
      <c r="E538" s="129" t="str">
        <v>04 - Thorax</v>
      </c>
      <c r="F538" s="129" t="str">
        <v>Merivale PS – Self-funding</v>
      </c>
      <c r="G538" s="144" t="str">
        <v>CON-08</v>
      </c>
      <c r="H538" s="129" t="str">
        <v>Fixed fee schedule</v>
      </c>
      <c r="I538" s="144" t="str">
        <v>Yes</v>
      </c>
      <c r="J538" s="144" t="str">
        <v>Base</v>
      </c>
      <c r="K538" s="144" t="str">
        <v/>
      </c>
      <c r="L538" s="146" t="str">
        <v/>
      </c>
      <c r="M538" s="142">
        <v>2415</v>
      </c>
      <c r="N538" s="144" t="str">
        <v>Incl</v>
      </c>
      <c r="O538" s="142">
        <v>2100</v>
      </c>
      <c r="P538" s="142">
        <v>2415</v>
      </c>
      <c r="Q538" s="142" t="str">
        <v/>
      </c>
      <c r="R538" s="129" t="str">
        <v>Description – likely</v>
      </c>
      <c r="S538" s="143">
        <v>46174</v>
      </c>
      <c r="T538" s="144" t="str">
        <v>SRC-04</v>
      </c>
      <c r="U538" s="129" t="str">
        <v>p.1</v>
      </c>
      <c r="V538" s="129" t="str">
        <v>Self-funding patients of Dr Kerri Mooney (Merivale Plastic Surgery) only; anaesthetist invoices patient directly. Next review 1 Jun 2027. Likely: RVG T2 names breast augmentation but not mastopexy; matches S+ 'Bilateral Breast Augmentation &amp; Mastopexies' (T2).</v>
      </c>
    </row>
    <row r="539" spans="1:22" x14ac:dyDescent="0.2">
      <c r="A539" s="144" t="str">
        <v>T2</v>
      </c>
      <c r="B539" s="145">
        <v>4</v>
      </c>
      <c r="C539" s="129" t="str">
        <v>Bilateral Breast Augmentation</v>
      </c>
      <c r="D539" s="129" t="str">
        <v>T2 – Thorax / Breast (printed twice: 4 and 5 units)</v>
      </c>
      <c r="E539" s="129" t="str">
        <v>04 - Thorax</v>
      </c>
      <c r="F539" s="129" t="str">
        <v>Solutions Plus</v>
      </c>
      <c r="G539" s="144" t="str">
        <v>CON-01</v>
      </c>
      <c r="H539" s="129" t="str">
        <v>To confirm</v>
      </c>
      <c r="I539" s="144" t="str">
        <v>No</v>
      </c>
      <c r="J539" s="144" t="str">
        <v>Base</v>
      </c>
      <c r="K539" s="144" t="str">
        <v/>
      </c>
      <c r="L539" s="146">
        <v>11.8</v>
      </c>
      <c r="M539" s="142">
        <v>646.79999999999995</v>
      </c>
      <c r="N539" s="144" t="str">
        <v>Unknown</v>
      </c>
      <c r="O539" s="142" t="str">
        <v/>
      </c>
      <c r="P539" s="142" t="str">
        <v/>
      </c>
      <c r="Q539" s="142">
        <v>54.813559322033889</v>
      </c>
      <c r="R539" s="129" t="str">
        <v>Description – exact</v>
      </c>
      <c r="S539" s="143" t="str">
        <v/>
      </c>
      <c r="T539" s="144" t="str">
        <v>SRC-00</v>
      </c>
      <c r="U539" s="129" t="str">
        <v>S+ row 66</v>
      </c>
      <c r="V539" s="129" t="str">
        <v/>
      </c>
    </row>
    <row r="540" spans="1:22" x14ac:dyDescent="0.2">
      <c r="A540" s="144" t="str">
        <v>T2</v>
      </c>
      <c r="B540" s="145">
        <v>4</v>
      </c>
      <c r="C540" s="129" t="str">
        <v>Bilateral Breast Augmentation &amp; Mastopexies</v>
      </c>
      <c r="D540" s="129" t="str">
        <v>T2 – Thorax / Breast (printed twice: 4 and 5 units)</v>
      </c>
      <c r="E540" s="129" t="str">
        <v>04 - Thorax</v>
      </c>
      <c r="F540" s="129" t="str">
        <v>Solutions Plus</v>
      </c>
      <c r="G540" s="144" t="str">
        <v>CON-01</v>
      </c>
      <c r="H540" s="129" t="str">
        <v>To confirm</v>
      </c>
      <c r="I540" s="144" t="str">
        <v>No</v>
      </c>
      <c r="J540" s="144" t="str">
        <v>Base</v>
      </c>
      <c r="K540" s="144" t="str">
        <v/>
      </c>
      <c r="L540" s="146">
        <v>24.8</v>
      </c>
      <c r="M540" s="142">
        <v>1361.25</v>
      </c>
      <c r="N540" s="144" t="str">
        <v>Unknown</v>
      </c>
      <c r="O540" s="142" t="str">
        <v/>
      </c>
      <c r="P540" s="142" t="str">
        <v/>
      </c>
      <c r="Q540" s="142">
        <v>54.889112903225808</v>
      </c>
      <c r="R540" s="129" t="str">
        <v>Description – exact</v>
      </c>
      <c r="S540" s="143" t="str">
        <v/>
      </c>
      <c r="T540" s="144" t="str">
        <v>SRC-00</v>
      </c>
      <c r="U540" s="129" t="str">
        <v>S+ row 68</v>
      </c>
      <c r="V540" s="129" t="str">
        <v/>
      </c>
    </row>
    <row r="541" spans="1:22" x14ac:dyDescent="0.2">
      <c r="A541" s="144" t="str">
        <v>T2</v>
      </c>
      <c r="B541" s="145">
        <v>4</v>
      </c>
      <c r="C541" s="129" t="str">
        <v>Bilateral Breast Lift (Mastopexy)</v>
      </c>
      <c r="D541" s="129" t="str">
        <v>T2 – Thorax / Breast (printed twice: 4 and 5 units)</v>
      </c>
      <c r="E541" s="129" t="str">
        <v>04 - Thorax</v>
      </c>
      <c r="F541" s="129" t="str">
        <v>Solutions Plus</v>
      </c>
      <c r="G541" s="144" t="str">
        <v>CON-01</v>
      </c>
      <c r="H541" s="129" t="str">
        <v>To confirm</v>
      </c>
      <c r="I541" s="144" t="str">
        <v>No</v>
      </c>
      <c r="J541" s="144" t="str">
        <v>Base</v>
      </c>
      <c r="K541" s="144" t="str">
        <v/>
      </c>
      <c r="L541" s="146">
        <v>21.8</v>
      </c>
      <c r="M541" s="142">
        <v>1200.0999999999999</v>
      </c>
      <c r="N541" s="144" t="str">
        <v>Unknown</v>
      </c>
      <c r="O541" s="142" t="str">
        <v/>
      </c>
      <c r="P541" s="142" t="str">
        <v/>
      </c>
      <c r="Q541" s="142">
        <v>55.050458715596321</v>
      </c>
      <c r="R541" s="129" t="str">
        <v>Description – likely</v>
      </c>
      <c r="S541" s="143" t="str">
        <v/>
      </c>
      <c r="T541" s="144" t="str">
        <v>SRC-00</v>
      </c>
      <c r="U541" s="129" t="str">
        <v>S+ row 69</v>
      </c>
      <c r="V541" s="129" t="str">
        <v/>
      </c>
    </row>
    <row r="542" spans="1:22" x14ac:dyDescent="0.2">
      <c r="A542" s="144" t="str">
        <v>T4</v>
      </c>
      <c r="B542" s="145">
        <v>8</v>
      </c>
      <c r="C542" s="129" t="str">
        <v>Bilateral Breast Reconstruction With Diep Abdomin</v>
      </c>
      <c r="D542" s="129" t="str">
        <v>T4 – Thorax / Breast: Major Procedures</v>
      </c>
      <c r="E542" s="129" t="str">
        <v>04 - Thorax</v>
      </c>
      <c r="F542" s="129" t="str">
        <v>Solutions Plus</v>
      </c>
      <c r="G542" s="144" t="str">
        <v>CON-01</v>
      </c>
      <c r="H542" s="129" t="str">
        <v>To confirm</v>
      </c>
      <c r="I542" s="144" t="str">
        <v>No</v>
      </c>
      <c r="J542" s="144" t="str">
        <v>Base</v>
      </c>
      <c r="K542" s="144" t="str">
        <v/>
      </c>
      <c r="L542" s="146">
        <v>0</v>
      </c>
      <c r="M542" s="142">
        <v>0</v>
      </c>
      <c r="N542" s="144" t="str">
        <v>Unknown</v>
      </c>
      <c r="O542" s="142" t="str">
        <v/>
      </c>
      <c r="P542" s="142" t="str">
        <v/>
      </c>
      <c r="Q542" s="142" t="str">
        <v/>
      </c>
      <c r="R542" s="129" t="str">
        <v>Description – likely</v>
      </c>
      <c r="S542" s="143" t="str">
        <v/>
      </c>
      <c r="T542" s="144" t="str">
        <v>SRC-00</v>
      </c>
      <c r="U542" s="129" t="str">
        <v>S+ row 70</v>
      </c>
      <c r="V542" s="129" t="str">
        <v/>
      </c>
    </row>
    <row r="543" spans="1:22" x14ac:dyDescent="0.2">
      <c r="A543" s="144" t="str">
        <v>T2</v>
      </c>
      <c r="B543" s="145">
        <v>4</v>
      </c>
      <c r="C543" s="129" t="str">
        <v>Bilateral Breast Reduction</v>
      </c>
      <c r="D543" s="129" t="str">
        <v>T2 – Thorax / Breast (printed twice: 4 and 5 units)</v>
      </c>
      <c r="E543" s="129" t="str">
        <v>04 - Thorax</v>
      </c>
      <c r="F543" s="129" t="str">
        <v>Solutions Plus</v>
      </c>
      <c r="G543" s="144" t="str">
        <v>CON-01</v>
      </c>
      <c r="H543" s="129" t="str">
        <v>To confirm</v>
      </c>
      <c r="I543" s="144" t="str">
        <v>No</v>
      </c>
      <c r="J543" s="144" t="str">
        <v>Base</v>
      </c>
      <c r="K543" s="144" t="str">
        <v/>
      </c>
      <c r="L543" s="146">
        <v>21</v>
      </c>
      <c r="M543" s="142">
        <v>1154.45</v>
      </c>
      <c r="N543" s="144" t="str">
        <v>Unknown</v>
      </c>
      <c r="O543" s="142" t="str">
        <v/>
      </c>
      <c r="P543" s="142" t="str">
        <v/>
      </c>
      <c r="Q543" s="142">
        <v>54.973809523809528</v>
      </c>
      <c r="R543" s="129" t="str">
        <v>Description – exact</v>
      </c>
      <c r="S543" s="143" t="str">
        <v/>
      </c>
      <c r="T543" s="144" t="str">
        <v>SRC-00</v>
      </c>
      <c r="U543" s="129" t="str">
        <v>S+ row 71</v>
      </c>
      <c r="V543" s="129" t="str">
        <v/>
      </c>
    </row>
    <row r="544" spans="1:22" x14ac:dyDescent="0.2">
      <c r="A544" s="144" t="str">
        <v>T2</v>
      </c>
      <c r="B544" s="145">
        <v>4</v>
      </c>
      <c r="C544" s="129" t="str">
        <v>Bilateral Breast Reduction - CDHB</v>
      </c>
      <c r="D544" s="129" t="str">
        <v>T2 – Thorax / Breast (printed twice: 4 and 5 units)</v>
      </c>
      <c r="E544" s="129" t="str">
        <v>04 - Thorax</v>
      </c>
      <c r="F544" s="129" t="str">
        <v>Solutions Plus</v>
      </c>
      <c r="G544" s="144" t="str">
        <v>CON-01</v>
      </c>
      <c r="H544" s="129" t="str">
        <v>To confirm</v>
      </c>
      <c r="I544" s="144" t="str">
        <v>No</v>
      </c>
      <c r="J544" s="144" t="str">
        <v>Base</v>
      </c>
      <c r="K544" s="144" t="str">
        <v/>
      </c>
      <c r="L544" s="146">
        <v>23.9</v>
      </c>
      <c r="M544" s="142">
        <v>1313.4</v>
      </c>
      <c r="N544" s="144" t="str">
        <v>Unknown</v>
      </c>
      <c r="O544" s="142" t="str">
        <v/>
      </c>
      <c r="P544" s="142" t="str">
        <v/>
      </c>
      <c r="Q544" s="142">
        <v>54.953974895397494</v>
      </c>
      <c r="R544" s="129" t="str">
        <v>Description – exact</v>
      </c>
      <c r="S544" s="143" t="str">
        <v/>
      </c>
      <c r="T544" s="144" t="str">
        <v>SRC-00</v>
      </c>
      <c r="U544" s="129" t="str">
        <v>S+ row 73</v>
      </c>
      <c r="V544" s="129" t="str">
        <v/>
      </c>
    </row>
    <row r="545" spans="1:22" x14ac:dyDescent="0.2">
      <c r="A545" s="144" t="str">
        <v>T2</v>
      </c>
      <c r="B545" s="145">
        <v>4</v>
      </c>
      <c r="C545" s="129" t="str">
        <v>Bilateral Breast Reduction +/- Free Nipple Grafts</v>
      </c>
      <c r="D545" s="129" t="str">
        <v>T2 – Thorax / Breast (printed twice: 4 and 5 units)</v>
      </c>
      <c r="E545" s="129" t="str">
        <v>04 - Thorax</v>
      </c>
      <c r="F545" s="129" t="str">
        <v>Solutions Plus</v>
      </c>
      <c r="G545" s="144" t="str">
        <v>CON-01</v>
      </c>
      <c r="H545" s="129" t="str">
        <v>To confirm</v>
      </c>
      <c r="I545" s="144" t="str">
        <v>No</v>
      </c>
      <c r="J545" s="144" t="str">
        <v>Base</v>
      </c>
      <c r="K545" s="144" t="str">
        <v/>
      </c>
      <c r="L545" s="146">
        <v>17.100000000000001</v>
      </c>
      <c r="M545" s="142">
        <v>939.95</v>
      </c>
      <c r="N545" s="144" t="str">
        <v>Unknown</v>
      </c>
      <c r="O545" s="142" t="str">
        <v/>
      </c>
      <c r="P545" s="142" t="str">
        <v/>
      </c>
      <c r="Q545" s="142">
        <v>54.967836257309941</v>
      </c>
      <c r="R545" s="129" t="str">
        <v>Description – exact</v>
      </c>
      <c r="S545" s="143" t="str">
        <v/>
      </c>
      <c r="T545" s="144" t="str">
        <v>SRC-00</v>
      </c>
      <c r="U545" s="129" t="str">
        <v>S+ row 75</v>
      </c>
      <c r="V545" s="129" t="str">
        <v/>
      </c>
    </row>
    <row r="546" spans="1:22" x14ac:dyDescent="0.2">
      <c r="A546" s="144" t="str">
        <v>T2</v>
      </c>
      <c r="B546" s="145">
        <v>4</v>
      </c>
      <c r="C546" s="129" t="str">
        <v>Bilateral Breast Reduction Amended CDHB</v>
      </c>
      <c r="D546" s="129" t="str">
        <v>T2 – Thorax / Breast (printed twice: 4 and 5 units)</v>
      </c>
      <c r="E546" s="129" t="str">
        <v>04 - Thorax</v>
      </c>
      <c r="F546" s="129" t="str">
        <v>Solutions Plus</v>
      </c>
      <c r="G546" s="144" t="str">
        <v>CON-01</v>
      </c>
      <c r="H546" s="129" t="str">
        <v>To confirm</v>
      </c>
      <c r="I546" s="144" t="str">
        <v>No</v>
      </c>
      <c r="J546" s="144" t="str">
        <v>Base</v>
      </c>
      <c r="K546" s="144" t="str">
        <v/>
      </c>
      <c r="L546" s="146">
        <v>20</v>
      </c>
      <c r="M546" s="142">
        <v>1100</v>
      </c>
      <c r="N546" s="144" t="str">
        <v>Unknown</v>
      </c>
      <c r="O546" s="142" t="str">
        <v/>
      </c>
      <c r="P546" s="142" t="str">
        <v/>
      </c>
      <c r="Q546" s="142">
        <v>55</v>
      </c>
      <c r="R546" s="129" t="str">
        <v>Description – exact</v>
      </c>
      <c r="S546" s="143" t="str">
        <v/>
      </c>
      <c r="T546" s="144" t="str">
        <v>SRC-00</v>
      </c>
      <c r="U546" s="129" t="str">
        <v>S+ row 76</v>
      </c>
      <c r="V546" s="129" t="str">
        <v/>
      </c>
    </row>
    <row r="547" spans="1:22" x14ac:dyDescent="0.2">
      <c r="A547" s="144" t="str">
        <v>T2</v>
      </c>
      <c r="B547" s="145">
        <v>4</v>
      </c>
      <c r="C547" s="129" t="str">
        <v>Bilateral Breast Reduction CDHB</v>
      </c>
      <c r="D547" s="129" t="str">
        <v>T2 – Thorax / Breast (printed twice: 4 and 5 units)</v>
      </c>
      <c r="E547" s="129" t="str">
        <v>04 - Thorax</v>
      </c>
      <c r="F547" s="129" t="str">
        <v>Solutions Plus</v>
      </c>
      <c r="G547" s="144" t="str">
        <v>CON-01</v>
      </c>
      <c r="H547" s="129" t="str">
        <v>To confirm</v>
      </c>
      <c r="I547" s="144" t="str">
        <v>No</v>
      </c>
      <c r="J547" s="144" t="str">
        <v>Base</v>
      </c>
      <c r="K547" s="144" t="str">
        <v/>
      </c>
      <c r="L547" s="146">
        <v>20</v>
      </c>
      <c r="M547" s="142">
        <v>1099.45</v>
      </c>
      <c r="N547" s="144" t="str">
        <v>Unknown</v>
      </c>
      <c r="O547" s="142" t="str">
        <v/>
      </c>
      <c r="P547" s="142" t="str">
        <v/>
      </c>
      <c r="Q547" s="142">
        <v>54.972500000000004</v>
      </c>
      <c r="R547" s="129" t="str">
        <v>Description – exact</v>
      </c>
      <c r="S547" s="143" t="str">
        <v/>
      </c>
      <c r="T547" s="144" t="str">
        <v>SRC-00</v>
      </c>
      <c r="U547" s="129" t="str">
        <v>S+ row 72</v>
      </c>
      <c r="V547" s="129" t="str">
        <v/>
      </c>
    </row>
    <row r="548" spans="1:22" x14ac:dyDescent="0.2">
      <c r="A548" s="144" t="str">
        <v>T2</v>
      </c>
      <c r="B548" s="145">
        <v>4</v>
      </c>
      <c r="C548" s="129" t="str">
        <v>Bilateral Breast Reduction With Lateral Liposuction</v>
      </c>
      <c r="D548" s="129" t="str">
        <v>T2 – Thorax / Breast (printed twice: 4 and 5 units)</v>
      </c>
      <c r="E548" s="129" t="str">
        <v>04 - Thorax</v>
      </c>
      <c r="F548" s="129" t="str">
        <v>Solutions Plus</v>
      </c>
      <c r="G548" s="144" t="str">
        <v>CON-01</v>
      </c>
      <c r="H548" s="129" t="str">
        <v>To confirm</v>
      </c>
      <c r="I548" s="144" t="str">
        <v>No</v>
      </c>
      <c r="J548" s="144" t="str">
        <v>Base</v>
      </c>
      <c r="K548" s="144" t="str">
        <v/>
      </c>
      <c r="L548" s="146">
        <v>24</v>
      </c>
      <c r="M548" s="142">
        <v>1320</v>
      </c>
      <c r="N548" s="144" t="str">
        <v>Unknown</v>
      </c>
      <c r="O548" s="142" t="str">
        <v/>
      </c>
      <c r="P548" s="142" t="str">
        <v/>
      </c>
      <c r="Q548" s="142">
        <v>55</v>
      </c>
      <c r="R548" s="129" t="str">
        <v>Description – exact</v>
      </c>
      <c r="S548" s="143" t="str">
        <v/>
      </c>
      <c r="T548" s="144" t="str">
        <v>SRC-00</v>
      </c>
      <c r="U548" s="129" t="str">
        <v>S+ row 77</v>
      </c>
      <c r="V548" s="129" t="str">
        <v/>
      </c>
    </row>
    <row r="549" spans="1:22" x14ac:dyDescent="0.2">
      <c r="A549" s="144" t="str">
        <v>T2</v>
      </c>
      <c r="B549" s="145">
        <v>4</v>
      </c>
      <c r="C549" s="129" t="str">
        <v>Bilateral Gynaecomastia</v>
      </c>
      <c r="D549" s="129" t="str">
        <v>T2 – Thorax / Breast (printed twice: 4 and 5 units)</v>
      </c>
      <c r="E549" s="129" t="str">
        <v>04 - Thorax</v>
      </c>
      <c r="F549" s="129" t="str">
        <v>Solutions Plus</v>
      </c>
      <c r="G549" s="144" t="str">
        <v>CON-01</v>
      </c>
      <c r="H549" s="129" t="str">
        <v>To confirm</v>
      </c>
      <c r="I549" s="144" t="str">
        <v>No</v>
      </c>
      <c r="J549" s="144" t="str">
        <v>Base</v>
      </c>
      <c r="K549" s="144" t="str">
        <v/>
      </c>
      <c r="L549" s="146">
        <v>19.100000000000001</v>
      </c>
      <c r="M549" s="142">
        <v>1048.3</v>
      </c>
      <c r="N549" s="144" t="str">
        <v>Unknown</v>
      </c>
      <c r="O549" s="142" t="str">
        <v/>
      </c>
      <c r="P549" s="142" t="str">
        <v/>
      </c>
      <c r="Q549" s="142">
        <v>54.884816753926692</v>
      </c>
      <c r="R549" s="129" t="str">
        <v>Description – likely</v>
      </c>
      <c r="S549" s="143" t="str">
        <v/>
      </c>
      <c r="T549" s="144" t="str">
        <v>SRC-00</v>
      </c>
      <c r="U549" s="129" t="str">
        <v>S+ row 91</v>
      </c>
      <c r="V549" s="129" t="str">
        <v/>
      </c>
    </row>
    <row r="550" spans="1:22" x14ac:dyDescent="0.2">
      <c r="A550" s="144" t="str">
        <v>T2</v>
      </c>
      <c r="B550" s="145">
        <v>4</v>
      </c>
      <c r="C550" s="129" t="str">
        <v>Bilateral Implant Removal &amp; Capsulectomies</v>
      </c>
      <c r="D550" s="129" t="str">
        <v>T2 – Thorax / Breast (printed twice: 4 and 5 units)</v>
      </c>
      <c r="E550" s="129" t="str">
        <v>04 - Thorax</v>
      </c>
      <c r="F550" s="129" t="str">
        <v>Solutions Plus</v>
      </c>
      <c r="G550" s="144" t="str">
        <v>CON-01</v>
      </c>
      <c r="H550" s="129" t="str">
        <v>To confirm</v>
      </c>
      <c r="I550" s="144" t="str">
        <v>No</v>
      </c>
      <c r="J550" s="144" t="str">
        <v>Base</v>
      </c>
      <c r="K550" s="144" t="str">
        <v/>
      </c>
      <c r="L550" s="146">
        <v>15.5</v>
      </c>
      <c r="M550" s="142">
        <v>852.5</v>
      </c>
      <c r="N550" s="144" t="str">
        <v>Unknown</v>
      </c>
      <c r="O550" s="142" t="str">
        <v/>
      </c>
      <c r="P550" s="142" t="str">
        <v/>
      </c>
      <c r="Q550" s="142">
        <v>55</v>
      </c>
      <c r="R550" s="129" t="str">
        <v>Description – likely</v>
      </c>
      <c r="S550" s="143" t="str">
        <v/>
      </c>
      <c r="T550" s="144" t="str">
        <v>SRC-00</v>
      </c>
      <c r="U550" s="129" t="str">
        <v>S+ row 92</v>
      </c>
      <c r="V550" s="129" t="str">
        <v/>
      </c>
    </row>
    <row r="551" spans="1:22" x14ac:dyDescent="0.2">
      <c r="A551" s="144" t="str">
        <v>T2</v>
      </c>
      <c r="B551" s="145">
        <v>4</v>
      </c>
      <c r="C551" s="129" t="str">
        <v>Bilateral Implant Removal, Capsulectomies And Ne</v>
      </c>
      <c r="D551" s="129" t="str">
        <v>T2 – Thorax / Breast (printed twice: 4 and 5 units)</v>
      </c>
      <c r="E551" s="129" t="str">
        <v>04 - Thorax</v>
      </c>
      <c r="F551" s="129" t="str">
        <v>Solutions Plus</v>
      </c>
      <c r="G551" s="144" t="str">
        <v>CON-01</v>
      </c>
      <c r="H551" s="129" t="str">
        <v>To confirm</v>
      </c>
      <c r="I551" s="144" t="str">
        <v>No</v>
      </c>
      <c r="J551" s="144" t="str">
        <v>Base</v>
      </c>
      <c r="K551" s="144" t="str">
        <v/>
      </c>
      <c r="L551" s="146">
        <v>17</v>
      </c>
      <c r="M551" s="142">
        <v>935</v>
      </c>
      <c r="N551" s="144" t="str">
        <v>Unknown</v>
      </c>
      <c r="O551" s="142" t="str">
        <v/>
      </c>
      <c r="P551" s="142" t="str">
        <v/>
      </c>
      <c r="Q551" s="142">
        <v>55</v>
      </c>
      <c r="R551" s="129" t="str">
        <v>Description – likely</v>
      </c>
      <c r="S551" s="143" t="str">
        <v/>
      </c>
      <c r="T551" s="144" t="str">
        <v>SRC-00</v>
      </c>
      <c r="U551" s="129" t="str">
        <v>S+ row 93</v>
      </c>
      <c r="V551" s="129" t="str">
        <v/>
      </c>
    </row>
    <row r="552" spans="1:22" x14ac:dyDescent="0.2">
      <c r="A552" s="144" t="str">
        <v>T2</v>
      </c>
      <c r="B552" s="145">
        <v>4</v>
      </c>
      <c r="C552" s="129" t="str">
        <v>Bilateral Mastectomies</v>
      </c>
      <c r="D552" s="129" t="str">
        <v>T2 – Thorax / Breast (printed twice: 4 and 5 units)</v>
      </c>
      <c r="E552" s="129" t="str">
        <v>04 - Thorax</v>
      </c>
      <c r="F552" s="129" t="str">
        <v>Solutions Plus</v>
      </c>
      <c r="G552" s="144" t="str">
        <v>CON-01</v>
      </c>
      <c r="H552" s="129" t="str">
        <v>To confirm</v>
      </c>
      <c r="I552" s="144" t="str">
        <v>No</v>
      </c>
      <c r="J552" s="144" t="str">
        <v>Base</v>
      </c>
      <c r="K552" s="144" t="str">
        <v/>
      </c>
      <c r="L552" s="146">
        <v>23.7</v>
      </c>
      <c r="M552" s="142">
        <v>1301.3</v>
      </c>
      <c r="N552" s="144" t="str">
        <v>Unknown</v>
      </c>
      <c r="O552" s="142" t="str">
        <v/>
      </c>
      <c r="P552" s="142" t="str">
        <v/>
      </c>
      <c r="Q552" s="142">
        <v>54.907172995780591</v>
      </c>
      <c r="R552" s="129" t="str">
        <v>Description – exact</v>
      </c>
      <c r="S552" s="143" t="str">
        <v/>
      </c>
      <c r="T552" s="144" t="str">
        <v>SRC-00</v>
      </c>
      <c r="U552" s="129" t="str">
        <v>S+ row 97</v>
      </c>
      <c r="V552" s="129" t="str">
        <v/>
      </c>
    </row>
    <row r="553" spans="1:22" x14ac:dyDescent="0.2">
      <c r="A553" s="144" t="str">
        <v>T2</v>
      </c>
      <c r="B553" s="145">
        <v>4</v>
      </c>
      <c r="C553" s="129" t="str">
        <v>Bilateral Mastectomies</v>
      </c>
      <c r="D553" s="129" t="str">
        <v>T2 – Thorax / Breast (printed twice: 4 and 5 units)</v>
      </c>
      <c r="E553" s="129" t="str">
        <v>04 - Thorax</v>
      </c>
      <c r="F553" s="129" t="str">
        <v>Solutions Plus</v>
      </c>
      <c r="G553" s="144" t="str">
        <v>CON-01</v>
      </c>
      <c r="H553" s="129" t="str">
        <v>To confirm</v>
      </c>
      <c r="I553" s="144" t="str">
        <v>No</v>
      </c>
      <c r="J553" s="144" t="str">
        <v>Base</v>
      </c>
      <c r="K553" s="144" t="str">
        <v/>
      </c>
      <c r="L553" s="146">
        <v>23.7</v>
      </c>
      <c r="M553" s="142">
        <v>1301.3</v>
      </c>
      <c r="N553" s="144" t="str">
        <v>Unknown</v>
      </c>
      <c r="O553" s="142" t="str">
        <v/>
      </c>
      <c r="P553" s="142" t="str">
        <v/>
      </c>
      <c r="Q553" s="142">
        <v>54.907172995780591</v>
      </c>
      <c r="R553" s="129" t="str">
        <v>Description – exact</v>
      </c>
      <c r="S553" s="143" t="str">
        <v/>
      </c>
      <c r="T553" s="144" t="str">
        <v>SRC-00</v>
      </c>
      <c r="U553" s="129" t="str">
        <v>S+ row 98</v>
      </c>
      <c r="V553" s="129" t="str">
        <v/>
      </c>
    </row>
    <row r="554" spans="1:22" x14ac:dyDescent="0.2">
      <c r="A554" s="144" t="str">
        <v>T2</v>
      </c>
      <c r="B554" s="145">
        <v>4</v>
      </c>
      <c r="C554" s="129" t="str">
        <v>Bilateral Mastectomies - Gender Reasignment</v>
      </c>
      <c r="D554" s="129" t="str">
        <v>T2 – Thorax / Breast (printed twice: 4 and 5 units)</v>
      </c>
      <c r="E554" s="129" t="str">
        <v>04 - Thorax</v>
      </c>
      <c r="F554" s="129" t="str">
        <v>Solutions Plus</v>
      </c>
      <c r="G554" s="144" t="str">
        <v>CON-01</v>
      </c>
      <c r="H554" s="129" t="str">
        <v>To confirm</v>
      </c>
      <c r="I554" s="144" t="str">
        <v>No</v>
      </c>
      <c r="J554" s="144" t="str">
        <v>Base</v>
      </c>
      <c r="K554" s="144" t="str">
        <v/>
      </c>
      <c r="L554" s="146">
        <v>22.3</v>
      </c>
      <c r="M554" s="142">
        <v>1228.7</v>
      </c>
      <c r="N554" s="144" t="str">
        <v>Unknown</v>
      </c>
      <c r="O554" s="142" t="str">
        <v/>
      </c>
      <c r="P554" s="142" t="str">
        <v/>
      </c>
      <c r="Q554" s="142">
        <v>55.098654708520179</v>
      </c>
      <c r="R554" s="129" t="str">
        <v>Description – exact</v>
      </c>
      <c r="S554" s="143" t="str">
        <v/>
      </c>
      <c r="T554" s="144" t="str">
        <v>SRC-00</v>
      </c>
      <c r="U554" s="129" t="str">
        <v>S+ row 99</v>
      </c>
      <c r="V554" s="129" t="str">
        <v/>
      </c>
    </row>
    <row r="555" spans="1:22" x14ac:dyDescent="0.2">
      <c r="A555" s="144" t="str">
        <v>T2</v>
      </c>
      <c r="B555" s="145">
        <v>4</v>
      </c>
      <c r="C555" s="129" t="str">
        <v>Bilateral Mastectomies - Gender Reassignment</v>
      </c>
      <c r="D555" s="129" t="str">
        <v>T2 – Thorax / Breast (printed twice: 4 and 5 units)</v>
      </c>
      <c r="E555" s="129" t="str">
        <v>04 - Thorax</v>
      </c>
      <c r="F555" s="129" t="str">
        <v>Solutions Plus</v>
      </c>
      <c r="G555" s="144" t="str">
        <v>CON-01</v>
      </c>
      <c r="H555" s="129" t="str">
        <v>To confirm</v>
      </c>
      <c r="I555" s="144" t="str">
        <v>No</v>
      </c>
      <c r="J555" s="144" t="str">
        <v>Base</v>
      </c>
      <c r="K555" s="144" t="str">
        <v/>
      </c>
      <c r="L555" s="146">
        <v>22.4</v>
      </c>
      <c r="M555" s="142">
        <v>1233.0999999999999</v>
      </c>
      <c r="N555" s="144" t="str">
        <v>Unknown</v>
      </c>
      <c r="O555" s="142" t="str">
        <v/>
      </c>
      <c r="P555" s="142" t="str">
        <v/>
      </c>
      <c r="Q555" s="142">
        <v>55.049107142857139</v>
      </c>
      <c r="R555" s="129" t="str">
        <v>Description – exact</v>
      </c>
      <c r="S555" s="143" t="str">
        <v/>
      </c>
      <c r="T555" s="144" t="str">
        <v>SRC-00</v>
      </c>
      <c r="U555" s="129" t="str">
        <v>S+ row 100</v>
      </c>
      <c r="V555" s="129" t="str">
        <v/>
      </c>
    </row>
    <row r="556" spans="1:22" x14ac:dyDescent="0.2">
      <c r="A556" s="144" t="str">
        <v>T2</v>
      </c>
      <c r="B556" s="145">
        <v>4</v>
      </c>
      <c r="C556" s="129" t="str">
        <v>Bilateral Mastectomies Gender Reassignment</v>
      </c>
      <c r="D556" s="129" t="str">
        <v>T2 – Thorax / Breast (printed twice: 4 and 5 units)</v>
      </c>
      <c r="E556" s="129" t="str">
        <v>04 - Thorax</v>
      </c>
      <c r="F556" s="129" t="str">
        <v>Solutions Plus</v>
      </c>
      <c r="G556" s="144" t="str">
        <v>CON-01</v>
      </c>
      <c r="H556" s="129" t="str">
        <v>To confirm</v>
      </c>
      <c r="I556" s="144" t="str">
        <v>No</v>
      </c>
      <c r="J556" s="144" t="str">
        <v>Base</v>
      </c>
      <c r="K556" s="144" t="str">
        <v/>
      </c>
      <c r="L556" s="146">
        <v>23.2</v>
      </c>
      <c r="M556" s="142">
        <v>1276.55</v>
      </c>
      <c r="N556" s="144" t="str">
        <v>Unknown</v>
      </c>
      <c r="O556" s="142" t="str">
        <v/>
      </c>
      <c r="P556" s="142" t="str">
        <v/>
      </c>
      <c r="Q556" s="142">
        <v>55.023706896551722</v>
      </c>
      <c r="R556" s="129" t="str">
        <v>Description – exact</v>
      </c>
      <c r="S556" s="143" t="str">
        <v/>
      </c>
      <c r="T556" s="144" t="str">
        <v>SRC-00</v>
      </c>
      <c r="U556" s="129" t="str">
        <v>S+ row 101</v>
      </c>
      <c r="V556" s="129" t="str">
        <v/>
      </c>
    </row>
    <row r="557" spans="1:22" x14ac:dyDescent="0.2">
      <c r="A557" s="144" t="str">
        <v>T2</v>
      </c>
      <c r="B557" s="145">
        <v>4</v>
      </c>
      <c r="C557" s="129" t="str">
        <v>Bilateral Mastopexies</v>
      </c>
      <c r="D557" s="129" t="str">
        <v>T2 – Thorax / Breast (printed twice: 4 and 5 units)</v>
      </c>
      <c r="E557" s="129" t="str">
        <v>04 - Thorax</v>
      </c>
      <c r="F557" s="129" t="str">
        <v>Solutions Plus</v>
      </c>
      <c r="G557" s="144" t="str">
        <v>CON-01</v>
      </c>
      <c r="H557" s="129" t="str">
        <v>To confirm</v>
      </c>
      <c r="I557" s="144" t="str">
        <v>No</v>
      </c>
      <c r="J557" s="144" t="str">
        <v>Base</v>
      </c>
      <c r="K557" s="144" t="str">
        <v/>
      </c>
      <c r="L557" s="146">
        <v>20.8</v>
      </c>
      <c r="M557" s="142">
        <v>1144</v>
      </c>
      <c r="N557" s="144" t="str">
        <v>Unknown</v>
      </c>
      <c r="O557" s="142" t="str">
        <v/>
      </c>
      <c r="P557" s="142" t="str">
        <v/>
      </c>
      <c r="Q557" s="142">
        <v>55</v>
      </c>
      <c r="R557" s="129" t="str">
        <v>Description – likely</v>
      </c>
      <c r="S557" s="143" t="str">
        <v/>
      </c>
      <c r="T557" s="144" t="str">
        <v>SRC-00</v>
      </c>
      <c r="U557" s="129" t="str">
        <v>S+ row 102</v>
      </c>
      <c r="V557" s="129" t="str">
        <v/>
      </c>
    </row>
    <row r="558" spans="1:22" x14ac:dyDescent="0.2">
      <c r="A558" s="144" t="str">
        <v>T2</v>
      </c>
      <c r="B558" s="145">
        <v>4</v>
      </c>
      <c r="C558" s="129" t="str">
        <v>Bilateral Modified Robertson Reduction Mammoplas</v>
      </c>
      <c r="D558" s="129" t="str">
        <v>T2 – Thorax / Breast (printed twice: 4 and 5 units)</v>
      </c>
      <c r="E558" s="129" t="str">
        <v>04 - Thorax</v>
      </c>
      <c r="F558" s="129" t="str">
        <v>Solutions Plus</v>
      </c>
      <c r="G558" s="144" t="str">
        <v>CON-01</v>
      </c>
      <c r="H558" s="129" t="str">
        <v>To confirm</v>
      </c>
      <c r="I558" s="144" t="str">
        <v>No</v>
      </c>
      <c r="J558" s="144" t="str">
        <v>Base</v>
      </c>
      <c r="K558" s="144" t="str">
        <v/>
      </c>
      <c r="L558" s="146">
        <v>38</v>
      </c>
      <c r="M558" s="142">
        <v>2090</v>
      </c>
      <c r="N558" s="144" t="str">
        <v>Unknown</v>
      </c>
      <c r="O558" s="142" t="str">
        <v/>
      </c>
      <c r="P558" s="142" t="str">
        <v/>
      </c>
      <c r="Q558" s="142">
        <v>55</v>
      </c>
      <c r="R558" s="129" t="str">
        <v>Description – exact</v>
      </c>
      <c r="S558" s="143" t="str">
        <v/>
      </c>
      <c r="T558" s="144" t="str">
        <v>SRC-00</v>
      </c>
      <c r="U558" s="129" t="str">
        <v>S+ row 103</v>
      </c>
      <c r="V558" s="129" t="str">
        <v/>
      </c>
    </row>
    <row r="559" spans="1:22" x14ac:dyDescent="0.2">
      <c r="A559" s="144" t="str">
        <v>T2</v>
      </c>
      <c r="B559" s="145">
        <v>4</v>
      </c>
      <c r="C559" s="129" t="str">
        <v>Breast Augmentation</v>
      </c>
      <c r="D559" s="129" t="str">
        <v>T2 – Thorax / Breast (printed twice: 4 and 5 units)</v>
      </c>
      <c r="E559" s="129" t="str">
        <v>04 - Thorax</v>
      </c>
      <c r="F559" s="129" t="str">
        <v>Solutions Plus</v>
      </c>
      <c r="G559" s="144" t="str">
        <v>CON-01</v>
      </c>
      <c r="H559" s="129" t="str">
        <v>To confirm</v>
      </c>
      <c r="I559" s="144" t="str">
        <v>No</v>
      </c>
      <c r="J559" s="144" t="str">
        <v>Base</v>
      </c>
      <c r="K559" s="144" t="str">
        <v/>
      </c>
      <c r="L559" s="146">
        <v>4.9000000000000004</v>
      </c>
      <c r="M559" s="142">
        <v>269.5</v>
      </c>
      <c r="N559" s="144" t="str">
        <v>Unknown</v>
      </c>
      <c r="O559" s="142" t="str">
        <v/>
      </c>
      <c r="P559" s="142" t="str">
        <v/>
      </c>
      <c r="Q559" s="142">
        <v>54.999999999999993</v>
      </c>
      <c r="R559" s="129" t="str">
        <v>Description – exact</v>
      </c>
      <c r="S559" s="143" t="str">
        <v/>
      </c>
      <c r="T559" s="144" t="str">
        <v>SRC-00</v>
      </c>
      <c r="U559" s="129" t="str">
        <v>S+ row 136</v>
      </c>
      <c r="V559" s="129" t="str">
        <v/>
      </c>
    </row>
    <row r="560" spans="1:22" x14ac:dyDescent="0.2">
      <c r="A560" s="144" t="str">
        <v>T2</v>
      </c>
      <c r="B560" s="145">
        <v>4</v>
      </c>
      <c r="C560" s="129" t="str">
        <v>Breast Augmentation</v>
      </c>
      <c r="D560" s="129" t="str">
        <v>T2 – Thorax / Breast (printed twice: 4 and 5 units)</v>
      </c>
      <c r="E560" s="129" t="str">
        <v>04 - Thorax</v>
      </c>
      <c r="F560" s="129" t="str">
        <v>Solutions Plus</v>
      </c>
      <c r="G560" s="144" t="str">
        <v>CON-01</v>
      </c>
      <c r="H560" s="129" t="str">
        <v>To confirm</v>
      </c>
      <c r="I560" s="144" t="str">
        <v>No</v>
      </c>
      <c r="J560" s="144" t="str">
        <v>Base</v>
      </c>
      <c r="K560" s="144" t="str">
        <v/>
      </c>
      <c r="L560" s="146">
        <v>4.9000000000000004</v>
      </c>
      <c r="M560" s="142">
        <v>269.5</v>
      </c>
      <c r="N560" s="144" t="str">
        <v>Unknown</v>
      </c>
      <c r="O560" s="142" t="str">
        <v/>
      </c>
      <c r="P560" s="142" t="str">
        <v/>
      </c>
      <c r="Q560" s="142">
        <v>54.999999999999993</v>
      </c>
      <c r="R560" s="129" t="str">
        <v>Description – exact</v>
      </c>
      <c r="S560" s="143" t="str">
        <v/>
      </c>
      <c r="T560" s="144" t="str">
        <v>SRC-00</v>
      </c>
      <c r="U560" s="129" t="str">
        <v>S+ row 137</v>
      </c>
      <c r="V560" s="129" t="str">
        <v/>
      </c>
    </row>
    <row r="561" spans="1:22" x14ac:dyDescent="0.2">
      <c r="A561" s="144" t="str">
        <v>T2</v>
      </c>
      <c r="B561" s="145">
        <v>4</v>
      </c>
      <c r="C561" s="129" t="str">
        <v>Breast augmentation</v>
      </c>
      <c r="D561" s="129" t="str">
        <v>T2 – Thorax / Breast (printed twice: 4 and 5 units)</v>
      </c>
      <c r="E561" s="129" t="str">
        <v>04 - Thorax</v>
      </c>
      <c r="F561" s="129" t="str">
        <v>Merivale PS – Self-funding</v>
      </c>
      <c r="G561" s="144" t="str">
        <v>CON-08</v>
      </c>
      <c r="H561" s="129" t="str">
        <v>Fixed fee schedule</v>
      </c>
      <c r="I561" s="144" t="str">
        <v>Yes</v>
      </c>
      <c r="J561" s="144" t="str">
        <v>Base</v>
      </c>
      <c r="K561" s="144" t="str">
        <v/>
      </c>
      <c r="L561" s="146" t="str">
        <v/>
      </c>
      <c r="M561" s="142">
        <v>1495</v>
      </c>
      <c r="N561" s="144" t="str">
        <v>Incl</v>
      </c>
      <c r="O561" s="142">
        <v>1300</v>
      </c>
      <c r="P561" s="142">
        <v>1495</v>
      </c>
      <c r="Q561" s="142" t="str">
        <v/>
      </c>
      <c r="R561" s="129" t="str">
        <v>Description – exact</v>
      </c>
      <c r="S561" s="143">
        <v>46174</v>
      </c>
      <c r="T561" s="144" t="str">
        <v>SRC-04</v>
      </c>
      <c r="U561" s="129" t="str">
        <v>p.1</v>
      </c>
      <c r="V561" s="129" t="str">
        <v>Self-funding patients of Dr Kerri Mooney (Merivale Plastic Surgery) only; anaesthetist invoices patient directly. Next review 1 Jun 2027.</v>
      </c>
    </row>
    <row r="562" spans="1:22" x14ac:dyDescent="0.2">
      <c r="A562" s="144" t="str">
        <v>T2</v>
      </c>
      <c r="B562" s="145">
        <v>4</v>
      </c>
      <c r="C562" s="129" t="str">
        <v>Breast Augmentation Gender Reassignment</v>
      </c>
      <c r="D562" s="129" t="str">
        <v>T2 – Thorax / Breast (printed twice: 4 and 5 units)</v>
      </c>
      <c r="E562" s="129" t="str">
        <v>04 - Thorax</v>
      </c>
      <c r="F562" s="129" t="str">
        <v>Solutions Plus</v>
      </c>
      <c r="G562" s="144" t="str">
        <v>CON-01</v>
      </c>
      <c r="H562" s="129" t="str">
        <v>To confirm</v>
      </c>
      <c r="I562" s="144" t="str">
        <v>No</v>
      </c>
      <c r="J562" s="144" t="str">
        <v>Base</v>
      </c>
      <c r="K562" s="144" t="str">
        <v/>
      </c>
      <c r="L562" s="146">
        <v>16</v>
      </c>
      <c r="M562" s="142">
        <v>880</v>
      </c>
      <c r="N562" s="144" t="str">
        <v>Unknown</v>
      </c>
      <c r="O562" s="142" t="str">
        <v/>
      </c>
      <c r="P562" s="142" t="str">
        <v/>
      </c>
      <c r="Q562" s="142">
        <v>55</v>
      </c>
      <c r="R562" s="129" t="str">
        <v>Description – exact</v>
      </c>
      <c r="S562" s="143" t="str">
        <v/>
      </c>
      <c r="T562" s="144" t="str">
        <v>SRC-00</v>
      </c>
      <c r="U562" s="129" t="str">
        <v>S+ row 138</v>
      </c>
      <c r="V562" s="129" t="str">
        <v/>
      </c>
    </row>
    <row r="563" spans="1:22" x14ac:dyDescent="0.2">
      <c r="A563" s="144" t="str">
        <v>T2</v>
      </c>
      <c r="B563" s="145">
        <v>4</v>
      </c>
      <c r="C563" s="129" t="str">
        <v>Breast Augmentation Revision - Implant Exchange,</v>
      </c>
      <c r="D563" s="129" t="str">
        <v>T2 – Thorax / Breast (printed twice: 4 and 5 units)</v>
      </c>
      <c r="E563" s="129" t="str">
        <v>04 - Thorax</v>
      </c>
      <c r="F563" s="129" t="str">
        <v>Solutions Plus</v>
      </c>
      <c r="G563" s="144" t="str">
        <v>CON-01</v>
      </c>
      <c r="H563" s="129" t="str">
        <v>To confirm</v>
      </c>
      <c r="I563" s="144" t="str">
        <v>No</v>
      </c>
      <c r="J563" s="144" t="str">
        <v>Base</v>
      </c>
      <c r="K563" s="144" t="str">
        <v/>
      </c>
      <c r="L563" s="146">
        <v>23</v>
      </c>
      <c r="M563" s="142">
        <v>1265</v>
      </c>
      <c r="N563" s="144" t="str">
        <v>Unknown</v>
      </c>
      <c r="O563" s="142" t="str">
        <v/>
      </c>
      <c r="P563" s="142" t="str">
        <v/>
      </c>
      <c r="Q563" s="142">
        <v>55</v>
      </c>
      <c r="R563" s="129" t="str">
        <v>Description – exact</v>
      </c>
      <c r="S563" s="143" t="str">
        <v/>
      </c>
      <c r="T563" s="144" t="str">
        <v>SRC-00</v>
      </c>
      <c r="U563" s="129" t="str">
        <v>S+ row 139</v>
      </c>
      <c r="V563" s="129" t="str">
        <v/>
      </c>
    </row>
    <row r="564" spans="1:22" x14ac:dyDescent="0.2">
      <c r="A564" s="144" t="str">
        <v>T2</v>
      </c>
      <c r="B564" s="145">
        <v>4</v>
      </c>
      <c r="C564" s="129" t="str">
        <v>Breast augmentation with fat grafting</v>
      </c>
      <c r="D564" s="129" t="str">
        <v>T2 – Thorax / Breast (printed twice: 4 and 5 units)</v>
      </c>
      <c r="E564" s="129" t="str">
        <v>04 - Thorax</v>
      </c>
      <c r="F564" s="129" t="str">
        <v>Merivale PS – Self-funding</v>
      </c>
      <c r="G564" s="144" t="str">
        <v>CON-08</v>
      </c>
      <c r="H564" s="129" t="str">
        <v>Fixed fee schedule</v>
      </c>
      <c r="I564" s="144" t="str">
        <v>Yes</v>
      </c>
      <c r="J564" s="144" t="str">
        <v>Base</v>
      </c>
      <c r="K564" s="144" t="str">
        <v/>
      </c>
      <c r="L564" s="146" t="str">
        <v/>
      </c>
      <c r="M564" s="142">
        <v>1725</v>
      </c>
      <c r="N564" s="144" t="str">
        <v>Incl</v>
      </c>
      <c r="O564" s="142">
        <v>1500.0000000000002</v>
      </c>
      <c r="P564" s="142">
        <v>1725</v>
      </c>
      <c r="Q564" s="142" t="str">
        <v/>
      </c>
      <c r="R564" s="129" t="str">
        <v>Description – likely</v>
      </c>
      <c r="S564" s="143">
        <v>46174</v>
      </c>
      <c r="T564" s="144" t="str">
        <v>SRC-04</v>
      </c>
      <c r="U564" s="129" t="str">
        <v>p.1</v>
      </c>
      <c r="V564" s="129" t="str">
        <v>Self-funding patients of Dr Kerri Mooney (Merivale Plastic Surgery) only; anaesthetist invoices patient directly. Next review 1 Jun 2027. Likely: augmentation (T2) plus fat grafting, which the RVG does not list.</v>
      </c>
    </row>
    <row r="565" spans="1:22" x14ac:dyDescent="0.2">
      <c r="A565" s="144" t="str">
        <v>T2</v>
      </c>
      <c r="B565" s="145">
        <v>4</v>
      </c>
      <c r="C565" s="129" t="str">
        <v>Breast Reduction</v>
      </c>
      <c r="D565" s="129" t="str">
        <v>T2 – Thorax / Breast (printed twice: 4 and 5 units)</v>
      </c>
      <c r="E565" s="129" t="str">
        <v>04 - Thorax</v>
      </c>
      <c r="F565" s="129" t="str">
        <v>Solutions Plus</v>
      </c>
      <c r="G565" s="144" t="str">
        <v>CON-01</v>
      </c>
      <c r="H565" s="129" t="str">
        <v>To confirm</v>
      </c>
      <c r="I565" s="144" t="str">
        <v>No</v>
      </c>
      <c r="J565" s="144" t="str">
        <v>Base</v>
      </c>
      <c r="K565" s="144" t="str">
        <v/>
      </c>
      <c r="L565" s="146">
        <v>18.899999999999999</v>
      </c>
      <c r="M565" s="142">
        <v>1038.4000000000001</v>
      </c>
      <c r="N565" s="144" t="str">
        <v>Unknown</v>
      </c>
      <c r="O565" s="142" t="str">
        <v/>
      </c>
      <c r="P565" s="142" t="str">
        <v/>
      </c>
      <c r="Q565" s="142">
        <v>54.94179894179895</v>
      </c>
      <c r="R565" s="129" t="str">
        <v>Description – exact</v>
      </c>
      <c r="S565" s="143" t="str">
        <v/>
      </c>
      <c r="T565" s="144" t="str">
        <v>SRC-00</v>
      </c>
      <c r="U565" s="129" t="str">
        <v>S+ row 140</v>
      </c>
      <c r="V565" s="129" t="str">
        <v/>
      </c>
    </row>
    <row r="566" spans="1:22" x14ac:dyDescent="0.2">
      <c r="A566" s="144" t="str">
        <v>T2</v>
      </c>
      <c r="B566" s="145">
        <v>4</v>
      </c>
      <c r="C566" s="129" t="str">
        <v>Breast Reduction - Bilateral - Return To Theatre</v>
      </c>
      <c r="D566" s="129" t="str">
        <v>T2 – Thorax / Breast (printed twice: 4 and 5 units)</v>
      </c>
      <c r="E566" s="129" t="str">
        <v>04 - Thorax</v>
      </c>
      <c r="F566" s="129" t="str">
        <v>Solutions Plus</v>
      </c>
      <c r="G566" s="144" t="str">
        <v>CON-01</v>
      </c>
      <c r="H566" s="129" t="str">
        <v>To confirm</v>
      </c>
      <c r="I566" s="144" t="str">
        <v>No</v>
      </c>
      <c r="J566" s="144" t="str">
        <v>Base</v>
      </c>
      <c r="K566" s="144" t="str">
        <v/>
      </c>
      <c r="L566" s="146">
        <v>0</v>
      </c>
      <c r="M566" s="142">
        <v>0</v>
      </c>
      <c r="N566" s="144" t="str">
        <v>Unknown</v>
      </c>
      <c r="O566" s="142" t="str">
        <v/>
      </c>
      <c r="P566" s="142" t="str">
        <v/>
      </c>
      <c r="Q566" s="142" t="str">
        <v/>
      </c>
      <c r="R566" s="129" t="str">
        <v>Description – exact</v>
      </c>
      <c r="S566" s="143" t="str">
        <v/>
      </c>
      <c r="T566" s="144" t="str">
        <v>SRC-00</v>
      </c>
      <c r="U566" s="129" t="str">
        <v>S+ row 141</v>
      </c>
      <c r="V566" s="129" t="str">
        <v/>
      </c>
    </row>
    <row r="567" spans="1:22" x14ac:dyDescent="0.2">
      <c r="A567" s="144" t="str">
        <v>T2</v>
      </c>
      <c r="B567" s="145">
        <v>4</v>
      </c>
      <c r="C567" s="129" t="str">
        <v>Breast reduction complex</v>
      </c>
      <c r="D567" s="129" t="str">
        <v>T2 – Thorax / Breast (printed twice: 4 and 5 units)</v>
      </c>
      <c r="E567" s="129" t="str">
        <v>04 - Thorax</v>
      </c>
      <c r="F567" s="129" t="str">
        <v>Merivale PS – Self-funding</v>
      </c>
      <c r="G567" s="144" t="str">
        <v>CON-08</v>
      </c>
      <c r="H567" s="129" t="str">
        <v>Fixed fee schedule</v>
      </c>
      <c r="I567" s="144" t="str">
        <v>Yes</v>
      </c>
      <c r="J567" s="144" t="str">
        <v>Base</v>
      </c>
      <c r="K567" s="144" t="str">
        <v/>
      </c>
      <c r="L567" s="146" t="str">
        <v/>
      </c>
      <c r="M567" s="142">
        <v>3105</v>
      </c>
      <c r="N567" s="144" t="str">
        <v>Incl</v>
      </c>
      <c r="O567" s="142">
        <v>2700</v>
      </c>
      <c r="P567" s="142">
        <v>3105</v>
      </c>
      <c r="Q567" s="142" t="str">
        <v/>
      </c>
      <c r="R567" s="129" t="str">
        <v>Description – exact</v>
      </c>
      <c r="S567" s="143">
        <v>46174</v>
      </c>
      <c r="T567" s="144" t="str">
        <v>SRC-04</v>
      </c>
      <c r="U567" s="129" t="str">
        <v>p.1</v>
      </c>
      <c r="V567" s="129" t="str">
        <v>Self-funding patients of Dr Kerri Mooney (Merivale Plastic Surgery) only; anaesthetist invoices patient directly. Next review 1 Jun 2027. 'Simple' vs 'complex' not defined in the schedule.</v>
      </c>
    </row>
    <row r="568" spans="1:22" x14ac:dyDescent="0.2">
      <c r="A568" s="144" t="str">
        <v>T2</v>
      </c>
      <c r="B568" s="145">
        <v>4</v>
      </c>
      <c r="C568" s="129" t="str">
        <v>Breast reduction simple</v>
      </c>
      <c r="D568" s="129" t="str">
        <v>T2 – Thorax / Breast (printed twice: 4 and 5 units)</v>
      </c>
      <c r="E568" s="129" t="str">
        <v>04 - Thorax</v>
      </c>
      <c r="F568" s="129" t="str">
        <v>Merivale PS – Self-funding</v>
      </c>
      <c r="G568" s="144" t="str">
        <v>CON-08</v>
      </c>
      <c r="H568" s="129" t="str">
        <v>Fixed fee schedule</v>
      </c>
      <c r="I568" s="144" t="str">
        <v>Yes</v>
      </c>
      <c r="J568" s="144" t="str">
        <v>Base</v>
      </c>
      <c r="K568" s="144" t="str">
        <v/>
      </c>
      <c r="L568" s="146" t="str">
        <v/>
      </c>
      <c r="M568" s="142">
        <v>2370</v>
      </c>
      <c r="N568" s="144" t="str">
        <v>Incl</v>
      </c>
      <c r="O568" s="142">
        <v>2060.8695652173915</v>
      </c>
      <c r="P568" s="142">
        <v>2370</v>
      </c>
      <c r="Q568" s="142" t="str">
        <v/>
      </c>
      <c r="R568" s="129" t="str">
        <v>Description – exact</v>
      </c>
      <c r="S568" s="143">
        <v>46174</v>
      </c>
      <c r="T568" s="144" t="str">
        <v>SRC-04</v>
      </c>
      <c r="U568" s="129" t="str">
        <v>p.1</v>
      </c>
      <c r="V568" s="129" t="str">
        <v>Self-funding patients of Dr Kerri Mooney (Merivale Plastic Surgery) only; anaesthetist invoices patient directly. Next review 1 Jun 2027. 'Simple' vs 'complex' not defined in the schedule.</v>
      </c>
    </row>
    <row r="569" spans="1:22" x14ac:dyDescent="0.2">
      <c r="A569" s="144" t="str">
        <v>T2</v>
      </c>
      <c r="B569" s="145">
        <v>4</v>
      </c>
      <c r="C569" s="129" t="str">
        <v>CDHB - Bilateral Breast Reduction / Mastopexy</v>
      </c>
      <c r="D569" s="129" t="str">
        <v>T2 – Thorax / Breast (printed twice: 4 and 5 units)</v>
      </c>
      <c r="E569" s="129" t="str">
        <v>04 - Thorax</v>
      </c>
      <c r="F569" s="129" t="str">
        <v>Solutions Plus</v>
      </c>
      <c r="G569" s="144" t="str">
        <v>CON-01</v>
      </c>
      <c r="H569" s="129" t="str">
        <v>To confirm</v>
      </c>
      <c r="I569" s="144" t="str">
        <v>No</v>
      </c>
      <c r="J569" s="144" t="str">
        <v>Base</v>
      </c>
      <c r="K569" s="144" t="str">
        <v/>
      </c>
      <c r="L569" s="146">
        <v>20</v>
      </c>
      <c r="M569" s="142">
        <v>1100</v>
      </c>
      <c r="N569" s="144" t="str">
        <v>Unknown</v>
      </c>
      <c r="O569" s="142" t="str">
        <v/>
      </c>
      <c r="P569" s="142" t="str">
        <v/>
      </c>
      <c r="Q569" s="142">
        <v>55</v>
      </c>
      <c r="R569" s="129" t="str">
        <v>Description – exact</v>
      </c>
      <c r="S569" s="143" t="str">
        <v/>
      </c>
      <c r="T569" s="144" t="str">
        <v>SRC-00</v>
      </c>
      <c r="U569" s="129" t="str">
        <v>S+ row 161</v>
      </c>
      <c r="V569" s="129" t="str">
        <v/>
      </c>
    </row>
    <row r="570" spans="1:22" x14ac:dyDescent="0.2">
      <c r="A570" s="144" t="str">
        <v>T2</v>
      </c>
      <c r="B570" s="145">
        <v>4</v>
      </c>
      <c r="C570" s="129" t="str">
        <v>Correction Of Nipple Inversion</v>
      </c>
      <c r="D570" s="129" t="str">
        <v>T2 – Thorax / Breast (printed twice: 4 and 5 units)</v>
      </c>
      <c r="E570" s="129" t="str">
        <v>04 - Thorax</v>
      </c>
      <c r="F570" s="129" t="str">
        <v>Solutions Plus</v>
      </c>
      <c r="G570" s="144" t="str">
        <v>CON-01</v>
      </c>
      <c r="H570" s="129" t="str">
        <v>To confirm</v>
      </c>
      <c r="I570" s="144" t="str">
        <v>No</v>
      </c>
      <c r="J570" s="144" t="str">
        <v>Base</v>
      </c>
      <c r="K570" s="144" t="str">
        <v/>
      </c>
      <c r="L570" s="146">
        <v>7</v>
      </c>
      <c r="M570" s="142">
        <v>385</v>
      </c>
      <c r="N570" s="144" t="str">
        <v>Unknown</v>
      </c>
      <c r="O570" s="142" t="str">
        <v/>
      </c>
      <c r="P570" s="142" t="str">
        <v/>
      </c>
      <c r="Q570" s="142">
        <v>55</v>
      </c>
      <c r="R570" s="129" t="str">
        <v>Description – likely</v>
      </c>
      <c r="S570" s="143" t="str">
        <v/>
      </c>
      <c r="T570" s="144" t="str">
        <v>SRC-00</v>
      </c>
      <c r="U570" s="129" t="str">
        <v>S+ row 217</v>
      </c>
      <c r="V570" s="129" t="str">
        <v/>
      </c>
    </row>
    <row r="571" spans="1:22" x14ac:dyDescent="0.2">
      <c r="A571" s="144" t="str">
        <v>T2</v>
      </c>
      <c r="B571" s="145">
        <v>4</v>
      </c>
      <c r="C571" s="129" t="str">
        <v>E/O Breast Lump</v>
      </c>
      <c r="D571" s="129" t="str">
        <v>T2 – Thorax / Breast (printed twice: 4 and 5 units)</v>
      </c>
      <c r="E571" s="129" t="str">
        <v>04 - Thorax</v>
      </c>
      <c r="F571" s="129" t="str">
        <v>Solutions Plus</v>
      </c>
      <c r="G571" s="144" t="str">
        <v>CON-01</v>
      </c>
      <c r="H571" s="129" t="str">
        <v>To confirm</v>
      </c>
      <c r="I571" s="144" t="str">
        <v>No</v>
      </c>
      <c r="J571" s="144" t="str">
        <v>Base</v>
      </c>
      <c r="K571" s="144" t="str">
        <v/>
      </c>
      <c r="L571" s="146">
        <v>0</v>
      </c>
      <c r="M571" s="142">
        <v>0</v>
      </c>
      <c r="N571" s="144" t="str">
        <v>Unknown</v>
      </c>
      <c r="O571" s="142" t="str">
        <v/>
      </c>
      <c r="P571" s="142" t="str">
        <v/>
      </c>
      <c r="Q571" s="142" t="str">
        <v/>
      </c>
      <c r="R571" s="129" t="str">
        <v>Description – exact</v>
      </c>
      <c r="S571" s="143" t="str">
        <v/>
      </c>
      <c r="T571" s="144" t="str">
        <v>SRC-00</v>
      </c>
      <c r="U571" s="129" t="str">
        <v>S+ row 267</v>
      </c>
      <c r="V571" s="129" t="str">
        <v/>
      </c>
    </row>
    <row r="572" spans="1:22" x14ac:dyDescent="0.2">
      <c r="A572" s="144" t="str">
        <v>T2</v>
      </c>
      <c r="B572" s="145">
        <v>4</v>
      </c>
      <c r="C572" s="129" t="str">
        <v>Excision Breast Lump</v>
      </c>
      <c r="D572" s="129" t="str">
        <v>T2 – Thorax / Breast (printed twice: 4 and 5 units)</v>
      </c>
      <c r="E572" s="129" t="str">
        <v>04 - Thorax</v>
      </c>
      <c r="F572" s="129" t="str">
        <v>Solutions Plus</v>
      </c>
      <c r="G572" s="144" t="str">
        <v>CON-01</v>
      </c>
      <c r="H572" s="129" t="str">
        <v>To confirm</v>
      </c>
      <c r="I572" s="144" t="str">
        <v>No</v>
      </c>
      <c r="J572" s="144" t="str">
        <v>Base</v>
      </c>
      <c r="K572" s="144" t="str">
        <v/>
      </c>
      <c r="L572" s="146">
        <v>7.4</v>
      </c>
      <c r="M572" s="142">
        <v>408.65</v>
      </c>
      <c r="N572" s="144" t="str">
        <v>Unknown</v>
      </c>
      <c r="O572" s="142" t="str">
        <v/>
      </c>
      <c r="P572" s="142" t="str">
        <v/>
      </c>
      <c r="Q572" s="142">
        <v>55.222972972972968</v>
      </c>
      <c r="R572" s="129" t="str">
        <v>Description – exact</v>
      </c>
      <c r="S572" s="143" t="str">
        <v/>
      </c>
      <c r="T572" s="144" t="str">
        <v>SRC-00</v>
      </c>
      <c r="U572" s="129" t="str">
        <v>S+ row 307</v>
      </c>
      <c r="V572" s="129" t="str">
        <v/>
      </c>
    </row>
    <row r="573" spans="1:22" x14ac:dyDescent="0.2">
      <c r="A573" s="144" t="str">
        <v>T2</v>
      </c>
      <c r="B573" s="145">
        <v>4</v>
      </c>
      <c r="C573" s="129" t="str">
        <v>Fat Graft Left Breast + Excision Right Flank Lesion -</v>
      </c>
      <c r="D573" s="129" t="str">
        <v>T2 – Thorax / Breast (printed twice: 4 and 5 units)</v>
      </c>
      <c r="E573" s="129" t="str">
        <v>04 - Thorax</v>
      </c>
      <c r="F573" s="129" t="str">
        <v>Solutions Plus</v>
      </c>
      <c r="G573" s="144" t="str">
        <v>CON-01</v>
      </c>
      <c r="H573" s="129" t="str">
        <v>To confirm</v>
      </c>
      <c r="I573" s="144" t="str">
        <v>No</v>
      </c>
      <c r="J573" s="144" t="str">
        <v>Base</v>
      </c>
      <c r="K573" s="144" t="str">
        <v/>
      </c>
      <c r="L573" s="146">
        <v>15</v>
      </c>
      <c r="M573" s="142">
        <v>825</v>
      </c>
      <c r="N573" s="144" t="str">
        <v>Unknown</v>
      </c>
      <c r="O573" s="142" t="str">
        <v/>
      </c>
      <c r="P573" s="142" t="str">
        <v/>
      </c>
      <c r="Q573" s="142">
        <v>55</v>
      </c>
      <c r="R573" s="129" t="str">
        <v>Description – likely</v>
      </c>
      <c r="S573" s="143" t="str">
        <v/>
      </c>
      <c r="T573" s="144" t="str">
        <v>SRC-00</v>
      </c>
      <c r="U573" s="129" t="str">
        <v>S+ row 361</v>
      </c>
      <c r="V573" s="129" t="str">
        <v/>
      </c>
    </row>
    <row r="574" spans="1:22" x14ac:dyDescent="0.2">
      <c r="A574" s="144" t="str">
        <v>T2</v>
      </c>
      <c r="B574" s="145">
        <v>4</v>
      </c>
      <c r="C574" s="129" t="str">
        <v>Gynecomastia</v>
      </c>
      <c r="D574" s="129" t="str">
        <v>T2 – Thorax / Breast (printed twice: 4 and 5 units)</v>
      </c>
      <c r="E574" s="129" t="str">
        <v>04 - Thorax</v>
      </c>
      <c r="F574" s="129" t="str">
        <v>Solutions Plus</v>
      </c>
      <c r="G574" s="144" t="str">
        <v>CON-01</v>
      </c>
      <c r="H574" s="129" t="str">
        <v>To confirm</v>
      </c>
      <c r="I574" s="144" t="str">
        <v>No</v>
      </c>
      <c r="J574" s="144" t="str">
        <v>Base</v>
      </c>
      <c r="K574" s="144" t="str">
        <v/>
      </c>
      <c r="L574" s="146">
        <v>12.7</v>
      </c>
      <c r="M574" s="142">
        <v>696.85</v>
      </c>
      <c r="N574" s="144" t="str">
        <v>Unknown</v>
      </c>
      <c r="O574" s="142" t="str">
        <v/>
      </c>
      <c r="P574" s="142" t="str">
        <v/>
      </c>
      <c r="Q574" s="142">
        <v>54.870078740157489</v>
      </c>
      <c r="R574" s="129" t="str">
        <v>Description – likely</v>
      </c>
      <c r="S574" s="143" t="str">
        <v/>
      </c>
      <c r="T574" s="144" t="str">
        <v>SRC-00</v>
      </c>
      <c r="U574" s="129" t="str">
        <v>S+ row 393</v>
      </c>
      <c r="V574" s="129" t="str">
        <v/>
      </c>
    </row>
    <row r="575" spans="1:22" x14ac:dyDescent="0.2">
      <c r="A575" s="144" t="str">
        <v>T2</v>
      </c>
      <c r="B575" s="145">
        <v>4</v>
      </c>
      <c r="C575" s="129" t="str">
        <v>Hookwire Localization - Breast Lump</v>
      </c>
      <c r="D575" s="129" t="str">
        <v>T2 – Thorax / Breast (printed twice: 4 and 5 units)</v>
      </c>
      <c r="E575" s="129" t="str">
        <v>04 - Thorax</v>
      </c>
      <c r="F575" s="129" t="str">
        <v>Solutions Plus</v>
      </c>
      <c r="G575" s="144" t="str">
        <v>CON-01</v>
      </c>
      <c r="H575" s="129" t="str">
        <v>To confirm</v>
      </c>
      <c r="I575" s="144" t="str">
        <v>No</v>
      </c>
      <c r="J575" s="144" t="str">
        <v>Base</v>
      </c>
      <c r="K575" s="144" t="str">
        <v/>
      </c>
      <c r="L575" s="146">
        <v>12</v>
      </c>
      <c r="M575" s="142">
        <v>660</v>
      </c>
      <c r="N575" s="144" t="str">
        <v>Unknown</v>
      </c>
      <c r="O575" s="142" t="str">
        <v/>
      </c>
      <c r="P575" s="142" t="str">
        <v/>
      </c>
      <c r="Q575" s="142">
        <v>55</v>
      </c>
      <c r="R575" s="129" t="str">
        <v>Description – exact</v>
      </c>
      <c r="S575" s="143" t="str">
        <v/>
      </c>
      <c r="T575" s="144" t="str">
        <v>SRC-00</v>
      </c>
      <c r="U575" s="129" t="str">
        <v>S+ row 418</v>
      </c>
      <c r="V575" s="129" t="str">
        <v/>
      </c>
    </row>
    <row r="576" spans="1:22" x14ac:dyDescent="0.2">
      <c r="A576" s="144" t="str">
        <v>T2</v>
      </c>
      <c r="B576" s="145">
        <v>4</v>
      </c>
      <c r="C576" s="129" t="str">
        <v>Left Breast Expander Implant Exchange</v>
      </c>
      <c r="D576" s="129" t="str">
        <v>T2 – Thorax / Breast (printed twice: 4 and 5 units)</v>
      </c>
      <c r="E576" s="129" t="str">
        <v>04 - Thorax</v>
      </c>
      <c r="F576" s="129" t="str">
        <v>Solutions Plus</v>
      </c>
      <c r="G576" s="144" t="str">
        <v>CON-01</v>
      </c>
      <c r="H576" s="129" t="str">
        <v>To confirm</v>
      </c>
      <c r="I576" s="144" t="str">
        <v>No</v>
      </c>
      <c r="J576" s="144" t="str">
        <v>Base</v>
      </c>
      <c r="K576" s="144" t="str">
        <v/>
      </c>
      <c r="L576" s="146">
        <v>11.8</v>
      </c>
      <c r="M576" s="142">
        <v>646.25</v>
      </c>
      <c r="N576" s="144" t="str">
        <v>Unknown</v>
      </c>
      <c r="O576" s="142" t="str">
        <v/>
      </c>
      <c r="P576" s="142" t="str">
        <v/>
      </c>
      <c r="Q576" s="142">
        <v>54.766949152542367</v>
      </c>
      <c r="R576" s="129" t="str">
        <v>Description – likely</v>
      </c>
      <c r="S576" s="143" t="str">
        <v/>
      </c>
      <c r="T576" s="144" t="str">
        <v>SRC-00</v>
      </c>
      <c r="U576" s="129" t="str">
        <v>S+ row 526</v>
      </c>
      <c r="V576" s="129" t="str">
        <v/>
      </c>
    </row>
    <row r="577" spans="1:22" x14ac:dyDescent="0.2">
      <c r="A577" s="144" t="str">
        <v>T2</v>
      </c>
      <c r="B577" s="145">
        <v>4</v>
      </c>
      <c r="C577" s="129" t="str">
        <v>Left Breast Hookwire / Skin Marking Excision Biops</v>
      </c>
      <c r="D577" s="129" t="str">
        <v>T2 – Thorax / Breast (printed twice: 4 and 5 units)</v>
      </c>
      <c r="E577" s="129" t="str">
        <v>04 - Thorax</v>
      </c>
      <c r="F577" s="129" t="str">
        <v>Solutions Plus</v>
      </c>
      <c r="G577" s="144" t="str">
        <v>CON-01</v>
      </c>
      <c r="H577" s="129" t="str">
        <v>To confirm</v>
      </c>
      <c r="I577" s="144" t="str">
        <v>No</v>
      </c>
      <c r="J577" s="144" t="str">
        <v>Base</v>
      </c>
      <c r="K577" s="144" t="str">
        <v/>
      </c>
      <c r="L577" s="146">
        <v>10</v>
      </c>
      <c r="M577" s="142">
        <v>550</v>
      </c>
      <c r="N577" s="144" t="str">
        <v>Unknown</v>
      </c>
      <c r="O577" s="142" t="str">
        <v/>
      </c>
      <c r="P577" s="142" t="str">
        <v/>
      </c>
      <c r="Q577" s="142">
        <v>55</v>
      </c>
      <c r="R577" s="129" t="str">
        <v>Description – exact</v>
      </c>
      <c r="S577" s="143" t="str">
        <v/>
      </c>
      <c r="T577" s="144" t="str">
        <v>SRC-00</v>
      </c>
      <c r="U577" s="129" t="str">
        <v>S+ row 527</v>
      </c>
      <c r="V577" s="129" t="str">
        <v/>
      </c>
    </row>
    <row r="578" spans="1:22" x14ac:dyDescent="0.2">
      <c r="A578" s="144" t="str">
        <v>T4</v>
      </c>
      <c r="B578" s="145">
        <v>8</v>
      </c>
      <c r="C578" s="129" t="str">
        <v>Left Breast Reconstruction With DIEP Free Flap + Ri</v>
      </c>
      <c r="D578" s="129" t="str">
        <v>T4 – Thorax / Breast: Major Procedures</v>
      </c>
      <c r="E578" s="129" t="str">
        <v>04 - Thorax</v>
      </c>
      <c r="F578" s="129" t="str">
        <v>Solutions Plus</v>
      </c>
      <c r="G578" s="144" t="str">
        <v>CON-01</v>
      </c>
      <c r="H578" s="129" t="str">
        <v>To confirm</v>
      </c>
      <c r="I578" s="144" t="str">
        <v>No</v>
      </c>
      <c r="J578" s="144" t="str">
        <v>Base</v>
      </c>
      <c r="K578" s="144" t="str">
        <v/>
      </c>
      <c r="L578" s="146">
        <v>54</v>
      </c>
      <c r="M578" s="142">
        <v>2970</v>
      </c>
      <c r="N578" s="144" t="str">
        <v>Unknown</v>
      </c>
      <c r="O578" s="142" t="str">
        <v/>
      </c>
      <c r="P578" s="142" t="str">
        <v/>
      </c>
      <c r="Q578" s="142">
        <v>55</v>
      </c>
      <c r="R578" s="129" t="str">
        <v>Description – likely</v>
      </c>
      <c r="S578" s="143" t="str">
        <v/>
      </c>
      <c r="T578" s="144" t="str">
        <v>SRC-00</v>
      </c>
      <c r="U578" s="129" t="str">
        <v>S+ row 528</v>
      </c>
      <c r="V578" s="129" t="str">
        <v/>
      </c>
    </row>
    <row r="579" spans="1:22" x14ac:dyDescent="0.2">
      <c r="A579" s="144" t="str">
        <v>T4</v>
      </c>
      <c r="B579" s="145">
        <v>8</v>
      </c>
      <c r="C579" s="129" t="str">
        <v>Left Breast Reconstruction With Latissimus Dorsi Fl</v>
      </c>
      <c r="D579" s="129" t="str">
        <v>T4 – Thorax / Breast: Major Procedures</v>
      </c>
      <c r="E579" s="129" t="str">
        <v>04 - Thorax</v>
      </c>
      <c r="F579" s="129" t="str">
        <v>Solutions Plus</v>
      </c>
      <c r="G579" s="144" t="str">
        <v>CON-01</v>
      </c>
      <c r="H579" s="129" t="str">
        <v>To confirm</v>
      </c>
      <c r="I579" s="144" t="str">
        <v>No</v>
      </c>
      <c r="J579" s="144" t="str">
        <v>Base</v>
      </c>
      <c r="K579" s="144" t="str">
        <v/>
      </c>
      <c r="L579" s="146">
        <v>18</v>
      </c>
      <c r="M579" s="142">
        <v>990</v>
      </c>
      <c r="N579" s="144" t="str">
        <v>Unknown</v>
      </c>
      <c r="O579" s="142" t="str">
        <v/>
      </c>
      <c r="P579" s="142" t="str">
        <v/>
      </c>
      <c r="Q579" s="142">
        <v>55</v>
      </c>
      <c r="R579" s="129" t="str">
        <v>Description – likely</v>
      </c>
      <c r="S579" s="143" t="str">
        <v/>
      </c>
      <c r="T579" s="144" t="str">
        <v>SRC-00</v>
      </c>
      <c r="U579" s="129" t="str">
        <v>S+ row 529</v>
      </c>
      <c r="V579" s="129" t="str">
        <v/>
      </c>
    </row>
    <row r="580" spans="1:22" x14ac:dyDescent="0.2">
      <c r="A580" s="144" t="str">
        <v>T2</v>
      </c>
      <c r="B580" s="145">
        <v>4</v>
      </c>
      <c r="C580" s="129" t="str">
        <v>Left Breast Reduction + Symmetrisation</v>
      </c>
      <c r="D580" s="129" t="str">
        <v>T2 – Thorax / Breast (printed twice: 4 and 5 units)</v>
      </c>
      <c r="E580" s="129" t="str">
        <v>04 - Thorax</v>
      </c>
      <c r="F580" s="129" t="str">
        <v>Solutions Plus</v>
      </c>
      <c r="G580" s="144" t="str">
        <v>CON-01</v>
      </c>
      <c r="H580" s="129" t="str">
        <v>To confirm</v>
      </c>
      <c r="I580" s="144" t="str">
        <v>No</v>
      </c>
      <c r="J580" s="144" t="str">
        <v>Base</v>
      </c>
      <c r="K580" s="144" t="str">
        <v/>
      </c>
      <c r="L580" s="146">
        <v>17</v>
      </c>
      <c r="M580" s="142">
        <v>935</v>
      </c>
      <c r="N580" s="144" t="str">
        <v>Unknown</v>
      </c>
      <c r="O580" s="142" t="str">
        <v/>
      </c>
      <c r="P580" s="142" t="str">
        <v/>
      </c>
      <c r="Q580" s="142">
        <v>55</v>
      </c>
      <c r="R580" s="129" t="str">
        <v>Description – exact</v>
      </c>
      <c r="S580" s="143" t="str">
        <v/>
      </c>
      <c r="T580" s="144" t="str">
        <v>SRC-00</v>
      </c>
      <c r="U580" s="129" t="str">
        <v>S+ row 530</v>
      </c>
      <c r="V580" s="129" t="str">
        <v/>
      </c>
    </row>
    <row r="581" spans="1:22" x14ac:dyDescent="0.2">
      <c r="A581" s="144" t="str">
        <v>T2</v>
      </c>
      <c r="B581" s="145">
        <v>4</v>
      </c>
      <c r="C581" s="129" t="str">
        <v>Left Breast Symmetrising Breast Reduction - CDHB</v>
      </c>
      <c r="D581" s="129" t="str">
        <v>T2 – Thorax / Breast (printed twice: 4 and 5 units)</v>
      </c>
      <c r="E581" s="129" t="str">
        <v>04 - Thorax</v>
      </c>
      <c r="F581" s="129" t="str">
        <v>Solutions Plus</v>
      </c>
      <c r="G581" s="144" t="str">
        <v>CON-01</v>
      </c>
      <c r="H581" s="129" t="str">
        <v>To confirm</v>
      </c>
      <c r="I581" s="144" t="str">
        <v>No</v>
      </c>
      <c r="J581" s="144" t="str">
        <v>Base</v>
      </c>
      <c r="K581" s="144" t="str">
        <v/>
      </c>
      <c r="L581" s="146">
        <v>16</v>
      </c>
      <c r="M581" s="142">
        <v>880</v>
      </c>
      <c r="N581" s="144" t="str">
        <v>Unknown</v>
      </c>
      <c r="O581" s="142" t="str">
        <v/>
      </c>
      <c r="P581" s="142" t="str">
        <v/>
      </c>
      <c r="Q581" s="142">
        <v>55</v>
      </c>
      <c r="R581" s="129" t="str">
        <v>Description – exact</v>
      </c>
      <c r="S581" s="143" t="str">
        <v/>
      </c>
      <c r="T581" s="144" t="str">
        <v>SRC-00</v>
      </c>
      <c r="U581" s="129" t="str">
        <v>S+ row 531</v>
      </c>
      <c r="V581" s="129" t="str">
        <v/>
      </c>
    </row>
    <row r="582" spans="1:22" x14ac:dyDescent="0.2">
      <c r="A582" s="144" t="str">
        <v>T3</v>
      </c>
      <c r="B582" s="145">
        <v>6</v>
      </c>
      <c r="C582" s="129" t="str">
        <v>Left HWL WF=LE SNB +/- ANC</v>
      </c>
      <c r="D582" s="129" t="str">
        <v>T3 – Thorax / Breast: Moderate Procedures</v>
      </c>
      <c r="E582" s="129" t="str">
        <v>04 - Thorax</v>
      </c>
      <c r="F582" s="129" t="str">
        <v>Solutions Plus</v>
      </c>
      <c r="G582" s="144" t="str">
        <v>CON-01</v>
      </c>
      <c r="H582" s="129" t="str">
        <v>To confirm</v>
      </c>
      <c r="I582" s="144" t="str">
        <v>No</v>
      </c>
      <c r="J582" s="144" t="str">
        <v>Base</v>
      </c>
      <c r="K582" s="144" t="str">
        <v/>
      </c>
      <c r="L582" s="146">
        <v>9</v>
      </c>
      <c r="M582" s="142">
        <v>495</v>
      </c>
      <c r="N582" s="144" t="str">
        <v>Unknown</v>
      </c>
      <c r="O582" s="142" t="str">
        <v/>
      </c>
      <c r="P582" s="142" t="str">
        <v/>
      </c>
      <c r="Q582" s="142">
        <v>55</v>
      </c>
      <c r="R582" s="129" t="str">
        <v>Description – likely</v>
      </c>
      <c r="S582" s="143" t="str">
        <v/>
      </c>
      <c r="T582" s="144" t="str">
        <v>SRC-00</v>
      </c>
      <c r="U582" s="129" t="str">
        <v>S+ row 561</v>
      </c>
      <c r="V582" s="129" t="str">
        <v/>
      </c>
    </row>
    <row r="583" spans="1:22" x14ac:dyDescent="0.2">
      <c r="A583" s="144" t="str">
        <v>T2</v>
      </c>
      <c r="B583" s="145">
        <v>4</v>
      </c>
      <c r="C583" s="129" t="str">
        <v>Left HWL WLE</v>
      </c>
      <c r="D583" s="129" t="str">
        <v>T2 – Thorax / Breast (printed twice: 4 and 5 units)</v>
      </c>
      <c r="E583" s="129" t="str">
        <v>04 - Thorax</v>
      </c>
      <c r="F583" s="129" t="str">
        <v>Solutions Plus</v>
      </c>
      <c r="G583" s="144" t="str">
        <v>CON-01</v>
      </c>
      <c r="H583" s="129" t="str">
        <v>To confirm</v>
      </c>
      <c r="I583" s="144" t="str">
        <v>No</v>
      </c>
      <c r="J583" s="144" t="str">
        <v>Base</v>
      </c>
      <c r="K583" s="144" t="str">
        <v/>
      </c>
      <c r="L583" s="146">
        <v>9.6</v>
      </c>
      <c r="M583" s="142">
        <v>528.54999999999995</v>
      </c>
      <c r="N583" s="144" t="str">
        <v>Unknown</v>
      </c>
      <c r="O583" s="142" t="str">
        <v/>
      </c>
      <c r="P583" s="142" t="str">
        <v/>
      </c>
      <c r="Q583" s="142">
        <v>55.057291666666664</v>
      </c>
      <c r="R583" s="129" t="str">
        <v>Description – exact</v>
      </c>
      <c r="S583" s="143" t="str">
        <v/>
      </c>
      <c r="T583" s="144" t="str">
        <v>SRC-00</v>
      </c>
      <c r="U583" s="129" t="str">
        <v>S+ row 562</v>
      </c>
      <c r="V583" s="129" t="str">
        <v/>
      </c>
    </row>
    <row r="584" spans="1:22" x14ac:dyDescent="0.2">
      <c r="A584" s="144" t="str">
        <v>T2</v>
      </c>
      <c r="B584" s="145">
        <v>4</v>
      </c>
      <c r="C584" s="129" t="str">
        <v>Left Mastectomy (NIB)</v>
      </c>
      <c r="D584" s="129" t="str">
        <v>T2 – Thorax / Breast (printed twice: 4 and 5 units)</v>
      </c>
      <c r="E584" s="129" t="str">
        <v>04 - Thorax</v>
      </c>
      <c r="F584" s="129" t="str">
        <v>Solutions Plus</v>
      </c>
      <c r="G584" s="144" t="str">
        <v>CON-01</v>
      </c>
      <c r="H584" s="129" t="str">
        <v>To confirm</v>
      </c>
      <c r="I584" s="144" t="str">
        <v>No</v>
      </c>
      <c r="J584" s="144" t="str">
        <v>Base</v>
      </c>
      <c r="K584" s="144" t="str">
        <v/>
      </c>
      <c r="L584" s="146">
        <v>25</v>
      </c>
      <c r="M584" s="142">
        <v>1375</v>
      </c>
      <c r="N584" s="144" t="str">
        <v>Unknown</v>
      </c>
      <c r="O584" s="142" t="str">
        <v/>
      </c>
      <c r="P584" s="142" t="str">
        <v/>
      </c>
      <c r="Q584" s="142">
        <v>55</v>
      </c>
      <c r="R584" s="129" t="str">
        <v>Description – exact</v>
      </c>
      <c r="S584" s="143" t="str">
        <v/>
      </c>
      <c r="T584" s="144" t="str">
        <v>SRC-00</v>
      </c>
      <c r="U584" s="129" t="str">
        <v>S+ row 584</v>
      </c>
      <c r="V584" s="129" t="str">
        <v/>
      </c>
    </row>
    <row r="585" spans="1:22" x14ac:dyDescent="0.2">
      <c r="A585" s="144" t="str">
        <v>T3</v>
      </c>
      <c r="B585" s="145">
        <v>6</v>
      </c>
      <c r="C585" s="129" t="str">
        <v>Left Sentinel Node Biopsy</v>
      </c>
      <c r="D585" s="129" t="str">
        <v>T3 – Thorax / Breast: Moderate Procedures</v>
      </c>
      <c r="E585" s="129" t="str">
        <v>04 - Thorax</v>
      </c>
      <c r="F585" s="129" t="str">
        <v>Solutions Plus</v>
      </c>
      <c r="G585" s="144" t="str">
        <v>CON-01</v>
      </c>
      <c r="H585" s="129" t="str">
        <v>To confirm</v>
      </c>
      <c r="I585" s="144" t="str">
        <v>No</v>
      </c>
      <c r="J585" s="144" t="str">
        <v>Base</v>
      </c>
      <c r="K585" s="144" t="str">
        <v/>
      </c>
      <c r="L585" s="146">
        <v>8</v>
      </c>
      <c r="M585" s="142">
        <v>439.45</v>
      </c>
      <c r="N585" s="144" t="str">
        <v>Unknown</v>
      </c>
      <c r="O585" s="142" t="str">
        <v/>
      </c>
      <c r="P585" s="142" t="str">
        <v/>
      </c>
      <c r="Q585" s="142">
        <v>54.931249999999999</v>
      </c>
      <c r="R585" s="129" t="str">
        <v>Description – likely</v>
      </c>
      <c r="S585" s="143" t="str">
        <v/>
      </c>
      <c r="T585" s="144" t="str">
        <v>SRC-00</v>
      </c>
      <c r="U585" s="129" t="str">
        <v>S+ row 589</v>
      </c>
      <c r="V585" s="129" t="str">
        <v/>
      </c>
    </row>
    <row r="586" spans="1:22" x14ac:dyDescent="0.2">
      <c r="A586" s="144" t="str">
        <v>T3</v>
      </c>
      <c r="B586" s="145">
        <v>6</v>
      </c>
      <c r="C586" s="129" t="str">
        <v>Left Skin And Nipple Sparing Mastectomy, SNB And</v>
      </c>
      <c r="D586" s="129" t="str">
        <v>T3 – Thorax / Breast: Moderate Procedures</v>
      </c>
      <c r="E586" s="129" t="str">
        <v>04 - Thorax</v>
      </c>
      <c r="F586" s="129" t="str">
        <v>Solutions Plus</v>
      </c>
      <c r="G586" s="144" t="str">
        <v>CON-01</v>
      </c>
      <c r="H586" s="129" t="str">
        <v>To confirm</v>
      </c>
      <c r="I586" s="144" t="str">
        <v>No</v>
      </c>
      <c r="J586" s="144" t="str">
        <v>Base</v>
      </c>
      <c r="K586" s="144" t="str">
        <v/>
      </c>
      <c r="L586" s="146">
        <v>17</v>
      </c>
      <c r="M586" s="142">
        <v>935</v>
      </c>
      <c r="N586" s="144" t="str">
        <v>Unknown</v>
      </c>
      <c r="O586" s="142" t="str">
        <v/>
      </c>
      <c r="P586" s="142" t="str">
        <v/>
      </c>
      <c r="Q586" s="142">
        <v>55</v>
      </c>
      <c r="R586" s="129" t="str">
        <v>Description – likely</v>
      </c>
      <c r="S586" s="143" t="str">
        <v/>
      </c>
      <c r="T586" s="144" t="str">
        <v>SRC-00</v>
      </c>
      <c r="U586" s="129" t="str">
        <v>S+ row 593</v>
      </c>
      <c r="V586" s="129" t="str">
        <v/>
      </c>
    </row>
    <row r="587" spans="1:22" x14ac:dyDescent="0.2">
      <c r="A587" s="144" t="str">
        <v>T2</v>
      </c>
      <c r="B587" s="145">
        <v>4</v>
      </c>
      <c r="C587" s="129" t="str">
        <v>Lumpectomy</v>
      </c>
      <c r="D587" s="129" t="str">
        <v>T2 – Thorax / Breast (printed twice: 4 and 5 units)</v>
      </c>
      <c r="E587" s="129" t="str">
        <v>04 - Thorax</v>
      </c>
      <c r="F587" s="129" t="str">
        <v>Solutions Plus</v>
      </c>
      <c r="G587" s="144" t="str">
        <v>CON-01</v>
      </c>
      <c r="H587" s="129" t="str">
        <v>To confirm</v>
      </c>
      <c r="I587" s="144" t="str">
        <v>No</v>
      </c>
      <c r="J587" s="144" t="str">
        <v>Base</v>
      </c>
      <c r="K587" s="144" t="str">
        <v/>
      </c>
      <c r="L587" s="146">
        <v>0</v>
      </c>
      <c r="M587" s="142">
        <v>0</v>
      </c>
      <c r="N587" s="144" t="str">
        <v>Unknown</v>
      </c>
      <c r="O587" s="142" t="str">
        <v/>
      </c>
      <c r="P587" s="142" t="str">
        <v/>
      </c>
      <c r="Q587" s="142" t="str">
        <v/>
      </c>
      <c r="R587" s="129" t="str">
        <v>Description – likely</v>
      </c>
      <c r="S587" s="143" t="str">
        <v/>
      </c>
      <c r="T587" s="144" t="str">
        <v>SRC-00</v>
      </c>
      <c r="U587" s="129" t="str">
        <v>S+ row 627</v>
      </c>
      <c r="V587" s="129" t="str">
        <v/>
      </c>
    </row>
    <row r="588" spans="1:22" x14ac:dyDescent="0.2">
      <c r="A588" s="144" t="str">
        <v>T4</v>
      </c>
      <c r="B588" s="145">
        <v>8</v>
      </c>
      <c r="C588" s="129" t="str">
        <v>Major Procedures e.g. TRAM Flap</v>
      </c>
      <c r="D588" s="129" t="str">
        <v>T4 – Thorax / Breast: Major Procedures</v>
      </c>
      <c r="E588" s="129" t="str">
        <v>04 - Thorax</v>
      </c>
      <c r="F588" s="129" t="str">
        <v>NZSA RVG</v>
      </c>
      <c r="G588" s="144" t="str">
        <v>CON-10</v>
      </c>
      <c r="H588" s="129" t="str">
        <v>Reference – units only</v>
      </c>
      <c r="I588" s="144" t="str">
        <v>No</v>
      </c>
      <c r="J588" s="144" t="str">
        <v>Base</v>
      </c>
      <c r="K588" s="144" t="str">
        <v>T4</v>
      </c>
      <c r="L588" s="146">
        <v>8</v>
      </c>
      <c r="M588" s="142" t="str">
        <v/>
      </c>
      <c r="N588" s="144" t="str">
        <v/>
      </c>
      <c r="O588" s="142" t="str">
        <v/>
      </c>
      <c r="P588" s="142" t="str">
        <v/>
      </c>
      <c r="Q588" s="142">
        <v>0</v>
      </c>
      <c r="R588" s="129" t="str">
        <v>RVG code</v>
      </c>
      <c r="S588" s="143" t="str">
        <v/>
      </c>
      <c r="T588" s="144" t="str">
        <v>SRC-01</v>
      </c>
      <c r="U588" s="129" t="str">
        <v>p.8 – Thorax / Breast</v>
      </c>
      <c r="V588" s="129" t="str">
        <v>Reference units only – no $ fee (NZSA RVG 2021).</v>
      </c>
    </row>
    <row r="589" spans="1:22" x14ac:dyDescent="0.2">
      <c r="A589" s="144" t="str">
        <v>T2</v>
      </c>
      <c r="B589" s="145">
        <v>4</v>
      </c>
      <c r="C589" s="129" t="str">
        <v>Mastectomy</v>
      </c>
      <c r="D589" s="129" t="str">
        <v>T2 – Thorax / Breast (printed twice: 4 and 5 units)</v>
      </c>
      <c r="E589" s="129" t="str">
        <v>04 - Thorax</v>
      </c>
      <c r="F589" s="129" t="str">
        <v>Solutions Plus</v>
      </c>
      <c r="G589" s="144" t="str">
        <v>CON-01</v>
      </c>
      <c r="H589" s="129" t="str">
        <v>To confirm</v>
      </c>
      <c r="I589" s="144" t="str">
        <v>No</v>
      </c>
      <c r="J589" s="144" t="str">
        <v>Base</v>
      </c>
      <c r="K589" s="144" t="str">
        <v/>
      </c>
      <c r="L589" s="146">
        <v>14.3</v>
      </c>
      <c r="M589" s="142">
        <v>783.75</v>
      </c>
      <c r="N589" s="144" t="str">
        <v>Unknown</v>
      </c>
      <c r="O589" s="142" t="str">
        <v/>
      </c>
      <c r="P589" s="142" t="str">
        <v/>
      </c>
      <c r="Q589" s="142">
        <v>54.807692307692307</v>
      </c>
      <c r="R589" s="129" t="str">
        <v>Description – exact</v>
      </c>
      <c r="S589" s="143" t="str">
        <v/>
      </c>
      <c r="T589" s="144" t="str">
        <v>SRC-00</v>
      </c>
      <c r="U589" s="129" t="str">
        <v>S+ row 630</v>
      </c>
      <c r="V589" s="129" t="str">
        <v/>
      </c>
    </row>
    <row r="590" spans="1:22" x14ac:dyDescent="0.2">
      <c r="A590" s="144" t="str">
        <v>T2</v>
      </c>
      <c r="B590" s="145">
        <v>4</v>
      </c>
      <c r="C590" s="129" t="str">
        <v>Mastopexy</v>
      </c>
      <c r="D590" s="129" t="str">
        <v>T2 – Thorax / Breast (printed twice: 4 and 5 units)</v>
      </c>
      <c r="E590" s="129" t="str">
        <v>04 - Thorax</v>
      </c>
      <c r="F590" s="129" t="str">
        <v>Solutions Plus</v>
      </c>
      <c r="G590" s="144" t="str">
        <v>CON-01</v>
      </c>
      <c r="H590" s="129" t="str">
        <v>To confirm</v>
      </c>
      <c r="I590" s="144" t="str">
        <v>No</v>
      </c>
      <c r="J590" s="144" t="str">
        <v>Base</v>
      </c>
      <c r="K590" s="144" t="str">
        <v/>
      </c>
      <c r="L590" s="146">
        <v>18.899999999999999</v>
      </c>
      <c r="M590" s="142">
        <v>1037.8499999999999</v>
      </c>
      <c r="N590" s="144" t="str">
        <v>Unknown</v>
      </c>
      <c r="O590" s="142" t="str">
        <v/>
      </c>
      <c r="P590" s="142" t="str">
        <v/>
      </c>
      <c r="Q590" s="142">
        <v>54.912698412698411</v>
      </c>
      <c r="R590" s="129" t="str">
        <v>Description – likely</v>
      </c>
      <c r="S590" s="143" t="str">
        <v/>
      </c>
      <c r="T590" s="144" t="str">
        <v>SRC-00</v>
      </c>
      <c r="U590" s="129" t="str">
        <v>S+ row 632</v>
      </c>
      <c r="V590" s="129" t="str">
        <v/>
      </c>
    </row>
    <row r="591" spans="1:22" x14ac:dyDescent="0.2">
      <c r="A591" s="144" t="str">
        <v>T2</v>
      </c>
      <c r="B591" s="145">
        <v>4</v>
      </c>
      <c r="C591" s="129" t="str">
        <v>Mastopexy</v>
      </c>
      <c r="D591" s="129" t="str">
        <v>T2 – Thorax / Breast (printed twice: 4 and 5 units)</v>
      </c>
      <c r="E591" s="129" t="str">
        <v>04 - Thorax</v>
      </c>
      <c r="F591" s="129" t="str">
        <v>Merivale PS – Self-funding</v>
      </c>
      <c r="G591" s="144" t="str">
        <v>CON-08</v>
      </c>
      <c r="H591" s="129" t="str">
        <v>Fixed fee schedule</v>
      </c>
      <c r="I591" s="144" t="str">
        <v>Yes</v>
      </c>
      <c r="J591" s="144" t="str">
        <v>Base</v>
      </c>
      <c r="K591" s="144" t="str">
        <v/>
      </c>
      <c r="L591" s="146" t="str">
        <v/>
      </c>
      <c r="M591" s="142">
        <v>2070</v>
      </c>
      <c r="N591" s="144" t="str">
        <v>Incl</v>
      </c>
      <c r="O591" s="142">
        <v>1800.0000000000002</v>
      </c>
      <c r="P591" s="142">
        <v>2070</v>
      </c>
      <c r="Q591" s="142" t="str">
        <v/>
      </c>
      <c r="R591" s="129" t="str">
        <v>Description – likely</v>
      </c>
      <c r="S591" s="143">
        <v>46174</v>
      </c>
      <c r="T591" s="144" t="str">
        <v>SRC-04</v>
      </c>
      <c r="U591" s="129" t="str">
        <v>p.1</v>
      </c>
      <c r="V591" s="129" t="str">
        <v>Self-funding patients of Dr Kerri Mooney (Merivale Plastic Surgery) only; anaesthetist invoices patient directly. Next review 1 Jun 2027. Likely: same code as S+ 'Mastopexy' (T2); RVG does not name mastopexy.</v>
      </c>
    </row>
    <row r="592" spans="1:22" x14ac:dyDescent="0.2">
      <c r="A592" s="144" t="str">
        <v>T2</v>
      </c>
      <c r="B592" s="145">
        <v>4</v>
      </c>
      <c r="C592" s="129" t="str">
        <v>Microdochectomy</v>
      </c>
      <c r="D592" s="129" t="str">
        <v>T2 – Thorax / Breast (printed twice: 4 and 5 units)</v>
      </c>
      <c r="E592" s="129" t="str">
        <v>04 - Thorax</v>
      </c>
      <c r="F592" s="129" t="str">
        <v>Solutions Plus</v>
      </c>
      <c r="G592" s="144" t="str">
        <v>CON-01</v>
      </c>
      <c r="H592" s="129" t="str">
        <v>To confirm</v>
      </c>
      <c r="I592" s="144" t="str">
        <v>No</v>
      </c>
      <c r="J592" s="144" t="str">
        <v>Base</v>
      </c>
      <c r="K592" s="144" t="str">
        <v/>
      </c>
      <c r="L592" s="146">
        <v>9.6</v>
      </c>
      <c r="M592" s="142">
        <v>528</v>
      </c>
      <c r="N592" s="144" t="str">
        <v>Unknown</v>
      </c>
      <c r="O592" s="142" t="str">
        <v/>
      </c>
      <c r="P592" s="142" t="str">
        <v/>
      </c>
      <c r="Q592" s="142">
        <v>55</v>
      </c>
      <c r="R592" s="129" t="str">
        <v>Description – likely</v>
      </c>
      <c r="S592" s="143" t="str">
        <v/>
      </c>
      <c r="T592" s="144" t="str">
        <v>SRC-00</v>
      </c>
      <c r="U592" s="129" t="str">
        <v>S+ row 640</v>
      </c>
      <c r="V592" s="129" t="str">
        <v/>
      </c>
    </row>
    <row r="593" spans="1:22" x14ac:dyDescent="0.2">
      <c r="A593" s="144" t="str">
        <v>T2</v>
      </c>
      <c r="B593" s="145">
        <v>4</v>
      </c>
      <c r="C593" s="129" t="str">
        <v>Minor Procedures e.g. Removal Simple Breast Lesion</v>
      </c>
      <c r="D593" s="129" t="str">
        <v>T2 – Thorax / Breast (printed twice: 4 and 5 units)</v>
      </c>
      <c r="E593" s="129" t="str">
        <v>04 - Thorax</v>
      </c>
      <c r="F593" s="129" t="str">
        <v>NZSA RVG</v>
      </c>
      <c r="G593" s="144" t="str">
        <v>CON-10</v>
      </c>
      <c r="H593" s="129" t="str">
        <v>Reference – units only</v>
      </c>
      <c r="I593" s="144" t="str">
        <v>No</v>
      </c>
      <c r="J593" s="144" t="str">
        <v>Base</v>
      </c>
      <c r="K593" s="144" t="str">
        <v>T2</v>
      </c>
      <c r="L593" s="146">
        <v>4</v>
      </c>
      <c r="M593" s="142" t="str">
        <v/>
      </c>
      <c r="N593" s="144" t="str">
        <v/>
      </c>
      <c r="O593" s="142" t="str">
        <v/>
      </c>
      <c r="P593" s="142" t="str">
        <v/>
      </c>
      <c r="Q593" s="142">
        <v>0</v>
      </c>
      <c r="R593" s="129" t="str">
        <v>RVG code</v>
      </c>
      <c r="S593" s="143" t="str">
        <v/>
      </c>
      <c r="T593" s="144" t="str">
        <v>SRC-01</v>
      </c>
      <c r="U593" s="129" t="str">
        <v>p.8 – Thorax / Breast</v>
      </c>
      <c r="V593" s="129" t="str">
        <v>Reference units only – no $ fee (NZSA RVG 2021). DUPLICATE CODE as printed – T2 appears twice in Breast (4 and 5 units); lookup returns the first (4)</v>
      </c>
    </row>
    <row r="594" spans="1:22" x14ac:dyDescent="0.2">
      <c r="A594" s="144" t="str">
        <v>T3</v>
      </c>
      <c r="B594" s="145">
        <v>6</v>
      </c>
      <c r="C594" s="129" t="str">
        <v>Moderate Procedures e.g. Complex Mastectomy (includes axillary node surgery) dissection</v>
      </c>
      <c r="D594" s="129" t="str">
        <v>T3 – Thorax / Breast: Moderate Procedures</v>
      </c>
      <c r="E594" s="129" t="str">
        <v>04 - Thorax</v>
      </c>
      <c r="F594" s="129" t="str">
        <v>NZSA RVG</v>
      </c>
      <c r="G594" s="144" t="str">
        <v>CON-10</v>
      </c>
      <c r="H594" s="129" t="str">
        <v>Reference – units only</v>
      </c>
      <c r="I594" s="144" t="str">
        <v>No</v>
      </c>
      <c r="J594" s="144" t="str">
        <v>Base</v>
      </c>
      <c r="K594" s="144" t="str">
        <v>T3</v>
      </c>
      <c r="L594" s="146">
        <v>6</v>
      </c>
      <c r="M594" s="142" t="str">
        <v/>
      </c>
      <c r="N594" s="144" t="str">
        <v/>
      </c>
      <c r="O594" s="142" t="str">
        <v/>
      </c>
      <c r="P594" s="142" t="str">
        <v/>
      </c>
      <c r="Q594" s="142">
        <v>0</v>
      </c>
      <c r="R594" s="129" t="str">
        <v>RVG code</v>
      </c>
      <c r="S594" s="143" t="str">
        <v/>
      </c>
      <c r="T594" s="144" t="str">
        <v>SRC-01</v>
      </c>
      <c r="U594" s="129" t="str">
        <v>p.8 – Thorax / Breast</v>
      </c>
      <c r="V594" s="129" t="str">
        <v>Reference units only – no $ fee (NZSA RVG 2021).</v>
      </c>
    </row>
    <row r="595" spans="1:22" x14ac:dyDescent="0.2">
      <c r="A595" s="144" t="str">
        <v>T2</v>
      </c>
      <c r="B595" s="145">
        <v>4</v>
      </c>
      <c r="C595" s="129" t="str">
        <v>PO 787986 Bilateral Breast Reduction - CDHB</v>
      </c>
      <c r="D595" s="129" t="str">
        <v>T2 – Thorax / Breast (printed twice: 4 and 5 units)</v>
      </c>
      <c r="E595" s="129" t="str">
        <v>04 - Thorax</v>
      </c>
      <c r="F595" s="129" t="str">
        <v>Solutions Plus</v>
      </c>
      <c r="G595" s="144" t="str">
        <v>CON-01</v>
      </c>
      <c r="H595" s="129" t="str">
        <v>To confirm</v>
      </c>
      <c r="I595" s="144" t="str">
        <v>No</v>
      </c>
      <c r="J595" s="144" t="str">
        <v>Base</v>
      </c>
      <c r="K595" s="144" t="str">
        <v/>
      </c>
      <c r="L595" s="146">
        <v>22.7</v>
      </c>
      <c r="M595" s="142">
        <v>1246.3</v>
      </c>
      <c r="N595" s="144" t="str">
        <v>Unknown</v>
      </c>
      <c r="O595" s="142" t="str">
        <v/>
      </c>
      <c r="P595" s="142" t="str">
        <v/>
      </c>
      <c r="Q595" s="142">
        <v>54.903083700440526</v>
      </c>
      <c r="R595" s="129" t="str">
        <v>Description – exact</v>
      </c>
      <c r="S595" s="143" t="str">
        <v/>
      </c>
      <c r="T595" s="144" t="str">
        <v>SRC-00</v>
      </c>
      <c r="U595" s="129" t="str">
        <v>S+ row 697</v>
      </c>
      <c r="V595" s="129" t="str">
        <v/>
      </c>
    </row>
    <row r="596" spans="1:22" x14ac:dyDescent="0.2">
      <c r="A596" s="144" t="str">
        <v>T2</v>
      </c>
      <c r="B596" s="145">
        <v>4</v>
      </c>
      <c r="C596" s="129" t="str">
        <v>Removal Of Breast Implants</v>
      </c>
      <c r="D596" s="129" t="str">
        <v>T2 – Thorax / Breast (printed twice: 4 and 5 units)</v>
      </c>
      <c r="E596" s="129" t="str">
        <v>04 - Thorax</v>
      </c>
      <c r="F596" s="129" t="str">
        <v>Solutions Plus</v>
      </c>
      <c r="G596" s="144" t="str">
        <v>CON-01</v>
      </c>
      <c r="H596" s="129" t="str">
        <v>To confirm</v>
      </c>
      <c r="I596" s="144" t="str">
        <v>No</v>
      </c>
      <c r="J596" s="144" t="str">
        <v>Base</v>
      </c>
      <c r="K596" s="144" t="str">
        <v/>
      </c>
      <c r="L596" s="146">
        <v>12</v>
      </c>
      <c r="M596" s="142">
        <v>660</v>
      </c>
      <c r="N596" s="144" t="str">
        <v>Unknown</v>
      </c>
      <c r="O596" s="142" t="str">
        <v/>
      </c>
      <c r="P596" s="142" t="str">
        <v/>
      </c>
      <c r="Q596" s="142">
        <v>55</v>
      </c>
      <c r="R596" s="129" t="str">
        <v>Description – likely</v>
      </c>
      <c r="S596" s="143" t="str">
        <v/>
      </c>
      <c r="T596" s="144" t="str">
        <v>SRC-00</v>
      </c>
      <c r="U596" s="129" t="str">
        <v>S+ row 723</v>
      </c>
      <c r="V596" s="129" t="str">
        <v/>
      </c>
    </row>
    <row r="597" spans="1:22" x14ac:dyDescent="0.2">
      <c r="A597" s="144" t="str">
        <v>T2</v>
      </c>
      <c r="B597" s="145">
        <v>4</v>
      </c>
      <c r="C597" s="129" t="str">
        <v>Removal Of Left Breast Implant, Capsulectmy And I</v>
      </c>
      <c r="D597" s="129" t="str">
        <v>T2 – Thorax / Breast (printed twice: 4 and 5 units)</v>
      </c>
      <c r="E597" s="129" t="str">
        <v>04 - Thorax</v>
      </c>
      <c r="F597" s="129" t="str">
        <v>Solutions Plus</v>
      </c>
      <c r="G597" s="144" t="str">
        <v>CON-01</v>
      </c>
      <c r="H597" s="129" t="str">
        <v>To confirm</v>
      </c>
      <c r="I597" s="144" t="str">
        <v>No</v>
      </c>
      <c r="J597" s="144" t="str">
        <v>Base</v>
      </c>
      <c r="K597" s="144" t="str">
        <v/>
      </c>
      <c r="L597" s="146">
        <v>0</v>
      </c>
      <c r="M597" s="142">
        <v>0</v>
      </c>
      <c r="N597" s="144" t="str">
        <v>Unknown</v>
      </c>
      <c r="O597" s="142" t="str">
        <v/>
      </c>
      <c r="P597" s="142" t="str">
        <v/>
      </c>
      <c r="Q597" s="142" t="str">
        <v/>
      </c>
      <c r="R597" s="129" t="str">
        <v>Description – likely</v>
      </c>
      <c r="S597" s="143" t="str">
        <v/>
      </c>
      <c r="T597" s="144" t="str">
        <v>SRC-00</v>
      </c>
      <c r="U597" s="129" t="str">
        <v>S+ row 730</v>
      </c>
      <c r="V597" s="129" t="str">
        <v/>
      </c>
    </row>
    <row r="598" spans="1:22" x14ac:dyDescent="0.2">
      <c r="A598" s="144" t="str">
        <v>T2</v>
      </c>
      <c r="B598" s="145">
        <v>4</v>
      </c>
      <c r="C598" s="129" t="str">
        <v>Remove implants and mastopexy</v>
      </c>
      <c r="D598" s="129" t="str">
        <v>T2 – Thorax / Breast (printed twice: 4 and 5 units)</v>
      </c>
      <c r="E598" s="129" t="str">
        <v>04 - Thorax</v>
      </c>
      <c r="F598" s="129" t="str">
        <v>Merivale PS – Self-funding</v>
      </c>
      <c r="G598" s="144" t="str">
        <v>CON-08</v>
      </c>
      <c r="H598" s="129" t="str">
        <v>Fixed fee schedule</v>
      </c>
      <c r="I598" s="144" t="str">
        <v>Yes</v>
      </c>
      <c r="J598" s="144" t="str">
        <v>Base</v>
      </c>
      <c r="K598" s="144" t="str">
        <v/>
      </c>
      <c r="L598" s="146" t="str">
        <v/>
      </c>
      <c r="M598" s="142">
        <v>3105</v>
      </c>
      <c r="N598" s="144" t="str">
        <v>Incl</v>
      </c>
      <c r="O598" s="142">
        <v>2700</v>
      </c>
      <c r="P598" s="142">
        <v>3105</v>
      </c>
      <c r="Q598" s="142" t="str">
        <v/>
      </c>
      <c r="R598" s="129" t="str">
        <v>Description – likely</v>
      </c>
      <c r="S598" s="143">
        <v>46174</v>
      </c>
      <c r="T598" s="144" t="str">
        <v>SRC-04</v>
      </c>
      <c r="U598" s="129" t="str">
        <v>p.1</v>
      </c>
      <c r="V598" s="129" t="str">
        <v>Self-funding patients of Dr Kerri Mooney (Merivale Plastic Surgery) only; anaesthetist invoices patient directly. Next review 1 Jun 2027. Likely: implant removal + mastopexy, same code as S+ 'Removal Of Breast Implants' (T2).</v>
      </c>
    </row>
    <row r="599" spans="1:22" x14ac:dyDescent="0.2">
      <c r="A599" s="144" t="str">
        <v>T2</v>
      </c>
      <c r="B599" s="145">
        <v>4</v>
      </c>
      <c r="C599" s="129" t="str">
        <v>Return To Theatre - Bilateral Removal Of Implants /</v>
      </c>
      <c r="D599" s="129" t="str">
        <v>T2 – Thorax / Breast (printed twice: 4 and 5 units)</v>
      </c>
      <c r="E599" s="129" t="str">
        <v>04 - Thorax</v>
      </c>
      <c r="F599" s="129" t="str">
        <v>Solutions Plus</v>
      </c>
      <c r="G599" s="144" t="str">
        <v>CON-01</v>
      </c>
      <c r="H599" s="129" t="str">
        <v>To confirm</v>
      </c>
      <c r="I599" s="144" t="str">
        <v>No</v>
      </c>
      <c r="J599" s="144" t="str">
        <v>Base</v>
      </c>
      <c r="K599" s="144" t="str">
        <v/>
      </c>
      <c r="L599" s="146">
        <v>11</v>
      </c>
      <c r="M599" s="142">
        <v>605</v>
      </c>
      <c r="N599" s="144" t="str">
        <v>Unknown</v>
      </c>
      <c r="O599" s="142" t="str">
        <v/>
      </c>
      <c r="P599" s="142" t="str">
        <v/>
      </c>
      <c r="Q599" s="142">
        <v>55</v>
      </c>
      <c r="R599" s="129" t="str">
        <v>Description – likely</v>
      </c>
      <c r="S599" s="143" t="str">
        <v/>
      </c>
      <c r="T599" s="144" t="str">
        <v>SRC-00</v>
      </c>
      <c r="U599" s="129" t="str">
        <v>S+ row 744</v>
      </c>
      <c r="V599" s="129" t="str">
        <v/>
      </c>
    </row>
    <row r="600" spans="1:22" x14ac:dyDescent="0.2">
      <c r="A600" s="144" t="str">
        <v>T2</v>
      </c>
      <c r="B600" s="145">
        <v>4</v>
      </c>
      <c r="C600" s="129" t="str">
        <v>Revision Bilateral Breast Augmentation - Capsulect</v>
      </c>
      <c r="D600" s="129" t="str">
        <v>T2 – Thorax / Breast (printed twice: 4 and 5 units)</v>
      </c>
      <c r="E600" s="129" t="str">
        <v>04 - Thorax</v>
      </c>
      <c r="F600" s="129" t="str">
        <v>Solutions Plus</v>
      </c>
      <c r="G600" s="144" t="str">
        <v>CON-01</v>
      </c>
      <c r="H600" s="129" t="str">
        <v>To confirm</v>
      </c>
      <c r="I600" s="144" t="str">
        <v>No</v>
      </c>
      <c r="J600" s="144" t="str">
        <v>Base</v>
      </c>
      <c r="K600" s="144" t="str">
        <v/>
      </c>
      <c r="L600" s="146">
        <v>24.8</v>
      </c>
      <c r="M600" s="142">
        <v>1364</v>
      </c>
      <c r="N600" s="144" t="str">
        <v>Unknown</v>
      </c>
      <c r="O600" s="142" t="str">
        <v/>
      </c>
      <c r="P600" s="142" t="str">
        <v/>
      </c>
      <c r="Q600" s="142">
        <v>55</v>
      </c>
      <c r="R600" s="129" t="str">
        <v>Description – exact</v>
      </c>
      <c r="S600" s="143" t="str">
        <v/>
      </c>
      <c r="T600" s="144" t="str">
        <v>SRC-00</v>
      </c>
      <c r="U600" s="129" t="str">
        <v>S+ row 753</v>
      </c>
      <c r="V600" s="129" t="str">
        <v/>
      </c>
    </row>
    <row r="601" spans="1:22" x14ac:dyDescent="0.2">
      <c r="A601" s="144" t="str">
        <v>T2</v>
      </c>
      <c r="B601" s="145">
        <v>4</v>
      </c>
      <c r="C601" s="129" t="str">
        <v>Right Breast Correction Of Asymmetry With Sub-Gl</v>
      </c>
      <c r="D601" s="129" t="str">
        <v>T2 – Thorax / Breast (printed twice: 4 and 5 units)</v>
      </c>
      <c r="E601" s="129" t="str">
        <v>04 - Thorax</v>
      </c>
      <c r="F601" s="129" t="str">
        <v>Solutions Plus</v>
      </c>
      <c r="G601" s="144" t="str">
        <v>CON-01</v>
      </c>
      <c r="H601" s="129" t="str">
        <v>To confirm</v>
      </c>
      <c r="I601" s="144" t="str">
        <v>No</v>
      </c>
      <c r="J601" s="144" t="str">
        <v>Base</v>
      </c>
      <c r="K601" s="144" t="str">
        <v/>
      </c>
      <c r="L601" s="146">
        <v>7</v>
      </c>
      <c r="M601" s="142">
        <v>385</v>
      </c>
      <c r="N601" s="144" t="str">
        <v>Unknown</v>
      </c>
      <c r="O601" s="142" t="str">
        <v/>
      </c>
      <c r="P601" s="142" t="str">
        <v/>
      </c>
      <c r="Q601" s="142">
        <v>55</v>
      </c>
      <c r="R601" s="129" t="str">
        <v>Description – likely</v>
      </c>
      <c r="S601" s="143" t="str">
        <v/>
      </c>
      <c r="T601" s="144" t="str">
        <v>SRC-00</v>
      </c>
      <c r="U601" s="129" t="str">
        <v>S+ row 769</v>
      </c>
      <c r="V601" s="129" t="str">
        <v/>
      </c>
    </row>
    <row r="602" spans="1:22" x14ac:dyDescent="0.2">
      <c r="A602" s="144" t="str">
        <v>T2</v>
      </c>
      <c r="B602" s="145">
        <v>4</v>
      </c>
      <c r="C602" s="129" t="str">
        <v>Right Mastectomy</v>
      </c>
      <c r="D602" s="129" t="str">
        <v>T2 – Thorax / Breast (printed twice: 4 and 5 units)</v>
      </c>
      <c r="E602" s="129" t="str">
        <v>04 - Thorax</v>
      </c>
      <c r="F602" s="129" t="str">
        <v>Solutions Plus</v>
      </c>
      <c r="G602" s="144" t="str">
        <v>CON-01</v>
      </c>
      <c r="H602" s="129" t="str">
        <v>To confirm</v>
      </c>
      <c r="I602" s="144" t="str">
        <v>No</v>
      </c>
      <c r="J602" s="144" t="str">
        <v>Base</v>
      </c>
      <c r="K602" s="144" t="str">
        <v/>
      </c>
      <c r="L602" s="146">
        <v>12.3</v>
      </c>
      <c r="M602" s="142">
        <v>677.05</v>
      </c>
      <c r="N602" s="144" t="str">
        <v>Unknown</v>
      </c>
      <c r="O602" s="142" t="str">
        <v/>
      </c>
      <c r="P602" s="142" t="str">
        <v/>
      </c>
      <c r="Q602" s="142">
        <v>55.044715447154466</v>
      </c>
      <c r="R602" s="129" t="str">
        <v>Description – exact</v>
      </c>
      <c r="S602" s="143" t="str">
        <v/>
      </c>
      <c r="T602" s="144" t="str">
        <v>SRC-00</v>
      </c>
      <c r="U602" s="129" t="str">
        <v>S+ row 812</v>
      </c>
      <c r="V602" s="129" t="str">
        <v/>
      </c>
    </row>
    <row r="603" spans="1:22" x14ac:dyDescent="0.2">
      <c r="A603" s="144" t="str">
        <v>T3</v>
      </c>
      <c r="B603" s="145">
        <v>6</v>
      </c>
      <c r="C603" s="129" t="str">
        <v>Right Mastectomy + ANC + Left Breast Reduction (w</v>
      </c>
      <c r="D603" s="129" t="str">
        <v>T3 – Thorax / Breast: Moderate Procedures</v>
      </c>
      <c r="E603" s="129" t="str">
        <v>04 - Thorax</v>
      </c>
      <c r="F603" s="129" t="str">
        <v>Solutions Plus</v>
      </c>
      <c r="G603" s="144" t="str">
        <v>CON-01</v>
      </c>
      <c r="H603" s="129" t="str">
        <v>To confirm</v>
      </c>
      <c r="I603" s="144" t="str">
        <v>No</v>
      </c>
      <c r="J603" s="144" t="str">
        <v>Base</v>
      </c>
      <c r="K603" s="144" t="str">
        <v/>
      </c>
      <c r="L603" s="146">
        <v>16.5</v>
      </c>
      <c r="M603" s="142">
        <v>907.5</v>
      </c>
      <c r="N603" s="144" t="str">
        <v>Unknown</v>
      </c>
      <c r="O603" s="142" t="str">
        <v/>
      </c>
      <c r="P603" s="142" t="str">
        <v/>
      </c>
      <c r="Q603" s="142">
        <v>55</v>
      </c>
      <c r="R603" s="129" t="str">
        <v>Description – likely</v>
      </c>
      <c r="S603" s="143" t="str">
        <v/>
      </c>
      <c r="T603" s="144" t="str">
        <v>SRC-00</v>
      </c>
      <c r="U603" s="129" t="str">
        <v>S+ row 813</v>
      </c>
      <c r="V603" s="129" t="str">
        <v/>
      </c>
    </row>
    <row r="604" spans="1:22" x14ac:dyDescent="0.2">
      <c r="A604" s="144" t="str">
        <v>T3</v>
      </c>
      <c r="B604" s="145">
        <v>6</v>
      </c>
      <c r="C604" s="129" t="str">
        <v>Sentinal Node Biopsy</v>
      </c>
      <c r="D604" s="129" t="str">
        <v>T3 – Thorax / Breast: Moderate Procedures</v>
      </c>
      <c r="E604" s="129" t="str">
        <v>04 - Thorax</v>
      </c>
      <c r="F604" s="129" t="str">
        <v>Solutions Plus</v>
      </c>
      <c r="G604" s="144" t="str">
        <v>CON-01</v>
      </c>
      <c r="H604" s="129" t="str">
        <v>To confirm</v>
      </c>
      <c r="I604" s="144" t="str">
        <v>No</v>
      </c>
      <c r="J604" s="144" t="str">
        <v>Base</v>
      </c>
      <c r="K604" s="144" t="str">
        <v/>
      </c>
      <c r="L604" s="146">
        <v>7.2</v>
      </c>
      <c r="M604" s="142">
        <v>396</v>
      </c>
      <c r="N604" s="144" t="str">
        <v>Unknown</v>
      </c>
      <c r="O604" s="142" t="str">
        <v/>
      </c>
      <c r="P604" s="142" t="str">
        <v/>
      </c>
      <c r="Q604" s="142">
        <v>55</v>
      </c>
      <c r="R604" s="129" t="str">
        <v>Description – likely</v>
      </c>
      <c r="S604" s="143" t="str">
        <v/>
      </c>
      <c r="T604" s="144" t="str">
        <v>SRC-00</v>
      </c>
      <c r="U604" s="129" t="str">
        <v>S+ row 859</v>
      </c>
      <c r="V604" s="129" t="str">
        <v/>
      </c>
    </row>
    <row r="605" spans="1:22" x14ac:dyDescent="0.2">
      <c r="A605" s="144" t="str">
        <v>T2</v>
      </c>
      <c r="B605" s="145">
        <v>4</v>
      </c>
      <c r="C605" s="129" t="str">
        <v>Silicone Gel Implant - Right Mastopexy</v>
      </c>
      <c r="D605" s="129" t="str">
        <v>T2 – Thorax / Breast (printed twice: 4 and 5 units)</v>
      </c>
      <c r="E605" s="129" t="str">
        <v>04 - Thorax</v>
      </c>
      <c r="F605" s="129" t="str">
        <v>Solutions Plus</v>
      </c>
      <c r="G605" s="144" t="str">
        <v>CON-01</v>
      </c>
      <c r="H605" s="129" t="str">
        <v>To confirm</v>
      </c>
      <c r="I605" s="144" t="str">
        <v>No</v>
      </c>
      <c r="J605" s="144" t="str">
        <v>Base</v>
      </c>
      <c r="K605" s="144" t="str">
        <v/>
      </c>
      <c r="L605" s="146">
        <v>4</v>
      </c>
      <c r="M605" s="142">
        <v>220</v>
      </c>
      <c r="N605" s="144" t="str">
        <v>Unknown</v>
      </c>
      <c r="O605" s="142" t="str">
        <v/>
      </c>
      <c r="P605" s="142" t="str">
        <v/>
      </c>
      <c r="Q605" s="142">
        <v>55</v>
      </c>
      <c r="R605" s="129" t="str">
        <v>Description – likely</v>
      </c>
      <c r="S605" s="143" t="str">
        <v/>
      </c>
      <c r="T605" s="144" t="str">
        <v>SRC-00</v>
      </c>
      <c r="U605" s="129" t="str">
        <v>S+ row 874</v>
      </c>
      <c r="V605" s="129" t="str">
        <v/>
      </c>
    </row>
    <row r="606" spans="1:22" x14ac:dyDescent="0.2">
      <c r="A606" s="144" t="str">
        <v>T2</v>
      </c>
      <c r="B606" s="145">
        <v>4</v>
      </c>
      <c r="C606" s="129" t="str">
        <v>Simple but Invasive Procedures e.g., Wide Local Excision Breast Lump, Breast Augmentation, Breast Reduction, Simple Mastectomy</v>
      </c>
      <c r="D606" s="129" t="str">
        <v>T2 – Thorax / Breast (printed twice: 4 and 5 units)</v>
      </c>
      <c r="E606" s="129" t="str">
        <v>04 - Thorax</v>
      </c>
      <c r="F606" s="129" t="str">
        <v>NZSA RVG</v>
      </c>
      <c r="G606" s="144" t="str">
        <v>CON-10</v>
      </c>
      <c r="H606" s="129" t="str">
        <v>Reference – units only</v>
      </c>
      <c r="I606" s="144" t="str">
        <v>No</v>
      </c>
      <c r="J606" s="144" t="str">
        <v>Base</v>
      </c>
      <c r="K606" s="144" t="str">
        <v>T2</v>
      </c>
      <c r="L606" s="146">
        <v>5</v>
      </c>
      <c r="M606" s="142" t="str">
        <v/>
      </c>
      <c r="N606" s="144" t="str">
        <v/>
      </c>
      <c r="O606" s="142" t="str">
        <v/>
      </c>
      <c r="P606" s="142" t="str">
        <v/>
      </c>
      <c r="Q606" s="142">
        <v>0</v>
      </c>
      <c r="R606" s="129" t="str">
        <v>RVG code</v>
      </c>
      <c r="S606" s="143" t="str">
        <v/>
      </c>
      <c r="T606" s="144" t="str">
        <v>SRC-01</v>
      </c>
      <c r="U606" s="129" t="str">
        <v>p.8 – Thorax / Breast</v>
      </c>
      <c r="V606" s="129" t="str">
        <v>Reference units only – no $ fee (NZSA RVG 2021). DUPLICATE CODE as printed – second T2 in Breast; also used for Time billing (T2)</v>
      </c>
    </row>
    <row r="607" spans="1:22" x14ac:dyDescent="0.2">
      <c r="A607" s="144" t="str">
        <v>T6b</v>
      </c>
      <c r="B607" s="145">
        <v>16</v>
      </c>
      <c r="C607" s="129" t="str">
        <v>Aortic Valve Replacement</v>
      </c>
      <c r="D607" s="129" t="str">
        <v>T6b – Thorax / Cardiac: Less Complex Surgery</v>
      </c>
      <c r="E607" s="129" t="str">
        <v>04 - Thorax</v>
      </c>
      <c r="F607" s="129" t="str">
        <v>Solutions Plus</v>
      </c>
      <c r="G607" s="144" t="str">
        <v>CON-01</v>
      </c>
      <c r="H607" s="129" t="str">
        <v>To confirm</v>
      </c>
      <c r="I607" s="144" t="str">
        <v>No</v>
      </c>
      <c r="J607" s="144" t="str">
        <v>Base</v>
      </c>
      <c r="K607" s="144" t="str">
        <v/>
      </c>
      <c r="L607" s="146">
        <v>38</v>
      </c>
      <c r="M607" s="142">
        <v>2091.65</v>
      </c>
      <c r="N607" s="144" t="str">
        <v>Unknown</v>
      </c>
      <c r="O607" s="142" t="str">
        <v/>
      </c>
      <c r="P607" s="142" t="str">
        <v/>
      </c>
      <c r="Q607" s="142">
        <v>55.043421052631579</v>
      </c>
      <c r="R607" s="129" t="str">
        <v>Description – exact</v>
      </c>
      <c r="S607" s="143" t="str">
        <v/>
      </c>
      <c r="T607" s="144" t="str">
        <v>SRC-00</v>
      </c>
      <c r="U607" s="129" t="str">
        <v>S+ row 50</v>
      </c>
      <c r="V607" s="129" t="str">
        <v/>
      </c>
    </row>
    <row r="608" spans="1:22" x14ac:dyDescent="0.2">
      <c r="A608" s="144" t="str">
        <v>T6c</v>
      </c>
      <c r="B608" s="145">
        <v>20</v>
      </c>
      <c r="C608" s="129" t="str">
        <v>AVRICABG</v>
      </c>
      <c r="D608" s="129" t="str">
        <v>T6c – Thorax / Cardiac: More Complex Surgery</v>
      </c>
      <c r="E608" s="129" t="str">
        <v>04 - Thorax</v>
      </c>
      <c r="F608" s="129" t="str">
        <v>Solutions Plus</v>
      </c>
      <c r="G608" s="144" t="str">
        <v>CON-01</v>
      </c>
      <c r="H608" s="129" t="str">
        <v>To confirm</v>
      </c>
      <c r="I608" s="144" t="str">
        <v>No</v>
      </c>
      <c r="J608" s="144" t="str">
        <v>Base</v>
      </c>
      <c r="K608" s="144" t="str">
        <v/>
      </c>
      <c r="L608" s="146">
        <v>48</v>
      </c>
      <c r="M608" s="142">
        <v>2640</v>
      </c>
      <c r="N608" s="144" t="str">
        <v>Unknown</v>
      </c>
      <c r="O608" s="142" t="str">
        <v/>
      </c>
      <c r="P608" s="142" t="str">
        <v/>
      </c>
      <c r="Q608" s="142">
        <v>55</v>
      </c>
      <c r="R608" s="129" t="str">
        <v>Description – exact</v>
      </c>
      <c r="S608" s="143" t="str">
        <v/>
      </c>
      <c r="T608" s="144" t="str">
        <v>SRC-00</v>
      </c>
      <c r="U608" s="129" t="str">
        <v>S+ row 58</v>
      </c>
      <c r="V608" s="129" t="str">
        <v/>
      </c>
    </row>
    <row r="609" spans="1:22" x14ac:dyDescent="0.2">
      <c r="A609" s="144" t="str">
        <v>T6b</v>
      </c>
      <c r="B609" s="145">
        <v>16</v>
      </c>
      <c r="C609" s="129" t="str">
        <v>CABG</v>
      </c>
      <c r="D609" s="129" t="str">
        <v>T6b – Thorax / Cardiac: Less Complex Surgery</v>
      </c>
      <c r="E609" s="129" t="str">
        <v>04 - Thorax</v>
      </c>
      <c r="F609" s="129" t="str">
        <v>Solutions Plus</v>
      </c>
      <c r="G609" s="144" t="str">
        <v>CON-01</v>
      </c>
      <c r="H609" s="129" t="str">
        <v>To confirm</v>
      </c>
      <c r="I609" s="144" t="str">
        <v>No</v>
      </c>
      <c r="J609" s="144" t="str">
        <v>Base</v>
      </c>
      <c r="K609" s="144" t="str">
        <v/>
      </c>
      <c r="L609" s="146">
        <v>41</v>
      </c>
      <c r="M609" s="142">
        <v>2257.1999999999998</v>
      </c>
      <c r="N609" s="144" t="str">
        <v>Unknown</v>
      </c>
      <c r="O609" s="142" t="str">
        <v/>
      </c>
      <c r="P609" s="142" t="str">
        <v/>
      </c>
      <c r="Q609" s="142">
        <v>55.05365853658536</v>
      </c>
      <c r="R609" s="129" t="str">
        <v>Description – exact</v>
      </c>
      <c r="S609" s="143" t="str">
        <v/>
      </c>
      <c r="T609" s="144" t="str">
        <v>SRC-00</v>
      </c>
      <c r="U609" s="129" t="str">
        <v>S+ row 148</v>
      </c>
      <c r="V609" s="129" t="str">
        <v/>
      </c>
    </row>
    <row r="610" spans="1:22" x14ac:dyDescent="0.2">
      <c r="A610" s="144" t="str">
        <v>T6b</v>
      </c>
      <c r="B610" s="145">
        <v>16</v>
      </c>
      <c r="C610" s="129" t="str">
        <v>Coronary Artery Bypass Graft</v>
      </c>
      <c r="D610" s="129" t="str">
        <v>T6b – Thorax / Cardiac: Less Complex Surgery</v>
      </c>
      <c r="E610" s="129" t="str">
        <v>04 - Thorax</v>
      </c>
      <c r="F610" s="129" t="str">
        <v>Solutions Plus</v>
      </c>
      <c r="G610" s="144" t="str">
        <v>CON-01</v>
      </c>
      <c r="H610" s="129" t="str">
        <v>To confirm</v>
      </c>
      <c r="I610" s="144" t="str">
        <v>No</v>
      </c>
      <c r="J610" s="144" t="str">
        <v>Base</v>
      </c>
      <c r="K610" s="144" t="str">
        <v/>
      </c>
      <c r="L610" s="146">
        <v>40</v>
      </c>
      <c r="M610" s="142">
        <v>2199.4499999999998</v>
      </c>
      <c r="N610" s="144" t="str">
        <v>Unknown</v>
      </c>
      <c r="O610" s="142" t="str">
        <v/>
      </c>
      <c r="P610" s="142" t="str">
        <v/>
      </c>
      <c r="Q610" s="142">
        <v>54.986249999999998</v>
      </c>
      <c r="R610" s="129" t="str">
        <v>Description – exact</v>
      </c>
      <c r="S610" s="143" t="str">
        <v/>
      </c>
      <c r="T610" s="144" t="str">
        <v>SRC-00</v>
      </c>
      <c r="U610" s="129" t="str">
        <v>S+ row 214</v>
      </c>
      <c r="V610" s="129" t="str">
        <v/>
      </c>
    </row>
    <row r="611" spans="1:22" x14ac:dyDescent="0.2">
      <c r="A611" s="144" t="str">
        <v>T6b</v>
      </c>
      <c r="B611" s="145">
        <v>16</v>
      </c>
      <c r="C611" s="129" t="str">
        <v>Less Complex Surgery e.g. CABG Only, Single Valve Replacement</v>
      </c>
      <c r="D611" s="129" t="str">
        <v>T6b – Thorax / Cardiac: Less Complex Surgery</v>
      </c>
      <c r="E611" s="129" t="str">
        <v>04 - Thorax</v>
      </c>
      <c r="F611" s="129" t="str">
        <v>NZSA RVG</v>
      </c>
      <c r="G611" s="144" t="str">
        <v>CON-10</v>
      </c>
      <c r="H611" s="129" t="str">
        <v>Reference – units only</v>
      </c>
      <c r="I611" s="144" t="str">
        <v>No</v>
      </c>
      <c r="J611" s="144" t="str">
        <v>Base</v>
      </c>
      <c r="K611" s="144" t="str">
        <v>T6b</v>
      </c>
      <c r="L611" s="146">
        <v>16</v>
      </c>
      <c r="M611" s="142" t="str">
        <v/>
      </c>
      <c r="N611" s="144" t="str">
        <v/>
      </c>
      <c r="O611" s="142" t="str">
        <v/>
      </c>
      <c r="P611" s="142" t="str">
        <v/>
      </c>
      <c r="Q611" s="142">
        <v>0</v>
      </c>
      <c r="R611" s="129" t="str">
        <v>RVG code</v>
      </c>
      <c r="S611" s="143" t="str">
        <v/>
      </c>
      <c r="T611" s="144" t="str">
        <v>SRC-01</v>
      </c>
      <c r="U611" s="129" t="str">
        <v>p.8 – Thorax / Cardiac</v>
      </c>
      <c r="V611" s="129" t="str">
        <v>Reference units only – no $ fee (NZSA RVG 2021).</v>
      </c>
    </row>
    <row r="612" spans="1:22" x14ac:dyDescent="0.2">
      <c r="A612" s="144" t="str">
        <v>T6b</v>
      </c>
      <c r="B612" s="145">
        <v>16</v>
      </c>
      <c r="C612" s="129" t="str">
        <v>Mitral Valve Repair</v>
      </c>
      <c r="D612" s="129" t="str">
        <v>T6b – Thorax / Cardiac: Less Complex Surgery</v>
      </c>
      <c r="E612" s="129" t="str">
        <v>04 - Thorax</v>
      </c>
      <c r="F612" s="129" t="str">
        <v>Solutions Plus</v>
      </c>
      <c r="G612" s="144" t="str">
        <v>CON-01</v>
      </c>
      <c r="H612" s="129" t="str">
        <v>To confirm</v>
      </c>
      <c r="I612" s="144" t="str">
        <v>No</v>
      </c>
      <c r="J612" s="144" t="str">
        <v>Base</v>
      </c>
      <c r="K612" s="144" t="str">
        <v/>
      </c>
      <c r="L612" s="146">
        <v>42.1</v>
      </c>
      <c r="M612" s="142">
        <v>2314.4</v>
      </c>
      <c r="N612" s="144" t="str">
        <v>Unknown</v>
      </c>
      <c r="O612" s="142" t="str">
        <v/>
      </c>
      <c r="P612" s="142" t="str">
        <v/>
      </c>
      <c r="Q612" s="142">
        <v>54.973871733966746</v>
      </c>
      <c r="R612" s="129" t="str">
        <v>Description – likely</v>
      </c>
      <c r="S612" s="143" t="str">
        <v/>
      </c>
      <c r="T612" s="144" t="str">
        <v>SRC-00</v>
      </c>
      <c r="U612" s="129" t="str">
        <v>S+ row 643</v>
      </c>
      <c r="V612" s="129" t="str">
        <v/>
      </c>
    </row>
    <row r="613" spans="1:22" x14ac:dyDescent="0.2">
      <c r="A613" s="144" t="str">
        <v>T6b</v>
      </c>
      <c r="B613" s="145">
        <v>16</v>
      </c>
      <c r="C613" s="129" t="str">
        <v>Mitral Valve Replacement</v>
      </c>
      <c r="D613" s="129" t="str">
        <v>T6b – Thorax / Cardiac: Less Complex Surgery</v>
      </c>
      <c r="E613" s="129" t="str">
        <v>04 - Thorax</v>
      </c>
      <c r="F613" s="129" t="str">
        <v>Solutions Plus</v>
      </c>
      <c r="G613" s="144" t="str">
        <v>CON-01</v>
      </c>
      <c r="H613" s="129" t="str">
        <v>To confirm</v>
      </c>
      <c r="I613" s="144" t="str">
        <v>No</v>
      </c>
      <c r="J613" s="144" t="str">
        <v>Base</v>
      </c>
      <c r="K613" s="144" t="str">
        <v/>
      </c>
      <c r="L613" s="146">
        <v>38</v>
      </c>
      <c r="M613" s="142">
        <v>2088.9</v>
      </c>
      <c r="N613" s="144" t="str">
        <v>Unknown</v>
      </c>
      <c r="O613" s="142" t="str">
        <v/>
      </c>
      <c r="P613" s="142" t="str">
        <v/>
      </c>
      <c r="Q613" s="142">
        <v>54.971052631578949</v>
      </c>
      <c r="R613" s="129" t="str">
        <v>Description – exact</v>
      </c>
      <c r="S613" s="143" t="str">
        <v/>
      </c>
      <c r="T613" s="144" t="str">
        <v>SRC-00</v>
      </c>
      <c r="U613" s="129" t="str">
        <v>S+ row 644</v>
      </c>
      <c r="V613" s="129" t="str">
        <v/>
      </c>
    </row>
    <row r="614" spans="1:22" x14ac:dyDescent="0.2">
      <c r="A614" s="144" t="str">
        <v>T6c</v>
      </c>
      <c r="B614" s="145">
        <v>20</v>
      </c>
      <c r="C614" s="129" t="str">
        <v>More Complex Surgery e.g. Redo Case, Multiple Valve Replacement, CABG Plus Valve</v>
      </c>
      <c r="D614" s="129" t="str">
        <v>T6c – Thorax / Cardiac: More Complex Surgery</v>
      </c>
      <c r="E614" s="129" t="str">
        <v>04 - Thorax</v>
      </c>
      <c r="F614" s="129" t="str">
        <v>NZSA RVG</v>
      </c>
      <c r="G614" s="144" t="str">
        <v>CON-10</v>
      </c>
      <c r="H614" s="129" t="str">
        <v>Reference – units only</v>
      </c>
      <c r="I614" s="144" t="str">
        <v>No</v>
      </c>
      <c r="J614" s="144" t="str">
        <v>Base</v>
      </c>
      <c r="K614" s="144" t="str">
        <v>T6c</v>
      </c>
      <c r="L614" s="146">
        <v>20</v>
      </c>
      <c r="M614" s="142" t="str">
        <v/>
      </c>
      <c r="N614" s="144" t="str">
        <v/>
      </c>
      <c r="O614" s="142" t="str">
        <v/>
      </c>
      <c r="P614" s="142" t="str">
        <v/>
      </c>
      <c r="Q614" s="142">
        <v>0</v>
      </c>
      <c r="R614" s="129" t="str">
        <v>RVG code</v>
      </c>
      <c r="S614" s="143" t="str">
        <v/>
      </c>
      <c r="T614" s="144" t="str">
        <v>SRC-01</v>
      </c>
      <c r="U614" s="129" t="str">
        <v>p.8 – Thorax / Cardiac</v>
      </c>
      <c r="V614" s="129" t="str">
        <v>Reference units only – no $ fee (NZSA RVG 2021).</v>
      </c>
    </row>
    <row r="615" spans="1:22" x14ac:dyDescent="0.2">
      <c r="A615" s="144" t="str">
        <v>T6b</v>
      </c>
      <c r="B615" s="145">
        <v>16</v>
      </c>
      <c r="C615" s="129" t="str">
        <v>MVR</v>
      </c>
      <c r="D615" s="129" t="str">
        <v>T6b – Thorax / Cardiac: Less Complex Surgery</v>
      </c>
      <c r="E615" s="129" t="str">
        <v>04 - Thorax</v>
      </c>
      <c r="F615" s="129" t="str">
        <v>Solutions Plus</v>
      </c>
      <c r="G615" s="144" t="str">
        <v>CON-01</v>
      </c>
      <c r="H615" s="129" t="str">
        <v>To confirm</v>
      </c>
      <c r="I615" s="144" t="str">
        <v>No</v>
      </c>
      <c r="J615" s="144" t="str">
        <v>Base</v>
      </c>
      <c r="K615" s="144" t="str">
        <v/>
      </c>
      <c r="L615" s="146">
        <v>39</v>
      </c>
      <c r="M615" s="142">
        <v>2144.4499999999998</v>
      </c>
      <c r="N615" s="144" t="str">
        <v>Unknown</v>
      </c>
      <c r="O615" s="142" t="str">
        <v/>
      </c>
      <c r="P615" s="142" t="str">
        <v/>
      </c>
      <c r="Q615" s="142">
        <v>54.985897435897428</v>
      </c>
      <c r="R615" s="129" t="str">
        <v>Description – exact</v>
      </c>
      <c r="S615" s="143" t="str">
        <v/>
      </c>
      <c r="T615" s="144" t="str">
        <v>SRC-00</v>
      </c>
      <c r="U615" s="129" t="str">
        <v>S+ row 651</v>
      </c>
      <c r="V615" s="129" t="str">
        <v/>
      </c>
    </row>
    <row r="616" spans="1:22" x14ac:dyDescent="0.2">
      <c r="A616" s="144" t="str">
        <v>T6b</v>
      </c>
      <c r="B616" s="145">
        <v>16</v>
      </c>
      <c r="C616" s="129" t="str">
        <v>Off Pump CABG</v>
      </c>
      <c r="D616" s="129" t="str">
        <v>T6b – Thorax / Cardiac: Less Complex Surgery</v>
      </c>
      <c r="E616" s="129" t="str">
        <v>04 - Thorax</v>
      </c>
      <c r="F616" s="129" t="str">
        <v>Solutions Plus</v>
      </c>
      <c r="G616" s="144" t="str">
        <v>CON-01</v>
      </c>
      <c r="H616" s="129" t="str">
        <v>To confirm</v>
      </c>
      <c r="I616" s="144" t="str">
        <v>No</v>
      </c>
      <c r="J616" s="144" t="str">
        <v>Base</v>
      </c>
      <c r="K616" s="144" t="str">
        <v/>
      </c>
      <c r="L616" s="146">
        <v>40.9</v>
      </c>
      <c r="M616" s="142">
        <v>2251.6999999999998</v>
      </c>
      <c r="N616" s="144" t="str">
        <v>Unknown</v>
      </c>
      <c r="O616" s="142" t="str">
        <v/>
      </c>
      <c r="P616" s="142" t="str">
        <v/>
      </c>
      <c r="Q616" s="142">
        <v>55.053789731051339</v>
      </c>
      <c r="R616" s="129" t="str">
        <v>Description – exact</v>
      </c>
      <c r="S616" s="143" t="str">
        <v/>
      </c>
      <c r="T616" s="144" t="str">
        <v>SRC-00</v>
      </c>
      <c r="U616" s="129" t="str">
        <v>S+ row 657</v>
      </c>
      <c r="V616" s="129" t="str">
        <v/>
      </c>
    </row>
    <row r="617" spans="1:22" x14ac:dyDescent="0.2">
      <c r="A617" s="144" t="str">
        <v>T6b</v>
      </c>
      <c r="B617" s="145">
        <v>16</v>
      </c>
      <c r="C617" s="129" t="str">
        <v>Ortic Valve Replacement (tissue) - CDHB</v>
      </c>
      <c r="D617" s="129" t="str">
        <v>T6b – Thorax / Cardiac: Less Complex Surgery</v>
      </c>
      <c r="E617" s="129" t="str">
        <v>04 - Thorax</v>
      </c>
      <c r="F617" s="129" t="str">
        <v>Solutions Plus</v>
      </c>
      <c r="G617" s="144" t="str">
        <v>CON-01</v>
      </c>
      <c r="H617" s="129" t="str">
        <v>To confirm</v>
      </c>
      <c r="I617" s="144" t="str">
        <v>No</v>
      </c>
      <c r="J617" s="144" t="str">
        <v>Base</v>
      </c>
      <c r="K617" s="144" t="str">
        <v/>
      </c>
      <c r="L617" s="146">
        <v>38</v>
      </c>
      <c r="M617" s="142">
        <v>2090</v>
      </c>
      <c r="N617" s="144" t="str">
        <v>Unknown</v>
      </c>
      <c r="O617" s="142" t="str">
        <v/>
      </c>
      <c r="P617" s="142" t="str">
        <v/>
      </c>
      <c r="Q617" s="142">
        <v>55</v>
      </c>
      <c r="R617" s="129" t="str">
        <v>Description – exact</v>
      </c>
      <c r="S617" s="143" t="str">
        <v/>
      </c>
      <c r="T617" s="144" t="str">
        <v>SRC-00</v>
      </c>
      <c r="U617" s="129" t="str">
        <v>S+ row 684</v>
      </c>
      <c r="V617" s="129" t="str">
        <v/>
      </c>
    </row>
    <row r="618" spans="1:22" x14ac:dyDescent="0.2">
      <c r="A618" s="144" t="str">
        <v>T6d</v>
      </c>
      <c r="B618" s="145">
        <v>15</v>
      </c>
      <c r="C618" s="129" t="str">
        <v>Percutaneous Cardiac Surgery e.g. TAVI (NOT EP Ablations)</v>
      </c>
      <c r="D618" s="129" t="str">
        <v>T6d – Thorax / Cardiac: Percutaneous Cardiac Surgery</v>
      </c>
      <c r="E618" s="129" t="str">
        <v>04 - Thorax</v>
      </c>
      <c r="F618" s="129" t="str">
        <v>NZSA RVG</v>
      </c>
      <c r="G618" s="144" t="str">
        <v>CON-10</v>
      </c>
      <c r="H618" s="129" t="str">
        <v>Reference – units only</v>
      </c>
      <c r="I618" s="144" t="str">
        <v>No</v>
      </c>
      <c r="J618" s="144" t="str">
        <v>Base</v>
      </c>
      <c r="K618" s="144" t="str">
        <v>T6d</v>
      </c>
      <c r="L618" s="146">
        <v>15</v>
      </c>
      <c r="M618" s="142" t="str">
        <v/>
      </c>
      <c r="N618" s="144" t="str">
        <v/>
      </c>
      <c r="O618" s="142" t="str">
        <v/>
      </c>
      <c r="P618" s="142" t="str">
        <v/>
      </c>
      <c r="Q618" s="142">
        <v>0</v>
      </c>
      <c r="R618" s="129" t="str">
        <v>Unmatched</v>
      </c>
      <c r="S618" s="143" t="str">
        <v/>
      </c>
      <c r="T618" s="144" t="str">
        <v>SRC-01</v>
      </c>
      <c r="U618" s="129" t="str">
        <v>p.8 – Thorax / Cardiac</v>
      </c>
      <c r="V618" s="129" t="str">
        <v>Reference units only – no $ fee (NZSA RVG 2021).</v>
      </c>
    </row>
    <row r="619" spans="1:22" x14ac:dyDescent="0.2">
      <c r="A619" s="144" t="str">
        <v>T6a</v>
      </c>
      <c r="B619" s="145">
        <v>8</v>
      </c>
      <c r="C619" s="129" t="str">
        <v>Sternal Debridement or Chest Re-Opening (either OR or ICU)</v>
      </c>
      <c r="D619" s="129" t="str">
        <v>T6a – Thorax / Cardiac: Sternal Debridement or Chest Re-Opening (either OR or ICU)</v>
      </c>
      <c r="E619" s="129" t="str">
        <v>04 - Thorax</v>
      </c>
      <c r="F619" s="129" t="str">
        <v>NZSA RVG</v>
      </c>
      <c r="G619" s="144" t="str">
        <v>CON-10</v>
      </c>
      <c r="H619" s="129" t="str">
        <v>Reference – units only</v>
      </c>
      <c r="I619" s="144" t="str">
        <v>No</v>
      </c>
      <c r="J619" s="144" t="str">
        <v>Base</v>
      </c>
      <c r="K619" s="144" t="str">
        <v>T6a</v>
      </c>
      <c r="L619" s="146">
        <v>8</v>
      </c>
      <c r="M619" s="142" t="str">
        <v/>
      </c>
      <c r="N619" s="144" t="str">
        <v/>
      </c>
      <c r="O619" s="142" t="str">
        <v/>
      </c>
      <c r="P619" s="142" t="str">
        <v/>
      </c>
      <c r="Q619" s="142">
        <v>0</v>
      </c>
      <c r="R619" s="129" t="str">
        <v>Unmatched</v>
      </c>
      <c r="S619" s="143" t="str">
        <v/>
      </c>
      <c r="T619" s="144" t="str">
        <v>SRC-01</v>
      </c>
      <c r="U619" s="129" t="str">
        <v>p.8 – Thorax / Cardiac</v>
      </c>
      <c r="V619" s="129" t="str">
        <v>Reference units only – no $ fee (NZSA RVG 2021).</v>
      </c>
    </row>
    <row r="620" spans="1:22" x14ac:dyDescent="0.2">
      <c r="A620" s="144" t="str">
        <v>T5d</v>
      </c>
      <c r="B620" s="145">
        <v>14</v>
      </c>
      <c r="C620" s="129" t="str">
        <v>Lobectomy/Wedge Resection</v>
      </c>
      <c r="D620" s="129" t="str">
        <v>T5d – Thorax / Thoracic: Lobectomy/Wedge Resection</v>
      </c>
      <c r="E620" s="129" t="str">
        <v>04 - Thorax</v>
      </c>
      <c r="F620" s="129" t="str">
        <v>NZSA RVG</v>
      </c>
      <c r="G620" s="144" t="str">
        <v>CON-10</v>
      </c>
      <c r="H620" s="129" t="str">
        <v>Reference – units only</v>
      </c>
      <c r="I620" s="144" t="str">
        <v>No</v>
      </c>
      <c r="J620" s="144" t="str">
        <v>Base</v>
      </c>
      <c r="K620" s="144" t="str">
        <v>T5d</v>
      </c>
      <c r="L620" s="146">
        <v>14</v>
      </c>
      <c r="M620" s="142" t="str">
        <v/>
      </c>
      <c r="N620" s="144" t="str">
        <v/>
      </c>
      <c r="O620" s="142" t="str">
        <v/>
      </c>
      <c r="P620" s="142" t="str">
        <v/>
      </c>
      <c r="Q620" s="142">
        <v>0</v>
      </c>
      <c r="R620" s="129" t="str">
        <v>RVG code</v>
      </c>
      <c r="S620" s="143" t="str">
        <v/>
      </c>
      <c r="T620" s="144" t="str">
        <v>SRC-01</v>
      </c>
      <c r="U620" s="129" t="str">
        <v>p.8 – Thorax / Thoracic</v>
      </c>
      <c r="V620" s="129" t="str">
        <v>Reference units only – no $ fee (NZSA RVG 2021).</v>
      </c>
    </row>
    <row r="621" spans="1:22" x14ac:dyDescent="0.2">
      <c r="A621" s="144" t="str">
        <v>T5c</v>
      </c>
      <c r="B621" s="145">
        <v>8</v>
      </c>
      <c r="C621" s="129" t="str">
        <v>Lung Biopsy</v>
      </c>
      <c r="D621" s="129" t="str">
        <v>T5c – Thorax / Thoracic: Pleurodesis/Simple Biopsy</v>
      </c>
      <c r="E621" s="129" t="str">
        <v>04 - Thorax</v>
      </c>
      <c r="F621" s="129" t="str">
        <v>Solutions Plus</v>
      </c>
      <c r="G621" s="144" t="str">
        <v>CON-01</v>
      </c>
      <c r="H621" s="129" t="str">
        <v>To confirm</v>
      </c>
      <c r="I621" s="144" t="str">
        <v>No</v>
      </c>
      <c r="J621" s="144" t="str">
        <v>Base</v>
      </c>
      <c r="K621" s="144" t="str">
        <v/>
      </c>
      <c r="L621" s="146">
        <v>13.3</v>
      </c>
      <c r="M621" s="142">
        <v>732.6</v>
      </c>
      <c r="N621" s="144" t="str">
        <v>Unknown</v>
      </c>
      <c r="O621" s="142" t="str">
        <v/>
      </c>
      <c r="P621" s="142" t="str">
        <v/>
      </c>
      <c r="Q621" s="142">
        <v>55.082706766917291</v>
      </c>
      <c r="R621" s="129" t="str">
        <v>Description – likely</v>
      </c>
      <c r="S621" s="143" t="str">
        <v/>
      </c>
      <c r="T621" s="144" t="str">
        <v>SRC-00</v>
      </c>
      <c r="U621" s="129" t="str">
        <v>S+ row 628</v>
      </c>
      <c r="V621" s="129" t="str">
        <v/>
      </c>
    </row>
    <row r="622" spans="1:22" x14ac:dyDescent="0.2">
      <c r="A622" s="144" t="str">
        <v>T5e</v>
      </c>
      <c r="B622" s="145">
        <v>20</v>
      </c>
      <c r="C622" s="129" t="str">
        <v>Major Thoracic e.g. Pneumonectomy, Tracheal and/or Bronchial Reconstruction, Thoracoabdominal Procedures</v>
      </c>
      <c r="D622" s="129" t="str">
        <v>T5e – Thorax / Thoracic: Major Thoracic</v>
      </c>
      <c r="E622" s="129" t="str">
        <v>04 - Thorax</v>
      </c>
      <c r="F622" s="129" t="str">
        <v>NZSA RVG</v>
      </c>
      <c r="G622" s="144" t="str">
        <v>CON-10</v>
      </c>
      <c r="H622" s="129" t="str">
        <v>Reference – units only</v>
      </c>
      <c r="I622" s="144" t="str">
        <v>No</v>
      </c>
      <c r="J622" s="144" t="str">
        <v>Base</v>
      </c>
      <c r="K622" s="144" t="str">
        <v>T5e</v>
      </c>
      <c r="L622" s="146">
        <v>20</v>
      </c>
      <c r="M622" s="142" t="str">
        <v/>
      </c>
      <c r="N622" s="144" t="str">
        <v/>
      </c>
      <c r="O622" s="142" t="str">
        <v/>
      </c>
      <c r="P622" s="142" t="str">
        <v/>
      </c>
      <c r="Q622" s="142">
        <v>0</v>
      </c>
      <c r="R622" s="129" t="str">
        <v>Unmatched</v>
      </c>
      <c r="S622" s="143" t="str">
        <v/>
      </c>
      <c r="T622" s="144" t="str">
        <v>SRC-01</v>
      </c>
      <c r="U622" s="129" t="str">
        <v>p.8 – Thorax / Thoracic</v>
      </c>
      <c r="V622" s="129" t="str">
        <v>Reference units only – no $ fee (NZSA RVG 2021).</v>
      </c>
    </row>
    <row r="623" spans="1:22" x14ac:dyDescent="0.2">
      <c r="A623" s="144" t="str">
        <v>T5a</v>
      </c>
      <c r="B623" s="145">
        <v>6</v>
      </c>
      <c r="C623" s="129" t="str">
        <v>Mediastinoscopy</v>
      </c>
      <c r="D623" s="129" t="str">
        <v>T5a – Thorax / Thoracic: Mediastinoscopy</v>
      </c>
      <c r="E623" s="129" t="str">
        <v>04 - Thorax</v>
      </c>
      <c r="F623" s="129" t="str">
        <v>NZSA RVG</v>
      </c>
      <c r="G623" s="144" t="str">
        <v>CON-10</v>
      </c>
      <c r="H623" s="129" t="str">
        <v>Reference – units only</v>
      </c>
      <c r="I623" s="144" t="str">
        <v>No</v>
      </c>
      <c r="J623" s="144" t="str">
        <v>Base</v>
      </c>
      <c r="K623" s="144" t="str">
        <v>T5a</v>
      </c>
      <c r="L623" s="146">
        <v>6</v>
      </c>
      <c r="M623" s="142" t="str">
        <v/>
      </c>
      <c r="N623" s="144" t="str">
        <v/>
      </c>
      <c r="O623" s="142" t="str">
        <v/>
      </c>
      <c r="P623" s="142" t="str">
        <v/>
      </c>
      <c r="Q623" s="142">
        <v>0</v>
      </c>
      <c r="R623" s="129" t="str">
        <v>Unmatched</v>
      </c>
      <c r="S623" s="143" t="str">
        <v/>
      </c>
      <c r="T623" s="144" t="str">
        <v>SRC-01</v>
      </c>
      <c r="U623" s="129" t="str">
        <v>p.8 – Thorax / Thoracic</v>
      </c>
      <c r="V623" s="129" t="str">
        <v>Reference units only – no $ fee (NZSA RVG 2021).</v>
      </c>
    </row>
    <row r="624" spans="1:22" x14ac:dyDescent="0.2">
      <c r="A624" s="144" t="str">
        <v>T5c</v>
      </c>
      <c r="B624" s="145">
        <v>8</v>
      </c>
      <c r="C624" s="129" t="str">
        <v>Pleurodesis/Simple Biopsy</v>
      </c>
      <c r="D624" s="129" t="str">
        <v>T5c – Thorax / Thoracic: Pleurodesis/Simple Biopsy</v>
      </c>
      <c r="E624" s="129" t="str">
        <v>04 - Thorax</v>
      </c>
      <c r="F624" s="129" t="str">
        <v>NZSA RVG</v>
      </c>
      <c r="G624" s="144" t="str">
        <v>CON-10</v>
      </c>
      <c r="H624" s="129" t="str">
        <v>Reference – units only</v>
      </c>
      <c r="I624" s="144" t="str">
        <v>No</v>
      </c>
      <c r="J624" s="144" t="str">
        <v>Base</v>
      </c>
      <c r="K624" s="144" t="str">
        <v>T5c</v>
      </c>
      <c r="L624" s="146" t="str">
        <v/>
      </c>
      <c r="M624" s="142" t="str">
        <v/>
      </c>
      <c r="N624" s="144" t="str">
        <v/>
      </c>
      <c r="O624" s="142" t="str">
        <v/>
      </c>
      <c r="P624" s="142" t="str">
        <v/>
      </c>
      <c r="Q624" s="142" t="str">
        <v/>
      </c>
      <c r="R624" s="129" t="str">
        <v>RVG code</v>
      </c>
      <c r="S624" s="143" t="str">
        <v/>
      </c>
      <c r="T624" s="144" t="str">
        <v>SRC-01</v>
      </c>
      <c r="U624" s="129" t="str">
        <v>p.8 – Thorax / Thoracic</v>
      </c>
      <c r="V624" s="129" t="str">
        <v>Reference units only – no $ fee (NZSA RVG 2021). Units as printed: "8-10" (lower bound in units columns). Printed as a range 8-10</v>
      </c>
    </row>
    <row r="625" spans="1:22" x14ac:dyDescent="0.2">
      <c r="A625" s="144" t="str">
        <v>T5d</v>
      </c>
      <c r="B625" s="145">
        <v>14</v>
      </c>
      <c r="C625" s="129" t="str">
        <v>Right Upper Lobectomy VATS - CDHB</v>
      </c>
      <c r="D625" s="129" t="str">
        <v>T5d – Thorax / Thoracic: Lobectomy/Wedge Resection</v>
      </c>
      <c r="E625" s="129" t="str">
        <v>04 - Thorax</v>
      </c>
      <c r="F625" s="129" t="str">
        <v>Solutions Plus</v>
      </c>
      <c r="G625" s="144" t="str">
        <v>CON-01</v>
      </c>
      <c r="H625" s="129" t="str">
        <v>To confirm</v>
      </c>
      <c r="I625" s="144" t="str">
        <v>No</v>
      </c>
      <c r="J625" s="144" t="str">
        <v>Base</v>
      </c>
      <c r="K625" s="144" t="str">
        <v/>
      </c>
      <c r="L625" s="146">
        <v>36</v>
      </c>
      <c r="M625" s="142">
        <v>1980</v>
      </c>
      <c r="N625" s="144" t="str">
        <v>Unknown</v>
      </c>
      <c r="O625" s="142" t="str">
        <v/>
      </c>
      <c r="P625" s="142" t="str">
        <v/>
      </c>
      <c r="Q625" s="142">
        <v>55</v>
      </c>
      <c r="R625" s="129" t="str">
        <v>Description – exact</v>
      </c>
      <c r="S625" s="143" t="str">
        <v/>
      </c>
      <c r="T625" s="144" t="str">
        <v>SRC-00</v>
      </c>
      <c r="U625" s="129" t="str">
        <v>S+ row 840</v>
      </c>
      <c r="V625" s="129" t="str">
        <v/>
      </c>
    </row>
    <row r="626" spans="1:22" x14ac:dyDescent="0.2">
      <c r="A626" s="144" t="str">
        <v>T5b</v>
      </c>
      <c r="B626" s="145">
        <v>8</v>
      </c>
      <c r="C626" s="129" t="str">
        <v>Sympathectomy Lobectomy/Wedge Resection</v>
      </c>
      <c r="D626" s="129" t="str">
        <v>T5b – Thorax / Thoracic: Sympathectomy Lobectomy/Wedge Resection</v>
      </c>
      <c r="E626" s="129" t="str">
        <v>04 - Thorax</v>
      </c>
      <c r="F626" s="129" t="str">
        <v>NZSA RVG</v>
      </c>
      <c r="G626" s="144" t="str">
        <v>CON-10</v>
      </c>
      <c r="H626" s="129" t="str">
        <v>Reference – units only</v>
      </c>
      <c r="I626" s="144" t="str">
        <v>No</v>
      </c>
      <c r="J626" s="144" t="str">
        <v>Base</v>
      </c>
      <c r="K626" s="144" t="str">
        <v>T5b</v>
      </c>
      <c r="L626" s="146">
        <v>8</v>
      </c>
      <c r="M626" s="142" t="str">
        <v/>
      </c>
      <c r="N626" s="144" t="str">
        <v/>
      </c>
      <c r="O626" s="142" t="str">
        <v/>
      </c>
      <c r="P626" s="142" t="str">
        <v/>
      </c>
      <c r="Q626" s="142">
        <v>0</v>
      </c>
      <c r="R626" s="129" t="str">
        <v>Unmatched</v>
      </c>
      <c r="S626" s="143" t="str">
        <v/>
      </c>
      <c r="T626" s="144" t="str">
        <v>SRC-01</v>
      </c>
      <c r="U626" s="129" t="str">
        <v>p.8 – Thorax / Thoracic</v>
      </c>
      <c r="V626" s="129" t="str">
        <v>Reference units only – no $ fee (NZSA RVG 2021).</v>
      </c>
    </row>
    <row r="627" spans="1:22" x14ac:dyDescent="0.2">
      <c r="A627" s="144" t="str">
        <v>T7b</v>
      </c>
      <c r="B627" s="145">
        <v>6</v>
      </c>
      <c r="C627" s="129" t="str">
        <v>Diagnostic TOE: Full Examination, Including Report [Nil Time Units ]</v>
      </c>
      <c r="D627" s="129" t="str">
        <v>T7b – Thorax / TOE Use: Diagnostic TOE: Full Examination, Including Report [Nil T…</v>
      </c>
      <c r="E627" s="129" t="str">
        <v>04 - Thorax</v>
      </c>
      <c r="F627" s="129" t="str">
        <v>NZSA RVG</v>
      </c>
      <c r="G627" s="144" t="str">
        <v>CON-10</v>
      </c>
      <c r="H627" s="129" t="str">
        <v>Reference – units only</v>
      </c>
      <c r="I627" s="144" t="str">
        <v>No</v>
      </c>
      <c r="J627" s="144" t="str">
        <v>Base</v>
      </c>
      <c r="K627" s="144" t="str">
        <v>T7b</v>
      </c>
      <c r="L627" s="146">
        <v>6</v>
      </c>
      <c r="M627" s="142" t="str">
        <v/>
      </c>
      <c r="N627" s="144" t="str">
        <v/>
      </c>
      <c r="O627" s="142" t="str">
        <v/>
      </c>
      <c r="P627" s="142" t="str">
        <v/>
      </c>
      <c r="Q627" s="142">
        <v>0</v>
      </c>
      <c r="R627" s="129" t="str">
        <v>Unmatched</v>
      </c>
      <c r="S627" s="143" t="str">
        <v/>
      </c>
      <c r="T627" s="144" t="str">
        <v>SRC-01</v>
      </c>
      <c r="U627" s="129" t="str">
        <v>p.8 – Thorax / TOE Use</v>
      </c>
      <c r="V627" s="129" t="str">
        <v>Reference units only – no $ fee (NZSA RVG 2021). Nil time units</v>
      </c>
    </row>
    <row r="628" spans="1:22" x14ac:dyDescent="0.2">
      <c r="A628" s="144" t="str">
        <v>T7a</v>
      </c>
      <c r="B628" s="145">
        <v>2</v>
      </c>
      <c r="C628" s="129" t="str">
        <v>Insertion TOE + Limited Exam e.g. TOE During EP Procedures at Request of Cardiologist</v>
      </c>
      <c r="D628" s="129" t="str">
        <v>T7a – Thorax / TOE Use: Insertion TOE + Limited Exam</v>
      </c>
      <c r="E628" s="129" t="str">
        <v>04 - Thorax</v>
      </c>
      <c r="F628" s="129" t="str">
        <v>NZSA RVG</v>
      </c>
      <c r="G628" s="144" t="str">
        <v>CON-10</v>
      </c>
      <c r="H628" s="129" t="str">
        <v>Reference – units only</v>
      </c>
      <c r="I628" s="144" t="str">
        <v>No</v>
      </c>
      <c r="J628" s="144" t="str">
        <v>Base</v>
      </c>
      <c r="K628" s="144" t="str">
        <v>T7a</v>
      </c>
      <c r="L628" s="146">
        <v>2</v>
      </c>
      <c r="M628" s="142" t="str">
        <v/>
      </c>
      <c r="N628" s="144" t="str">
        <v/>
      </c>
      <c r="O628" s="142" t="str">
        <v/>
      </c>
      <c r="P628" s="142" t="str">
        <v/>
      </c>
      <c r="Q628" s="142">
        <v>0</v>
      </c>
      <c r="R628" s="129" t="str">
        <v>Unmatched</v>
      </c>
      <c r="S628" s="143" t="str">
        <v/>
      </c>
      <c r="T628" s="144" t="str">
        <v>SRC-01</v>
      </c>
      <c r="U628" s="129" t="str">
        <v>p.8 – Thorax / TOE Use</v>
      </c>
      <c r="V628" s="129" t="str">
        <v>Reference units only – no $ fee (NZSA RVG 2021).</v>
      </c>
    </row>
    <row r="629" spans="1:22" x14ac:dyDescent="0.2">
      <c r="A629" s="144" t="str">
        <v>S1</v>
      </c>
      <c r="B629" s="145">
        <v>8</v>
      </c>
      <c r="C629" s="129" t="str">
        <v>Removal of Spinal Hardware</v>
      </c>
      <c r="D629" s="129" t="str">
        <v>S1 – Spine: Removal of Spinal Hardware</v>
      </c>
      <c r="E629" s="129" t="str">
        <v>05 - Spine</v>
      </c>
      <c r="F629" s="129" t="str">
        <v>NZSA RVG</v>
      </c>
      <c r="G629" s="144" t="str">
        <v>CON-10</v>
      </c>
      <c r="H629" s="129" t="str">
        <v>Reference – units only</v>
      </c>
      <c r="I629" s="144" t="str">
        <v>No</v>
      </c>
      <c r="J629" s="144" t="str">
        <v>Base</v>
      </c>
      <c r="K629" s="144" t="str">
        <v>S1</v>
      </c>
      <c r="L629" s="146">
        <v>8</v>
      </c>
      <c r="M629" s="142" t="str">
        <v/>
      </c>
      <c r="N629" s="144" t="str">
        <v/>
      </c>
      <c r="O629" s="142" t="str">
        <v/>
      </c>
      <c r="P629" s="142" t="str">
        <v/>
      </c>
      <c r="Q629" s="142">
        <v>0</v>
      </c>
      <c r="R629" s="129" t="str">
        <v>Unmatched</v>
      </c>
      <c r="S629" s="143" t="str">
        <v/>
      </c>
      <c r="T629" s="144" t="str">
        <v>SRC-01</v>
      </c>
      <c r="U629" s="129" t="str">
        <v>p.9 – Spine</v>
      </c>
      <c r="V629" s="129" t="str">
        <v>Reference units only – no $ fee (NZSA RVG 2021). Base units include loading for prone positioning if needed</v>
      </c>
    </row>
    <row r="630" spans="1:22" x14ac:dyDescent="0.2">
      <c r="A630" s="144" t="str">
        <v>S2</v>
      </c>
      <c r="B630" s="145">
        <v>8</v>
      </c>
      <c r="C630" s="129" t="str">
        <v>Anterior C-spine Decompression</v>
      </c>
      <c r="D630" s="129" t="str">
        <v>S2 – Spine / Cervical: Anterior Cervical Procedures</v>
      </c>
      <c r="E630" s="129" t="str">
        <v>05 - Spine</v>
      </c>
      <c r="F630" s="129" t="str">
        <v>Solutions Plus</v>
      </c>
      <c r="G630" s="144" t="str">
        <v>CON-01</v>
      </c>
      <c r="H630" s="129" t="str">
        <v>To confirm</v>
      </c>
      <c r="I630" s="144" t="str">
        <v>No</v>
      </c>
      <c r="J630" s="144" t="str">
        <v>Base</v>
      </c>
      <c r="K630" s="144" t="str">
        <v/>
      </c>
      <c r="L630" s="146">
        <v>21.7</v>
      </c>
      <c r="M630" s="142">
        <v>1190.75</v>
      </c>
      <c r="N630" s="144" t="str">
        <v>Unknown</v>
      </c>
      <c r="O630" s="142" t="str">
        <v/>
      </c>
      <c r="P630" s="142" t="str">
        <v/>
      </c>
      <c r="Q630" s="142">
        <v>54.873271889400925</v>
      </c>
      <c r="R630" s="129" t="str">
        <v>Description – exact</v>
      </c>
      <c r="S630" s="143" t="str">
        <v/>
      </c>
      <c r="T630" s="144" t="str">
        <v>SRC-00</v>
      </c>
      <c r="U630" s="129" t="str">
        <v>S+ row 47</v>
      </c>
      <c r="V630" s="129" t="str">
        <v/>
      </c>
    </row>
    <row r="631" spans="1:22" x14ac:dyDescent="0.2">
      <c r="A631" s="144" t="str">
        <v>S2</v>
      </c>
      <c r="B631" s="145">
        <v>8</v>
      </c>
      <c r="C631" s="129" t="str">
        <v>Anterior Cervical Procedures e.g. Anterior Disc Fusion, Disc Replacement</v>
      </c>
      <c r="D631" s="129" t="str">
        <v>S2 – Spine / Cervical: Anterior Cervical Procedures</v>
      </c>
      <c r="E631" s="129" t="str">
        <v>05 - Spine</v>
      </c>
      <c r="F631" s="129" t="str">
        <v>NZSA RVG</v>
      </c>
      <c r="G631" s="144" t="str">
        <v>CON-10</v>
      </c>
      <c r="H631" s="129" t="str">
        <v>Reference – units only</v>
      </c>
      <c r="I631" s="144" t="str">
        <v>No</v>
      </c>
      <c r="J631" s="144" t="str">
        <v>Base</v>
      </c>
      <c r="K631" s="144" t="str">
        <v>S2</v>
      </c>
      <c r="L631" s="146">
        <v>8</v>
      </c>
      <c r="M631" s="142" t="str">
        <v/>
      </c>
      <c r="N631" s="144" t="str">
        <v/>
      </c>
      <c r="O631" s="142" t="str">
        <v/>
      </c>
      <c r="P631" s="142" t="str">
        <v/>
      </c>
      <c r="Q631" s="142">
        <v>0</v>
      </c>
      <c r="R631" s="129" t="str">
        <v>RVG code</v>
      </c>
      <c r="S631" s="143" t="str">
        <v/>
      </c>
      <c r="T631" s="144" t="str">
        <v>SRC-01</v>
      </c>
      <c r="U631" s="129" t="str">
        <v>p.9 – Spine / Cervical</v>
      </c>
      <c r="V631" s="129" t="str">
        <v>Reference units only – no $ fee (NZSA RVG 2021). Base units include loading for prone positioning if needed</v>
      </c>
    </row>
    <row r="632" spans="1:22" x14ac:dyDescent="0.2">
      <c r="A632" s="144" t="str">
        <v>S2</v>
      </c>
      <c r="B632" s="145">
        <v>8</v>
      </c>
      <c r="C632" s="129" t="str">
        <v>C3/4 Anterior Cervical Discectomy And Fusion</v>
      </c>
      <c r="D632" s="129" t="str">
        <v>S2 – Spine / Cervical: Anterior Cervical Procedures</v>
      </c>
      <c r="E632" s="129" t="str">
        <v>05 - Spine</v>
      </c>
      <c r="F632" s="129" t="str">
        <v>Solutions Plus</v>
      </c>
      <c r="G632" s="144" t="str">
        <v>CON-01</v>
      </c>
      <c r="H632" s="129" t="str">
        <v>To confirm</v>
      </c>
      <c r="I632" s="144" t="str">
        <v>No</v>
      </c>
      <c r="J632" s="144" t="str">
        <v>Base</v>
      </c>
      <c r="K632" s="144" t="str">
        <v/>
      </c>
      <c r="L632" s="146">
        <v>17.5</v>
      </c>
      <c r="M632" s="142">
        <v>962.5</v>
      </c>
      <c r="N632" s="144" t="str">
        <v>Unknown</v>
      </c>
      <c r="O632" s="142" t="str">
        <v/>
      </c>
      <c r="P632" s="142" t="str">
        <v/>
      </c>
      <c r="Q632" s="142">
        <v>55</v>
      </c>
      <c r="R632" s="129" t="str">
        <v>Description – exact</v>
      </c>
      <c r="S632" s="143" t="str">
        <v/>
      </c>
      <c r="T632" s="144" t="str">
        <v>SRC-00</v>
      </c>
      <c r="U632" s="129" t="str">
        <v>S+ row 146</v>
      </c>
      <c r="V632" s="129" t="str">
        <v/>
      </c>
    </row>
    <row r="633" spans="1:22" x14ac:dyDescent="0.2">
      <c r="A633" s="144" t="str">
        <v>S2</v>
      </c>
      <c r="B633" s="145">
        <v>8</v>
      </c>
      <c r="C633" s="129" t="str">
        <v>C5/6 &amp; C6/7 Anterior Cervical Discectomy &amp; Fusion</v>
      </c>
      <c r="D633" s="129" t="str">
        <v>S2 – Spine / Cervical: Anterior Cervical Procedures</v>
      </c>
      <c r="E633" s="129" t="str">
        <v>05 - Spine</v>
      </c>
      <c r="F633" s="129" t="str">
        <v>Solutions Plus</v>
      </c>
      <c r="G633" s="144" t="str">
        <v>CON-01</v>
      </c>
      <c r="H633" s="129" t="str">
        <v>To confirm</v>
      </c>
      <c r="I633" s="144" t="str">
        <v>No</v>
      </c>
      <c r="J633" s="144" t="str">
        <v>Base</v>
      </c>
      <c r="K633" s="144" t="str">
        <v/>
      </c>
      <c r="L633" s="146">
        <v>23.2</v>
      </c>
      <c r="M633" s="142">
        <v>1275.45</v>
      </c>
      <c r="N633" s="144" t="str">
        <v>Unknown</v>
      </c>
      <c r="O633" s="142" t="str">
        <v/>
      </c>
      <c r="P633" s="142" t="str">
        <v/>
      </c>
      <c r="Q633" s="142">
        <v>54.976293103448278</v>
      </c>
      <c r="R633" s="129" t="str">
        <v>Description – exact</v>
      </c>
      <c r="S633" s="143" t="str">
        <v/>
      </c>
      <c r="T633" s="144" t="str">
        <v>SRC-00</v>
      </c>
      <c r="U633" s="129" t="str">
        <v>S+ row 147</v>
      </c>
      <c r="V633" s="129" t="str">
        <v/>
      </c>
    </row>
    <row r="634" spans="1:22" x14ac:dyDescent="0.2">
      <c r="A634" s="144" t="str">
        <v>S3a</v>
      </c>
      <c r="B634" s="145">
        <v>10</v>
      </c>
      <c r="C634" s="129" t="str">
        <v>Cervical C6/7 Foraminotomy</v>
      </c>
      <c r="D634" s="129" t="str">
        <v>S3a – Spine / Cervical: Posterior Cervical Procedures [1-2 levels]</v>
      </c>
      <c r="E634" s="129" t="str">
        <v>05 - Spine</v>
      </c>
      <c r="F634" s="129" t="str">
        <v>Solutions Plus</v>
      </c>
      <c r="G634" s="144" t="str">
        <v>CON-01</v>
      </c>
      <c r="H634" s="129" t="str">
        <v>To confirm</v>
      </c>
      <c r="I634" s="144" t="str">
        <v>No</v>
      </c>
      <c r="J634" s="144" t="str">
        <v>Base</v>
      </c>
      <c r="K634" s="144" t="str">
        <v/>
      </c>
      <c r="L634" s="146">
        <v>26</v>
      </c>
      <c r="M634" s="142">
        <v>1430</v>
      </c>
      <c r="N634" s="144" t="str">
        <v>Unknown</v>
      </c>
      <c r="O634" s="142" t="str">
        <v/>
      </c>
      <c r="P634" s="142" t="str">
        <v/>
      </c>
      <c r="Q634" s="142">
        <v>55</v>
      </c>
      <c r="R634" s="129" t="str">
        <v>Description – exact</v>
      </c>
      <c r="S634" s="143" t="str">
        <v/>
      </c>
      <c r="T634" s="144" t="str">
        <v>SRC-00</v>
      </c>
      <c r="U634" s="129" t="str">
        <v>S+ row 163</v>
      </c>
      <c r="V634" s="129" t="str">
        <v/>
      </c>
    </row>
    <row r="635" spans="1:22" x14ac:dyDescent="0.2">
      <c r="A635" s="144" t="str">
        <v>S3a</v>
      </c>
      <c r="B635" s="145">
        <v>10</v>
      </c>
      <c r="C635" s="129" t="str">
        <v>Cevical C6/7 Foraminotomy</v>
      </c>
      <c r="D635" s="129" t="str">
        <v>S3a – Spine / Cervical: Posterior Cervical Procedures [1-2 levels]</v>
      </c>
      <c r="E635" s="129" t="str">
        <v>05 - Spine</v>
      </c>
      <c r="F635" s="129" t="str">
        <v>Solutions Plus</v>
      </c>
      <c r="G635" s="144" t="str">
        <v>CON-01</v>
      </c>
      <c r="H635" s="129" t="str">
        <v>To confirm</v>
      </c>
      <c r="I635" s="144" t="str">
        <v>No</v>
      </c>
      <c r="J635" s="144" t="str">
        <v>Base</v>
      </c>
      <c r="K635" s="144" t="str">
        <v/>
      </c>
      <c r="L635" s="146">
        <v>0</v>
      </c>
      <c r="M635" s="142">
        <v>0</v>
      </c>
      <c r="N635" s="144" t="str">
        <v>Unknown</v>
      </c>
      <c r="O635" s="142" t="str">
        <v/>
      </c>
      <c r="P635" s="142" t="str">
        <v/>
      </c>
      <c r="Q635" s="142" t="str">
        <v/>
      </c>
      <c r="R635" s="129" t="str">
        <v>Description – exact</v>
      </c>
      <c r="S635" s="143" t="str">
        <v/>
      </c>
      <c r="T635" s="144" t="str">
        <v>SRC-00</v>
      </c>
      <c r="U635" s="129" t="str">
        <v>S+ row 164</v>
      </c>
      <c r="V635" s="129" t="str">
        <v/>
      </c>
    </row>
    <row r="636" spans="1:22" x14ac:dyDescent="0.2">
      <c r="A636" s="144" t="str">
        <v>S2</v>
      </c>
      <c r="B636" s="145">
        <v>8</v>
      </c>
      <c r="C636" s="129" t="str">
        <v>Decompression And Stabilisation C5/6 (fusion)</v>
      </c>
      <c r="D636" s="129" t="str">
        <v>S2 – Spine / Cervical: Anterior Cervical Procedures</v>
      </c>
      <c r="E636" s="129" t="str">
        <v>05 - Spine</v>
      </c>
      <c r="F636" s="129" t="str">
        <v>Solutions Plus</v>
      </c>
      <c r="G636" s="144" t="str">
        <v>CON-01</v>
      </c>
      <c r="H636" s="129" t="str">
        <v>To confirm</v>
      </c>
      <c r="I636" s="144" t="str">
        <v>No</v>
      </c>
      <c r="J636" s="144" t="str">
        <v>Base</v>
      </c>
      <c r="K636" s="144" t="str">
        <v/>
      </c>
      <c r="L636" s="146">
        <v>10</v>
      </c>
      <c r="M636" s="142">
        <v>550</v>
      </c>
      <c r="N636" s="144" t="str">
        <v>Unknown</v>
      </c>
      <c r="O636" s="142" t="str">
        <v/>
      </c>
      <c r="P636" s="142" t="str">
        <v/>
      </c>
      <c r="Q636" s="142">
        <v>55</v>
      </c>
      <c r="R636" s="129" t="str">
        <v>Description – likely</v>
      </c>
      <c r="S636" s="143" t="str">
        <v/>
      </c>
      <c r="T636" s="144" t="str">
        <v>SRC-00</v>
      </c>
      <c r="U636" s="129" t="str">
        <v>S+ row 234</v>
      </c>
      <c r="V636" s="129" t="str">
        <v/>
      </c>
    </row>
    <row r="637" spans="1:22" x14ac:dyDescent="0.2">
      <c r="A637" s="144" t="str">
        <v>S3b</v>
      </c>
      <c r="B637" s="145">
        <v>12</v>
      </c>
      <c r="C637" s="129" t="str">
        <v>Posterior Cervical Procedures [&gt;2 levels or Front + Back]</v>
      </c>
      <c r="D637" s="129" t="str">
        <v>S3b – Spine / Cervical: Posterior Cervical Procedures [&gt;2 levels or Front + Back]</v>
      </c>
      <c r="E637" s="129" t="str">
        <v>05 - Spine</v>
      </c>
      <c r="F637" s="129" t="str">
        <v>NZSA RVG</v>
      </c>
      <c r="G637" s="144" t="str">
        <v>CON-10</v>
      </c>
      <c r="H637" s="129" t="str">
        <v>Reference – units only</v>
      </c>
      <c r="I637" s="144" t="str">
        <v>No</v>
      </c>
      <c r="J637" s="144" t="str">
        <v>Base</v>
      </c>
      <c r="K637" s="144" t="str">
        <v>S3b</v>
      </c>
      <c r="L637" s="146">
        <v>12</v>
      </c>
      <c r="M637" s="142" t="str">
        <v/>
      </c>
      <c r="N637" s="144" t="str">
        <v/>
      </c>
      <c r="O637" s="142" t="str">
        <v/>
      </c>
      <c r="P637" s="142" t="str">
        <v/>
      </c>
      <c r="Q637" s="142">
        <v>0</v>
      </c>
      <c r="R637" s="129" t="str">
        <v>Unmatched</v>
      </c>
      <c r="S637" s="143" t="str">
        <v/>
      </c>
      <c r="T637" s="144" t="str">
        <v>SRC-01</v>
      </c>
      <c r="U637" s="129" t="str">
        <v>p.9 – Spine / Cervical</v>
      </c>
      <c r="V637" s="129" t="str">
        <v>Reference units only – no $ fee (NZSA RVG 2021). Base units include loading for prone positioning if needed</v>
      </c>
    </row>
    <row r="638" spans="1:22" x14ac:dyDescent="0.2">
      <c r="A638" s="144" t="str">
        <v>S3a</v>
      </c>
      <c r="B638" s="145">
        <v>10</v>
      </c>
      <c r="C638" s="129" t="str">
        <v>Posterior Cervical Procedures [1-2 levels] e.g. Foraminotomy</v>
      </c>
      <c r="D638" s="129" t="str">
        <v>S3a – Spine / Cervical: Posterior Cervical Procedures [1-2 levels]</v>
      </c>
      <c r="E638" s="129" t="str">
        <v>05 - Spine</v>
      </c>
      <c r="F638" s="129" t="str">
        <v>NZSA RVG</v>
      </c>
      <c r="G638" s="144" t="str">
        <v>CON-10</v>
      </c>
      <c r="H638" s="129" t="str">
        <v>Reference – units only</v>
      </c>
      <c r="I638" s="144" t="str">
        <v>No</v>
      </c>
      <c r="J638" s="144" t="str">
        <v>Base</v>
      </c>
      <c r="K638" s="144" t="str">
        <v>S3a</v>
      </c>
      <c r="L638" s="146">
        <v>10</v>
      </c>
      <c r="M638" s="142" t="str">
        <v/>
      </c>
      <c r="N638" s="144" t="str">
        <v/>
      </c>
      <c r="O638" s="142" t="str">
        <v/>
      </c>
      <c r="P638" s="142" t="str">
        <v/>
      </c>
      <c r="Q638" s="142">
        <v>0</v>
      </c>
      <c r="R638" s="129" t="str">
        <v>RVG code</v>
      </c>
      <c r="S638" s="143" t="str">
        <v/>
      </c>
      <c r="T638" s="144" t="str">
        <v>SRC-01</v>
      </c>
      <c r="U638" s="129" t="str">
        <v>p.9 – Spine / Cervical</v>
      </c>
      <c r="V638" s="129" t="str">
        <v>Reference units only – no $ fee (NZSA RVG 2021). Base units include loading for prone positioning if needed</v>
      </c>
    </row>
    <row r="639" spans="1:22" x14ac:dyDescent="0.2">
      <c r="A639" s="144" t="str">
        <v>S9b</v>
      </c>
      <c r="B639" s="145">
        <v>12</v>
      </c>
      <c r="C639" s="129" t="str">
        <v>Amended - Posterolateral Fusion - Revision Mutiple</v>
      </c>
      <c r="D639" s="129" t="str">
        <v>S9b – Spine / Lumbar: Posterior Decompression/Fusion – Two Level</v>
      </c>
      <c r="E639" s="129" t="str">
        <v>05 - Spine</v>
      </c>
      <c r="F639" s="129" t="str">
        <v>Solutions Plus</v>
      </c>
      <c r="G639" s="144" t="str">
        <v>CON-01</v>
      </c>
      <c r="H639" s="129" t="str">
        <v>To confirm</v>
      </c>
      <c r="I639" s="144" t="str">
        <v>No</v>
      </c>
      <c r="J639" s="144" t="str">
        <v>Base</v>
      </c>
      <c r="K639" s="144" t="str">
        <v/>
      </c>
      <c r="L639" s="146">
        <v>21</v>
      </c>
      <c r="M639" s="142">
        <v>1155</v>
      </c>
      <c r="N639" s="144" t="str">
        <v>Unknown</v>
      </c>
      <c r="O639" s="142" t="str">
        <v/>
      </c>
      <c r="P639" s="142" t="str">
        <v/>
      </c>
      <c r="Q639" s="142">
        <v>55</v>
      </c>
      <c r="R639" s="129" t="str">
        <v>Description – likely</v>
      </c>
      <c r="S639" s="143" t="str">
        <v/>
      </c>
      <c r="T639" s="144" t="str">
        <v>SRC-00</v>
      </c>
      <c r="U639" s="129" t="str">
        <v>S+ row 33</v>
      </c>
      <c r="V639" s="129" t="str">
        <v/>
      </c>
    </row>
    <row r="640" spans="1:22" x14ac:dyDescent="0.2">
      <c r="A640" s="144" t="str">
        <v>S8b</v>
      </c>
      <c r="B640" s="145">
        <v>10</v>
      </c>
      <c r="C640" s="129" t="str">
        <v>Anterior Decompression/Fusion – Multiple Level</v>
      </c>
      <c r="D640" s="129" t="str">
        <v>S8b – Spine / Lumbar: Anterior Decompression/Fusion – Multiple Level</v>
      </c>
      <c r="E640" s="129" t="str">
        <v>05 - Spine</v>
      </c>
      <c r="F640" s="129" t="str">
        <v>NZSA RVG</v>
      </c>
      <c r="G640" s="144" t="str">
        <v>CON-10</v>
      </c>
      <c r="H640" s="129" t="str">
        <v>Reference – units only</v>
      </c>
      <c r="I640" s="144" t="str">
        <v>No</v>
      </c>
      <c r="J640" s="144" t="str">
        <v>Base</v>
      </c>
      <c r="K640" s="144" t="str">
        <v>S8b</v>
      </c>
      <c r="L640" s="146">
        <v>10</v>
      </c>
      <c r="M640" s="142" t="str">
        <v/>
      </c>
      <c r="N640" s="144" t="str">
        <v/>
      </c>
      <c r="O640" s="142" t="str">
        <v/>
      </c>
      <c r="P640" s="142" t="str">
        <v/>
      </c>
      <c r="Q640" s="142">
        <v>0</v>
      </c>
      <c r="R640" s="129" t="str">
        <v>Unmatched</v>
      </c>
      <c r="S640" s="143" t="str">
        <v/>
      </c>
      <c r="T640" s="144" t="str">
        <v>SRC-01</v>
      </c>
      <c r="U640" s="129" t="str">
        <v>p.9 – Spine / Lumbar</v>
      </c>
      <c r="V640" s="129" t="str">
        <v>Reference units only – no $ fee (NZSA RVG 2021). Base units include loading for prone positioning if needed</v>
      </c>
    </row>
    <row r="641" spans="1:22" x14ac:dyDescent="0.2">
      <c r="A641" s="144" t="str">
        <v>S8a</v>
      </c>
      <c r="B641" s="145">
        <v>8</v>
      </c>
      <c r="C641" s="129" t="str">
        <v>Anterior Decompression/Fusion – Single Level</v>
      </c>
      <c r="D641" s="129" t="str">
        <v>S8a – Spine / Lumbar: Anterior Decompression/Fusion – Single Level</v>
      </c>
      <c r="E641" s="129" t="str">
        <v>05 - Spine</v>
      </c>
      <c r="F641" s="129" t="str">
        <v>NZSA RVG</v>
      </c>
      <c r="G641" s="144" t="str">
        <v>CON-10</v>
      </c>
      <c r="H641" s="129" t="str">
        <v>Reference – units only</v>
      </c>
      <c r="I641" s="144" t="str">
        <v>No</v>
      </c>
      <c r="J641" s="144" t="str">
        <v>Base</v>
      </c>
      <c r="K641" s="144" t="str">
        <v>S8a</v>
      </c>
      <c r="L641" s="146">
        <v>8</v>
      </c>
      <c r="M641" s="142" t="str">
        <v/>
      </c>
      <c r="N641" s="144" t="str">
        <v/>
      </c>
      <c r="O641" s="142" t="str">
        <v/>
      </c>
      <c r="P641" s="142" t="str">
        <v/>
      </c>
      <c r="Q641" s="142">
        <v>0</v>
      </c>
      <c r="R641" s="129" t="str">
        <v>RVG code</v>
      </c>
      <c r="S641" s="143" t="str">
        <v/>
      </c>
      <c r="T641" s="144" t="str">
        <v>SRC-01</v>
      </c>
      <c r="U641" s="129" t="str">
        <v>p.9 – Spine / Lumbar</v>
      </c>
      <c r="V641" s="129" t="str">
        <v>Reference units only – no $ fee (NZSA RVG 2021). Base units include loading for prone positioning if needed</v>
      </c>
    </row>
    <row r="642" spans="1:22" x14ac:dyDescent="0.2">
      <c r="A642" s="144" t="str">
        <v>S8a</v>
      </c>
      <c r="B642" s="145">
        <v>8</v>
      </c>
      <c r="C642" s="129" t="str">
        <v>Anterior Lumbar Fusion</v>
      </c>
      <c r="D642" s="129" t="str">
        <v>S8a – Spine / Lumbar: Anterior Decompression/Fusion – Single Level</v>
      </c>
      <c r="E642" s="129" t="str">
        <v>05 - Spine</v>
      </c>
      <c r="F642" s="129" t="str">
        <v>Solutions Plus</v>
      </c>
      <c r="G642" s="144" t="str">
        <v>CON-01</v>
      </c>
      <c r="H642" s="129" t="str">
        <v>To confirm</v>
      </c>
      <c r="I642" s="144" t="str">
        <v>No</v>
      </c>
      <c r="J642" s="144" t="str">
        <v>Base</v>
      </c>
      <c r="K642" s="144" t="str">
        <v/>
      </c>
      <c r="L642" s="146">
        <v>22</v>
      </c>
      <c r="M642" s="142">
        <v>1207.25</v>
      </c>
      <c r="N642" s="144" t="str">
        <v>Unknown</v>
      </c>
      <c r="O642" s="142" t="str">
        <v/>
      </c>
      <c r="P642" s="142" t="str">
        <v/>
      </c>
      <c r="Q642" s="142">
        <v>54.875</v>
      </c>
      <c r="R642" s="129" t="str">
        <v>Description – exact</v>
      </c>
      <c r="S642" s="143" t="str">
        <v/>
      </c>
      <c r="T642" s="144" t="str">
        <v>SRC-00</v>
      </c>
      <c r="U642" s="129" t="str">
        <v>S+ row 48</v>
      </c>
      <c r="V642" s="129" t="str">
        <v/>
      </c>
    </row>
    <row r="643" spans="1:22" x14ac:dyDescent="0.2">
      <c r="A643" s="144" t="str">
        <v>S10</v>
      </c>
      <c r="B643" s="145">
        <v>18</v>
      </c>
      <c r="C643" s="129" t="str">
        <v>Combined Anterior and Posterior Surgical Approach</v>
      </c>
      <c r="D643" s="129" t="str">
        <v>S10 – Spine / Lumbar: Combined Anterior and Posterior Surgical Approach</v>
      </c>
      <c r="E643" s="129" t="str">
        <v>05 - Spine</v>
      </c>
      <c r="F643" s="129" t="str">
        <v>NZSA RVG</v>
      </c>
      <c r="G643" s="144" t="str">
        <v>CON-10</v>
      </c>
      <c r="H643" s="129" t="str">
        <v>Reference – units only</v>
      </c>
      <c r="I643" s="144" t="str">
        <v>No</v>
      </c>
      <c r="J643" s="144" t="str">
        <v>Base</v>
      </c>
      <c r="K643" s="144" t="str">
        <v>S10</v>
      </c>
      <c r="L643" s="146">
        <v>18</v>
      </c>
      <c r="M643" s="142" t="str">
        <v/>
      </c>
      <c r="N643" s="144" t="str">
        <v/>
      </c>
      <c r="O643" s="142" t="str">
        <v/>
      </c>
      <c r="P643" s="142" t="str">
        <v/>
      </c>
      <c r="Q643" s="142">
        <v>0</v>
      </c>
      <c r="R643" s="129" t="str">
        <v>Unmatched</v>
      </c>
      <c r="S643" s="143" t="str">
        <v/>
      </c>
      <c r="T643" s="144" t="str">
        <v>SRC-01</v>
      </c>
      <c r="U643" s="129" t="str">
        <v>p.9 – Spine / Lumbar</v>
      </c>
      <c r="V643" s="129" t="str">
        <v>Reference units only – no $ fee (NZSA RVG 2021). Base units include loading for prone positioning if needed</v>
      </c>
    </row>
    <row r="644" spans="1:22" x14ac:dyDescent="0.2">
      <c r="A644" s="144" t="str">
        <v>S6</v>
      </c>
      <c r="B644" s="145">
        <v>8</v>
      </c>
      <c r="C644" s="129" t="str">
        <v>Disc Decompression</v>
      </c>
      <c r="D644" s="129" t="str">
        <v>S6 – Spine / Lumbar: Discectomy/Decompression Procedures – [ 1-2 levels]</v>
      </c>
      <c r="E644" s="129" t="str">
        <v>05 - Spine</v>
      </c>
      <c r="F644" s="129" t="str">
        <v>Solutions Plus</v>
      </c>
      <c r="G644" s="144" t="str">
        <v>CON-01</v>
      </c>
      <c r="H644" s="129" t="str">
        <v>To confirm</v>
      </c>
      <c r="I644" s="144" t="str">
        <v>No</v>
      </c>
      <c r="J644" s="144" t="str">
        <v>Base</v>
      </c>
      <c r="K644" s="144" t="str">
        <v/>
      </c>
      <c r="L644" s="146">
        <v>11.9</v>
      </c>
      <c r="M644" s="142">
        <v>652.29999999999995</v>
      </c>
      <c r="N644" s="144" t="str">
        <v>Unknown</v>
      </c>
      <c r="O644" s="142" t="str">
        <v/>
      </c>
      <c r="P644" s="142" t="str">
        <v/>
      </c>
      <c r="Q644" s="142">
        <v>54.815126050420162</v>
      </c>
      <c r="R644" s="129" t="str">
        <v>Description – exact</v>
      </c>
      <c r="S644" s="143" t="str">
        <v/>
      </c>
      <c r="T644" s="144" t="str">
        <v>SRC-00</v>
      </c>
      <c r="U644" s="129" t="str">
        <v>S+ row 256</v>
      </c>
      <c r="V644" s="129" t="str">
        <v/>
      </c>
    </row>
    <row r="645" spans="1:22" x14ac:dyDescent="0.2">
      <c r="A645" s="144" t="str">
        <v>S6</v>
      </c>
      <c r="B645" s="145">
        <v>8</v>
      </c>
      <c r="C645" s="129" t="str">
        <v>Discectomy</v>
      </c>
      <c r="D645" s="129" t="str">
        <v>S6 – Spine / Lumbar: Discectomy/Decompression Procedures – [ 1-2 levels]</v>
      </c>
      <c r="E645" s="129" t="str">
        <v>05 - Spine</v>
      </c>
      <c r="F645" s="129" t="str">
        <v>Solutions Plus</v>
      </c>
      <c r="G645" s="144" t="str">
        <v>CON-01</v>
      </c>
      <c r="H645" s="129" t="str">
        <v>To confirm</v>
      </c>
      <c r="I645" s="144" t="str">
        <v>No</v>
      </c>
      <c r="J645" s="144" t="str">
        <v>Base</v>
      </c>
      <c r="K645" s="144" t="str">
        <v/>
      </c>
      <c r="L645" s="146">
        <v>15.9</v>
      </c>
      <c r="M645" s="142">
        <v>875.6</v>
      </c>
      <c r="N645" s="144" t="str">
        <v>Unknown</v>
      </c>
      <c r="O645" s="142" t="str">
        <v/>
      </c>
      <c r="P645" s="142" t="str">
        <v/>
      </c>
      <c r="Q645" s="142">
        <v>55.069182389937104</v>
      </c>
      <c r="R645" s="129" t="str">
        <v>Description – exact</v>
      </c>
      <c r="S645" s="143" t="str">
        <v/>
      </c>
      <c r="T645" s="144" t="str">
        <v>SRC-00</v>
      </c>
      <c r="U645" s="129" t="str">
        <v>S+ row 257</v>
      </c>
      <c r="V645" s="129" t="str">
        <v/>
      </c>
    </row>
    <row r="646" spans="1:22" x14ac:dyDescent="0.2">
      <c r="A646" s="144" t="str">
        <v>S6</v>
      </c>
      <c r="B646" s="145">
        <v>8</v>
      </c>
      <c r="C646" s="129" t="str">
        <v>Discectomy/Decompression Procedures – [ 1-2 levels]</v>
      </c>
      <c r="D646" s="129" t="str">
        <v>S6 – Spine / Lumbar: Discectomy/Decompression Procedures – [ 1-2 levels]</v>
      </c>
      <c r="E646" s="129" t="str">
        <v>05 - Spine</v>
      </c>
      <c r="F646" s="129" t="str">
        <v>NZSA RVG</v>
      </c>
      <c r="G646" s="144" t="str">
        <v>CON-10</v>
      </c>
      <c r="H646" s="129" t="str">
        <v>Reference – units only</v>
      </c>
      <c r="I646" s="144" t="str">
        <v>No</v>
      </c>
      <c r="J646" s="144" t="str">
        <v>Base</v>
      </c>
      <c r="K646" s="144" t="str">
        <v>S6</v>
      </c>
      <c r="L646" s="146">
        <v>8</v>
      </c>
      <c r="M646" s="142" t="str">
        <v/>
      </c>
      <c r="N646" s="144" t="str">
        <v/>
      </c>
      <c r="O646" s="142" t="str">
        <v/>
      </c>
      <c r="P646" s="142" t="str">
        <v/>
      </c>
      <c r="Q646" s="142">
        <v>0</v>
      </c>
      <c r="R646" s="129" t="str">
        <v>RVG code</v>
      </c>
      <c r="S646" s="143" t="str">
        <v/>
      </c>
      <c r="T646" s="144" t="str">
        <v>SRC-01</v>
      </c>
      <c r="U646" s="129" t="str">
        <v>p.9 – Spine / Lumbar</v>
      </c>
      <c r="V646" s="129" t="str">
        <v>Reference units only – no $ fee (NZSA RVG 2021). Base units include loading for prone positioning if needed</v>
      </c>
    </row>
    <row r="647" spans="1:22" x14ac:dyDescent="0.2">
      <c r="A647" s="144" t="str">
        <v>S8a</v>
      </c>
      <c r="B647" s="145">
        <v>8</v>
      </c>
      <c r="C647" s="129" t="str">
        <v>Endoscopic Spinal Fusion</v>
      </c>
      <c r="D647" s="129" t="str">
        <v>S8a – Spine / Lumbar: Anterior Decompression/Fusion – Single Level</v>
      </c>
      <c r="E647" s="129" t="str">
        <v>05 - Spine</v>
      </c>
      <c r="F647" s="129" t="str">
        <v>Solutions Plus</v>
      </c>
      <c r="G647" s="144" t="str">
        <v>CON-01</v>
      </c>
      <c r="H647" s="129" t="str">
        <v>To confirm</v>
      </c>
      <c r="I647" s="144" t="str">
        <v>No</v>
      </c>
      <c r="J647" s="144" t="str">
        <v>Base</v>
      </c>
      <c r="K647" s="144" t="str">
        <v/>
      </c>
      <c r="L647" s="146">
        <v>14</v>
      </c>
      <c r="M647" s="142">
        <v>770</v>
      </c>
      <c r="N647" s="144" t="str">
        <v>Unknown</v>
      </c>
      <c r="O647" s="142" t="str">
        <v/>
      </c>
      <c r="P647" s="142" t="str">
        <v/>
      </c>
      <c r="Q647" s="142">
        <v>55</v>
      </c>
      <c r="R647" s="129" t="str">
        <v>Description – likely</v>
      </c>
      <c r="S647" s="143" t="str">
        <v/>
      </c>
      <c r="T647" s="144" t="str">
        <v>SRC-00</v>
      </c>
      <c r="U647" s="129" t="str">
        <v>S+ row 276</v>
      </c>
      <c r="V647" s="129" t="str">
        <v/>
      </c>
    </row>
    <row r="648" spans="1:22" x14ac:dyDescent="0.2">
      <c r="A648" s="144" t="str">
        <v>S9b</v>
      </c>
      <c r="B648" s="145">
        <v>12</v>
      </c>
      <c r="C648" s="129" t="str">
        <v>FUSION L4 L5 SI MIDLIF DECOMPRESSION</v>
      </c>
      <c r="D648" s="129" t="str">
        <v>S9b – Spine / Lumbar: Posterior Decompression/Fusion – Two Level</v>
      </c>
      <c r="E648" s="129" t="str">
        <v>05 - Spine</v>
      </c>
      <c r="F648" s="129" t="str">
        <v>Solutions Plus</v>
      </c>
      <c r="G648" s="144" t="str">
        <v>CON-01</v>
      </c>
      <c r="H648" s="129" t="str">
        <v>To confirm</v>
      </c>
      <c r="I648" s="144" t="str">
        <v>No</v>
      </c>
      <c r="J648" s="144" t="str">
        <v>Base</v>
      </c>
      <c r="K648" s="144" t="str">
        <v/>
      </c>
      <c r="L648" s="146">
        <v>32</v>
      </c>
      <c r="M648" s="142">
        <v>1760</v>
      </c>
      <c r="N648" s="144" t="str">
        <v>Unknown</v>
      </c>
      <c r="O648" s="142" t="str">
        <v/>
      </c>
      <c r="P648" s="142" t="str">
        <v/>
      </c>
      <c r="Q648" s="142">
        <v>55</v>
      </c>
      <c r="R648" s="129" t="str">
        <v>Description – likely</v>
      </c>
      <c r="S648" s="143" t="str">
        <v/>
      </c>
      <c r="T648" s="144" t="str">
        <v>SRC-00</v>
      </c>
      <c r="U648" s="129" t="str">
        <v>S+ row 379</v>
      </c>
      <c r="V648" s="129" t="str">
        <v/>
      </c>
    </row>
    <row r="649" spans="1:22" x14ac:dyDescent="0.2">
      <c r="A649" s="144" t="str">
        <v>S6</v>
      </c>
      <c r="B649" s="145">
        <v>8</v>
      </c>
      <c r="C649" s="129" t="str">
        <v>Interspinous Stabiliser</v>
      </c>
      <c r="D649" s="129" t="str">
        <v>S6 – Spine / Lumbar: Discectomy/Decompression Procedures – [ 1-2 levels]</v>
      </c>
      <c r="E649" s="129" t="str">
        <v>05 - Spine</v>
      </c>
      <c r="F649" s="129" t="str">
        <v>Solutions Plus</v>
      </c>
      <c r="G649" s="144" t="str">
        <v>CON-01</v>
      </c>
      <c r="H649" s="129" t="str">
        <v>To confirm</v>
      </c>
      <c r="I649" s="144" t="str">
        <v>No</v>
      </c>
      <c r="J649" s="144" t="str">
        <v>Base</v>
      </c>
      <c r="K649" s="144" t="str">
        <v/>
      </c>
      <c r="L649" s="146">
        <v>17.5</v>
      </c>
      <c r="M649" s="142">
        <v>962.5</v>
      </c>
      <c r="N649" s="144" t="str">
        <v>Unknown</v>
      </c>
      <c r="O649" s="142" t="str">
        <v/>
      </c>
      <c r="P649" s="142" t="str">
        <v/>
      </c>
      <c r="Q649" s="142">
        <v>55</v>
      </c>
      <c r="R649" s="129" t="str">
        <v>Description – likely</v>
      </c>
      <c r="S649" s="143" t="str">
        <v/>
      </c>
      <c r="T649" s="144" t="str">
        <v>SRC-00</v>
      </c>
      <c r="U649" s="129" t="str">
        <v>S+ row 444</v>
      </c>
      <c r="V649" s="129" t="str">
        <v/>
      </c>
    </row>
    <row r="650" spans="1:22" x14ac:dyDescent="0.2">
      <c r="A650" s="144" t="str">
        <v>S6</v>
      </c>
      <c r="B650" s="145">
        <v>8</v>
      </c>
      <c r="C650" s="129" t="str">
        <v>L4/5 Discectomy &amp; Decompression L5/S1</v>
      </c>
      <c r="D650" s="129" t="str">
        <v>S6 – Spine / Lumbar: Discectomy/Decompression Procedures – [ 1-2 levels]</v>
      </c>
      <c r="E650" s="129" t="str">
        <v>05 - Spine</v>
      </c>
      <c r="F650" s="129" t="str">
        <v>Solutions Plus</v>
      </c>
      <c r="G650" s="144" t="str">
        <v>CON-01</v>
      </c>
      <c r="H650" s="129" t="str">
        <v>To confirm</v>
      </c>
      <c r="I650" s="144" t="str">
        <v>No</v>
      </c>
      <c r="J650" s="144" t="str">
        <v>Base</v>
      </c>
      <c r="K650" s="144" t="str">
        <v/>
      </c>
      <c r="L650" s="146">
        <v>15</v>
      </c>
      <c r="M650" s="142">
        <v>825</v>
      </c>
      <c r="N650" s="144" t="str">
        <v>Unknown</v>
      </c>
      <c r="O650" s="142" t="str">
        <v/>
      </c>
      <c r="P650" s="142" t="str">
        <v/>
      </c>
      <c r="Q650" s="142">
        <v>55</v>
      </c>
      <c r="R650" s="129" t="str">
        <v>Description – exact</v>
      </c>
      <c r="S650" s="143" t="str">
        <v/>
      </c>
      <c r="T650" s="144" t="str">
        <v>SRC-00</v>
      </c>
      <c r="U650" s="129" t="str">
        <v>S+ row 450</v>
      </c>
      <c r="V650" s="129" t="str">
        <v/>
      </c>
    </row>
    <row r="651" spans="1:22" x14ac:dyDescent="0.2">
      <c r="A651" s="144" t="str">
        <v>S6</v>
      </c>
      <c r="B651" s="145">
        <v>8</v>
      </c>
      <c r="C651" s="129" t="str">
        <v>L4/5 Facet Joint Excision &amp; L5 Nerve Root Decompr</v>
      </c>
      <c r="D651" s="129" t="str">
        <v>S6 – Spine / Lumbar: Discectomy/Decompression Procedures – [ 1-2 levels]</v>
      </c>
      <c r="E651" s="129" t="str">
        <v>05 - Spine</v>
      </c>
      <c r="F651" s="129" t="str">
        <v>Solutions Plus</v>
      </c>
      <c r="G651" s="144" t="str">
        <v>CON-01</v>
      </c>
      <c r="H651" s="129" t="str">
        <v>To confirm</v>
      </c>
      <c r="I651" s="144" t="str">
        <v>No</v>
      </c>
      <c r="J651" s="144" t="str">
        <v>Base</v>
      </c>
      <c r="K651" s="144" t="str">
        <v/>
      </c>
      <c r="L651" s="146">
        <v>19</v>
      </c>
      <c r="M651" s="142">
        <v>1045</v>
      </c>
      <c r="N651" s="144" t="str">
        <v>Unknown</v>
      </c>
      <c r="O651" s="142" t="str">
        <v/>
      </c>
      <c r="P651" s="142" t="str">
        <v/>
      </c>
      <c r="Q651" s="142">
        <v>55</v>
      </c>
      <c r="R651" s="129" t="str">
        <v>Description – exact</v>
      </c>
      <c r="S651" s="143" t="str">
        <v/>
      </c>
      <c r="T651" s="144" t="str">
        <v>SRC-00</v>
      </c>
      <c r="U651" s="129" t="str">
        <v>S+ row 451</v>
      </c>
      <c r="V651" s="129" t="str">
        <v/>
      </c>
    </row>
    <row r="652" spans="1:22" x14ac:dyDescent="0.2">
      <c r="A652" s="144" t="str">
        <v>S8a</v>
      </c>
      <c r="B652" s="145">
        <v>8</v>
      </c>
      <c r="C652" s="129" t="str">
        <v>L5/S1 Anterior Lumbar interbody Fusion</v>
      </c>
      <c r="D652" s="129" t="str">
        <v>S8a – Spine / Lumbar: Anterior Decompression/Fusion – Single Level</v>
      </c>
      <c r="E652" s="129" t="str">
        <v>05 - Spine</v>
      </c>
      <c r="F652" s="129" t="str">
        <v>Solutions Plus</v>
      </c>
      <c r="G652" s="144" t="str">
        <v>CON-01</v>
      </c>
      <c r="H652" s="129" t="str">
        <v>To confirm</v>
      </c>
      <c r="I652" s="144" t="str">
        <v>No</v>
      </c>
      <c r="J652" s="144" t="str">
        <v>Base</v>
      </c>
      <c r="K652" s="144" t="str">
        <v/>
      </c>
      <c r="L652" s="146">
        <v>18.899999999999999</v>
      </c>
      <c r="M652" s="142">
        <v>1037.8499999999999</v>
      </c>
      <c r="N652" s="144" t="str">
        <v>Unknown</v>
      </c>
      <c r="O652" s="142" t="str">
        <v/>
      </c>
      <c r="P652" s="142" t="str">
        <v/>
      </c>
      <c r="Q652" s="142">
        <v>54.912698412698411</v>
      </c>
      <c r="R652" s="129" t="str">
        <v>Description – exact</v>
      </c>
      <c r="S652" s="143" t="str">
        <v/>
      </c>
      <c r="T652" s="144" t="str">
        <v>SRC-00</v>
      </c>
      <c r="U652" s="129" t="str">
        <v>S+ row 452</v>
      </c>
      <c r="V652" s="129" t="str">
        <v/>
      </c>
    </row>
    <row r="653" spans="1:22" x14ac:dyDescent="0.2">
      <c r="A653" s="144" t="str">
        <v>S6</v>
      </c>
      <c r="B653" s="145">
        <v>8</v>
      </c>
      <c r="C653" s="129" t="str">
        <v>L5/S1 Discectomy</v>
      </c>
      <c r="D653" s="129" t="str">
        <v>S6 – Spine / Lumbar: Discectomy/Decompression Procedures – [ 1-2 levels]</v>
      </c>
      <c r="E653" s="129" t="str">
        <v>05 - Spine</v>
      </c>
      <c r="F653" s="129" t="str">
        <v>Solutions Plus</v>
      </c>
      <c r="G653" s="144" t="str">
        <v>CON-01</v>
      </c>
      <c r="H653" s="129" t="str">
        <v>To confirm</v>
      </c>
      <c r="I653" s="144" t="str">
        <v>No</v>
      </c>
      <c r="J653" s="144" t="str">
        <v>Base</v>
      </c>
      <c r="K653" s="144" t="str">
        <v/>
      </c>
      <c r="L653" s="146">
        <v>16</v>
      </c>
      <c r="M653" s="142">
        <v>880</v>
      </c>
      <c r="N653" s="144" t="str">
        <v>Unknown</v>
      </c>
      <c r="O653" s="142" t="str">
        <v/>
      </c>
      <c r="P653" s="142" t="str">
        <v/>
      </c>
      <c r="Q653" s="142">
        <v>55</v>
      </c>
      <c r="R653" s="129" t="str">
        <v>Description – exact</v>
      </c>
      <c r="S653" s="143" t="str">
        <v/>
      </c>
      <c r="T653" s="144" t="str">
        <v>SRC-00</v>
      </c>
      <c r="U653" s="129" t="str">
        <v>S+ row 453</v>
      </c>
      <c r="V653" s="129" t="str">
        <v/>
      </c>
    </row>
    <row r="654" spans="1:22" x14ac:dyDescent="0.2">
      <c r="A654" s="144" t="str">
        <v>S6</v>
      </c>
      <c r="B654" s="145">
        <v>8</v>
      </c>
      <c r="C654" s="129" t="str">
        <v>Laminectomy</v>
      </c>
      <c r="D654" s="129" t="str">
        <v>S6 – Spine / Lumbar: Discectomy/Decompression Procedures – [ 1-2 levels]</v>
      </c>
      <c r="E654" s="129" t="str">
        <v>05 - Spine</v>
      </c>
      <c r="F654" s="129" t="str">
        <v>Solutions Plus</v>
      </c>
      <c r="G654" s="144" t="str">
        <v>CON-01</v>
      </c>
      <c r="H654" s="129" t="str">
        <v>To confirm</v>
      </c>
      <c r="I654" s="144" t="str">
        <v>No</v>
      </c>
      <c r="J654" s="144" t="str">
        <v>Base</v>
      </c>
      <c r="K654" s="144" t="str">
        <v/>
      </c>
      <c r="L654" s="146">
        <v>18.399999999999999</v>
      </c>
      <c r="M654" s="142">
        <v>1011.45</v>
      </c>
      <c r="N654" s="144" t="str">
        <v>Unknown</v>
      </c>
      <c r="O654" s="142" t="str">
        <v/>
      </c>
      <c r="P654" s="142" t="str">
        <v/>
      </c>
      <c r="Q654" s="142">
        <v>54.970108695652179</v>
      </c>
      <c r="R654" s="129" t="str">
        <v>Description – exact</v>
      </c>
      <c r="S654" s="143" t="str">
        <v/>
      </c>
      <c r="T654" s="144" t="str">
        <v>SRC-00</v>
      </c>
      <c r="U654" s="129" t="str">
        <v>S+ row 457</v>
      </c>
      <c r="V654" s="129" t="str">
        <v/>
      </c>
    </row>
    <row r="655" spans="1:22" x14ac:dyDescent="0.2">
      <c r="A655" s="144" t="str">
        <v>S8a</v>
      </c>
      <c r="B655" s="145">
        <v>8</v>
      </c>
      <c r="C655" s="129" t="str">
        <v>Laparoscopic Spinal Fusion</v>
      </c>
      <c r="D655" s="129" t="str">
        <v>S8a – Spine / Lumbar: Anterior Decompression/Fusion – Single Level</v>
      </c>
      <c r="E655" s="129" t="str">
        <v>05 - Spine</v>
      </c>
      <c r="F655" s="129" t="str">
        <v>Solutions Plus</v>
      </c>
      <c r="G655" s="144" t="str">
        <v>CON-01</v>
      </c>
      <c r="H655" s="129" t="str">
        <v>To confirm</v>
      </c>
      <c r="I655" s="144" t="str">
        <v>No</v>
      </c>
      <c r="J655" s="144" t="str">
        <v>Base</v>
      </c>
      <c r="K655" s="144" t="str">
        <v/>
      </c>
      <c r="L655" s="146">
        <v>13.5</v>
      </c>
      <c r="M655" s="142">
        <v>742.5</v>
      </c>
      <c r="N655" s="144" t="str">
        <v>Unknown</v>
      </c>
      <c r="O655" s="142" t="str">
        <v/>
      </c>
      <c r="P655" s="142" t="str">
        <v/>
      </c>
      <c r="Q655" s="142">
        <v>55</v>
      </c>
      <c r="R655" s="129" t="str">
        <v>Description – likely</v>
      </c>
      <c r="S655" s="143" t="str">
        <v/>
      </c>
      <c r="T655" s="144" t="str">
        <v>SRC-00</v>
      </c>
      <c r="U655" s="129" t="str">
        <v>S+ row 510</v>
      </c>
      <c r="V655" s="129" t="str">
        <v/>
      </c>
    </row>
    <row r="656" spans="1:22" x14ac:dyDescent="0.2">
      <c r="A656" s="144" t="str">
        <v>S6</v>
      </c>
      <c r="B656" s="145">
        <v>8</v>
      </c>
      <c r="C656" s="129" t="str">
        <v>Left L4/5 Decompression + Discectomy</v>
      </c>
      <c r="D656" s="129" t="str">
        <v>S6 – Spine / Lumbar: Discectomy/Decompression Procedures – [ 1-2 levels]</v>
      </c>
      <c r="E656" s="129" t="str">
        <v>05 - Spine</v>
      </c>
      <c r="F656" s="129" t="str">
        <v>Solutions Plus</v>
      </c>
      <c r="G656" s="144" t="str">
        <v>CON-01</v>
      </c>
      <c r="H656" s="129" t="str">
        <v>To confirm</v>
      </c>
      <c r="I656" s="144" t="str">
        <v>No</v>
      </c>
      <c r="J656" s="144" t="str">
        <v>Base</v>
      </c>
      <c r="K656" s="144" t="str">
        <v/>
      </c>
      <c r="L656" s="146">
        <v>13</v>
      </c>
      <c r="M656" s="142">
        <v>715</v>
      </c>
      <c r="N656" s="144" t="str">
        <v>Unknown</v>
      </c>
      <c r="O656" s="142" t="str">
        <v/>
      </c>
      <c r="P656" s="142" t="str">
        <v/>
      </c>
      <c r="Q656" s="142">
        <v>55</v>
      </c>
      <c r="R656" s="129" t="str">
        <v>Description – exact</v>
      </c>
      <c r="S656" s="143" t="str">
        <v/>
      </c>
      <c r="T656" s="144" t="str">
        <v>SRC-00</v>
      </c>
      <c r="U656" s="129" t="str">
        <v>S+ row 574</v>
      </c>
      <c r="V656" s="129" t="str">
        <v/>
      </c>
    </row>
    <row r="657" spans="1:22" x14ac:dyDescent="0.2">
      <c r="A657" s="144" t="str">
        <v>S6</v>
      </c>
      <c r="B657" s="145">
        <v>8</v>
      </c>
      <c r="C657" s="129" t="str">
        <v>Left L5/S1 Discectomy</v>
      </c>
      <c r="D657" s="129" t="str">
        <v>S6 – Spine / Lumbar: Discectomy/Decompression Procedures – [ 1-2 levels]</v>
      </c>
      <c r="E657" s="129" t="str">
        <v>05 - Spine</v>
      </c>
      <c r="F657" s="129" t="str">
        <v>Solutions Plus</v>
      </c>
      <c r="G657" s="144" t="str">
        <v>CON-01</v>
      </c>
      <c r="H657" s="129" t="str">
        <v>To confirm</v>
      </c>
      <c r="I657" s="144" t="str">
        <v>No</v>
      </c>
      <c r="J657" s="144" t="str">
        <v>Base</v>
      </c>
      <c r="K657" s="144" t="str">
        <v/>
      </c>
      <c r="L657" s="146">
        <v>15.1</v>
      </c>
      <c r="M657" s="142">
        <v>832.15</v>
      </c>
      <c r="N657" s="144" t="str">
        <v>Unknown</v>
      </c>
      <c r="O657" s="142" t="str">
        <v/>
      </c>
      <c r="P657" s="142" t="str">
        <v/>
      </c>
      <c r="Q657" s="142">
        <v>55.109271523178805</v>
      </c>
      <c r="R657" s="129" t="str">
        <v>Description – exact</v>
      </c>
      <c r="S657" s="143" t="str">
        <v/>
      </c>
      <c r="T657" s="144" t="str">
        <v>SRC-00</v>
      </c>
      <c r="U657" s="129" t="str">
        <v>S+ row 575</v>
      </c>
      <c r="V657" s="129" t="str">
        <v/>
      </c>
    </row>
    <row r="658" spans="1:22" x14ac:dyDescent="0.2">
      <c r="A658" s="144" t="str">
        <v>S6</v>
      </c>
      <c r="B658" s="145">
        <v>8</v>
      </c>
      <c r="C658" s="129" t="str">
        <v>Left L5/S1 MIS Discectomy</v>
      </c>
      <c r="D658" s="129" t="str">
        <v>S6 – Spine / Lumbar: Discectomy/Decompression Procedures – [ 1-2 levels]</v>
      </c>
      <c r="E658" s="129" t="str">
        <v>05 - Spine</v>
      </c>
      <c r="F658" s="129" t="str">
        <v>Solutions Plus</v>
      </c>
      <c r="G658" s="144" t="str">
        <v>CON-01</v>
      </c>
      <c r="H658" s="129" t="str">
        <v>To confirm</v>
      </c>
      <c r="I658" s="144" t="str">
        <v>No</v>
      </c>
      <c r="J658" s="144" t="str">
        <v>Base</v>
      </c>
      <c r="K658" s="144" t="str">
        <v/>
      </c>
      <c r="L658" s="146">
        <v>14.1</v>
      </c>
      <c r="M658" s="142">
        <v>775.5</v>
      </c>
      <c r="N658" s="144" t="str">
        <v>Unknown</v>
      </c>
      <c r="O658" s="142" t="str">
        <v/>
      </c>
      <c r="P658" s="142" t="str">
        <v/>
      </c>
      <c r="Q658" s="142">
        <v>55</v>
      </c>
      <c r="R658" s="129" t="str">
        <v>Description – exact</v>
      </c>
      <c r="S658" s="143" t="str">
        <v/>
      </c>
      <c r="T658" s="144" t="str">
        <v>SRC-00</v>
      </c>
      <c r="U658" s="129" t="str">
        <v>S+ row 576</v>
      </c>
      <c r="V658" s="129" t="str">
        <v/>
      </c>
    </row>
    <row r="659" spans="1:22" x14ac:dyDescent="0.2">
      <c r="A659" s="144" t="str">
        <v>S6</v>
      </c>
      <c r="B659" s="145">
        <v>8</v>
      </c>
      <c r="C659" s="129" t="str">
        <v>Lumbar Decompression</v>
      </c>
      <c r="D659" s="129" t="str">
        <v>S6 – Spine / Lumbar: Discectomy/Decompression Procedures – [ 1-2 levels]</v>
      </c>
      <c r="E659" s="129" t="str">
        <v>05 - Spine</v>
      </c>
      <c r="F659" s="129" t="str">
        <v>Solutions Plus</v>
      </c>
      <c r="G659" s="144" t="str">
        <v>CON-01</v>
      </c>
      <c r="H659" s="129" t="str">
        <v>To confirm</v>
      </c>
      <c r="I659" s="144" t="str">
        <v>No</v>
      </c>
      <c r="J659" s="144" t="str">
        <v>Base</v>
      </c>
      <c r="K659" s="144" t="str">
        <v/>
      </c>
      <c r="L659" s="146">
        <v>17.399999999999999</v>
      </c>
      <c r="M659" s="142">
        <v>955.35</v>
      </c>
      <c r="N659" s="144" t="str">
        <v>Unknown</v>
      </c>
      <c r="O659" s="142" t="str">
        <v/>
      </c>
      <c r="P659" s="142" t="str">
        <v/>
      </c>
      <c r="Q659" s="142">
        <v>54.90517241379311</v>
      </c>
      <c r="R659" s="129" t="str">
        <v>Description – exact</v>
      </c>
      <c r="S659" s="143" t="str">
        <v/>
      </c>
      <c r="T659" s="144" t="str">
        <v>SRC-00</v>
      </c>
      <c r="U659" s="129" t="str">
        <v>S+ row 622</v>
      </c>
      <c r="V659" s="129" t="str">
        <v/>
      </c>
    </row>
    <row r="660" spans="1:22" x14ac:dyDescent="0.2">
      <c r="A660" s="144" t="str">
        <v>S6</v>
      </c>
      <c r="B660" s="145">
        <v>8</v>
      </c>
      <c r="C660" s="129" t="str">
        <v>Lumbar Discectomy</v>
      </c>
      <c r="D660" s="129" t="str">
        <v>S6 – Spine / Lumbar: Discectomy/Decompression Procedures – [ 1-2 levels]</v>
      </c>
      <c r="E660" s="129" t="str">
        <v>05 - Spine</v>
      </c>
      <c r="F660" s="129" t="str">
        <v>Solutions Plus</v>
      </c>
      <c r="G660" s="144" t="str">
        <v>CON-01</v>
      </c>
      <c r="H660" s="129" t="str">
        <v>To confirm</v>
      </c>
      <c r="I660" s="144" t="str">
        <v>No</v>
      </c>
      <c r="J660" s="144" t="str">
        <v>Base</v>
      </c>
      <c r="K660" s="144" t="str">
        <v/>
      </c>
      <c r="L660" s="146">
        <v>15.9</v>
      </c>
      <c r="M660" s="142">
        <v>872.85</v>
      </c>
      <c r="N660" s="144" t="str">
        <v>Unknown</v>
      </c>
      <c r="O660" s="142" t="str">
        <v/>
      </c>
      <c r="P660" s="142" t="str">
        <v/>
      </c>
      <c r="Q660" s="142">
        <v>54.89622641509434</v>
      </c>
      <c r="R660" s="129" t="str">
        <v>Description – exact</v>
      </c>
      <c r="S660" s="143" t="str">
        <v/>
      </c>
      <c r="T660" s="144" t="str">
        <v>SRC-00</v>
      </c>
      <c r="U660" s="129" t="str">
        <v>S+ row 623</v>
      </c>
      <c r="V660" s="129" t="str">
        <v/>
      </c>
    </row>
    <row r="661" spans="1:22" x14ac:dyDescent="0.2">
      <c r="A661" s="144" t="str">
        <v>S9a</v>
      </c>
      <c r="B661" s="145">
        <v>10</v>
      </c>
      <c r="C661" s="129" t="str">
        <v>Lumbar Fusion</v>
      </c>
      <c r="D661" s="129" t="str">
        <v>S9a – Spine / Lumbar: Posterior Decompression/Fusion – Single Level</v>
      </c>
      <c r="E661" s="129" t="str">
        <v>05 - Spine</v>
      </c>
      <c r="F661" s="129" t="str">
        <v>Solutions Plus</v>
      </c>
      <c r="G661" s="144" t="str">
        <v>CON-01</v>
      </c>
      <c r="H661" s="129" t="str">
        <v>To confirm</v>
      </c>
      <c r="I661" s="144" t="str">
        <v>No</v>
      </c>
      <c r="J661" s="144" t="str">
        <v>Base</v>
      </c>
      <c r="K661" s="144" t="str">
        <v/>
      </c>
      <c r="L661" s="146">
        <v>32.200000000000003</v>
      </c>
      <c r="M661" s="142">
        <v>1768.25</v>
      </c>
      <c r="N661" s="144" t="str">
        <v>Unknown</v>
      </c>
      <c r="O661" s="142" t="str">
        <v/>
      </c>
      <c r="P661" s="142" t="str">
        <v/>
      </c>
      <c r="Q661" s="142">
        <v>54.91459627329192</v>
      </c>
      <c r="R661" s="129" t="str">
        <v>Description – likely</v>
      </c>
      <c r="S661" s="143" t="str">
        <v/>
      </c>
      <c r="T661" s="144" t="str">
        <v>SRC-00</v>
      </c>
      <c r="U661" s="129" t="str">
        <v>S+ row 624</v>
      </c>
      <c r="V661" s="129" t="str">
        <v/>
      </c>
    </row>
    <row r="662" spans="1:22" x14ac:dyDescent="0.2">
      <c r="A662" s="144" t="str">
        <v>S6</v>
      </c>
      <c r="B662" s="145">
        <v>8</v>
      </c>
      <c r="C662" s="129" t="str">
        <v>Lumbar Laminectomy</v>
      </c>
      <c r="D662" s="129" t="str">
        <v>S6 – Spine / Lumbar: Discectomy/Decompression Procedures – [ 1-2 levels]</v>
      </c>
      <c r="E662" s="129" t="str">
        <v>05 - Spine</v>
      </c>
      <c r="F662" s="129" t="str">
        <v>Solutions Plus</v>
      </c>
      <c r="G662" s="144" t="str">
        <v>CON-01</v>
      </c>
      <c r="H662" s="129" t="str">
        <v>To confirm</v>
      </c>
      <c r="I662" s="144" t="str">
        <v>No</v>
      </c>
      <c r="J662" s="144" t="str">
        <v>Base</v>
      </c>
      <c r="K662" s="144" t="str">
        <v/>
      </c>
      <c r="L662" s="146">
        <v>21.3</v>
      </c>
      <c r="M662" s="142">
        <v>1172.05</v>
      </c>
      <c r="N662" s="144" t="str">
        <v>Unknown</v>
      </c>
      <c r="O662" s="142" t="str">
        <v/>
      </c>
      <c r="P662" s="142" t="str">
        <v/>
      </c>
      <c r="Q662" s="142">
        <v>55.025821596244128</v>
      </c>
      <c r="R662" s="129" t="str">
        <v>Description – exact</v>
      </c>
      <c r="S662" s="143" t="str">
        <v/>
      </c>
      <c r="T662" s="144" t="str">
        <v>SRC-00</v>
      </c>
      <c r="U662" s="129" t="str">
        <v>S+ row 625</v>
      </c>
      <c r="V662" s="129" t="str">
        <v/>
      </c>
    </row>
    <row r="663" spans="1:22" x14ac:dyDescent="0.2">
      <c r="A663" s="144" t="str">
        <v>S9a</v>
      </c>
      <c r="B663" s="145">
        <v>10</v>
      </c>
      <c r="C663" s="129" t="str">
        <v>Lumbar Spinal Fusion</v>
      </c>
      <c r="D663" s="129" t="str">
        <v>S9a – Spine / Lumbar: Posterior Decompression/Fusion – Single Level</v>
      </c>
      <c r="E663" s="129" t="str">
        <v>05 - Spine</v>
      </c>
      <c r="F663" s="129" t="str">
        <v>Solutions Plus</v>
      </c>
      <c r="G663" s="144" t="str">
        <v>CON-01</v>
      </c>
      <c r="H663" s="129" t="str">
        <v>To confirm</v>
      </c>
      <c r="I663" s="144" t="str">
        <v>No</v>
      </c>
      <c r="J663" s="144" t="str">
        <v>Base</v>
      </c>
      <c r="K663" s="144" t="str">
        <v/>
      </c>
      <c r="L663" s="146">
        <v>34.5</v>
      </c>
      <c r="M663" s="142">
        <v>1897.5</v>
      </c>
      <c r="N663" s="144" t="str">
        <v>Unknown</v>
      </c>
      <c r="O663" s="142" t="str">
        <v/>
      </c>
      <c r="P663" s="142" t="str">
        <v/>
      </c>
      <c r="Q663" s="142">
        <v>55</v>
      </c>
      <c r="R663" s="129" t="str">
        <v>Description – likely</v>
      </c>
      <c r="S663" s="143" t="str">
        <v/>
      </c>
      <c r="T663" s="144" t="str">
        <v>SRC-00</v>
      </c>
      <c r="U663" s="129" t="str">
        <v>S+ row 626</v>
      </c>
      <c r="V663" s="129" t="str">
        <v/>
      </c>
    </row>
    <row r="664" spans="1:22" x14ac:dyDescent="0.2">
      <c r="A664" s="144" t="str">
        <v>S6</v>
      </c>
      <c r="B664" s="145">
        <v>8</v>
      </c>
      <c r="C664" s="129" t="str">
        <v>Microdiscectomy</v>
      </c>
      <c r="D664" s="129" t="str">
        <v>S6 – Spine / Lumbar: Discectomy/Decompression Procedures – [ 1-2 levels]</v>
      </c>
      <c r="E664" s="129" t="str">
        <v>05 - Spine</v>
      </c>
      <c r="F664" s="129" t="str">
        <v>Solutions Plus</v>
      </c>
      <c r="G664" s="144" t="str">
        <v>CON-01</v>
      </c>
      <c r="H664" s="129" t="str">
        <v>To confirm</v>
      </c>
      <c r="I664" s="144" t="str">
        <v>No</v>
      </c>
      <c r="J664" s="144" t="str">
        <v>Base</v>
      </c>
      <c r="K664" s="144" t="str">
        <v/>
      </c>
      <c r="L664" s="146">
        <v>15</v>
      </c>
      <c r="M664" s="142">
        <v>825</v>
      </c>
      <c r="N664" s="144" t="str">
        <v>Unknown</v>
      </c>
      <c r="O664" s="142" t="str">
        <v/>
      </c>
      <c r="P664" s="142" t="str">
        <v/>
      </c>
      <c r="Q664" s="142">
        <v>55</v>
      </c>
      <c r="R664" s="129" t="str">
        <v>Description – exact</v>
      </c>
      <c r="S664" s="143" t="str">
        <v/>
      </c>
      <c r="T664" s="144" t="str">
        <v>SRC-00</v>
      </c>
      <c r="U664" s="129" t="str">
        <v>S+ row 639</v>
      </c>
      <c r="V664" s="129" t="str">
        <v/>
      </c>
    </row>
    <row r="665" spans="1:22" x14ac:dyDescent="0.2">
      <c r="A665" s="144" t="str">
        <v>S7</v>
      </c>
      <c r="B665" s="145">
        <v>8</v>
      </c>
      <c r="C665" s="129" t="str">
        <v>Minimally Invasive Lateral Lumbar Procedures</v>
      </c>
      <c r="D665" s="129" t="str">
        <v>S7 – Spine / Lumbar: Minimally Invasive Lateral Lumbar Procedures</v>
      </c>
      <c r="E665" s="129" t="str">
        <v>05 - Spine</v>
      </c>
      <c r="F665" s="129" t="str">
        <v>NZSA RVG</v>
      </c>
      <c r="G665" s="144" t="str">
        <v>CON-10</v>
      </c>
      <c r="H665" s="129" t="str">
        <v>Reference – units only</v>
      </c>
      <c r="I665" s="144" t="str">
        <v>No</v>
      </c>
      <c r="J665" s="144" t="str">
        <v>Base</v>
      </c>
      <c r="K665" s="144" t="str">
        <v>S7</v>
      </c>
      <c r="L665" s="146">
        <v>8</v>
      </c>
      <c r="M665" s="142" t="str">
        <v/>
      </c>
      <c r="N665" s="144" t="str">
        <v/>
      </c>
      <c r="O665" s="142" t="str">
        <v/>
      </c>
      <c r="P665" s="142" t="str">
        <v/>
      </c>
      <c r="Q665" s="142">
        <v>0</v>
      </c>
      <c r="R665" s="129" t="str">
        <v>Unmatched</v>
      </c>
      <c r="S665" s="143" t="str">
        <v/>
      </c>
      <c r="T665" s="144" t="str">
        <v>SRC-01</v>
      </c>
      <c r="U665" s="129" t="str">
        <v>p.9 – Spine / Lumbar</v>
      </c>
      <c r="V665" s="129" t="str">
        <v>Reference units only – no $ fee (NZSA RVG 2021). Base units include loading for prone positioning if needed</v>
      </c>
    </row>
    <row r="666" spans="1:22" x14ac:dyDescent="0.2">
      <c r="A666" s="144" t="str">
        <v>S9a</v>
      </c>
      <c r="B666" s="145">
        <v>10</v>
      </c>
      <c r="C666" s="129" t="str">
        <v>Posterior Decompression/Fusion – Single Level</v>
      </c>
      <c r="D666" s="129" t="str">
        <v>S9a – Spine / Lumbar: Posterior Decompression/Fusion – Single Level</v>
      </c>
      <c r="E666" s="129" t="str">
        <v>05 - Spine</v>
      </c>
      <c r="F666" s="129" t="str">
        <v>NZSA RVG</v>
      </c>
      <c r="G666" s="144" t="str">
        <v>CON-10</v>
      </c>
      <c r="H666" s="129" t="str">
        <v>Reference – units only</v>
      </c>
      <c r="I666" s="144" t="str">
        <v>No</v>
      </c>
      <c r="J666" s="144" t="str">
        <v>Base</v>
      </c>
      <c r="K666" s="144" t="str">
        <v>S9a</v>
      </c>
      <c r="L666" s="146">
        <v>10</v>
      </c>
      <c r="M666" s="142" t="str">
        <v/>
      </c>
      <c r="N666" s="144" t="str">
        <v/>
      </c>
      <c r="O666" s="142" t="str">
        <v/>
      </c>
      <c r="P666" s="142" t="str">
        <v/>
      </c>
      <c r="Q666" s="142">
        <v>0</v>
      </c>
      <c r="R666" s="129" t="str">
        <v>RVG code</v>
      </c>
      <c r="S666" s="143" t="str">
        <v/>
      </c>
      <c r="T666" s="144" t="str">
        <v>SRC-01</v>
      </c>
      <c r="U666" s="129" t="str">
        <v>p.9 – Spine / Lumbar</v>
      </c>
      <c r="V666" s="129" t="str">
        <v>Reference units only – no $ fee (NZSA RVG 2021). Base units include loading for prone positioning if needed</v>
      </c>
    </row>
    <row r="667" spans="1:22" x14ac:dyDescent="0.2">
      <c r="A667" s="144" t="str">
        <v>S9c</v>
      </c>
      <c r="B667" s="145">
        <v>14</v>
      </c>
      <c r="C667" s="129" t="str">
        <v>Posterior Decompression/Fusion – Three + Level</v>
      </c>
      <c r="D667" s="129" t="str">
        <v>S9c – Spine / Lumbar: Posterior Decompression/Fusion – Three + Level</v>
      </c>
      <c r="E667" s="129" t="str">
        <v>05 - Spine</v>
      </c>
      <c r="F667" s="129" t="str">
        <v>NZSA RVG</v>
      </c>
      <c r="G667" s="144" t="str">
        <v>CON-10</v>
      </c>
      <c r="H667" s="129" t="str">
        <v>Reference – units only</v>
      </c>
      <c r="I667" s="144" t="str">
        <v>No</v>
      </c>
      <c r="J667" s="144" t="str">
        <v>Base</v>
      </c>
      <c r="K667" s="144" t="str">
        <v>S9c</v>
      </c>
      <c r="L667" s="146">
        <v>14</v>
      </c>
      <c r="M667" s="142" t="str">
        <v/>
      </c>
      <c r="N667" s="144" t="str">
        <v/>
      </c>
      <c r="O667" s="142" t="str">
        <v/>
      </c>
      <c r="P667" s="142" t="str">
        <v/>
      </c>
      <c r="Q667" s="142">
        <v>0</v>
      </c>
      <c r="R667" s="129" t="str">
        <v>Unmatched</v>
      </c>
      <c r="S667" s="143" t="str">
        <v/>
      </c>
      <c r="T667" s="144" t="str">
        <v>SRC-01</v>
      </c>
      <c r="U667" s="129" t="str">
        <v>p.9 – Spine / Lumbar</v>
      </c>
      <c r="V667" s="129" t="str">
        <v>Reference units only – no $ fee (NZSA RVG 2021). Base units include loading for prone positioning if needed</v>
      </c>
    </row>
    <row r="668" spans="1:22" x14ac:dyDescent="0.2">
      <c r="A668" s="144" t="str">
        <v>S9b</v>
      </c>
      <c r="B668" s="145">
        <v>12</v>
      </c>
      <c r="C668" s="129" t="str">
        <v>Posterior Decompression/Fusion – Two Level</v>
      </c>
      <c r="D668" s="129" t="str">
        <v>S9b – Spine / Lumbar: Posterior Decompression/Fusion – Two Level</v>
      </c>
      <c r="E668" s="129" t="str">
        <v>05 - Spine</v>
      </c>
      <c r="F668" s="129" t="str">
        <v>NZSA RVG</v>
      </c>
      <c r="G668" s="144" t="str">
        <v>CON-10</v>
      </c>
      <c r="H668" s="129" t="str">
        <v>Reference – units only</v>
      </c>
      <c r="I668" s="144" t="str">
        <v>No</v>
      </c>
      <c r="J668" s="144" t="str">
        <v>Base</v>
      </c>
      <c r="K668" s="144" t="str">
        <v>S9b</v>
      </c>
      <c r="L668" s="146">
        <v>12</v>
      </c>
      <c r="M668" s="142" t="str">
        <v/>
      </c>
      <c r="N668" s="144" t="str">
        <v/>
      </c>
      <c r="O668" s="142" t="str">
        <v/>
      </c>
      <c r="P668" s="142" t="str">
        <v/>
      </c>
      <c r="Q668" s="142">
        <v>0</v>
      </c>
      <c r="R668" s="129" t="str">
        <v>RVG code</v>
      </c>
      <c r="S668" s="143" t="str">
        <v/>
      </c>
      <c r="T668" s="144" t="str">
        <v>SRC-01</v>
      </c>
      <c r="U668" s="129" t="str">
        <v>p.9 – Spine / Lumbar</v>
      </c>
      <c r="V668" s="129" t="str">
        <v>Reference units only – no $ fee (NZSA RVG 2021). Base units include loading for prone positioning if needed</v>
      </c>
    </row>
    <row r="669" spans="1:22" x14ac:dyDescent="0.2">
      <c r="A669" s="144" t="str">
        <v>S6</v>
      </c>
      <c r="B669" s="145">
        <v>8</v>
      </c>
      <c r="C669" s="129" t="str">
        <v>Revision L4/5 Discectomy</v>
      </c>
      <c r="D669" s="129" t="str">
        <v>S6 – Spine / Lumbar: Discectomy/Decompression Procedures – [ 1-2 levels]</v>
      </c>
      <c r="E669" s="129" t="str">
        <v>05 - Spine</v>
      </c>
      <c r="F669" s="129" t="str">
        <v>Solutions Plus</v>
      </c>
      <c r="G669" s="144" t="str">
        <v>CON-01</v>
      </c>
      <c r="H669" s="129" t="str">
        <v>To confirm</v>
      </c>
      <c r="I669" s="144" t="str">
        <v>No</v>
      </c>
      <c r="J669" s="144" t="str">
        <v>Base</v>
      </c>
      <c r="K669" s="144" t="str">
        <v/>
      </c>
      <c r="L669" s="146">
        <v>16.600000000000001</v>
      </c>
      <c r="M669" s="142">
        <v>913</v>
      </c>
      <c r="N669" s="144" t="str">
        <v>Unknown</v>
      </c>
      <c r="O669" s="142" t="str">
        <v/>
      </c>
      <c r="P669" s="142" t="str">
        <v/>
      </c>
      <c r="Q669" s="142">
        <v>54.999999999999993</v>
      </c>
      <c r="R669" s="129" t="str">
        <v>Description – likely</v>
      </c>
      <c r="S669" s="143" t="str">
        <v/>
      </c>
      <c r="T669" s="144" t="str">
        <v>SRC-00</v>
      </c>
      <c r="U669" s="129" t="str">
        <v>S+ row 756</v>
      </c>
      <c r="V669" s="129" t="str">
        <v/>
      </c>
    </row>
    <row r="670" spans="1:22" x14ac:dyDescent="0.2">
      <c r="A670" s="144" t="str">
        <v>S6</v>
      </c>
      <c r="B670" s="145">
        <v>8</v>
      </c>
      <c r="C670" s="129" t="str">
        <v>Right L1/2 Lumbar Discectomy</v>
      </c>
      <c r="D670" s="129" t="str">
        <v>S6 – Spine / Lumbar: Discectomy/Decompression Procedures – [ 1-2 levels]</v>
      </c>
      <c r="E670" s="129" t="str">
        <v>05 - Spine</v>
      </c>
      <c r="F670" s="129" t="str">
        <v>Solutions Plus</v>
      </c>
      <c r="G670" s="144" t="str">
        <v>CON-01</v>
      </c>
      <c r="H670" s="129" t="str">
        <v>To confirm</v>
      </c>
      <c r="I670" s="144" t="str">
        <v>No</v>
      </c>
      <c r="J670" s="144" t="str">
        <v>Base</v>
      </c>
      <c r="K670" s="144" t="str">
        <v/>
      </c>
      <c r="L670" s="146">
        <v>17</v>
      </c>
      <c r="M670" s="142">
        <v>935</v>
      </c>
      <c r="N670" s="144" t="str">
        <v>Unknown</v>
      </c>
      <c r="O670" s="142" t="str">
        <v/>
      </c>
      <c r="P670" s="142" t="str">
        <v/>
      </c>
      <c r="Q670" s="142">
        <v>55</v>
      </c>
      <c r="R670" s="129" t="str">
        <v>Description – exact</v>
      </c>
      <c r="S670" s="143" t="str">
        <v/>
      </c>
      <c r="T670" s="144" t="str">
        <v>SRC-00</v>
      </c>
      <c r="U670" s="129" t="str">
        <v>S+ row 810</v>
      </c>
      <c r="V670" s="129" t="str">
        <v/>
      </c>
    </row>
    <row r="671" spans="1:22" x14ac:dyDescent="0.2">
      <c r="A671" s="144" t="str">
        <v>S9a</v>
      </c>
      <c r="B671" s="145">
        <v>10</v>
      </c>
      <c r="C671" s="129" t="str">
        <v>S1/2 Posterolateral Fusion</v>
      </c>
      <c r="D671" s="129" t="str">
        <v>S9a – Spine / Lumbar: Posterior Decompression/Fusion – Single Level</v>
      </c>
      <c r="E671" s="129" t="str">
        <v>05 - Spine</v>
      </c>
      <c r="F671" s="129" t="str">
        <v>Solutions Plus</v>
      </c>
      <c r="G671" s="144" t="str">
        <v>CON-01</v>
      </c>
      <c r="H671" s="129" t="str">
        <v>To confirm</v>
      </c>
      <c r="I671" s="144" t="str">
        <v>No</v>
      </c>
      <c r="J671" s="144" t="str">
        <v>Base</v>
      </c>
      <c r="K671" s="144" t="str">
        <v/>
      </c>
      <c r="L671" s="146">
        <v>23</v>
      </c>
      <c r="M671" s="142">
        <v>1265</v>
      </c>
      <c r="N671" s="144" t="str">
        <v>Unknown</v>
      </c>
      <c r="O671" s="142" t="str">
        <v/>
      </c>
      <c r="P671" s="142" t="str">
        <v/>
      </c>
      <c r="Q671" s="142">
        <v>55</v>
      </c>
      <c r="R671" s="129" t="str">
        <v>Description – likely</v>
      </c>
      <c r="S671" s="143" t="str">
        <v/>
      </c>
      <c r="T671" s="144" t="str">
        <v>SRC-00</v>
      </c>
      <c r="U671" s="129" t="str">
        <v>S+ row 854</v>
      </c>
      <c r="V671" s="129" t="str">
        <v/>
      </c>
    </row>
    <row r="672" spans="1:22" x14ac:dyDescent="0.2">
      <c r="A672" s="144" t="str">
        <v>S9a</v>
      </c>
      <c r="B672" s="145">
        <v>10</v>
      </c>
      <c r="C672" s="129" t="str">
        <v>Single Level Decompression Fusion L4/5 And Singl</v>
      </c>
      <c r="D672" s="129" t="str">
        <v>S9a – Spine / Lumbar: Posterior Decompression/Fusion – Single Level</v>
      </c>
      <c r="E672" s="129" t="str">
        <v>05 - Spine</v>
      </c>
      <c r="F672" s="129" t="str">
        <v>Solutions Plus</v>
      </c>
      <c r="G672" s="144" t="str">
        <v>CON-01</v>
      </c>
      <c r="H672" s="129" t="str">
        <v>To confirm</v>
      </c>
      <c r="I672" s="144" t="str">
        <v>No</v>
      </c>
      <c r="J672" s="144" t="str">
        <v>Base</v>
      </c>
      <c r="K672" s="144" t="str">
        <v/>
      </c>
      <c r="L672" s="146">
        <v>18</v>
      </c>
      <c r="M672" s="142">
        <v>990</v>
      </c>
      <c r="N672" s="144" t="str">
        <v>Unknown</v>
      </c>
      <c r="O672" s="142" t="str">
        <v/>
      </c>
      <c r="P672" s="142" t="str">
        <v/>
      </c>
      <c r="Q672" s="142">
        <v>55</v>
      </c>
      <c r="R672" s="129" t="str">
        <v>Description – likely</v>
      </c>
      <c r="S672" s="143" t="str">
        <v/>
      </c>
      <c r="T672" s="144" t="str">
        <v>SRC-00</v>
      </c>
      <c r="U672" s="129" t="str">
        <v>S+ row 876</v>
      </c>
      <c r="V672" s="129" t="str">
        <v/>
      </c>
    </row>
    <row r="673" spans="1:22" x14ac:dyDescent="0.2">
      <c r="A673" s="144" t="str">
        <v>S6</v>
      </c>
      <c r="B673" s="145">
        <v>8</v>
      </c>
      <c r="C673" s="129" t="str">
        <v>Spinal Decompression</v>
      </c>
      <c r="D673" s="129" t="str">
        <v>S6 – Spine / Lumbar: Discectomy/Decompression Procedures – [ 1-2 levels]</v>
      </c>
      <c r="E673" s="129" t="str">
        <v>05 - Spine</v>
      </c>
      <c r="F673" s="129" t="str">
        <v>Solutions Plus</v>
      </c>
      <c r="G673" s="144" t="str">
        <v>CON-01</v>
      </c>
      <c r="H673" s="129" t="str">
        <v>To confirm</v>
      </c>
      <c r="I673" s="144" t="str">
        <v>No</v>
      </c>
      <c r="J673" s="144" t="str">
        <v>Base</v>
      </c>
      <c r="K673" s="144" t="str">
        <v/>
      </c>
      <c r="L673" s="146">
        <v>16.600000000000001</v>
      </c>
      <c r="M673" s="142">
        <v>911.9</v>
      </c>
      <c r="N673" s="144" t="str">
        <v>Unknown</v>
      </c>
      <c r="O673" s="142" t="str">
        <v/>
      </c>
      <c r="P673" s="142" t="str">
        <v/>
      </c>
      <c r="Q673" s="142">
        <v>54.933734939759027</v>
      </c>
      <c r="R673" s="129" t="str">
        <v>Description – exact</v>
      </c>
      <c r="S673" s="143" t="str">
        <v/>
      </c>
      <c r="T673" s="144" t="str">
        <v>SRC-00</v>
      </c>
      <c r="U673" s="129" t="str">
        <v>S+ row 883</v>
      </c>
      <c r="V673" s="129" t="str">
        <v/>
      </c>
    </row>
    <row r="674" spans="1:22" x14ac:dyDescent="0.2">
      <c r="A674" s="144" t="str">
        <v>S9a</v>
      </c>
      <c r="B674" s="145">
        <v>10</v>
      </c>
      <c r="C674" s="129" t="str">
        <v>Spinal Fusion</v>
      </c>
      <c r="D674" s="129" t="str">
        <v>S9a – Spine / Lumbar: Posterior Decompression/Fusion – Single Level</v>
      </c>
      <c r="E674" s="129" t="str">
        <v>05 - Spine</v>
      </c>
      <c r="F674" s="129" t="str">
        <v>Solutions Plus</v>
      </c>
      <c r="G674" s="144" t="str">
        <v>CON-01</v>
      </c>
      <c r="H674" s="129" t="str">
        <v>To confirm</v>
      </c>
      <c r="I674" s="144" t="str">
        <v>No</v>
      </c>
      <c r="J674" s="144" t="str">
        <v>Base</v>
      </c>
      <c r="K674" s="144" t="str">
        <v/>
      </c>
      <c r="L674" s="146">
        <v>23.7</v>
      </c>
      <c r="M674" s="142">
        <v>1300.75</v>
      </c>
      <c r="N674" s="144" t="str">
        <v>Unknown</v>
      </c>
      <c r="O674" s="142" t="str">
        <v/>
      </c>
      <c r="P674" s="142" t="str">
        <v/>
      </c>
      <c r="Q674" s="142">
        <v>54.883966244725741</v>
      </c>
      <c r="R674" s="129" t="str">
        <v>Description – likely</v>
      </c>
      <c r="S674" s="143" t="str">
        <v/>
      </c>
      <c r="T674" s="144" t="str">
        <v>SRC-00</v>
      </c>
      <c r="U674" s="129" t="str">
        <v>S+ row 884</v>
      </c>
      <c r="V674" s="129" t="str">
        <v/>
      </c>
    </row>
    <row r="675" spans="1:22" x14ac:dyDescent="0.2">
      <c r="A675" s="144" t="str">
        <v>S5</v>
      </c>
      <c r="B675" s="145">
        <v>20</v>
      </c>
      <c r="C675" s="129" t="str">
        <v>Extensive Thoracic/Lumbar Decompression and Fusion e.g. Scoliosis</v>
      </c>
      <c r="D675" s="129" t="str">
        <v>S5 – Spine / Thoracic: Extensive Thoracic/Lumbar Decompression and Fusion</v>
      </c>
      <c r="E675" s="129" t="str">
        <v>05 - Spine</v>
      </c>
      <c r="F675" s="129" t="str">
        <v>NZSA RVG</v>
      </c>
      <c r="G675" s="144" t="str">
        <v>CON-10</v>
      </c>
      <c r="H675" s="129" t="str">
        <v>Reference – units only</v>
      </c>
      <c r="I675" s="144" t="str">
        <v>No</v>
      </c>
      <c r="J675" s="144" t="str">
        <v>Base</v>
      </c>
      <c r="K675" s="144" t="str">
        <v>S5</v>
      </c>
      <c r="L675" s="146">
        <v>20</v>
      </c>
      <c r="M675" s="142" t="str">
        <v/>
      </c>
      <c r="N675" s="144" t="str">
        <v/>
      </c>
      <c r="O675" s="142" t="str">
        <v/>
      </c>
      <c r="P675" s="142" t="str">
        <v/>
      </c>
      <c r="Q675" s="142">
        <v>0</v>
      </c>
      <c r="R675" s="129" t="str">
        <v>Unmatched</v>
      </c>
      <c r="S675" s="143" t="str">
        <v/>
      </c>
      <c r="T675" s="144" t="str">
        <v>SRC-01</v>
      </c>
      <c r="U675" s="129" t="str">
        <v>p.9 – Spine / Thoracic</v>
      </c>
      <c r="V675" s="129" t="str">
        <v>Reference units only – no $ fee (NZSA RVG 2021). Base units include loading for prone positioning if needed</v>
      </c>
    </row>
    <row r="676" spans="1:22" x14ac:dyDescent="0.2">
      <c r="A676" s="144" t="str">
        <v>S4</v>
      </c>
      <c r="B676" s="145">
        <v>16</v>
      </c>
      <c r="C676" s="129" t="str">
        <v>Intrathoracic Spinal Procedures</v>
      </c>
      <c r="D676" s="129" t="str">
        <v>S4 – Spine / Thoracic: Intrathoracic Spinal Procedures</v>
      </c>
      <c r="E676" s="129" t="str">
        <v>05 - Spine</v>
      </c>
      <c r="F676" s="129" t="str">
        <v>NZSA RVG</v>
      </c>
      <c r="G676" s="144" t="str">
        <v>CON-10</v>
      </c>
      <c r="H676" s="129" t="str">
        <v>Reference – units only</v>
      </c>
      <c r="I676" s="144" t="str">
        <v>No</v>
      </c>
      <c r="J676" s="144" t="str">
        <v>Base</v>
      </c>
      <c r="K676" s="144" t="str">
        <v>S4</v>
      </c>
      <c r="L676" s="146">
        <v>16</v>
      </c>
      <c r="M676" s="142" t="str">
        <v/>
      </c>
      <c r="N676" s="144" t="str">
        <v/>
      </c>
      <c r="O676" s="142" t="str">
        <v/>
      </c>
      <c r="P676" s="142" t="str">
        <v/>
      </c>
      <c r="Q676" s="142">
        <v>0</v>
      </c>
      <c r="R676" s="129" t="str">
        <v>Unmatched</v>
      </c>
      <c r="S676" s="143" t="str">
        <v/>
      </c>
      <c r="T676" s="144" t="str">
        <v>SRC-01</v>
      </c>
      <c r="U676" s="129" t="str">
        <v>p.9 – Spine / Thoracic</v>
      </c>
      <c r="V676" s="129" t="str">
        <v>Reference units only – no $ fee (NZSA RVG 2021). Base units include loading for prone positioning if needed</v>
      </c>
    </row>
    <row r="677" spans="1:22" x14ac:dyDescent="0.2">
      <c r="A677" s="144" t="str">
        <v>A4</v>
      </c>
      <c r="B677" s="145">
        <v>6</v>
      </c>
      <c r="C677" s="129" t="str">
        <v>Abdominal Hysterectomy</v>
      </c>
      <c r="D677" s="129" t="str">
        <v>A4 – Abdomen: Gynae: Moderate/Major Procedures</v>
      </c>
      <c r="E677" s="129" t="str">
        <v>06 - Abdomen</v>
      </c>
      <c r="F677" s="129" t="str">
        <v>Solutions Plus</v>
      </c>
      <c r="G677" s="144" t="str">
        <v>CON-01</v>
      </c>
      <c r="H677" s="129" t="str">
        <v>To confirm</v>
      </c>
      <c r="I677" s="144" t="str">
        <v>No</v>
      </c>
      <c r="J677" s="144" t="str">
        <v>Base</v>
      </c>
      <c r="K677" s="144" t="str">
        <v/>
      </c>
      <c r="L677" s="146">
        <v>13.9</v>
      </c>
      <c r="M677" s="142">
        <v>761.75</v>
      </c>
      <c r="N677" s="144" t="str">
        <v>Unknown</v>
      </c>
      <c r="O677" s="142" t="str">
        <v/>
      </c>
      <c r="P677" s="142" t="str">
        <v/>
      </c>
      <c r="Q677" s="142">
        <v>54.802158273381295</v>
      </c>
      <c r="R677" s="129" t="str">
        <v>Description – exact</v>
      </c>
      <c r="S677" s="143" t="str">
        <v/>
      </c>
      <c r="T677" s="144" t="str">
        <v>SRC-00</v>
      </c>
      <c r="U677" s="129" t="str">
        <v>S+ row 10</v>
      </c>
      <c r="V677" s="129" t="str">
        <v/>
      </c>
    </row>
    <row r="678" spans="1:22" x14ac:dyDescent="0.2">
      <c r="A678" s="144" t="str">
        <v>A1</v>
      </c>
      <c r="B678" s="145">
        <v>4</v>
      </c>
      <c r="C678" s="129" t="str">
        <v>Abdominal Scar Revision</v>
      </c>
      <c r="D678" s="129" t="str">
        <v>A1 – Abdomen: Minor Procedures</v>
      </c>
      <c r="E678" s="129" t="str">
        <v>06 - Abdomen</v>
      </c>
      <c r="F678" s="129" t="str">
        <v>Solutions Plus</v>
      </c>
      <c r="G678" s="144" t="str">
        <v>CON-01</v>
      </c>
      <c r="H678" s="129" t="str">
        <v>To confirm</v>
      </c>
      <c r="I678" s="144" t="str">
        <v>No</v>
      </c>
      <c r="J678" s="144" t="str">
        <v>Base</v>
      </c>
      <c r="K678" s="144" t="str">
        <v/>
      </c>
      <c r="L678" s="146">
        <v>8.8000000000000007</v>
      </c>
      <c r="M678" s="142">
        <v>485.1</v>
      </c>
      <c r="N678" s="144" t="str">
        <v>Unknown</v>
      </c>
      <c r="O678" s="142" t="str">
        <v/>
      </c>
      <c r="P678" s="142" t="str">
        <v/>
      </c>
      <c r="Q678" s="142">
        <v>55.125</v>
      </c>
      <c r="R678" s="129" t="str">
        <v>Description – likely</v>
      </c>
      <c r="S678" s="143" t="str">
        <v/>
      </c>
      <c r="T678" s="144" t="str">
        <v>SRC-00</v>
      </c>
      <c r="U678" s="129" t="str">
        <v>S+ row 11</v>
      </c>
      <c r="V678" s="129" t="str">
        <v/>
      </c>
    </row>
    <row r="679" spans="1:22" x14ac:dyDescent="0.2">
      <c r="A679" s="144" t="str">
        <v>A1</v>
      </c>
      <c r="B679" s="145">
        <v>4</v>
      </c>
      <c r="C679" s="129" t="str">
        <v>Abdominal Scar Revisions</v>
      </c>
      <c r="D679" s="129" t="str">
        <v>A1 – Abdomen: Minor Procedures</v>
      </c>
      <c r="E679" s="129" t="str">
        <v>06 - Abdomen</v>
      </c>
      <c r="F679" s="129" t="str">
        <v>Solutions Plus</v>
      </c>
      <c r="G679" s="144" t="str">
        <v>CON-01</v>
      </c>
      <c r="H679" s="129" t="str">
        <v>To confirm</v>
      </c>
      <c r="I679" s="144" t="str">
        <v>No</v>
      </c>
      <c r="J679" s="144" t="str">
        <v>Base</v>
      </c>
      <c r="K679" s="144" t="str">
        <v/>
      </c>
      <c r="L679" s="146">
        <v>22</v>
      </c>
      <c r="M679" s="142">
        <v>1210</v>
      </c>
      <c r="N679" s="144" t="str">
        <v>Unknown</v>
      </c>
      <c r="O679" s="142" t="str">
        <v/>
      </c>
      <c r="P679" s="142" t="str">
        <v/>
      </c>
      <c r="Q679" s="142">
        <v>55</v>
      </c>
      <c r="R679" s="129" t="str">
        <v>Description – likely</v>
      </c>
      <c r="S679" s="143" t="str">
        <v/>
      </c>
      <c r="T679" s="144" t="str">
        <v>SRC-00</v>
      </c>
      <c r="U679" s="129" t="str">
        <v>S+ row 12</v>
      </c>
      <c r="V679" s="129" t="str">
        <v/>
      </c>
    </row>
    <row r="680" spans="1:22" x14ac:dyDescent="0.2">
      <c r="A680" s="144" t="str">
        <v>A5</v>
      </c>
      <c r="B680" s="145">
        <v>8</v>
      </c>
      <c r="C680" s="129" t="str">
        <v>Abdominioplasty</v>
      </c>
      <c r="D680" s="129" t="str">
        <v>A5 – Abdomen: Major Procedures</v>
      </c>
      <c r="E680" s="129" t="str">
        <v>06 - Abdomen</v>
      </c>
      <c r="F680" s="129" t="str">
        <v>Solutions Plus</v>
      </c>
      <c r="G680" s="144" t="str">
        <v>CON-01</v>
      </c>
      <c r="H680" s="129" t="str">
        <v>To confirm</v>
      </c>
      <c r="I680" s="144" t="str">
        <v>No</v>
      </c>
      <c r="J680" s="144" t="str">
        <v>Base</v>
      </c>
      <c r="K680" s="144" t="str">
        <v/>
      </c>
      <c r="L680" s="146">
        <v>21.2</v>
      </c>
      <c r="M680" s="142">
        <v>1166</v>
      </c>
      <c r="N680" s="144" t="str">
        <v>Unknown</v>
      </c>
      <c r="O680" s="142" t="str">
        <v/>
      </c>
      <c r="P680" s="142" t="str">
        <v/>
      </c>
      <c r="Q680" s="142">
        <v>55</v>
      </c>
      <c r="R680" s="129" t="str">
        <v>Description – exact</v>
      </c>
      <c r="S680" s="143" t="str">
        <v/>
      </c>
      <c r="T680" s="144" t="str">
        <v>SRC-00</v>
      </c>
      <c r="U680" s="129" t="str">
        <v>S+ row 13</v>
      </c>
      <c r="V680" s="129" t="str">
        <v/>
      </c>
    </row>
    <row r="681" spans="1:22" x14ac:dyDescent="0.2">
      <c r="A681" s="144" t="str">
        <v>A5</v>
      </c>
      <c r="B681" s="145">
        <v>8</v>
      </c>
      <c r="C681" s="129" t="str">
        <v>Abdominoplasty</v>
      </c>
      <c r="D681" s="129" t="str">
        <v>A5 – Abdomen: Major Procedures</v>
      </c>
      <c r="E681" s="129" t="str">
        <v>06 - Abdomen</v>
      </c>
      <c r="F681" s="129" t="str">
        <v>Solutions Plus</v>
      </c>
      <c r="G681" s="144" t="str">
        <v>CON-01</v>
      </c>
      <c r="H681" s="129" t="str">
        <v>To confirm</v>
      </c>
      <c r="I681" s="144" t="str">
        <v>No</v>
      </c>
      <c r="J681" s="144" t="str">
        <v>Base</v>
      </c>
      <c r="K681" s="144" t="str">
        <v/>
      </c>
      <c r="L681" s="146">
        <v>20.100000000000001</v>
      </c>
      <c r="M681" s="142">
        <v>1104.4000000000001</v>
      </c>
      <c r="N681" s="144" t="str">
        <v>Unknown</v>
      </c>
      <c r="O681" s="142" t="str">
        <v/>
      </c>
      <c r="P681" s="142" t="str">
        <v/>
      </c>
      <c r="Q681" s="142">
        <v>54.945273631840799</v>
      </c>
      <c r="R681" s="129" t="str">
        <v>Description – exact</v>
      </c>
      <c r="S681" s="143" t="str">
        <v/>
      </c>
      <c r="T681" s="144" t="str">
        <v>SRC-00</v>
      </c>
      <c r="U681" s="129" t="str">
        <v>S+ row 14</v>
      </c>
      <c r="V681" s="129" t="str">
        <v/>
      </c>
    </row>
    <row r="682" spans="1:22" x14ac:dyDescent="0.2">
      <c r="A682" s="144" t="str">
        <v>A5</v>
      </c>
      <c r="B682" s="145">
        <v>8</v>
      </c>
      <c r="C682" s="129" t="str">
        <v>Abdominoplasty &amp; 4 Lid Blepharoplasty</v>
      </c>
      <c r="D682" s="129" t="str">
        <v>A5 – Abdomen: Major Procedures</v>
      </c>
      <c r="E682" s="129" t="str">
        <v>06 - Abdomen</v>
      </c>
      <c r="F682" s="129" t="str">
        <v>Solutions Plus</v>
      </c>
      <c r="G682" s="144" t="str">
        <v>CON-01</v>
      </c>
      <c r="H682" s="129" t="str">
        <v>To confirm</v>
      </c>
      <c r="I682" s="144" t="str">
        <v>No</v>
      </c>
      <c r="J682" s="144" t="str">
        <v>Base</v>
      </c>
      <c r="K682" s="144" t="str">
        <v/>
      </c>
      <c r="L682" s="146">
        <v>13</v>
      </c>
      <c r="M682" s="142">
        <v>715</v>
      </c>
      <c r="N682" s="144" t="str">
        <v>Unknown</v>
      </c>
      <c r="O682" s="142" t="str">
        <v/>
      </c>
      <c r="P682" s="142" t="str">
        <v/>
      </c>
      <c r="Q682" s="142">
        <v>55</v>
      </c>
      <c r="R682" s="129" t="str">
        <v>Description – exact</v>
      </c>
      <c r="S682" s="143" t="str">
        <v/>
      </c>
      <c r="T682" s="144" t="str">
        <v>SRC-00</v>
      </c>
      <c r="U682" s="129" t="str">
        <v>S+ row 15</v>
      </c>
      <c r="V682" s="129" t="str">
        <v/>
      </c>
    </row>
    <row r="683" spans="1:22" x14ac:dyDescent="0.2">
      <c r="A683" s="144" t="str">
        <v>A5</v>
      </c>
      <c r="B683" s="145">
        <v>8</v>
      </c>
      <c r="C683" s="129" t="str">
        <v>Abdominoplasty &amp; Brachioplasty</v>
      </c>
      <c r="D683" s="129" t="str">
        <v>A5 – Abdomen: Major Procedures</v>
      </c>
      <c r="E683" s="129" t="str">
        <v>06 - Abdomen</v>
      </c>
      <c r="F683" s="129" t="str">
        <v>Solutions Plus</v>
      </c>
      <c r="G683" s="144" t="str">
        <v>CON-01</v>
      </c>
      <c r="H683" s="129" t="str">
        <v>To confirm</v>
      </c>
      <c r="I683" s="144" t="str">
        <v>No</v>
      </c>
      <c r="J683" s="144" t="str">
        <v>Base</v>
      </c>
      <c r="K683" s="144" t="str">
        <v/>
      </c>
      <c r="L683" s="146">
        <v>30</v>
      </c>
      <c r="M683" s="142">
        <v>1650</v>
      </c>
      <c r="N683" s="144" t="str">
        <v>Unknown</v>
      </c>
      <c r="O683" s="142" t="str">
        <v/>
      </c>
      <c r="P683" s="142" t="str">
        <v/>
      </c>
      <c r="Q683" s="142">
        <v>55</v>
      </c>
      <c r="R683" s="129" t="str">
        <v>Description – exact</v>
      </c>
      <c r="S683" s="143" t="str">
        <v/>
      </c>
      <c r="T683" s="144" t="str">
        <v>SRC-00</v>
      </c>
      <c r="U683" s="129" t="str">
        <v>S+ row 16</v>
      </c>
      <c r="V683" s="129" t="str">
        <v/>
      </c>
    </row>
    <row r="684" spans="1:22" x14ac:dyDescent="0.2">
      <c r="A684" s="144" t="str">
        <v>A5</v>
      </c>
      <c r="B684" s="145">
        <v>8</v>
      </c>
      <c r="C684" s="129" t="str">
        <v>Abdominoplasty &amp; Breast Lift</v>
      </c>
      <c r="D684" s="129" t="str">
        <v>A5 – Abdomen: Major Procedures</v>
      </c>
      <c r="E684" s="129" t="str">
        <v>06 - Abdomen</v>
      </c>
      <c r="F684" s="129" t="str">
        <v>Solutions Plus</v>
      </c>
      <c r="G684" s="144" t="str">
        <v>CON-01</v>
      </c>
      <c r="H684" s="129" t="str">
        <v>To confirm</v>
      </c>
      <c r="I684" s="144" t="str">
        <v>No</v>
      </c>
      <c r="J684" s="144" t="str">
        <v>Base</v>
      </c>
      <c r="K684" s="144" t="str">
        <v/>
      </c>
      <c r="L684" s="146">
        <v>36</v>
      </c>
      <c r="M684" s="142">
        <v>1980</v>
      </c>
      <c r="N684" s="144" t="str">
        <v>Unknown</v>
      </c>
      <c r="O684" s="142" t="str">
        <v/>
      </c>
      <c r="P684" s="142" t="str">
        <v/>
      </c>
      <c r="Q684" s="142">
        <v>55</v>
      </c>
      <c r="R684" s="129" t="str">
        <v>Description – exact</v>
      </c>
      <c r="S684" s="143" t="str">
        <v/>
      </c>
      <c r="T684" s="144" t="str">
        <v>SRC-00</v>
      </c>
      <c r="U684" s="129" t="str">
        <v>S+ row 17</v>
      </c>
      <c r="V684" s="129" t="str">
        <v/>
      </c>
    </row>
    <row r="685" spans="1:22" x14ac:dyDescent="0.2">
      <c r="A685" s="144" t="str">
        <v>A5</v>
      </c>
      <c r="B685" s="145">
        <v>8</v>
      </c>
      <c r="C685" s="129" t="str">
        <v>Abdominoplasty &amp; Liposuction</v>
      </c>
      <c r="D685" s="129" t="str">
        <v>A5 – Abdomen: Major Procedures</v>
      </c>
      <c r="E685" s="129" t="str">
        <v>06 - Abdomen</v>
      </c>
      <c r="F685" s="129" t="str">
        <v>Solutions Plus</v>
      </c>
      <c r="G685" s="144" t="str">
        <v>CON-01</v>
      </c>
      <c r="H685" s="129" t="str">
        <v>To confirm</v>
      </c>
      <c r="I685" s="144" t="str">
        <v>No</v>
      </c>
      <c r="J685" s="144" t="str">
        <v>Base</v>
      </c>
      <c r="K685" s="144" t="str">
        <v/>
      </c>
      <c r="L685" s="146">
        <v>22.8</v>
      </c>
      <c r="M685" s="142">
        <v>1254</v>
      </c>
      <c r="N685" s="144" t="str">
        <v>Unknown</v>
      </c>
      <c r="O685" s="142" t="str">
        <v/>
      </c>
      <c r="P685" s="142" t="str">
        <v/>
      </c>
      <c r="Q685" s="142">
        <v>55</v>
      </c>
      <c r="R685" s="129" t="str">
        <v>Description – exact</v>
      </c>
      <c r="S685" s="143" t="str">
        <v/>
      </c>
      <c r="T685" s="144" t="str">
        <v>SRC-00</v>
      </c>
      <c r="U685" s="129" t="str">
        <v>S+ row 18</v>
      </c>
      <c r="V685" s="129" t="str">
        <v/>
      </c>
    </row>
    <row r="686" spans="1:22" x14ac:dyDescent="0.2">
      <c r="A686" s="144" t="str">
        <v>A5</v>
      </c>
      <c r="B686" s="145">
        <v>8</v>
      </c>
      <c r="C686" s="129" t="str">
        <v>Abdominoplasty complex</v>
      </c>
      <c r="D686" s="129" t="str">
        <v>A5 – Abdomen: Major Procedures</v>
      </c>
      <c r="E686" s="129" t="str">
        <v>06 - Abdomen</v>
      </c>
      <c r="F686" s="129" t="str">
        <v>Merivale PS – Self-funding</v>
      </c>
      <c r="G686" s="144" t="str">
        <v>CON-08</v>
      </c>
      <c r="H686" s="129" t="str">
        <v>Fixed fee schedule</v>
      </c>
      <c r="I686" s="144" t="str">
        <v>Yes</v>
      </c>
      <c r="J686" s="144" t="str">
        <v>Base</v>
      </c>
      <c r="K686" s="144" t="str">
        <v/>
      </c>
      <c r="L686" s="146" t="str">
        <v/>
      </c>
      <c r="M686" s="142">
        <v>3220</v>
      </c>
      <c r="N686" s="144" t="str">
        <v>Incl</v>
      </c>
      <c r="O686" s="142">
        <v>2800</v>
      </c>
      <c r="P686" s="142">
        <v>3220</v>
      </c>
      <c r="Q686" s="142" t="str">
        <v/>
      </c>
      <c r="R686" s="129" t="str">
        <v>Description – exact</v>
      </c>
      <c r="S686" s="143">
        <v>46174</v>
      </c>
      <c r="T686" s="144" t="str">
        <v>SRC-04</v>
      </c>
      <c r="U686" s="129" t="str">
        <v>p.1</v>
      </c>
      <c r="V686" s="129" t="str">
        <v>Self-funding patients of Dr Kerri Mooney (Merivale Plastic Surgery) only; anaesthetist invoices patient directly. Next review 1 Jun 2027. 'Simple' vs 'complex' not defined in the schedule.</v>
      </c>
    </row>
    <row r="687" spans="1:22" x14ac:dyDescent="0.2">
      <c r="A687" s="144" t="str">
        <v>A5</v>
      </c>
      <c r="B687" s="145">
        <v>8</v>
      </c>
      <c r="C687" s="129" t="str">
        <v>Abdominoplasty Extended</v>
      </c>
      <c r="D687" s="129" t="str">
        <v>A5 – Abdomen: Major Procedures</v>
      </c>
      <c r="E687" s="129" t="str">
        <v>06 - Abdomen</v>
      </c>
      <c r="F687" s="129" t="str">
        <v>Solutions Plus</v>
      </c>
      <c r="G687" s="144" t="str">
        <v>CON-01</v>
      </c>
      <c r="H687" s="129" t="str">
        <v>To confirm</v>
      </c>
      <c r="I687" s="144" t="str">
        <v>No</v>
      </c>
      <c r="J687" s="144" t="str">
        <v>Base</v>
      </c>
      <c r="K687" s="144" t="str">
        <v/>
      </c>
      <c r="L687" s="146">
        <v>30.5</v>
      </c>
      <c r="M687" s="142">
        <v>1677.5</v>
      </c>
      <c r="N687" s="144" t="str">
        <v>Unknown</v>
      </c>
      <c r="O687" s="142" t="str">
        <v/>
      </c>
      <c r="P687" s="142" t="str">
        <v/>
      </c>
      <c r="Q687" s="142">
        <v>55</v>
      </c>
      <c r="R687" s="129" t="str">
        <v>Description – exact</v>
      </c>
      <c r="S687" s="143" t="str">
        <v/>
      </c>
      <c r="T687" s="144" t="str">
        <v>SRC-00</v>
      </c>
      <c r="U687" s="129" t="str">
        <v>S+ row 19</v>
      </c>
      <c r="V687" s="129" t="str">
        <v/>
      </c>
    </row>
    <row r="688" spans="1:22" x14ac:dyDescent="0.2">
      <c r="A688" s="144" t="str">
        <v>A5</v>
      </c>
      <c r="B688" s="145">
        <v>8</v>
      </c>
      <c r="C688" s="129" t="str">
        <v>Abdominoplasty Simple</v>
      </c>
      <c r="D688" s="129" t="str">
        <v>A5 – Abdomen: Major Procedures</v>
      </c>
      <c r="E688" s="129" t="str">
        <v>06 - Abdomen</v>
      </c>
      <c r="F688" s="129" t="str">
        <v>Merivale PS – Self-funding</v>
      </c>
      <c r="G688" s="144" t="str">
        <v>CON-08</v>
      </c>
      <c r="H688" s="129" t="str">
        <v>Fixed fee schedule</v>
      </c>
      <c r="I688" s="144" t="str">
        <v>Yes</v>
      </c>
      <c r="J688" s="144" t="str">
        <v>Base</v>
      </c>
      <c r="K688" s="144" t="str">
        <v/>
      </c>
      <c r="L688" s="146" t="str">
        <v/>
      </c>
      <c r="M688" s="142">
        <v>2415</v>
      </c>
      <c r="N688" s="144" t="str">
        <v>Incl</v>
      </c>
      <c r="O688" s="142">
        <v>2100</v>
      </c>
      <c r="P688" s="142">
        <v>2415</v>
      </c>
      <c r="Q688" s="142" t="str">
        <v/>
      </c>
      <c r="R688" s="129" t="str">
        <v>Description – exact</v>
      </c>
      <c r="S688" s="143">
        <v>46174</v>
      </c>
      <c r="T688" s="144" t="str">
        <v>SRC-04</v>
      </c>
      <c r="U688" s="129" t="str">
        <v>p.1</v>
      </c>
      <c r="V688" s="129" t="str">
        <v>Self-funding patients of Dr Kerri Mooney (Merivale Plastic Surgery) only; anaesthetist invoices patient directly. Next review 1 Jun 2027. 'Simple' vs 'complex' not defined in the schedule.</v>
      </c>
    </row>
    <row r="689" spans="1:22" x14ac:dyDescent="0.2">
      <c r="A689" s="144" t="str">
        <v>A5</v>
      </c>
      <c r="B689" s="145">
        <v>8</v>
      </c>
      <c r="C689" s="129" t="str">
        <v>Abdominoplasty, Bilateral Breast List</v>
      </c>
      <c r="D689" s="129" t="str">
        <v>A5 – Abdomen: Major Procedures</v>
      </c>
      <c r="E689" s="129" t="str">
        <v>06 - Abdomen</v>
      </c>
      <c r="F689" s="129" t="str">
        <v>Solutions Plus</v>
      </c>
      <c r="G689" s="144" t="str">
        <v>CON-01</v>
      </c>
      <c r="H689" s="129" t="str">
        <v>To confirm</v>
      </c>
      <c r="I689" s="144" t="str">
        <v>No</v>
      </c>
      <c r="J689" s="144" t="str">
        <v>Base</v>
      </c>
      <c r="K689" s="144" t="str">
        <v/>
      </c>
      <c r="L689" s="146">
        <v>0</v>
      </c>
      <c r="M689" s="142">
        <v>0</v>
      </c>
      <c r="N689" s="144" t="str">
        <v>Unknown</v>
      </c>
      <c r="O689" s="142" t="str">
        <v/>
      </c>
      <c r="P689" s="142" t="str">
        <v/>
      </c>
      <c r="Q689" s="142" t="str">
        <v/>
      </c>
      <c r="R689" s="129" t="str">
        <v>Description – exact</v>
      </c>
      <c r="S689" s="143" t="str">
        <v/>
      </c>
      <c r="T689" s="144" t="str">
        <v>SRC-00</v>
      </c>
      <c r="U689" s="129" t="str">
        <v>S+ row 20</v>
      </c>
      <c r="V689" s="129" t="str">
        <v/>
      </c>
    </row>
    <row r="690" spans="1:22" x14ac:dyDescent="0.2">
      <c r="A690" s="144" t="str">
        <v>A5</v>
      </c>
      <c r="B690" s="145">
        <v>8</v>
      </c>
      <c r="C690" s="129" t="str">
        <v>Bilateral Breast Augmentation - Abdominoplasty</v>
      </c>
      <c r="D690" s="129" t="str">
        <v>A5 – Abdomen: Major Procedures</v>
      </c>
      <c r="E690" s="129" t="str">
        <v>06 - Abdomen</v>
      </c>
      <c r="F690" s="129" t="str">
        <v>Solutions Plus</v>
      </c>
      <c r="G690" s="144" t="str">
        <v>CON-01</v>
      </c>
      <c r="H690" s="129" t="str">
        <v>To confirm</v>
      </c>
      <c r="I690" s="144" t="str">
        <v>No</v>
      </c>
      <c r="J690" s="144" t="str">
        <v>Base</v>
      </c>
      <c r="K690" s="144" t="str">
        <v/>
      </c>
      <c r="L690" s="146">
        <v>38</v>
      </c>
      <c r="M690" s="142">
        <v>2090</v>
      </c>
      <c r="N690" s="144" t="str">
        <v>Unknown</v>
      </c>
      <c r="O690" s="142" t="str">
        <v/>
      </c>
      <c r="P690" s="142" t="str">
        <v/>
      </c>
      <c r="Q690" s="142">
        <v>55</v>
      </c>
      <c r="R690" s="129" t="str">
        <v>Description – exact</v>
      </c>
      <c r="S690" s="143" t="str">
        <v/>
      </c>
      <c r="T690" s="144" t="str">
        <v>SRC-00</v>
      </c>
      <c r="U690" s="129" t="str">
        <v>S+ row 67</v>
      </c>
      <c r="V690" s="129" t="str">
        <v/>
      </c>
    </row>
    <row r="691" spans="1:22" x14ac:dyDescent="0.2">
      <c r="A691" s="144" t="str">
        <v>A5</v>
      </c>
      <c r="B691" s="145">
        <v>8</v>
      </c>
      <c r="C691" s="129" t="str">
        <v>Bilateral Breast Reduction + Abdominoplasty</v>
      </c>
      <c r="D691" s="129" t="str">
        <v>A5 – Abdomen: Major Procedures</v>
      </c>
      <c r="E691" s="129" t="str">
        <v>06 - Abdomen</v>
      </c>
      <c r="F691" s="129" t="str">
        <v>Solutions Plus</v>
      </c>
      <c r="G691" s="144" t="str">
        <v>CON-01</v>
      </c>
      <c r="H691" s="129" t="str">
        <v>To confirm</v>
      </c>
      <c r="I691" s="144" t="str">
        <v>No</v>
      </c>
      <c r="J691" s="144" t="str">
        <v>Base</v>
      </c>
      <c r="K691" s="144" t="str">
        <v/>
      </c>
      <c r="L691" s="146">
        <v>31.9</v>
      </c>
      <c r="M691" s="142">
        <v>1751.75</v>
      </c>
      <c r="N691" s="144" t="str">
        <v>Unknown</v>
      </c>
      <c r="O691" s="142" t="str">
        <v/>
      </c>
      <c r="P691" s="142" t="str">
        <v/>
      </c>
      <c r="Q691" s="142">
        <v>54.913793103448278</v>
      </c>
      <c r="R691" s="129" t="str">
        <v>Description – exact</v>
      </c>
      <c r="S691" s="143" t="str">
        <v/>
      </c>
      <c r="T691" s="144" t="str">
        <v>SRC-00</v>
      </c>
      <c r="U691" s="129" t="str">
        <v>S+ row 74</v>
      </c>
      <c r="V691" s="129" t="str">
        <v/>
      </c>
    </row>
    <row r="692" spans="1:22" x14ac:dyDescent="0.2">
      <c r="A692" s="144" t="str">
        <v>A5</v>
      </c>
      <c r="B692" s="145">
        <v>8</v>
      </c>
      <c r="C692" s="129" t="str">
        <v>Bilateral Flank &amp; Inner Thigh Liposuction</v>
      </c>
      <c r="D692" s="129" t="str">
        <v>A5 – Abdomen: Major Procedures</v>
      </c>
      <c r="E692" s="129" t="str">
        <v>06 - Abdomen</v>
      </c>
      <c r="F692" s="129" t="str">
        <v>Solutions Plus</v>
      </c>
      <c r="G692" s="144" t="str">
        <v>CON-01</v>
      </c>
      <c r="H692" s="129" t="str">
        <v>To confirm</v>
      </c>
      <c r="I692" s="144" t="str">
        <v>No</v>
      </c>
      <c r="J692" s="144" t="str">
        <v>Base</v>
      </c>
      <c r="K692" s="144" t="str">
        <v/>
      </c>
      <c r="L692" s="146">
        <v>14</v>
      </c>
      <c r="M692" s="142">
        <v>770</v>
      </c>
      <c r="N692" s="144" t="str">
        <v>Unknown</v>
      </c>
      <c r="O692" s="142" t="str">
        <v/>
      </c>
      <c r="P692" s="142" t="str">
        <v/>
      </c>
      <c r="Q692" s="142">
        <v>55</v>
      </c>
      <c r="R692" s="129" t="str">
        <v>Description – likely</v>
      </c>
      <c r="S692" s="143" t="str">
        <v/>
      </c>
      <c r="T692" s="144" t="str">
        <v>SRC-00</v>
      </c>
      <c r="U692" s="129" t="str">
        <v>S+ row 87</v>
      </c>
      <c r="V692" s="129" t="str">
        <v/>
      </c>
    </row>
    <row r="693" spans="1:22" x14ac:dyDescent="0.2">
      <c r="A693" s="144" t="str">
        <v>A4</v>
      </c>
      <c r="B693" s="145">
        <v>6</v>
      </c>
      <c r="C693" s="129" t="str">
        <v>Birch colposuspension</v>
      </c>
      <c r="D693" s="129" t="str">
        <v>A4 – Abdomen: Gynae: Moderate/Major Procedures</v>
      </c>
      <c r="E693" s="129" t="str">
        <v>06 - Abdomen</v>
      </c>
      <c r="F693" s="129" t="str">
        <v>Solutions Plus</v>
      </c>
      <c r="G693" s="144" t="str">
        <v>CON-01</v>
      </c>
      <c r="H693" s="129" t="str">
        <v>To confirm</v>
      </c>
      <c r="I693" s="144" t="str">
        <v>No</v>
      </c>
      <c r="J693" s="144" t="str">
        <v>Base</v>
      </c>
      <c r="K693" s="144" t="str">
        <v/>
      </c>
      <c r="L693" s="146">
        <v>10.5</v>
      </c>
      <c r="M693" s="142">
        <v>577.5</v>
      </c>
      <c r="N693" s="144" t="str">
        <v>Unknown</v>
      </c>
      <c r="O693" s="142" t="str">
        <v/>
      </c>
      <c r="P693" s="142" t="str">
        <v/>
      </c>
      <c r="Q693" s="142">
        <v>55</v>
      </c>
      <c r="R693" s="129" t="str">
        <v>Description – likely</v>
      </c>
      <c r="S693" s="143" t="str">
        <v/>
      </c>
      <c r="T693" s="144" t="str">
        <v>SRC-00</v>
      </c>
      <c r="U693" s="129" t="str">
        <v>S+ row 128</v>
      </c>
      <c r="V693" s="129" t="str">
        <v/>
      </c>
    </row>
    <row r="694" spans="1:22" x14ac:dyDescent="0.2">
      <c r="A694" s="144" t="str">
        <v>A5</v>
      </c>
      <c r="B694" s="145">
        <v>8</v>
      </c>
      <c r="C694" s="129" t="str">
        <v>Combined mastopexy/breast reduction and abdominoplasty - complex</v>
      </c>
      <c r="D694" s="129" t="str">
        <v>A5 – Abdomen: Major Procedures</v>
      </c>
      <c r="E694" s="129" t="str">
        <v>06 - Abdomen</v>
      </c>
      <c r="F694" s="129" t="str">
        <v>Merivale PS – Self-funding</v>
      </c>
      <c r="G694" s="144" t="str">
        <v>CON-08</v>
      </c>
      <c r="H694" s="129" t="str">
        <v>Fixed fee schedule</v>
      </c>
      <c r="I694" s="144" t="str">
        <v>Yes</v>
      </c>
      <c r="J694" s="144" t="str">
        <v>Base</v>
      </c>
      <c r="K694" s="144" t="str">
        <v/>
      </c>
      <c r="L694" s="146" t="str">
        <v/>
      </c>
      <c r="M694" s="142">
        <v>4830</v>
      </c>
      <c r="N694" s="144" t="str">
        <v>Incl</v>
      </c>
      <c r="O694" s="142">
        <v>4200</v>
      </c>
      <c r="P694" s="142">
        <v>4830</v>
      </c>
      <c r="Q694" s="142" t="str">
        <v/>
      </c>
      <c r="R694" s="129" t="str">
        <v>Description – likely</v>
      </c>
      <c r="S694" s="143">
        <v>46174</v>
      </c>
      <c r="T694" s="144" t="str">
        <v>SRC-04</v>
      </c>
      <c r="U694" s="129" t="str">
        <v>p.1</v>
      </c>
      <c r="V694" s="129" t="str">
        <v>Self-funding patients of Dr Kerri Mooney (Merivale Plastic Surgery) only; anaesthetist invoices patient directly. Next review 1 Jun 2027. Likely: combined breast + abdominal case – coded to the higher component (A5, abdominoplasty) as for the S+ combined rows. 'Simple' vs 'complex' not defined in the schedule.</v>
      </c>
    </row>
    <row r="695" spans="1:22" x14ac:dyDescent="0.2">
      <c r="A695" s="144" t="str">
        <v>A5</v>
      </c>
      <c r="B695" s="145">
        <v>8</v>
      </c>
      <c r="C695" s="129" t="str">
        <v>Combined mastopexy/breast reduction and abdominoplasty - simple</v>
      </c>
      <c r="D695" s="129" t="str">
        <v>A5 – Abdomen: Major Procedures</v>
      </c>
      <c r="E695" s="129" t="str">
        <v>06 - Abdomen</v>
      </c>
      <c r="F695" s="129" t="str">
        <v>Merivale PS – Self-funding</v>
      </c>
      <c r="G695" s="144" t="str">
        <v>CON-08</v>
      </c>
      <c r="H695" s="129" t="str">
        <v>Fixed fee schedule</v>
      </c>
      <c r="I695" s="144" t="str">
        <v>Yes</v>
      </c>
      <c r="J695" s="144" t="str">
        <v>Base</v>
      </c>
      <c r="K695" s="144" t="str">
        <v/>
      </c>
      <c r="L695" s="146" t="str">
        <v/>
      </c>
      <c r="M695" s="142">
        <v>3795</v>
      </c>
      <c r="N695" s="144" t="str">
        <v>Incl</v>
      </c>
      <c r="O695" s="142">
        <v>3300.0000000000005</v>
      </c>
      <c r="P695" s="142">
        <v>3795</v>
      </c>
      <c r="Q695" s="142" t="str">
        <v/>
      </c>
      <c r="R695" s="129" t="str">
        <v>Description – likely</v>
      </c>
      <c r="S695" s="143">
        <v>46174</v>
      </c>
      <c r="T695" s="144" t="str">
        <v>SRC-04</v>
      </c>
      <c r="U695" s="129" t="str">
        <v>p.1</v>
      </c>
      <c r="V695" s="129" t="str">
        <v>Self-funding patients of Dr Kerri Mooney (Merivale Plastic Surgery) only; anaesthetist invoices patient directly. Next review 1 Jun 2027. Likely: combined breast + abdominal case – coded to the higher component (A5, abdominoplasty) as for the S+ combined rows. 'Simple' vs 'complex' not defined in the schedule.</v>
      </c>
    </row>
    <row r="696" spans="1:22" x14ac:dyDescent="0.2">
      <c r="A696" s="144" t="str">
        <v>A6</v>
      </c>
      <c r="B696" s="145">
        <v>12</v>
      </c>
      <c r="C696" s="129" t="str">
        <v>Complex Procedures e.g. Phaeochromocytoma</v>
      </c>
      <c r="D696" s="129" t="str">
        <v>A6 – Abdomen: Complex Procedures</v>
      </c>
      <c r="E696" s="129" t="str">
        <v>06 - Abdomen</v>
      </c>
      <c r="F696" s="129" t="str">
        <v>NZSA RVG</v>
      </c>
      <c r="G696" s="144" t="str">
        <v>CON-10</v>
      </c>
      <c r="H696" s="129" t="str">
        <v>Reference – units only</v>
      </c>
      <c r="I696" s="144" t="str">
        <v>No</v>
      </c>
      <c r="J696" s="144" t="str">
        <v>Base</v>
      </c>
      <c r="K696" s="144" t="str">
        <v>A6</v>
      </c>
      <c r="L696" s="146" t="str">
        <v/>
      </c>
      <c r="M696" s="142" t="str">
        <v/>
      </c>
      <c r="N696" s="144" t="str">
        <v/>
      </c>
      <c r="O696" s="142" t="str">
        <v/>
      </c>
      <c r="P696" s="142" t="str">
        <v/>
      </c>
      <c r="Q696" s="142" t="str">
        <v/>
      </c>
      <c r="R696" s="129" t="str">
        <v>Unmatched</v>
      </c>
      <c r="S696" s="143" t="str">
        <v/>
      </c>
      <c r="T696" s="144" t="str">
        <v>SRC-01</v>
      </c>
      <c r="U696" s="129" t="str">
        <v>p.9 – Abdomen</v>
      </c>
      <c r="V696" s="129" t="str">
        <v>Reference units only – no $ fee (NZSA RVG 2021). Units as printed: "12-14" (lower bound in units columns). Printed as a range 12-14</v>
      </c>
    </row>
    <row r="697" spans="1:22" x14ac:dyDescent="0.2">
      <c r="A697" s="144" t="str">
        <v>A2</v>
      </c>
      <c r="B697" s="145">
        <v>5</v>
      </c>
      <c r="C697" s="129" t="str">
        <v>DHB - Laparoscopic Left Inguinal Hernia Repair</v>
      </c>
      <c r="D697" s="129" t="str">
        <v>A2 – Abdomen: Simple but Invasive Procedures</v>
      </c>
      <c r="E697" s="129" t="str">
        <v>06 - Abdomen</v>
      </c>
      <c r="F697" s="129" t="str">
        <v>Solutions Plus</v>
      </c>
      <c r="G697" s="144" t="str">
        <v>CON-01</v>
      </c>
      <c r="H697" s="129" t="str">
        <v>To confirm</v>
      </c>
      <c r="I697" s="144" t="str">
        <v>No</v>
      </c>
      <c r="J697" s="144" t="str">
        <v>Base</v>
      </c>
      <c r="K697" s="144" t="str">
        <v/>
      </c>
      <c r="L697" s="146">
        <v>10.7</v>
      </c>
      <c r="M697" s="142">
        <v>589.6</v>
      </c>
      <c r="N697" s="144" t="str">
        <v>Unknown</v>
      </c>
      <c r="O697" s="142" t="str">
        <v/>
      </c>
      <c r="P697" s="142" t="str">
        <v/>
      </c>
      <c r="Q697" s="142">
        <v>55.10280373831776</v>
      </c>
      <c r="R697" s="129" t="str">
        <v>Description – exact</v>
      </c>
      <c r="S697" s="143" t="str">
        <v/>
      </c>
      <c r="T697" s="144" t="str">
        <v>SRC-00</v>
      </c>
      <c r="U697" s="129" t="str">
        <v>S+ row 247</v>
      </c>
      <c r="V697" s="129" t="str">
        <v/>
      </c>
    </row>
    <row r="698" spans="1:22" x14ac:dyDescent="0.2">
      <c r="A698" s="144" t="str">
        <v>A2</v>
      </c>
      <c r="B698" s="145">
        <v>5</v>
      </c>
      <c r="C698" s="129" t="str">
        <v>Diagnostic Laparoscopy</v>
      </c>
      <c r="D698" s="129" t="str">
        <v>A2 – Abdomen: Simple but Invasive Procedures</v>
      </c>
      <c r="E698" s="129" t="str">
        <v>06 - Abdomen</v>
      </c>
      <c r="F698" s="129" t="str">
        <v>Solutions Plus</v>
      </c>
      <c r="G698" s="144" t="str">
        <v>CON-01</v>
      </c>
      <c r="H698" s="129" t="str">
        <v>To confirm</v>
      </c>
      <c r="I698" s="144" t="str">
        <v>No</v>
      </c>
      <c r="J698" s="144" t="str">
        <v>Base</v>
      </c>
      <c r="K698" s="144" t="str">
        <v/>
      </c>
      <c r="L698" s="146">
        <v>8.9</v>
      </c>
      <c r="M698" s="142">
        <v>487.3</v>
      </c>
      <c r="N698" s="144" t="str">
        <v>Unknown</v>
      </c>
      <c r="O698" s="142" t="str">
        <v/>
      </c>
      <c r="P698" s="142" t="str">
        <v/>
      </c>
      <c r="Q698" s="142">
        <v>54.752808988764045</v>
      </c>
      <c r="R698" s="129" t="str">
        <v>Description – exact</v>
      </c>
      <c r="S698" s="143" t="str">
        <v/>
      </c>
      <c r="T698" s="144" t="str">
        <v>SRC-00</v>
      </c>
      <c r="U698" s="129" t="str">
        <v>S+ row 253</v>
      </c>
      <c r="V698" s="129" t="str">
        <v/>
      </c>
    </row>
    <row r="699" spans="1:22" x14ac:dyDescent="0.2">
      <c r="A699" s="144" t="str">
        <v>A5</v>
      </c>
      <c r="B699" s="145">
        <v>8</v>
      </c>
      <c r="C699" s="129" t="str">
        <v>Diagnostic Laparotomy &amp; Proceed</v>
      </c>
      <c r="D699" s="129" t="str">
        <v>A5 – Abdomen: Major Procedures</v>
      </c>
      <c r="E699" s="129" t="str">
        <v>06 - Abdomen</v>
      </c>
      <c r="F699" s="129" t="str">
        <v>Solutions Plus</v>
      </c>
      <c r="G699" s="144" t="str">
        <v>CON-01</v>
      </c>
      <c r="H699" s="129" t="str">
        <v>To confirm</v>
      </c>
      <c r="I699" s="144" t="str">
        <v>No</v>
      </c>
      <c r="J699" s="144" t="str">
        <v>Base</v>
      </c>
      <c r="K699" s="144" t="str">
        <v/>
      </c>
      <c r="L699" s="146">
        <v>7</v>
      </c>
      <c r="M699" s="142">
        <v>385</v>
      </c>
      <c r="N699" s="144" t="str">
        <v>Unknown</v>
      </c>
      <c r="O699" s="142" t="str">
        <v/>
      </c>
      <c r="P699" s="142" t="str">
        <v/>
      </c>
      <c r="Q699" s="142">
        <v>55</v>
      </c>
      <c r="R699" s="129" t="str">
        <v>Description – likely</v>
      </c>
      <c r="S699" s="143" t="str">
        <v/>
      </c>
      <c r="T699" s="144" t="str">
        <v>SRC-00</v>
      </c>
      <c r="U699" s="129" t="str">
        <v>S+ row 254</v>
      </c>
      <c r="V699" s="129" t="str">
        <v/>
      </c>
    </row>
    <row r="700" spans="1:22" x14ac:dyDescent="0.2">
      <c r="A700" s="144" t="str">
        <v>A2</v>
      </c>
      <c r="B700" s="145">
        <v>5</v>
      </c>
      <c r="C700" s="129" t="str">
        <v>Epigastric Hernia</v>
      </c>
      <c r="D700" s="129" t="str">
        <v>A2 – Abdomen: Simple but Invasive Procedures</v>
      </c>
      <c r="E700" s="129" t="str">
        <v>06 - Abdomen</v>
      </c>
      <c r="F700" s="129" t="str">
        <v>Solutions Plus</v>
      </c>
      <c r="G700" s="144" t="str">
        <v>CON-01</v>
      </c>
      <c r="H700" s="129" t="str">
        <v>To confirm</v>
      </c>
      <c r="I700" s="144" t="str">
        <v>No</v>
      </c>
      <c r="J700" s="144" t="str">
        <v>Base</v>
      </c>
      <c r="K700" s="144" t="str">
        <v/>
      </c>
      <c r="L700" s="146">
        <v>7.6</v>
      </c>
      <c r="M700" s="142">
        <v>415.8</v>
      </c>
      <c r="N700" s="144" t="str">
        <v>Unknown</v>
      </c>
      <c r="O700" s="142" t="str">
        <v/>
      </c>
      <c r="P700" s="142" t="str">
        <v/>
      </c>
      <c r="Q700" s="142">
        <v>54.71052631578948</v>
      </c>
      <c r="R700" s="129" t="str">
        <v>Description – exact</v>
      </c>
      <c r="S700" s="143" t="str">
        <v/>
      </c>
      <c r="T700" s="144" t="str">
        <v>SRC-00</v>
      </c>
      <c r="U700" s="129" t="str">
        <v>S+ row 281</v>
      </c>
      <c r="V700" s="129" t="str">
        <v/>
      </c>
    </row>
    <row r="701" spans="1:22" x14ac:dyDescent="0.2">
      <c r="A701" s="144" t="str">
        <v>A5</v>
      </c>
      <c r="B701" s="145">
        <v>8</v>
      </c>
      <c r="C701" s="129" t="str">
        <v>Extended Abdominoplasty</v>
      </c>
      <c r="D701" s="129" t="str">
        <v>A5 – Abdomen: Major Procedures</v>
      </c>
      <c r="E701" s="129" t="str">
        <v>06 - Abdomen</v>
      </c>
      <c r="F701" s="129" t="str">
        <v>Solutions Plus</v>
      </c>
      <c r="G701" s="144" t="str">
        <v>CON-01</v>
      </c>
      <c r="H701" s="129" t="str">
        <v>To confirm</v>
      </c>
      <c r="I701" s="144" t="str">
        <v>No</v>
      </c>
      <c r="J701" s="144" t="str">
        <v>Base</v>
      </c>
      <c r="K701" s="144" t="str">
        <v/>
      </c>
      <c r="L701" s="146">
        <v>34.700000000000003</v>
      </c>
      <c r="M701" s="142">
        <v>1909.05</v>
      </c>
      <c r="N701" s="144" t="str">
        <v>Unknown</v>
      </c>
      <c r="O701" s="142" t="str">
        <v/>
      </c>
      <c r="P701" s="142" t="str">
        <v/>
      </c>
      <c r="Q701" s="142">
        <v>55.015850144092212</v>
      </c>
      <c r="R701" s="129" t="str">
        <v>Description – exact</v>
      </c>
      <c r="S701" s="143" t="str">
        <v/>
      </c>
      <c r="T701" s="144" t="str">
        <v>SRC-00</v>
      </c>
      <c r="U701" s="129" t="str">
        <v>S+ row 328</v>
      </c>
      <c r="V701" s="129" t="str">
        <v/>
      </c>
    </row>
    <row r="702" spans="1:22" x14ac:dyDescent="0.2">
      <c r="A702" s="144" t="str">
        <v>A4</v>
      </c>
      <c r="B702" s="145">
        <v>6</v>
      </c>
      <c r="C702" s="129" t="str">
        <v>Gynae: Moderate/Major Procedures e.g. Endometriosis Surgery, Abdominal Hysterectomy (Open/Laparoscopic), Ovarian Surgery</v>
      </c>
      <c r="D702" s="129" t="str">
        <v>A4 – Abdomen: Gynae: Moderate/Major Procedures</v>
      </c>
      <c r="E702" s="129" t="str">
        <v>06 - Abdomen</v>
      </c>
      <c r="F702" s="129" t="str">
        <v>NZSA RVG</v>
      </c>
      <c r="G702" s="144" t="str">
        <v>CON-10</v>
      </c>
      <c r="H702" s="129" t="str">
        <v>Reference – units only</v>
      </c>
      <c r="I702" s="144" t="str">
        <v>No</v>
      </c>
      <c r="J702" s="144" t="str">
        <v>Base</v>
      </c>
      <c r="K702" s="144" t="str">
        <v>A4</v>
      </c>
      <c r="L702" s="146" t="str">
        <v/>
      </c>
      <c r="M702" s="142" t="str">
        <v/>
      </c>
      <c r="N702" s="144" t="str">
        <v/>
      </c>
      <c r="O702" s="142" t="str">
        <v/>
      </c>
      <c r="P702" s="142" t="str">
        <v/>
      </c>
      <c r="Q702" s="142" t="str">
        <v/>
      </c>
      <c r="R702" s="129" t="str">
        <v>RVG code</v>
      </c>
      <c r="S702" s="143" t="str">
        <v/>
      </c>
      <c r="T702" s="144" t="str">
        <v>SRC-01</v>
      </c>
      <c r="U702" s="129" t="str">
        <v>p.9 – Abdomen</v>
      </c>
      <c r="V702" s="129" t="str">
        <v>Reference units only – no $ fee (NZSA RVG 2021). Units as printed: "6-8" (lower bound in units columns). Printed as a range 6-8</v>
      </c>
    </row>
    <row r="703" spans="1:22" x14ac:dyDescent="0.2">
      <c r="A703" s="144" t="str">
        <v>A4</v>
      </c>
      <c r="B703" s="145">
        <v>6</v>
      </c>
      <c r="C703" s="129" t="str">
        <v>Hysterectomy</v>
      </c>
      <c r="D703" s="129" t="str">
        <v>A4 – Abdomen: Gynae: Moderate/Major Procedures</v>
      </c>
      <c r="E703" s="129" t="str">
        <v>06 - Abdomen</v>
      </c>
      <c r="F703" s="129" t="str">
        <v>Solutions Plus</v>
      </c>
      <c r="G703" s="144" t="str">
        <v>CON-01</v>
      </c>
      <c r="H703" s="129" t="str">
        <v>To confirm</v>
      </c>
      <c r="I703" s="144" t="str">
        <v>No</v>
      </c>
      <c r="J703" s="144" t="str">
        <v>Base</v>
      </c>
      <c r="K703" s="144" t="str">
        <v/>
      </c>
      <c r="L703" s="146">
        <v>15.2</v>
      </c>
      <c r="M703" s="142">
        <v>833.8</v>
      </c>
      <c r="N703" s="144" t="str">
        <v>Unknown</v>
      </c>
      <c r="O703" s="142" t="str">
        <v/>
      </c>
      <c r="P703" s="142" t="str">
        <v/>
      </c>
      <c r="Q703" s="142">
        <v>54.85526315789474</v>
      </c>
      <c r="R703" s="129" t="str">
        <v>Description – exact</v>
      </c>
      <c r="S703" s="143" t="str">
        <v/>
      </c>
      <c r="T703" s="144" t="str">
        <v>SRC-00</v>
      </c>
      <c r="U703" s="129" t="str">
        <v>S+ row 421</v>
      </c>
      <c r="V703" s="129" t="str">
        <v/>
      </c>
    </row>
    <row r="704" spans="1:22" x14ac:dyDescent="0.2">
      <c r="A704" s="144" t="str">
        <v>A4</v>
      </c>
      <c r="B704" s="145">
        <v>6</v>
      </c>
      <c r="C704" s="129" t="str">
        <v>Hysterectomy &amp; Bilateral Salpingectomy</v>
      </c>
      <c r="D704" s="129" t="str">
        <v>A4 – Abdomen: Gynae: Moderate/Major Procedures</v>
      </c>
      <c r="E704" s="129" t="str">
        <v>06 - Abdomen</v>
      </c>
      <c r="F704" s="129" t="str">
        <v>Solutions Plus</v>
      </c>
      <c r="G704" s="144" t="str">
        <v>CON-01</v>
      </c>
      <c r="H704" s="129" t="str">
        <v>To confirm</v>
      </c>
      <c r="I704" s="144" t="str">
        <v>No</v>
      </c>
      <c r="J704" s="144" t="str">
        <v>Base</v>
      </c>
      <c r="K704" s="144" t="str">
        <v/>
      </c>
      <c r="L704" s="146">
        <v>9</v>
      </c>
      <c r="M704" s="142">
        <v>495</v>
      </c>
      <c r="N704" s="144" t="str">
        <v>Unknown</v>
      </c>
      <c r="O704" s="142" t="str">
        <v/>
      </c>
      <c r="P704" s="142" t="str">
        <v/>
      </c>
      <c r="Q704" s="142">
        <v>55</v>
      </c>
      <c r="R704" s="129" t="str">
        <v>Description – exact</v>
      </c>
      <c r="S704" s="143" t="str">
        <v/>
      </c>
      <c r="T704" s="144" t="str">
        <v>SRC-00</v>
      </c>
      <c r="U704" s="129" t="str">
        <v>S+ row 422</v>
      </c>
      <c r="V704" s="129" t="str">
        <v/>
      </c>
    </row>
    <row r="705" spans="1:22" x14ac:dyDescent="0.2">
      <c r="A705" s="144" t="str">
        <v>A4</v>
      </c>
      <c r="B705" s="145">
        <v>6</v>
      </c>
      <c r="C705" s="129" t="str">
        <v>Hysterectomy &amp; Salpingectomy</v>
      </c>
      <c r="D705" s="129" t="str">
        <v>A4 – Abdomen: Gynae: Moderate/Major Procedures</v>
      </c>
      <c r="E705" s="129" t="str">
        <v>06 - Abdomen</v>
      </c>
      <c r="F705" s="129" t="str">
        <v>Solutions Plus</v>
      </c>
      <c r="G705" s="144" t="str">
        <v>CON-01</v>
      </c>
      <c r="H705" s="129" t="str">
        <v>To confirm</v>
      </c>
      <c r="I705" s="144" t="str">
        <v>No</v>
      </c>
      <c r="J705" s="144" t="str">
        <v>Base</v>
      </c>
      <c r="K705" s="144" t="str">
        <v/>
      </c>
      <c r="L705" s="146">
        <v>14</v>
      </c>
      <c r="M705" s="142">
        <v>770</v>
      </c>
      <c r="N705" s="144" t="str">
        <v>Unknown</v>
      </c>
      <c r="O705" s="142" t="str">
        <v/>
      </c>
      <c r="P705" s="142" t="str">
        <v/>
      </c>
      <c r="Q705" s="142">
        <v>55</v>
      </c>
      <c r="R705" s="129" t="str">
        <v>Description – exact</v>
      </c>
      <c r="S705" s="143" t="str">
        <v/>
      </c>
      <c r="T705" s="144" t="str">
        <v>SRC-00</v>
      </c>
      <c r="U705" s="129" t="str">
        <v>S+ row 423</v>
      </c>
      <c r="V705" s="129" t="str">
        <v/>
      </c>
    </row>
    <row r="706" spans="1:22" x14ac:dyDescent="0.2">
      <c r="A706" s="144" t="str">
        <v>A3</v>
      </c>
      <c r="B706" s="145">
        <v>6</v>
      </c>
      <c r="C706" s="129" t="str">
        <v>Incisional Hernia Repair</v>
      </c>
      <c r="D706" s="129" t="str">
        <v>A3 – Abdomen: Moderate Procedures</v>
      </c>
      <c r="E706" s="129" t="str">
        <v>06 - Abdomen</v>
      </c>
      <c r="F706" s="129" t="str">
        <v>Solutions Plus</v>
      </c>
      <c r="G706" s="144" t="str">
        <v>CON-01</v>
      </c>
      <c r="H706" s="129" t="str">
        <v>To confirm</v>
      </c>
      <c r="I706" s="144" t="str">
        <v>No</v>
      </c>
      <c r="J706" s="144" t="str">
        <v>Base</v>
      </c>
      <c r="K706" s="144" t="str">
        <v/>
      </c>
      <c r="L706" s="146">
        <v>14</v>
      </c>
      <c r="M706" s="142">
        <v>767.25</v>
      </c>
      <c r="N706" s="144" t="str">
        <v>Unknown</v>
      </c>
      <c r="O706" s="142" t="str">
        <v/>
      </c>
      <c r="P706" s="142" t="str">
        <v/>
      </c>
      <c r="Q706" s="142">
        <v>54.803571428571431</v>
      </c>
      <c r="R706" s="129" t="str">
        <v>Description – exact</v>
      </c>
      <c r="S706" s="143" t="str">
        <v/>
      </c>
      <c r="T706" s="144" t="str">
        <v>SRC-00</v>
      </c>
      <c r="U706" s="129" t="str">
        <v>S+ row 434</v>
      </c>
      <c r="V706" s="129" t="str">
        <v/>
      </c>
    </row>
    <row r="707" spans="1:22" x14ac:dyDescent="0.2">
      <c r="A707" s="144" t="str">
        <v>A2</v>
      </c>
      <c r="B707" s="145">
        <v>5</v>
      </c>
      <c r="C707" s="129" t="str">
        <v>Inguinal Hernia Repair</v>
      </c>
      <c r="D707" s="129" t="str">
        <v>A2 – Abdomen: Simple but Invasive Procedures</v>
      </c>
      <c r="E707" s="129" t="str">
        <v>06 - Abdomen</v>
      </c>
      <c r="F707" s="129" t="str">
        <v>Solutions Plus</v>
      </c>
      <c r="G707" s="144" t="str">
        <v>CON-01</v>
      </c>
      <c r="H707" s="129" t="str">
        <v>To confirm</v>
      </c>
      <c r="I707" s="144" t="str">
        <v>No</v>
      </c>
      <c r="J707" s="144" t="str">
        <v>Base</v>
      </c>
      <c r="K707" s="144" t="str">
        <v/>
      </c>
      <c r="L707" s="146">
        <v>8.6999999999999993</v>
      </c>
      <c r="M707" s="142">
        <v>476.3</v>
      </c>
      <c r="N707" s="144" t="str">
        <v>Unknown</v>
      </c>
      <c r="O707" s="142" t="str">
        <v/>
      </c>
      <c r="P707" s="142" t="str">
        <v/>
      </c>
      <c r="Q707" s="142">
        <v>54.747126436781613</v>
      </c>
      <c r="R707" s="129" t="str">
        <v>Description – exact</v>
      </c>
      <c r="S707" s="143" t="str">
        <v/>
      </c>
      <c r="T707" s="144" t="str">
        <v>SRC-00</v>
      </c>
      <c r="U707" s="129" t="str">
        <v>S+ row 436</v>
      </c>
      <c r="V707" s="129" t="str">
        <v/>
      </c>
    </row>
    <row r="708" spans="1:22" x14ac:dyDescent="0.2">
      <c r="A708" s="144" t="str">
        <v>A2</v>
      </c>
      <c r="B708" s="145">
        <v>5</v>
      </c>
      <c r="C708" s="129" t="str">
        <v>Lap Hernia Lap RIH</v>
      </c>
      <c r="D708" s="129" t="str">
        <v>A2 – Abdomen: Simple but Invasive Procedures</v>
      </c>
      <c r="E708" s="129" t="str">
        <v>06 - Abdomen</v>
      </c>
      <c r="F708" s="129" t="str">
        <v>Solutions Plus</v>
      </c>
      <c r="G708" s="144" t="str">
        <v>CON-01</v>
      </c>
      <c r="H708" s="129" t="str">
        <v>To confirm</v>
      </c>
      <c r="I708" s="144" t="str">
        <v>No</v>
      </c>
      <c r="J708" s="144" t="str">
        <v>Base</v>
      </c>
      <c r="K708" s="144" t="str">
        <v/>
      </c>
      <c r="L708" s="146">
        <v>10.4</v>
      </c>
      <c r="M708" s="142">
        <v>572</v>
      </c>
      <c r="N708" s="144" t="str">
        <v>Unknown</v>
      </c>
      <c r="O708" s="142" t="str">
        <v/>
      </c>
      <c r="P708" s="142" t="str">
        <v/>
      </c>
      <c r="Q708" s="142">
        <v>55</v>
      </c>
      <c r="R708" s="129" t="str">
        <v>Description – exact</v>
      </c>
      <c r="S708" s="143" t="str">
        <v/>
      </c>
      <c r="T708" s="144" t="str">
        <v>SRC-00</v>
      </c>
      <c r="U708" s="129" t="str">
        <v>S+ row 458</v>
      </c>
      <c r="V708" s="129" t="str">
        <v/>
      </c>
    </row>
    <row r="709" spans="1:22" x14ac:dyDescent="0.2">
      <c r="A709" s="144" t="str">
        <v>A3</v>
      </c>
      <c r="B709" s="145">
        <v>6</v>
      </c>
      <c r="C709" s="129" t="str">
        <v>Laparoscopic Adhesiolysis</v>
      </c>
      <c r="D709" s="129" t="str">
        <v>A3 – Abdomen: Moderate Procedures</v>
      </c>
      <c r="E709" s="129" t="str">
        <v>06 - Abdomen</v>
      </c>
      <c r="F709" s="129" t="str">
        <v>Solutions Plus</v>
      </c>
      <c r="G709" s="144" t="str">
        <v>CON-01</v>
      </c>
      <c r="H709" s="129" t="str">
        <v>To confirm</v>
      </c>
      <c r="I709" s="144" t="str">
        <v>No</v>
      </c>
      <c r="J709" s="144" t="str">
        <v>Base</v>
      </c>
      <c r="K709" s="144" t="str">
        <v/>
      </c>
      <c r="L709" s="146">
        <v>12.1</v>
      </c>
      <c r="M709" s="142">
        <v>666.05</v>
      </c>
      <c r="N709" s="144" t="str">
        <v>Unknown</v>
      </c>
      <c r="O709" s="142" t="str">
        <v/>
      </c>
      <c r="P709" s="142" t="str">
        <v/>
      </c>
      <c r="Q709" s="142">
        <v>55.045454545454547</v>
      </c>
      <c r="R709" s="129" t="str">
        <v>Description – likely</v>
      </c>
      <c r="S709" s="143" t="str">
        <v/>
      </c>
      <c r="T709" s="144" t="str">
        <v>SRC-00</v>
      </c>
      <c r="U709" s="129" t="str">
        <v>S+ row 461</v>
      </c>
      <c r="V709" s="129" t="str">
        <v/>
      </c>
    </row>
    <row r="710" spans="1:22" x14ac:dyDescent="0.2">
      <c r="A710" s="144" t="str">
        <v>A3</v>
      </c>
      <c r="B710" s="145">
        <v>6</v>
      </c>
      <c r="C710" s="129" t="str">
        <v>Laparoscopic Appendectomy</v>
      </c>
      <c r="D710" s="129" t="str">
        <v>A3 – Abdomen: Moderate Procedures</v>
      </c>
      <c r="E710" s="129" t="str">
        <v>06 - Abdomen</v>
      </c>
      <c r="F710" s="129" t="str">
        <v>Solutions Plus</v>
      </c>
      <c r="G710" s="144" t="str">
        <v>CON-01</v>
      </c>
      <c r="H710" s="129" t="str">
        <v>To confirm</v>
      </c>
      <c r="I710" s="144" t="str">
        <v>No</v>
      </c>
      <c r="J710" s="144" t="str">
        <v>Base</v>
      </c>
      <c r="K710" s="144" t="str">
        <v/>
      </c>
      <c r="L710" s="146">
        <v>12.2</v>
      </c>
      <c r="M710" s="142">
        <v>669.35</v>
      </c>
      <c r="N710" s="144" t="str">
        <v>Unknown</v>
      </c>
      <c r="O710" s="142" t="str">
        <v/>
      </c>
      <c r="P710" s="142" t="str">
        <v/>
      </c>
      <c r="Q710" s="142">
        <v>54.864754098360663</v>
      </c>
      <c r="R710" s="129" t="str">
        <v>Description – exact</v>
      </c>
      <c r="S710" s="143" t="str">
        <v/>
      </c>
      <c r="T710" s="144" t="str">
        <v>SRC-00</v>
      </c>
      <c r="U710" s="129" t="str">
        <v>S+ row 462</v>
      </c>
      <c r="V710" s="129" t="str">
        <v/>
      </c>
    </row>
    <row r="711" spans="1:22" x14ac:dyDescent="0.2">
      <c r="A711" s="144" t="str">
        <v>A3</v>
      </c>
      <c r="B711" s="145">
        <v>6</v>
      </c>
      <c r="C711" s="129" t="str">
        <v>Laparoscopic Appendicectomy</v>
      </c>
      <c r="D711" s="129" t="str">
        <v>A3 – Abdomen: Moderate Procedures</v>
      </c>
      <c r="E711" s="129" t="str">
        <v>06 - Abdomen</v>
      </c>
      <c r="F711" s="129" t="str">
        <v>Solutions Plus</v>
      </c>
      <c r="G711" s="144" t="str">
        <v>CON-01</v>
      </c>
      <c r="H711" s="129" t="str">
        <v>To confirm</v>
      </c>
      <c r="I711" s="144" t="str">
        <v>No</v>
      </c>
      <c r="J711" s="144" t="str">
        <v>Base</v>
      </c>
      <c r="K711" s="144" t="str">
        <v/>
      </c>
      <c r="L711" s="146">
        <v>11.6</v>
      </c>
      <c r="M711" s="142">
        <v>636.35</v>
      </c>
      <c r="N711" s="144" t="str">
        <v>Unknown</v>
      </c>
      <c r="O711" s="142" t="str">
        <v/>
      </c>
      <c r="P711" s="142" t="str">
        <v/>
      </c>
      <c r="Q711" s="142">
        <v>54.857758620689658</v>
      </c>
      <c r="R711" s="129" t="str">
        <v>Description – exact</v>
      </c>
      <c r="S711" s="143" t="str">
        <v/>
      </c>
      <c r="T711" s="144" t="str">
        <v>SRC-00</v>
      </c>
      <c r="U711" s="129" t="str">
        <v>S+ row 463</v>
      </c>
      <c r="V711" s="129" t="str">
        <v/>
      </c>
    </row>
    <row r="712" spans="1:22" x14ac:dyDescent="0.2">
      <c r="A712" s="144" t="str">
        <v>A4</v>
      </c>
      <c r="B712" s="145">
        <v>6</v>
      </c>
      <c r="C712" s="129" t="str">
        <v>Laparoscopic Assisted Vaginal Hysterectomy</v>
      </c>
      <c r="D712" s="129" t="str">
        <v>A4 – Abdomen: Gynae: Moderate/Major Procedures</v>
      </c>
      <c r="E712" s="129" t="str">
        <v>06 - Abdomen</v>
      </c>
      <c r="F712" s="129" t="str">
        <v>Solutions Plus</v>
      </c>
      <c r="G712" s="144" t="str">
        <v>CON-01</v>
      </c>
      <c r="H712" s="129" t="str">
        <v>To confirm</v>
      </c>
      <c r="I712" s="144" t="str">
        <v>No</v>
      </c>
      <c r="J712" s="144" t="str">
        <v>Base</v>
      </c>
      <c r="K712" s="144" t="str">
        <v/>
      </c>
      <c r="L712" s="146">
        <v>15.9</v>
      </c>
      <c r="M712" s="142">
        <v>873.95</v>
      </c>
      <c r="N712" s="144" t="str">
        <v>Unknown</v>
      </c>
      <c r="O712" s="142" t="str">
        <v/>
      </c>
      <c r="P712" s="142" t="str">
        <v/>
      </c>
      <c r="Q712" s="142">
        <v>54.965408805031451</v>
      </c>
      <c r="R712" s="129" t="str">
        <v>Description – exact</v>
      </c>
      <c r="S712" s="143" t="str">
        <v/>
      </c>
      <c r="T712" s="144" t="str">
        <v>SRC-00</v>
      </c>
      <c r="U712" s="129" t="str">
        <v>S+ row 464</v>
      </c>
      <c r="V712" s="129" t="str">
        <v/>
      </c>
    </row>
    <row r="713" spans="1:22" x14ac:dyDescent="0.2">
      <c r="A713" s="144" t="str">
        <v>A3</v>
      </c>
      <c r="B713" s="145">
        <v>6</v>
      </c>
      <c r="C713" s="129" t="str">
        <v>Laparoscopic Cholecystectomy</v>
      </c>
      <c r="D713" s="129" t="str">
        <v>A3 – Abdomen: Moderate Procedures</v>
      </c>
      <c r="E713" s="129" t="str">
        <v>06 - Abdomen</v>
      </c>
      <c r="F713" s="129" t="str">
        <v>Solutions Plus</v>
      </c>
      <c r="G713" s="144" t="str">
        <v>CON-01</v>
      </c>
      <c r="H713" s="129" t="str">
        <v>To confirm</v>
      </c>
      <c r="I713" s="144" t="str">
        <v>No</v>
      </c>
      <c r="J713" s="144" t="str">
        <v>Base</v>
      </c>
      <c r="K713" s="144" t="str">
        <v/>
      </c>
      <c r="L713" s="146">
        <v>12.4</v>
      </c>
      <c r="M713" s="142">
        <v>684.2</v>
      </c>
      <c r="N713" s="144" t="str">
        <v>Unknown</v>
      </c>
      <c r="O713" s="142" t="str">
        <v/>
      </c>
      <c r="P713" s="142" t="str">
        <v/>
      </c>
      <c r="Q713" s="142">
        <v>55.177419354838712</v>
      </c>
      <c r="R713" s="129" t="str">
        <v>Description – exact</v>
      </c>
      <c r="S713" s="143" t="str">
        <v/>
      </c>
      <c r="T713" s="144" t="str">
        <v>SRC-00</v>
      </c>
      <c r="U713" s="129" t="str">
        <v>S+ row 465</v>
      </c>
      <c r="V713" s="129" t="str">
        <v/>
      </c>
    </row>
    <row r="714" spans="1:22" x14ac:dyDescent="0.2">
      <c r="A714" s="144" t="str">
        <v>A3</v>
      </c>
      <c r="B714" s="145">
        <v>6</v>
      </c>
      <c r="C714" s="129" t="str">
        <v>Laparoscopic Cholecystectomy &amp; Transcystic Bile</v>
      </c>
      <c r="D714" s="129" t="str">
        <v>A3 – Abdomen: Moderate Procedures</v>
      </c>
      <c r="E714" s="129" t="str">
        <v>06 - Abdomen</v>
      </c>
      <c r="F714" s="129" t="str">
        <v>Solutions Plus</v>
      </c>
      <c r="G714" s="144" t="str">
        <v>CON-01</v>
      </c>
      <c r="H714" s="129" t="str">
        <v>To confirm</v>
      </c>
      <c r="I714" s="144" t="str">
        <v>No</v>
      </c>
      <c r="J714" s="144" t="str">
        <v>Base</v>
      </c>
      <c r="K714" s="144" t="str">
        <v/>
      </c>
      <c r="L714" s="146">
        <v>12</v>
      </c>
      <c r="M714" s="142">
        <v>660</v>
      </c>
      <c r="N714" s="144" t="str">
        <v>Unknown</v>
      </c>
      <c r="O714" s="142" t="str">
        <v/>
      </c>
      <c r="P714" s="142" t="str">
        <v/>
      </c>
      <c r="Q714" s="142">
        <v>55</v>
      </c>
      <c r="R714" s="129" t="str">
        <v>Description – exact</v>
      </c>
      <c r="S714" s="143" t="str">
        <v/>
      </c>
      <c r="T714" s="144" t="str">
        <v>SRC-00</v>
      </c>
      <c r="U714" s="129" t="str">
        <v>S+ row 467</v>
      </c>
      <c r="V714" s="129" t="str">
        <v/>
      </c>
    </row>
    <row r="715" spans="1:22" x14ac:dyDescent="0.2">
      <c r="A715" s="144" t="str">
        <v>A3</v>
      </c>
      <c r="B715" s="145">
        <v>6</v>
      </c>
      <c r="C715" s="129" t="str">
        <v>Laparoscopic Cholecystectomy + IOC</v>
      </c>
      <c r="D715" s="129" t="str">
        <v>A3 – Abdomen: Moderate Procedures</v>
      </c>
      <c r="E715" s="129" t="str">
        <v>06 - Abdomen</v>
      </c>
      <c r="F715" s="129" t="str">
        <v>Solutions Plus</v>
      </c>
      <c r="G715" s="144" t="str">
        <v>CON-01</v>
      </c>
      <c r="H715" s="129" t="str">
        <v>To confirm</v>
      </c>
      <c r="I715" s="144" t="str">
        <v>No</v>
      </c>
      <c r="J715" s="144" t="str">
        <v>Base</v>
      </c>
      <c r="K715" s="144" t="str">
        <v/>
      </c>
      <c r="L715" s="146">
        <v>13.2</v>
      </c>
      <c r="M715" s="142">
        <v>728.2</v>
      </c>
      <c r="N715" s="144" t="str">
        <v>Unknown</v>
      </c>
      <c r="O715" s="142" t="str">
        <v/>
      </c>
      <c r="P715" s="142" t="str">
        <v/>
      </c>
      <c r="Q715" s="142">
        <v>55.166666666666671</v>
      </c>
      <c r="R715" s="129" t="str">
        <v>Description – exact</v>
      </c>
      <c r="S715" s="143" t="str">
        <v/>
      </c>
      <c r="T715" s="144" t="str">
        <v>SRC-00</v>
      </c>
      <c r="U715" s="129" t="str">
        <v>S+ row 468</v>
      </c>
      <c r="V715" s="129" t="str">
        <v/>
      </c>
    </row>
    <row r="716" spans="1:22" x14ac:dyDescent="0.2">
      <c r="A716" s="144" t="str">
        <v>A3</v>
      </c>
      <c r="B716" s="145">
        <v>6</v>
      </c>
      <c r="C716" s="129" t="str">
        <v>Laparoscopic Cholecystectomy + IOC - CDHB</v>
      </c>
      <c r="D716" s="129" t="str">
        <v>A3 – Abdomen: Moderate Procedures</v>
      </c>
      <c r="E716" s="129" t="str">
        <v>06 - Abdomen</v>
      </c>
      <c r="F716" s="129" t="str">
        <v>Solutions Plus</v>
      </c>
      <c r="G716" s="144" t="str">
        <v>CON-01</v>
      </c>
      <c r="H716" s="129" t="str">
        <v>To confirm</v>
      </c>
      <c r="I716" s="144" t="str">
        <v>No</v>
      </c>
      <c r="J716" s="144" t="str">
        <v>Base</v>
      </c>
      <c r="K716" s="144" t="str">
        <v/>
      </c>
      <c r="L716" s="146">
        <v>13</v>
      </c>
      <c r="M716" s="142">
        <v>712.8</v>
      </c>
      <c r="N716" s="144" t="str">
        <v>Unknown</v>
      </c>
      <c r="O716" s="142" t="str">
        <v/>
      </c>
      <c r="P716" s="142" t="str">
        <v/>
      </c>
      <c r="Q716" s="142">
        <v>54.830769230769228</v>
      </c>
      <c r="R716" s="129" t="str">
        <v>Description – exact</v>
      </c>
      <c r="S716" s="143" t="str">
        <v/>
      </c>
      <c r="T716" s="144" t="str">
        <v>SRC-00</v>
      </c>
      <c r="U716" s="129" t="str">
        <v>S+ row 469</v>
      </c>
      <c r="V716" s="129" t="str">
        <v/>
      </c>
    </row>
    <row r="717" spans="1:22" x14ac:dyDescent="0.2">
      <c r="A717" s="144" t="str">
        <v>A3</v>
      </c>
      <c r="B717" s="145">
        <v>6</v>
      </c>
      <c r="C717" s="129" t="str">
        <v>Laparoscopic Cholecystectomy CDHB</v>
      </c>
      <c r="D717" s="129" t="str">
        <v>A3 – Abdomen: Moderate Procedures</v>
      </c>
      <c r="E717" s="129" t="str">
        <v>06 - Abdomen</v>
      </c>
      <c r="F717" s="129" t="str">
        <v>Solutions Plus</v>
      </c>
      <c r="G717" s="144" t="str">
        <v>CON-01</v>
      </c>
      <c r="H717" s="129" t="str">
        <v>To confirm</v>
      </c>
      <c r="I717" s="144" t="str">
        <v>No</v>
      </c>
      <c r="J717" s="144" t="str">
        <v>Base</v>
      </c>
      <c r="K717" s="144" t="str">
        <v/>
      </c>
      <c r="L717" s="146">
        <v>12.6</v>
      </c>
      <c r="M717" s="142">
        <v>693</v>
      </c>
      <c r="N717" s="144" t="str">
        <v>Unknown</v>
      </c>
      <c r="O717" s="142" t="str">
        <v/>
      </c>
      <c r="P717" s="142" t="str">
        <v/>
      </c>
      <c r="Q717" s="142">
        <v>55</v>
      </c>
      <c r="R717" s="129" t="str">
        <v>Description – exact</v>
      </c>
      <c r="S717" s="143" t="str">
        <v/>
      </c>
      <c r="T717" s="144" t="str">
        <v>SRC-00</v>
      </c>
      <c r="U717" s="129" t="str">
        <v>S+ row 466</v>
      </c>
      <c r="V717" s="129" t="str">
        <v/>
      </c>
    </row>
    <row r="718" spans="1:22" x14ac:dyDescent="0.2">
      <c r="A718" s="144" t="str">
        <v>A3</v>
      </c>
      <c r="B718" s="145">
        <v>6</v>
      </c>
      <c r="C718" s="129" t="str">
        <v>Laparoscopic Cholecystectomy Conversion To Ope</v>
      </c>
      <c r="D718" s="129" t="str">
        <v>A3 – Abdomen: Moderate Procedures</v>
      </c>
      <c r="E718" s="129" t="str">
        <v>06 - Abdomen</v>
      </c>
      <c r="F718" s="129" t="str">
        <v>Solutions Plus</v>
      </c>
      <c r="G718" s="144" t="str">
        <v>CON-01</v>
      </c>
      <c r="H718" s="129" t="str">
        <v>To confirm</v>
      </c>
      <c r="I718" s="144" t="str">
        <v>No</v>
      </c>
      <c r="J718" s="144" t="str">
        <v>Base</v>
      </c>
      <c r="K718" s="144" t="str">
        <v/>
      </c>
      <c r="L718" s="146">
        <v>18</v>
      </c>
      <c r="M718" s="142">
        <v>990</v>
      </c>
      <c r="N718" s="144" t="str">
        <v>Unknown</v>
      </c>
      <c r="O718" s="142" t="str">
        <v/>
      </c>
      <c r="P718" s="142" t="str">
        <v/>
      </c>
      <c r="Q718" s="142">
        <v>55</v>
      </c>
      <c r="R718" s="129" t="str">
        <v>Description – exact</v>
      </c>
      <c r="S718" s="143" t="str">
        <v/>
      </c>
      <c r="T718" s="144" t="str">
        <v>SRC-00</v>
      </c>
      <c r="U718" s="129" t="str">
        <v>S+ row 470</v>
      </c>
      <c r="V718" s="129" t="str">
        <v/>
      </c>
    </row>
    <row r="719" spans="1:22" x14ac:dyDescent="0.2">
      <c r="A719" s="144" t="str">
        <v>A4</v>
      </c>
      <c r="B719" s="145">
        <v>6</v>
      </c>
      <c r="C719" s="129" t="str">
        <v>Laparoscopic Colposacropexy</v>
      </c>
      <c r="D719" s="129" t="str">
        <v>A4 – Abdomen: Gynae: Moderate/Major Procedures</v>
      </c>
      <c r="E719" s="129" t="str">
        <v>06 - Abdomen</v>
      </c>
      <c r="F719" s="129" t="str">
        <v>Solutions Plus</v>
      </c>
      <c r="G719" s="144" t="str">
        <v>CON-01</v>
      </c>
      <c r="H719" s="129" t="str">
        <v>To confirm</v>
      </c>
      <c r="I719" s="144" t="str">
        <v>No</v>
      </c>
      <c r="J719" s="144" t="str">
        <v>Base</v>
      </c>
      <c r="K719" s="144" t="str">
        <v/>
      </c>
      <c r="L719" s="146">
        <v>20</v>
      </c>
      <c r="M719" s="142">
        <v>1099.45</v>
      </c>
      <c r="N719" s="144" t="str">
        <v>Unknown</v>
      </c>
      <c r="O719" s="142" t="str">
        <v/>
      </c>
      <c r="P719" s="142" t="str">
        <v/>
      </c>
      <c r="Q719" s="142">
        <v>54.972500000000004</v>
      </c>
      <c r="R719" s="129" t="str">
        <v>Description – likely</v>
      </c>
      <c r="S719" s="143" t="str">
        <v/>
      </c>
      <c r="T719" s="144" t="str">
        <v>SRC-00</v>
      </c>
      <c r="U719" s="129" t="str">
        <v>S+ row 472</v>
      </c>
      <c r="V719" s="129" t="str">
        <v/>
      </c>
    </row>
    <row r="720" spans="1:22" x14ac:dyDescent="0.2">
      <c r="A720" s="144" t="str">
        <v>A4</v>
      </c>
      <c r="B720" s="145">
        <v>6</v>
      </c>
      <c r="C720" s="129" t="str">
        <v>Laparoscopic Colposuspension</v>
      </c>
      <c r="D720" s="129" t="str">
        <v>A4 – Abdomen: Gynae: Moderate/Major Procedures</v>
      </c>
      <c r="E720" s="129" t="str">
        <v>06 - Abdomen</v>
      </c>
      <c r="F720" s="129" t="str">
        <v>Solutions Plus</v>
      </c>
      <c r="G720" s="144" t="str">
        <v>CON-01</v>
      </c>
      <c r="H720" s="129" t="str">
        <v>To confirm</v>
      </c>
      <c r="I720" s="144" t="str">
        <v>No</v>
      </c>
      <c r="J720" s="144" t="str">
        <v>Base</v>
      </c>
      <c r="K720" s="144" t="str">
        <v/>
      </c>
      <c r="L720" s="146">
        <v>16</v>
      </c>
      <c r="M720" s="142">
        <v>879.45</v>
      </c>
      <c r="N720" s="144" t="str">
        <v>Unknown</v>
      </c>
      <c r="O720" s="142" t="str">
        <v/>
      </c>
      <c r="P720" s="142" t="str">
        <v/>
      </c>
      <c r="Q720" s="142">
        <v>54.965625000000003</v>
      </c>
      <c r="R720" s="129" t="str">
        <v>Description – likely</v>
      </c>
      <c r="S720" s="143" t="str">
        <v/>
      </c>
      <c r="T720" s="144" t="str">
        <v>SRC-00</v>
      </c>
      <c r="U720" s="129" t="str">
        <v>S+ row 473</v>
      </c>
      <c r="V720" s="129" t="str">
        <v/>
      </c>
    </row>
    <row r="721" spans="1:22" x14ac:dyDescent="0.2">
      <c r="A721" s="144" t="str">
        <v>A4</v>
      </c>
      <c r="B721" s="145">
        <v>6</v>
      </c>
      <c r="C721" s="129" t="str">
        <v>Laparoscopic Excision Of Endometriosis + Hystero</v>
      </c>
      <c r="D721" s="129" t="str">
        <v>A4 – Abdomen: Gynae: Moderate/Major Procedures</v>
      </c>
      <c r="E721" s="129" t="str">
        <v>06 - Abdomen</v>
      </c>
      <c r="F721" s="129" t="str">
        <v>Solutions Plus</v>
      </c>
      <c r="G721" s="144" t="str">
        <v>CON-01</v>
      </c>
      <c r="H721" s="129" t="str">
        <v>To confirm</v>
      </c>
      <c r="I721" s="144" t="str">
        <v>No</v>
      </c>
      <c r="J721" s="144" t="str">
        <v>Base</v>
      </c>
      <c r="K721" s="144" t="str">
        <v/>
      </c>
      <c r="L721" s="146">
        <v>13.5</v>
      </c>
      <c r="M721" s="142">
        <v>742.5</v>
      </c>
      <c r="N721" s="144" t="str">
        <v>Unknown</v>
      </c>
      <c r="O721" s="142" t="str">
        <v/>
      </c>
      <c r="P721" s="142" t="str">
        <v/>
      </c>
      <c r="Q721" s="142">
        <v>55</v>
      </c>
      <c r="R721" s="129" t="str">
        <v>Description – exact</v>
      </c>
      <c r="S721" s="143" t="str">
        <v/>
      </c>
      <c r="T721" s="144" t="str">
        <v>SRC-00</v>
      </c>
      <c r="U721" s="129" t="str">
        <v>S+ row 474</v>
      </c>
      <c r="V721" s="129" t="str">
        <v/>
      </c>
    </row>
    <row r="722" spans="1:22" x14ac:dyDescent="0.2">
      <c r="A722" s="144" t="str">
        <v>A4</v>
      </c>
      <c r="B722" s="145">
        <v>6</v>
      </c>
      <c r="C722" s="129" t="str">
        <v>Laparoscopic Excision Of Stage 1-2 Endometriosis</v>
      </c>
      <c r="D722" s="129" t="str">
        <v>A4 – Abdomen: Gynae: Moderate/Major Procedures</v>
      </c>
      <c r="E722" s="129" t="str">
        <v>06 - Abdomen</v>
      </c>
      <c r="F722" s="129" t="str">
        <v>Solutions Plus</v>
      </c>
      <c r="G722" s="144" t="str">
        <v>CON-01</v>
      </c>
      <c r="H722" s="129" t="str">
        <v>To confirm</v>
      </c>
      <c r="I722" s="144" t="str">
        <v>No</v>
      </c>
      <c r="J722" s="144" t="str">
        <v>Base</v>
      </c>
      <c r="K722" s="144" t="str">
        <v/>
      </c>
      <c r="L722" s="146">
        <v>13</v>
      </c>
      <c r="M722" s="142">
        <v>715</v>
      </c>
      <c r="N722" s="144" t="str">
        <v>Unknown</v>
      </c>
      <c r="O722" s="142" t="str">
        <v/>
      </c>
      <c r="P722" s="142" t="str">
        <v/>
      </c>
      <c r="Q722" s="142">
        <v>55</v>
      </c>
      <c r="R722" s="129" t="str">
        <v>Description – exact</v>
      </c>
      <c r="S722" s="143" t="str">
        <v/>
      </c>
      <c r="T722" s="144" t="str">
        <v>SRC-00</v>
      </c>
      <c r="U722" s="129" t="str">
        <v>S+ row 475</v>
      </c>
      <c r="V722" s="129" t="str">
        <v/>
      </c>
    </row>
    <row r="723" spans="1:22" x14ac:dyDescent="0.2">
      <c r="A723" s="144" t="str">
        <v>A2</v>
      </c>
      <c r="B723" s="145">
        <v>5</v>
      </c>
      <c r="C723" s="129" t="str">
        <v>Laparoscopic Hernia Repair</v>
      </c>
      <c r="D723" s="129" t="str">
        <v>A2 – Abdomen: Simple but Invasive Procedures</v>
      </c>
      <c r="E723" s="129" t="str">
        <v>06 - Abdomen</v>
      </c>
      <c r="F723" s="129" t="str">
        <v>Solutions Plus</v>
      </c>
      <c r="G723" s="144" t="str">
        <v>CON-01</v>
      </c>
      <c r="H723" s="129" t="str">
        <v>To confirm</v>
      </c>
      <c r="I723" s="144" t="str">
        <v>No</v>
      </c>
      <c r="J723" s="144" t="str">
        <v>Base</v>
      </c>
      <c r="K723" s="144" t="str">
        <v/>
      </c>
      <c r="L723" s="146">
        <v>10.5</v>
      </c>
      <c r="M723" s="142">
        <v>576.95000000000005</v>
      </c>
      <c r="N723" s="144" t="str">
        <v>Unknown</v>
      </c>
      <c r="O723" s="142" t="str">
        <v/>
      </c>
      <c r="P723" s="142" t="str">
        <v/>
      </c>
      <c r="Q723" s="142">
        <v>54.94761904761905</v>
      </c>
      <c r="R723" s="129" t="str">
        <v>Description – exact</v>
      </c>
      <c r="S723" s="143" t="str">
        <v/>
      </c>
      <c r="T723" s="144" t="str">
        <v>SRC-00</v>
      </c>
      <c r="U723" s="129" t="str">
        <v>S+ row 484</v>
      </c>
      <c r="V723" s="129" t="str">
        <v/>
      </c>
    </row>
    <row r="724" spans="1:22" x14ac:dyDescent="0.2">
      <c r="A724" s="144" t="str">
        <v>A4</v>
      </c>
      <c r="B724" s="145">
        <v>6</v>
      </c>
      <c r="C724" s="129" t="str">
        <v>Laparoscopic Hysterectomy</v>
      </c>
      <c r="D724" s="129" t="str">
        <v>A4 – Abdomen: Gynae: Moderate/Major Procedures</v>
      </c>
      <c r="E724" s="129" t="str">
        <v>06 - Abdomen</v>
      </c>
      <c r="F724" s="129" t="str">
        <v>Solutions Plus</v>
      </c>
      <c r="G724" s="144" t="str">
        <v>CON-01</v>
      </c>
      <c r="H724" s="129" t="str">
        <v>To confirm</v>
      </c>
      <c r="I724" s="144" t="str">
        <v>No</v>
      </c>
      <c r="J724" s="144" t="str">
        <v>Base</v>
      </c>
      <c r="K724" s="144" t="str">
        <v/>
      </c>
      <c r="L724" s="146">
        <v>15.3</v>
      </c>
      <c r="M724" s="142">
        <v>842.05</v>
      </c>
      <c r="N724" s="144" t="str">
        <v>Unknown</v>
      </c>
      <c r="O724" s="142" t="str">
        <v/>
      </c>
      <c r="P724" s="142" t="str">
        <v/>
      </c>
      <c r="Q724" s="142">
        <v>55.035947712418292</v>
      </c>
      <c r="R724" s="129" t="str">
        <v>Description – exact</v>
      </c>
      <c r="S724" s="143" t="str">
        <v/>
      </c>
      <c r="T724" s="144" t="str">
        <v>SRC-00</v>
      </c>
      <c r="U724" s="129" t="str">
        <v>S+ row 485</v>
      </c>
      <c r="V724" s="129" t="str">
        <v/>
      </c>
    </row>
    <row r="725" spans="1:22" x14ac:dyDescent="0.2">
      <c r="A725" s="144" t="str">
        <v>A4</v>
      </c>
      <c r="B725" s="145">
        <v>6</v>
      </c>
      <c r="C725" s="129" t="str">
        <v>Laparoscopic Hysterectomy.</v>
      </c>
      <c r="D725" s="129" t="str">
        <v>A4 – Abdomen: Gynae: Moderate/Major Procedures</v>
      </c>
      <c r="E725" s="129" t="str">
        <v>06 - Abdomen</v>
      </c>
      <c r="F725" s="129" t="str">
        <v>Solutions Plus</v>
      </c>
      <c r="G725" s="144" t="str">
        <v>CON-01</v>
      </c>
      <c r="H725" s="129" t="str">
        <v>To confirm</v>
      </c>
      <c r="I725" s="144" t="str">
        <v>No</v>
      </c>
      <c r="J725" s="144" t="str">
        <v>Base</v>
      </c>
      <c r="K725" s="144" t="str">
        <v/>
      </c>
      <c r="L725" s="146">
        <v>0</v>
      </c>
      <c r="M725" s="142">
        <v>0</v>
      </c>
      <c r="N725" s="144" t="str">
        <v>Unknown</v>
      </c>
      <c r="O725" s="142" t="str">
        <v/>
      </c>
      <c r="P725" s="142" t="str">
        <v/>
      </c>
      <c r="Q725" s="142" t="str">
        <v/>
      </c>
      <c r="R725" s="129" t="str">
        <v>Description – exact</v>
      </c>
      <c r="S725" s="143" t="str">
        <v/>
      </c>
      <c r="T725" s="144" t="str">
        <v>SRC-00</v>
      </c>
      <c r="U725" s="129" t="str">
        <v>S+ row 486</v>
      </c>
      <c r="V725" s="129" t="str">
        <v/>
      </c>
    </row>
    <row r="726" spans="1:22" x14ac:dyDescent="0.2">
      <c r="A726" s="144" t="str">
        <v>A2</v>
      </c>
      <c r="B726" s="145">
        <v>5</v>
      </c>
      <c r="C726" s="129" t="str">
        <v>Laparoscopic Left Inguinal Hernia</v>
      </c>
      <c r="D726" s="129" t="str">
        <v>A2 – Abdomen: Simple but Invasive Procedures</v>
      </c>
      <c r="E726" s="129" t="str">
        <v>06 - Abdomen</v>
      </c>
      <c r="F726" s="129" t="str">
        <v>Solutions Plus</v>
      </c>
      <c r="G726" s="144" t="str">
        <v>CON-01</v>
      </c>
      <c r="H726" s="129" t="str">
        <v>To confirm</v>
      </c>
      <c r="I726" s="144" t="str">
        <v>No</v>
      </c>
      <c r="J726" s="144" t="str">
        <v>Base</v>
      </c>
      <c r="K726" s="144" t="str">
        <v/>
      </c>
      <c r="L726" s="146">
        <v>10.5</v>
      </c>
      <c r="M726" s="142">
        <v>577.5</v>
      </c>
      <c r="N726" s="144" t="str">
        <v>Unknown</v>
      </c>
      <c r="O726" s="142" t="str">
        <v/>
      </c>
      <c r="P726" s="142" t="str">
        <v/>
      </c>
      <c r="Q726" s="142">
        <v>55</v>
      </c>
      <c r="R726" s="129" t="str">
        <v>Description – exact</v>
      </c>
      <c r="S726" s="143" t="str">
        <v/>
      </c>
      <c r="T726" s="144" t="str">
        <v>SRC-00</v>
      </c>
      <c r="U726" s="129" t="str">
        <v>S+ row 487</v>
      </c>
      <c r="V726" s="129" t="str">
        <v/>
      </c>
    </row>
    <row r="727" spans="1:22" x14ac:dyDescent="0.2">
      <c r="A727" s="144" t="str">
        <v>A2</v>
      </c>
      <c r="B727" s="145">
        <v>5</v>
      </c>
      <c r="C727" s="129" t="str">
        <v>Laparoscopic Left Inguinal Hernia Repair - CDHB</v>
      </c>
      <c r="D727" s="129" t="str">
        <v>A2 – Abdomen: Simple but Invasive Procedures</v>
      </c>
      <c r="E727" s="129" t="str">
        <v>06 - Abdomen</v>
      </c>
      <c r="F727" s="129" t="str">
        <v>Solutions Plus</v>
      </c>
      <c r="G727" s="144" t="str">
        <v>CON-01</v>
      </c>
      <c r="H727" s="129" t="str">
        <v>To confirm</v>
      </c>
      <c r="I727" s="144" t="str">
        <v>No</v>
      </c>
      <c r="J727" s="144" t="str">
        <v>Base</v>
      </c>
      <c r="K727" s="144" t="str">
        <v/>
      </c>
      <c r="L727" s="146">
        <v>10.7</v>
      </c>
      <c r="M727" s="142">
        <v>589.04999999999995</v>
      </c>
      <c r="N727" s="144" t="str">
        <v>Unknown</v>
      </c>
      <c r="O727" s="142" t="str">
        <v/>
      </c>
      <c r="P727" s="142" t="str">
        <v/>
      </c>
      <c r="Q727" s="142">
        <v>55.05140186915888</v>
      </c>
      <c r="R727" s="129" t="str">
        <v>Description – exact</v>
      </c>
      <c r="S727" s="143" t="str">
        <v/>
      </c>
      <c r="T727" s="144" t="str">
        <v>SRC-00</v>
      </c>
      <c r="U727" s="129" t="str">
        <v>S+ row 488</v>
      </c>
      <c r="V727" s="129" t="str">
        <v/>
      </c>
    </row>
    <row r="728" spans="1:22" x14ac:dyDescent="0.2">
      <c r="A728" s="144" t="str">
        <v>A2</v>
      </c>
      <c r="B728" s="145">
        <v>5</v>
      </c>
      <c r="C728" s="129" t="str">
        <v>Laparoscopic Left Salpingectomy</v>
      </c>
      <c r="D728" s="129" t="str">
        <v>A2 – Abdomen: Simple but Invasive Procedures</v>
      </c>
      <c r="E728" s="129" t="str">
        <v>06 - Abdomen</v>
      </c>
      <c r="F728" s="129" t="str">
        <v>Solutions Plus</v>
      </c>
      <c r="G728" s="144" t="str">
        <v>CON-01</v>
      </c>
      <c r="H728" s="129" t="str">
        <v>To confirm</v>
      </c>
      <c r="I728" s="144" t="str">
        <v>No</v>
      </c>
      <c r="J728" s="144" t="str">
        <v>Base</v>
      </c>
      <c r="K728" s="144" t="str">
        <v/>
      </c>
      <c r="L728" s="146">
        <v>10</v>
      </c>
      <c r="M728" s="142">
        <v>550</v>
      </c>
      <c r="N728" s="144" t="str">
        <v>Unknown</v>
      </c>
      <c r="O728" s="142" t="str">
        <v/>
      </c>
      <c r="P728" s="142" t="str">
        <v/>
      </c>
      <c r="Q728" s="142">
        <v>55</v>
      </c>
      <c r="R728" s="129" t="str">
        <v>Description – likely</v>
      </c>
      <c r="S728" s="143" t="str">
        <v/>
      </c>
      <c r="T728" s="144" t="str">
        <v>SRC-00</v>
      </c>
      <c r="U728" s="129" t="str">
        <v>S+ row 489</v>
      </c>
      <c r="V728" s="129" t="str">
        <v/>
      </c>
    </row>
    <row r="729" spans="1:22" x14ac:dyDescent="0.2">
      <c r="A729" s="144" t="str">
        <v>A2</v>
      </c>
      <c r="B729" s="145">
        <v>5</v>
      </c>
      <c r="C729" s="129" t="str">
        <v>Laparoscopic Mesh Repair Bilateral Inguinal Hernia</v>
      </c>
      <c r="D729" s="129" t="str">
        <v>A2 – Abdomen: Simple but Invasive Procedures</v>
      </c>
      <c r="E729" s="129" t="str">
        <v>06 - Abdomen</v>
      </c>
      <c r="F729" s="129" t="str">
        <v>Solutions Plus</v>
      </c>
      <c r="G729" s="144" t="str">
        <v>CON-01</v>
      </c>
      <c r="H729" s="129" t="str">
        <v>To confirm</v>
      </c>
      <c r="I729" s="144" t="str">
        <v>No</v>
      </c>
      <c r="J729" s="144" t="str">
        <v>Base</v>
      </c>
      <c r="K729" s="144" t="str">
        <v/>
      </c>
      <c r="L729" s="146">
        <v>11</v>
      </c>
      <c r="M729" s="142">
        <v>605</v>
      </c>
      <c r="N729" s="144" t="str">
        <v>Unknown</v>
      </c>
      <c r="O729" s="142" t="str">
        <v/>
      </c>
      <c r="P729" s="142" t="str">
        <v/>
      </c>
      <c r="Q729" s="142">
        <v>55</v>
      </c>
      <c r="R729" s="129" t="str">
        <v>Description – exact</v>
      </c>
      <c r="S729" s="143" t="str">
        <v/>
      </c>
      <c r="T729" s="144" t="str">
        <v>SRC-00</v>
      </c>
      <c r="U729" s="129" t="str">
        <v>S+ row 491</v>
      </c>
      <c r="V729" s="129" t="str">
        <v/>
      </c>
    </row>
    <row r="730" spans="1:22" x14ac:dyDescent="0.2">
      <c r="A730" s="144" t="str">
        <v>A2</v>
      </c>
      <c r="B730" s="145">
        <v>5</v>
      </c>
      <c r="C730" s="129" t="str">
        <v>Laparoscopic Mesh Repair Of Bilateral Hernia</v>
      </c>
      <c r="D730" s="129" t="str">
        <v>A2 – Abdomen: Simple but Invasive Procedures</v>
      </c>
      <c r="E730" s="129" t="str">
        <v>06 - Abdomen</v>
      </c>
      <c r="F730" s="129" t="str">
        <v>Solutions Plus</v>
      </c>
      <c r="G730" s="144" t="str">
        <v>CON-01</v>
      </c>
      <c r="H730" s="129" t="str">
        <v>To confirm</v>
      </c>
      <c r="I730" s="144" t="str">
        <v>No</v>
      </c>
      <c r="J730" s="144" t="str">
        <v>Base</v>
      </c>
      <c r="K730" s="144" t="str">
        <v/>
      </c>
      <c r="L730" s="146">
        <v>11</v>
      </c>
      <c r="M730" s="142">
        <v>605</v>
      </c>
      <c r="N730" s="144" t="str">
        <v>Unknown</v>
      </c>
      <c r="O730" s="142" t="str">
        <v/>
      </c>
      <c r="P730" s="142" t="str">
        <v/>
      </c>
      <c r="Q730" s="142">
        <v>55</v>
      </c>
      <c r="R730" s="129" t="str">
        <v>Description – exact</v>
      </c>
      <c r="S730" s="143" t="str">
        <v/>
      </c>
      <c r="T730" s="144" t="str">
        <v>SRC-00</v>
      </c>
      <c r="U730" s="129" t="str">
        <v>S+ row 492</v>
      </c>
      <c r="V730" s="129" t="str">
        <v/>
      </c>
    </row>
    <row r="731" spans="1:22" x14ac:dyDescent="0.2">
      <c r="A731" s="144" t="str">
        <v>A4</v>
      </c>
      <c r="B731" s="145">
        <v>6</v>
      </c>
      <c r="C731" s="129" t="str">
        <v>Laparoscopic Oophorectomy</v>
      </c>
      <c r="D731" s="129" t="str">
        <v>A4 – Abdomen: Gynae: Moderate/Major Procedures</v>
      </c>
      <c r="E731" s="129" t="str">
        <v>06 - Abdomen</v>
      </c>
      <c r="F731" s="129" t="str">
        <v>Solutions Plus</v>
      </c>
      <c r="G731" s="144" t="str">
        <v>CON-01</v>
      </c>
      <c r="H731" s="129" t="str">
        <v>To confirm</v>
      </c>
      <c r="I731" s="144" t="str">
        <v>No</v>
      </c>
      <c r="J731" s="144" t="str">
        <v>Base</v>
      </c>
      <c r="K731" s="144" t="str">
        <v/>
      </c>
      <c r="L731" s="146">
        <v>11.3</v>
      </c>
      <c r="M731" s="142">
        <v>619.29999999999995</v>
      </c>
      <c r="N731" s="144" t="str">
        <v>Unknown</v>
      </c>
      <c r="O731" s="142" t="str">
        <v/>
      </c>
      <c r="P731" s="142" t="str">
        <v/>
      </c>
      <c r="Q731" s="142">
        <v>54.805309734513266</v>
      </c>
      <c r="R731" s="129" t="str">
        <v>Description – exact</v>
      </c>
      <c r="S731" s="143" t="str">
        <v/>
      </c>
      <c r="T731" s="144" t="str">
        <v>SRC-00</v>
      </c>
      <c r="U731" s="129" t="str">
        <v>S+ row 495</v>
      </c>
      <c r="V731" s="129" t="str">
        <v/>
      </c>
    </row>
    <row r="732" spans="1:22" x14ac:dyDescent="0.2">
      <c r="A732" s="144" t="str">
        <v>A4</v>
      </c>
      <c r="B732" s="145">
        <v>6</v>
      </c>
      <c r="C732" s="129" t="str">
        <v>Laparoscopic Ovarian Cystectomy</v>
      </c>
      <c r="D732" s="129" t="str">
        <v>A4 – Abdomen: Gynae: Moderate/Major Procedures</v>
      </c>
      <c r="E732" s="129" t="str">
        <v>06 - Abdomen</v>
      </c>
      <c r="F732" s="129" t="str">
        <v>Solutions Plus</v>
      </c>
      <c r="G732" s="144" t="str">
        <v>CON-01</v>
      </c>
      <c r="H732" s="129" t="str">
        <v>To confirm</v>
      </c>
      <c r="I732" s="144" t="str">
        <v>No</v>
      </c>
      <c r="J732" s="144" t="str">
        <v>Base</v>
      </c>
      <c r="K732" s="144" t="str">
        <v/>
      </c>
      <c r="L732" s="146">
        <v>12.2</v>
      </c>
      <c r="M732" s="142">
        <v>673.2</v>
      </c>
      <c r="N732" s="144" t="str">
        <v>Unknown</v>
      </c>
      <c r="O732" s="142" t="str">
        <v/>
      </c>
      <c r="P732" s="142" t="str">
        <v/>
      </c>
      <c r="Q732" s="142">
        <v>55.180327868852466</v>
      </c>
      <c r="R732" s="129" t="str">
        <v>Description – exact</v>
      </c>
      <c r="S732" s="143" t="str">
        <v/>
      </c>
      <c r="T732" s="144" t="str">
        <v>SRC-00</v>
      </c>
      <c r="U732" s="129" t="str">
        <v>S+ row 496</v>
      </c>
      <c r="V732" s="129" t="str">
        <v/>
      </c>
    </row>
    <row r="733" spans="1:22" x14ac:dyDescent="0.2">
      <c r="A733" s="144" t="str">
        <v>A4</v>
      </c>
      <c r="B733" s="145">
        <v>6</v>
      </c>
      <c r="C733" s="129" t="str">
        <v>Laparoscopic Resection Of Endometriosis +/- Adesi</v>
      </c>
      <c r="D733" s="129" t="str">
        <v>A4 – Abdomen: Gynae: Moderate/Major Procedures</v>
      </c>
      <c r="E733" s="129" t="str">
        <v>06 - Abdomen</v>
      </c>
      <c r="F733" s="129" t="str">
        <v>Solutions Plus</v>
      </c>
      <c r="G733" s="144" t="str">
        <v>CON-01</v>
      </c>
      <c r="H733" s="129" t="str">
        <v>To confirm</v>
      </c>
      <c r="I733" s="144" t="str">
        <v>No</v>
      </c>
      <c r="J733" s="144" t="str">
        <v>Base</v>
      </c>
      <c r="K733" s="144" t="str">
        <v/>
      </c>
      <c r="L733" s="146">
        <v>12.5</v>
      </c>
      <c r="M733" s="142">
        <v>684.75</v>
      </c>
      <c r="N733" s="144" t="str">
        <v>Unknown</v>
      </c>
      <c r="O733" s="142" t="str">
        <v/>
      </c>
      <c r="P733" s="142" t="str">
        <v/>
      </c>
      <c r="Q733" s="142">
        <v>54.78</v>
      </c>
      <c r="R733" s="129" t="str">
        <v>Description – exact</v>
      </c>
      <c r="S733" s="143" t="str">
        <v/>
      </c>
      <c r="T733" s="144" t="str">
        <v>SRC-00</v>
      </c>
      <c r="U733" s="129" t="str">
        <v>S+ row 498</v>
      </c>
      <c r="V733" s="129" t="str">
        <v/>
      </c>
    </row>
    <row r="734" spans="1:22" x14ac:dyDescent="0.2">
      <c r="A734" s="144" t="str">
        <v>A2</v>
      </c>
      <c r="B734" s="145">
        <v>5</v>
      </c>
      <c r="C734" s="129" t="str">
        <v>Laparoscopic Right Inguinal Hernia</v>
      </c>
      <c r="D734" s="129" t="str">
        <v>A2 – Abdomen: Simple but Invasive Procedures</v>
      </c>
      <c r="E734" s="129" t="str">
        <v>06 - Abdomen</v>
      </c>
      <c r="F734" s="129" t="str">
        <v>Solutions Plus</v>
      </c>
      <c r="G734" s="144" t="str">
        <v>CON-01</v>
      </c>
      <c r="H734" s="129" t="str">
        <v>To confirm</v>
      </c>
      <c r="I734" s="144" t="str">
        <v>No</v>
      </c>
      <c r="J734" s="144" t="str">
        <v>Base</v>
      </c>
      <c r="K734" s="144" t="str">
        <v/>
      </c>
      <c r="L734" s="146">
        <v>10.5</v>
      </c>
      <c r="M734" s="142">
        <v>576.95000000000005</v>
      </c>
      <c r="N734" s="144" t="str">
        <v>Unknown</v>
      </c>
      <c r="O734" s="142" t="str">
        <v/>
      </c>
      <c r="P734" s="142" t="str">
        <v/>
      </c>
      <c r="Q734" s="142">
        <v>54.94761904761905</v>
      </c>
      <c r="R734" s="129" t="str">
        <v>Description – exact</v>
      </c>
      <c r="S734" s="143" t="str">
        <v/>
      </c>
      <c r="T734" s="144" t="str">
        <v>SRC-00</v>
      </c>
      <c r="U734" s="129" t="str">
        <v>S+ row 499</v>
      </c>
      <c r="V734" s="129" t="str">
        <v/>
      </c>
    </row>
    <row r="735" spans="1:22" x14ac:dyDescent="0.2">
      <c r="A735" s="144" t="str">
        <v>A2</v>
      </c>
      <c r="B735" s="145">
        <v>5</v>
      </c>
      <c r="C735" s="129" t="str">
        <v>Laparoscopic Right Inguinal Hernia Repair</v>
      </c>
      <c r="D735" s="129" t="str">
        <v>A2 – Abdomen: Simple but Invasive Procedures</v>
      </c>
      <c r="E735" s="129" t="str">
        <v>06 - Abdomen</v>
      </c>
      <c r="F735" s="129" t="str">
        <v>Solutions Plus</v>
      </c>
      <c r="G735" s="144" t="str">
        <v>CON-01</v>
      </c>
      <c r="H735" s="129" t="str">
        <v>To confirm</v>
      </c>
      <c r="I735" s="144" t="str">
        <v>No</v>
      </c>
      <c r="J735" s="144" t="str">
        <v>Base</v>
      </c>
      <c r="K735" s="144" t="str">
        <v/>
      </c>
      <c r="L735" s="146">
        <v>10.7</v>
      </c>
      <c r="M735" s="142">
        <v>590.70000000000005</v>
      </c>
      <c r="N735" s="144" t="str">
        <v>Unknown</v>
      </c>
      <c r="O735" s="142" t="str">
        <v/>
      </c>
      <c r="P735" s="142" t="str">
        <v/>
      </c>
      <c r="Q735" s="142">
        <v>55.205607476635521</v>
      </c>
      <c r="R735" s="129" t="str">
        <v>Description – exact</v>
      </c>
      <c r="S735" s="143" t="str">
        <v/>
      </c>
      <c r="T735" s="144" t="str">
        <v>SRC-00</v>
      </c>
      <c r="U735" s="129" t="str">
        <v>S+ row 500</v>
      </c>
      <c r="V735" s="129" t="str">
        <v/>
      </c>
    </row>
    <row r="736" spans="1:22" x14ac:dyDescent="0.2">
      <c r="A736" s="144" t="str">
        <v>A2</v>
      </c>
      <c r="B736" s="145">
        <v>5</v>
      </c>
      <c r="C736" s="129" t="str">
        <v>Laparoscopic Right Inguinal Hernia Repair P/O 4800</v>
      </c>
      <c r="D736" s="129" t="str">
        <v>A2 – Abdomen: Simple but Invasive Procedures</v>
      </c>
      <c r="E736" s="129" t="str">
        <v>06 - Abdomen</v>
      </c>
      <c r="F736" s="129" t="str">
        <v>Solutions Plus</v>
      </c>
      <c r="G736" s="144" t="str">
        <v>CON-01</v>
      </c>
      <c r="H736" s="129" t="str">
        <v>To confirm</v>
      </c>
      <c r="I736" s="144" t="str">
        <v>No</v>
      </c>
      <c r="J736" s="144" t="str">
        <v>Base</v>
      </c>
      <c r="K736" s="144" t="str">
        <v/>
      </c>
      <c r="L736" s="146">
        <v>10</v>
      </c>
      <c r="M736" s="142">
        <v>549.45000000000005</v>
      </c>
      <c r="N736" s="144" t="str">
        <v>Unknown</v>
      </c>
      <c r="O736" s="142" t="str">
        <v/>
      </c>
      <c r="P736" s="142" t="str">
        <v/>
      </c>
      <c r="Q736" s="142">
        <v>54.945000000000007</v>
      </c>
      <c r="R736" s="129" t="str">
        <v>Description – exact</v>
      </c>
      <c r="S736" s="143" t="str">
        <v/>
      </c>
      <c r="T736" s="144" t="str">
        <v>SRC-00</v>
      </c>
      <c r="U736" s="129" t="str">
        <v>S+ row 501</v>
      </c>
      <c r="V736" s="129" t="str">
        <v/>
      </c>
    </row>
    <row r="737" spans="1:22" x14ac:dyDescent="0.2">
      <c r="A737" s="144" t="str">
        <v>A4</v>
      </c>
      <c r="B737" s="145">
        <v>6</v>
      </c>
      <c r="C737" s="129" t="str">
        <v>Laparoscopic Salpingo-Oophorectomy - Unilateral</v>
      </c>
      <c r="D737" s="129" t="str">
        <v>A4 – Abdomen: Gynae: Moderate/Major Procedures</v>
      </c>
      <c r="E737" s="129" t="str">
        <v>06 - Abdomen</v>
      </c>
      <c r="F737" s="129" t="str">
        <v>Solutions Plus</v>
      </c>
      <c r="G737" s="144" t="str">
        <v>CON-01</v>
      </c>
      <c r="H737" s="129" t="str">
        <v>To confirm</v>
      </c>
      <c r="I737" s="144" t="str">
        <v>No</v>
      </c>
      <c r="J737" s="144" t="str">
        <v>Base</v>
      </c>
      <c r="K737" s="144" t="str">
        <v/>
      </c>
      <c r="L737" s="146">
        <v>12.5</v>
      </c>
      <c r="M737" s="142">
        <v>687.5</v>
      </c>
      <c r="N737" s="144" t="str">
        <v>Unknown</v>
      </c>
      <c r="O737" s="142" t="str">
        <v/>
      </c>
      <c r="P737" s="142" t="str">
        <v/>
      </c>
      <c r="Q737" s="142">
        <v>55</v>
      </c>
      <c r="R737" s="129" t="str">
        <v>Description – exact</v>
      </c>
      <c r="S737" s="143" t="str">
        <v/>
      </c>
      <c r="T737" s="144" t="str">
        <v>SRC-00</v>
      </c>
      <c r="U737" s="129" t="str">
        <v>S+ row 506</v>
      </c>
      <c r="V737" s="129" t="str">
        <v/>
      </c>
    </row>
    <row r="738" spans="1:22" x14ac:dyDescent="0.2">
      <c r="A738" s="144" t="str">
        <v>A2</v>
      </c>
      <c r="B738" s="145">
        <v>5</v>
      </c>
      <c r="C738" s="129" t="str">
        <v>Laparoscopic Tubal Ligation</v>
      </c>
      <c r="D738" s="129" t="str">
        <v>A2 – Abdomen: Simple but Invasive Procedures</v>
      </c>
      <c r="E738" s="129" t="str">
        <v>06 - Abdomen</v>
      </c>
      <c r="F738" s="129" t="str">
        <v>Solutions Plus</v>
      </c>
      <c r="G738" s="144" t="str">
        <v>CON-01</v>
      </c>
      <c r="H738" s="129" t="str">
        <v>To confirm</v>
      </c>
      <c r="I738" s="144" t="str">
        <v>No</v>
      </c>
      <c r="J738" s="144" t="str">
        <v>Base</v>
      </c>
      <c r="K738" s="144" t="str">
        <v/>
      </c>
      <c r="L738" s="146">
        <v>8.1</v>
      </c>
      <c r="M738" s="142">
        <v>444.4</v>
      </c>
      <c r="N738" s="144" t="str">
        <v>Unknown</v>
      </c>
      <c r="O738" s="142" t="str">
        <v/>
      </c>
      <c r="P738" s="142" t="str">
        <v/>
      </c>
      <c r="Q738" s="142">
        <v>54.864197530864196</v>
      </c>
      <c r="R738" s="129" t="str">
        <v>Description – exact</v>
      </c>
      <c r="S738" s="143" t="str">
        <v/>
      </c>
      <c r="T738" s="144" t="str">
        <v>SRC-00</v>
      </c>
      <c r="U738" s="129" t="str">
        <v>S+ row 512</v>
      </c>
      <c r="V738" s="129" t="str">
        <v/>
      </c>
    </row>
    <row r="739" spans="1:22" x14ac:dyDescent="0.2">
      <c r="A739" s="144" t="str">
        <v>A4</v>
      </c>
      <c r="B739" s="145">
        <v>6</v>
      </c>
      <c r="C739" s="129" t="str">
        <v>Laparoscopically Assisted Vaginal Hysterectomy</v>
      </c>
      <c r="D739" s="129" t="str">
        <v>A4 – Abdomen: Gynae: Moderate/Major Procedures</v>
      </c>
      <c r="E739" s="129" t="str">
        <v>06 - Abdomen</v>
      </c>
      <c r="F739" s="129" t="str">
        <v>Solutions Plus</v>
      </c>
      <c r="G739" s="144" t="str">
        <v>CON-01</v>
      </c>
      <c r="H739" s="129" t="str">
        <v>To confirm</v>
      </c>
      <c r="I739" s="144" t="str">
        <v>No</v>
      </c>
      <c r="J739" s="144" t="str">
        <v>Base</v>
      </c>
      <c r="K739" s="144" t="str">
        <v/>
      </c>
      <c r="L739" s="146">
        <v>15.8</v>
      </c>
      <c r="M739" s="142">
        <v>867.35</v>
      </c>
      <c r="N739" s="144" t="str">
        <v>Unknown</v>
      </c>
      <c r="O739" s="142" t="str">
        <v/>
      </c>
      <c r="P739" s="142" t="str">
        <v/>
      </c>
      <c r="Q739" s="142">
        <v>54.895569620253163</v>
      </c>
      <c r="R739" s="129" t="str">
        <v>Description – exact</v>
      </c>
      <c r="S739" s="143" t="str">
        <v/>
      </c>
      <c r="T739" s="144" t="str">
        <v>SRC-00</v>
      </c>
      <c r="U739" s="129" t="str">
        <v>S+ row 513</v>
      </c>
      <c r="V739" s="129" t="str">
        <v/>
      </c>
    </row>
    <row r="740" spans="1:22" x14ac:dyDescent="0.2">
      <c r="A740" s="144" t="str">
        <v>A2</v>
      </c>
      <c r="B740" s="145">
        <v>5</v>
      </c>
      <c r="C740" s="129" t="str">
        <v>Laparoscopy</v>
      </c>
      <c r="D740" s="129" t="str">
        <v>A2 – Abdomen: Simple but Invasive Procedures</v>
      </c>
      <c r="E740" s="129" t="str">
        <v>06 - Abdomen</v>
      </c>
      <c r="F740" s="129" t="str">
        <v>Solutions Plus</v>
      </c>
      <c r="G740" s="144" t="str">
        <v>CON-01</v>
      </c>
      <c r="H740" s="129" t="str">
        <v>To confirm</v>
      </c>
      <c r="I740" s="144" t="str">
        <v>No</v>
      </c>
      <c r="J740" s="144" t="str">
        <v>Base</v>
      </c>
      <c r="K740" s="144" t="str">
        <v/>
      </c>
      <c r="L740" s="146">
        <v>10.1</v>
      </c>
      <c r="M740" s="142">
        <v>557.70000000000005</v>
      </c>
      <c r="N740" s="144" t="str">
        <v>Unknown</v>
      </c>
      <c r="O740" s="142" t="str">
        <v/>
      </c>
      <c r="P740" s="142" t="str">
        <v/>
      </c>
      <c r="Q740" s="142">
        <v>55.217821782178227</v>
      </c>
      <c r="R740" s="129" t="str">
        <v>Description – likely</v>
      </c>
      <c r="S740" s="143" t="str">
        <v/>
      </c>
      <c r="T740" s="144" t="str">
        <v>SRC-00</v>
      </c>
      <c r="U740" s="129" t="str">
        <v>S+ row 514</v>
      </c>
      <c r="V740" s="129" t="str">
        <v/>
      </c>
    </row>
    <row r="741" spans="1:22" x14ac:dyDescent="0.2">
      <c r="A741" s="144" t="str">
        <v>A4</v>
      </c>
      <c r="B741" s="145">
        <v>6</v>
      </c>
      <c r="C741" s="129" t="str">
        <v>Laparoscopy + Excision Of Endometriosis + Jaydes</v>
      </c>
      <c r="D741" s="129" t="str">
        <v>A4 – Abdomen: Gynae: Moderate/Major Procedures</v>
      </c>
      <c r="E741" s="129" t="str">
        <v>06 - Abdomen</v>
      </c>
      <c r="F741" s="129" t="str">
        <v>Solutions Plus</v>
      </c>
      <c r="G741" s="144" t="str">
        <v>CON-01</v>
      </c>
      <c r="H741" s="129" t="str">
        <v>To confirm</v>
      </c>
      <c r="I741" s="144" t="str">
        <v>No</v>
      </c>
      <c r="J741" s="144" t="str">
        <v>Base</v>
      </c>
      <c r="K741" s="144" t="str">
        <v/>
      </c>
      <c r="L741" s="146">
        <v>13</v>
      </c>
      <c r="M741" s="142">
        <v>715</v>
      </c>
      <c r="N741" s="144" t="str">
        <v>Unknown</v>
      </c>
      <c r="O741" s="142" t="str">
        <v/>
      </c>
      <c r="P741" s="142" t="str">
        <v/>
      </c>
      <c r="Q741" s="142">
        <v>55</v>
      </c>
      <c r="R741" s="129" t="str">
        <v>Description – exact</v>
      </c>
      <c r="S741" s="143" t="str">
        <v/>
      </c>
      <c r="T741" s="144" t="str">
        <v>SRC-00</v>
      </c>
      <c r="U741" s="129" t="str">
        <v>S+ row 515</v>
      </c>
      <c r="V741" s="129" t="str">
        <v/>
      </c>
    </row>
    <row r="742" spans="1:22" x14ac:dyDescent="0.2">
      <c r="A742" s="144" t="str">
        <v>A2</v>
      </c>
      <c r="B742" s="145">
        <v>5</v>
      </c>
      <c r="C742" s="129" t="str">
        <v>Laparoscopy + Removal Of IUCD</v>
      </c>
      <c r="D742" s="129" t="str">
        <v>A2 – Abdomen: Simple but Invasive Procedures</v>
      </c>
      <c r="E742" s="129" t="str">
        <v>06 - Abdomen</v>
      </c>
      <c r="F742" s="129" t="str">
        <v>Solutions Plus</v>
      </c>
      <c r="G742" s="144" t="str">
        <v>CON-01</v>
      </c>
      <c r="H742" s="129" t="str">
        <v>To confirm</v>
      </c>
      <c r="I742" s="144" t="str">
        <v>No</v>
      </c>
      <c r="J742" s="144" t="str">
        <v>Base</v>
      </c>
      <c r="K742" s="144" t="str">
        <v/>
      </c>
      <c r="L742" s="146">
        <v>9</v>
      </c>
      <c r="M742" s="142">
        <v>495</v>
      </c>
      <c r="N742" s="144" t="str">
        <v>Unknown</v>
      </c>
      <c r="O742" s="142" t="str">
        <v/>
      </c>
      <c r="P742" s="142" t="str">
        <v/>
      </c>
      <c r="Q742" s="142">
        <v>55</v>
      </c>
      <c r="R742" s="129" t="str">
        <v>Description – likely</v>
      </c>
      <c r="S742" s="143" t="str">
        <v/>
      </c>
      <c r="T742" s="144" t="str">
        <v>SRC-00</v>
      </c>
      <c r="U742" s="129" t="str">
        <v>S+ row 516</v>
      </c>
      <c r="V742" s="129" t="str">
        <v/>
      </c>
    </row>
    <row r="743" spans="1:22" x14ac:dyDescent="0.2">
      <c r="A743" s="144" t="str">
        <v>A4</v>
      </c>
      <c r="B743" s="145">
        <v>6</v>
      </c>
      <c r="C743" s="129" t="str">
        <v>Laparoscopy +? Divide Adhesions Resect Endomet</v>
      </c>
      <c r="D743" s="129" t="str">
        <v>A4 – Abdomen: Gynae: Moderate/Major Procedures</v>
      </c>
      <c r="E743" s="129" t="str">
        <v>06 - Abdomen</v>
      </c>
      <c r="F743" s="129" t="str">
        <v>Solutions Plus</v>
      </c>
      <c r="G743" s="144" t="str">
        <v>CON-01</v>
      </c>
      <c r="H743" s="129" t="str">
        <v>To confirm</v>
      </c>
      <c r="I743" s="144" t="str">
        <v>No</v>
      </c>
      <c r="J743" s="144" t="str">
        <v>Base</v>
      </c>
      <c r="K743" s="144" t="str">
        <v/>
      </c>
      <c r="L743" s="146">
        <v>15</v>
      </c>
      <c r="M743" s="142">
        <v>825</v>
      </c>
      <c r="N743" s="144" t="str">
        <v>Unknown</v>
      </c>
      <c r="O743" s="142" t="str">
        <v/>
      </c>
      <c r="P743" s="142" t="str">
        <v/>
      </c>
      <c r="Q743" s="142">
        <v>55</v>
      </c>
      <c r="R743" s="129" t="str">
        <v>Description – likely</v>
      </c>
      <c r="S743" s="143" t="str">
        <v/>
      </c>
      <c r="T743" s="144" t="str">
        <v>SRC-00</v>
      </c>
      <c r="U743" s="129" t="str">
        <v>S+ row 517</v>
      </c>
      <c r="V743" s="129" t="str">
        <v/>
      </c>
    </row>
    <row r="744" spans="1:22" x14ac:dyDescent="0.2">
      <c r="A744" s="144" t="str">
        <v>A5</v>
      </c>
      <c r="B744" s="145">
        <v>8</v>
      </c>
      <c r="C744" s="129" t="str">
        <v>Laparotomy</v>
      </c>
      <c r="D744" s="129" t="str">
        <v>A5 – Abdomen: Major Procedures</v>
      </c>
      <c r="E744" s="129" t="str">
        <v>06 - Abdomen</v>
      </c>
      <c r="F744" s="129" t="str">
        <v>Solutions Plus</v>
      </c>
      <c r="G744" s="144" t="str">
        <v>CON-01</v>
      </c>
      <c r="H744" s="129" t="str">
        <v>To confirm</v>
      </c>
      <c r="I744" s="144" t="str">
        <v>No</v>
      </c>
      <c r="J744" s="144" t="str">
        <v>Base</v>
      </c>
      <c r="K744" s="144" t="str">
        <v/>
      </c>
      <c r="L744" s="146">
        <v>15.3</v>
      </c>
      <c r="M744" s="142">
        <v>839.3</v>
      </c>
      <c r="N744" s="144" t="str">
        <v>Unknown</v>
      </c>
      <c r="O744" s="142" t="str">
        <v/>
      </c>
      <c r="P744" s="142" t="str">
        <v/>
      </c>
      <c r="Q744" s="142">
        <v>54.856209150326791</v>
      </c>
      <c r="R744" s="129" t="str">
        <v>Description – likely</v>
      </c>
      <c r="S744" s="143" t="str">
        <v/>
      </c>
      <c r="T744" s="144" t="str">
        <v>SRC-00</v>
      </c>
      <c r="U744" s="129" t="str">
        <v>S+ row 518</v>
      </c>
      <c r="V744" s="129" t="str">
        <v/>
      </c>
    </row>
    <row r="745" spans="1:22" x14ac:dyDescent="0.2">
      <c r="A745" s="144" t="str">
        <v>A3</v>
      </c>
      <c r="B745" s="145">
        <v>6</v>
      </c>
      <c r="C745" s="129" t="str">
        <v>Laparotomy Adhesiolysis &amp; Parastomal Mesh Place</v>
      </c>
      <c r="D745" s="129" t="str">
        <v>A3 – Abdomen: Moderate Procedures</v>
      </c>
      <c r="E745" s="129" t="str">
        <v>06 - Abdomen</v>
      </c>
      <c r="F745" s="129" t="str">
        <v>Solutions Plus</v>
      </c>
      <c r="G745" s="144" t="str">
        <v>CON-01</v>
      </c>
      <c r="H745" s="129" t="str">
        <v>To confirm</v>
      </c>
      <c r="I745" s="144" t="str">
        <v>No</v>
      </c>
      <c r="J745" s="144" t="str">
        <v>Base</v>
      </c>
      <c r="K745" s="144" t="str">
        <v/>
      </c>
      <c r="L745" s="146">
        <v>12</v>
      </c>
      <c r="M745" s="142">
        <v>660</v>
      </c>
      <c r="N745" s="144" t="str">
        <v>Unknown</v>
      </c>
      <c r="O745" s="142" t="str">
        <v/>
      </c>
      <c r="P745" s="142" t="str">
        <v/>
      </c>
      <c r="Q745" s="142">
        <v>55</v>
      </c>
      <c r="R745" s="129" t="str">
        <v>Description – likely</v>
      </c>
      <c r="S745" s="143" t="str">
        <v/>
      </c>
      <c r="T745" s="144" t="str">
        <v>SRC-00</v>
      </c>
      <c r="U745" s="129" t="str">
        <v>S+ row 519</v>
      </c>
      <c r="V745" s="129" t="str">
        <v/>
      </c>
    </row>
    <row r="746" spans="1:22" x14ac:dyDescent="0.2">
      <c r="A746" s="144" t="str">
        <v>A4</v>
      </c>
      <c r="B746" s="145">
        <v>6</v>
      </c>
      <c r="C746" s="129" t="str">
        <v>LAVH</v>
      </c>
      <c r="D746" s="129" t="str">
        <v>A4 – Abdomen: Gynae: Moderate/Major Procedures</v>
      </c>
      <c r="E746" s="129" t="str">
        <v>06 - Abdomen</v>
      </c>
      <c r="F746" s="129" t="str">
        <v>Solutions Plus</v>
      </c>
      <c r="G746" s="144" t="str">
        <v>CON-01</v>
      </c>
      <c r="H746" s="129" t="str">
        <v>To confirm</v>
      </c>
      <c r="I746" s="144" t="str">
        <v>No</v>
      </c>
      <c r="J746" s="144" t="str">
        <v>Base</v>
      </c>
      <c r="K746" s="144" t="str">
        <v/>
      </c>
      <c r="L746" s="146">
        <v>14.3</v>
      </c>
      <c r="M746" s="142">
        <v>785.4</v>
      </c>
      <c r="N746" s="144" t="str">
        <v>Unknown</v>
      </c>
      <c r="O746" s="142" t="str">
        <v/>
      </c>
      <c r="P746" s="142" t="str">
        <v/>
      </c>
      <c r="Q746" s="142">
        <v>54.92307692307692</v>
      </c>
      <c r="R746" s="129" t="str">
        <v>Description – exact</v>
      </c>
      <c r="S746" s="143" t="str">
        <v/>
      </c>
      <c r="T746" s="144" t="str">
        <v>SRC-00</v>
      </c>
      <c r="U746" s="129" t="str">
        <v>S+ row 522</v>
      </c>
      <c r="V746" s="129" t="str">
        <v/>
      </c>
    </row>
    <row r="747" spans="1:22" x14ac:dyDescent="0.2">
      <c r="A747" s="144" t="str">
        <v>A2</v>
      </c>
      <c r="B747" s="145">
        <v>5</v>
      </c>
      <c r="C747" s="129" t="str">
        <v>Left Inguinal Hernia Repair</v>
      </c>
      <c r="D747" s="129" t="str">
        <v>A2 – Abdomen: Simple but Invasive Procedures</v>
      </c>
      <c r="E747" s="129" t="str">
        <v>06 - Abdomen</v>
      </c>
      <c r="F747" s="129" t="str">
        <v>Solutions Plus</v>
      </c>
      <c r="G747" s="144" t="str">
        <v>CON-01</v>
      </c>
      <c r="H747" s="129" t="str">
        <v>To confirm</v>
      </c>
      <c r="I747" s="144" t="str">
        <v>No</v>
      </c>
      <c r="J747" s="144" t="str">
        <v>Base</v>
      </c>
      <c r="K747" s="144" t="str">
        <v/>
      </c>
      <c r="L747" s="146">
        <v>10.199999999999999</v>
      </c>
      <c r="M747" s="142">
        <v>559.9</v>
      </c>
      <c r="N747" s="144" t="str">
        <v>Unknown</v>
      </c>
      <c r="O747" s="142" t="str">
        <v/>
      </c>
      <c r="P747" s="142" t="str">
        <v/>
      </c>
      <c r="Q747" s="142">
        <v>54.892156862745097</v>
      </c>
      <c r="R747" s="129" t="str">
        <v>Description – exact</v>
      </c>
      <c r="S747" s="143" t="str">
        <v/>
      </c>
      <c r="T747" s="144" t="str">
        <v>SRC-00</v>
      </c>
      <c r="U747" s="129" t="str">
        <v>S+ row 563</v>
      </c>
      <c r="V747" s="129" t="str">
        <v/>
      </c>
    </row>
    <row r="748" spans="1:22" x14ac:dyDescent="0.2">
      <c r="A748" s="144" t="str">
        <v>A2</v>
      </c>
      <c r="B748" s="145">
        <v>5</v>
      </c>
      <c r="C748" s="129" t="str">
        <v>Left Laparoscopic Initial Hernia Repair</v>
      </c>
      <c r="D748" s="129" t="str">
        <v>A2 – Abdomen: Simple but Invasive Procedures</v>
      </c>
      <c r="E748" s="129" t="str">
        <v>06 - Abdomen</v>
      </c>
      <c r="F748" s="129" t="str">
        <v>Solutions Plus</v>
      </c>
      <c r="G748" s="144" t="str">
        <v>CON-01</v>
      </c>
      <c r="H748" s="129" t="str">
        <v>To confirm</v>
      </c>
      <c r="I748" s="144" t="str">
        <v>No</v>
      </c>
      <c r="J748" s="144" t="str">
        <v>Base</v>
      </c>
      <c r="K748" s="144" t="str">
        <v/>
      </c>
      <c r="L748" s="146">
        <v>10</v>
      </c>
      <c r="M748" s="142">
        <v>550</v>
      </c>
      <c r="N748" s="144" t="str">
        <v>Unknown</v>
      </c>
      <c r="O748" s="142" t="str">
        <v/>
      </c>
      <c r="P748" s="142" t="str">
        <v/>
      </c>
      <c r="Q748" s="142">
        <v>55</v>
      </c>
      <c r="R748" s="129" t="str">
        <v>Description – exact</v>
      </c>
      <c r="S748" s="143" t="str">
        <v/>
      </c>
      <c r="T748" s="144" t="str">
        <v>SRC-00</v>
      </c>
      <c r="U748" s="129" t="str">
        <v>S+ row 579</v>
      </c>
      <c r="V748" s="129" t="str">
        <v/>
      </c>
    </row>
    <row r="749" spans="1:22" x14ac:dyDescent="0.2">
      <c r="A749" s="144" t="str">
        <v>A2</v>
      </c>
      <c r="B749" s="145">
        <v>5</v>
      </c>
      <c r="C749" s="129" t="str">
        <v>Left Laparoscopic Initial Hernia Repair And Umbilic</v>
      </c>
      <c r="D749" s="129" t="str">
        <v>A2 – Abdomen: Simple but Invasive Procedures</v>
      </c>
      <c r="E749" s="129" t="str">
        <v>06 - Abdomen</v>
      </c>
      <c r="F749" s="129" t="str">
        <v>Solutions Plus</v>
      </c>
      <c r="G749" s="144" t="str">
        <v>CON-01</v>
      </c>
      <c r="H749" s="129" t="str">
        <v>To confirm</v>
      </c>
      <c r="I749" s="144" t="str">
        <v>No</v>
      </c>
      <c r="J749" s="144" t="str">
        <v>Base</v>
      </c>
      <c r="K749" s="144" t="str">
        <v/>
      </c>
      <c r="L749" s="146">
        <v>0</v>
      </c>
      <c r="M749" s="142">
        <v>0</v>
      </c>
      <c r="N749" s="144" t="str">
        <v>Unknown</v>
      </c>
      <c r="O749" s="142" t="str">
        <v/>
      </c>
      <c r="P749" s="142" t="str">
        <v/>
      </c>
      <c r="Q749" s="142" t="str">
        <v/>
      </c>
      <c r="R749" s="129" t="str">
        <v>Description – exact</v>
      </c>
      <c r="S749" s="143" t="str">
        <v/>
      </c>
      <c r="T749" s="144" t="str">
        <v>SRC-00</v>
      </c>
      <c r="U749" s="129" t="str">
        <v>S+ row 580</v>
      </c>
      <c r="V749" s="129" t="str">
        <v/>
      </c>
    </row>
    <row r="750" spans="1:22" x14ac:dyDescent="0.2">
      <c r="A750" s="144" t="str">
        <v>A2</v>
      </c>
      <c r="B750" s="145">
        <v>5</v>
      </c>
      <c r="C750" s="129" t="str">
        <v>Lichtenstein Hernia Repair</v>
      </c>
      <c r="D750" s="129" t="str">
        <v>A2 – Abdomen: Simple but Invasive Procedures</v>
      </c>
      <c r="E750" s="129" t="str">
        <v>06 - Abdomen</v>
      </c>
      <c r="F750" s="129" t="str">
        <v>Solutions Plus</v>
      </c>
      <c r="G750" s="144" t="str">
        <v>CON-01</v>
      </c>
      <c r="H750" s="129" t="str">
        <v>To confirm</v>
      </c>
      <c r="I750" s="144" t="str">
        <v>No</v>
      </c>
      <c r="J750" s="144" t="str">
        <v>Base</v>
      </c>
      <c r="K750" s="144" t="str">
        <v/>
      </c>
      <c r="L750" s="146">
        <v>7.3</v>
      </c>
      <c r="M750" s="142">
        <v>402.6</v>
      </c>
      <c r="N750" s="144" t="str">
        <v>Unknown</v>
      </c>
      <c r="O750" s="142" t="str">
        <v/>
      </c>
      <c r="P750" s="142" t="str">
        <v/>
      </c>
      <c r="Q750" s="142">
        <v>55.150684931506852</v>
      </c>
      <c r="R750" s="129" t="str">
        <v>Description – exact</v>
      </c>
      <c r="S750" s="143" t="str">
        <v/>
      </c>
      <c r="T750" s="144" t="str">
        <v>SRC-00</v>
      </c>
      <c r="U750" s="129" t="str">
        <v>S+ row 609</v>
      </c>
      <c r="V750" s="129" t="str">
        <v/>
      </c>
    </row>
    <row r="751" spans="1:22" x14ac:dyDescent="0.2">
      <c r="A751" s="144" t="str">
        <v>A5</v>
      </c>
      <c r="B751" s="145">
        <v>8</v>
      </c>
      <c r="C751" s="129" t="str">
        <v>Lipoabdominoplasty</v>
      </c>
      <c r="D751" s="129" t="str">
        <v>A5 – Abdomen: Major Procedures</v>
      </c>
      <c r="E751" s="129" t="str">
        <v>06 - Abdomen</v>
      </c>
      <c r="F751" s="129" t="str">
        <v>Solutions Plus</v>
      </c>
      <c r="G751" s="144" t="str">
        <v>CON-01</v>
      </c>
      <c r="H751" s="129" t="str">
        <v>To confirm</v>
      </c>
      <c r="I751" s="144" t="str">
        <v>No</v>
      </c>
      <c r="J751" s="144" t="str">
        <v>Base</v>
      </c>
      <c r="K751" s="144" t="str">
        <v/>
      </c>
      <c r="L751" s="146">
        <v>21</v>
      </c>
      <c r="M751" s="142">
        <v>1155</v>
      </c>
      <c r="N751" s="144" t="str">
        <v>Unknown</v>
      </c>
      <c r="O751" s="142" t="str">
        <v/>
      </c>
      <c r="P751" s="142" t="str">
        <v/>
      </c>
      <c r="Q751" s="142">
        <v>55</v>
      </c>
      <c r="R751" s="129" t="str">
        <v>Description – exact</v>
      </c>
      <c r="S751" s="143" t="str">
        <v/>
      </c>
      <c r="T751" s="144" t="str">
        <v>SRC-00</v>
      </c>
      <c r="U751" s="129" t="str">
        <v>S+ row 612</v>
      </c>
      <c r="V751" s="129" t="str">
        <v/>
      </c>
    </row>
    <row r="752" spans="1:22" x14ac:dyDescent="0.2">
      <c r="A752" s="144" t="str">
        <v>A5</v>
      </c>
      <c r="B752" s="145">
        <v>8</v>
      </c>
      <c r="C752" s="129" t="str">
        <v>Liposuction</v>
      </c>
      <c r="D752" s="129" t="str">
        <v>A5 – Abdomen: Major Procedures</v>
      </c>
      <c r="E752" s="129" t="str">
        <v>06 - Abdomen</v>
      </c>
      <c r="F752" s="129" t="str">
        <v>Solutions Plus</v>
      </c>
      <c r="G752" s="144" t="str">
        <v>CON-01</v>
      </c>
      <c r="H752" s="129" t="str">
        <v>To confirm</v>
      </c>
      <c r="I752" s="144" t="str">
        <v>No</v>
      </c>
      <c r="J752" s="144" t="str">
        <v>Base</v>
      </c>
      <c r="K752" s="144" t="str">
        <v/>
      </c>
      <c r="L752" s="146">
        <v>14.5</v>
      </c>
      <c r="M752" s="142">
        <v>796.95</v>
      </c>
      <c r="N752" s="144" t="str">
        <v>Unknown</v>
      </c>
      <c r="O752" s="142" t="str">
        <v/>
      </c>
      <c r="P752" s="142" t="str">
        <v/>
      </c>
      <c r="Q752" s="142">
        <v>54.962068965517247</v>
      </c>
      <c r="R752" s="129" t="str">
        <v>Description – likely</v>
      </c>
      <c r="S752" s="143" t="str">
        <v/>
      </c>
      <c r="T752" s="144" t="str">
        <v>SRC-00</v>
      </c>
      <c r="U752" s="129" t="str">
        <v>S+ row 614</v>
      </c>
      <c r="V752" s="129" t="str">
        <v/>
      </c>
    </row>
    <row r="753" spans="1:22" x14ac:dyDescent="0.2">
      <c r="A753" s="144" t="str">
        <v>A5</v>
      </c>
      <c r="B753" s="145">
        <v>8</v>
      </c>
      <c r="C753" s="129" t="str">
        <v>Liposuction &amp; Incisional Recontouring Of Abdomin</v>
      </c>
      <c r="D753" s="129" t="str">
        <v>A5 – Abdomen: Major Procedures</v>
      </c>
      <c r="E753" s="129" t="str">
        <v>06 - Abdomen</v>
      </c>
      <c r="F753" s="129" t="str">
        <v>Solutions Plus</v>
      </c>
      <c r="G753" s="144" t="str">
        <v>CON-01</v>
      </c>
      <c r="H753" s="129" t="str">
        <v>To confirm</v>
      </c>
      <c r="I753" s="144" t="str">
        <v>No</v>
      </c>
      <c r="J753" s="144" t="str">
        <v>Base</v>
      </c>
      <c r="K753" s="144" t="str">
        <v/>
      </c>
      <c r="L753" s="146">
        <v>3</v>
      </c>
      <c r="M753" s="142">
        <v>165</v>
      </c>
      <c r="N753" s="144" t="str">
        <v>Unknown</v>
      </c>
      <c r="O753" s="142" t="str">
        <v/>
      </c>
      <c r="P753" s="142" t="str">
        <v/>
      </c>
      <c r="Q753" s="142">
        <v>55</v>
      </c>
      <c r="R753" s="129" t="str">
        <v>Description – likely</v>
      </c>
      <c r="S753" s="143" t="str">
        <v/>
      </c>
      <c r="T753" s="144" t="str">
        <v>SRC-00</v>
      </c>
      <c r="U753" s="129" t="str">
        <v>S+ row 615</v>
      </c>
      <c r="V753" s="129" t="str">
        <v/>
      </c>
    </row>
    <row r="754" spans="1:22" x14ac:dyDescent="0.2">
      <c r="A754" s="144" t="str">
        <v>A5</v>
      </c>
      <c r="B754" s="145">
        <v>8</v>
      </c>
      <c r="C754" s="129" t="str">
        <v>Lower Body Lift</v>
      </c>
      <c r="D754" s="129" t="str">
        <v>A5 – Abdomen: Major Procedures</v>
      </c>
      <c r="E754" s="129" t="str">
        <v>06 - Abdomen</v>
      </c>
      <c r="F754" s="129" t="str">
        <v>Solutions Plus</v>
      </c>
      <c r="G754" s="144" t="str">
        <v>CON-01</v>
      </c>
      <c r="H754" s="129" t="str">
        <v>To confirm</v>
      </c>
      <c r="I754" s="144" t="str">
        <v>No</v>
      </c>
      <c r="J754" s="144" t="str">
        <v>Base</v>
      </c>
      <c r="K754" s="144" t="str">
        <v/>
      </c>
      <c r="L754" s="146">
        <v>38.5</v>
      </c>
      <c r="M754" s="142">
        <v>2119.15</v>
      </c>
      <c r="N754" s="144" t="str">
        <v>Unknown</v>
      </c>
      <c r="O754" s="142" t="str">
        <v/>
      </c>
      <c r="P754" s="142" t="str">
        <v/>
      </c>
      <c r="Q754" s="142">
        <v>55.042857142857144</v>
      </c>
      <c r="R754" s="129" t="str">
        <v>Description – likely</v>
      </c>
      <c r="S754" s="143" t="str">
        <v/>
      </c>
      <c r="T754" s="144" t="str">
        <v>SRC-00</v>
      </c>
      <c r="U754" s="129" t="str">
        <v>S+ row 620</v>
      </c>
      <c r="V754" s="129" t="str">
        <v/>
      </c>
    </row>
    <row r="755" spans="1:22" x14ac:dyDescent="0.2">
      <c r="A755" s="144" t="str">
        <v>A5</v>
      </c>
      <c r="B755" s="145">
        <v>8</v>
      </c>
      <c r="C755" s="129" t="str">
        <v>Major Procedures e.g. Extensive Incisional Hernia Repair, Gynaecological Tumour Surgery, Extensive Liposuction, Abdominoplasty</v>
      </c>
      <c r="D755" s="129" t="str">
        <v>A5 – Abdomen: Major Procedures</v>
      </c>
      <c r="E755" s="129" t="str">
        <v>06 - Abdomen</v>
      </c>
      <c r="F755" s="129" t="str">
        <v>NZSA RVG</v>
      </c>
      <c r="G755" s="144" t="str">
        <v>CON-10</v>
      </c>
      <c r="H755" s="129" t="str">
        <v>Reference – units only</v>
      </c>
      <c r="I755" s="144" t="str">
        <v>No</v>
      </c>
      <c r="J755" s="144" t="str">
        <v>Base</v>
      </c>
      <c r="K755" s="144" t="str">
        <v>A5</v>
      </c>
      <c r="L755" s="146">
        <v>8</v>
      </c>
      <c r="M755" s="142" t="str">
        <v/>
      </c>
      <c r="N755" s="144" t="str">
        <v/>
      </c>
      <c r="O755" s="142" t="str">
        <v/>
      </c>
      <c r="P755" s="142" t="str">
        <v/>
      </c>
      <c r="Q755" s="142">
        <v>0</v>
      </c>
      <c r="R755" s="129" t="str">
        <v>RVG code</v>
      </c>
      <c r="S755" s="143" t="str">
        <v/>
      </c>
      <c r="T755" s="144" t="str">
        <v>SRC-01</v>
      </c>
      <c r="U755" s="129" t="str">
        <v>p.9 – Abdomen</v>
      </c>
      <c r="V755" s="129" t="str">
        <v>Reference units only – no $ fee (NZSA RVG 2021).</v>
      </c>
    </row>
    <row r="756" spans="1:22" x14ac:dyDescent="0.2">
      <c r="A756" s="144" t="str">
        <v>A3</v>
      </c>
      <c r="B756" s="145">
        <v>6</v>
      </c>
      <c r="C756" s="129" t="str">
        <v>Mesh Repair Parastomal Hernia - CDHB</v>
      </c>
      <c r="D756" s="129" t="str">
        <v>A3 – Abdomen: Moderate Procedures</v>
      </c>
      <c r="E756" s="129" t="str">
        <v>06 - Abdomen</v>
      </c>
      <c r="F756" s="129" t="str">
        <v>Solutions Plus</v>
      </c>
      <c r="G756" s="144" t="str">
        <v>CON-01</v>
      </c>
      <c r="H756" s="129" t="str">
        <v>To confirm</v>
      </c>
      <c r="I756" s="144" t="str">
        <v>No</v>
      </c>
      <c r="J756" s="144" t="str">
        <v>Base</v>
      </c>
      <c r="K756" s="144" t="str">
        <v/>
      </c>
      <c r="L756" s="146">
        <v>20.5</v>
      </c>
      <c r="M756" s="142">
        <v>1127.5</v>
      </c>
      <c r="N756" s="144" t="str">
        <v>Unknown</v>
      </c>
      <c r="O756" s="142" t="str">
        <v/>
      </c>
      <c r="P756" s="142" t="str">
        <v/>
      </c>
      <c r="Q756" s="142">
        <v>55</v>
      </c>
      <c r="R756" s="129" t="str">
        <v>Description – likely</v>
      </c>
      <c r="S756" s="143" t="str">
        <v/>
      </c>
      <c r="T756" s="144" t="str">
        <v>SRC-00</v>
      </c>
      <c r="U756" s="129" t="str">
        <v>S+ row 636</v>
      </c>
      <c r="V756" s="129" t="str">
        <v/>
      </c>
    </row>
    <row r="757" spans="1:22" x14ac:dyDescent="0.2">
      <c r="A757" s="144" t="str">
        <v>A1</v>
      </c>
      <c r="B757" s="145">
        <v>4</v>
      </c>
      <c r="C757" s="129" t="str">
        <v>Minor Procedures e.g. Excision Of Skin Lesions, Egg Pick-up (Sedation)</v>
      </c>
      <c r="D757" s="129" t="str">
        <v>A1 – Abdomen: Minor Procedures</v>
      </c>
      <c r="E757" s="129" t="str">
        <v>06 - Abdomen</v>
      </c>
      <c r="F757" s="129" t="str">
        <v>NZSA RVG</v>
      </c>
      <c r="G757" s="144" t="str">
        <v>CON-10</v>
      </c>
      <c r="H757" s="129" t="str">
        <v>Reference – units only</v>
      </c>
      <c r="I757" s="144" t="str">
        <v>No</v>
      </c>
      <c r="J757" s="144" t="str">
        <v>Base</v>
      </c>
      <c r="K757" s="144" t="str">
        <v>A1</v>
      </c>
      <c r="L757" s="146">
        <v>4</v>
      </c>
      <c r="M757" s="142" t="str">
        <v/>
      </c>
      <c r="N757" s="144" t="str">
        <v/>
      </c>
      <c r="O757" s="142" t="str">
        <v/>
      </c>
      <c r="P757" s="142" t="str">
        <v/>
      </c>
      <c r="Q757" s="142">
        <v>0</v>
      </c>
      <c r="R757" s="129" t="str">
        <v>RVG code</v>
      </c>
      <c r="S757" s="143" t="str">
        <v/>
      </c>
      <c r="T757" s="144" t="str">
        <v>SRC-01</v>
      </c>
      <c r="U757" s="129" t="str">
        <v>p.9 – Abdomen</v>
      </c>
      <c r="V757" s="129" t="str">
        <v>Reference units only – no $ fee (NZSA RVG 2021). Code also used for Age modifier (A1)</v>
      </c>
    </row>
    <row r="758" spans="1:22" x14ac:dyDescent="0.2">
      <c r="A758" s="144" t="str">
        <v>A3</v>
      </c>
      <c r="B758" s="145">
        <v>6</v>
      </c>
      <c r="C758" s="129" t="str">
        <v>Moderate Procedures e.g. Incisional Hernia Repair, Laparoscopic Cholecystectomy, Appendectomy, Ectopic Pregnancy</v>
      </c>
      <c r="D758" s="129" t="str">
        <v>A3 – Abdomen: Moderate Procedures</v>
      </c>
      <c r="E758" s="129" t="str">
        <v>06 - Abdomen</v>
      </c>
      <c r="F758" s="129" t="str">
        <v>NZSA RVG</v>
      </c>
      <c r="G758" s="144" t="str">
        <v>CON-10</v>
      </c>
      <c r="H758" s="129" t="str">
        <v>Reference – units only</v>
      </c>
      <c r="I758" s="144" t="str">
        <v>No</v>
      </c>
      <c r="J758" s="144" t="str">
        <v>Base</v>
      </c>
      <c r="K758" s="144" t="str">
        <v>A3</v>
      </c>
      <c r="L758" s="146">
        <v>6</v>
      </c>
      <c r="M758" s="142" t="str">
        <v/>
      </c>
      <c r="N758" s="144" t="str">
        <v/>
      </c>
      <c r="O758" s="142" t="str">
        <v/>
      </c>
      <c r="P758" s="142" t="str">
        <v/>
      </c>
      <c r="Q758" s="142">
        <v>0</v>
      </c>
      <c r="R758" s="129" t="str">
        <v>RVG code</v>
      </c>
      <c r="S758" s="143" t="str">
        <v/>
      </c>
      <c r="T758" s="144" t="str">
        <v>SRC-01</v>
      </c>
      <c r="U758" s="129" t="str">
        <v>p.9 – Abdomen</v>
      </c>
      <c r="V758" s="129" t="str">
        <v>Reference units only – no $ fee (NZSA RVG 2021).</v>
      </c>
    </row>
    <row r="759" spans="1:22" x14ac:dyDescent="0.2">
      <c r="A759" s="144" t="str">
        <v>A4</v>
      </c>
      <c r="B759" s="145">
        <v>6</v>
      </c>
      <c r="C759" s="129" t="str">
        <v>Myomectomy</v>
      </c>
      <c r="D759" s="129" t="str">
        <v>A4 – Abdomen: Gynae: Moderate/Major Procedures</v>
      </c>
      <c r="E759" s="129" t="str">
        <v>06 - Abdomen</v>
      </c>
      <c r="F759" s="129" t="str">
        <v>Solutions Plus</v>
      </c>
      <c r="G759" s="144" t="str">
        <v>CON-01</v>
      </c>
      <c r="H759" s="129" t="str">
        <v>To confirm</v>
      </c>
      <c r="I759" s="144" t="str">
        <v>No</v>
      </c>
      <c r="J759" s="144" t="str">
        <v>Base</v>
      </c>
      <c r="K759" s="144" t="str">
        <v/>
      </c>
      <c r="L759" s="146">
        <v>15.5</v>
      </c>
      <c r="M759" s="142">
        <v>852.5</v>
      </c>
      <c r="N759" s="144" t="str">
        <v>Unknown</v>
      </c>
      <c r="O759" s="142" t="str">
        <v/>
      </c>
      <c r="P759" s="142" t="str">
        <v/>
      </c>
      <c r="Q759" s="142">
        <v>55</v>
      </c>
      <c r="R759" s="129" t="str">
        <v>Description – likely</v>
      </c>
      <c r="S759" s="143" t="str">
        <v/>
      </c>
      <c r="T759" s="144" t="str">
        <v>SRC-00</v>
      </c>
      <c r="U759" s="129" t="str">
        <v>S+ row 652</v>
      </c>
      <c r="V759" s="129" t="str">
        <v/>
      </c>
    </row>
    <row r="760" spans="1:22" x14ac:dyDescent="0.2">
      <c r="A760" s="144" t="str">
        <v>A4</v>
      </c>
      <c r="B760" s="145">
        <v>6</v>
      </c>
      <c r="C760" s="129" t="str">
        <v>Oophorectomy</v>
      </c>
      <c r="D760" s="129" t="str">
        <v>A4 – Abdomen: Gynae: Moderate/Major Procedures</v>
      </c>
      <c r="E760" s="129" t="str">
        <v>06 - Abdomen</v>
      </c>
      <c r="F760" s="129" t="str">
        <v>Solutions Plus</v>
      </c>
      <c r="G760" s="144" t="str">
        <v>CON-01</v>
      </c>
      <c r="H760" s="129" t="str">
        <v>To confirm</v>
      </c>
      <c r="I760" s="144" t="str">
        <v>No</v>
      </c>
      <c r="J760" s="144" t="str">
        <v>Base</v>
      </c>
      <c r="K760" s="144" t="str">
        <v/>
      </c>
      <c r="L760" s="146">
        <v>12</v>
      </c>
      <c r="M760" s="142">
        <v>660</v>
      </c>
      <c r="N760" s="144" t="str">
        <v>Unknown</v>
      </c>
      <c r="O760" s="142" t="str">
        <v/>
      </c>
      <c r="P760" s="142" t="str">
        <v/>
      </c>
      <c r="Q760" s="142">
        <v>55</v>
      </c>
      <c r="R760" s="129" t="str">
        <v>Description – exact</v>
      </c>
      <c r="S760" s="143" t="str">
        <v/>
      </c>
      <c r="T760" s="144" t="str">
        <v>SRC-00</v>
      </c>
      <c r="U760" s="129" t="str">
        <v>S+ row 659</v>
      </c>
      <c r="V760" s="129" t="str">
        <v/>
      </c>
    </row>
    <row r="761" spans="1:22" x14ac:dyDescent="0.2">
      <c r="A761" s="144" t="str">
        <v>A2</v>
      </c>
      <c r="B761" s="145">
        <v>5</v>
      </c>
      <c r="C761" s="129" t="str">
        <v>Open BIH With Removal Of Penile Tubing</v>
      </c>
      <c r="D761" s="129" t="str">
        <v>A2 – Abdomen: Simple but Invasive Procedures</v>
      </c>
      <c r="E761" s="129" t="str">
        <v>06 - Abdomen</v>
      </c>
      <c r="F761" s="129" t="str">
        <v>Solutions Plus</v>
      </c>
      <c r="G761" s="144" t="str">
        <v>CON-01</v>
      </c>
      <c r="H761" s="129" t="str">
        <v>To confirm</v>
      </c>
      <c r="I761" s="144" t="str">
        <v>No</v>
      </c>
      <c r="J761" s="144" t="str">
        <v>Base</v>
      </c>
      <c r="K761" s="144" t="str">
        <v/>
      </c>
      <c r="L761" s="146">
        <v>0</v>
      </c>
      <c r="M761" s="142">
        <v>0</v>
      </c>
      <c r="N761" s="144" t="str">
        <v>Unknown</v>
      </c>
      <c r="O761" s="142" t="str">
        <v/>
      </c>
      <c r="P761" s="142" t="str">
        <v/>
      </c>
      <c r="Q761" s="142" t="str">
        <v/>
      </c>
      <c r="R761" s="129" t="str">
        <v>Description – likely</v>
      </c>
      <c r="S761" s="143" t="str">
        <v/>
      </c>
      <c r="T761" s="144" t="str">
        <v>SRC-00</v>
      </c>
      <c r="U761" s="129" t="str">
        <v>S+ row 661</v>
      </c>
      <c r="V761" s="129" t="str">
        <v/>
      </c>
    </row>
    <row r="762" spans="1:22" x14ac:dyDescent="0.2">
      <c r="A762" s="144" t="str">
        <v>A2</v>
      </c>
      <c r="B762" s="145">
        <v>5</v>
      </c>
      <c r="C762" s="129" t="str">
        <v>Open Left Inguinal Hernia Repair</v>
      </c>
      <c r="D762" s="129" t="str">
        <v>A2 – Abdomen: Simple but Invasive Procedures</v>
      </c>
      <c r="E762" s="129" t="str">
        <v>06 - Abdomen</v>
      </c>
      <c r="F762" s="129" t="str">
        <v>Solutions Plus</v>
      </c>
      <c r="G762" s="144" t="str">
        <v>CON-01</v>
      </c>
      <c r="H762" s="129" t="str">
        <v>To confirm</v>
      </c>
      <c r="I762" s="144" t="str">
        <v>No</v>
      </c>
      <c r="J762" s="144" t="str">
        <v>Base</v>
      </c>
      <c r="K762" s="144" t="str">
        <v/>
      </c>
      <c r="L762" s="146">
        <v>11.6</v>
      </c>
      <c r="M762" s="142">
        <v>635.79999999999995</v>
      </c>
      <c r="N762" s="144" t="str">
        <v>Unknown</v>
      </c>
      <c r="O762" s="142" t="str">
        <v/>
      </c>
      <c r="P762" s="142" t="str">
        <v/>
      </c>
      <c r="Q762" s="142">
        <v>54.810344827586206</v>
      </c>
      <c r="R762" s="129" t="str">
        <v>Description – exact</v>
      </c>
      <c r="S762" s="143" t="str">
        <v/>
      </c>
      <c r="T762" s="144" t="str">
        <v>SRC-00</v>
      </c>
      <c r="U762" s="129" t="str">
        <v>S+ row 663</v>
      </c>
      <c r="V762" s="129" t="str">
        <v/>
      </c>
    </row>
    <row r="763" spans="1:22" x14ac:dyDescent="0.2">
      <c r="A763" s="144" t="str">
        <v>A2</v>
      </c>
      <c r="B763" s="145">
        <v>5</v>
      </c>
      <c r="C763" s="129" t="str">
        <v>Open Mesh Inguinal Hernia Repair</v>
      </c>
      <c r="D763" s="129" t="str">
        <v>A2 – Abdomen: Simple but Invasive Procedures</v>
      </c>
      <c r="E763" s="129" t="str">
        <v>06 - Abdomen</v>
      </c>
      <c r="F763" s="129" t="str">
        <v>Solutions Plus</v>
      </c>
      <c r="G763" s="144" t="str">
        <v>CON-01</v>
      </c>
      <c r="H763" s="129" t="str">
        <v>To confirm</v>
      </c>
      <c r="I763" s="144" t="str">
        <v>No</v>
      </c>
      <c r="J763" s="144" t="str">
        <v>Base</v>
      </c>
      <c r="K763" s="144" t="str">
        <v/>
      </c>
      <c r="L763" s="146">
        <v>12</v>
      </c>
      <c r="M763" s="142">
        <v>660</v>
      </c>
      <c r="N763" s="144" t="str">
        <v>Unknown</v>
      </c>
      <c r="O763" s="142" t="str">
        <v/>
      </c>
      <c r="P763" s="142" t="str">
        <v/>
      </c>
      <c r="Q763" s="142">
        <v>55</v>
      </c>
      <c r="R763" s="129" t="str">
        <v>Description – exact</v>
      </c>
      <c r="S763" s="143" t="str">
        <v/>
      </c>
      <c r="T763" s="144" t="str">
        <v>SRC-00</v>
      </c>
      <c r="U763" s="129" t="str">
        <v>S+ row 664</v>
      </c>
      <c r="V763" s="129" t="str">
        <v/>
      </c>
    </row>
    <row r="764" spans="1:22" x14ac:dyDescent="0.2">
      <c r="A764" s="144" t="str">
        <v>A2</v>
      </c>
      <c r="B764" s="145">
        <v>5</v>
      </c>
      <c r="C764" s="129" t="str">
        <v>Open Mesh Repair Left Inguinal Hernia</v>
      </c>
      <c r="D764" s="129" t="str">
        <v>A2 – Abdomen: Simple but Invasive Procedures</v>
      </c>
      <c r="E764" s="129" t="str">
        <v>06 - Abdomen</v>
      </c>
      <c r="F764" s="129" t="str">
        <v>Solutions Plus</v>
      </c>
      <c r="G764" s="144" t="str">
        <v>CON-01</v>
      </c>
      <c r="H764" s="129" t="str">
        <v>To confirm</v>
      </c>
      <c r="I764" s="144" t="str">
        <v>No</v>
      </c>
      <c r="J764" s="144" t="str">
        <v>Base</v>
      </c>
      <c r="K764" s="144" t="str">
        <v/>
      </c>
      <c r="L764" s="146">
        <v>11</v>
      </c>
      <c r="M764" s="142">
        <v>607.20000000000005</v>
      </c>
      <c r="N764" s="144" t="str">
        <v>Unknown</v>
      </c>
      <c r="O764" s="142" t="str">
        <v/>
      </c>
      <c r="P764" s="142" t="str">
        <v/>
      </c>
      <c r="Q764" s="142">
        <v>55.2</v>
      </c>
      <c r="R764" s="129" t="str">
        <v>Description – exact</v>
      </c>
      <c r="S764" s="143" t="str">
        <v/>
      </c>
      <c r="T764" s="144" t="str">
        <v>SRC-00</v>
      </c>
      <c r="U764" s="129" t="str">
        <v>S+ row 665</v>
      </c>
      <c r="V764" s="129" t="str">
        <v/>
      </c>
    </row>
    <row r="765" spans="1:22" x14ac:dyDescent="0.2">
      <c r="A765" s="144" t="str">
        <v>A2</v>
      </c>
      <c r="B765" s="145">
        <v>5</v>
      </c>
      <c r="C765" s="129" t="str">
        <v>Open Mesh Repair Right Inguinal Hernia</v>
      </c>
      <c r="D765" s="129" t="str">
        <v>A2 – Abdomen: Simple but Invasive Procedures</v>
      </c>
      <c r="E765" s="129" t="str">
        <v>06 - Abdomen</v>
      </c>
      <c r="F765" s="129" t="str">
        <v>Solutions Plus</v>
      </c>
      <c r="G765" s="144" t="str">
        <v>CON-01</v>
      </c>
      <c r="H765" s="129" t="str">
        <v>To confirm</v>
      </c>
      <c r="I765" s="144" t="str">
        <v>No</v>
      </c>
      <c r="J765" s="144" t="str">
        <v>Base</v>
      </c>
      <c r="K765" s="144" t="str">
        <v/>
      </c>
      <c r="L765" s="146">
        <v>10.6</v>
      </c>
      <c r="M765" s="142">
        <v>582.45000000000005</v>
      </c>
      <c r="N765" s="144" t="str">
        <v>Unknown</v>
      </c>
      <c r="O765" s="142" t="str">
        <v/>
      </c>
      <c r="P765" s="142" t="str">
        <v/>
      </c>
      <c r="Q765" s="142">
        <v>54.948113207547173</v>
      </c>
      <c r="R765" s="129" t="str">
        <v>Description – exact</v>
      </c>
      <c r="S765" s="143" t="str">
        <v/>
      </c>
      <c r="T765" s="144" t="str">
        <v>SRC-00</v>
      </c>
      <c r="U765" s="129" t="str">
        <v>S+ row 666</v>
      </c>
      <c r="V765" s="129" t="str">
        <v/>
      </c>
    </row>
    <row r="766" spans="1:22" x14ac:dyDescent="0.2">
      <c r="A766" s="144" t="str">
        <v>A2</v>
      </c>
      <c r="B766" s="145">
        <v>5</v>
      </c>
      <c r="C766" s="129" t="str">
        <v>Open Preperitoneal Mesh Repair Left Current Femor</v>
      </c>
      <c r="D766" s="129" t="str">
        <v>A2 – Abdomen: Simple but Invasive Procedures</v>
      </c>
      <c r="E766" s="129" t="str">
        <v>06 - Abdomen</v>
      </c>
      <c r="F766" s="129" t="str">
        <v>Solutions Plus</v>
      </c>
      <c r="G766" s="144" t="str">
        <v>CON-01</v>
      </c>
      <c r="H766" s="129" t="str">
        <v>To confirm</v>
      </c>
      <c r="I766" s="144" t="str">
        <v>No</v>
      </c>
      <c r="J766" s="144" t="str">
        <v>Base</v>
      </c>
      <c r="K766" s="144" t="str">
        <v/>
      </c>
      <c r="L766" s="146">
        <v>14</v>
      </c>
      <c r="M766" s="142">
        <v>770</v>
      </c>
      <c r="N766" s="144" t="str">
        <v>Unknown</v>
      </c>
      <c r="O766" s="142" t="str">
        <v/>
      </c>
      <c r="P766" s="142" t="str">
        <v/>
      </c>
      <c r="Q766" s="142">
        <v>55</v>
      </c>
      <c r="R766" s="129" t="str">
        <v>Description – likely</v>
      </c>
      <c r="S766" s="143" t="str">
        <v/>
      </c>
      <c r="T766" s="144" t="str">
        <v>SRC-00</v>
      </c>
      <c r="U766" s="129" t="str">
        <v>S+ row 667</v>
      </c>
      <c r="V766" s="129" t="str">
        <v/>
      </c>
    </row>
    <row r="767" spans="1:22" x14ac:dyDescent="0.2">
      <c r="A767" s="144" t="str">
        <v>A4</v>
      </c>
      <c r="B767" s="145">
        <v>6</v>
      </c>
      <c r="C767" s="129" t="str">
        <v>Open Salpingectomy &amp; Colposuspension</v>
      </c>
      <c r="D767" s="129" t="str">
        <v>A4 – Abdomen: Gynae: Moderate/Major Procedures</v>
      </c>
      <c r="E767" s="129" t="str">
        <v>06 - Abdomen</v>
      </c>
      <c r="F767" s="129" t="str">
        <v>Solutions Plus</v>
      </c>
      <c r="G767" s="144" t="str">
        <v>CON-01</v>
      </c>
      <c r="H767" s="129" t="str">
        <v>To confirm</v>
      </c>
      <c r="I767" s="144" t="str">
        <v>No</v>
      </c>
      <c r="J767" s="144" t="str">
        <v>Base</v>
      </c>
      <c r="K767" s="144" t="str">
        <v/>
      </c>
      <c r="L767" s="146">
        <v>10</v>
      </c>
      <c r="M767" s="142">
        <v>550</v>
      </c>
      <c r="N767" s="144" t="str">
        <v>Unknown</v>
      </c>
      <c r="O767" s="142" t="str">
        <v/>
      </c>
      <c r="P767" s="142" t="str">
        <v/>
      </c>
      <c r="Q767" s="142">
        <v>55</v>
      </c>
      <c r="R767" s="129" t="str">
        <v>Description – likely</v>
      </c>
      <c r="S767" s="143" t="str">
        <v/>
      </c>
      <c r="T767" s="144" t="str">
        <v>SRC-00</v>
      </c>
      <c r="U767" s="129" t="str">
        <v>S+ row 670</v>
      </c>
      <c r="V767" s="129" t="str">
        <v/>
      </c>
    </row>
    <row r="768" spans="1:22" x14ac:dyDescent="0.2">
      <c r="A768" s="144" t="str">
        <v>A2</v>
      </c>
      <c r="B768" s="145">
        <v>5</v>
      </c>
      <c r="C768" s="129" t="str">
        <v>Open Umbicical Hernia Repair</v>
      </c>
      <c r="D768" s="129" t="str">
        <v>A2 – Abdomen: Simple but Invasive Procedures</v>
      </c>
      <c r="E768" s="129" t="str">
        <v>06 - Abdomen</v>
      </c>
      <c r="F768" s="129" t="str">
        <v>Solutions Plus</v>
      </c>
      <c r="G768" s="144" t="str">
        <v>CON-01</v>
      </c>
      <c r="H768" s="129" t="str">
        <v>To confirm</v>
      </c>
      <c r="I768" s="144" t="str">
        <v>No</v>
      </c>
      <c r="J768" s="144" t="str">
        <v>Base</v>
      </c>
      <c r="K768" s="144" t="str">
        <v/>
      </c>
      <c r="L768" s="146">
        <v>9.5</v>
      </c>
      <c r="M768" s="142">
        <v>521.95000000000005</v>
      </c>
      <c r="N768" s="144" t="str">
        <v>Unknown</v>
      </c>
      <c r="O768" s="142" t="str">
        <v/>
      </c>
      <c r="P768" s="142" t="str">
        <v/>
      </c>
      <c r="Q768" s="142">
        <v>54.942105263157899</v>
      </c>
      <c r="R768" s="129" t="str">
        <v>Description – exact</v>
      </c>
      <c r="S768" s="143" t="str">
        <v/>
      </c>
      <c r="T768" s="144" t="str">
        <v>SRC-00</v>
      </c>
      <c r="U768" s="129" t="str">
        <v>S+ row 674</v>
      </c>
      <c r="V768" s="129" t="str">
        <v/>
      </c>
    </row>
    <row r="769" spans="1:22" x14ac:dyDescent="0.2">
      <c r="A769" s="144" t="str">
        <v>A5</v>
      </c>
      <c r="B769" s="145">
        <v>8</v>
      </c>
      <c r="C769" s="129" t="str">
        <v>Posterior Body Lift; Fat Grafting Bilateral Breasts</v>
      </c>
      <c r="D769" s="129" t="str">
        <v>A5 – Abdomen: Major Procedures</v>
      </c>
      <c r="E769" s="129" t="str">
        <v>06 - Abdomen</v>
      </c>
      <c r="F769" s="129" t="str">
        <v>Solutions Plus</v>
      </c>
      <c r="G769" s="144" t="str">
        <v>CON-01</v>
      </c>
      <c r="H769" s="129" t="str">
        <v>To confirm</v>
      </c>
      <c r="I769" s="144" t="str">
        <v>No</v>
      </c>
      <c r="J769" s="144" t="str">
        <v>Base</v>
      </c>
      <c r="K769" s="144" t="str">
        <v/>
      </c>
      <c r="L769" s="146">
        <v>30</v>
      </c>
      <c r="M769" s="142">
        <v>1650</v>
      </c>
      <c r="N769" s="144" t="str">
        <v>Unknown</v>
      </c>
      <c r="O769" s="142" t="str">
        <v/>
      </c>
      <c r="P769" s="142" t="str">
        <v/>
      </c>
      <c r="Q769" s="142">
        <v>55</v>
      </c>
      <c r="R769" s="129" t="str">
        <v>Description – likely</v>
      </c>
      <c r="S769" s="143" t="str">
        <v/>
      </c>
      <c r="T769" s="144" t="str">
        <v>SRC-00</v>
      </c>
      <c r="U769" s="129" t="str">
        <v>S+ row 700</v>
      </c>
      <c r="V769" s="129" t="str">
        <v/>
      </c>
    </row>
    <row r="770" spans="1:22" x14ac:dyDescent="0.2">
      <c r="A770" s="144" t="str">
        <v>A2</v>
      </c>
      <c r="B770" s="145">
        <v>5</v>
      </c>
      <c r="C770" s="129" t="str">
        <v>Repair Recurrent Umbilical Hernia &amp; Encysted Hae</v>
      </c>
      <c r="D770" s="129" t="str">
        <v>A2 – Abdomen: Simple but Invasive Procedures</v>
      </c>
      <c r="E770" s="129" t="str">
        <v>06 - Abdomen</v>
      </c>
      <c r="F770" s="129" t="str">
        <v>Solutions Plus</v>
      </c>
      <c r="G770" s="144" t="str">
        <v>CON-01</v>
      </c>
      <c r="H770" s="129" t="str">
        <v>To confirm</v>
      </c>
      <c r="I770" s="144" t="str">
        <v>No</v>
      </c>
      <c r="J770" s="144" t="str">
        <v>Base</v>
      </c>
      <c r="K770" s="144" t="str">
        <v/>
      </c>
      <c r="L770" s="146">
        <v>11</v>
      </c>
      <c r="M770" s="142">
        <v>605</v>
      </c>
      <c r="N770" s="144" t="str">
        <v>Unknown</v>
      </c>
      <c r="O770" s="142" t="str">
        <v/>
      </c>
      <c r="P770" s="142" t="str">
        <v/>
      </c>
      <c r="Q770" s="142">
        <v>55</v>
      </c>
      <c r="R770" s="129" t="str">
        <v>Description – exact</v>
      </c>
      <c r="S770" s="143" t="str">
        <v/>
      </c>
      <c r="T770" s="144" t="str">
        <v>SRC-00</v>
      </c>
      <c r="U770" s="129" t="str">
        <v>S+ row 740</v>
      </c>
      <c r="V770" s="129" t="str">
        <v/>
      </c>
    </row>
    <row r="771" spans="1:22" x14ac:dyDescent="0.2">
      <c r="A771" s="144" t="str">
        <v>A4</v>
      </c>
      <c r="B771" s="145">
        <v>6</v>
      </c>
      <c r="C771" s="129" t="str">
        <v>Reversal Sterilization</v>
      </c>
      <c r="D771" s="129" t="str">
        <v>A4 – Abdomen: Gynae: Moderate/Major Procedures</v>
      </c>
      <c r="E771" s="129" t="str">
        <v>06 - Abdomen</v>
      </c>
      <c r="F771" s="129" t="str">
        <v>Solutions Plus</v>
      </c>
      <c r="G771" s="144" t="str">
        <v>CON-01</v>
      </c>
      <c r="H771" s="129" t="str">
        <v>To confirm</v>
      </c>
      <c r="I771" s="144" t="str">
        <v>No</v>
      </c>
      <c r="J771" s="144" t="str">
        <v>Base</v>
      </c>
      <c r="K771" s="144" t="str">
        <v/>
      </c>
      <c r="L771" s="146">
        <v>14</v>
      </c>
      <c r="M771" s="142">
        <v>770</v>
      </c>
      <c r="N771" s="144" t="str">
        <v>Unknown</v>
      </c>
      <c r="O771" s="142" t="str">
        <v/>
      </c>
      <c r="P771" s="142" t="str">
        <v/>
      </c>
      <c r="Q771" s="142">
        <v>55</v>
      </c>
      <c r="R771" s="129" t="str">
        <v>Description – likely</v>
      </c>
      <c r="S771" s="143" t="str">
        <v/>
      </c>
      <c r="T771" s="144" t="str">
        <v>SRC-00</v>
      </c>
      <c r="U771" s="129" t="str">
        <v>S+ row 751</v>
      </c>
      <c r="V771" s="129" t="str">
        <v/>
      </c>
    </row>
    <row r="772" spans="1:22" x14ac:dyDescent="0.2">
      <c r="A772" s="144" t="str">
        <v>A5</v>
      </c>
      <c r="B772" s="145">
        <v>8</v>
      </c>
      <c r="C772" s="129" t="str">
        <v>ROXO Vertical Abdominoplasty</v>
      </c>
      <c r="D772" s="129" t="str">
        <v>A5 – Abdomen: Major Procedures</v>
      </c>
      <c r="E772" s="129" t="str">
        <v>06 - Abdomen</v>
      </c>
      <c r="F772" s="129" t="str">
        <v>Solutions Plus</v>
      </c>
      <c r="G772" s="144" t="str">
        <v>CON-01</v>
      </c>
      <c r="H772" s="129" t="str">
        <v>To confirm</v>
      </c>
      <c r="I772" s="144" t="str">
        <v>No</v>
      </c>
      <c r="J772" s="144" t="str">
        <v>Base</v>
      </c>
      <c r="K772" s="144" t="str">
        <v/>
      </c>
      <c r="L772" s="146">
        <v>14.5</v>
      </c>
      <c r="M772" s="142">
        <v>797.5</v>
      </c>
      <c r="N772" s="144" t="str">
        <v>Unknown</v>
      </c>
      <c r="O772" s="142" t="str">
        <v/>
      </c>
      <c r="P772" s="142" t="str">
        <v/>
      </c>
      <c r="Q772" s="142">
        <v>55</v>
      </c>
      <c r="R772" s="129" t="str">
        <v>Description – exact</v>
      </c>
      <c r="S772" s="143" t="str">
        <v/>
      </c>
      <c r="T772" s="144" t="str">
        <v>SRC-00</v>
      </c>
      <c r="U772" s="129" t="str">
        <v>S+ row 852</v>
      </c>
      <c r="V772" s="129" t="str">
        <v/>
      </c>
    </row>
    <row r="773" spans="1:22" x14ac:dyDescent="0.2">
      <c r="A773" s="144" t="str">
        <v>A1</v>
      </c>
      <c r="B773" s="145">
        <v>4</v>
      </c>
      <c r="C773" s="129" t="str">
        <v>Scar Revision - Abdoment</v>
      </c>
      <c r="D773" s="129" t="str">
        <v>A1 – Abdomen: Minor Procedures</v>
      </c>
      <c r="E773" s="129" t="str">
        <v>06 - Abdomen</v>
      </c>
      <c r="F773" s="129" t="str">
        <v>Solutions Plus</v>
      </c>
      <c r="G773" s="144" t="str">
        <v>CON-01</v>
      </c>
      <c r="H773" s="129" t="str">
        <v>To confirm</v>
      </c>
      <c r="I773" s="144" t="str">
        <v>No</v>
      </c>
      <c r="J773" s="144" t="str">
        <v>Base</v>
      </c>
      <c r="K773" s="144" t="str">
        <v/>
      </c>
      <c r="L773" s="146">
        <v>8</v>
      </c>
      <c r="M773" s="142">
        <v>440</v>
      </c>
      <c r="N773" s="144" t="str">
        <v>Unknown</v>
      </c>
      <c r="O773" s="142" t="str">
        <v/>
      </c>
      <c r="P773" s="142" t="str">
        <v/>
      </c>
      <c r="Q773" s="142">
        <v>55</v>
      </c>
      <c r="R773" s="129" t="str">
        <v>Description – likely</v>
      </c>
      <c r="S773" s="143" t="str">
        <v/>
      </c>
      <c r="T773" s="144" t="str">
        <v>SRC-00</v>
      </c>
      <c r="U773" s="129" t="str">
        <v>S+ row 856</v>
      </c>
      <c r="V773" s="129" t="str">
        <v/>
      </c>
    </row>
    <row r="774" spans="1:22" x14ac:dyDescent="0.2">
      <c r="A774" s="144" t="str">
        <v>A2</v>
      </c>
      <c r="B774" s="145">
        <v>5</v>
      </c>
      <c r="C774" s="129" t="str">
        <v>Simple but Invasive Procedures e.g. Hernias (Open + Laparoscopic), Gynae: Diagnostic Laparoscopy, Tubal Ligation, Ovarian Egg Pick-up (GA)</v>
      </c>
      <c r="D774" s="129" t="str">
        <v>A2 – Abdomen: Simple but Invasive Procedures</v>
      </c>
      <c r="E774" s="129" t="str">
        <v>06 - Abdomen</v>
      </c>
      <c r="F774" s="129" t="str">
        <v>NZSA RVG</v>
      </c>
      <c r="G774" s="144" t="str">
        <v>CON-10</v>
      </c>
      <c r="H774" s="129" t="str">
        <v>Reference – units only</v>
      </c>
      <c r="I774" s="144" t="str">
        <v>No</v>
      </c>
      <c r="J774" s="144" t="str">
        <v>Base</v>
      </c>
      <c r="K774" s="144" t="str">
        <v>A2</v>
      </c>
      <c r="L774" s="146">
        <v>5</v>
      </c>
      <c r="M774" s="142" t="str">
        <v/>
      </c>
      <c r="N774" s="144" t="str">
        <v/>
      </c>
      <c r="O774" s="142" t="str">
        <v/>
      </c>
      <c r="P774" s="142" t="str">
        <v/>
      </c>
      <c r="Q774" s="142">
        <v>0</v>
      </c>
      <c r="R774" s="129" t="str">
        <v>RVG code</v>
      </c>
      <c r="S774" s="143" t="str">
        <v/>
      </c>
      <c r="T774" s="144" t="str">
        <v>SRC-01</v>
      </c>
      <c r="U774" s="129" t="str">
        <v>p.9 – Abdomen</v>
      </c>
      <c r="V774" s="129" t="str">
        <v>Reference units only – no $ fee (NZSA RVG 2021). Code also used for Age modifier (A2)</v>
      </c>
    </row>
    <row r="775" spans="1:22" x14ac:dyDescent="0.2">
      <c r="A775" s="144" t="str">
        <v>A4</v>
      </c>
      <c r="B775" s="145">
        <v>6</v>
      </c>
      <c r="C775" s="129" t="str">
        <v>Sling Colposuspension</v>
      </c>
      <c r="D775" s="129" t="str">
        <v>A4 – Abdomen: Gynae: Moderate/Major Procedures</v>
      </c>
      <c r="E775" s="129" t="str">
        <v>06 - Abdomen</v>
      </c>
      <c r="F775" s="129" t="str">
        <v>Solutions Plus</v>
      </c>
      <c r="G775" s="144" t="str">
        <v>CON-01</v>
      </c>
      <c r="H775" s="129" t="str">
        <v>To confirm</v>
      </c>
      <c r="I775" s="144" t="str">
        <v>No</v>
      </c>
      <c r="J775" s="144" t="str">
        <v>Base</v>
      </c>
      <c r="K775" s="144" t="str">
        <v/>
      </c>
      <c r="L775" s="146">
        <v>11.3</v>
      </c>
      <c r="M775" s="142">
        <v>623.70000000000005</v>
      </c>
      <c r="N775" s="144" t="str">
        <v>Unknown</v>
      </c>
      <c r="O775" s="142" t="str">
        <v/>
      </c>
      <c r="P775" s="142" t="str">
        <v/>
      </c>
      <c r="Q775" s="142">
        <v>55.194690265486727</v>
      </c>
      <c r="R775" s="129" t="str">
        <v>Description – likely</v>
      </c>
      <c r="S775" s="143" t="str">
        <v/>
      </c>
      <c r="T775" s="144" t="str">
        <v>SRC-00</v>
      </c>
      <c r="U775" s="129" t="str">
        <v>S+ row 881</v>
      </c>
      <c r="V775" s="129" t="str">
        <v/>
      </c>
    </row>
    <row r="776" spans="1:22" x14ac:dyDescent="0.2">
      <c r="A776" s="144" t="str">
        <v>A2</v>
      </c>
      <c r="B776" s="145">
        <v>5</v>
      </c>
      <c r="C776" s="129" t="str">
        <v>Split Account - Right Inguinal Hernia - SXAP</v>
      </c>
      <c r="D776" s="129" t="str">
        <v>A2 – Abdomen: Simple but Invasive Procedures</v>
      </c>
      <c r="E776" s="129" t="str">
        <v>06 - Abdomen</v>
      </c>
      <c r="F776" s="129" t="str">
        <v>Solutions Plus</v>
      </c>
      <c r="G776" s="144" t="str">
        <v>CON-01</v>
      </c>
      <c r="H776" s="129" t="str">
        <v>To confirm</v>
      </c>
      <c r="I776" s="144" t="str">
        <v>No</v>
      </c>
      <c r="J776" s="144" t="str">
        <v>Base</v>
      </c>
      <c r="K776" s="144" t="str">
        <v/>
      </c>
      <c r="L776" s="146">
        <v>5</v>
      </c>
      <c r="M776" s="142">
        <v>275</v>
      </c>
      <c r="N776" s="144" t="str">
        <v>Unknown</v>
      </c>
      <c r="O776" s="142" t="str">
        <v/>
      </c>
      <c r="P776" s="142" t="str">
        <v/>
      </c>
      <c r="Q776" s="142">
        <v>55</v>
      </c>
      <c r="R776" s="129" t="str">
        <v>Description – exact</v>
      </c>
      <c r="S776" s="143" t="str">
        <v/>
      </c>
      <c r="T776" s="144" t="str">
        <v>SRC-00</v>
      </c>
      <c r="U776" s="129" t="str">
        <v>S+ row 899</v>
      </c>
      <c r="V776" s="129" t="str">
        <v/>
      </c>
    </row>
    <row r="777" spans="1:22" x14ac:dyDescent="0.2">
      <c r="A777" s="144" t="str">
        <v>A2</v>
      </c>
      <c r="B777" s="145">
        <v>5</v>
      </c>
      <c r="C777" s="129" t="str">
        <v>Staging Laparoscopy</v>
      </c>
      <c r="D777" s="129" t="str">
        <v>A2 – Abdomen: Simple but Invasive Procedures</v>
      </c>
      <c r="E777" s="129" t="str">
        <v>06 - Abdomen</v>
      </c>
      <c r="F777" s="129" t="str">
        <v>Solutions Plus</v>
      </c>
      <c r="G777" s="144" t="str">
        <v>CON-01</v>
      </c>
      <c r="H777" s="129" t="str">
        <v>To confirm</v>
      </c>
      <c r="I777" s="144" t="str">
        <v>No</v>
      </c>
      <c r="J777" s="144" t="str">
        <v>Base</v>
      </c>
      <c r="K777" s="144" t="str">
        <v/>
      </c>
      <c r="L777" s="146">
        <v>8.9</v>
      </c>
      <c r="M777" s="142">
        <v>487.3</v>
      </c>
      <c r="N777" s="144" t="str">
        <v>Unknown</v>
      </c>
      <c r="O777" s="142" t="str">
        <v/>
      </c>
      <c r="P777" s="142" t="str">
        <v/>
      </c>
      <c r="Q777" s="142">
        <v>54.752808988764045</v>
      </c>
      <c r="R777" s="129" t="str">
        <v>Description – likely</v>
      </c>
      <c r="S777" s="143" t="str">
        <v/>
      </c>
      <c r="T777" s="144" t="str">
        <v>SRC-00</v>
      </c>
      <c r="U777" s="129" t="str">
        <v>S+ row 903</v>
      </c>
      <c r="V777" s="129" t="str">
        <v/>
      </c>
    </row>
    <row r="778" spans="1:22" x14ac:dyDescent="0.2">
      <c r="A778" s="144" t="str">
        <v>A2</v>
      </c>
      <c r="B778" s="145">
        <v>5</v>
      </c>
      <c r="C778" s="129" t="str">
        <v>Supra Umbilical Hernia</v>
      </c>
      <c r="D778" s="129" t="str">
        <v>A2 – Abdomen: Simple but Invasive Procedures</v>
      </c>
      <c r="E778" s="129" t="str">
        <v>06 - Abdomen</v>
      </c>
      <c r="F778" s="129" t="str">
        <v>Solutions Plus</v>
      </c>
      <c r="G778" s="144" t="str">
        <v>CON-01</v>
      </c>
      <c r="H778" s="129" t="str">
        <v>To confirm</v>
      </c>
      <c r="I778" s="144" t="str">
        <v>No</v>
      </c>
      <c r="J778" s="144" t="str">
        <v>Base</v>
      </c>
      <c r="K778" s="144" t="str">
        <v/>
      </c>
      <c r="L778" s="146">
        <v>7.8</v>
      </c>
      <c r="M778" s="142">
        <v>426.25</v>
      </c>
      <c r="N778" s="144" t="str">
        <v>Unknown</v>
      </c>
      <c r="O778" s="142" t="str">
        <v/>
      </c>
      <c r="P778" s="142" t="str">
        <v/>
      </c>
      <c r="Q778" s="142">
        <v>54.647435897435898</v>
      </c>
      <c r="R778" s="129" t="str">
        <v>Description – exact</v>
      </c>
      <c r="S778" s="143" t="str">
        <v/>
      </c>
      <c r="T778" s="144" t="str">
        <v>SRC-00</v>
      </c>
      <c r="U778" s="129" t="str">
        <v>S+ row 909</v>
      </c>
      <c r="V778" s="129" t="str">
        <v/>
      </c>
    </row>
    <row r="779" spans="1:22" x14ac:dyDescent="0.2">
      <c r="A779" s="144" t="str">
        <v>A2</v>
      </c>
      <c r="B779" s="145">
        <v>5</v>
      </c>
      <c r="C779" s="129" t="str">
        <v>Sutured Paraumbilical Hernia Repair</v>
      </c>
      <c r="D779" s="129" t="str">
        <v>A2 – Abdomen: Simple but Invasive Procedures</v>
      </c>
      <c r="E779" s="129" t="str">
        <v>06 - Abdomen</v>
      </c>
      <c r="F779" s="129" t="str">
        <v>Solutions Plus</v>
      </c>
      <c r="G779" s="144" t="str">
        <v>CON-01</v>
      </c>
      <c r="H779" s="129" t="str">
        <v>To confirm</v>
      </c>
      <c r="I779" s="144" t="str">
        <v>No</v>
      </c>
      <c r="J779" s="144" t="str">
        <v>Base</v>
      </c>
      <c r="K779" s="144" t="str">
        <v/>
      </c>
      <c r="L779" s="146">
        <v>3</v>
      </c>
      <c r="M779" s="142">
        <v>165</v>
      </c>
      <c r="N779" s="144" t="str">
        <v>Unknown</v>
      </c>
      <c r="O779" s="142" t="str">
        <v/>
      </c>
      <c r="P779" s="142" t="str">
        <v/>
      </c>
      <c r="Q779" s="142">
        <v>55</v>
      </c>
      <c r="R779" s="129" t="str">
        <v>Description – exact</v>
      </c>
      <c r="S779" s="143" t="str">
        <v/>
      </c>
      <c r="T779" s="144" t="str">
        <v>SRC-00</v>
      </c>
      <c r="U779" s="129" t="str">
        <v>S+ row 913</v>
      </c>
      <c r="V779" s="129" t="str">
        <v/>
      </c>
    </row>
    <row r="780" spans="1:22" x14ac:dyDescent="0.2">
      <c r="A780" s="144" t="str">
        <v>A4</v>
      </c>
      <c r="B780" s="145">
        <v>6</v>
      </c>
      <c r="C780" s="129" t="str">
        <v>Total Laparoscoipe Hysterectomy + Bilateral Salpin</v>
      </c>
      <c r="D780" s="129" t="str">
        <v>A4 – Abdomen: Gynae: Moderate/Major Procedures</v>
      </c>
      <c r="E780" s="129" t="str">
        <v>06 - Abdomen</v>
      </c>
      <c r="F780" s="129" t="str">
        <v>Solutions Plus</v>
      </c>
      <c r="G780" s="144" t="str">
        <v>CON-01</v>
      </c>
      <c r="H780" s="129" t="str">
        <v>To confirm</v>
      </c>
      <c r="I780" s="144" t="str">
        <v>No</v>
      </c>
      <c r="J780" s="144" t="str">
        <v>Base</v>
      </c>
      <c r="K780" s="144" t="str">
        <v/>
      </c>
      <c r="L780" s="146">
        <v>16.3</v>
      </c>
      <c r="M780" s="142">
        <v>894.85</v>
      </c>
      <c r="N780" s="144" t="str">
        <v>Unknown</v>
      </c>
      <c r="O780" s="142" t="str">
        <v/>
      </c>
      <c r="P780" s="142" t="str">
        <v/>
      </c>
      <c r="Q780" s="142">
        <v>54.898773006134967</v>
      </c>
      <c r="R780" s="129" t="str">
        <v>Description – exact</v>
      </c>
      <c r="S780" s="143" t="str">
        <v/>
      </c>
      <c r="T780" s="144" t="str">
        <v>SRC-00</v>
      </c>
      <c r="U780" s="129" t="str">
        <v>S+ row 936</v>
      </c>
      <c r="V780" s="129" t="str">
        <v/>
      </c>
    </row>
    <row r="781" spans="1:22" x14ac:dyDescent="0.2">
      <c r="A781" s="144" t="str">
        <v>A2</v>
      </c>
      <c r="B781" s="145">
        <v>5</v>
      </c>
      <c r="C781" s="129" t="str">
        <v>Umbilical Hernia Repair</v>
      </c>
      <c r="D781" s="129" t="str">
        <v>A2 – Abdomen: Simple but Invasive Procedures</v>
      </c>
      <c r="E781" s="129" t="str">
        <v>06 - Abdomen</v>
      </c>
      <c r="F781" s="129" t="str">
        <v>Solutions Plus</v>
      </c>
      <c r="G781" s="144" t="str">
        <v>CON-01</v>
      </c>
      <c r="H781" s="129" t="str">
        <v>To confirm</v>
      </c>
      <c r="I781" s="144" t="str">
        <v>No</v>
      </c>
      <c r="J781" s="144" t="str">
        <v>Base</v>
      </c>
      <c r="K781" s="144" t="str">
        <v/>
      </c>
      <c r="L781" s="146">
        <v>8.8000000000000007</v>
      </c>
      <c r="M781" s="142">
        <v>481.25</v>
      </c>
      <c r="N781" s="144" t="str">
        <v>Unknown</v>
      </c>
      <c r="O781" s="142" t="str">
        <v/>
      </c>
      <c r="P781" s="142" t="str">
        <v/>
      </c>
      <c r="Q781" s="142">
        <v>54.687499999999993</v>
      </c>
      <c r="R781" s="129" t="str">
        <v>Description – exact</v>
      </c>
      <c r="S781" s="143" t="str">
        <v/>
      </c>
      <c r="T781" s="144" t="str">
        <v>SRC-00</v>
      </c>
      <c r="U781" s="129" t="str">
        <v>S+ row 956</v>
      </c>
      <c r="V781" s="129" t="str">
        <v/>
      </c>
    </row>
    <row r="782" spans="1:22" x14ac:dyDescent="0.2">
      <c r="A782" s="144" t="str">
        <v>A2</v>
      </c>
      <c r="B782" s="145">
        <v>5</v>
      </c>
      <c r="C782" s="129" t="str">
        <v>Unilateral Laparoscopic Hernia Inguinal - Right</v>
      </c>
      <c r="D782" s="129" t="str">
        <v>A2 – Abdomen: Simple but Invasive Procedures</v>
      </c>
      <c r="E782" s="129" t="str">
        <v>06 - Abdomen</v>
      </c>
      <c r="F782" s="129" t="str">
        <v>Solutions Plus</v>
      </c>
      <c r="G782" s="144" t="str">
        <v>CON-01</v>
      </c>
      <c r="H782" s="129" t="str">
        <v>To confirm</v>
      </c>
      <c r="I782" s="144" t="str">
        <v>No</v>
      </c>
      <c r="J782" s="144" t="str">
        <v>Base</v>
      </c>
      <c r="K782" s="144" t="str">
        <v/>
      </c>
      <c r="L782" s="146">
        <v>8.5</v>
      </c>
      <c r="M782" s="142">
        <v>467.5</v>
      </c>
      <c r="N782" s="144" t="str">
        <v>Unknown</v>
      </c>
      <c r="O782" s="142" t="str">
        <v/>
      </c>
      <c r="P782" s="142" t="str">
        <v/>
      </c>
      <c r="Q782" s="142">
        <v>55</v>
      </c>
      <c r="R782" s="129" t="str">
        <v>Description – exact</v>
      </c>
      <c r="S782" s="143" t="str">
        <v/>
      </c>
      <c r="T782" s="144" t="str">
        <v>SRC-00</v>
      </c>
      <c r="U782" s="129" t="str">
        <v>S+ row 957</v>
      </c>
      <c r="V782" s="129" t="str">
        <v/>
      </c>
    </row>
    <row r="783" spans="1:22" x14ac:dyDescent="0.2">
      <c r="A783" s="144" t="str">
        <v>A4</v>
      </c>
      <c r="B783" s="145">
        <v>6</v>
      </c>
      <c r="C783" s="129" t="str">
        <v>Vaginal Hysterectomy</v>
      </c>
      <c r="D783" s="129" t="str">
        <v>A4 – Abdomen: Gynae: Moderate/Major Procedures</v>
      </c>
      <c r="E783" s="129" t="str">
        <v>06 - Abdomen</v>
      </c>
      <c r="F783" s="129" t="str">
        <v>Solutions Plus</v>
      </c>
      <c r="G783" s="144" t="str">
        <v>CON-01</v>
      </c>
      <c r="H783" s="129" t="str">
        <v>To confirm</v>
      </c>
      <c r="I783" s="144" t="str">
        <v>No</v>
      </c>
      <c r="J783" s="144" t="str">
        <v>Base</v>
      </c>
      <c r="K783" s="144" t="str">
        <v/>
      </c>
      <c r="L783" s="146">
        <v>12.8</v>
      </c>
      <c r="M783" s="142">
        <v>704.55</v>
      </c>
      <c r="N783" s="144" t="str">
        <v>Unknown</v>
      </c>
      <c r="O783" s="142" t="str">
        <v/>
      </c>
      <c r="P783" s="142" t="str">
        <v/>
      </c>
      <c r="Q783" s="142">
        <v>55.042968749999993</v>
      </c>
      <c r="R783" s="129" t="str">
        <v>Description – exact</v>
      </c>
      <c r="S783" s="143" t="str">
        <v/>
      </c>
      <c r="T783" s="144" t="str">
        <v>SRC-00</v>
      </c>
      <c r="U783" s="129" t="str">
        <v>S+ row 968</v>
      </c>
      <c r="V783" s="129" t="str">
        <v/>
      </c>
    </row>
    <row r="784" spans="1:22" x14ac:dyDescent="0.2">
      <c r="A784" s="144" t="str">
        <v>A2</v>
      </c>
      <c r="B784" s="145">
        <v>5</v>
      </c>
      <c r="C784" s="129" t="str">
        <v>Ventral Hernia Repair</v>
      </c>
      <c r="D784" s="129" t="str">
        <v>A2 – Abdomen: Simple but Invasive Procedures</v>
      </c>
      <c r="E784" s="129" t="str">
        <v>06 - Abdomen</v>
      </c>
      <c r="F784" s="129" t="str">
        <v>Solutions Plus</v>
      </c>
      <c r="G784" s="144" t="str">
        <v>CON-01</v>
      </c>
      <c r="H784" s="129" t="str">
        <v>To confirm</v>
      </c>
      <c r="I784" s="144" t="str">
        <v>No</v>
      </c>
      <c r="J784" s="144" t="str">
        <v>Base</v>
      </c>
      <c r="K784" s="144" t="str">
        <v/>
      </c>
      <c r="L784" s="146">
        <v>11.4</v>
      </c>
      <c r="M784" s="142">
        <v>624.25</v>
      </c>
      <c r="N784" s="144" t="str">
        <v>Unknown</v>
      </c>
      <c r="O784" s="142" t="str">
        <v/>
      </c>
      <c r="P784" s="142" t="str">
        <v/>
      </c>
      <c r="Q784" s="142">
        <v>54.758771929824562</v>
      </c>
      <c r="R784" s="129" t="str">
        <v>Description – exact</v>
      </c>
      <c r="S784" s="143" t="str">
        <v/>
      </c>
      <c r="T784" s="144" t="str">
        <v>SRC-00</v>
      </c>
      <c r="U784" s="129" t="str">
        <v>S+ row 973</v>
      </c>
      <c r="V784" s="129" t="str">
        <v/>
      </c>
    </row>
    <row r="785" spans="1:22" x14ac:dyDescent="0.2">
      <c r="A785" s="144" t="str">
        <v>A11</v>
      </c>
      <c r="B785" s="145">
        <v>6</v>
      </c>
      <c r="C785" s="129" t="str">
        <v>Closure lleostomy &amp; Flexi Sig - CDHB</v>
      </c>
      <c r="D785" s="129" t="str">
        <v>A11 – Abdomen / Lower GI: Moderate Procedures</v>
      </c>
      <c r="E785" s="129" t="str">
        <v>06 - Abdomen</v>
      </c>
      <c r="F785" s="129" t="str">
        <v>Solutions Plus</v>
      </c>
      <c r="G785" s="144" t="str">
        <v>CON-01</v>
      </c>
      <c r="H785" s="129" t="str">
        <v>To confirm</v>
      </c>
      <c r="I785" s="144" t="str">
        <v>No</v>
      </c>
      <c r="J785" s="144" t="str">
        <v>Base</v>
      </c>
      <c r="K785" s="144" t="str">
        <v/>
      </c>
      <c r="L785" s="146">
        <v>14</v>
      </c>
      <c r="M785" s="142">
        <v>770</v>
      </c>
      <c r="N785" s="144" t="str">
        <v>Unknown</v>
      </c>
      <c r="O785" s="142" t="str">
        <v/>
      </c>
      <c r="P785" s="142" t="str">
        <v/>
      </c>
      <c r="Q785" s="142">
        <v>55</v>
      </c>
      <c r="R785" s="129" t="str">
        <v>Description – exact</v>
      </c>
      <c r="S785" s="143" t="str">
        <v/>
      </c>
      <c r="T785" s="144" t="str">
        <v>SRC-00</v>
      </c>
      <c r="U785" s="129" t="str">
        <v>S+ row 168</v>
      </c>
      <c r="V785" s="129" t="str">
        <v/>
      </c>
    </row>
    <row r="786" spans="1:22" x14ac:dyDescent="0.2">
      <c r="A786" s="144" t="str">
        <v>A11</v>
      </c>
      <c r="B786" s="145">
        <v>6</v>
      </c>
      <c r="C786" s="129" t="str">
        <v>Closure Of Colostomy</v>
      </c>
      <c r="D786" s="129" t="str">
        <v>A11 – Abdomen / Lower GI: Moderate Procedures</v>
      </c>
      <c r="E786" s="129" t="str">
        <v>06 - Abdomen</v>
      </c>
      <c r="F786" s="129" t="str">
        <v>Solutions Plus</v>
      </c>
      <c r="G786" s="144" t="str">
        <v>CON-01</v>
      </c>
      <c r="H786" s="129" t="str">
        <v>To confirm</v>
      </c>
      <c r="I786" s="144" t="str">
        <v>No</v>
      </c>
      <c r="J786" s="144" t="str">
        <v>Base</v>
      </c>
      <c r="K786" s="144" t="str">
        <v/>
      </c>
      <c r="L786" s="146">
        <v>16.600000000000001</v>
      </c>
      <c r="M786" s="142">
        <v>913</v>
      </c>
      <c r="N786" s="144" t="str">
        <v>Unknown</v>
      </c>
      <c r="O786" s="142" t="str">
        <v/>
      </c>
      <c r="P786" s="142" t="str">
        <v/>
      </c>
      <c r="Q786" s="142">
        <v>54.999999999999993</v>
      </c>
      <c r="R786" s="129" t="str">
        <v>Description – exact</v>
      </c>
      <c r="S786" s="143" t="str">
        <v/>
      </c>
      <c r="T786" s="144" t="str">
        <v>SRC-00</v>
      </c>
      <c r="U786" s="129" t="str">
        <v>S+ row 169</v>
      </c>
      <c r="V786" s="129" t="str">
        <v/>
      </c>
    </row>
    <row r="787" spans="1:22" x14ac:dyDescent="0.2">
      <c r="A787" s="144" t="str">
        <v>A11</v>
      </c>
      <c r="B787" s="145">
        <v>6</v>
      </c>
      <c r="C787" s="129" t="str">
        <v>Closure Of lleostomy</v>
      </c>
      <c r="D787" s="129" t="str">
        <v>A11 – Abdomen / Lower GI: Moderate Procedures</v>
      </c>
      <c r="E787" s="129" t="str">
        <v>06 - Abdomen</v>
      </c>
      <c r="F787" s="129" t="str">
        <v>Solutions Plus</v>
      </c>
      <c r="G787" s="144" t="str">
        <v>CON-01</v>
      </c>
      <c r="H787" s="129" t="str">
        <v>To confirm</v>
      </c>
      <c r="I787" s="144" t="str">
        <v>No</v>
      </c>
      <c r="J787" s="144" t="str">
        <v>Base</v>
      </c>
      <c r="K787" s="144" t="str">
        <v/>
      </c>
      <c r="L787" s="146">
        <v>13.8</v>
      </c>
      <c r="M787" s="142">
        <v>759</v>
      </c>
      <c r="N787" s="144" t="str">
        <v>Unknown</v>
      </c>
      <c r="O787" s="142" t="str">
        <v/>
      </c>
      <c r="P787" s="142" t="str">
        <v/>
      </c>
      <c r="Q787" s="142">
        <v>55</v>
      </c>
      <c r="R787" s="129" t="str">
        <v>Description – exact</v>
      </c>
      <c r="S787" s="143" t="str">
        <v/>
      </c>
      <c r="T787" s="144" t="str">
        <v>SRC-00</v>
      </c>
      <c r="U787" s="129" t="str">
        <v>S+ row 170</v>
      </c>
      <c r="V787" s="129" t="str">
        <v/>
      </c>
    </row>
    <row r="788" spans="1:22" x14ac:dyDescent="0.2">
      <c r="A788" s="144" t="str">
        <v>A11</v>
      </c>
      <c r="B788" s="145">
        <v>6</v>
      </c>
      <c r="C788" s="129" t="str">
        <v>Closure Of Stoma</v>
      </c>
      <c r="D788" s="129" t="str">
        <v>A11 – Abdomen / Lower GI: Moderate Procedures</v>
      </c>
      <c r="E788" s="129" t="str">
        <v>06 - Abdomen</v>
      </c>
      <c r="F788" s="129" t="str">
        <v>Solutions Plus</v>
      </c>
      <c r="G788" s="144" t="str">
        <v>CON-01</v>
      </c>
      <c r="H788" s="129" t="str">
        <v>To confirm</v>
      </c>
      <c r="I788" s="144" t="str">
        <v>No</v>
      </c>
      <c r="J788" s="144" t="str">
        <v>Base</v>
      </c>
      <c r="K788" s="144" t="str">
        <v/>
      </c>
      <c r="L788" s="146">
        <v>14</v>
      </c>
      <c r="M788" s="142">
        <v>769.45</v>
      </c>
      <c r="N788" s="144" t="str">
        <v>Unknown</v>
      </c>
      <c r="O788" s="142" t="str">
        <v/>
      </c>
      <c r="P788" s="142" t="str">
        <v/>
      </c>
      <c r="Q788" s="142">
        <v>54.960714285714289</v>
      </c>
      <c r="R788" s="129" t="str">
        <v>Description – exact</v>
      </c>
      <c r="S788" s="143" t="str">
        <v/>
      </c>
      <c r="T788" s="144" t="str">
        <v>SRC-00</v>
      </c>
      <c r="U788" s="129" t="str">
        <v>S+ row 171</v>
      </c>
      <c r="V788" s="129" t="str">
        <v/>
      </c>
    </row>
    <row r="789" spans="1:22" x14ac:dyDescent="0.2">
      <c r="A789" s="144" t="str">
        <v>A11</v>
      </c>
      <c r="B789" s="145">
        <v>6</v>
      </c>
      <c r="C789" s="129" t="str">
        <v>Closure Of Stoma - CDHB</v>
      </c>
      <c r="D789" s="129" t="str">
        <v>A11 – Abdomen / Lower GI: Moderate Procedures</v>
      </c>
      <c r="E789" s="129" t="str">
        <v>06 - Abdomen</v>
      </c>
      <c r="F789" s="129" t="str">
        <v>Solutions Plus</v>
      </c>
      <c r="G789" s="144" t="str">
        <v>CON-01</v>
      </c>
      <c r="H789" s="129" t="str">
        <v>To confirm</v>
      </c>
      <c r="I789" s="144" t="str">
        <v>No</v>
      </c>
      <c r="J789" s="144" t="str">
        <v>Base</v>
      </c>
      <c r="K789" s="144" t="str">
        <v/>
      </c>
      <c r="L789" s="146">
        <v>12.6</v>
      </c>
      <c r="M789" s="142">
        <v>693</v>
      </c>
      <c r="N789" s="144" t="str">
        <v>Unknown</v>
      </c>
      <c r="O789" s="142" t="str">
        <v/>
      </c>
      <c r="P789" s="142" t="str">
        <v/>
      </c>
      <c r="Q789" s="142">
        <v>55</v>
      </c>
      <c r="R789" s="129" t="str">
        <v>Description – exact</v>
      </c>
      <c r="S789" s="143" t="str">
        <v/>
      </c>
      <c r="T789" s="144" t="str">
        <v>SRC-00</v>
      </c>
      <c r="U789" s="129" t="str">
        <v>S+ row 172</v>
      </c>
      <c r="V789" s="129" t="str">
        <v/>
      </c>
    </row>
    <row r="790" spans="1:22" x14ac:dyDescent="0.2">
      <c r="A790" s="144" t="str">
        <v>A12</v>
      </c>
      <c r="B790" s="145">
        <v>8</v>
      </c>
      <c r="C790" s="129" t="str">
        <v>Colectomy</v>
      </c>
      <c r="D790" s="129" t="str">
        <v>A12 – Abdomen / Lower GI: Major Procedures</v>
      </c>
      <c r="E790" s="129" t="str">
        <v>06 - Abdomen</v>
      </c>
      <c r="F790" s="129" t="str">
        <v>Solutions Plus</v>
      </c>
      <c r="G790" s="144" t="str">
        <v>CON-01</v>
      </c>
      <c r="H790" s="129" t="str">
        <v>To confirm</v>
      </c>
      <c r="I790" s="144" t="str">
        <v>No</v>
      </c>
      <c r="J790" s="144" t="str">
        <v>Base</v>
      </c>
      <c r="K790" s="144" t="str">
        <v/>
      </c>
      <c r="L790" s="146">
        <v>15.5</v>
      </c>
      <c r="M790" s="142">
        <v>851.95</v>
      </c>
      <c r="N790" s="144" t="str">
        <v>Unknown</v>
      </c>
      <c r="O790" s="142" t="str">
        <v/>
      </c>
      <c r="P790" s="142" t="str">
        <v/>
      </c>
      <c r="Q790" s="142">
        <v>54.964516129032262</v>
      </c>
      <c r="R790" s="129" t="str">
        <v>Description – likely</v>
      </c>
      <c r="S790" s="143" t="str">
        <v/>
      </c>
      <c r="T790" s="144" t="str">
        <v>SRC-00</v>
      </c>
      <c r="U790" s="129" t="str">
        <v>S+ row 177</v>
      </c>
      <c r="V790" s="129" t="str">
        <v/>
      </c>
    </row>
    <row r="791" spans="1:22" x14ac:dyDescent="0.2">
      <c r="A791" s="144" t="str">
        <v>A11</v>
      </c>
      <c r="B791" s="145">
        <v>6</v>
      </c>
      <c r="C791" s="129" t="str">
        <v>Colostomy</v>
      </c>
      <c r="D791" s="129" t="str">
        <v>A11 – Abdomen / Lower GI: Moderate Procedures</v>
      </c>
      <c r="E791" s="129" t="str">
        <v>06 - Abdomen</v>
      </c>
      <c r="F791" s="129" t="str">
        <v>Solutions Plus</v>
      </c>
      <c r="G791" s="144" t="str">
        <v>CON-01</v>
      </c>
      <c r="H791" s="129" t="str">
        <v>To confirm</v>
      </c>
      <c r="I791" s="144" t="str">
        <v>No</v>
      </c>
      <c r="J791" s="144" t="str">
        <v>Base</v>
      </c>
      <c r="K791" s="144" t="str">
        <v/>
      </c>
      <c r="L791" s="146">
        <v>18</v>
      </c>
      <c r="M791" s="142">
        <v>990</v>
      </c>
      <c r="N791" s="144" t="str">
        <v>Unknown</v>
      </c>
      <c r="O791" s="142" t="str">
        <v/>
      </c>
      <c r="P791" s="142" t="str">
        <v/>
      </c>
      <c r="Q791" s="142">
        <v>55</v>
      </c>
      <c r="R791" s="129" t="str">
        <v>Description – likely</v>
      </c>
      <c r="S791" s="143" t="str">
        <v/>
      </c>
      <c r="T791" s="144" t="str">
        <v>SRC-00</v>
      </c>
      <c r="U791" s="129" t="str">
        <v>S+ row 207</v>
      </c>
      <c r="V791" s="129" t="str">
        <v/>
      </c>
    </row>
    <row r="792" spans="1:22" x14ac:dyDescent="0.2">
      <c r="A792" s="144" t="str">
        <v>A13</v>
      </c>
      <c r="B792" s="145">
        <v>12</v>
      </c>
      <c r="C792" s="129" t="str">
        <v>Complex Procedures e.g. Extensive Bowel Resection – Extending into Upper Abdomen or Pelvis [APR], AND/OR Where an – ostomy is created; Open Abdominal Urological Procedures, Cystectomy</v>
      </c>
      <c r="D792" s="129" t="str">
        <v>A13 – Abdomen / Lower GI: Complex Procedures</v>
      </c>
      <c r="E792" s="129" t="str">
        <v>06 - Abdomen</v>
      </c>
      <c r="F792" s="129" t="str">
        <v>NZSA RVG</v>
      </c>
      <c r="G792" s="144" t="str">
        <v>CON-10</v>
      </c>
      <c r="H792" s="129" t="str">
        <v>Reference – units only</v>
      </c>
      <c r="I792" s="144" t="str">
        <v>No</v>
      </c>
      <c r="J792" s="144" t="str">
        <v>Base</v>
      </c>
      <c r="K792" s="144" t="str">
        <v>A13</v>
      </c>
      <c r="L792" s="146" t="str">
        <v/>
      </c>
      <c r="M792" s="142" t="str">
        <v/>
      </c>
      <c r="N792" s="144" t="str">
        <v/>
      </c>
      <c r="O792" s="142" t="str">
        <v/>
      </c>
      <c r="P792" s="142" t="str">
        <v/>
      </c>
      <c r="Q792" s="142" t="str">
        <v/>
      </c>
      <c r="R792" s="129" t="str">
        <v>RVG code</v>
      </c>
      <c r="S792" s="143" t="str">
        <v/>
      </c>
      <c r="T792" s="144" t="str">
        <v>SRC-01</v>
      </c>
      <c r="U792" s="129" t="str">
        <v>p.10 – Abdomen / Lower GI</v>
      </c>
      <c r="V792" s="129" t="str">
        <v>Reference units only – no $ fee (NZSA RVG 2021). Units as printed: "12-14" (lower bound in units columns). Printed as a range 12-14</v>
      </c>
    </row>
    <row r="793" spans="1:22" x14ac:dyDescent="0.2">
      <c r="A793" s="144" t="str">
        <v>A11</v>
      </c>
      <c r="B793" s="145">
        <v>6</v>
      </c>
      <c r="C793" s="129" t="str">
        <v>Flexible Sigmoidoscopy &amp; Closure Of Loop Iliesost</v>
      </c>
      <c r="D793" s="129" t="str">
        <v>A11 – Abdomen / Lower GI: Moderate Procedures</v>
      </c>
      <c r="E793" s="129" t="str">
        <v>06 - Abdomen</v>
      </c>
      <c r="F793" s="129" t="str">
        <v>Solutions Plus</v>
      </c>
      <c r="G793" s="144" t="str">
        <v>CON-01</v>
      </c>
      <c r="H793" s="129" t="str">
        <v>To confirm</v>
      </c>
      <c r="I793" s="144" t="str">
        <v>No</v>
      </c>
      <c r="J793" s="144" t="str">
        <v>Base</v>
      </c>
      <c r="K793" s="144" t="str">
        <v/>
      </c>
      <c r="L793" s="146">
        <v>13.5</v>
      </c>
      <c r="M793" s="142">
        <v>742.5</v>
      </c>
      <c r="N793" s="144" t="str">
        <v>Unknown</v>
      </c>
      <c r="O793" s="142" t="str">
        <v/>
      </c>
      <c r="P793" s="142" t="str">
        <v/>
      </c>
      <c r="Q793" s="142">
        <v>55</v>
      </c>
      <c r="R793" s="129" t="str">
        <v>Description – exact</v>
      </c>
      <c r="S793" s="143" t="str">
        <v/>
      </c>
      <c r="T793" s="144" t="str">
        <v>SRC-00</v>
      </c>
      <c r="U793" s="129" t="str">
        <v>S+ row 370</v>
      </c>
      <c r="V793" s="129" t="str">
        <v/>
      </c>
    </row>
    <row r="794" spans="1:22" x14ac:dyDescent="0.2">
      <c r="A794" s="144" t="str">
        <v>A11</v>
      </c>
      <c r="B794" s="145">
        <v>6</v>
      </c>
      <c r="C794" s="129" t="str">
        <v>Formation lleostomy</v>
      </c>
      <c r="D794" s="129" t="str">
        <v>A11 – Abdomen / Lower GI: Moderate Procedures</v>
      </c>
      <c r="E794" s="129" t="str">
        <v>06 - Abdomen</v>
      </c>
      <c r="F794" s="129" t="str">
        <v>Solutions Plus</v>
      </c>
      <c r="G794" s="144" t="str">
        <v>CON-01</v>
      </c>
      <c r="H794" s="129" t="str">
        <v>To confirm</v>
      </c>
      <c r="I794" s="144" t="str">
        <v>No</v>
      </c>
      <c r="J794" s="144" t="str">
        <v>Base</v>
      </c>
      <c r="K794" s="144" t="str">
        <v/>
      </c>
      <c r="L794" s="146">
        <v>0</v>
      </c>
      <c r="M794" s="142">
        <v>0</v>
      </c>
      <c r="N794" s="144" t="str">
        <v>Unknown</v>
      </c>
      <c r="O794" s="142" t="str">
        <v/>
      </c>
      <c r="P794" s="142" t="str">
        <v/>
      </c>
      <c r="Q794" s="142" t="str">
        <v/>
      </c>
      <c r="R794" s="129" t="str">
        <v>Description – likely</v>
      </c>
      <c r="S794" s="143" t="str">
        <v/>
      </c>
      <c r="T794" s="144" t="str">
        <v>SRC-00</v>
      </c>
      <c r="U794" s="129" t="str">
        <v>S+ row 373</v>
      </c>
      <c r="V794" s="129" t="str">
        <v/>
      </c>
    </row>
    <row r="795" spans="1:22" x14ac:dyDescent="0.2">
      <c r="A795" s="144" t="str">
        <v>A11</v>
      </c>
      <c r="B795" s="145">
        <v>6</v>
      </c>
      <c r="C795" s="129" t="str">
        <v>Formation Of Colostomy</v>
      </c>
      <c r="D795" s="129" t="str">
        <v>A11 – Abdomen / Lower GI: Moderate Procedures</v>
      </c>
      <c r="E795" s="129" t="str">
        <v>06 - Abdomen</v>
      </c>
      <c r="F795" s="129" t="str">
        <v>Solutions Plus</v>
      </c>
      <c r="G795" s="144" t="str">
        <v>CON-01</v>
      </c>
      <c r="H795" s="129" t="str">
        <v>To confirm</v>
      </c>
      <c r="I795" s="144" t="str">
        <v>No</v>
      </c>
      <c r="J795" s="144" t="str">
        <v>Base</v>
      </c>
      <c r="K795" s="144" t="str">
        <v/>
      </c>
      <c r="L795" s="146">
        <v>14</v>
      </c>
      <c r="M795" s="142">
        <v>770</v>
      </c>
      <c r="N795" s="144" t="str">
        <v>Unknown</v>
      </c>
      <c r="O795" s="142" t="str">
        <v/>
      </c>
      <c r="P795" s="142" t="str">
        <v/>
      </c>
      <c r="Q795" s="142">
        <v>55</v>
      </c>
      <c r="R795" s="129" t="str">
        <v>Description – likely</v>
      </c>
      <c r="S795" s="143" t="str">
        <v/>
      </c>
      <c r="T795" s="144" t="str">
        <v>SRC-00</v>
      </c>
      <c r="U795" s="129" t="str">
        <v>S+ row 374</v>
      </c>
      <c r="V795" s="129" t="str">
        <v/>
      </c>
    </row>
    <row r="796" spans="1:22" x14ac:dyDescent="0.2">
      <c r="A796" s="144" t="str">
        <v>A13</v>
      </c>
      <c r="B796" s="145">
        <v>12</v>
      </c>
      <c r="C796" s="129" t="str">
        <v>Hartmann's Procedure</v>
      </c>
      <c r="D796" s="129" t="str">
        <v>A13 – Abdomen / Lower GI: Complex Procedures</v>
      </c>
      <c r="E796" s="129" t="str">
        <v>06 - Abdomen</v>
      </c>
      <c r="F796" s="129" t="str">
        <v>Solutions Plus</v>
      </c>
      <c r="G796" s="144" t="str">
        <v>CON-01</v>
      </c>
      <c r="H796" s="129" t="str">
        <v>To confirm</v>
      </c>
      <c r="I796" s="144" t="str">
        <v>No</v>
      </c>
      <c r="J796" s="144" t="str">
        <v>Base</v>
      </c>
      <c r="K796" s="144" t="str">
        <v/>
      </c>
      <c r="L796" s="146">
        <v>22.8</v>
      </c>
      <c r="M796" s="142">
        <v>1254</v>
      </c>
      <c r="N796" s="144" t="str">
        <v>Unknown</v>
      </c>
      <c r="O796" s="142" t="str">
        <v/>
      </c>
      <c r="P796" s="142" t="str">
        <v/>
      </c>
      <c r="Q796" s="142">
        <v>55</v>
      </c>
      <c r="R796" s="129" t="str">
        <v>Description – exact</v>
      </c>
      <c r="S796" s="143" t="str">
        <v/>
      </c>
      <c r="T796" s="144" t="str">
        <v>SRC-00</v>
      </c>
      <c r="U796" s="129" t="str">
        <v>S+ row 403</v>
      </c>
      <c r="V796" s="129" t="str">
        <v/>
      </c>
    </row>
    <row r="797" spans="1:22" x14ac:dyDescent="0.2">
      <c r="A797" s="144" t="str">
        <v>A13</v>
      </c>
      <c r="B797" s="145">
        <v>12</v>
      </c>
      <c r="C797" s="129" t="str">
        <v>Hartmans Procedure</v>
      </c>
      <c r="D797" s="129" t="str">
        <v>A13 – Abdomen / Lower GI: Complex Procedures</v>
      </c>
      <c r="E797" s="129" t="str">
        <v>06 - Abdomen</v>
      </c>
      <c r="F797" s="129" t="str">
        <v>Solutions Plus</v>
      </c>
      <c r="G797" s="144" t="str">
        <v>CON-01</v>
      </c>
      <c r="H797" s="129" t="str">
        <v>To confirm</v>
      </c>
      <c r="I797" s="144" t="str">
        <v>No</v>
      </c>
      <c r="J797" s="144" t="str">
        <v>Base</v>
      </c>
      <c r="K797" s="144" t="str">
        <v/>
      </c>
      <c r="L797" s="146">
        <v>21.1</v>
      </c>
      <c r="M797" s="142">
        <v>1159.95</v>
      </c>
      <c r="N797" s="144" t="str">
        <v>Unknown</v>
      </c>
      <c r="O797" s="142" t="str">
        <v/>
      </c>
      <c r="P797" s="142" t="str">
        <v/>
      </c>
      <c r="Q797" s="142">
        <v>54.973933649289101</v>
      </c>
      <c r="R797" s="129" t="str">
        <v>Description – exact</v>
      </c>
      <c r="S797" s="143" t="str">
        <v/>
      </c>
      <c r="T797" s="144" t="str">
        <v>SRC-00</v>
      </c>
      <c r="U797" s="129" t="str">
        <v>S+ row 404</v>
      </c>
      <c r="V797" s="129" t="str">
        <v/>
      </c>
    </row>
    <row r="798" spans="1:22" x14ac:dyDescent="0.2">
      <c r="A798" s="144" t="str">
        <v>A12</v>
      </c>
      <c r="B798" s="145">
        <v>8</v>
      </c>
      <c r="C798" s="129" t="str">
        <v>Hemicolectomy</v>
      </c>
      <c r="D798" s="129" t="str">
        <v>A12 – Abdomen / Lower GI: Major Procedures</v>
      </c>
      <c r="E798" s="129" t="str">
        <v>06 - Abdomen</v>
      </c>
      <c r="F798" s="129" t="str">
        <v>Solutions Plus</v>
      </c>
      <c r="G798" s="144" t="str">
        <v>CON-01</v>
      </c>
      <c r="H798" s="129" t="str">
        <v>To confirm</v>
      </c>
      <c r="I798" s="144" t="str">
        <v>No</v>
      </c>
      <c r="J798" s="144" t="str">
        <v>Base</v>
      </c>
      <c r="K798" s="144" t="str">
        <v/>
      </c>
      <c r="L798" s="146">
        <v>19.100000000000001</v>
      </c>
      <c r="M798" s="142">
        <v>1050.5</v>
      </c>
      <c r="N798" s="144" t="str">
        <v>Unknown</v>
      </c>
      <c r="O798" s="142" t="str">
        <v/>
      </c>
      <c r="P798" s="142" t="str">
        <v/>
      </c>
      <c r="Q798" s="142">
        <v>54.999999999999993</v>
      </c>
      <c r="R798" s="129" t="str">
        <v>Description – likely</v>
      </c>
      <c r="S798" s="143" t="str">
        <v/>
      </c>
      <c r="T798" s="144" t="str">
        <v>SRC-00</v>
      </c>
      <c r="U798" s="129" t="str">
        <v>S+ row 408</v>
      </c>
      <c r="V798" s="129" t="str">
        <v/>
      </c>
    </row>
    <row r="799" spans="1:22" x14ac:dyDescent="0.2">
      <c r="A799" s="144" t="str">
        <v>A11</v>
      </c>
      <c r="B799" s="145">
        <v>6</v>
      </c>
      <c r="C799" s="129" t="str">
        <v>Laparoscopic Colostomy</v>
      </c>
      <c r="D799" s="129" t="str">
        <v>A11 – Abdomen / Lower GI: Moderate Procedures</v>
      </c>
      <c r="E799" s="129" t="str">
        <v>06 - Abdomen</v>
      </c>
      <c r="F799" s="129" t="str">
        <v>Solutions Plus</v>
      </c>
      <c r="G799" s="144" t="str">
        <v>CON-01</v>
      </c>
      <c r="H799" s="129" t="str">
        <v>To confirm</v>
      </c>
      <c r="I799" s="144" t="str">
        <v>No</v>
      </c>
      <c r="J799" s="144" t="str">
        <v>Base</v>
      </c>
      <c r="K799" s="144" t="str">
        <v/>
      </c>
      <c r="L799" s="146">
        <v>12</v>
      </c>
      <c r="M799" s="142">
        <v>660</v>
      </c>
      <c r="N799" s="144" t="str">
        <v>Unknown</v>
      </c>
      <c r="O799" s="142" t="str">
        <v/>
      </c>
      <c r="P799" s="142" t="str">
        <v/>
      </c>
      <c r="Q799" s="142">
        <v>55</v>
      </c>
      <c r="R799" s="129" t="str">
        <v>Description – likely</v>
      </c>
      <c r="S799" s="143" t="str">
        <v/>
      </c>
      <c r="T799" s="144" t="str">
        <v>SRC-00</v>
      </c>
      <c r="U799" s="129" t="str">
        <v>S+ row 471</v>
      </c>
      <c r="V799" s="129" t="str">
        <v/>
      </c>
    </row>
    <row r="800" spans="1:22" x14ac:dyDescent="0.2">
      <c r="A800" s="144" t="str">
        <v>A12</v>
      </c>
      <c r="B800" s="145">
        <v>8</v>
      </c>
      <c r="C800" s="129" t="str">
        <v>Laparoscopic Hemicolectomy</v>
      </c>
      <c r="D800" s="129" t="str">
        <v>A12 – Abdomen / Lower GI: Major Procedures</v>
      </c>
      <c r="E800" s="129" t="str">
        <v>06 - Abdomen</v>
      </c>
      <c r="F800" s="129" t="str">
        <v>Solutions Plus</v>
      </c>
      <c r="G800" s="144" t="str">
        <v>CON-01</v>
      </c>
      <c r="H800" s="129" t="str">
        <v>To confirm</v>
      </c>
      <c r="I800" s="144" t="str">
        <v>No</v>
      </c>
      <c r="J800" s="144" t="str">
        <v>Base</v>
      </c>
      <c r="K800" s="144" t="str">
        <v/>
      </c>
      <c r="L800" s="146">
        <v>22.2</v>
      </c>
      <c r="M800" s="142">
        <v>1221.55</v>
      </c>
      <c r="N800" s="144" t="str">
        <v>Unknown</v>
      </c>
      <c r="O800" s="142" t="str">
        <v/>
      </c>
      <c r="P800" s="142" t="str">
        <v/>
      </c>
      <c r="Q800" s="142">
        <v>55.024774774774777</v>
      </c>
      <c r="R800" s="129" t="str">
        <v>Description – likely</v>
      </c>
      <c r="S800" s="143" t="str">
        <v/>
      </c>
      <c r="T800" s="144" t="str">
        <v>SRC-00</v>
      </c>
      <c r="U800" s="129" t="str">
        <v>S+ row 483</v>
      </c>
      <c r="V800" s="129" t="str">
        <v/>
      </c>
    </row>
    <row r="801" spans="1:22" x14ac:dyDescent="0.2">
      <c r="A801" s="144" t="str">
        <v>A12</v>
      </c>
      <c r="B801" s="145">
        <v>8</v>
      </c>
      <c r="C801" s="129" t="str">
        <v>Left Hemicolectomy</v>
      </c>
      <c r="D801" s="129" t="str">
        <v>A12 – Abdomen / Lower GI: Major Procedures</v>
      </c>
      <c r="E801" s="129" t="str">
        <v>06 - Abdomen</v>
      </c>
      <c r="F801" s="129" t="str">
        <v>Solutions Plus</v>
      </c>
      <c r="G801" s="144" t="str">
        <v>CON-01</v>
      </c>
      <c r="H801" s="129" t="str">
        <v>To confirm</v>
      </c>
      <c r="I801" s="144" t="str">
        <v>No</v>
      </c>
      <c r="J801" s="144" t="str">
        <v>Base</v>
      </c>
      <c r="K801" s="144" t="str">
        <v/>
      </c>
      <c r="L801" s="146">
        <v>22.3</v>
      </c>
      <c r="M801" s="142">
        <v>1224.3</v>
      </c>
      <c r="N801" s="144" t="str">
        <v>Unknown</v>
      </c>
      <c r="O801" s="142" t="str">
        <v/>
      </c>
      <c r="P801" s="142" t="str">
        <v/>
      </c>
      <c r="Q801" s="142">
        <v>54.901345291479814</v>
      </c>
      <c r="R801" s="129" t="str">
        <v>Description – likely</v>
      </c>
      <c r="S801" s="143" t="str">
        <v/>
      </c>
      <c r="T801" s="144" t="str">
        <v>SRC-00</v>
      </c>
      <c r="U801" s="129" t="str">
        <v>S+ row 558</v>
      </c>
      <c r="V801" s="129" t="str">
        <v/>
      </c>
    </row>
    <row r="802" spans="1:22" x14ac:dyDescent="0.2">
      <c r="A802" s="144" t="str">
        <v>A12</v>
      </c>
      <c r="B802" s="145">
        <v>8</v>
      </c>
      <c r="C802" s="129" t="str">
        <v>Low Anterior Resection</v>
      </c>
      <c r="D802" s="129" t="str">
        <v>A12 – Abdomen / Lower GI: Major Procedures</v>
      </c>
      <c r="E802" s="129" t="str">
        <v>06 - Abdomen</v>
      </c>
      <c r="F802" s="129" t="str">
        <v>Solutions Plus</v>
      </c>
      <c r="G802" s="144" t="str">
        <v>CON-01</v>
      </c>
      <c r="H802" s="129" t="str">
        <v>To confirm</v>
      </c>
      <c r="I802" s="144" t="str">
        <v>No</v>
      </c>
      <c r="J802" s="144" t="str">
        <v>Base</v>
      </c>
      <c r="K802" s="144" t="str">
        <v/>
      </c>
      <c r="L802" s="146">
        <v>26</v>
      </c>
      <c r="M802" s="142">
        <v>1430</v>
      </c>
      <c r="N802" s="144" t="str">
        <v>Unknown</v>
      </c>
      <c r="O802" s="142" t="str">
        <v/>
      </c>
      <c r="P802" s="142" t="str">
        <v/>
      </c>
      <c r="Q802" s="142">
        <v>55</v>
      </c>
      <c r="R802" s="129" t="str">
        <v>Description – likely</v>
      </c>
      <c r="S802" s="143" t="str">
        <v/>
      </c>
      <c r="T802" s="144" t="str">
        <v>SRC-00</v>
      </c>
      <c r="U802" s="129" t="str">
        <v>S+ row 619</v>
      </c>
      <c r="V802" s="129" t="str">
        <v/>
      </c>
    </row>
    <row r="803" spans="1:22" x14ac:dyDescent="0.2">
      <c r="A803" s="144" t="str">
        <v>A12</v>
      </c>
      <c r="B803" s="145">
        <v>8</v>
      </c>
      <c r="C803" s="129" t="str">
        <v>Major Procedures e.g. Bowel Resection [Single Section with Re-anastomosis] INCLUDES Open/Laparoscopic/Combined Technique</v>
      </c>
      <c r="D803" s="129" t="str">
        <v>A12 – Abdomen / Lower GI: Major Procedures</v>
      </c>
      <c r="E803" s="129" t="str">
        <v>06 - Abdomen</v>
      </c>
      <c r="F803" s="129" t="str">
        <v>NZSA RVG</v>
      </c>
      <c r="G803" s="144" t="str">
        <v>CON-10</v>
      </c>
      <c r="H803" s="129" t="str">
        <v>Reference – units only</v>
      </c>
      <c r="I803" s="144" t="str">
        <v>No</v>
      </c>
      <c r="J803" s="144" t="str">
        <v>Base</v>
      </c>
      <c r="K803" s="144" t="str">
        <v>A12</v>
      </c>
      <c r="L803" s="146" t="str">
        <v/>
      </c>
      <c r="M803" s="142" t="str">
        <v/>
      </c>
      <c r="N803" s="144" t="str">
        <v/>
      </c>
      <c r="O803" s="142" t="str">
        <v/>
      </c>
      <c r="P803" s="142" t="str">
        <v/>
      </c>
      <c r="Q803" s="142" t="str">
        <v/>
      </c>
      <c r="R803" s="129" t="str">
        <v>RVG code</v>
      </c>
      <c r="S803" s="143" t="str">
        <v/>
      </c>
      <c r="T803" s="144" t="str">
        <v>SRC-01</v>
      </c>
      <c r="U803" s="129" t="str">
        <v>p.10 – Abdomen / Lower GI</v>
      </c>
      <c r="V803" s="129" t="str">
        <v>Reference units only – no $ fee (NZSA RVG 2021). Units as printed: "8-10" (lower bound in units columns). Printed as a range 8-10</v>
      </c>
    </row>
    <row r="804" spans="1:22" x14ac:dyDescent="0.2">
      <c r="A804" s="144" t="str">
        <v>A11</v>
      </c>
      <c r="B804" s="145">
        <v>6</v>
      </c>
      <c r="C804" s="129" t="str">
        <v>Moderate Procedures e.g. Reversal Loop Ileostomy</v>
      </c>
      <c r="D804" s="129" t="str">
        <v>A11 – Abdomen / Lower GI: Moderate Procedures</v>
      </c>
      <c r="E804" s="129" t="str">
        <v>06 - Abdomen</v>
      </c>
      <c r="F804" s="129" t="str">
        <v>NZSA RVG</v>
      </c>
      <c r="G804" s="144" t="str">
        <v>CON-10</v>
      </c>
      <c r="H804" s="129" t="str">
        <v>Reference – units only</v>
      </c>
      <c r="I804" s="144" t="str">
        <v>No</v>
      </c>
      <c r="J804" s="144" t="str">
        <v>Base</v>
      </c>
      <c r="K804" s="144" t="str">
        <v>A11</v>
      </c>
      <c r="L804" s="146">
        <v>6</v>
      </c>
      <c r="M804" s="142" t="str">
        <v/>
      </c>
      <c r="N804" s="144" t="str">
        <v/>
      </c>
      <c r="O804" s="142" t="str">
        <v/>
      </c>
      <c r="P804" s="142" t="str">
        <v/>
      </c>
      <c r="Q804" s="142">
        <v>0</v>
      </c>
      <c r="R804" s="129" t="str">
        <v>RVG code</v>
      </c>
      <c r="S804" s="143" t="str">
        <v/>
      </c>
      <c r="T804" s="144" t="str">
        <v>SRC-01</v>
      </c>
      <c r="U804" s="129" t="str">
        <v>p.9 – Abdomen / Lower GI</v>
      </c>
      <c r="V804" s="129" t="str">
        <v>Reference units only – no $ fee (NZSA RVG 2021).</v>
      </c>
    </row>
    <row r="805" spans="1:22" x14ac:dyDescent="0.2">
      <c r="A805" s="144" t="str">
        <v>A13</v>
      </c>
      <c r="B805" s="145">
        <v>12</v>
      </c>
      <c r="C805" s="129" t="str">
        <v>Panproctocolectomy</v>
      </c>
      <c r="D805" s="129" t="str">
        <v>A13 – Abdomen / Lower GI: Complex Procedures</v>
      </c>
      <c r="E805" s="129" t="str">
        <v>06 - Abdomen</v>
      </c>
      <c r="F805" s="129" t="str">
        <v>Solutions Plus</v>
      </c>
      <c r="G805" s="144" t="str">
        <v>CON-01</v>
      </c>
      <c r="H805" s="129" t="str">
        <v>To confirm</v>
      </c>
      <c r="I805" s="144" t="str">
        <v>No</v>
      </c>
      <c r="J805" s="144" t="str">
        <v>Base</v>
      </c>
      <c r="K805" s="144" t="str">
        <v/>
      </c>
      <c r="L805" s="146">
        <v>33.5</v>
      </c>
      <c r="M805" s="142">
        <v>1841.95</v>
      </c>
      <c r="N805" s="144" t="str">
        <v>Unknown</v>
      </c>
      <c r="O805" s="142" t="str">
        <v/>
      </c>
      <c r="P805" s="142" t="str">
        <v/>
      </c>
      <c r="Q805" s="142">
        <v>54.983582089552243</v>
      </c>
      <c r="R805" s="129" t="str">
        <v>Description – likely</v>
      </c>
      <c r="S805" s="143" t="str">
        <v/>
      </c>
      <c r="T805" s="144" t="str">
        <v>SRC-00</v>
      </c>
      <c r="U805" s="129" t="str">
        <v>S+ row 689</v>
      </c>
      <c r="V805" s="129" t="str">
        <v/>
      </c>
    </row>
    <row r="806" spans="1:22" x14ac:dyDescent="0.2">
      <c r="A806" s="144" t="str">
        <v>A12</v>
      </c>
      <c r="B806" s="145">
        <v>8</v>
      </c>
      <c r="C806" s="129" t="str">
        <v>Rectopexy</v>
      </c>
      <c r="D806" s="129" t="str">
        <v>A12 – Abdomen / Lower GI: Major Procedures</v>
      </c>
      <c r="E806" s="129" t="str">
        <v>06 - Abdomen</v>
      </c>
      <c r="F806" s="129" t="str">
        <v>Solutions Plus</v>
      </c>
      <c r="G806" s="144" t="str">
        <v>CON-01</v>
      </c>
      <c r="H806" s="129" t="str">
        <v>To confirm</v>
      </c>
      <c r="I806" s="144" t="str">
        <v>No</v>
      </c>
      <c r="J806" s="144" t="str">
        <v>Base</v>
      </c>
      <c r="K806" s="144" t="str">
        <v/>
      </c>
      <c r="L806" s="146">
        <v>18</v>
      </c>
      <c r="M806" s="142">
        <v>989.45</v>
      </c>
      <c r="N806" s="144" t="str">
        <v>Unknown</v>
      </c>
      <c r="O806" s="142" t="str">
        <v/>
      </c>
      <c r="P806" s="142" t="str">
        <v/>
      </c>
      <c r="Q806" s="142">
        <v>54.969444444444449</v>
      </c>
      <c r="R806" s="129" t="str">
        <v>Description – likely</v>
      </c>
      <c r="S806" s="143" t="str">
        <v/>
      </c>
      <c r="T806" s="144" t="str">
        <v>SRC-00</v>
      </c>
      <c r="U806" s="129" t="str">
        <v>S+ row 713</v>
      </c>
      <c r="V806" s="129" t="str">
        <v/>
      </c>
    </row>
    <row r="807" spans="1:22" x14ac:dyDescent="0.2">
      <c r="A807" s="144" t="str">
        <v>A12</v>
      </c>
      <c r="B807" s="145">
        <v>8</v>
      </c>
      <c r="C807" s="129" t="str">
        <v>Reversal Of Hartmanns</v>
      </c>
      <c r="D807" s="129" t="str">
        <v>A12 – Abdomen / Lower GI: Major Procedures</v>
      </c>
      <c r="E807" s="129" t="str">
        <v>06 - Abdomen</v>
      </c>
      <c r="F807" s="129" t="str">
        <v>Solutions Plus</v>
      </c>
      <c r="G807" s="144" t="str">
        <v>CON-01</v>
      </c>
      <c r="H807" s="129" t="str">
        <v>To confirm</v>
      </c>
      <c r="I807" s="144" t="str">
        <v>No</v>
      </c>
      <c r="J807" s="144" t="str">
        <v>Base</v>
      </c>
      <c r="K807" s="144" t="str">
        <v/>
      </c>
      <c r="L807" s="146">
        <v>27</v>
      </c>
      <c r="M807" s="142">
        <v>1483.9</v>
      </c>
      <c r="N807" s="144" t="str">
        <v>Unknown</v>
      </c>
      <c r="O807" s="142" t="str">
        <v/>
      </c>
      <c r="P807" s="142" t="str">
        <v/>
      </c>
      <c r="Q807" s="142">
        <v>54.959259259259262</v>
      </c>
      <c r="R807" s="129" t="str">
        <v>Description – likely</v>
      </c>
      <c r="S807" s="143" t="str">
        <v/>
      </c>
      <c r="T807" s="144" t="str">
        <v>SRC-00</v>
      </c>
      <c r="U807" s="129" t="str">
        <v>S+ row 749</v>
      </c>
      <c r="V807" s="129" t="str">
        <v/>
      </c>
    </row>
    <row r="808" spans="1:22" x14ac:dyDescent="0.2">
      <c r="A808" s="144" t="str">
        <v>A11</v>
      </c>
      <c r="B808" s="145">
        <v>6</v>
      </c>
      <c r="C808" s="129" t="str">
        <v>Reversal Of lleostomy</v>
      </c>
      <c r="D808" s="129" t="str">
        <v>A11 – Abdomen / Lower GI: Moderate Procedures</v>
      </c>
      <c r="E808" s="129" t="str">
        <v>06 - Abdomen</v>
      </c>
      <c r="F808" s="129" t="str">
        <v>Solutions Plus</v>
      </c>
      <c r="G808" s="144" t="str">
        <v>CON-01</v>
      </c>
      <c r="H808" s="129" t="str">
        <v>To confirm</v>
      </c>
      <c r="I808" s="144" t="str">
        <v>No</v>
      </c>
      <c r="J808" s="144" t="str">
        <v>Base</v>
      </c>
      <c r="K808" s="144" t="str">
        <v/>
      </c>
      <c r="L808" s="146">
        <v>14.1</v>
      </c>
      <c r="M808" s="142">
        <v>776.6</v>
      </c>
      <c r="N808" s="144" t="str">
        <v>Unknown</v>
      </c>
      <c r="O808" s="142" t="str">
        <v/>
      </c>
      <c r="P808" s="142" t="str">
        <v/>
      </c>
      <c r="Q808" s="142">
        <v>55.078014184397169</v>
      </c>
      <c r="R808" s="129" t="str">
        <v>Description – exact</v>
      </c>
      <c r="S808" s="143" t="str">
        <v/>
      </c>
      <c r="T808" s="144" t="str">
        <v>SRC-00</v>
      </c>
      <c r="U808" s="129" t="str">
        <v>S+ row 750</v>
      </c>
      <c r="V808" s="129" t="str">
        <v/>
      </c>
    </row>
    <row r="809" spans="1:22" x14ac:dyDescent="0.2">
      <c r="A809" s="144" t="str">
        <v>A13</v>
      </c>
      <c r="B809" s="145">
        <v>12</v>
      </c>
      <c r="C809" s="129" t="str">
        <v>Subtotal Colectomy</v>
      </c>
      <c r="D809" s="129" t="str">
        <v>A13 – Abdomen / Lower GI: Complex Procedures</v>
      </c>
      <c r="E809" s="129" t="str">
        <v>06 - Abdomen</v>
      </c>
      <c r="F809" s="129" t="str">
        <v>Solutions Plus</v>
      </c>
      <c r="G809" s="144" t="str">
        <v>CON-01</v>
      </c>
      <c r="H809" s="129" t="str">
        <v>To confirm</v>
      </c>
      <c r="I809" s="144" t="str">
        <v>No</v>
      </c>
      <c r="J809" s="144" t="str">
        <v>Base</v>
      </c>
      <c r="K809" s="144" t="str">
        <v/>
      </c>
      <c r="L809" s="146">
        <v>22.5</v>
      </c>
      <c r="M809" s="142">
        <v>1237.5</v>
      </c>
      <c r="N809" s="144" t="str">
        <v>Unknown</v>
      </c>
      <c r="O809" s="142" t="str">
        <v/>
      </c>
      <c r="P809" s="142" t="str">
        <v/>
      </c>
      <c r="Q809" s="142">
        <v>55</v>
      </c>
      <c r="R809" s="129" t="str">
        <v>Description – likely</v>
      </c>
      <c r="S809" s="143" t="str">
        <v/>
      </c>
      <c r="T809" s="144" t="str">
        <v>SRC-00</v>
      </c>
      <c r="U809" s="129" t="str">
        <v>S+ row 908</v>
      </c>
      <c r="V809" s="129" t="str">
        <v/>
      </c>
    </row>
    <row r="810" spans="1:22" x14ac:dyDescent="0.2">
      <c r="A810" s="144" t="str">
        <v>A13</v>
      </c>
      <c r="B810" s="145">
        <v>12</v>
      </c>
      <c r="C810" s="129" t="str">
        <v>Ureteric Reimplant</v>
      </c>
      <c r="D810" s="129" t="str">
        <v>A13 – Abdomen / Lower GI: Complex Procedures</v>
      </c>
      <c r="E810" s="129" t="str">
        <v>06 - Abdomen</v>
      </c>
      <c r="F810" s="129" t="str">
        <v>Solutions Plus</v>
      </c>
      <c r="G810" s="144" t="str">
        <v>CON-01</v>
      </c>
      <c r="H810" s="129" t="str">
        <v>To confirm</v>
      </c>
      <c r="I810" s="144" t="str">
        <v>No</v>
      </c>
      <c r="J810" s="144" t="str">
        <v>Base</v>
      </c>
      <c r="K810" s="144" t="str">
        <v/>
      </c>
      <c r="L810" s="146">
        <v>19</v>
      </c>
      <c r="M810" s="142">
        <v>1045</v>
      </c>
      <c r="N810" s="144" t="str">
        <v>Unknown</v>
      </c>
      <c r="O810" s="142" t="str">
        <v/>
      </c>
      <c r="P810" s="142" t="str">
        <v/>
      </c>
      <c r="Q810" s="142">
        <v>55</v>
      </c>
      <c r="R810" s="129" t="str">
        <v>Description – likely</v>
      </c>
      <c r="S810" s="143" t="str">
        <v/>
      </c>
      <c r="T810" s="144" t="str">
        <v>SRC-00</v>
      </c>
      <c r="U810" s="129" t="str">
        <v>S+ row 960</v>
      </c>
      <c r="V810" s="129" t="str">
        <v/>
      </c>
    </row>
    <row r="811" spans="1:22" x14ac:dyDescent="0.2">
      <c r="A811" s="144" t="str">
        <v>A9</v>
      </c>
      <c r="B811" s="145">
        <v>16</v>
      </c>
      <c r="C811" s="129" t="str">
        <v>Complex Procedures e.g. Liver Resection, Whipple’s</v>
      </c>
      <c r="D811" s="129" t="str">
        <v>A9 – Abdomen / Upper GI: Complex Procedures</v>
      </c>
      <c r="E811" s="129" t="str">
        <v>06 - Abdomen</v>
      </c>
      <c r="F811" s="129" t="str">
        <v>NZSA RVG</v>
      </c>
      <c r="G811" s="144" t="str">
        <v>CON-10</v>
      </c>
      <c r="H811" s="129" t="str">
        <v>Reference – units only</v>
      </c>
      <c r="I811" s="144" t="str">
        <v>No</v>
      </c>
      <c r="J811" s="144" t="str">
        <v>Base</v>
      </c>
      <c r="K811" s="144" t="str">
        <v>A9</v>
      </c>
      <c r="L811" s="146">
        <v>16</v>
      </c>
      <c r="M811" s="142" t="str">
        <v/>
      </c>
      <c r="N811" s="144" t="str">
        <v/>
      </c>
      <c r="O811" s="142" t="str">
        <v/>
      </c>
      <c r="P811" s="142" t="str">
        <v/>
      </c>
      <c r="Q811" s="142">
        <v>0</v>
      </c>
      <c r="R811" s="129" t="str">
        <v>RVG code</v>
      </c>
      <c r="S811" s="143" t="str">
        <v/>
      </c>
      <c r="T811" s="144" t="str">
        <v>SRC-01</v>
      </c>
      <c r="U811" s="129" t="str">
        <v>p.9 – Abdomen / Upper GI</v>
      </c>
      <c r="V811" s="129" t="str">
        <v>Reference units only – no $ fee (NZSA RVG 2021).</v>
      </c>
    </row>
    <row r="812" spans="1:22" x14ac:dyDescent="0.2">
      <c r="A812" s="144" t="str">
        <v>A7</v>
      </c>
      <c r="B812" s="145">
        <v>8</v>
      </c>
      <c r="C812" s="129" t="str">
        <v>Hiatal Hernia Repair</v>
      </c>
      <c r="D812" s="129" t="str">
        <v>A7 – Abdomen / Upper GI: Major Laparoscopic Intraperitoneal Procedures</v>
      </c>
      <c r="E812" s="129" t="str">
        <v>06 - Abdomen</v>
      </c>
      <c r="F812" s="129" t="str">
        <v>Solutions Plus</v>
      </c>
      <c r="G812" s="144" t="str">
        <v>CON-01</v>
      </c>
      <c r="H812" s="129" t="str">
        <v>To confirm</v>
      </c>
      <c r="I812" s="144" t="str">
        <v>No</v>
      </c>
      <c r="J812" s="144" t="str">
        <v>Base</v>
      </c>
      <c r="K812" s="144" t="str">
        <v/>
      </c>
      <c r="L812" s="146">
        <v>6.1</v>
      </c>
      <c r="M812" s="142">
        <v>333.3</v>
      </c>
      <c r="N812" s="144" t="str">
        <v>Unknown</v>
      </c>
      <c r="O812" s="142" t="str">
        <v/>
      </c>
      <c r="P812" s="142" t="str">
        <v/>
      </c>
      <c r="Q812" s="142">
        <v>54.63934426229509</v>
      </c>
      <c r="R812" s="129" t="str">
        <v>Description – likely</v>
      </c>
      <c r="S812" s="143" t="str">
        <v/>
      </c>
      <c r="T812" s="144" t="str">
        <v>SRC-00</v>
      </c>
      <c r="U812" s="129" t="str">
        <v>S+ row 410</v>
      </c>
      <c r="V812" s="129" t="str">
        <v/>
      </c>
    </row>
    <row r="813" spans="1:22" x14ac:dyDescent="0.2">
      <c r="A813" s="144" t="str">
        <v>A7</v>
      </c>
      <c r="B813" s="145">
        <v>8</v>
      </c>
      <c r="C813" s="129" t="str">
        <v>Hiatal Hernia Repair + lron Infusion</v>
      </c>
      <c r="D813" s="129" t="str">
        <v>A7 – Abdomen / Upper GI: Major Laparoscopic Intraperitoneal Procedures</v>
      </c>
      <c r="E813" s="129" t="str">
        <v>06 - Abdomen</v>
      </c>
      <c r="F813" s="129" t="str">
        <v>Solutions Plus</v>
      </c>
      <c r="G813" s="144" t="str">
        <v>CON-01</v>
      </c>
      <c r="H813" s="129" t="str">
        <v>To confirm</v>
      </c>
      <c r="I813" s="144" t="str">
        <v>No</v>
      </c>
      <c r="J813" s="144" t="str">
        <v>Base</v>
      </c>
      <c r="K813" s="144" t="str">
        <v/>
      </c>
      <c r="L813" s="146">
        <v>0</v>
      </c>
      <c r="M813" s="142">
        <v>0</v>
      </c>
      <c r="N813" s="144" t="str">
        <v>Unknown</v>
      </c>
      <c r="O813" s="142" t="str">
        <v/>
      </c>
      <c r="P813" s="142" t="str">
        <v/>
      </c>
      <c r="Q813" s="142" t="str">
        <v/>
      </c>
      <c r="R813" s="129" t="str">
        <v>Description – likely</v>
      </c>
      <c r="S813" s="143" t="str">
        <v/>
      </c>
      <c r="T813" s="144" t="str">
        <v>SRC-00</v>
      </c>
      <c r="U813" s="129" t="str">
        <v>S+ row 411</v>
      </c>
      <c r="V813" s="129" t="str">
        <v/>
      </c>
    </row>
    <row r="814" spans="1:22" x14ac:dyDescent="0.2">
      <c r="A814" s="144" t="str">
        <v>A7</v>
      </c>
      <c r="B814" s="145">
        <v>8</v>
      </c>
      <c r="C814" s="129" t="str">
        <v>Hiatus Hernia Repair</v>
      </c>
      <c r="D814" s="129" t="str">
        <v>A7 – Abdomen / Upper GI: Major Laparoscopic Intraperitoneal Procedures</v>
      </c>
      <c r="E814" s="129" t="str">
        <v>06 - Abdomen</v>
      </c>
      <c r="F814" s="129" t="str">
        <v>Solutions Plus</v>
      </c>
      <c r="G814" s="144" t="str">
        <v>CON-01</v>
      </c>
      <c r="H814" s="129" t="str">
        <v>To confirm</v>
      </c>
      <c r="I814" s="144" t="str">
        <v>No</v>
      </c>
      <c r="J814" s="144" t="str">
        <v>Base</v>
      </c>
      <c r="K814" s="144" t="str">
        <v/>
      </c>
      <c r="L814" s="146">
        <v>7.6</v>
      </c>
      <c r="M814" s="142">
        <v>419.65</v>
      </c>
      <c r="N814" s="144" t="str">
        <v>Unknown</v>
      </c>
      <c r="O814" s="142" t="str">
        <v/>
      </c>
      <c r="P814" s="142" t="str">
        <v/>
      </c>
      <c r="Q814" s="142">
        <v>55.217105263157897</v>
      </c>
      <c r="R814" s="129" t="str">
        <v>Description – likely</v>
      </c>
      <c r="S814" s="143" t="str">
        <v/>
      </c>
      <c r="T814" s="144" t="str">
        <v>SRC-00</v>
      </c>
      <c r="U814" s="129" t="str">
        <v>S+ row 412</v>
      </c>
      <c r="V814" s="129" t="str">
        <v/>
      </c>
    </row>
    <row r="815" spans="1:22" x14ac:dyDescent="0.2">
      <c r="A815" s="144" t="str">
        <v>A7</v>
      </c>
      <c r="B815" s="145">
        <v>8</v>
      </c>
      <c r="C815" s="129" t="str">
        <v>Lap Sleeve Gastrectomy DHB Outsourced</v>
      </c>
      <c r="D815" s="129" t="str">
        <v>A7 – Abdomen / Upper GI: Major Laparoscopic Intraperitoneal Procedures</v>
      </c>
      <c r="E815" s="129" t="str">
        <v>06 - Abdomen</v>
      </c>
      <c r="F815" s="129" t="str">
        <v>Solutions Plus</v>
      </c>
      <c r="G815" s="144" t="str">
        <v>CON-01</v>
      </c>
      <c r="H815" s="129" t="str">
        <v>To confirm</v>
      </c>
      <c r="I815" s="144" t="str">
        <v>No</v>
      </c>
      <c r="J815" s="144" t="str">
        <v>Base</v>
      </c>
      <c r="K815" s="144" t="str">
        <v/>
      </c>
      <c r="L815" s="146">
        <v>19.3</v>
      </c>
      <c r="M815" s="142">
        <v>1058.75</v>
      </c>
      <c r="N815" s="144" t="str">
        <v>Unknown</v>
      </c>
      <c r="O815" s="142" t="str">
        <v/>
      </c>
      <c r="P815" s="142" t="str">
        <v/>
      </c>
      <c r="Q815" s="142">
        <v>54.857512953367873</v>
      </c>
      <c r="R815" s="129" t="str">
        <v>Description – exact</v>
      </c>
      <c r="S815" s="143" t="str">
        <v/>
      </c>
      <c r="T815" s="144" t="str">
        <v>SRC-00</v>
      </c>
      <c r="U815" s="129" t="str">
        <v>S+ row 459</v>
      </c>
      <c r="V815" s="129" t="str">
        <v/>
      </c>
    </row>
    <row r="816" spans="1:22" x14ac:dyDescent="0.2">
      <c r="A816" s="144" t="str">
        <v>A7</v>
      </c>
      <c r="B816" s="145">
        <v>8</v>
      </c>
      <c r="C816" s="129" t="str">
        <v>Laparoscopic Fundoplication</v>
      </c>
      <c r="D816" s="129" t="str">
        <v>A7 – Abdomen / Upper GI: Major Laparoscopic Intraperitoneal Procedures</v>
      </c>
      <c r="E816" s="129" t="str">
        <v>06 - Abdomen</v>
      </c>
      <c r="F816" s="129" t="str">
        <v>Solutions Plus</v>
      </c>
      <c r="G816" s="144" t="str">
        <v>CON-01</v>
      </c>
      <c r="H816" s="129" t="str">
        <v>To confirm</v>
      </c>
      <c r="I816" s="144" t="str">
        <v>No</v>
      </c>
      <c r="J816" s="144" t="str">
        <v>Base</v>
      </c>
      <c r="K816" s="144" t="str">
        <v/>
      </c>
      <c r="L816" s="146">
        <v>16.899999999999999</v>
      </c>
      <c r="M816" s="142">
        <v>929.5</v>
      </c>
      <c r="N816" s="144" t="str">
        <v>Unknown</v>
      </c>
      <c r="O816" s="142" t="str">
        <v/>
      </c>
      <c r="P816" s="142" t="str">
        <v/>
      </c>
      <c r="Q816" s="142">
        <v>55.000000000000007</v>
      </c>
      <c r="R816" s="129" t="str">
        <v>Description – exact</v>
      </c>
      <c r="S816" s="143" t="str">
        <v/>
      </c>
      <c r="T816" s="144" t="str">
        <v>SRC-00</v>
      </c>
      <c r="U816" s="129" t="str">
        <v>S+ row 476</v>
      </c>
      <c r="V816" s="129" t="str">
        <v/>
      </c>
    </row>
    <row r="817" spans="1:22" x14ac:dyDescent="0.2">
      <c r="A817" s="144" t="str">
        <v>A8</v>
      </c>
      <c r="B817" s="145">
        <v>10</v>
      </c>
      <c r="C817" s="129" t="str">
        <v>Laparoscopic Gasric Bypass</v>
      </c>
      <c r="D817" s="129" t="str">
        <v>A8 – Abdomen / Upper GI: Major Open Procedure</v>
      </c>
      <c r="E817" s="129" t="str">
        <v>06 - Abdomen</v>
      </c>
      <c r="F817" s="129" t="str">
        <v>Solutions Plus</v>
      </c>
      <c r="G817" s="144" t="str">
        <v>CON-01</v>
      </c>
      <c r="H817" s="129" t="str">
        <v>To confirm</v>
      </c>
      <c r="I817" s="144" t="str">
        <v>No</v>
      </c>
      <c r="J817" s="144" t="str">
        <v>Base</v>
      </c>
      <c r="K817" s="144" t="str">
        <v/>
      </c>
      <c r="L817" s="146">
        <v>9.4</v>
      </c>
      <c r="M817" s="142">
        <v>518.1</v>
      </c>
      <c r="N817" s="144" t="str">
        <v>Unknown</v>
      </c>
      <c r="O817" s="142" t="str">
        <v/>
      </c>
      <c r="P817" s="142" t="str">
        <v/>
      </c>
      <c r="Q817" s="142">
        <v>55.117021276595743</v>
      </c>
      <c r="R817" s="129" t="str">
        <v>Description – exact</v>
      </c>
      <c r="S817" s="143" t="str">
        <v/>
      </c>
      <c r="T817" s="144" t="str">
        <v>SRC-00</v>
      </c>
      <c r="U817" s="129" t="str">
        <v>S+ row 477</v>
      </c>
      <c r="V817" s="129" t="str">
        <v/>
      </c>
    </row>
    <row r="818" spans="1:22" x14ac:dyDescent="0.2">
      <c r="A818" s="144" t="str">
        <v>A7</v>
      </c>
      <c r="B818" s="145">
        <v>8</v>
      </c>
      <c r="C818" s="129" t="str">
        <v>Laparoscopic Gasric Sleeve</v>
      </c>
      <c r="D818" s="129" t="str">
        <v>A7 – Abdomen / Upper GI: Major Laparoscopic Intraperitoneal Procedures</v>
      </c>
      <c r="E818" s="129" t="str">
        <v>06 - Abdomen</v>
      </c>
      <c r="F818" s="129" t="str">
        <v>Solutions Plus</v>
      </c>
      <c r="G818" s="144" t="str">
        <v>CON-01</v>
      </c>
      <c r="H818" s="129" t="str">
        <v>To confirm</v>
      </c>
      <c r="I818" s="144" t="str">
        <v>No</v>
      </c>
      <c r="J818" s="144" t="str">
        <v>Base</v>
      </c>
      <c r="K818" s="144" t="str">
        <v/>
      </c>
      <c r="L818" s="146">
        <v>6.7</v>
      </c>
      <c r="M818" s="142">
        <v>369.05</v>
      </c>
      <c r="N818" s="144" t="str">
        <v>Unknown</v>
      </c>
      <c r="O818" s="142" t="str">
        <v/>
      </c>
      <c r="P818" s="142" t="str">
        <v/>
      </c>
      <c r="Q818" s="142">
        <v>55.082089552238806</v>
      </c>
      <c r="R818" s="129" t="str">
        <v>Description – exact</v>
      </c>
      <c r="S818" s="143" t="str">
        <v/>
      </c>
      <c r="T818" s="144" t="str">
        <v>SRC-00</v>
      </c>
      <c r="U818" s="129" t="str">
        <v>S+ row 478</v>
      </c>
      <c r="V818" s="129" t="str">
        <v/>
      </c>
    </row>
    <row r="819" spans="1:22" x14ac:dyDescent="0.2">
      <c r="A819" s="144" t="str">
        <v>A7</v>
      </c>
      <c r="B819" s="145">
        <v>8</v>
      </c>
      <c r="C819" s="129" t="str">
        <v>Laparoscopic Gastric Banding</v>
      </c>
      <c r="D819" s="129" t="str">
        <v>A7 – Abdomen / Upper GI: Major Laparoscopic Intraperitoneal Procedures</v>
      </c>
      <c r="E819" s="129" t="str">
        <v>06 - Abdomen</v>
      </c>
      <c r="F819" s="129" t="str">
        <v>Solutions Plus</v>
      </c>
      <c r="G819" s="144" t="str">
        <v>CON-01</v>
      </c>
      <c r="H819" s="129" t="str">
        <v>To confirm</v>
      </c>
      <c r="I819" s="144" t="str">
        <v>No</v>
      </c>
      <c r="J819" s="144" t="str">
        <v>Base</v>
      </c>
      <c r="K819" s="144" t="str">
        <v/>
      </c>
      <c r="L819" s="146">
        <v>8.1999999999999993</v>
      </c>
      <c r="M819" s="142">
        <v>450.45</v>
      </c>
      <c r="N819" s="144" t="str">
        <v>Unknown</v>
      </c>
      <c r="O819" s="142" t="str">
        <v/>
      </c>
      <c r="P819" s="142" t="str">
        <v/>
      </c>
      <c r="Q819" s="142">
        <v>54.932926829268297</v>
      </c>
      <c r="R819" s="129" t="str">
        <v>Description – exact</v>
      </c>
      <c r="S819" s="143" t="str">
        <v/>
      </c>
      <c r="T819" s="144" t="str">
        <v>SRC-00</v>
      </c>
      <c r="U819" s="129" t="str">
        <v>S+ row 479</v>
      </c>
      <c r="V819" s="129" t="str">
        <v/>
      </c>
    </row>
    <row r="820" spans="1:22" x14ac:dyDescent="0.2">
      <c r="A820" s="144" t="str">
        <v>A8</v>
      </c>
      <c r="B820" s="145">
        <v>10</v>
      </c>
      <c r="C820" s="129" t="str">
        <v>Laparoscopic Gastric Bypass</v>
      </c>
      <c r="D820" s="129" t="str">
        <v>A8 – Abdomen / Upper GI: Major Open Procedure</v>
      </c>
      <c r="E820" s="129" t="str">
        <v>06 - Abdomen</v>
      </c>
      <c r="F820" s="129" t="str">
        <v>Solutions Plus</v>
      </c>
      <c r="G820" s="144" t="str">
        <v>CON-01</v>
      </c>
      <c r="H820" s="129" t="str">
        <v>To confirm</v>
      </c>
      <c r="I820" s="144" t="str">
        <v>No</v>
      </c>
      <c r="J820" s="144" t="str">
        <v>Base</v>
      </c>
      <c r="K820" s="144" t="str">
        <v/>
      </c>
      <c r="L820" s="146">
        <v>10.9</v>
      </c>
      <c r="M820" s="142">
        <v>598.4</v>
      </c>
      <c r="N820" s="144" t="str">
        <v>Unknown</v>
      </c>
      <c r="O820" s="142" t="str">
        <v/>
      </c>
      <c r="P820" s="142" t="str">
        <v/>
      </c>
      <c r="Q820" s="142">
        <v>54.899082568807337</v>
      </c>
      <c r="R820" s="129" t="str">
        <v>Description – exact</v>
      </c>
      <c r="S820" s="143" t="str">
        <v/>
      </c>
      <c r="T820" s="144" t="str">
        <v>SRC-00</v>
      </c>
      <c r="U820" s="129" t="str">
        <v>S+ row 480</v>
      </c>
      <c r="V820" s="129" t="str">
        <v/>
      </c>
    </row>
    <row r="821" spans="1:22" x14ac:dyDescent="0.2">
      <c r="A821" s="144" t="str">
        <v>A8</v>
      </c>
      <c r="B821" s="145">
        <v>10</v>
      </c>
      <c r="C821" s="129" t="str">
        <v>Laparoscopic Gastric Bypass RYGB</v>
      </c>
      <c r="D821" s="129" t="str">
        <v>A8 – Abdomen / Upper GI: Major Open Procedure</v>
      </c>
      <c r="E821" s="129" t="str">
        <v>06 - Abdomen</v>
      </c>
      <c r="F821" s="129" t="str">
        <v>Solutions Plus</v>
      </c>
      <c r="G821" s="144" t="str">
        <v>CON-01</v>
      </c>
      <c r="H821" s="129" t="str">
        <v>To confirm</v>
      </c>
      <c r="I821" s="144" t="str">
        <v>No</v>
      </c>
      <c r="J821" s="144" t="str">
        <v>Base</v>
      </c>
      <c r="K821" s="144" t="str">
        <v/>
      </c>
      <c r="L821" s="146">
        <v>16</v>
      </c>
      <c r="M821" s="142">
        <v>880</v>
      </c>
      <c r="N821" s="144" t="str">
        <v>Unknown</v>
      </c>
      <c r="O821" s="142" t="str">
        <v/>
      </c>
      <c r="P821" s="142" t="str">
        <v/>
      </c>
      <c r="Q821" s="142">
        <v>55</v>
      </c>
      <c r="R821" s="129" t="str">
        <v>Description – exact</v>
      </c>
      <c r="S821" s="143" t="str">
        <v/>
      </c>
      <c r="T821" s="144" t="str">
        <v>SRC-00</v>
      </c>
      <c r="U821" s="129" t="str">
        <v>S+ row 481</v>
      </c>
      <c r="V821" s="129" t="str">
        <v/>
      </c>
    </row>
    <row r="822" spans="1:22" x14ac:dyDescent="0.2">
      <c r="A822" s="144" t="str">
        <v>A7</v>
      </c>
      <c r="B822" s="145">
        <v>8</v>
      </c>
      <c r="C822" s="129" t="str">
        <v>Laparoscopic Gastric Sleeve + Open Mesh Repair O</v>
      </c>
      <c r="D822" s="129" t="str">
        <v>A7 – Abdomen / Upper GI: Major Laparoscopic Intraperitoneal Procedures</v>
      </c>
      <c r="E822" s="129" t="str">
        <v>06 - Abdomen</v>
      </c>
      <c r="F822" s="129" t="str">
        <v>Solutions Plus</v>
      </c>
      <c r="G822" s="144" t="str">
        <v>CON-01</v>
      </c>
      <c r="H822" s="129" t="str">
        <v>To confirm</v>
      </c>
      <c r="I822" s="144" t="str">
        <v>No</v>
      </c>
      <c r="J822" s="144" t="str">
        <v>Base</v>
      </c>
      <c r="K822" s="144" t="str">
        <v/>
      </c>
      <c r="L822" s="146">
        <v>35</v>
      </c>
      <c r="M822" s="142">
        <v>1925</v>
      </c>
      <c r="N822" s="144" t="str">
        <v>Unknown</v>
      </c>
      <c r="O822" s="142" t="str">
        <v/>
      </c>
      <c r="P822" s="142" t="str">
        <v/>
      </c>
      <c r="Q822" s="142">
        <v>55</v>
      </c>
      <c r="R822" s="129" t="str">
        <v>Description – exact</v>
      </c>
      <c r="S822" s="143" t="str">
        <v/>
      </c>
      <c r="T822" s="144" t="str">
        <v>SRC-00</v>
      </c>
      <c r="U822" s="129" t="str">
        <v>S+ row 482</v>
      </c>
      <c r="V822" s="129" t="str">
        <v/>
      </c>
    </row>
    <row r="823" spans="1:22" x14ac:dyDescent="0.2">
      <c r="A823" s="144" t="str">
        <v>A9</v>
      </c>
      <c r="B823" s="145">
        <v>16</v>
      </c>
      <c r="C823" s="129" t="str">
        <v>Laparoscopic Liver Resection</v>
      </c>
      <c r="D823" s="129" t="str">
        <v>A9 – Abdomen / Upper GI: Complex Procedures</v>
      </c>
      <c r="E823" s="129" t="str">
        <v>06 - Abdomen</v>
      </c>
      <c r="F823" s="129" t="str">
        <v>Solutions Plus</v>
      </c>
      <c r="G823" s="144" t="str">
        <v>CON-01</v>
      </c>
      <c r="H823" s="129" t="str">
        <v>To confirm</v>
      </c>
      <c r="I823" s="144" t="str">
        <v>No</v>
      </c>
      <c r="J823" s="144" t="str">
        <v>Base</v>
      </c>
      <c r="K823" s="144" t="str">
        <v/>
      </c>
      <c r="L823" s="146">
        <v>34</v>
      </c>
      <c r="M823" s="142">
        <v>1870</v>
      </c>
      <c r="N823" s="144" t="str">
        <v>Unknown</v>
      </c>
      <c r="O823" s="142" t="str">
        <v/>
      </c>
      <c r="P823" s="142" t="str">
        <v/>
      </c>
      <c r="Q823" s="142">
        <v>55</v>
      </c>
      <c r="R823" s="129" t="str">
        <v>Description – exact</v>
      </c>
      <c r="S823" s="143" t="str">
        <v/>
      </c>
      <c r="T823" s="144" t="str">
        <v>SRC-00</v>
      </c>
      <c r="U823" s="129" t="str">
        <v>S+ row 490</v>
      </c>
      <c r="V823" s="129" t="str">
        <v/>
      </c>
    </row>
    <row r="824" spans="1:22" x14ac:dyDescent="0.2">
      <c r="A824" s="144" t="str">
        <v>A7</v>
      </c>
      <c r="B824" s="145">
        <v>8</v>
      </c>
      <c r="C824" s="129" t="str">
        <v>Laparoscopic Nissen Fundoplication</v>
      </c>
      <c r="D824" s="129" t="str">
        <v>A7 – Abdomen / Upper GI: Major Laparoscopic Intraperitoneal Procedures</v>
      </c>
      <c r="E824" s="129" t="str">
        <v>06 - Abdomen</v>
      </c>
      <c r="F824" s="129" t="str">
        <v>Solutions Plus</v>
      </c>
      <c r="G824" s="144" t="str">
        <v>CON-01</v>
      </c>
      <c r="H824" s="129" t="str">
        <v>To confirm</v>
      </c>
      <c r="I824" s="144" t="str">
        <v>No</v>
      </c>
      <c r="J824" s="144" t="str">
        <v>Base</v>
      </c>
      <c r="K824" s="144" t="str">
        <v/>
      </c>
      <c r="L824" s="146">
        <v>16.2</v>
      </c>
      <c r="M824" s="142">
        <v>891.55</v>
      </c>
      <c r="N824" s="144" t="str">
        <v>Unknown</v>
      </c>
      <c r="O824" s="142" t="str">
        <v/>
      </c>
      <c r="P824" s="142" t="str">
        <v/>
      </c>
      <c r="Q824" s="142">
        <v>55.033950617283949</v>
      </c>
      <c r="R824" s="129" t="str">
        <v>Description – exact</v>
      </c>
      <c r="S824" s="143" t="str">
        <v/>
      </c>
      <c r="T824" s="144" t="str">
        <v>SRC-00</v>
      </c>
      <c r="U824" s="129" t="str">
        <v>S+ row 493</v>
      </c>
      <c r="V824" s="129" t="str">
        <v/>
      </c>
    </row>
    <row r="825" spans="1:22" x14ac:dyDescent="0.2">
      <c r="A825" s="144" t="str">
        <v>A8</v>
      </c>
      <c r="B825" s="145">
        <v>10</v>
      </c>
      <c r="C825" s="129" t="str">
        <v>Laparoscopic One Anastomosis Gastric Bypass</v>
      </c>
      <c r="D825" s="129" t="str">
        <v>A8 – Abdomen / Upper GI: Major Open Procedure</v>
      </c>
      <c r="E825" s="129" t="str">
        <v>06 - Abdomen</v>
      </c>
      <c r="F825" s="129" t="str">
        <v>Solutions Plus</v>
      </c>
      <c r="G825" s="144" t="str">
        <v>CON-01</v>
      </c>
      <c r="H825" s="129" t="str">
        <v>To confirm</v>
      </c>
      <c r="I825" s="144" t="str">
        <v>No</v>
      </c>
      <c r="J825" s="144" t="str">
        <v>Base</v>
      </c>
      <c r="K825" s="144" t="str">
        <v/>
      </c>
      <c r="L825" s="146">
        <v>13.3</v>
      </c>
      <c r="M825" s="142">
        <v>730.4</v>
      </c>
      <c r="N825" s="144" t="str">
        <v>Unknown</v>
      </c>
      <c r="O825" s="142" t="str">
        <v/>
      </c>
      <c r="P825" s="142" t="str">
        <v/>
      </c>
      <c r="Q825" s="142">
        <v>54.917293233082702</v>
      </c>
      <c r="R825" s="129" t="str">
        <v>Description – exact</v>
      </c>
      <c r="S825" s="143" t="str">
        <v/>
      </c>
      <c r="T825" s="144" t="str">
        <v>SRC-00</v>
      </c>
      <c r="U825" s="129" t="str">
        <v>S+ row 494</v>
      </c>
      <c r="V825" s="129" t="str">
        <v/>
      </c>
    </row>
    <row r="826" spans="1:22" x14ac:dyDescent="0.2">
      <c r="A826" s="144" t="str">
        <v>A8</v>
      </c>
      <c r="B826" s="145">
        <v>10</v>
      </c>
      <c r="C826" s="129" t="str">
        <v>Laparoscopic Roux-En-Y Gastric Bypass</v>
      </c>
      <c r="D826" s="129" t="str">
        <v>A8 – Abdomen / Upper GI: Major Open Procedure</v>
      </c>
      <c r="E826" s="129" t="str">
        <v>06 - Abdomen</v>
      </c>
      <c r="F826" s="129" t="str">
        <v>Solutions Plus</v>
      </c>
      <c r="G826" s="144" t="str">
        <v>CON-01</v>
      </c>
      <c r="H826" s="129" t="str">
        <v>To confirm</v>
      </c>
      <c r="I826" s="144" t="str">
        <v>No</v>
      </c>
      <c r="J826" s="144" t="str">
        <v>Base</v>
      </c>
      <c r="K826" s="144" t="str">
        <v/>
      </c>
      <c r="L826" s="146">
        <v>12.4</v>
      </c>
      <c r="M826" s="142">
        <v>680.9</v>
      </c>
      <c r="N826" s="144" t="str">
        <v>Unknown</v>
      </c>
      <c r="O826" s="142" t="str">
        <v/>
      </c>
      <c r="P826" s="142" t="str">
        <v/>
      </c>
      <c r="Q826" s="142">
        <v>54.911290322580641</v>
      </c>
      <c r="R826" s="129" t="str">
        <v>Description – exact</v>
      </c>
      <c r="S826" s="143" t="str">
        <v/>
      </c>
      <c r="T826" s="144" t="str">
        <v>SRC-00</v>
      </c>
      <c r="U826" s="129" t="str">
        <v>S+ row 502</v>
      </c>
      <c r="V826" s="129" t="str">
        <v/>
      </c>
    </row>
    <row r="827" spans="1:22" x14ac:dyDescent="0.2">
      <c r="A827" s="144" t="str">
        <v>A8</v>
      </c>
      <c r="B827" s="145">
        <v>10</v>
      </c>
      <c r="C827" s="129" t="str">
        <v>Laparoscopic Roux-En-Y Gastric Bypass - DHB</v>
      </c>
      <c r="D827" s="129" t="str">
        <v>A8 – Abdomen / Upper GI: Major Open Procedure</v>
      </c>
      <c r="E827" s="129" t="str">
        <v>06 - Abdomen</v>
      </c>
      <c r="F827" s="129" t="str">
        <v>Solutions Plus</v>
      </c>
      <c r="G827" s="144" t="str">
        <v>CON-01</v>
      </c>
      <c r="H827" s="129" t="str">
        <v>To confirm</v>
      </c>
      <c r="I827" s="144" t="str">
        <v>No</v>
      </c>
      <c r="J827" s="144" t="str">
        <v>Base</v>
      </c>
      <c r="K827" s="144" t="str">
        <v/>
      </c>
      <c r="L827" s="146">
        <v>24</v>
      </c>
      <c r="M827" s="142">
        <v>1320</v>
      </c>
      <c r="N827" s="144" t="str">
        <v>Unknown</v>
      </c>
      <c r="O827" s="142" t="str">
        <v/>
      </c>
      <c r="P827" s="142" t="str">
        <v/>
      </c>
      <c r="Q827" s="142">
        <v>55</v>
      </c>
      <c r="R827" s="129" t="str">
        <v>Description – exact</v>
      </c>
      <c r="S827" s="143" t="str">
        <v/>
      </c>
      <c r="T827" s="144" t="str">
        <v>SRC-00</v>
      </c>
      <c r="U827" s="129" t="str">
        <v>S+ row 503</v>
      </c>
      <c r="V827" s="129" t="str">
        <v/>
      </c>
    </row>
    <row r="828" spans="1:22" x14ac:dyDescent="0.2">
      <c r="A828" s="144" t="str">
        <v>A8</v>
      </c>
      <c r="B828" s="145">
        <v>10</v>
      </c>
      <c r="C828" s="129" t="str">
        <v>Laparoscopic RY Gastric Bypass</v>
      </c>
      <c r="D828" s="129" t="str">
        <v>A8 – Abdomen / Upper GI: Major Open Procedure</v>
      </c>
      <c r="E828" s="129" t="str">
        <v>06 - Abdomen</v>
      </c>
      <c r="F828" s="129" t="str">
        <v>Solutions Plus</v>
      </c>
      <c r="G828" s="144" t="str">
        <v>CON-01</v>
      </c>
      <c r="H828" s="129" t="str">
        <v>To confirm</v>
      </c>
      <c r="I828" s="144" t="str">
        <v>No</v>
      </c>
      <c r="J828" s="144" t="str">
        <v>Base</v>
      </c>
      <c r="K828" s="144" t="str">
        <v/>
      </c>
      <c r="L828" s="146">
        <v>26</v>
      </c>
      <c r="M828" s="142">
        <v>1432.2</v>
      </c>
      <c r="N828" s="144" t="str">
        <v>Unknown</v>
      </c>
      <c r="O828" s="142" t="str">
        <v/>
      </c>
      <c r="P828" s="142" t="str">
        <v/>
      </c>
      <c r="Q828" s="142">
        <v>55.08461538461539</v>
      </c>
      <c r="R828" s="129" t="str">
        <v>Description – exact</v>
      </c>
      <c r="S828" s="143" t="str">
        <v/>
      </c>
      <c r="T828" s="144" t="str">
        <v>SRC-00</v>
      </c>
      <c r="U828" s="129" t="str">
        <v>S+ row 504</v>
      </c>
      <c r="V828" s="129" t="str">
        <v/>
      </c>
    </row>
    <row r="829" spans="1:22" x14ac:dyDescent="0.2">
      <c r="A829" s="144" t="str">
        <v>A8</v>
      </c>
      <c r="B829" s="145">
        <v>10</v>
      </c>
      <c r="C829" s="129" t="str">
        <v>Laparoscopic RY Gastric Bypass Morgagni Mes (Sy</v>
      </c>
      <c r="D829" s="129" t="str">
        <v>A8 – Abdomen / Upper GI: Major Open Procedure</v>
      </c>
      <c r="E829" s="129" t="str">
        <v>06 - Abdomen</v>
      </c>
      <c r="F829" s="129" t="str">
        <v>Solutions Plus</v>
      </c>
      <c r="G829" s="144" t="str">
        <v>CON-01</v>
      </c>
      <c r="H829" s="129" t="str">
        <v>To confirm</v>
      </c>
      <c r="I829" s="144" t="str">
        <v>No</v>
      </c>
      <c r="J829" s="144" t="str">
        <v>Base</v>
      </c>
      <c r="K829" s="144" t="str">
        <v/>
      </c>
      <c r="L829" s="146">
        <v>29</v>
      </c>
      <c r="M829" s="142">
        <v>1595</v>
      </c>
      <c r="N829" s="144" t="str">
        <v>Unknown</v>
      </c>
      <c r="O829" s="142" t="str">
        <v/>
      </c>
      <c r="P829" s="142" t="str">
        <v/>
      </c>
      <c r="Q829" s="142">
        <v>55</v>
      </c>
      <c r="R829" s="129" t="str">
        <v>Description – exact</v>
      </c>
      <c r="S829" s="143" t="str">
        <v/>
      </c>
      <c r="T829" s="144" t="str">
        <v>SRC-00</v>
      </c>
      <c r="U829" s="129" t="str">
        <v>S+ row 505</v>
      </c>
      <c r="V829" s="129" t="str">
        <v/>
      </c>
    </row>
    <row r="830" spans="1:22" x14ac:dyDescent="0.2">
      <c r="A830" s="144" t="str">
        <v>A7</v>
      </c>
      <c r="B830" s="145">
        <v>8</v>
      </c>
      <c r="C830" s="129" t="str">
        <v>Laparoscopic Sleeve Gastrectomy</v>
      </c>
      <c r="D830" s="129" t="str">
        <v>A7 – Abdomen / Upper GI: Major Laparoscopic Intraperitoneal Procedures</v>
      </c>
      <c r="E830" s="129" t="str">
        <v>06 - Abdomen</v>
      </c>
      <c r="F830" s="129" t="str">
        <v>Solutions Plus</v>
      </c>
      <c r="G830" s="144" t="str">
        <v>CON-01</v>
      </c>
      <c r="H830" s="129" t="str">
        <v>To confirm</v>
      </c>
      <c r="I830" s="144" t="str">
        <v>No</v>
      </c>
      <c r="J830" s="144" t="str">
        <v>Base</v>
      </c>
      <c r="K830" s="144" t="str">
        <v/>
      </c>
      <c r="L830" s="146">
        <v>11.1</v>
      </c>
      <c r="M830" s="142">
        <v>608.29999999999995</v>
      </c>
      <c r="N830" s="144" t="str">
        <v>Unknown</v>
      </c>
      <c r="O830" s="142" t="str">
        <v/>
      </c>
      <c r="P830" s="142" t="str">
        <v/>
      </c>
      <c r="Q830" s="142">
        <v>54.801801801801801</v>
      </c>
      <c r="R830" s="129" t="str">
        <v>Description – exact</v>
      </c>
      <c r="S830" s="143" t="str">
        <v/>
      </c>
      <c r="T830" s="144" t="str">
        <v>SRC-00</v>
      </c>
      <c r="U830" s="129" t="str">
        <v>S+ row 508</v>
      </c>
      <c r="V830" s="129" t="str">
        <v/>
      </c>
    </row>
    <row r="831" spans="1:22" x14ac:dyDescent="0.2">
      <c r="A831" s="144" t="str">
        <v>A7</v>
      </c>
      <c r="B831" s="145">
        <v>8</v>
      </c>
      <c r="C831" s="129" t="str">
        <v>Laparoscopic Sleeve Gastrectomy - CDHB</v>
      </c>
      <c r="D831" s="129" t="str">
        <v>A7 – Abdomen / Upper GI: Major Laparoscopic Intraperitoneal Procedures</v>
      </c>
      <c r="E831" s="129" t="str">
        <v>06 - Abdomen</v>
      </c>
      <c r="F831" s="129" t="str">
        <v>Solutions Plus</v>
      </c>
      <c r="G831" s="144" t="str">
        <v>CON-01</v>
      </c>
      <c r="H831" s="129" t="str">
        <v>To confirm</v>
      </c>
      <c r="I831" s="144" t="str">
        <v>No</v>
      </c>
      <c r="J831" s="144" t="str">
        <v>Base</v>
      </c>
      <c r="K831" s="144" t="str">
        <v/>
      </c>
      <c r="L831" s="146">
        <v>12.2</v>
      </c>
      <c r="M831" s="142">
        <v>671</v>
      </c>
      <c r="N831" s="144" t="str">
        <v>Unknown</v>
      </c>
      <c r="O831" s="142" t="str">
        <v/>
      </c>
      <c r="P831" s="142" t="str">
        <v/>
      </c>
      <c r="Q831" s="142">
        <v>55</v>
      </c>
      <c r="R831" s="129" t="str">
        <v>Description – exact</v>
      </c>
      <c r="S831" s="143" t="str">
        <v/>
      </c>
      <c r="T831" s="144" t="str">
        <v>SRC-00</v>
      </c>
      <c r="U831" s="129" t="str">
        <v>S+ row 509</v>
      </c>
      <c r="V831" s="129" t="str">
        <v/>
      </c>
    </row>
    <row r="832" spans="1:22" x14ac:dyDescent="0.2">
      <c r="A832" s="144" t="str">
        <v>A7</v>
      </c>
      <c r="B832" s="145">
        <v>8</v>
      </c>
      <c r="C832" s="129" t="str">
        <v>Laparoscopic Splenectomy</v>
      </c>
      <c r="D832" s="129" t="str">
        <v>A7 – Abdomen / Upper GI: Major Laparoscopic Intraperitoneal Procedures</v>
      </c>
      <c r="E832" s="129" t="str">
        <v>06 - Abdomen</v>
      </c>
      <c r="F832" s="129" t="str">
        <v>Solutions Plus</v>
      </c>
      <c r="G832" s="144" t="str">
        <v>CON-01</v>
      </c>
      <c r="H832" s="129" t="str">
        <v>To confirm</v>
      </c>
      <c r="I832" s="144" t="str">
        <v>No</v>
      </c>
      <c r="J832" s="144" t="str">
        <v>Base</v>
      </c>
      <c r="K832" s="144" t="str">
        <v/>
      </c>
      <c r="L832" s="146">
        <v>23.9</v>
      </c>
      <c r="M832" s="142">
        <v>1311.75</v>
      </c>
      <c r="N832" s="144" t="str">
        <v>Unknown</v>
      </c>
      <c r="O832" s="142" t="str">
        <v/>
      </c>
      <c r="P832" s="142" t="str">
        <v/>
      </c>
      <c r="Q832" s="142">
        <v>54.884937238493727</v>
      </c>
      <c r="R832" s="129" t="str">
        <v>Description – likely</v>
      </c>
      <c r="S832" s="143" t="str">
        <v/>
      </c>
      <c r="T832" s="144" t="str">
        <v>SRC-00</v>
      </c>
      <c r="U832" s="129" t="str">
        <v>S+ row 511</v>
      </c>
      <c r="V832" s="129" t="str">
        <v/>
      </c>
    </row>
    <row r="833" spans="1:22" x14ac:dyDescent="0.2">
      <c r="A833" s="144" t="str">
        <v>A7</v>
      </c>
      <c r="B833" s="145">
        <v>8</v>
      </c>
      <c r="C833" s="129" t="str">
        <v>Major Laparoscopic Intraperitoneal Procedures e.g. Nissen Fundoplication, Gastric Banding, Sleeve Gastrectomy</v>
      </c>
      <c r="D833" s="129" t="str">
        <v>A7 – Abdomen / Upper GI: Major Laparoscopic Intraperitoneal Procedures</v>
      </c>
      <c r="E833" s="129" t="str">
        <v>06 - Abdomen</v>
      </c>
      <c r="F833" s="129" t="str">
        <v>NZSA RVG</v>
      </c>
      <c r="G833" s="144" t="str">
        <v>CON-10</v>
      </c>
      <c r="H833" s="129" t="str">
        <v>Reference – units only</v>
      </c>
      <c r="I833" s="144" t="str">
        <v>No</v>
      </c>
      <c r="J833" s="144" t="str">
        <v>Base</v>
      </c>
      <c r="K833" s="144" t="str">
        <v>A7</v>
      </c>
      <c r="L833" s="146">
        <v>8</v>
      </c>
      <c r="M833" s="142" t="str">
        <v/>
      </c>
      <c r="N833" s="144" t="str">
        <v/>
      </c>
      <c r="O833" s="142" t="str">
        <v/>
      </c>
      <c r="P833" s="142" t="str">
        <v/>
      </c>
      <c r="Q833" s="142">
        <v>0</v>
      </c>
      <c r="R833" s="129" t="str">
        <v>RVG code</v>
      </c>
      <c r="S833" s="143" t="str">
        <v/>
      </c>
      <c r="T833" s="144" t="str">
        <v>SRC-01</v>
      </c>
      <c r="U833" s="129" t="str">
        <v>p.9 – Abdomen / Upper GI</v>
      </c>
      <c r="V833" s="129" t="str">
        <v>Reference units only – no $ fee (NZSA RVG 2021).</v>
      </c>
    </row>
    <row r="834" spans="1:22" x14ac:dyDescent="0.2">
      <c r="A834" s="144" t="str">
        <v>A8</v>
      </c>
      <c r="B834" s="145">
        <v>10</v>
      </c>
      <c r="C834" s="129" t="str">
        <v>Major Open Procedure e.g. Gastric Bypass</v>
      </c>
      <c r="D834" s="129" t="str">
        <v>A8 – Abdomen / Upper GI: Major Open Procedure</v>
      </c>
      <c r="E834" s="129" t="str">
        <v>06 - Abdomen</v>
      </c>
      <c r="F834" s="129" t="str">
        <v>NZSA RVG</v>
      </c>
      <c r="G834" s="144" t="str">
        <v>CON-10</v>
      </c>
      <c r="H834" s="129" t="str">
        <v>Reference – units only</v>
      </c>
      <c r="I834" s="144" t="str">
        <v>No</v>
      </c>
      <c r="J834" s="144" t="str">
        <v>Base</v>
      </c>
      <c r="K834" s="144" t="str">
        <v>A8</v>
      </c>
      <c r="L834" s="146">
        <v>10</v>
      </c>
      <c r="M834" s="142" t="str">
        <v/>
      </c>
      <c r="N834" s="144" t="str">
        <v/>
      </c>
      <c r="O834" s="142" t="str">
        <v/>
      </c>
      <c r="P834" s="142" t="str">
        <v/>
      </c>
      <c r="Q834" s="142">
        <v>0</v>
      </c>
      <c r="R834" s="129" t="str">
        <v>RVG code</v>
      </c>
      <c r="S834" s="143" t="str">
        <v/>
      </c>
      <c r="T834" s="144" t="str">
        <v>SRC-01</v>
      </c>
      <c r="U834" s="129" t="str">
        <v>p.9 – Abdomen / Upper GI</v>
      </c>
      <c r="V834" s="129" t="str">
        <v>Reference units only – no $ fee (NZSA RVG 2021).</v>
      </c>
    </row>
    <row r="835" spans="1:22" x14ac:dyDescent="0.2">
      <c r="A835" s="144" t="str">
        <v>A7</v>
      </c>
      <c r="B835" s="145">
        <v>8</v>
      </c>
      <c r="C835" s="129" t="str">
        <v>Nissen Fundoplication</v>
      </c>
      <c r="D835" s="129" t="str">
        <v>A7 – Abdomen / Upper GI: Major Laparoscopic Intraperitoneal Procedures</v>
      </c>
      <c r="E835" s="129" t="str">
        <v>06 - Abdomen</v>
      </c>
      <c r="F835" s="129" t="str">
        <v>Solutions Plus</v>
      </c>
      <c r="G835" s="144" t="str">
        <v>CON-01</v>
      </c>
      <c r="H835" s="129" t="str">
        <v>To confirm</v>
      </c>
      <c r="I835" s="144" t="str">
        <v>No</v>
      </c>
      <c r="J835" s="144" t="str">
        <v>Base</v>
      </c>
      <c r="K835" s="144" t="str">
        <v/>
      </c>
      <c r="L835" s="146">
        <v>16</v>
      </c>
      <c r="M835" s="142">
        <v>880</v>
      </c>
      <c r="N835" s="144" t="str">
        <v>Unknown</v>
      </c>
      <c r="O835" s="142" t="str">
        <v/>
      </c>
      <c r="P835" s="142" t="str">
        <v/>
      </c>
      <c r="Q835" s="142">
        <v>55</v>
      </c>
      <c r="R835" s="129" t="str">
        <v>Description – exact</v>
      </c>
      <c r="S835" s="143" t="str">
        <v/>
      </c>
      <c r="T835" s="144" t="str">
        <v>SRC-00</v>
      </c>
      <c r="U835" s="129" t="str">
        <v>S+ row 654</v>
      </c>
      <c r="V835" s="129" t="str">
        <v/>
      </c>
    </row>
    <row r="836" spans="1:22" x14ac:dyDescent="0.2">
      <c r="A836" s="144" t="str">
        <v>A10</v>
      </c>
      <c r="B836" s="145">
        <v>20</v>
      </c>
      <c r="C836" s="129" t="str">
        <v>Oesophagectomy</v>
      </c>
      <c r="D836" s="129" t="str">
        <v>A10 – Abdomen / Upper GI: Oesophagectomy</v>
      </c>
      <c r="E836" s="129" t="str">
        <v>06 - Abdomen</v>
      </c>
      <c r="F836" s="129" t="str">
        <v>NZSA RVG</v>
      </c>
      <c r="G836" s="144" t="str">
        <v>CON-10</v>
      </c>
      <c r="H836" s="129" t="str">
        <v>Reference – units only</v>
      </c>
      <c r="I836" s="144" t="str">
        <v>No</v>
      </c>
      <c r="J836" s="144" t="str">
        <v>Base</v>
      </c>
      <c r="K836" s="144" t="str">
        <v>A10</v>
      </c>
      <c r="L836" s="146">
        <v>20</v>
      </c>
      <c r="M836" s="142" t="str">
        <v/>
      </c>
      <c r="N836" s="144" t="str">
        <v/>
      </c>
      <c r="O836" s="142" t="str">
        <v/>
      </c>
      <c r="P836" s="142" t="str">
        <v/>
      </c>
      <c r="Q836" s="142">
        <v>0</v>
      </c>
      <c r="R836" s="129" t="str">
        <v>Unmatched</v>
      </c>
      <c r="S836" s="143" t="str">
        <v/>
      </c>
      <c r="T836" s="144" t="str">
        <v>SRC-01</v>
      </c>
      <c r="U836" s="129" t="str">
        <v>p.9 – Abdomen / Upper GI</v>
      </c>
      <c r="V836" s="129" t="str">
        <v>Reference units only – no $ fee (NZSA RVG 2021).</v>
      </c>
    </row>
    <row r="837" spans="1:22" x14ac:dyDescent="0.2">
      <c r="A837" s="144" t="str">
        <v>A8</v>
      </c>
      <c r="B837" s="145">
        <v>10</v>
      </c>
      <c r="C837" s="129" t="str">
        <v>One Anastomosis Gastric Bypass</v>
      </c>
      <c r="D837" s="129" t="str">
        <v>A8 – Abdomen / Upper GI: Major Open Procedure</v>
      </c>
      <c r="E837" s="129" t="str">
        <v>06 - Abdomen</v>
      </c>
      <c r="F837" s="129" t="str">
        <v>Solutions Plus</v>
      </c>
      <c r="G837" s="144" t="str">
        <v>CON-01</v>
      </c>
      <c r="H837" s="129" t="str">
        <v>To confirm</v>
      </c>
      <c r="I837" s="144" t="str">
        <v>No</v>
      </c>
      <c r="J837" s="144" t="str">
        <v>Base</v>
      </c>
      <c r="K837" s="144" t="str">
        <v/>
      </c>
      <c r="L837" s="146">
        <v>7.1</v>
      </c>
      <c r="M837" s="142">
        <v>389.95</v>
      </c>
      <c r="N837" s="144" t="str">
        <v>Unknown</v>
      </c>
      <c r="O837" s="142" t="str">
        <v/>
      </c>
      <c r="P837" s="142" t="str">
        <v/>
      </c>
      <c r="Q837" s="142">
        <v>54.922535211267608</v>
      </c>
      <c r="R837" s="129" t="str">
        <v>Description – exact</v>
      </c>
      <c r="S837" s="143" t="str">
        <v/>
      </c>
      <c r="T837" s="144" t="str">
        <v>SRC-00</v>
      </c>
      <c r="U837" s="129" t="str">
        <v>S+ row 658</v>
      </c>
      <c r="V837" s="129" t="str">
        <v/>
      </c>
    </row>
    <row r="838" spans="1:22" x14ac:dyDescent="0.2">
      <c r="A838" s="144" t="str">
        <v>A7</v>
      </c>
      <c r="B838" s="145">
        <v>8</v>
      </c>
      <c r="C838" s="129" t="str">
        <v>Paraoesophageal Hernia Repair</v>
      </c>
      <c r="D838" s="129" t="str">
        <v>A7 – Abdomen / Upper GI: Major Laparoscopic Intraperitoneal Procedures</v>
      </c>
      <c r="E838" s="129" t="str">
        <v>06 - Abdomen</v>
      </c>
      <c r="F838" s="129" t="str">
        <v>Solutions Plus</v>
      </c>
      <c r="G838" s="144" t="str">
        <v>CON-01</v>
      </c>
      <c r="H838" s="129" t="str">
        <v>To confirm</v>
      </c>
      <c r="I838" s="144" t="str">
        <v>No</v>
      </c>
      <c r="J838" s="144" t="str">
        <v>Base</v>
      </c>
      <c r="K838" s="144" t="str">
        <v/>
      </c>
      <c r="L838" s="146">
        <v>14.5</v>
      </c>
      <c r="M838" s="142">
        <v>797.5</v>
      </c>
      <c r="N838" s="144" t="str">
        <v>Unknown</v>
      </c>
      <c r="O838" s="142" t="str">
        <v/>
      </c>
      <c r="P838" s="142" t="str">
        <v/>
      </c>
      <c r="Q838" s="142">
        <v>55</v>
      </c>
      <c r="R838" s="129" t="str">
        <v>Description – likely</v>
      </c>
      <c r="S838" s="143" t="str">
        <v/>
      </c>
      <c r="T838" s="144" t="str">
        <v>SRC-00</v>
      </c>
      <c r="U838" s="129" t="str">
        <v>S+ row 690</v>
      </c>
      <c r="V838" s="129" t="str">
        <v/>
      </c>
    </row>
    <row r="839" spans="1:22" x14ac:dyDescent="0.2">
      <c r="A839" s="144" t="str">
        <v>A7</v>
      </c>
      <c r="B839" s="145">
        <v>8</v>
      </c>
      <c r="C839" s="129" t="str">
        <v>Removal Of Gastric Band</v>
      </c>
      <c r="D839" s="129" t="str">
        <v>A7 – Abdomen / Upper GI: Major Laparoscopic Intraperitoneal Procedures</v>
      </c>
      <c r="E839" s="129" t="str">
        <v>06 - Abdomen</v>
      </c>
      <c r="F839" s="129" t="str">
        <v>Solutions Plus</v>
      </c>
      <c r="G839" s="144" t="str">
        <v>CON-01</v>
      </c>
      <c r="H839" s="129" t="str">
        <v>To confirm</v>
      </c>
      <c r="I839" s="144" t="str">
        <v>No</v>
      </c>
      <c r="J839" s="144" t="str">
        <v>Base</v>
      </c>
      <c r="K839" s="144" t="str">
        <v/>
      </c>
      <c r="L839" s="146">
        <v>9.6999999999999993</v>
      </c>
      <c r="M839" s="142">
        <v>531.29999999999995</v>
      </c>
      <c r="N839" s="144" t="str">
        <v>Unknown</v>
      </c>
      <c r="O839" s="142" t="str">
        <v/>
      </c>
      <c r="P839" s="142" t="str">
        <v/>
      </c>
      <c r="Q839" s="142">
        <v>54.773195876288661</v>
      </c>
      <c r="R839" s="129" t="str">
        <v>Description – exact</v>
      </c>
      <c r="S839" s="143" t="str">
        <v/>
      </c>
      <c r="T839" s="144" t="str">
        <v>SRC-00</v>
      </c>
      <c r="U839" s="129" t="str">
        <v>S+ row 728</v>
      </c>
      <c r="V839" s="129" t="str">
        <v/>
      </c>
    </row>
    <row r="840" spans="1:22" x14ac:dyDescent="0.2">
      <c r="A840" s="144" t="str">
        <v>A8</v>
      </c>
      <c r="B840" s="145">
        <v>10</v>
      </c>
      <c r="C840" s="129" t="str">
        <v>Rsion &amp; Formation Of Gastrojejunostomy (SX Ins)</v>
      </c>
      <c r="D840" s="129" t="str">
        <v>A8 – Abdomen / Upper GI: Major Open Procedure</v>
      </c>
      <c r="E840" s="129" t="str">
        <v>06 - Abdomen</v>
      </c>
      <c r="F840" s="129" t="str">
        <v>Solutions Plus</v>
      </c>
      <c r="G840" s="144" t="str">
        <v>CON-01</v>
      </c>
      <c r="H840" s="129" t="str">
        <v>To confirm</v>
      </c>
      <c r="I840" s="144" t="str">
        <v>No</v>
      </c>
      <c r="J840" s="144" t="str">
        <v>Base</v>
      </c>
      <c r="K840" s="144" t="str">
        <v/>
      </c>
      <c r="L840" s="146">
        <v>0</v>
      </c>
      <c r="M840" s="142">
        <v>0</v>
      </c>
      <c r="N840" s="144" t="str">
        <v>Unknown</v>
      </c>
      <c r="O840" s="142" t="str">
        <v/>
      </c>
      <c r="P840" s="142" t="str">
        <v/>
      </c>
      <c r="Q840" s="142" t="str">
        <v/>
      </c>
      <c r="R840" s="129" t="str">
        <v>Description – exact</v>
      </c>
      <c r="S840" s="143" t="str">
        <v/>
      </c>
      <c r="T840" s="144" t="str">
        <v>SRC-00</v>
      </c>
      <c r="U840" s="129" t="str">
        <v>S+ row 853</v>
      </c>
      <c r="V840" s="129" t="str">
        <v/>
      </c>
    </row>
    <row r="841" spans="1:22" x14ac:dyDescent="0.2">
      <c r="A841" s="144" t="str">
        <v>A7</v>
      </c>
      <c r="B841" s="145">
        <v>8</v>
      </c>
      <c r="C841" s="129" t="str">
        <v>Sleeve Gastrectomy</v>
      </c>
      <c r="D841" s="129" t="str">
        <v>A7 – Abdomen / Upper GI: Major Laparoscopic Intraperitoneal Procedures</v>
      </c>
      <c r="E841" s="129" t="str">
        <v>06 - Abdomen</v>
      </c>
      <c r="F841" s="129" t="str">
        <v>Solutions Plus</v>
      </c>
      <c r="G841" s="144" t="str">
        <v>CON-01</v>
      </c>
      <c r="H841" s="129" t="str">
        <v>To confirm</v>
      </c>
      <c r="I841" s="144" t="str">
        <v>No</v>
      </c>
      <c r="J841" s="144" t="str">
        <v>Base</v>
      </c>
      <c r="K841" s="144" t="str">
        <v/>
      </c>
      <c r="L841" s="146">
        <v>7.2</v>
      </c>
      <c r="M841" s="142">
        <v>396.55</v>
      </c>
      <c r="N841" s="144" t="str">
        <v>Unknown</v>
      </c>
      <c r="O841" s="142" t="str">
        <v/>
      </c>
      <c r="P841" s="142" t="str">
        <v/>
      </c>
      <c r="Q841" s="142">
        <v>55.076388888888886</v>
      </c>
      <c r="R841" s="129" t="str">
        <v>Description – exact</v>
      </c>
      <c r="S841" s="143" t="str">
        <v/>
      </c>
      <c r="T841" s="144" t="str">
        <v>SRC-00</v>
      </c>
      <c r="U841" s="129" t="str">
        <v>S+ row 877</v>
      </c>
      <c r="V841" s="129" t="str">
        <v/>
      </c>
    </row>
    <row r="842" spans="1:22" x14ac:dyDescent="0.2">
      <c r="A842" s="144" t="str">
        <v>A7</v>
      </c>
      <c r="B842" s="145">
        <v>8</v>
      </c>
      <c r="C842" s="129" t="str">
        <v>Sleeve Gastrectomy (STG Trust Funded)</v>
      </c>
      <c r="D842" s="129" t="str">
        <v>A7 – Abdomen / Upper GI: Major Laparoscopic Intraperitoneal Procedures</v>
      </c>
      <c r="E842" s="129" t="str">
        <v>06 - Abdomen</v>
      </c>
      <c r="F842" s="129" t="str">
        <v>Solutions Plus</v>
      </c>
      <c r="G842" s="144" t="str">
        <v>CON-01</v>
      </c>
      <c r="H842" s="129" t="str">
        <v>To confirm</v>
      </c>
      <c r="I842" s="144" t="str">
        <v>No</v>
      </c>
      <c r="J842" s="144" t="str">
        <v>Base</v>
      </c>
      <c r="K842" s="144" t="str">
        <v/>
      </c>
      <c r="L842" s="146">
        <v>0</v>
      </c>
      <c r="M842" s="142">
        <v>0</v>
      </c>
      <c r="N842" s="144" t="str">
        <v>Unknown</v>
      </c>
      <c r="O842" s="142" t="str">
        <v/>
      </c>
      <c r="P842" s="142" t="str">
        <v/>
      </c>
      <c r="Q842" s="142" t="str">
        <v/>
      </c>
      <c r="R842" s="129" t="str">
        <v>Description – exact</v>
      </c>
      <c r="S842" s="143" t="str">
        <v/>
      </c>
      <c r="T842" s="144" t="str">
        <v>SRC-00</v>
      </c>
      <c r="U842" s="129" t="str">
        <v>S+ row 878</v>
      </c>
      <c r="V842" s="129" t="str">
        <v/>
      </c>
    </row>
    <row r="843" spans="1:22" x14ac:dyDescent="0.2">
      <c r="A843" s="144" t="str">
        <v>A7</v>
      </c>
      <c r="B843" s="145">
        <v>8</v>
      </c>
      <c r="C843" s="129" t="str">
        <v>Sleeve Gastrectomy CDHB</v>
      </c>
      <c r="D843" s="129" t="str">
        <v>A7 – Abdomen / Upper GI: Major Laparoscopic Intraperitoneal Procedures</v>
      </c>
      <c r="E843" s="129" t="str">
        <v>06 - Abdomen</v>
      </c>
      <c r="F843" s="129" t="str">
        <v>Solutions Plus</v>
      </c>
      <c r="G843" s="144" t="str">
        <v>CON-01</v>
      </c>
      <c r="H843" s="129" t="str">
        <v>To confirm</v>
      </c>
      <c r="I843" s="144" t="str">
        <v>No</v>
      </c>
      <c r="J843" s="144" t="str">
        <v>Base</v>
      </c>
      <c r="K843" s="144" t="str">
        <v/>
      </c>
      <c r="L843" s="146">
        <v>10.199999999999999</v>
      </c>
      <c r="M843" s="142">
        <v>558.25</v>
      </c>
      <c r="N843" s="144" t="str">
        <v>Unknown</v>
      </c>
      <c r="O843" s="142" t="str">
        <v/>
      </c>
      <c r="P843" s="142" t="str">
        <v/>
      </c>
      <c r="Q843" s="142">
        <v>54.730392156862749</v>
      </c>
      <c r="R843" s="129" t="str">
        <v>Description – exact</v>
      </c>
      <c r="S843" s="143" t="str">
        <v/>
      </c>
      <c r="T843" s="144" t="str">
        <v>SRC-00</v>
      </c>
      <c r="U843" s="129" t="str">
        <v>S+ row 879</v>
      </c>
      <c r="V843" s="129" t="str">
        <v/>
      </c>
    </row>
    <row r="844" spans="1:22" x14ac:dyDescent="0.2">
      <c r="A844" s="144" t="str">
        <v>A8</v>
      </c>
      <c r="B844" s="145">
        <v>10</v>
      </c>
      <c r="C844" s="129" t="str">
        <v>Sleeve Gastrectomy To Roux-en-Y Gastric Bypass</v>
      </c>
      <c r="D844" s="129" t="str">
        <v>A8 – Abdomen / Upper GI: Major Open Procedure</v>
      </c>
      <c r="E844" s="129" t="str">
        <v>06 - Abdomen</v>
      </c>
      <c r="F844" s="129" t="str">
        <v>Solutions Plus</v>
      </c>
      <c r="G844" s="144" t="str">
        <v>CON-01</v>
      </c>
      <c r="H844" s="129" t="str">
        <v>To confirm</v>
      </c>
      <c r="I844" s="144" t="str">
        <v>No</v>
      </c>
      <c r="J844" s="144" t="str">
        <v>Base</v>
      </c>
      <c r="K844" s="144" t="str">
        <v/>
      </c>
      <c r="L844" s="146">
        <v>15</v>
      </c>
      <c r="M844" s="142">
        <v>825</v>
      </c>
      <c r="N844" s="144" t="str">
        <v>Unknown</v>
      </c>
      <c r="O844" s="142" t="str">
        <v/>
      </c>
      <c r="P844" s="142" t="str">
        <v/>
      </c>
      <c r="Q844" s="142">
        <v>55</v>
      </c>
      <c r="R844" s="129" t="str">
        <v>Description – exact</v>
      </c>
      <c r="S844" s="143" t="str">
        <v/>
      </c>
      <c r="T844" s="144" t="str">
        <v>SRC-00</v>
      </c>
      <c r="U844" s="129" t="str">
        <v>S+ row 880</v>
      </c>
      <c r="V844" s="129" t="str">
        <v/>
      </c>
    </row>
    <row r="845" spans="1:22" x14ac:dyDescent="0.2">
      <c r="A845" s="144" t="str">
        <v>A7</v>
      </c>
      <c r="B845" s="145">
        <v>8</v>
      </c>
      <c r="C845" s="129" t="str">
        <v>Splenectomy</v>
      </c>
      <c r="D845" s="129" t="str">
        <v>A7 – Abdomen / Upper GI: Major Laparoscopic Intraperitoneal Procedures</v>
      </c>
      <c r="E845" s="129" t="str">
        <v>06 - Abdomen</v>
      </c>
      <c r="F845" s="129" t="str">
        <v>Solutions Plus</v>
      </c>
      <c r="G845" s="144" t="str">
        <v>CON-01</v>
      </c>
      <c r="H845" s="129" t="str">
        <v>To confirm</v>
      </c>
      <c r="I845" s="144" t="str">
        <v>No</v>
      </c>
      <c r="J845" s="144" t="str">
        <v>Base</v>
      </c>
      <c r="K845" s="144" t="str">
        <v/>
      </c>
      <c r="L845" s="146">
        <v>16.5</v>
      </c>
      <c r="M845" s="142">
        <v>907.5</v>
      </c>
      <c r="N845" s="144" t="str">
        <v>Unknown</v>
      </c>
      <c r="O845" s="142" t="str">
        <v/>
      </c>
      <c r="P845" s="142" t="str">
        <v/>
      </c>
      <c r="Q845" s="142">
        <v>55</v>
      </c>
      <c r="R845" s="129" t="str">
        <v>Description – likely</v>
      </c>
      <c r="S845" s="143" t="str">
        <v/>
      </c>
      <c r="T845" s="144" t="str">
        <v>SRC-00</v>
      </c>
      <c r="U845" s="129" t="str">
        <v>S+ row 886</v>
      </c>
      <c r="V845" s="129" t="str">
        <v/>
      </c>
    </row>
    <row r="846" spans="1:22" x14ac:dyDescent="0.2">
      <c r="A846" s="144" t="str">
        <v>A7</v>
      </c>
      <c r="B846" s="145">
        <v>8</v>
      </c>
      <c r="C846" s="129" t="str">
        <v>Split Account - Hiatal Hernia Repair</v>
      </c>
      <c r="D846" s="129" t="str">
        <v>A7 – Abdomen / Upper GI: Major Laparoscopic Intraperitoneal Procedures</v>
      </c>
      <c r="E846" s="129" t="str">
        <v>06 - Abdomen</v>
      </c>
      <c r="F846" s="129" t="str">
        <v>Solutions Plus</v>
      </c>
      <c r="G846" s="144" t="str">
        <v>CON-01</v>
      </c>
      <c r="H846" s="129" t="str">
        <v>To confirm</v>
      </c>
      <c r="I846" s="144" t="str">
        <v>No</v>
      </c>
      <c r="J846" s="144" t="str">
        <v>Base</v>
      </c>
      <c r="K846" s="144" t="str">
        <v/>
      </c>
      <c r="L846" s="146">
        <v>19</v>
      </c>
      <c r="M846" s="142">
        <v>1045</v>
      </c>
      <c r="N846" s="144" t="str">
        <v>Unknown</v>
      </c>
      <c r="O846" s="142" t="str">
        <v/>
      </c>
      <c r="P846" s="142" t="str">
        <v/>
      </c>
      <c r="Q846" s="142">
        <v>55</v>
      </c>
      <c r="R846" s="129" t="str">
        <v>Description – likely</v>
      </c>
      <c r="S846" s="143" t="str">
        <v/>
      </c>
      <c r="T846" s="144" t="str">
        <v>SRC-00</v>
      </c>
      <c r="U846" s="129" t="str">
        <v>S+ row 896</v>
      </c>
      <c r="V846" s="129" t="str">
        <v/>
      </c>
    </row>
    <row r="847" spans="1:22" x14ac:dyDescent="0.2">
      <c r="A847" s="144" t="str">
        <v>A8</v>
      </c>
      <c r="B847" s="145">
        <v>10</v>
      </c>
      <c r="C847" s="129" t="str">
        <v>Split Account - Hiatus Hernia Repair + Roux En Y</v>
      </c>
      <c r="D847" s="129" t="str">
        <v>A8 – Abdomen / Upper GI: Major Open Procedure</v>
      </c>
      <c r="E847" s="129" t="str">
        <v>06 - Abdomen</v>
      </c>
      <c r="F847" s="129" t="str">
        <v>Solutions Plus</v>
      </c>
      <c r="G847" s="144" t="str">
        <v>CON-01</v>
      </c>
      <c r="H847" s="129" t="str">
        <v>To confirm</v>
      </c>
      <c r="I847" s="144" t="str">
        <v>No</v>
      </c>
      <c r="J847" s="144" t="str">
        <v>Base</v>
      </c>
      <c r="K847" s="144" t="str">
        <v/>
      </c>
      <c r="L847" s="146">
        <v>2</v>
      </c>
      <c r="M847" s="142">
        <v>110</v>
      </c>
      <c r="N847" s="144" t="str">
        <v>Unknown</v>
      </c>
      <c r="O847" s="142" t="str">
        <v/>
      </c>
      <c r="P847" s="142" t="str">
        <v/>
      </c>
      <c r="Q847" s="142">
        <v>55</v>
      </c>
      <c r="R847" s="129" t="str">
        <v>Description – exact</v>
      </c>
      <c r="S847" s="143" t="str">
        <v/>
      </c>
      <c r="T847" s="144" t="str">
        <v>SRC-00</v>
      </c>
      <c r="U847" s="129" t="str">
        <v>S+ row 897</v>
      </c>
      <c r="V847" s="129" t="str">
        <v/>
      </c>
    </row>
    <row r="848" spans="1:22" x14ac:dyDescent="0.2">
      <c r="A848" s="144" t="str">
        <v>P1</v>
      </c>
      <c r="B848" s="145">
        <v>4</v>
      </c>
      <c r="C848" s="129" t="str">
        <v>Anal Sphincterotomy (Incl Eua) CDHB</v>
      </c>
      <c r="D848" s="129" t="str">
        <v>P1 – Perineum: Minor Procedures</v>
      </c>
      <c r="E848" s="129" t="str">
        <v>07 - Perineum</v>
      </c>
      <c r="F848" s="129" t="str">
        <v>Solutions Plus</v>
      </c>
      <c r="G848" s="144" t="str">
        <v>CON-01</v>
      </c>
      <c r="H848" s="129" t="str">
        <v>To confirm</v>
      </c>
      <c r="I848" s="144" t="str">
        <v>No</v>
      </c>
      <c r="J848" s="144" t="str">
        <v>Base</v>
      </c>
      <c r="K848" s="144" t="str">
        <v/>
      </c>
      <c r="L848" s="146">
        <v>9</v>
      </c>
      <c r="M848" s="142">
        <v>495</v>
      </c>
      <c r="N848" s="144" t="str">
        <v>Unknown</v>
      </c>
      <c r="O848" s="142" t="str">
        <v/>
      </c>
      <c r="P848" s="142" t="str">
        <v/>
      </c>
      <c r="Q848" s="142">
        <v>55</v>
      </c>
      <c r="R848" s="129" t="str">
        <v>Description – likely</v>
      </c>
      <c r="S848" s="143" t="str">
        <v/>
      </c>
      <c r="T848" s="144" t="str">
        <v>SRC-00</v>
      </c>
      <c r="U848" s="129" t="str">
        <v>S+ row 38</v>
      </c>
      <c r="V848" s="129" t="str">
        <v/>
      </c>
    </row>
    <row r="849" spans="1:22" x14ac:dyDescent="0.2">
      <c r="A849" s="144" t="str">
        <v>P1</v>
      </c>
      <c r="B849" s="145">
        <v>4</v>
      </c>
      <c r="C849" s="129" t="str">
        <v>Anal Stretch</v>
      </c>
      <c r="D849" s="129" t="str">
        <v>P1 – Perineum: Minor Procedures</v>
      </c>
      <c r="E849" s="129" t="str">
        <v>07 - Perineum</v>
      </c>
      <c r="F849" s="129" t="str">
        <v>Solutions Plus</v>
      </c>
      <c r="G849" s="144" t="str">
        <v>CON-01</v>
      </c>
      <c r="H849" s="129" t="str">
        <v>To confirm</v>
      </c>
      <c r="I849" s="144" t="str">
        <v>No</v>
      </c>
      <c r="J849" s="144" t="str">
        <v>Base</v>
      </c>
      <c r="K849" s="144" t="str">
        <v/>
      </c>
      <c r="L849" s="146">
        <v>5</v>
      </c>
      <c r="M849" s="142">
        <v>275</v>
      </c>
      <c r="N849" s="144" t="str">
        <v>Unknown</v>
      </c>
      <c r="O849" s="142" t="str">
        <v/>
      </c>
      <c r="P849" s="142" t="str">
        <v/>
      </c>
      <c r="Q849" s="142">
        <v>55</v>
      </c>
      <c r="R849" s="129" t="str">
        <v>Description – likely</v>
      </c>
      <c r="S849" s="143" t="str">
        <v/>
      </c>
      <c r="T849" s="144" t="str">
        <v>SRC-00</v>
      </c>
      <c r="U849" s="129" t="str">
        <v>S+ row 39</v>
      </c>
      <c r="V849" s="129" t="str">
        <v/>
      </c>
    </row>
    <row r="850" spans="1:22" x14ac:dyDescent="0.2">
      <c r="A850" s="144" t="str">
        <v>P2</v>
      </c>
      <c r="B850" s="145">
        <v>5</v>
      </c>
      <c r="C850" s="129" t="str">
        <v>Anterior And Posterior Repair</v>
      </c>
      <c r="D850" s="129" t="str">
        <v>P2 – Perineum: Simple but Invasive Procedures</v>
      </c>
      <c r="E850" s="129" t="str">
        <v>07 - Perineum</v>
      </c>
      <c r="F850" s="129" t="str">
        <v>Solutions Plus</v>
      </c>
      <c r="G850" s="144" t="str">
        <v>CON-01</v>
      </c>
      <c r="H850" s="129" t="str">
        <v>To confirm</v>
      </c>
      <c r="I850" s="144" t="str">
        <v>No</v>
      </c>
      <c r="J850" s="144" t="str">
        <v>Base</v>
      </c>
      <c r="K850" s="144" t="str">
        <v/>
      </c>
      <c r="L850" s="146">
        <v>11.5</v>
      </c>
      <c r="M850" s="142">
        <v>634.70000000000005</v>
      </c>
      <c r="N850" s="144" t="str">
        <v>Unknown</v>
      </c>
      <c r="O850" s="142" t="str">
        <v/>
      </c>
      <c r="P850" s="142" t="str">
        <v/>
      </c>
      <c r="Q850" s="142">
        <v>55.19130434782609</v>
      </c>
      <c r="R850" s="129" t="str">
        <v>Description – exact</v>
      </c>
      <c r="S850" s="143" t="str">
        <v/>
      </c>
      <c r="T850" s="144" t="str">
        <v>SRC-00</v>
      </c>
      <c r="U850" s="129" t="str">
        <v>S+ row 44</v>
      </c>
      <c r="V850" s="129" t="str">
        <v/>
      </c>
    </row>
    <row r="851" spans="1:22" x14ac:dyDescent="0.2">
      <c r="A851" s="144" t="str">
        <v>P2</v>
      </c>
      <c r="B851" s="145">
        <v>5</v>
      </c>
      <c r="C851" s="129" t="str">
        <v>Anterior Colporthaphy</v>
      </c>
      <c r="D851" s="129" t="str">
        <v>P2 – Perineum: Simple but Invasive Procedures</v>
      </c>
      <c r="E851" s="129" t="str">
        <v>07 - Perineum</v>
      </c>
      <c r="F851" s="129" t="str">
        <v>Solutions Plus</v>
      </c>
      <c r="G851" s="144" t="str">
        <v>CON-01</v>
      </c>
      <c r="H851" s="129" t="str">
        <v>To confirm</v>
      </c>
      <c r="I851" s="144" t="str">
        <v>No</v>
      </c>
      <c r="J851" s="144" t="str">
        <v>Base</v>
      </c>
      <c r="K851" s="144" t="str">
        <v/>
      </c>
      <c r="L851" s="146">
        <v>10.5</v>
      </c>
      <c r="M851" s="142">
        <v>575.29999999999995</v>
      </c>
      <c r="N851" s="144" t="str">
        <v>Unknown</v>
      </c>
      <c r="O851" s="142" t="str">
        <v/>
      </c>
      <c r="P851" s="142" t="str">
        <v/>
      </c>
      <c r="Q851" s="142">
        <v>54.790476190476184</v>
      </c>
      <c r="R851" s="129" t="str">
        <v>Description – likely</v>
      </c>
      <c r="S851" s="143" t="str">
        <v/>
      </c>
      <c r="T851" s="144" t="str">
        <v>SRC-00</v>
      </c>
      <c r="U851" s="129" t="str">
        <v>S+ row 45</v>
      </c>
      <c r="V851" s="129" t="str">
        <v/>
      </c>
    </row>
    <row r="852" spans="1:22" x14ac:dyDescent="0.2">
      <c r="A852" s="144" t="str">
        <v>P2</v>
      </c>
      <c r="B852" s="145">
        <v>5</v>
      </c>
      <c r="C852" s="129" t="str">
        <v>Artifical Urinary Sphincter</v>
      </c>
      <c r="D852" s="129" t="str">
        <v>P2 – Perineum: Simple but Invasive Procedures</v>
      </c>
      <c r="E852" s="129" t="str">
        <v>07 - Perineum</v>
      </c>
      <c r="F852" s="129" t="str">
        <v>Solutions Plus</v>
      </c>
      <c r="G852" s="144" t="str">
        <v>CON-01</v>
      </c>
      <c r="H852" s="129" t="str">
        <v>To confirm</v>
      </c>
      <c r="I852" s="144" t="str">
        <v>No</v>
      </c>
      <c r="J852" s="144" t="str">
        <v>Base</v>
      </c>
      <c r="K852" s="144" t="str">
        <v/>
      </c>
      <c r="L852" s="146">
        <v>11.8</v>
      </c>
      <c r="M852" s="142">
        <v>647.35</v>
      </c>
      <c r="N852" s="144" t="str">
        <v>Unknown</v>
      </c>
      <c r="O852" s="142" t="str">
        <v/>
      </c>
      <c r="P852" s="142" t="str">
        <v/>
      </c>
      <c r="Q852" s="142">
        <v>54.860169491525426</v>
      </c>
      <c r="R852" s="129" t="str">
        <v>Description – likely</v>
      </c>
      <c r="S852" s="143" t="str">
        <v/>
      </c>
      <c r="T852" s="144" t="str">
        <v>SRC-00</v>
      </c>
      <c r="U852" s="129" t="str">
        <v>S+ row 57</v>
      </c>
      <c r="V852" s="129" t="str">
        <v/>
      </c>
    </row>
    <row r="853" spans="1:22" x14ac:dyDescent="0.2">
      <c r="A853" s="144" t="str">
        <v>P1</v>
      </c>
      <c r="B853" s="145">
        <v>4</v>
      </c>
      <c r="C853" s="129" t="str">
        <v>Bartholins Cyst</v>
      </c>
      <c r="D853" s="129" t="str">
        <v>P1 – Perineum: Minor Procedures</v>
      </c>
      <c r="E853" s="129" t="str">
        <v>07 - Perineum</v>
      </c>
      <c r="F853" s="129" t="str">
        <v>Solutions Plus</v>
      </c>
      <c r="G853" s="144" t="str">
        <v>CON-01</v>
      </c>
      <c r="H853" s="129" t="str">
        <v>To confirm</v>
      </c>
      <c r="I853" s="144" t="str">
        <v>No</v>
      </c>
      <c r="J853" s="144" t="str">
        <v>Base</v>
      </c>
      <c r="K853" s="144" t="str">
        <v/>
      </c>
      <c r="L853" s="146">
        <v>6.7</v>
      </c>
      <c r="M853" s="142">
        <v>370.7</v>
      </c>
      <c r="N853" s="144" t="str">
        <v>Unknown</v>
      </c>
      <c r="O853" s="142" t="str">
        <v/>
      </c>
      <c r="P853" s="142" t="str">
        <v/>
      </c>
      <c r="Q853" s="142">
        <v>55.328358208955223</v>
      </c>
      <c r="R853" s="129" t="str">
        <v>Description – likely</v>
      </c>
      <c r="S853" s="143" t="str">
        <v/>
      </c>
      <c r="T853" s="144" t="str">
        <v>SRC-00</v>
      </c>
      <c r="U853" s="129" t="str">
        <v>S+ row 61</v>
      </c>
      <c r="V853" s="129" t="str">
        <v/>
      </c>
    </row>
    <row r="854" spans="1:22" x14ac:dyDescent="0.2">
      <c r="A854" s="144" t="str">
        <v>P2</v>
      </c>
      <c r="B854" s="145">
        <v>5</v>
      </c>
      <c r="C854" s="129" t="str">
        <v>Bilateral Scrotal Orchidectomy - DHB</v>
      </c>
      <c r="D854" s="129" t="str">
        <v>P2 – Perineum: Simple but Invasive Procedures</v>
      </c>
      <c r="E854" s="129" t="str">
        <v>07 - Perineum</v>
      </c>
      <c r="F854" s="129" t="str">
        <v>Solutions Plus</v>
      </c>
      <c r="G854" s="144" t="str">
        <v>CON-01</v>
      </c>
      <c r="H854" s="129" t="str">
        <v>To confirm</v>
      </c>
      <c r="I854" s="144" t="str">
        <v>No</v>
      </c>
      <c r="J854" s="144" t="str">
        <v>Base</v>
      </c>
      <c r="K854" s="144" t="str">
        <v/>
      </c>
      <c r="L854" s="146">
        <v>9</v>
      </c>
      <c r="M854" s="142">
        <v>495</v>
      </c>
      <c r="N854" s="144" t="str">
        <v>Unknown</v>
      </c>
      <c r="O854" s="142" t="str">
        <v/>
      </c>
      <c r="P854" s="142" t="str">
        <v/>
      </c>
      <c r="Q854" s="142">
        <v>55</v>
      </c>
      <c r="R854" s="129" t="str">
        <v>Description – likely</v>
      </c>
      <c r="S854" s="143" t="str">
        <v/>
      </c>
      <c r="T854" s="144" t="str">
        <v>SRC-00</v>
      </c>
      <c r="U854" s="129" t="str">
        <v>S+ row 109</v>
      </c>
      <c r="V854" s="129" t="str">
        <v/>
      </c>
    </row>
    <row r="855" spans="1:22" x14ac:dyDescent="0.2">
      <c r="A855" s="144" t="str">
        <v>P2</v>
      </c>
      <c r="B855" s="145">
        <v>5</v>
      </c>
      <c r="C855" s="129" t="str">
        <v>Bladder Neck Incision</v>
      </c>
      <c r="D855" s="129" t="str">
        <v>P2 – Perineum: Simple but Invasive Procedures</v>
      </c>
      <c r="E855" s="129" t="str">
        <v>07 - Perineum</v>
      </c>
      <c r="F855" s="129" t="str">
        <v>Solutions Plus</v>
      </c>
      <c r="G855" s="144" t="str">
        <v>CON-01</v>
      </c>
      <c r="H855" s="129" t="str">
        <v>To confirm</v>
      </c>
      <c r="I855" s="144" t="str">
        <v>No</v>
      </c>
      <c r="J855" s="144" t="str">
        <v>Base</v>
      </c>
      <c r="K855" s="144" t="str">
        <v/>
      </c>
      <c r="L855" s="146">
        <v>8</v>
      </c>
      <c r="M855" s="142">
        <v>441.65</v>
      </c>
      <c r="N855" s="144" t="str">
        <v>Unknown</v>
      </c>
      <c r="O855" s="142" t="str">
        <v/>
      </c>
      <c r="P855" s="142" t="str">
        <v/>
      </c>
      <c r="Q855" s="142">
        <v>55.206249999999997</v>
      </c>
      <c r="R855" s="129" t="str">
        <v>Description – likely</v>
      </c>
      <c r="S855" s="143" t="str">
        <v/>
      </c>
      <c r="T855" s="144" t="str">
        <v>SRC-00</v>
      </c>
      <c r="U855" s="129" t="str">
        <v>S+ row 129</v>
      </c>
      <c r="V855" s="129" t="str">
        <v/>
      </c>
    </row>
    <row r="856" spans="1:22" x14ac:dyDescent="0.2">
      <c r="A856" s="144" t="str">
        <v>P1</v>
      </c>
      <c r="B856" s="145">
        <v>4</v>
      </c>
      <c r="C856" s="129" t="str">
        <v>Circumcision</v>
      </c>
      <c r="D856" s="129" t="str">
        <v>P1 – Perineum: Minor Procedures</v>
      </c>
      <c r="E856" s="129" t="str">
        <v>07 - Perineum</v>
      </c>
      <c r="F856" s="129" t="str">
        <v>Solutions Plus</v>
      </c>
      <c r="G856" s="144" t="str">
        <v>CON-01</v>
      </c>
      <c r="H856" s="129" t="str">
        <v>To confirm</v>
      </c>
      <c r="I856" s="144" t="str">
        <v>No</v>
      </c>
      <c r="J856" s="144" t="str">
        <v>Base</v>
      </c>
      <c r="K856" s="144" t="str">
        <v/>
      </c>
      <c r="L856" s="146">
        <v>7.3</v>
      </c>
      <c r="M856" s="142">
        <v>401.5</v>
      </c>
      <c r="N856" s="144" t="str">
        <v>Unknown</v>
      </c>
      <c r="O856" s="142" t="str">
        <v/>
      </c>
      <c r="P856" s="142" t="str">
        <v/>
      </c>
      <c r="Q856" s="142">
        <v>55</v>
      </c>
      <c r="R856" s="129" t="str">
        <v>Description – likely</v>
      </c>
      <c r="S856" s="143" t="str">
        <v/>
      </c>
      <c r="T856" s="144" t="str">
        <v>SRC-00</v>
      </c>
      <c r="U856" s="129" t="str">
        <v>S+ row 166</v>
      </c>
      <c r="V856" s="129" t="str">
        <v/>
      </c>
    </row>
    <row r="857" spans="1:22" x14ac:dyDescent="0.2">
      <c r="A857" s="144" t="str">
        <v>P1</v>
      </c>
      <c r="B857" s="145">
        <v>4</v>
      </c>
      <c r="C857" s="129" t="str">
        <v>Circumcision - 00559178</v>
      </c>
      <c r="D857" s="129" t="str">
        <v>P1 – Perineum: Minor Procedures</v>
      </c>
      <c r="E857" s="129" t="str">
        <v>07 - Perineum</v>
      </c>
      <c r="F857" s="129" t="str">
        <v>Solutions Plus</v>
      </c>
      <c r="G857" s="144" t="str">
        <v>CON-01</v>
      </c>
      <c r="H857" s="129" t="str">
        <v>To confirm</v>
      </c>
      <c r="I857" s="144" t="str">
        <v>No</v>
      </c>
      <c r="J857" s="144" t="str">
        <v>Base</v>
      </c>
      <c r="K857" s="144" t="str">
        <v/>
      </c>
      <c r="L857" s="146">
        <v>6</v>
      </c>
      <c r="M857" s="142">
        <v>330</v>
      </c>
      <c r="N857" s="144" t="str">
        <v>Unknown</v>
      </c>
      <c r="O857" s="142" t="str">
        <v/>
      </c>
      <c r="P857" s="142" t="str">
        <v/>
      </c>
      <c r="Q857" s="142">
        <v>55</v>
      </c>
      <c r="R857" s="129" t="str">
        <v>Description – likely</v>
      </c>
      <c r="S857" s="143" t="str">
        <v/>
      </c>
      <c r="T857" s="144" t="str">
        <v>SRC-00</v>
      </c>
      <c r="U857" s="129" t="str">
        <v>S+ row 167</v>
      </c>
      <c r="V857" s="129" t="str">
        <v/>
      </c>
    </row>
    <row r="858" spans="1:22" x14ac:dyDescent="0.2">
      <c r="A858" s="144" t="str">
        <v>P1</v>
      </c>
      <c r="B858" s="145">
        <v>4</v>
      </c>
      <c r="C858" s="129" t="str">
        <v>Colposcopy</v>
      </c>
      <c r="D858" s="129" t="str">
        <v>P1 – Perineum: Minor Procedures</v>
      </c>
      <c r="E858" s="129" t="str">
        <v>07 - Perineum</v>
      </c>
      <c r="F858" s="129" t="str">
        <v>Solutions Plus</v>
      </c>
      <c r="G858" s="144" t="str">
        <v>CON-01</v>
      </c>
      <c r="H858" s="129" t="str">
        <v>To confirm</v>
      </c>
      <c r="I858" s="144" t="str">
        <v>No</v>
      </c>
      <c r="J858" s="144" t="str">
        <v>Base</v>
      </c>
      <c r="K858" s="144" t="str">
        <v/>
      </c>
      <c r="L858" s="146">
        <v>7.7</v>
      </c>
      <c r="M858" s="142">
        <v>421.3</v>
      </c>
      <c r="N858" s="144" t="str">
        <v>Unknown</v>
      </c>
      <c r="O858" s="142" t="str">
        <v/>
      </c>
      <c r="P858" s="142" t="str">
        <v/>
      </c>
      <c r="Q858" s="142">
        <v>54.714285714285715</v>
      </c>
      <c r="R858" s="129" t="str">
        <v>Description – likely</v>
      </c>
      <c r="S858" s="143" t="str">
        <v/>
      </c>
      <c r="T858" s="144" t="str">
        <v>SRC-00</v>
      </c>
      <c r="U858" s="129" t="str">
        <v>S+ row 208</v>
      </c>
      <c r="V858" s="129" t="str">
        <v/>
      </c>
    </row>
    <row r="859" spans="1:22" x14ac:dyDescent="0.2">
      <c r="A859" s="144" t="str">
        <v>P2</v>
      </c>
      <c r="B859" s="145">
        <v>5</v>
      </c>
      <c r="C859" s="129" t="str">
        <v>Cystocoele Repair</v>
      </c>
      <c r="D859" s="129" t="str">
        <v>P2 – Perineum: Simple but Invasive Procedures</v>
      </c>
      <c r="E859" s="129" t="str">
        <v>07 - Perineum</v>
      </c>
      <c r="F859" s="129" t="str">
        <v>Solutions Plus</v>
      </c>
      <c r="G859" s="144" t="str">
        <v>CON-01</v>
      </c>
      <c r="H859" s="129" t="str">
        <v>To confirm</v>
      </c>
      <c r="I859" s="144" t="str">
        <v>No</v>
      </c>
      <c r="J859" s="144" t="str">
        <v>Base</v>
      </c>
      <c r="K859" s="144" t="str">
        <v/>
      </c>
      <c r="L859" s="146">
        <v>10.1</v>
      </c>
      <c r="M859" s="142">
        <v>557.70000000000005</v>
      </c>
      <c r="N859" s="144" t="str">
        <v>Unknown</v>
      </c>
      <c r="O859" s="142" t="str">
        <v/>
      </c>
      <c r="P859" s="142" t="str">
        <v/>
      </c>
      <c r="Q859" s="142">
        <v>55.217821782178227</v>
      </c>
      <c r="R859" s="129" t="str">
        <v>Description – exact</v>
      </c>
      <c r="S859" s="143" t="str">
        <v/>
      </c>
      <c r="T859" s="144" t="str">
        <v>SRC-00</v>
      </c>
      <c r="U859" s="129" t="str">
        <v>S+ row 225</v>
      </c>
      <c r="V859" s="129" t="str">
        <v/>
      </c>
    </row>
    <row r="860" spans="1:22" x14ac:dyDescent="0.2">
      <c r="A860" s="144" t="str">
        <v>P1</v>
      </c>
      <c r="B860" s="145">
        <v>4</v>
      </c>
      <c r="C860" s="129" t="str">
        <v>Cystoscopy</v>
      </c>
      <c r="D860" s="129" t="str">
        <v>P1 – Perineum: Minor Procedures</v>
      </c>
      <c r="E860" s="129" t="str">
        <v>07 - Perineum</v>
      </c>
      <c r="F860" s="129" t="str">
        <v>Solutions Plus</v>
      </c>
      <c r="G860" s="144" t="str">
        <v>CON-01</v>
      </c>
      <c r="H860" s="129" t="str">
        <v>To confirm</v>
      </c>
      <c r="I860" s="144" t="str">
        <v>No</v>
      </c>
      <c r="J860" s="144" t="str">
        <v>Base</v>
      </c>
      <c r="K860" s="144" t="str">
        <v/>
      </c>
      <c r="L860" s="146">
        <v>7.6</v>
      </c>
      <c r="M860" s="142">
        <v>419.1</v>
      </c>
      <c r="N860" s="144" t="str">
        <v>Unknown</v>
      </c>
      <c r="O860" s="142" t="str">
        <v/>
      </c>
      <c r="P860" s="142" t="str">
        <v/>
      </c>
      <c r="Q860" s="142">
        <v>55.144736842105267</v>
      </c>
      <c r="R860" s="129" t="str">
        <v>Description – exact</v>
      </c>
      <c r="S860" s="143" t="str">
        <v/>
      </c>
      <c r="T860" s="144" t="str">
        <v>SRC-00</v>
      </c>
      <c r="U860" s="129" t="str">
        <v>S+ row 226</v>
      </c>
      <c r="V860" s="129" t="str">
        <v/>
      </c>
    </row>
    <row r="861" spans="1:22" x14ac:dyDescent="0.2">
      <c r="A861" s="144" t="str">
        <v>P1</v>
      </c>
      <c r="B861" s="145">
        <v>4</v>
      </c>
      <c r="C861" s="129" t="str">
        <v>Cystoscopy + Bladder Calcuili</v>
      </c>
      <c r="D861" s="129" t="str">
        <v>P1 – Perineum: Minor Procedures</v>
      </c>
      <c r="E861" s="129" t="str">
        <v>07 - Perineum</v>
      </c>
      <c r="F861" s="129" t="str">
        <v>Solutions Plus</v>
      </c>
      <c r="G861" s="144" t="str">
        <v>CON-01</v>
      </c>
      <c r="H861" s="129" t="str">
        <v>To confirm</v>
      </c>
      <c r="I861" s="144" t="str">
        <v>No</v>
      </c>
      <c r="J861" s="144" t="str">
        <v>Base</v>
      </c>
      <c r="K861" s="144" t="str">
        <v/>
      </c>
      <c r="L861" s="146">
        <v>8.3000000000000007</v>
      </c>
      <c r="M861" s="142">
        <v>457.6</v>
      </c>
      <c r="N861" s="144" t="str">
        <v>Unknown</v>
      </c>
      <c r="O861" s="142" t="str">
        <v/>
      </c>
      <c r="P861" s="142" t="str">
        <v/>
      </c>
      <c r="Q861" s="142">
        <v>55.132530120481924</v>
      </c>
      <c r="R861" s="129" t="str">
        <v>Description – exact</v>
      </c>
      <c r="S861" s="143" t="str">
        <v/>
      </c>
      <c r="T861" s="144" t="str">
        <v>SRC-00</v>
      </c>
      <c r="U861" s="129" t="str">
        <v>S+ row 227</v>
      </c>
      <c r="V861" s="129" t="str">
        <v/>
      </c>
    </row>
    <row r="862" spans="1:22" x14ac:dyDescent="0.2">
      <c r="A862" s="144" t="str">
        <v>P2</v>
      </c>
      <c r="B862" s="145">
        <v>5</v>
      </c>
      <c r="C862" s="129" t="str">
        <v>Cystoscopy + Optical Urethrotomy +/- Retrograde P</v>
      </c>
      <c r="D862" s="129" t="str">
        <v>P2 – Perineum: Simple but Invasive Procedures</v>
      </c>
      <c r="E862" s="129" t="str">
        <v>07 - Perineum</v>
      </c>
      <c r="F862" s="129" t="str">
        <v>Solutions Plus</v>
      </c>
      <c r="G862" s="144" t="str">
        <v>CON-01</v>
      </c>
      <c r="H862" s="129" t="str">
        <v>To confirm</v>
      </c>
      <c r="I862" s="144" t="str">
        <v>No</v>
      </c>
      <c r="J862" s="144" t="str">
        <v>Base</v>
      </c>
      <c r="K862" s="144" t="str">
        <v/>
      </c>
      <c r="L862" s="146">
        <v>1</v>
      </c>
      <c r="M862" s="142">
        <v>55</v>
      </c>
      <c r="N862" s="144" t="str">
        <v>Unknown</v>
      </c>
      <c r="O862" s="142" t="str">
        <v/>
      </c>
      <c r="P862" s="142" t="str">
        <v/>
      </c>
      <c r="Q862" s="142">
        <v>55</v>
      </c>
      <c r="R862" s="129" t="str">
        <v>Description – likely</v>
      </c>
      <c r="S862" s="143" t="str">
        <v/>
      </c>
      <c r="T862" s="144" t="str">
        <v>SRC-00</v>
      </c>
      <c r="U862" s="129" t="str">
        <v>S+ row 228</v>
      </c>
      <c r="V862" s="129" t="str">
        <v/>
      </c>
    </row>
    <row r="863" spans="1:22" x14ac:dyDescent="0.2">
      <c r="A863" s="144" t="str">
        <v>P1</v>
      </c>
      <c r="B863" s="145">
        <v>4</v>
      </c>
      <c r="C863" s="129" t="str">
        <v>D&amp;C</v>
      </c>
      <c r="D863" s="129" t="str">
        <v>P1 – Perineum: Minor Procedures</v>
      </c>
      <c r="E863" s="129" t="str">
        <v>07 - Perineum</v>
      </c>
      <c r="F863" s="129" t="str">
        <v>Solutions Plus</v>
      </c>
      <c r="G863" s="144" t="str">
        <v>CON-01</v>
      </c>
      <c r="H863" s="129" t="str">
        <v>To confirm</v>
      </c>
      <c r="I863" s="144" t="str">
        <v>No</v>
      </c>
      <c r="J863" s="144" t="str">
        <v>Base</v>
      </c>
      <c r="K863" s="144" t="str">
        <v/>
      </c>
      <c r="L863" s="146">
        <v>6.1</v>
      </c>
      <c r="M863" s="142">
        <v>336.6</v>
      </c>
      <c r="N863" s="144" t="str">
        <v>Unknown</v>
      </c>
      <c r="O863" s="142" t="str">
        <v/>
      </c>
      <c r="P863" s="142" t="str">
        <v/>
      </c>
      <c r="Q863" s="142">
        <v>55.180327868852466</v>
      </c>
      <c r="R863" s="129" t="str">
        <v>Description – exact</v>
      </c>
      <c r="S863" s="143" t="str">
        <v/>
      </c>
      <c r="T863" s="144" t="str">
        <v>SRC-00</v>
      </c>
      <c r="U863" s="129" t="str">
        <v>S+ row 229</v>
      </c>
      <c r="V863" s="129" t="str">
        <v/>
      </c>
    </row>
    <row r="864" spans="1:22" x14ac:dyDescent="0.2">
      <c r="A864" s="144" t="str">
        <v>P1</v>
      </c>
      <c r="B864" s="145">
        <v>4</v>
      </c>
      <c r="C864" s="129" t="str">
        <v>D&amp;C Hysteroscopy</v>
      </c>
      <c r="D864" s="129" t="str">
        <v>P1 – Perineum: Minor Procedures</v>
      </c>
      <c r="E864" s="129" t="str">
        <v>07 - Perineum</v>
      </c>
      <c r="F864" s="129" t="str">
        <v>Solutions Plus</v>
      </c>
      <c r="G864" s="144" t="str">
        <v>CON-01</v>
      </c>
      <c r="H864" s="129" t="str">
        <v>To confirm</v>
      </c>
      <c r="I864" s="144" t="str">
        <v>No</v>
      </c>
      <c r="J864" s="144" t="str">
        <v>Base</v>
      </c>
      <c r="K864" s="144" t="str">
        <v/>
      </c>
      <c r="L864" s="146">
        <v>6.3</v>
      </c>
      <c r="M864" s="142">
        <v>343.75</v>
      </c>
      <c r="N864" s="144" t="str">
        <v>Unknown</v>
      </c>
      <c r="O864" s="142" t="str">
        <v/>
      </c>
      <c r="P864" s="142" t="str">
        <v/>
      </c>
      <c r="Q864" s="142">
        <v>54.563492063492063</v>
      </c>
      <c r="R864" s="129" t="str">
        <v>Description – exact</v>
      </c>
      <c r="S864" s="143" t="str">
        <v/>
      </c>
      <c r="T864" s="144" t="str">
        <v>SRC-00</v>
      </c>
      <c r="U864" s="129" t="str">
        <v>S+ row 230</v>
      </c>
      <c r="V864" s="129" t="str">
        <v/>
      </c>
    </row>
    <row r="865" spans="1:22" x14ac:dyDescent="0.2">
      <c r="A865" s="144" t="str">
        <v>P2</v>
      </c>
      <c r="B865" s="145">
        <v>5</v>
      </c>
      <c r="C865" s="129" t="str">
        <v>DHB - Rectus Fascia Sling + Anterior/Posterior Rep</v>
      </c>
      <c r="D865" s="129" t="str">
        <v>P2 – Perineum: Simple but Invasive Procedures</v>
      </c>
      <c r="E865" s="129" t="str">
        <v>07 - Perineum</v>
      </c>
      <c r="F865" s="129" t="str">
        <v>Solutions Plus</v>
      </c>
      <c r="G865" s="144" t="str">
        <v>CON-01</v>
      </c>
      <c r="H865" s="129" t="str">
        <v>To confirm</v>
      </c>
      <c r="I865" s="144" t="str">
        <v>No</v>
      </c>
      <c r="J865" s="144" t="str">
        <v>Base</v>
      </c>
      <c r="K865" s="144" t="str">
        <v/>
      </c>
      <c r="L865" s="146">
        <v>22</v>
      </c>
      <c r="M865" s="142">
        <v>1210</v>
      </c>
      <c r="N865" s="144" t="str">
        <v>Unknown</v>
      </c>
      <c r="O865" s="142" t="str">
        <v/>
      </c>
      <c r="P865" s="142" t="str">
        <v/>
      </c>
      <c r="Q865" s="142">
        <v>55</v>
      </c>
      <c r="R865" s="129" t="str">
        <v>Description – likely</v>
      </c>
      <c r="S865" s="143" t="str">
        <v/>
      </c>
      <c r="T865" s="144" t="str">
        <v>SRC-00</v>
      </c>
      <c r="U865" s="129" t="str">
        <v>S+ row 248</v>
      </c>
      <c r="V865" s="129" t="str">
        <v/>
      </c>
    </row>
    <row r="866" spans="1:22" x14ac:dyDescent="0.2">
      <c r="A866" s="144" t="str">
        <v>P2</v>
      </c>
      <c r="B866" s="145">
        <v>5</v>
      </c>
      <c r="C866" s="129" t="str">
        <v>DHB OUTSOURCED - Right Epididymal Cyst Excisio</v>
      </c>
      <c r="D866" s="129" t="str">
        <v>P2 – Perineum: Simple but Invasive Procedures</v>
      </c>
      <c r="E866" s="129" t="str">
        <v>07 - Perineum</v>
      </c>
      <c r="F866" s="129" t="str">
        <v>Solutions Plus</v>
      </c>
      <c r="G866" s="144" t="str">
        <v>CON-01</v>
      </c>
      <c r="H866" s="129" t="str">
        <v>To confirm</v>
      </c>
      <c r="I866" s="144" t="str">
        <v>No</v>
      </c>
      <c r="J866" s="144" t="str">
        <v>Base</v>
      </c>
      <c r="K866" s="144" t="str">
        <v/>
      </c>
      <c r="L866" s="146">
        <v>9</v>
      </c>
      <c r="M866" s="142">
        <v>495</v>
      </c>
      <c r="N866" s="144" t="str">
        <v>Unknown</v>
      </c>
      <c r="O866" s="142" t="str">
        <v/>
      </c>
      <c r="P866" s="142" t="str">
        <v/>
      </c>
      <c r="Q866" s="142">
        <v>55</v>
      </c>
      <c r="R866" s="129" t="str">
        <v>Description – likely</v>
      </c>
      <c r="S866" s="143" t="str">
        <v/>
      </c>
      <c r="T866" s="144" t="str">
        <v>SRC-00</v>
      </c>
      <c r="U866" s="129" t="str">
        <v>S+ row 250</v>
      </c>
      <c r="V866" s="129" t="str">
        <v/>
      </c>
    </row>
    <row r="867" spans="1:22" x14ac:dyDescent="0.2">
      <c r="A867" s="144" t="str">
        <v>P1</v>
      </c>
      <c r="B867" s="145">
        <v>4</v>
      </c>
      <c r="C867" s="129" t="str">
        <v>Diagnostic Hysteroscopy</v>
      </c>
      <c r="D867" s="129" t="str">
        <v>P1 – Perineum: Minor Procedures</v>
      </c>
      <c r="E867" s="129" t="str">
        <v>07 - Perineum</v>
      </c>
      <c r="F867" s="129" t="str">
        <v>Solutions Plus</v>
      </c>
      <c r="G867" s="144" t="str">
        <v>CON-01</v>
      </c>
      <c r="H867" s="129" t="str">
        <v>To confirm</v>
      </c>
      <c r="I867" s="144" t="str">
        <v>No</v>
      </c>
      <c r="J867" s="144" t="str">
        <v>Base</v>
      </c>
      <c r="K867" s="144" t="str">
        <v/>
      </c>
      <c r="L867" s="146">
        <v>7.8</v>
      </c>
      <c r="M867" s="142">
        <v>427.35</v>
      </c>
      <c r="N867" s="144" t="str">
        <v>Unknown</v>
      </c>
      <c r="O867" s="142" t="str">
        <v/>
      </c>
      <c r="P867" s="142" t="str">
        <v/>
      </c>
      <c r="Q867" s="142">
        <v>54.78846153846154</v>
      </c>
      <c r="R867" s="129" t="str">
        <v>Description – exact</v>
      </c>
      <c r="S867" s="143" t="str">
        <v/>
      </c>
      <c r="T867" s="144" t="str">
        <v>SRC-00</v>
      </c>
      <c r="U867" s="129" t="str">
        <v>S+ row 251</v>
      </c>
      <c r="V867" s="129" t="str">
        <v/>
      </c>
    </row>
    <row r="868" spans="1:22" x14ac:dyDescent="0.2">
      <c r="A868" s="144" t="str">
        <v>P1</v>
      </c>
      <c r="B868" s="145">
        <v>4</v>
      </c>
      <c r="C868" s="129" t="str">
        <v>Diagnostic Hysteroscopy, D&amp;C</v>
      </c>
      <c r="D868" s="129" t="str">
        <v>P1 – Perineum: Minor Procedures</v>
      </c>
      <c r="E868" s="129" t="str">
        <v>07 - Perineum</v>
      </c>
      <c r="F868" s="129" t="str">
        <v>Solutions Plus</v>
      </c>
      <c r="G868" s="144" t="str">
        <v>CON-01</v>
      </c>
      <c r="H868" s="129" t="str">
        <v>To confirm</v>
      </c>
      <c r="I868" s="144" t="str">
        <v>No</v>
      </c>
      <c r="J868" s="144" t="str">
        <v>Base</v>
      </c>
      <c r="K868" s="144" t="str">
        <v/>
      </c>
      <c r="L868" s="146">
        <v>6.3</v>
      </c>
      <c r="M868" s="142">
        <v>348.15</v>
      </c>
      <c r="N868" s="144" t="str">
        <v>Unknown</v>
      </c>
      <c r="O868" s="142" t="str">
        <v/>
      </c>
      <c r="P868" s="142" t="str">
        <v/>
      </c>
      <c r="Q868" s="142">
        <v>55.261904761904759</v>
      </c>
      <c r="R868" s="129" t="str">
        <v>Description – exact</v>
      </c>
      <c r="S868" s="143" t="str">
        <v/>
      </c>
      <c r="T868" s="144" t="str">
        <v>SRC-00</v>
      </c>
      <c r="U868" s="129" t="str">
        <v>S+ row 252</v>
      </c>
      <c r="V868" s="129" t="str">
        <v/>
      </c>
    </row>
    <row r="869" spans="1:22" x14ac:dyDescent="0.2">
      <c r="A869" s="144" t="str">
        <v>P1</v>
      </c>
      <c r="B869" s="145">
        <v>4</v>
      </c>
      <c r="C869" s="129" t="str">
        <v>Division Of Hymen</v>
      </c>
      <c r="D869" s="129" t="str">
        <v>P1 – Perineum: Minor Procedures</v>
      </c>
      <c r="E869" s="129" t="str">
        <v>07 - Perineum</v>
      </c>
      <c r="F869" s="129" t="str">
        <v>Solutions Plus</v>
      </c>
      <c r="G869" s="144" t="str">
        <v>CON-01</v>
      </c>
      <c r="H869" s="129" t="str">
        <v>To confirm</v>
      </c>
      <c r="I869" s="144" t="str">
        <v>No</v>
      </c>
      <c r="J869" s="144" t="str">
        <v>Base</v>
      </c>
      <c r="K869" s="144" t="str">
        <v/>
      </c>
      <c r="L869" s="146">
        <v>6</v>
      </c>
      <c r="M869" s="142">
        <v>330</v>
      </c>
      <c r="N869" s="144" t="str">
        <v>Unknown</v>
      </c>
      <c r="O869" s="142" t="str">
        <v/>
      </c>
      <c r="P869" s="142" t="str">
        <v/>
      </c>
      <c r="Q869" s="142">
        <v>55</v>
      </c>
      <c r="R869" s="129" t="str">
        <v>Description – likely</v>
      </c>
      <c r="S869" s="143" t="str">
        <v/>
      </c>
      <c r="T869" s="144" t="str">
        <v>SRC-00</v>
      </c>
      <c r="U869" s="129" t="str">
        <v>S+ row 258</v>
      </c>
      <c r="V869" s="129" t="str">
        <v/>
      </c>
    </row>
    <row r="870" spans="1:22" x14ac:dyDescent="0.2">
      <c r="A870" s="144" t="str">
        <v>P1</v>
      </c>
      <c r="B870" s="145">
        <v>4</v>
      </c>
      <c r="C870" s="129" t="str">
        <v>Drainage Of Perianal Abscess</v>
      </c>
      <c r="D870" s="129" t="str">
        <v>P1 – Perineum: Minor Procedures</v>
      </c>
      <c r="E870" s="129" t="str">
        <v>07 - Perineum</v>
      </c>
      <c r="F870" s="129" t="str">
        <v>Solutions Plus</v>
      </c>
      <c r="G870" s="144" t="str">
        <v>CON-01</v>
      </c>
      <c r="H870" s="129" t="str">
        <v>To confirm</v>
      </c>
      <c r="I870" s="144" t="str">
        <v>No</v>
      </c>
      <c r="J870" s="144" t="str">
        <v>Base</v>
      </c>
      <c r="K870" s="144" t="str">
        <v/>
      </c>
      <c r="L870" s="146">
        <v>7.7</v>
      </c>
      <c r="M870" s="142">
        <v>420.75</v>
      </c>
      <c r="N870" s="144" t="str">
        <v>Unknown</v>
      </c>
      <c r="O870" s="142" t="str">
        <v/>
      </c>
      <c r="P870" s="142" t="str">
        <v/>
      </c>
      <c r="Q870" s="142">
        <v>54.642857142857139</v>
      </c>
      <c r="R870" s="129" t="str">
        <v>Description – likely</v>
      </c>
      <c r="S870" s="143" t="str">
        <v/>
      </c>
      <c r="T870" s="144" t="str">
        <v>SRC-00</v>
      </c>
      <c r="U870" s="129" t="str">
        <v>S+ row 261</v>
      </c>
      <c r="V870" s="129" t="str">
        <v/>
      </c>
    </row>
    <row r="871" spans="1:22" x14ac:dyDescent="0.2">
      <c r="A871" s="144" t="str">
        <v>P1</v>
      </c>
      <c r="B871" s="145">
        <v>4</v>
      </c>
      <c r="C871" s="129" t="str">
        <v>Endometrial Ablation</v>
      </c>
      <c r="D871" s="129" t="str">
        <v>P1 – Perineum: Minor Procedures</v>
      </c>
      <c r="E871" s="129" t="str">
        <v>07 - Perineum</v>
      </c>
      <c r="F871" s="129" t="str">
        <v>Solutions Plus</v>
      </c>
      <c r="G871" s="144" t="str">
        <v>CON-01</v>
      </c>
      <c r="H871" s="129" t="str">
        <v>To confirm</v>
      </c>
      <c r="I871" s="144" t="str">
        <v>No</v>
      </c>
      <c r="J871" s="144" t="str">
        <v>Base</v>
      </c>
      <c r="K871" s="144" t="str">
        <v/>
      </c>
      <c r="L871" s="146">
        <v>8.3000000000000007</v>
      </c>
      <c r="M871" s="142">
        <v>453.75</v>
      </c>
      <c r="N871" s="144" t="str">
        <v>Unknown</v>
      </c>
      <c r="O871" s="142" t="str">
        <v/>
      </c>
      <c r="P871" s="142" t="str">
        <v/>
      </c>
      <c r="Q871" s="142">
        <v>54.668674698795179</v>
      </c>
      <c r="R871" s="129" t="str">
        <v>Description – likely</v>
      </c>
      <c r="S871" s="143" t="str">
        <v/>
      </c>
      <c r="T871" s="144" t="str">
        <v>SRC-00</v>
      </c>
      <c r="U871" s="129" t="str">
        <v>S+ row 271</v>
      </c>
      <c r="V871" s="129" t="str">
        <v/>
      </c>
    </row>
    <row r="872" spans="1:22" x14ac:dyDescent="0.2">
      <c r="A872" s="144" t="str">
        <v>P1</v>
      </c>
      <c r="B872" s="145">
        <v>4</v>
      </c>
      <c r="C872" s="129" t="str">
        <v>Endometrial Resection</v>
      </c>
      <c r="D872" s="129" t="str">
        <v>P1 – Perineum: Minor Procedures</v>
      </c>
      <c r="E872" s="129" t="str">
        <v>07 - Perineum</v>
      </c>
      <c r="F872" s="129" t="str">
        <v>Solutions Plus</v>
      </c>
      <c r="G872" s="144" t="str">
        <v>CON-01</v>
      </c>
      <c r="H872" s="129" t="str">
        <v>To confirm</v>
      </c>
      <c r="I872" s="144" t="str">
        <v>No</v>
      </c>
      <c r="J872" s="144" t="str">
        <v>Base</v>
      </c>
      <c r="K872" s="144" t="str">
        <v/>
      </c>
      <c r="L872" s="146">
        <v>8.9</v>
      </c>
      <c r="M872" s="142">
        <v>486.75</v>
      </c>
      <c r="N872" s="144" t="str">
        <v>Unknown</v>
      </c>
      <c r="O872" s="142" t="str">
        <v/>
      </c>
      <c r="P872" s="142" t="str">
        <v/>
      </c>
      <c r="Q872" s="142">
        <v>54.691011235955052</v>
      </c>
      <c r="R872" s="129" t="str">
        <v>Description – likely</v>
      </c>
      <c r="S872" s="143" t="str">
        <v/>
      </c>
      <c r="T872" s="144" t="str">
        <v>SRC-00</v>
      </c>
      <c r="U872" s="129" t="str">
        <v>S+ row 272</v>
      </c>
      <c r="V872" s="129" t="str">
        <v/>
      </c>
    </row>
    <row r="873" spans="1:22" x14ac:dyDescent="0.2">
      <c r="A873" s="144" t="str">
        <v>P2</v>
      </c>
      <c r="B873" s="145">
        <v>5</v>
      </c>
      <c r="C873" s="129" t="str">
        <v>Epididymectomy</v>
      </c>
      <c r="D873" s="129" t="str">
        <v>P2 – Perineum: Simple but Invasive Procedures</v>
      </c>
      <c r="E873" s="129" t="str">
        <v>07 - Perineum</v>
      </c>
      <c r="F873" s="129" t="str">
        <v>Solutions Plus</v>
      </c>
      <c r="G873" s="144" t="str">
        <v>CON-01</v>
      </c>
      <c r="H873" s="129" t="str">
        <v>To confirm</v>
      </c>
      <c r="I873" s="144" t="str">
        <v>No</v>
      </c>
      <c r="J873" s="144" t="str">
        <v>Base</v>
      </c>
      <c r="K873" s="144" t="str">
        <v/>
      </c>
      <c r="L873" s="146">
        <v>7.6</v>
      </c>
      <c r="M873" s="142">
        <v>419.1</v>
      </c>
      <c r="N873" s="144" t="str">
        <v>Unknown</v>
      </c>
      <c r="O873" s="142" t="str">
        <v/>
      </c>
      <c r="P873" s="142" t="str">
        <v/>
      </c>
      <c r="Q873" s="142">
        <v>55.144736842105267</v>
      </c>
      <c r="R873" s="129" t="str">
        <v>Description – likely</v>
      </c>
      <c r="S873" s="143" t="str">
        <v/>
      </c>
      <c r="T873" s="144" t="str">
        <v>SRC-00</v>
      </c>
      <c r="U873" s="129" t="str">
        <v>S+ row 280</v>
      </c>
      <c r="V873" s="129" t="str">
        <v/>
      </c>
    </row>
    <row r="874" spans="1:22" x14ac:dyDescent="0.2">
      <c r="A874" s="144" t="str">
        <v>P1</v>
      </c>
      <c r="B874" s="145">
        <v>4</v>
      </c>
      <c r="C874" s="129" t="str">
        <v>ERPOC</v>
      </c>
      <c r="D874" s="129" t="str">
        <v>P1 – Perineum: Minor Procedures</v>
      </c>
      <c r="E874" s="129" t="str">
        <v>07 - Perineum</v>
      </c>
      <c r="F874" s="129" t="str">
        <v>Solutions Plus</v>
      </c>
      <c r="G874" s="144" t="str">
        <v>CON-01</v>
      </c>
      <c r="H874" s="129" t="str">
        <v>To confirm</v>
      </c>
      <c r="I874" s="144" t="str">
        <v>No</v>
      </c>
      <c r="J874" s="144" t="str">
        <v>Base</v>
      </c>
      <c r="K874" s="144" t="str">
        <v/>
      </c>
      <c r="L874" s="146">
        <v>6.2</v>
      </c>
      <c r="M874" s="142">
        <v>340.45</v>
      </c>
      <c r="N874" s="144" t="str">
        <v>Unknown</v>
      </c>
      <c r="O874" s="142" t="str">
        <v/>
      </c>
      <c r="P874" s="142" t="str">
        <v/>
      </c>
      <c r="Q874" s="142">
        <v>54.911290322580641</v>
      </c>
      <c r="R874" s="129" t="str">
        <v>Description – likely</v>
      </c>
      <c r="S874" s="143" t="str">
        <v/>
      </c>
      <c r="T874" s="144" t="str">
        <v>SRC-00</v>
      </c>
      <c r="U874" s="129" t="str">
        <v>S+ row 284</v>
      </c>
      <c r="V874" s="129" t="str">
        <v/>
      </c>
    </row>
    <row r="875" spans="1:22" x14ac:dyDescent="0.2">
      <c r="A875" s="144" t="str">
        <v>P1</v>
      </c>
      <c r="B875" s="145">
        <v>4</v>
      </c>
      <c r="C875" s="129" t="str">
        <v>ERPOC Procedure</v>
      </c>
      <c r="D875" s="129" t="str">
        <v>P1 – Perineum: Minor Procedures</v>
      </c>
      <c r="E875" s="129" t="str">
        <v>07 - Perineum</v>
      </c>
      <c r="F875" s="129" t="str">
        <v>Solutions Plus</v>
      </c>
      <c r="G875" s="144" t="str">
        <v>CON-01</v>
      </c>
      <c r="H875" s="129" t="str">
        <v>To confirm</v>
      </c>
      <c r="I875" s="144" t="str">
        <v>No</v>
      </c>
      <c r="J875" s="144" t="str">
        <v>Base</v>
      </c>
      <c r="K875" s="144" t="str">
        <v/>
      </c>
      <c r="L875" s="146">
        <v>7</v>
      </c>
      <c r="M875" s="142">
        <v>385</v>
      </c>
      <c r="N875" s="144" t="str">
        <v>Unknown</v>
      </c>
      <c r="O875" s="142" t="str">
        <v/>
      </c>
      <c r="P875" s="142" t="str">
        <v/>
      </c>
      <c r="Q875" s="142">
        <v>55</v>
      </c>
      <c r="R875" s="129" t="str">
        <v>Description – likely</v>
      </c>
      <c r="S875" s="143" t="str">
        <v/>
      </c>
      <c r="T875" s="144" t="str">
        <v>SRC-00</v>
      </c>
      <c r="U875" s="129" t="str">
        <v>S+ row 285</v>
      </c>
      <c r="V875" s="129" t="str">
        <v/>
      </c>
    </row>
    <row r="876" spans="1:22" x14ac:dyDescent="0.2">
      <c r="A876" s="144" t="str">
        <v>P1</v>
      </c>
      <c r="B876" s="145">
        <v>4</v>
      </c>
      <c r="C876" s="129" t="str">
        <v>EUA &amp; Haemorroidectomy</v>
      </c>
      <c r="D876" s="129" t="str">
        <v>P1 – Perineum: Minor Procedures</v>
      </c>
      <c r="E876" s="129" t="str">
        <v>07 - Perineum</v>
      </c>
      <c r="F876" s="129" t="str">
        <v>Solutions Plus</v>
      </c>
      <c r="G876" s="144" t="str">
        <v>CON-01</v>
      </c>
      <c r="H876" s="129" t="str">
        <v>To confirm</v>
      </c>
      <c r="I876" s="144" t="str">
        <v>No</v>
      </c>
      <c r="J876" s="144" t="str">
        <v>Base</v>
      </c>
      <c r="K876" s="144" t="str">
        <v/>
      </c>
      <c r="L876" s="146">
        <v>6.8</v>
      </c>
      <c r="M876" s="142">
        <v>371.25</v>
      </c>
      <c r="N876" s="144" t="str">
        <v>Unknown</v>
      </c>
      <c r="O876" s="142" t="str">
        <v/>
      </c>
      <c r="P876" s="142" t="str">
        <v/>
      </c>
      <c r="Q876" s="142">
        <v>54.595588235294116</v>
      </c>
      <c r="R876" s="129" t="str">
        <v>Description – likely</v>
      </c>
      <c r="S876" s="143" t="str">
        <v/>
      </c>
      <c r="T876" s="144" t="str">
        <v>SRC-00</v>
      </c>
      <c r="U876" s="129" t="str">
        <v>S+ row 291</v>
      </c>
      <c r="V876" s="129" t="str">
        <v/>
      </c>
    </row>
    <row r="877" spans="1:22" x14ac:dyDescent="0.2">
      <c r="A877" s="144" t="str">
        <v>P1</v>
      </c>
      <c r="B877" s="145">
        <v>4</v>
      </c>
      <c r="C877" s="129" t="str">
        <v>EUA + Haemorrhoidectomy CDHB</v>
      </c>
      <c r="D877" s="129" t="str">
        <v>P1 – Perineum: Minor Procedures</v>
      </c>
      <c r="E877" s="129" t="str">
        <v>07 - Perineum</v>
      </c>
      <c r="F877" s="129" t="str">
        <v>Solutions Plus</v>
      </c>
      <c r="G877" s="144" t="str">
        <v>CON-01</v>
      </c>
      <c r="H877" s="129" t="str">
        <v>To confirm</v>
      </c>
      <c r="I877" s="144" t="str">
        <v>No</v>
      </c>
      <c r="J877" s="144" t="str">
        <v>Base</v>
      </c>
      <c r="K877" s="144" t="str">
        <v/>
      </c>
      <c r="L877" s="146">
        <v>8.3000000000000007</v>
      </c>
      <c r="M877" s="142">
        <v>457.6</v>
      </c>
      <c r="N877" s="144" t="str">
        <v>Unknown</v>
      </c>
      <c r="O877" s="142" t="str">
        <v/>
      </c>
      <c r="P877" s="142" t="str">
        <v/>
      </c>
      <c r="Q877" s="142">
        <v>55.132530120481924</v>
      </c>
      <c r="R877" s="129" t="str">
        <v>Description – likely</v>
      </c>
      <c r="S877" s="143" t="str">
        <v/>
      </c>
      <c r="T877" s="144" t="str">
        <v>SRC-00</v>
      </c>
      <c r="U877" s="129" t="str">
        <v>S+ row 292</v>
      </c>
      <c r="V877" s="129" t="str">
        <v/>
      </c>
    </row>
    <row r="878" spans="1:22" x14ac:dyDescent="0.2">
      <c r="A878" s="144" t="str">
        <v>P1</v>
      </c>
      <c r="B878" s="145">
        <v>4</v>
      </c>
      <c r="C878" s="129" t="str">
        <v>EUA + Seton</v>
      </c>
      <c r="D878" s="129" t="str">
        <v>P1 – Perineum: Minor Procedures</v>
      </c>
      <c r="E878" s="129" t="str">
        <v>07 - Perineum</v>
      </c>
      <c r="F878" s="129" t="str">
        <v>Solutions Plus</v>
      </c>
      <c r="G878" s="144" t="str">
        <v>CON-01</v>
      </c>
      <c r="H878" s="129" t="str">
        <v>To confirm</v>
      </c>
      <c r="I878" s="144" t="str">
        <v>No</v>
      </c>
      <c r="J878" s="144" t="str">
        <v>Base</v>
      </c>
      <c r="K878" s="144" t="str">
        <v/>
      </c>
      <c r="L878" s="146">
        <v>6.2</v>
      </c>
      <c r="M878" s="142">
        <v>338.8</v>
      </c>
      <c r="N878" s="144" t="str">
        <v>Unknown</v>
      </c>
      <c r="O878" s="142" t="str">
        <v/>
      </c>
      <c r="P878" s="142" t="str">
        <v/>
      </c>
      <c r="Q878" s="142">
        <v>54.645161290322584</v>
      </c>
      <c r="R878" s="129" t="str">
        <v>Description – likely</v>
      </c>
      <c r="S878" s="143" t="str">
        <v/>
      </c>
      <c r="T878" s="144" t="str">
        <v>SRC-00</v>
      </c>
      <c r="U878" s="129" t="str">
        <v>S+ row 293</v>
      </c>
      <c r="V878" s="129" t="str">
        <v/>
      </c>
    </row>
    <row r="879" spans="1:22" x14ac:dyDescent="0.2">
      <c r="A879" s="144" t="str">
        <v>P1</v>
      </c>
      <c r="B879" s="145">
        <v>4</v>
      </c>
      <c r="C879" s="129" t="str">
        <v>EUA + Seton Insertion</v>
      </c>
      <c r="D879" s="129" t="str">
        <v>P1 – Perineum: Minor Procedures</v>
      </c>
      <c r="E879" s="129" t="str">
        <v>07 - Perineum</v>
      </c>
      <c r="F879" s="129" t="str">
        <v>Solutions Plus</v>
      </c>
      <c r="G879" s="144" t="str">
        <v>CON-01</v>
      </c>
      <c r="H879" s="129" t="str">
        <v>To confirm</v>
      </c>
      <c r="I879" s="144" t="str">
        <v>No</v>
      </c>
      <c r="J879" s="144" t="str">
        <v>Base</v>
      </c>
      <c r="K879" s="144" t="str">
        <v/>
      </c>
      <c r="L879" s="146">
        <v>7</v>
      </c>
      <c r="M879" s="142">
        <v>385</v>
      </c>
      <c r="N879" s="144" t="str">
        <v>Unknown</v>
      </c>
      <c r="O879" s="142" t="str">
        <v/>
      </c>
      <c r="P879" s="142" t="str">
        <v/>
      </c>
      <c r="Q879" s="142">
        <v>55</v>
      </c>
      <c r="R879" s="129" t="str">
        <v>Description – likely</v>
      </c>
      <c r="S879" s="143" t="str">
        <v/>
      </c>
      <c r="T879" s="144" t="str">
        <v>SRC-00</v>
      </c>
      <c r="U879" s="129" t="str">
        <v>S+ row 294</v>
      </c>
      <c r="V879" s="129" t="str">
        <v/>
      </c>
    </row>
    <row r="880" spans="1:22" x14ac:dyDescent="0.2">
      <c r="A880" s="144" t="str">
        <v>P1</v>
      </c>
      <c r="B880" s="145">
        <v>4</v>
      </c>
      <c r="C880" s="129" t="str">
        <v>EUA +/- Botox</v>
      </c>
      <c r="D880" s="129" t="str">
        <v>P1 – Perineum: Minor Procedures</v>
      </c>
      <c r="E880" s="129" t="str">
        <v>07 - Perineum</v>
      </c>
      <c r="F880" s="129" t="str">
        <v>Solutions Plus</v>
      </c>
      <c r="G880" s="144" t="str">
        <v>CON-01</v>
      </c>
      <c r="H880" s="129" t="str">
        <v>To confirm</v>
      </c>
      <c r="I880" s="144" t="str">
        <v>No</v>
      </c>
      <c r="J880" s="144" t="str">
        <v>Base</v>
      </c>
      <c r="K880" s="144" t="str">
        <v/>
      </c>
      <c r="L880" s="146">
        <v>3.9</v>
      </c>
      <c r="M880" s="142">
        <v>211.75</v>
      </c>
      <c r="N880" s="144" t="str">
        <v>Unknown</v>
      </c>
      <c r="O880" s="142" t="str">
        <v/>
      </c>
      <c r="P880" s="142" t="str">
        <v/>
      </c>
      <c r="Q880" s="142">
        <v>54.294871794871796</v>
      </c>
      <c r="R880" s="129" t="str">
        <v>Description – likely</v>
      </c>
      <c r="S880" s="143" t="str">
        <v/>
      </c>
      <c r="T880" s="144" t="str">
        <v>SRC-00</v>
      </c>
      <c r="U880" s="129" t="str">
        <v>S+ row 295</v>
      </c>
      <c r="V880" s="129" t="str">
        <v/>
      </c>
    </row>
    <row r="881" spans="1:22" x14ac:dyDescent="0.2">
      <c r="A881" s="144" t="str">
        <v>P1</v>
      </c>
      <c r="B881" s="145">
        <v>4</v>
      </c>
      <c r="C881" s="129" t="str">
        <v>EUA +/- Replacement Setons +/- Excision Of Extern</v>
      </c>
      <c r="D881" s="129" t="str">
        <v>P1 – Perineum: Minor Procedures</v>
      </c>
      <c r="E881" s="129" t="str">
        <v>07 - Perineum</v>
      </c>
      <c r="F881" s="129" t="str">
        <v>Solutions Plus</v>
      </c>
      <c r="G881" s="144" t="str">
        <v>CON-01</v>
      </c>
      <c r="H881" s="129" t="str">
        <v>To confirm</v>
      </c>
      <c r="I881" s="144" t="str">
        <v>No</v>
      </c>
      <c r="J881" s="144" t="str">
        <v>Base</v>
      </c>
      <c r="K881" s="144" t="str">
        <v/>
      </c>
      <c r="L881" s="146">
        <v>8</v>
      </c>
      <c r="M881" s="142">
        <v>440</v>
      </c>
      <c r="N881" s="144" t="str">
        <v>Unknown</v>
      </c>
      <c r="O881" s="142" t="str">
        <v/>
      </c>
      <c r="P881" s="142" t="str">
        <v/>
      </c>
      <c r="Q881" s="142">
        <v>55</v>
      </c>
      <c r="R881" s="129" t="str">
        <v>Description – likely</v>
      </c>
      <c r="S881" s="143" t="str">
        <v/>
      </c>
      <c r="T881" s="144" t="str">
        <v>SRC-00</v>
      </c>
      <c r="U881" s="129" t="str">
        <v>S+ row 296</v>
      </c>
      <c r="V881" s="129" t="str">
        <v/>
      </c>
    </row>
    <row r="882" spans="1:22" x14ac:dyDescent="0.2">
      <c r="A882" s="144" t="str">
        <v>P1</v>
      </c>
      <c r="B882" s="145">
        <v>4</v>
      </c>
      <c r="C882" s="129" t="str">
        <v>EUA And Thiersch Suture</v>
      </c>
      <c r="D882" s="129" t="str">
        <v>P1 – Perineum: Minor Procedures</v>
      </c>
      <c r="E882" s="129" t="str">
        <v>07 - Perineum</v>
      </c>
      <c r="F882" s="129" t="str">
        <v>Solutions Plus</v>
      </c>
      <c r="G882" s="144" t="str">
        <v>CON-01</v>
      </c>
      <c r="H882" s="129" t="str">
        <v>To confirm</v>
      </c>
      <c r="I882" s="144" t="str">
        <v>No</v>
      </c>
      <c r="J882" s="144" t="str">
        <v>Base</v>
      </c>
      <c r="K882" s="144" t="str">
        <v/>
      </c>
      <c r="L882" s="146">
        <v>10</v>
      </c>
      <c r="M882" s="142">
        <v>550</v>
      </c>
      <c r="N882" s="144" t="str">
        <v>Unknown</v>
      </c>
      <c r="O882" s="142" t="str">
        <v/>
      </c>
      <c r="P882" s="142" t="str">
        <v/>
      </c>
      <c r="Q882" s="142">
        <v>55</v>
      </c>
      <c r="R882" s="129" t="str">
        <v>Description – likely</v>
      </c>
      <c r="S882" s="143" t="str">
        <v/>
      </c>
      <c r="T882" s="144" t="str">
        <v>SRC-00</v>
      </c>
      <c r="U882" s="129" t="str">
        <v>S+ row 297</v>
      </c>
      <c r="V882" s="129" t="str">
        <v/>
      </c>
    </row>
    <row r="883" spans="1:22" x14ac:dyDescent="0.2">
      <c r="A883" s="144" t="str">
        <v>P1</v>
      </c>
      <c r="B883" s="145">
        <v>4</v>
      </c>
      <c r="C883" s="129" t="str">
        <v>EUA, Hysteroscopy D&amp;C, Insertion Of Mirena IUS +</v>
      </c>
      <c r="D883" s="129" t="str">
        <v>P1 – Perineum: Minor Procedures</v>
      </c>
      <c r="E883" s="129" t="str">
        <v>07 - Perineum</v>
      </c>
      <c r="F883" s="129" t="str">
        <v>Solutions Plus</v>
      </c>
      <c r="G883" s="144" t="str">
        <v>CON-01</v>
      </c>
      <c r="H883" s="129" t="str">
        <v>To confirm</v>
      </c>
      <c r="I883" s="144" t="str">
        <v>No</v>
      </c>
      <c r="J883" s="144" t="str">
        <v>Base</v>
      </c>
      <c r="K883" s="144" t="str">
        <v/>
      </c>
      <c r="L883" s="146">
        <v>7.5</v>
      </c>
      <c r="M883" s="142">
        <v>411.95</v>
      </c>
      <c r="N883" s="144" t="str">
        <v>Unknown</v>
      </c>
      <c r="O883" s="142" t="str">
        <v/>
      </c>
      <c r="P883" s="142" t="str">
        <v/>
      </c>
      <c r="Q883" s="142">
        <v>54.926666666666662</v>
      </c>
      <c r="R883" s="129" t="str">
        <v>Description – exact</v>
      </c>
      <c r="S883" s="143" t="str">
        <v/>
      </c>
      <c r="T883" s="144" t="str">
        <v>SRC-00</v>
      </c>
      <c r="U883" s="129" t="str">
        <v>S+ row 298</v>
      </c>
      <c r="V883" s="129" t="str">
        <v/>
      </c>
    </row>
    <row r="884" spans="1:22" x14ac:dyDescent="0.2">
      <c r="A884" s="144" t="str">
        <v>P1</v>
      </c>
      <c r="B884" s="145">
        <v>4</v>
      </c>
      <c r="C884" s="129" t="str">
        <v>EUA, Swabs, Pipelle, Mirena + Paracervical Nerve BI</v>
      </c>
      <c r="D884" s="129" t="str">
        <v>P1 – Perineum: Minor Procedures</v>
      </c>
      <c r="E884" s="129" t="str">
        <v>07 - Perineum</v>
      </c>
      <c r="F884" s="129" t="str">
        <v>Solutions Plus</v>
      </c>
      <c r="G884" s="144" t="str">
        <v>CON-01</v>
      </c>
      <c r="H884" s="129" t="str">
        <v>To confirm</v>
      </c>
      <c r="I884" s="144" t="str">
        <v>No</v>
      </c>
      <c r="J884" s="144" t="str">
        <v>Base</v>
      </c>
      <c r="K884" s="144" t="str">
        <v/>
      </c>
      <c r="L884" s="146">
        <v>1</v>
      </c>
      <c r="M884" s="142">
        <v>55</v>
      </c>
      <c r="N884" s="144" t="str">
        <v>Unknown</v>
      </c>
      <c r="O884" s="142" t="str">
        <v/>
      </c>
      <c r="P884" s="142" t="str">
        <v/>
      </c>
      <c r="Q884" s="142">
        <v>55</v>
      </c>
      <c r="R884" s="129" t="str">
        <v>Description – likely</v>
      </c>
      <c r="S884" s="143" t="str">
        <v/>
      </c>
      <c r="T884" s="144" t="str">
        <v>SRC-00</v>
      </c>
      <c r="U884" s="129" t="str">
        <v>S+ row 299</v>
      </c>
      <c r="V884" s="129" t="str">
        <v/>
      </c>
    </row>
    <row r="885" spans="1:22" x14ac:dyDescent="0.2">
      <c r="A885" s="144" t="str">
        <v>P1</v>
      </c>
      <c r="B885" s="145">
        <v>4</v>
      </c>
      <c r="C885" s="129" t="str">
        <v>EUA&lt; Excision And Tag And Injection Botox</v>
      </c>
      <c r="D885" s="129" t="str">
        <v>P1 – Perineum: Minor Procedures</v>
      </c>
      <c r="E885" s="129" t="str">
        <v>07 - Perineum</v>
      </c>
      <c r="F885" s="129" t="str">
        <v>Solutions Plus</v>
      </c>
      <c r="G885" s="144" t="str">
        <v>CON-01</v>
      </c>
      <c r="H885" s="129" t="str">
        <v>To confirm</v>
      </c>
      <c r="I885" s="144" t="str">
        <v>No</v>
      </c>
      <c r="J885" s="144" t="str">
        <v>Base</v>
      </c>
      <c r="K885" s="144" t="str">
        <v/>
      </c>
      <c r="L885" s="146">
        <v>1</v>
      </c>
      <c r="M885" s="142">
        <v>55</v>
      </c>
      <c r="N885" s="144" t="str">
        <v>Unknown</v>
      </c>
      <c r="O885" s="142" t="str">
        <v/>
      </c>
      <c r="P885" s="142" t="str">
        <v/>
      </c>
      <c r="Q885" s="142">
        <v>55</v>
      </c>
      <c r="R885" s="129" t="str">
        <v>Description – likely</v>
      </c>
      <c r="S885" s="143" t="str">
        <v/>
      </c>
      <c r="T885" s="144" t="str">
        <v>SRC-00</v>
      </c>
      <c r="U885" s="129" t="str">
        <v>S+ row 300</v>
      </c>
      <c r="V885" s="129" t="str">
        <v/>
      </c>
    </row>
    <row r="886" spans="1:22" x14ac:dyDescent="0.2">
      <c r="A886" s="144" t="str">
        <v>P1</v>
      </c>
      <c r="B886" s="145">
        <v>4</v>
      </c>
      <c r="C886" s="129" t="str">
        <v>Evacuation Of Uterus</v>
      </c>
      <c r="D886" s="129" t="str">
        <v>P1 – Perineum: Minor Procedures</v>
      </c>
      <c r="E886" s="129" t="str">
        <v>07 - Perineum</v>
      </c>
      <c r="F886" s="129" t="str">
        <v>Solutions Plus</v>
      </c>
      <c r="G886" s="144" t="str">
        <v>CON-01</v>
      </c>
      <c r="H886" s="129" t="str">
        <v>To confirm</v>
      </c>
      <c r="I886" s="144" t="str">
        <v>No</v>
      </c>
      <c r="J886" s="144" t="str">
        <v>Base</v>
      </c>
      <c r="K886" s="144" t="str">
        <v/>
      </c>
      <c r="L886" s="146">
        <v>5.8</v>
      </c>
      <c r="M886" s="142">
        <v>320.64999999999998</v>
      </c>
      <c r="N886" s="144" t="str">
        <v>Unknown</v>
      </c>
      <c r="O886" s="142" t="str">
        <v/>
      </c>
      <c r="P886" s="142" t="str">
        <v/>
      </c>
      <c r="Q886" s="142">
        <v>55.28448275862069</v>
      </c>
      <c r="R886" s="129" t="str">
        <v>Description – likely</v>
      </c>
      <c r="S886" s="143" t="str">
        <v/>
      </c>
      <c r="T886" s="144" t="str">
        <v>SRC-00</v>
      </c>
      <c r="U886" s="129" t="str">
        <v>S+ row 302</v>
      </c>
      <c r="V886" s="129" t="str">
        <v/>
      </c>
    </row>
    <row r="887" spans="1:22" x14ac:dyDescent="0.2">
      <c r="A887" s="144" t="str">
        <v>P1</v>
      </c>
      <c r="B887" s="145">
        <v>4</v>
      </c>
      <c r="C887" s="129" t="str">
        <v>Excision Bartholins Cyst</v>
      </c>
      <c r="D887" s="129" t="str">
        <v>P1 – Perineum: Minor Procedures</v>
      </c>
      <c r="E887" s="129" t="str">
        <v>07 - Perineum</v>
      </c>
      <c r="F887" s="129" t="str">
        <v>Solutions Plus</v>
      </c>
      <c r="G887" s="144" t="str">
        <v>CON-01</v>
      </c>
      <c r="H887" s="129" t="str">
        <v>To confirm</v>
      </c>
      <c r="I887" s="144" t="str">
        <v>No</v>
      </c>
      <c r="J887" s="144" t="str">
        <v>Base</v>
      </c>
      <c r="K887" s="144" t="str">
        <v/>
      </c>
      <c r="L887" s="146">
        <v>7.5</v>
      </c>
      <c r="M887" s="142">
        <v>412.5</v>
      </c>
      <c r="N887" s="144" t="str">
        <v>Unknown</v>
      </c>
      <c r="O887" s="142" t="str">
        <v/>
      </c>
      <c r="P887" s="142" t="str">
        <v/>
      </c>
      <c r="Q887" s="142">
        <v>55</v>
      </c>
      <c r="R887" s="129" t="str">
        <v>Description – likely</v>
      </c>
      <c r="S887" s="143" t="str">
        <v/>
      </c>
      <c r="T887" s="144" t="str">
        <v>SRC-00</v>
      </c>
      <c r="U887" s="129" t="str">
        <v>S+ row 305</v>
      </c>
      <c r="V887" s="129" t="str">
        <v/>
      </c>
    </row>
    <row r="888" spans="1:22" x14ac:dyDescent="0.2">
      <c r="A888" s="144" t="str">
        <v>P2</v>
      </c>
      <c r="B888" s="145">
        <v>5</v>
      </c>
      <c r="C888" s="129" t="str">
        <v>Excision Epididymal Cyst</v>
      </c>
      <c r="D888" s="129" t="str">
        <v>P2 – Perineum: Simple but Invasive Procedures</v>
      </c>
      <c r="E888" s="129" t="str">
        <v>07 - Perineum</v>
      </c>
      <c r="F888" s="129" t="str">
        <v>Solutions Plus</v>
      </c>
      <c r="G888" s="144" t="str">
        <v>CON-01</v>
      </c>
      <c r="H888" s="129" t="str">
        <v>To confirm</v>
      </c>
      <c r="I888" s="144" t="str">
        <v>No</v>
      </c>
      <c r="J888" s="144" t="str">
        <v>Base</v>
      </c>
      <c r="K888" s="144" t="str">
        <v/>
      </c>
      <c r="L888" s="146">
        <v>8.4</v>
      </c>
      <c r="M888" s="142">
        <v>462</v>
      </c>
      <c r="N888" s="144" t="str">
        <v>Unknown</v>
      </c>
      <c r="O888" s="142" t="str">
        <v/>
      </c>
      <c r="P888" s="142" t="str">
        <v/>
      </c>
      <c r="Q888" s="142">
        <v>55</v>
      </c>
      <c r="R888" s="129" t="str">
        <v>Description – likely</v>
      </c>
      <c r="S888" s="143" t="str">
        <v/>
      </c>
      <c r="T888" s="144" t="str">
        <v>SRC-00</v>
      </c>
      <c r="U888" s="129" t="str">
        <v>S+ row 308</v>
      </c>
      <c r="V888" s="129" t="str">
        <v/>
      </c>
    </row>
    <row r="889" spans="1:22" x14ac:dyDescent="0.2">
      <c r="A889" s="144" t="str">
        <v>P2</v>
      </c>
      <c r="B889" s="145">
        <v>5</v>
      </c>
      <c r="C889" s="129" t="str">
        <v>Excision Hydrocoele</v>
      </c>
      <c r="D889" s="129" t="str">
        <v>P2 – Perineum: Simple but Invasive Procedures</v>
      </c>
      <c r="E889" s="129" t="str">
        <v>07 - Perineum</v>
      </c>
      <c r="F889" s="129" t="str">
        <v>Solutions Plus</v>
      </c>
      <c r="G889" s="144" t="str">
        <v>CON-01</v>
      </c>
      <c r="H889" s="129" t="str">
        <v>To confirm</v>
      </c>
      <c r="I889" s="144" t="str">
        <v>No</v>
      </c>
      <c r="J889" s="144" t="str">
        <v>Base</v>
      </c>
      <c r="K889" s="144" t="str">
        <v/>
      </c>
      <c r="L889" s="146">
        <v>8.3000000000000007</v>
      </c>
      <c r="M889" s="142">
        <v>458.15</v>
      </c>
      <c r="N889" s="144" t="str">
        <v>Unknown</v>
      </c>
      <c r="O889" s="142" t="str">
        <v/>
      </c>
      <c r="P889" s="142" t="str">
        <v/>
      </c>
      <c r="Q889" s="142">
        <v>55.198795180722882</v>
      </c>
      <c r="R889" s="129" t="str">
        <v>Description – likely</v>
      </c>
      <c r="S889" s="143" t="str">
        <v/>
      </c>
      <c r="T889" s="144" t="str">
        <v>SRC-00</v>
      </c>
      <c r="U889" s="129" t="str">
        <v>S+ row 311</v>
      </c>
      <c r="V889" s="129" t="str">
        <v/>
      </c>
    </row>
    <row r="890" spans="1:22" x14ac:dyDescent="0.2">
      <c r="A890" s="144" t="str">
        <v>P1</v>
      </c>
      <c r="B890" s="145">
        <v>4</v>
      </c>
      <c r="C890" s="129" t="str">
        <v>Excision Skin Tags</v>
      </c>
      <c r="D890" s="129" t="str">
        <v>P1 – Perineum: Minor Procedures</v>
      </c>
      <c r="E890" s="129" t="str">
        <v>07 - Perineum</v>
      </c>
      <c r="F890" s="129" t="str">
        <v>Solutions Plus</v>
      </c>
      <c r="G890" s="144" t="str">
        <v>CON-01</v>
      </c>
      <c r="H890" s="129" t="str">
        <v>To confirm</v>
      </c>
      <c r="I890" s="144" t="str">
        <v>No</v>
      </c>
      <c r="J890" s="144" t="str">
        <v>Base</v>
      </c>
      <c r="K890" s="144" t="str">
        <v/>
      </c>
      <c r="L890" s="146">
        <v>6.2</v>
      </c>
      <c r="M890" s="142">
        <v>341</v>
      </c>
      <c r="N890" s="144" t="str">
        <v>Unknown</v>
      </c>
      <c r="O890" s="142" t="str">
        <v/>
      </c>
      <c r="P890" s="142" t="str">
        <v/>
      </c>
      <c r="Q890" s="142">
        <v>55</v>
      </c>
      <c r="R890" s="129" t="str">
        <v>Description – exact</v>
      </c>
      <c r="S890" s="143" t="str">
        <v/>
      </c>
      <c r="T890" s="144" t="str">
        <v>SRC-00</v>
      </c>
      <c r="U890" s="129" t="str">
        <v>S+ row 323</v>
      </c>
      <c r="V890" s="129" t="str">
        <v/>
      </c>
    </row>
    <row r="891" spans="1:22" x14ac:dyDescent="0.2">
      <c r="A891" s="144" t="str">
        <v>P1</v>
      </c>
      <c r="B891" s="145">
        <v>4</v>
      </c>
      <c r="C891" s="129" t="str">
        <v>Excisional Haemorrhiodectomy</v>
      </c>
      <c r="D891" s="129" t="str">
        <v>P1 – Perineum: Minor Procedures</v>
      </c>
      <c r="E891" s="129" t="str">
        <v>07 - Perineum</v>
      </c>
      <c r="F891" s="129" t="str">
        <v>Solutions Plus</v>
      </c>
      <c r="G891" s="144" t="str">
        <v>CON-01</v>
      </c>
      <c r="H891" s="129" t="str">
        <v>To confirm</v>
      </c>
      <c r="I891" s="144" t="str">
        <v>No</v>
      </c>
      <c r="J891" s="144" t="str">
        <v>Base</v>
      </c>
      <c r="K891" s="144" t="str">
        <v/>
      </c>
      <c r="L891" s="146">
        <v>4</v>
      </c>
      <c r="M891" s="142">
        <v>220</v>
      </c>
      <c r="N891" s="144" t="str">
        <v>Unknown</v>
      </c>
      <c r="O891" s="142" t="str">
        <v/>
      </c>
      <c r="P891" s="142" t="str">
        <v/>
      </c>
      <c r="Q891" s="142">
        <v>55</v>
      </c>
      <c r="R891" s="129" t="str">
        <v>Description – likely</v>
      </c>
      <c r="S891" s="143" t="str">
        <v/>
      </c>
      <c r="T891" s="144" t="str">
        <v>SRC-00</v>
      </c>
      <c r="U891" s="129" t="str">
        <v>S+ row 324</v>
      </c>
      <c r="V891" s="129" t="str">
        <v/>
      </c>
    </row>
    <row r="892" spans="1:22" x14ac:dyDescent="0.2">
      <c r="A892" s="144" t="str">
        <v>P1</v>
      </c>
      <c r="B892" s="145">
        <v>4</v>
      </c>
      <c r="C892" s="129" t="str">
        <v>Excisision And Drainage Anal Fissure</v>
      </c>
      <c r="D892" s="129" t="str">
        <v>P1 – Perineum: Minor Procedures</v>
      </c>
      <c r="E892" s="129" t="str">
        <v>07 - Perineum</v>
      </c>
      <c r="F892" s="129" t="str">
        <v>Solutions Plus</v>
      </c>
      <c r="G892" s="144" t="str">
        <v>CON-01</v>
      </c>
      <c r="H892" s="129" t="str">
        <v>To confirm</v>
      </c>
      <c r="I892" s="144" t="str">
        <v>No</v>
      </c>
      <c r="J892" s="144" t="str">
        <v>Base</v>
      </c>
      <c r="K892" s="144" t="str">
        <v/>
      </c>
      <c r="L892" s="146">
        <v>2</v>
      </c>
      <c r="M892" s="142">
        <v>110</v>
      </c>
      <c r="N892" s="144" t="str">
        <v>Unknown</v>
      </c>
      <c r="O892" s="142" t="str">
        <v/>
      </c>
      <c r="P892" s="142" t="str">
        <v/>
      </c>
      <c r="Q892" s="142">
        <v>55</v>
      </c>
      <c r="R892" s="129" t="str">
        <v>Description – likely</v>
      </c>
      <c r="S892" s="143" t="str">
        <v/>
      </c>
      <c r="T892" s="144" t="str">
        <v>SRC-00</v>
      </c>
      <c r="U892" s="129" t="str">
        <v>S+ row 325</v>
      </c>
      <c r="V892" s="129" t="str">
        <v/>
      </c>
    </row>
    <row r="893" spans="1:22" x14ac:dyDescent="0.2">
      <c r="A893" s="144" t="str">
        <v>P1</v>
      </c>
      <c r="B893" s="145">
        <v>4</v>
      </c>
      <c r="C893" s="129" t="str">
        <v>Fentons Procedure</v>
      </c>
      <c r="D893" s="129" t="str">
        <v>P1 – Perineum: Minor Procedures</v>
      </c>
      <c r="E893" s="129" t="str">
        <v>07 - Perineum</v>
      </c>
      <c r="F893" s="129" t="str">
        <v>Solutions Plus</v>
      </c>
      <c r="G893" s="144" t="str">
        <v>CON-01</v>
      </c>
      <c r="H893" s="129" t="str">
        <v>To confirm</v>
      </c>
      <c r="I893" s="144" t="str">
        <v>No</v>
      </c>
      <c r="J893" s="144" t="str">
        <v>Base</v>
      </c>
      <c r="K893" s="144" t="str">
        <v/>
      </c>
      <c r="L893" s="146">
        <v>7</v>
      </c>
      <c r="M893" s="142">
        <v>392.7</v>
      </c>
      <c r="N893" s="144" t="str">
        <v>Unknown</v>
      </c>
      <c r="O893" s="142" t="str">
        <v/>
      </c>
      <c r="P893" s="142" t="str">
        <v/>
      </c>
      <c r="Q893" s="142">
        <v>56.1</v>
      </c>
      <c r="R893" s="129" t="str">
        <v>Description – likely</v>
      </c>
      <c r="S893" s="143" t="str">
        <v/>
      </c>
      <c r="T893" s="144" t="str">
        <v>SRC-00</v>
      </c>
      <c r="U893" s="129" t="str">
        <v>S+ row 364</v>
      </c>
      <c r="V893" s="129" t="str">
        <v/>
      </c>
    </row>
    <row r="894" spans="1:22" x14ac:dyDescent="0.2">
      <c r="A894" s="144" t="str">
        <v>P1</v>
      </c>
      <c r="B894" s="145">
        <v>4</v>
      </c>
      <c r="C894" s="129" t="str">
        <v>Fibrin Plug/ Advancement Flap</v>
      </c>
      <c r="D894" s="129" t="str">
        <v>P1 – Perineum: Minor Procedures</v>
      </c>
      <c r="E894" s="129" t="str">
        <v>07 - Perineum</v>
      </c>
      <c r="F894" s="129" t="str">
        <v>Solutions Plus</v>
      </c>
      <c r="G894" s="144" t="str">
        <v>CON-01</v>
      </c>
      <c r="H894" s="129" t="str">
        <v>To confirm</v>
      </c>
      <c r="I894" s="144" t="str">
        <v>No</v>
      </c>
      <c r="J894" s="144" t="str">
        <v>Base</v>
      </c>
      <c r="K894" s="144" t="str">
        <v/>
      </c>
      <c r="L894" s="146">
        <v>8</v>
      </c>
      <c r="M894" s="142">
        <v>440</v>
      </c>
      <c r="N894" s="144" t="str">
        <v>Unknown</v>
      </c>
      <c r="O894" s="142" t="str">
        <v/>
      </c>
      <c r="P894" s="142" t="str">
        <v/>
      </c>
      <c r="Q894" s="142">
        <v>55</v>
      </c>
      <c r="R894" s="129" t="str">
        <v>Description – likely</v>
      </c>
      <c r="S894" s="143" t="str">
        <v/>
      </c>
      <c r="T894" s="144" t="str">
        <v>SRC-00</v>
      </c>
      <c r="U894" s="129" t="str">
        <v>S+ row 366</v>
      </c>
      <c r="V894" s="129" t="str">
        <v/>
      </c>
    </row>
    <row r="895" spans="1:22" x14ac:dyDescent="0.2">
      <c r="A895" s="144" t="str">
        <v>P1</v>
      </c>
      <c r="B895" s="145">
        <v>4</v>
      </c>
      <c r="C895" s="129" t="str">
        <v>Fistula-in-ano</v>
      </c>
      <c r="D895" s="129" t="str">
        <v>P1 – Perineum: Minor Procedures</v>
      </c>
      <c r="E895" s="129" t="str">
        <v>07 - Perineum</v>
      </c>
      <c r="F895" s="129" t="str">
        <v>Solutions Plus</v>
      </c>
      <c r="G895" s="144" t="str">
        <v>CON-01</v>
      </c>
      <c r="H895" s="129" t="str">
        <v>To confirm</v>
      </c>
      <c r="I895" s="144" t="str">
        <v>No</v>
      </c>
      <c r="J895" s="144" t="str">
        <v>Base</v>
      </c>
      <c r="K895" s="144" t="str">
        <v/>
      </c>
      <c r="L895" s="146">
        <v>8.4</v>
      </c>
      <c r="M895" s="142">
        <v>464.2</v>
      </c>
      <c r="N895" s="144" t="str">
        <v>Unknown</v>
      </c>
      <c r="O895" s="142" t="str">
        <v/>
      </c>
      <c r="P895" s="142" t="str">
        <v/>
      </c>
      <c r="Q895" s="142">
        <v>55.261904761904759</v>
      </c>
      <c r="R895" s="129" t="str">
        <v>Description – likely</v>
      </c>
      <c r="S895" s="143" t="str">
        <v/>
      </c>
      <c r="T895" s="144" t="str">
        <v>SRC-00</v>
      </c>
      <c r="U895" s="129" t="str">
        <v>S+ row 367</v>
      </c>
      <c r="V895" s="129" t="str">
        <v/>
      </c>
    </row>
    <row r="896" spans="1:22" x14ac:dyDescent="0.2">
      <c r="A896" s="144" t="str">
        <v>P1</v>
      </c>
      <c r="B896" s="145">
        <v>4</v>
      </c>
      <c r="C896" s="129" t="str">
        <v>Haemorrhoidectomy</v>
      </c>
      <c r="D896" s="129" t="str">
        <v>P1 – Perineum: Minor Procedures</v>
      </c>
      <c r="E896" s="129" t="str">
        <v>07 - Perineum</v>
      </c>
      <c r="F896" s="129" t="str">
        <v>Solutions Plus</v>
      </c>
      <c r="G896" s="144" t="str">
        <v>CON-01</v>
      </c>
      <c r="H896" s="129" t="str">
        <v>To confirm</v>
      </c>
      <c r="I896" s="144" t="str">
        <v>No</v>
      </c>
      <c r="J896" s="144" t="str">
        <v>Base</v>
      </c>
      <c r="K896" s="144" t="str">
        <v/>
      </c>
      <c r="L896" s="146">
        <v>8.3000000000000007</v>
      </c>
      <c r="M896" s="142">
        <v>457.6</v>
      </c>
      <c r="N896" s="144" t="str">
        <v>Unknown</v>
      </c>
      <c r="O896" s="142" t="str">
        <v/>
      </c>
      <c r="P896" s="142" t="str">
        <v/>
      </c>
      <c r="Q896" s="142">
        <v>55.132530120481924</v>
      </c>
      <c r="R896" s="129" t="str">
        <v>Description – likely</v>
      </c>
      <c r="S896" s="143" t="str">
        <v/>
      </c>
      <c r="T896" s="144" t="str">
        <v>SRC-00</v>
      </c>
      <c r="U896" s="129" t="str">
        <v>S+ row 394</v>
      </c>
      <c r="V896" s="129" t="str">
        <v/>
      </c>
    </row>
    <row r="897" spans="1:22" x14ac:dyDescent="0.2">
      <c r="A897" s="144" t="str">
        <v>P1</v>
      </c>
      <c r="B897" s="145">
        <v>4</v>
      </c>
      <c r="C897" s="129" t="str">
        <v>Haemorrhoidectomy - Bleeding</v>
      </c>
      <c r="D897" s="129" t="str">
        <v>P1 – Perineum: Minor Procedures</v>
      </c>
      <c r="E897" s="129" t="str">
        <v>07 - Perineum</v>
      </c>
      <c r="F897" s="129" t="str">
        <v>Solutions Plus</v>
      </c>
      <c r="G897" s="144" t="str">
        <v>CON-01</v>
      </c>
      <c r="H897" s="129" t="str">
        <v>To confirm</v>
      </c>
      <c r="I897" s="144" t="str">
        <v>No</v>
      </c>
      <c r="J897" s="144" t="str">
        <v>Base</v>
      </c>
      <c r="K897" s="144" t="str">
        <v/>
      </c>
      <c r="L897" s="146">
        <v>13</v>
      </c>
      <c r="M897" s="142">
        <v>715</v>
      </c>
      <c r="N897" s="144" t="str">
        <v>Unknown</v>
      </c>
      <c r="O897" s="142" t="str">
        <v/>
      </c>
      <c r="P897" s="142" t="str">
        <v/>
      </c>
      <c r="Q897" s="142">
        <v>55</v>
      </c>
      <c r="R897" s="129" t="str">
        <v>Description – likely</v>
      </c>
      <c r="S897" s="143" t="str">
        <v/>
      </c>
      <c r="T897" s="144" t="str">
        <v>SRC-00</v>
      </c>
      <c r="U897" s="129" t="str">
        <v>S+ row 395</v>
      </c>
      <c r="V897" s="129" t="str">
        <v/>
      </c>
    </row>
    <row r="898" spans="1:22" x14ac:dyDescent="0.2">
      <c r="A898" s="144" t="str">
        <v>P1</v>
      </c>
      <c r="B898" s="145">
        <v>4</v>
      </c>
      <c r="C898" s="129" t="str">
        <v>Haemorrhoidectomy, Biopsy, EUA, Coloscopy</v>
      </c>
      <c r="D898" s="129" t="str">
        <v>P1 – Perineum: Minor Procedures</v>
      </c>
      <c r="E898" s="129" t="str">
        <v>07 - Perineum</v>
      </c>
      <c r="F898" s="129" t="str">
        <v>Solutions Plus</v>
      </c>
      <c r="G898" s="144" t="str">
        <v>CON-01</v>
      </c>
      <c r="H898" s="129" t="str">
        <v>To confirm</v>
      </c>
      <c r="I898" s="144" t="str">
        <v>No</v>
      </c>
      <c r="J898" s="144" t="str">
        <v>Base</v>
      </c>
      <c r="K898" s="144" t="str">
        <v/>
      </c>
      <c r="L898" s="146">
        <v>8</v>
      </c>
      <c r="M898" s="142">
        <v>440</v>
      </c>
      <c r="N898" s="144" t="str">
        <v>Unknown</v>
      </c>
      <c r="O898" s="142" t="str">
        <v/>
      </c>
      <c r="P898" s="142" t="str">
        <v/>
      </c>
      <c r="Q898" s="142">
        <v>55</v>
      </c>
      <c r="R898" s="129" t="str">
        <v>Description – likely</v>
      </c>
      <c r="S898" s="143" t="str">
        <v/>
      </c>
      <c r="T898" s="144" t="str">
        <v>SRC-00</v>
      </c>
      <c r="U898" s="129" t="str">
        <v>S+ row 396</v>
      </c>
      <c r="V898" s="129" t="str">
        <v/>
      </c>
    </row>
    <row r="899" spans="1:22" x14ac:dyDescent="0.2">
      <c r="A899" s="144" t="str">
        <v>P1</v>
      </c>
      <c r="B899" s="145">
        <v>4</v>
      </c>
      <c r="C899" s="129" t="str">
        <v>Haemorrhoidectomy, Injection Botox</v>
      </c>
      <c r="D899" s="129" t="str">
        <v>P1 – Perineum: Minor Procedures</v>
      </c>
      <c r="E899" s="129" t="str">
        <v>07 - Perineum</v>
      </c>
      <c r="F899" s="129" t="str">
        <v>Solutions Plus</v>
      </c>
      <c r="G899" s="144" t="str">
        <v>CON-01</v>
      </c>
      <c r="H899" s="129" t="str">
        <v>To confirm</v>
      </c>
      <c r="I899" s="144" t="str">
        <v>No</v>
      </c>
      <c r="J899" s="144" t="str">
        <v>Base</v>
      </c>
      <c r="K899" s="144" t="str">
        <v/>
      </c>
      <c r="L899" s="146">
        <v>2</v>
      </c>
      <c r="M899" s="142">
        <v>110</v>
      </c>
      <c r="N899" s="144" t="str">
        <v>Unknown</v>
      </c>
      <c r="O899" s="142" t="str">
        <v/>
      </c>
      <c r="P899" s="142" t="str">
        <v/>
      </c>
      <c r="Q899" s="142">
        <v>55</v>
      </c>
      <c r="R899" s="129" t="str">
        <v>Description – likely</v>
      </c>
      <c r="S899" s="143" t="str">
        <v/>
      </c>
      <c r="T899" s="144" t="str">
        <v>SRC-00</v>
      </c>
      <c r="U899" s="129" t="str">
        <v>S+ row 397</v>
      </c>
      <c r="V899" s="129" t="str">
        <v/>
      </c>
    </row>
    <row r="900" spans="1:22" x14ac:dyDescent="0.2">
      <c r="A900" s="144" t="str">
        <v>P1</v>
      </c>
      <c r="B900" s="145">
        <v>4</v>
      </c>
      <c r="C900" s="129" t="str">
        <v>Haemorrhoidopexy</v>
      </c>
      <c r="D900" s="129" t="str">
        <v>P1 – Perineum: Minor Procedures</v>
      </c>
      <c r="E900" s="129" t="str">
        <v>07 - Perineum</v>
      </c>
      <c r="F900" s="129" t="str">
        <v>Solutions Plus</v>
      </c>
      <c r="G900" s="144" t="str">
        <v>CON-01</v>
      </c>
      <c r="H900" s="129" t="str">
        <v>To confirm</v>
      </c>
      <c r="I900" s="144" t="str">
        <v>No</v>
      </c>
      <c r="J900" s="144" t="str">
        <v>Base</v>
      </c>
      <c r="K900" s="144" t="str">
        <v/>
      </c>
      <c r="L900" s="146">
        <v>4.5</v>
      </c>
      <c r="M900" s="142">
        <v>246.95</v>
      </c>
      <c r="N900" s="144" t="str">
        <v>Unknown</v>
      </c>
      <c r="O900" s="142" t="str">
        <v/>
      </c>
      <c r="P900" s="142" t="str">
        <v/>
      </c>
      <c r="Q900" s="142">
        <v>54.877777777777773</v>
      </c>
      <c r="R900" s="129" t="str">
        <v>Description – likely</v>
      </c>
      <c r="S900" s="143" t="str">
        <v/>
      </c>
      <c r="T900" s="144" t="str">
        <v>SRC-00</v>
      </c>
      <c r="U900" s="129" t="str">
        <v>S+ row 398</v>
      </c>
      <c r="V900" s="129" t="str">
        <v/>
      </c>
    </row>
    <row r="901" spans="1:22" x14ac:dyDescent="0.2">
      <c r="A901" s="144" t="str">
        <v>P1</v>
      </c>
      <c r="B901" s="145">
        <v>4</v>
      </c>
      <c r="C901" s="129" t="str">
        <v>HAL-RAR Haemorrhoidectomy</v>
      </c>
      <c r="D901" s="129" t="str">
        <v>P1 – Perineum: Minor Procedures</v>
      </c>
      <c r="E901" s="129" t="str">
        <v>07 - Perineum</v>
      </c>
      <c r="F901" s="129" t="str">
        <v>Solutions Plus</v>
      </c>
      <c r="G901" s="144" t="str">
        <v>CON-01</v>
      </c>
      <c r="H901" s="129" t="str">
        <v>To confirm</v>
      </c>
      <c r="I901" s="144" t="str">
        <v>No</v>
      </c>
      <c r="J901" s="144" t="str">
        <v>Base</v>
      </c>
      <c r="K901" s="144" t="str">
        <v/>
      </c>
      <c r="L901" s="146">
        <v>10.199999999999999</v>
      </c>
      <c r="M901" s="142">
        <v>561</v>
      </c>
      <c r="N901" s="144" t="str">
        <v>Unknown</v>
      </c>
      <c r="O901" s="142" t="str">
        <v/>
      </c>
      <c r="P901" s="142" t="str">
        <v/>
      </c>
      <c r="Q901" s="142">
        <v>55.000000000000007</v>
      </c>
      <c r="R901" s="129" t="str">
        <v>Description – likely</v>
      </c>
      <c r="S901" s="143" t="str">
        <v/>
      </c>
      <c r="T901" s="144" t="str">
        <v>SRC-00</v>
      </c>
      <c r="U901" s="129" t="str">
        <v>S+ row 400</v>
      </c>
      <c r="V901" s="129" t="str">
        <v/>
      </c>
    </row>
    <row r="902" spans="1:22" x14ac:dyDescent="0.2">
      <c r="A902" s="144" t="str">
        <v>P1</v>
      </c>
      <c r="B902" s="145">
        <v>4</v>
      </c>
      <c r="C902" s="129" t="str">
        <v>Hamorrhoidectomy</v>
      </c>
      <c r="D902" s="129" t="str">
        <v>P1 – Perineum: Minor Procedures</v>
      </c>
      <c r="E902" s="129" t="str">
        <v>07 - Perineum</v>
      </c>
      <c r="F902" s="129" t="str">
        <v>Solutions Plus</v>
      </c>
      <c r="G902" s="144" t="str">
        <v>CON-01</v>
      </c>
      <c r="H902" s="129" t="str">
        <v>To confirm</v>
      </c>
      <c r="I902" s="144" t="str">
        <v>No</v>
      </c>
      <c r="J902" s="144" t="str">
        <v>Base</v>
      </c>
      <c r="K902" s="144" t="str">
        <v/>
      </c>
      <c r="L902" s="146">
        <v>2</v>
      </c>
      <c r="M902" s="142">
        <v>110</v>
      </c>
      <c r="N902" s="144" t="str">
        <v>Unknown</v>
      </c>
      <c r="O902" s="142" t="str">
        <v/>
      </c>
      <c r="P902" s="142" t="str">
        <v/>
      </c>
      <c r="Q902" s="142">
        <v>55</v>
      </c>
      <c r="R902" s="129" t="str">
        <v>Description – likely</v>
      </c>
      <c r="S902" s="143" t="str">
        <v/>
      </c>
      <c r="T902" s="144" t="str">
        <v>SRC-00</v>
      </c>
      <c r="U902" s="129" t="str">
        <v>S+ row 401</v>
      </c>
      <c r="V902" s="129" t="str">
        <v/>
      </c>
    </row>
    <row r="903" spans="1:22" x14ac:dyDescent="0.2">
      <c r="A903" s="144" t="str">
        <v>P1</v>
      </c>
      <c r="B903" s="145">
        <v>4</v>
      </c>
      <c r="C903" s="129" t="str">
        <v>Hemorrhoidectomy</v>
      </c>
      <c r="D903" s="129" t="str">
        <v>P1 – Perineum: Minor Procedures</v>
      </c>
      <c r="E903" s="129" t="str">
        <v>07 - Perineum</v>
      </c>
      <c r="F903" s="129" t="str">
        <v>Solutions Plus</v>
      </c>
      <c r="G903" s="144" t="str">
        <v>CON-01</v>
      </c>
      <c r="H903" s="129" t="str">
        <v>To confirm</v>
      </c>
      <c r="I903" s="144" t="str">
        <v>No</v>
      </c>
      <c r="J903" s="144" t="str">
        <v>Base</v>
      </c>
      <c r="K903" s="144" t="str">
        <v/>
      </c>
      <c r="L903" s="146">
        <v>8.1999999999999993</v>
      </c>
      <c r="M903" s="142">
        <v>448.8</v>
      </c>
      <c r="N903" s="144" t="str">
        <v>Unknown</v>
      </c>
      <c r="O903" s="142" t="str">
        <v/>
      </c>
      <c r="P903" s="142" t="str">
        <v/>
      </c>
      <c r="Q903" s="142">
        <v>54.73170731707318</v>
      </c>
      <c r="R903" s="129" t="str">
        <v>Description – likely</v>
      </c>
      <c r="S903" s="143" t="str">
        <v/>
      </c>
      <c r="T903" s="144" t="str">
        <v>SRC-00</v>
      </c>
      <c r="U903" s="129" t="str">
        <v>S+ row 409</v>
      </c>
      <c r="V903" s="129" t="str">
        <v/>
      </c>
    </row>
    <row r="904" spans="1:22" x14ac:dyDescent="0.2">
      <c r="A904" s="144" t="str">
        <v>P2</v>
      </c>
      <c r="B904" s="145">
        <v>5</v>
      </c>
      <c r="C904" s="129" t="str">
        <v>Hydrocoele Repair</v>
      </c>
      <c r="D904" s="129" t="str">
        <v>P2 – Perineum: Simple but Invasive Procedures</v>
      </c>
      <c r="E904" s="129" t="str">
        <v>07 - Perineum</v>
      </c>
      <c r="F904" s="129" t="str">
        <v>Solutions Plus</v>
      </c>
      <c r="G904" s="144" t="str">
        <v>CON-01</v>
      </c>
      <c r="H904" s="129" t="str">
        <v>To confirm</v>
      </c>
      <c r="I904" s="144" t="str">
        <v>No</v>
      </c>
      <c r="J904" s="144" t="str">
        <v>Base</v>
      </c>
      <c r="K904" s="144" t="str">
        <v/>
      </c>
      <c r="L904" s="146">
        <v>8.6</v>
      </c>
      <c r="M904" s="142">
        <v>474.65</v>
      </c>
      <c r="N904" s="144" t="str">
        <v>Unknown</v>
      </c>
      <c r="O904" s="142" t="str">
        <v/>
      </c>
      <c r="P904" s="142" t="str">
        <v/>
      </c>
      <c r="Q904" s="142">
        <v>55.191860465116278</v>
      </c>
      <c r="R904" s="129" t="str">
        <v>Description – likely</v>
      </c>
      <c r="S904" s="143" t="str">
        <v/>
      </c>
      <c r="T904" s="144" t="str">
        <v>SRC-00</v>
      </c>
      <c r="U904" s="129" t="str">
        <v>S+ row 419</v>
      </c>
      <c r="V904" s="129" t="str">
        <v/>
      </c>
    </row>
    <row r="905" spans="1:22" x14ac:dyDescent="0.2">
      <c r="A905" s="144" t="str">
        <v>P2</v>
      </c>
      <c r="B905" s="145">
        <v>5</v>
      </c>
      <c r="C905" s="129" t="str">
        <v>Hypospadias Repair</v>
      </c>
      <c r="D905" s="129" t="str">
        <v>P2 – Perineum: Simple but Invasive Procedures</v>
      </c>
      <c r="E905" s="129" t="str">
        <v>07 - Perineum</v>
      </c>
      <c r="F905" s="129" t="str">
        <v>Solutions Plus</v>
      </c>
      <c r="G905" s="144" t="str">
        <v>CON-01</v>
      </c>
      <c r="H905" s="129" t="str">
        <v>To confirm</v>
      </c>
      <c r="I905" s="144" t="str">
        <v>No</v>
      </c>
      <c r="J905" s="144" t="str">
        <v>Base</v>
      </c>
      <c r="K905" s="144" t="str">
        <v/>
      </c>
      <c r="L905" s="146">
        <v>11.7</v>
      </c>
      <c r="M905" s="142">
        <v>643.5</v>
      </c>
      <c r="N905" s="144" t="str">
        <v>Unknown</v>
      </c>
      <c r="O905" s="142" t="str">
        <v/>
      </c>
      <c r="P905" s="142" t="str">
        <v/>
      </c>
      <c r="Q905" s="142">
        <v>55</v>
      </c>
      <c r="R905" s="129" t="str">
        <v>Description – likely</v>
      </c>
      <c r="S905" s="143" t="str">
        <v/>
      </c>
      <c r="T905" s="144" t="str">
        <v>SRC-00</v>
      </c>
      <c r="U905" s="129" t="str">
        <v>S+ row 420</v>
      </c>
      <c r="V905" s="129" t="str">
        <v/>
      </c>
    </row>
    <row r="906" spans="1:22" x14ac:dyDescent="0.2">
      <c r="A906" s="144" t="str">
        <v>P1</v>
      </c>
      <c r="B906" s="145">
        <v>4</v>
      </c>
      <c r="C906" s="129" t="str">
        <v>Hysteroscopy</v>
      </c>
      <c r="D906" s="129" t="str">
        <v>P1 – Perineum: Minor Procedures</v>
      </c>
      <c r="E906" s="129" t="str">
        <v>07 - Perineum</v>
      </c>
      <c r="F906" s="129" t="str">
        <v>Solutions Plus</v>
      </c>
      <c r="G906" s="144" t="str">
        <v>CON-01</v>
      </c>
      <c r="H906" s="129" t="str">
        <v>To confirm</v>
      </c>
      <c r="I906" s="144" t="str">
        <v>No</v>
      </c>
      <c r="J906" s="144" t="str">
        <v>Base</v>
      </c>
      <c r="K906" s="144" t="str">
        <v/>
      </c>
      <c r="L906" s="146">
        <v>6.7</v>
      </c>
      <c r="M906" s="142">
        <v>370.15</v>
      </c>
      <c r="N906" s="144" t="str">
        <v>Unknown</v>
      </c>
      <c r="O906" s="142" t="str">
        <v/>
      </c>
      <c r="P906" s="142" t="str">
        <v/>
      </c>
      <c r="Q906" s="142">
        <v>55.24626865671641</v>
      </c>
      <c r="R906" s="129" t="str">
        <v>Description – exact</v>
      </c>
      <c r="S906" s="143" t="str">
        <v/>
      </c>
      <c r="T906" s="144" t="str">
        <v>SRC-00</v>
      </c>
      <c r="U906" s="129" t="str">
        <v>S+ row 424</v>
      </c>
      <c r="V906" s="129" t="str">
        <v/>
      </c>
    </row>
    <row r="907" spans="1:22" x14ac:dyDescent="0.2">
      <c r="A907" s="144" t="str">
        <v>P1</v>
      </c>
      <c r="B907" s="145">
        <v>4</v>
      </c>
      <c r="C907" s="129" t="str">
        <v>Hysteroscopy &amp; Biopsy + Resection Of Fibroid Poly</v>
      </c>
      <c r="D907" s="129" t="str">
        <v>P1 – Perineum: Minor Procedures</v>
      </c>
      <c r="E907" s="129" t="str">
        <v>07 - Perineum</v>
      </c>
      <c r="F907" s="129" t="str">
        <v>Solutions Plus</v>
      </c>
      <c r="G907" s="144" t="str">
        <v>CON-01</v>
      </c>
      <c r="H907" s="129" t="str">
        <v>To confirm</v>
      </c>
      <c r="I907" s="144" t="str">
        <v>No</v>
      </c>
      <c r="J907" s="144" t="str">
        <v>Base</v>
      </c>
      <c r="K907" s="144" t="str">
        <v/>
      </c>
      <c r="L907" s="146">
        <v>7</v>
      </c>
      <c r="M907" s="142">
        <v>385</v>
      </c>
      <c r="N907" s="144" t="str">
        <v>Unknown</v>
      </c>
      <c r="O907" s="142" t="str">
        <v/>
      </c>
      <c r="P907" s="142" t="str">
        <v/>
      </c>
      <c r="Q907" s="142">
        <v>55</v>
      </c>
      <c r="R907" s="129" t="str">
        <v>Description – exact</v>
      </c>
      <c r="S907" s="143" t="str">
        <v/>
      </c>
      <c r="T907" s="144" t="str">
        <v>SRC-00</v>
      </c>
      <c r="U907" s="129" t="str">
        <v>S+ row 426</v>
      </c>
      <c r="V907" s="129" t="str">
        <v/>
      </c>
    </row>
    <row r="908" spans="1:22" x14ac:dyDescent="0.2">
      <c r="A908" s="144" t="str">
        <v>P1</v>
      </c>
      <c r="B908" s="145">
        <v>4</v>
      </c>
      <c r="C908" s="129" t="str">
        <v>Hysteroscopy &amp; Polypectomy</v>
      </c>
      <c r="D908" s="129" t="str">
        <v>P1 – Perineum: Minor Procedures</v>
      </c>
      <c r="E908" s="129" t="str">
        <v>07 - Perineum</v>
      </c>
      <c r="F908" s="129" t="str">
        <v>Solutions Plus</v>
      </c>
      <c r="G908" s="144" t="str">
        <v>CON-01</v>
      </c>
      <c r="H908" s="129" t="str">
        <v>To confirm</v>
      </c>
      <c r="I908" s="144" t="str">
        <v>No</v>
      </c>
      <c r="J908" s="144" t="str">
        <v>Base</v>
      </c>
      <c r="K908" s="144" t="str">
        <v/>
      </c>
      <c r="L908" s="146">
        <v>7.1</v>
      </c>
      <c r="M908" s="142">
        <v>391.6</v>
      </c>
      <c r="N908" s="144" t="str">
        <v>Unknown</v>
      </c>
      <c r="O908" s="142" t="str">
        <v/>
      </c>
      <c r="P908" s="142" t="str">
        <v/>
      </c>
      <c r="Q908" s="142">
        <v>55.154929577464792</v>
      </c>
      <c r="R908" s="129" t="str">
        <v>Description – exact</v>
      </c>
      <c r="S908" s="143" t="str">
        <v/>
      </c>
      <c r="T908" s="144" t="str">
        <v>SRC-00</v>
      </c>
      <c r="U908" s="129" t="str">
        <v>S+ row 427</v>
      </c>
      <c r="V908" s="129" t="str">
        <v/>
      </c>
    </row>
    <row r="909" spans="1:22" x14ac:dyDescent="0.2">
      <c r="A909" s="144" t="str">
        <v>P1</v>
      </c>
      <c r="B909" s="145">
        <v>4</v>
      </c>
      <c r="C909" s="129" t="str">
        <v>Hysteroscopy + D&amp;C + Polypectomy</v>
      </c>
      <c r="D909" s="129" t="str">
        <v>P1 – Perineum: Minor Procedures</v>
      </c>
      <c r="E909" s="129" t="str">
        <v>07 - Perineum</v>
      </c>
      <c r="F909" s="129" t="str">
        <v>Solutions Plus</v>
      </c>
      <c r="G909" s="144" t="str">
        <v>CON-01</v>
      </c>
      <c r="H909" s="129" t="str">
        <v>To confirm</v>
      </c>
      <c r="I909" s="144" t="str">
        <v>No</v>
      </c>
      <c r="J909" s="144" t="str">
        <v>Base</v>
      </c>
      <c r="K909" s="144" t="str">
        <v/>
      </c>
      <c r="L909" s="146">
        <v>8.1</v>
      </c>
      <c r="M909" s="142">
        <v>445.5</v>
      </c>
      <c r="N909" s="144" t="str">
        <v>Unknown</v>
      </c>
      <c r="O909" s="142" t="str">
        <v/>
      </c>
      <c r="P909" s="142" t="str">
        <v/>
      </c>
      <c r="Q909" s="142">
        <v>55</v>
      </c>
      <c r="R909" s="129" t="str">
        <v>Description – exact</v>
      </c>
      <c r="S909" s="143" t="str">
        <v/>
      </c>
      <c r="T909" s="144" t="str">
        <v>SRC-00</v>
      </c>
      <c r="U909" s="129" t="str">
        <v>S+ row 428</v>
      </c>
      <c r="V909" s="129" t="str">
        <v/>
      </c>
    </row>
    <row r="910" spans="1:22" x14ac:dyDescent="0.2">
      <c r="A910" s="144" t="str">
        <v>P1</v>
      </c>
      <c r="B910" s="145">
        <v>4</v>
      </c>
      <c r="C910" s="129" t="str">
        <v>Hysteroscopy + Endometrial Biopsy</v>
      </c>
      <c r="D910" s="129" t="str">
        <v>P1 – Perineum: Minor Procedures</v>
      </c>
      <c r="E910" s="129" t="str">
        <v>07 - Perineum</v>
      </c>
      <c r="F910" s="129" t="str">
        <v>Solutions Plus</v>
      </c>
      <c r="G910" s="144" t="str">
        <v>CON-01</v>
      </c>
      <c r="H910" s="129" t="str">
        <v>To confirm</v>
      </c>
      <c r="I910" s="144" t="str">
        <v>No</v>
      </c>
      <c r="J910" s="144" t="str">
        <v>Base</v>
      </c>
      <c r="K910" s="144" t="str">
        <v/>
      </c>
      <c r="L910" s="146">
        <v>7.3</v>
      </c>
      <c r="M910" s="142">
        <v>401.5</v>
      </c>
      <c r="N910" s="144" t="str">
        <v>Unknown</v>
      </c>
      <c r="O910" s="142" t="str">
        <v/>
      </c>
      <c r="P910" s="142" t="str">
        <v/>
      </c>
      <c r="Q910" s="142">
        <v>55</v>
      </c>
      <c r="R910" s="129" t="str">
        <v>Description – exact</v>
      </c>
      <c r="S910" s="143" t="str">
        <v/>
      </c>
      <c r="T910" s="144" t="str">
        <v>SRC-00</v>
      </c>
      <c r="U910" s="129" t="str">
        <v>S+ row 429</v>
      </c>
      <c r="V910" s="129" t="str">
        <v/>
      </c>
    </row>
    <row r="911" spans="1:22" x14ac:dyDescent="0.2">
      <c r="A911" s="144" t="str">
        <v>P1</v>
      </c>
      <c r="B911" s="145">
        <v>4</v>
      </c>
      <c r="C911" s="129" t="str">
        <v>Hysteroscopy And Biopsy&amp; Polypectomy</v>
      </c>
      <c r="D911" s="129" t="str">
        <v>P1 – Perineum: Minor Procedures</v>
      </c>
      <c r="E911" s="129" t="str">
        <v>07 - Perineum</v>
      </c>
      <c r="F911" s="129" t="str">
        <v>Solutions Plus</v>
      </c>
      <c r="G911" s="144" t="str">
        <v>CON-01</v>
      </c>
      <c r="H911" s="129" t="str">
        <v>To confirm</v>
      </c>
      <c r="I911" s="144" t="str">
        <v>No</v>
      </c>
      <c r="J911" s="144" t="str">
        <v>Base</v>
      </c>
      <c r="K911" s="144" t="str">
        <v/>
      </c>
      <c r="L911" s="146">
        <v>6</v>
      </c>
      <c r="M911" s="142">
        <v>330</v>
      </c>
      <c r="N911" s="144" t="str">
        <v>Unknown</v>
      </c>
      <c r="O911" s="142" t="str">
        <v/>
      </c>
      <c r="P911" s="142" t="str">
        <v/>
      </c>
      <c r="Q911" s="142">
        <v>55</v>
      </c>
      <c r="R911" s="129" t="str">
        <v>Description – exact</v>
      </c>
      <c r="S911" s="143" t="str">
        <v/>
      </c>
      <c r="T911" s="144" t="str">
        <v>SRC-00</v>
      </c>
      <c r="U911" s="129" t="str">
        <v>S+ row 430</v>
      </c>
      <c r="V911" s="129" t="str">
        <v/>
      </c>
    </row>
    <row r="912" spans="1:22" x14ac:dyDescent="0.2">
      <c r="A912" s="144" t="str">
        <v>P1</v>
      </c>
      <c r="B912" s="145">
        <v>4</v>
      </c>
      <c r="C912" s="129" t="str">
        <v>Hysteroscopy D &amp;C - Cone Biopsy Of Cervix</v>
      </c>
      <c r="D912" s="129" t="str">
        <v>P1 – Perineum: Minor Procedures</v>
      </c>
      <c r="E912" s="129" t="str">
        <v>07 - Perineum</v>
      </c>
      <c r="F912" s="129" t="str">
        <v>Solutions Plus</v>
      </c>
      <c r="G912" s="144" t="str">
        <v>CON-01</v>
      </c>
      <c r="H912" s="129" t="str">
        <v>To confirm</v>
      </c>
      <c r="I912" s="144" t="str">
        <v>No</v>
      </c>
      <c r="J912" s="144" t="str">
        <v>Base</v>
      </c>
      <c r="K912" s="144" t="str">
        <v/>
      </c>
      <c r="L912" s="146">
        <v>6</v>
      </c>
      <c r="M912" s="142">
        <v>330</v>
      </c>
      <c r="N912" s="144" t="str">
        <v>Unknown</v>
      </c>
      <c r="O912" s="142" t="str">
        <v/>
      </c>
      <c r="P912" s="142" t="str">
        <v/>
      </c>
      <c r="Q912" s="142">
        <v>55</v>
      </c>
      <c r="R912" s="129" t="str">
        <v>Description – exact</v>
      </c>
      <c r="S912" s="143" t="str">
        <v/>
      </c>
      <c r="T912" s="144" t="str">
        <v>SRC-00</v>
      </c>
      <c r="U912" s="129" t="str">
        <v>S+ row 425</v>
      </c>
      <c r="V912" s="129" t="str">
        <v/>
      </c>
    </row>
    <row r="913" spans="1:22" x14ac:dyDescent="0.2">
      <c r="A913" s="144" t="str">
        <v>P1</v>
      </c>
      <c r="B913" s="145">
        <v>4</v>
      </c>
      <c r="C913" s="129" t="str">
        <v>Hysteroscopy D&amp;C</v>
      </c>
      <c r="D913" s="129" t="str">
        <v>P1 – Perineum: Minor Procedures</v>
      </c>
      <c r="E913" s="129" t="str">
        <v>07 - Perineum</v>
      </c>
      <c r="F913" s="129" t="str">
        <v>Solutions Plus</v>
      </c>
      <c r="G913" s="144" t="str">
        <v>CON-01</v>
      </c>
      <c r="H913" s="129" t="str">
        <v>To confirm</v>
      </c>
      <c r="I913" s="144" t="str">
        <v>No</v>
      </c>
      <c r="J913" s="144" t="str">
        <v>Base</v>
      </c>
      <c r="K913" s="144" t="str">
        <v/>
      </c>
      <c r="L913" s="146">
        <v>6.5</v>
      </c>
      <c r="M913" s="142">
        <v>359.7</v>
      </c>
      <c r="N913" s="144" t="str">
        <v>Unknown</v>
      </c>
      <c r="O913" s="142" t="str">
        <v/>
      </c>
      <c r="P913" s="142" t="str">
        <v/>
      </c>
      <c r="Q913" s="142">
        <v>55.338461538461537</v>
      </c>
      <c r="R913" s="129" t="str">
        <v>Description – exact</v>
      </c>
      <c r="S913" s="143" t="str">
        <v/>
      </c>
      <c r="T913" s="144" t="str">
        <v>SRC-00</v>
      </c>
      <c r="U913" s="129" t="str">
        <v>S+ row 431</v>
      </c>
      <c r="V913" s="129" t="str">
        <v/>
      </c>
    </row>
    <row r="914" spans="1:22" x14ac:dyDescent="0.2">
      <c r="A914" s="144" t="str">
        <v>P1</v>
      </c>
      <c r="B914" s="145">
        <v>4</v>
      </c>
      <c r="C914" s="129" t="str">
        <v>Hysteroscopy D&amp;C + Insertion With Mirena</v>
      </c>
      <c r="D914" s="129" t="str">
        <v>P1 – Perineum: Minor Procedures</v>
      </c>
      <c r="E914" s="129" t="str">
        <v>07 - Perineum</v>
      </c>
      <c r="F914" s="129" t="str">
        <v>Solutions Plus</v>
      </c>
      <c r="G914" s="144" t="str">
        <v>CON-01</v>
      </c>
      <c r="H914" s="129" t="str">
        <v>To confirm</v>
      </c>
      <c r="I914" s="144" t="str">
        <v>No</v>
      </c>
      <c r="J914" s="144" t="str">
        <v>Base</v>
      </c>
      <c r="K914" s="144" t="str">
        <v/>
      </c>
      <c r="L914" s="146">
        <v>6.6</v>
      </c>
      <c r="M914" s="142">
        <v>364.1</v>
      </c>
      <c r="N914" s="144" t="str">
        <v>Unknown</v>
      </c>
      <c r="O914" s="142" t="str">
        <v/>
      </c>
      <c r="P914" s="142" t="str">
        <v/>
      </c>
      <c r="Q914" s="142">
        <v>55.166666666666671</v>
      </c>
      <c r="R914" s="129" t="str">
        <v>Description – exact</v>
      </c>
      <c r="S914" s="143" t="str">
        <v/>
      </c>
      <c r="T914" s="144" t="str">
        <v>SRC-00</v>
      </c>
      <c r="U914" s="129" t="str">
        <v>S+ row 432</v>
      </c>
      <c r="V914" s="129" t="str">
        <v/>
      </c>
    </row>
    <row r="915" spans="1:22" x14ac:dyDescent="0.2">
      <c r="A915" s="144" t="str">
        <v>P1</v>
      </c>
      <c r="B915" s="145">
        <v>4</v>
      </c>
      <c r="C915" s="129" t="str">
        <v>Hysteroscopy D&amp;C + Mirena</v>
      </c>
      <c r="D915" s="129" t="str">
        <v>P1 – Perineum: Minor Procedures</v>
      </c>
      <c r="E915" s="129" t="str">
        <v>07 - Perineum</v>
      </c>
      <c r="F915" s="129" t="str">
        <v>Solutions Plus</v>
      </c>
      <c r="G915" s="144" t="str">
        <v>CON-01</v>
      </c>
      <c r="H915" s="129" t="str">
        <v>To confirm</v>
      </c>
      <c r="I915" s="144" t="str">
        <v>No</v>
      </c>
      <c r="J915" s="144" t="str">
        <v>Base</v>
      </c>
      <c r="K915" s="144" t="str">
        <v/>
      </c>
      <c r="L915" s="146">
        <v>6.4</v>
      </c>
      <c r="M915" s="142">
        <v>353.65</v>
      </c>
      <c r="N915" s="144" t="str">
        <v>Unknown</v>
      </c>
      <c r="O915" s="142" t="str">
        <v/>
      </c>
      <c r="P915" s="142" t="str">
        <v/>
      </c>
      <c r="Q915" s="142">
        <v>55.257812499999993</v>
      </c>
      <c r="R915" s="129" t="str">
        <v>Description – exact</v>
      </c>
      <c r="S915" s="143" t="str">
        <v/>
      </c>
      <c r="T915" s="144" t="str">
        <v>SRC-00</v>
      </c>
      <c r="U915" s="129" t="str">
        <v>S+ row 433</v>
      </c>
      <c r="V915" s="129" t="str">
        <v/>
      </c>
    </row>
    <row r="916" spans="1:22" x14ac:dyDescent="0.2">
      <c r="A916" s="144" t="str">
        <v>P2</v>
      </c>
      <c r="B916" s="145">
        <v>5</v>
      </c>
      <c r="C916" s="129" t="str">
        <v>Insertion Artifical Urinary Sphincter Client No 32144</v>
      </c>
      <c r="D916" s="129" t="str">
        <v>P2 – Perineum: Simple but Invasive Procedures</v>
      </c>
      <c r="E916" s="129" t="str">
        <v>07 - Perineum</v>
      </c>
      <c r="F916" s="129" t="str">
        <v>Solutions Plus</v>
      </c>
      <c r="G916" s="144" t="str">
        <v>CON-01</v>
      </c>
      <c r="H916" s="129" t="str">
        <v>To confirm</v>
      </c>
      <c r="I916" s="144" t="str">
        <v>No</v>
      </c>
      <c r="J916" s="144" t="str">
        <v>Base</v>
      </c>
      <c r="K916" s="144" t="str">
        <v/>
      </c>
      <c r="L916" s="146">
        <v>12</v>
      </c>
      <c r="M916" s="142">
        <v>660</v>
      </c>
      <c r="N916" s="144" t="str">
        <v>Unknown</v>
      </c>
      <c r="O916" s="142" t="str">
        <v/>
      </c>
      <c r="P916" s="142" t="str">
        <v/>
      </c>
      <c r="Q916" s="142">
        <v>55</v>
      </c>
      <c r="R916" s="129" t="str">
        <v>Description – likely</v>
      </c>
      <c r="S916" s="143" t="str">
        <v/>
      </c>
      <c r="T916" s="144" t="str">
        <v>SRC-00</v>
      </c>
      <c r="U916" s="129" t="str">
        <v>S+ row 437</v>
      </c>
      <c r="V916" s="129" t="str">
        <v/>
      </c>
    </row>
    <row r="917" spans="1:22" x14ac:dyDescent="0.2">
      <c r="A917" s="144" t="str">
        <v>P2</v>
      </c>
      <c r="B917" s="145">
        <v>5</v>
      </c>
      <c r="C917" s="129" t="str">
        <v>Insertion Of ATOMs</v>
      </c>
      <c r="D917" s="129" t="str">
        <v>P2 – Perineum: Simple but Invasive Procedures</v>
      </c>
      <c r="E917" s="129" t="str">
        <v>07 - Perineum</v>
      </c>
      <c r="F917" s="129" t="str">
        <v>Solutions Plus</v>
      </c>
      <c r="G917" s="144" t="str">
        <v>CON-01</v>
      </c>
      <c r="H917" s="129" t="str">
        <v>To confirm</v>
      </c>
      <c r="I917" s="144" t="str">
        <v>No</v>
      </c>
      <c r="J917" s="144" t="str">
        <v>Base</v>
      </c>
      <c r="K917" s="144" t="str">
        <v/>
      </c>
      <c r="L917" s="146">
        <v>0</v>
      </c>
      <c r="M917" s="142">
        <v>0</v>
      </c>
      <c r="N917" s="144" t="str">
        <v>Unknown</v>
      </c>
      <c r="O917" s="142" t="str">
        <v/>
      </c>
      <c r="P917" s="142" t="str">
        <v/>
      </c>
      <c r="Q917" s="142" t="str">
        <v/>
      </c>
      <c r="R917" s="129" t="str">
        <v>Description – likely</v>
      </c>
      <c r="S917" s="143" t="str">
        <v/>
      </c>
      <c r="T917" s="144" t="str">
        <v>SRC-00</v>
      </c>
      <c r="U917" s="129" t="str">
        <v>S+ row 438</v>
      </c>
      <c r="V917" s="129" t="str">
        <v/>
      </c>
    </row>
    <row r="918" spans="1:22" x14ac:dyDescent="0.2">
      <c r="A918" s="144" t="str">
        <v>P2</v>
      </c>
      <c r="B918" s="145">
        <v>5</v>
      </c>
      <c r="C918" s="129" t="str">
        <v>Insertion Of ATOMs Suburethral Sling (ACC) + Circu</v>
      </c>
      <c r="D918" s="129" t="str">
        <v>P2 – Perineum: Simple but Invasive Procedures</v>
      </c>
      <c r="E918" s="129" t="str">
        <v>07 - Perineum</v>
      </c>
      <c r="F918" s="129" t="str">
        <v>Solutions Plus</v>
      </c>
      <c r="G918" s="144" t="str">
        <v>CON-01</v>
      </c>
      <c r="H918" s="129" t="str">
        <v>To confirm</v>
      </c>
      <c r="I918" s="144" t="str">
        <v>No</v>
      </c>
      <c r="J918" s="144" t="str">
        <v>Base</v>
      </c>
      <c r="K918" s="144" t="str">
        <v/>
      </c>
      <c r="L918" s="146">
        <v>13</v>
      </c>
      <c r="M918" s="142">
        <v>715</v>
      </c>
      <c r="N918" s="144" t="str">
        <v>Unknown</v>
      </c>
      <c r="O918" s="142" t="str">
        <v/>
      </c>
      <c r="P918" s="142" t="str">
        <v/>
      </c>
      <c r="Q918" s="142">
        <v>55</v>
      </c>
      <c r="R918" s="129" t="str">
        <v>Description – likely</v>
      </c>
      <c r="S918" s="143" t="str">
        <v/>
      </c>
      <c r="T918" s="144" t="str">
        <v>SRC-00</v>
      </c>
      <c r="U918" s="129" t="str">
        <v>S+ row 439</v>
      </c>
      <c r="V918" s="129" t="str">
        <v/>
      </c>
    </row>
    <row r="919" spans="1:22" x14ac:dyDescent="0.2">
      <c r="A919" s="144" t="str">
        <v>P2</v>
      </c>
      <c r="B919" s="145">
        <v>5</v>
      </c>
      <c r="C919" s="129" t="str">
        <v>Insertion Of Infatable Penile Prosthesis (coloplast Ti</v>
      </c>
      <c r="D919" s="129" t="str">
        <v>P2 – Perineum: Simple but Invasive Procedures</v>
      </c>
      <c r="E919" s="129" t="str">
        <v>07 - Perineum</v>
      </c>
      <c r="F919" s="129" t="str">
        <v>Solutions Plus</v>
      </c>
      <c r="G919" s="144" t="str">
        <v>CON-01</v>
      </c>
      <c r="H919" s="129" t="str">
        <v>To confirm</v>
      </c>
      <c r="I919" s="144" t="str">
        <v>No</v>
      </c>
      <c r="J919" s="144" t="str">
        <v>Base</v>
      </c>
      <c r="K919" s="144" t="str">
        <v/>
      </c>
      <c r="L919" s="146">
        <v>4</v>
      </c>
      <c r="M919" s="142">
        <v>220</v>
      </c>
      <c r="N919" s="144" t="str">
        <v>Unknown</v>
      </c>
      <c r="O919" s="142" t="str">
        <v/>
      </c>
      <c r="P919" s="142" t="str">
        <v/>
      </c>
      <c r="Q919" s="142">
        <v>55</v>
      </c>
      <c r="R919" s="129" t="str">
        <v>Description – likely</v>
      </c>
      <c r="S919" s="143" t="str">
        <v/>
      </c>
      <c r="T919" s="144" t="str">
        <v>SRC-00</v>
      </c>
      <c r="U919" s="129" t="str">
        <v>S+ row 440</v>
      </c>
      <c r="V919" s="129" t="str">
        <v/>
      </c>
    </row>
    <row r="920" spans="1:22" x14ac:dyDescent="0.2">
      <c r="A920" s="144" t="str">
        <v>P1</v>
      </c>
      <c r="B920" s="145">
        <v>4</v>
      </c>
      <c r="C920" s="129" t="str">
        <v>Insertion Of Mirena (?? Jaydes)</v>
      </c>
      <c r="D920" s="129" t="str">
        <v>P1 – Perineum: Minor Procedures</v>
      </c>
      <c r="E920" s="129" t="str">
        <v>07 - Perineum</v>
      </c>
      <c r="F920" s="129" t="str">
        <v>Solutions Plus</v>
      </c>
      <c r="G920" s="144" t="str">
        <v>CON-01</v>
      </c>
      <c r="H920" s="129" t="str">
        <v>To confirm</v>
      </c>
      <c r="I920" s="144" t="str">
        <v>No</v>
      </c>
      <c r="J920" s="144" t="str">
        <v>Base</v>
      </c>
      <c r="K920" s="144" t="str">
        <v/>
      </c>
      <c r="L920" s="146">
        <v>7</v>
      </c>
      <c r="M920" s="142">
        <v>385</v>
      </c>
      <c r="N920" s="144" t="str">
        <v>Unknown</v>
      </c>
      <c r="O920" s="142" t="str">
        <v/>
      </c>
      <c r="P920" s="142" t="str">
        <v/>
      </c>
      <c r="Q920" s="142">
        <v>55</v>
      </c>
      <c r="R920" s="129" t="str">
        <v>Description – likely</v>
      </c>
      <c r="S920" s="143" t="str">
        <v/>
      </c>
      <c r="T920" s="144" t="str">
        <v>SRC-00</v>
      </c>
      <c r="U920" s="129" t="str">
        <v>S+ row 441</v>
      </c>
      <c r="V920" s="129" t="str">
        <v/>
      </c>
    </row>
    <row r="921" spans="1:22" x14ac:dyDescent="0.2">
      <c r="A921" s="144" t="str">
        <v>P1</v>
      </c>
      <c r="B921" s="145">
        <v>4</v>
      </c>
      <c r="C921" s="129" t="str">
        <v>Insertion Of Mirena (?? Jaydes) CDHB</v>
      </c>
      <c r="D921" s="129" t="str">
        <v>P1 – Perineum: Minor Procedures</v>
      </c>
      <c r="E921" s="129" t="str">
        <v>07 - Perineum</v>
      </c>
      <c r="F921" s="129" t="str">
        <v>Solutions Plus</v>
      </c>
      <c r="G921" s="144" t="str">
        <v>CON-01</v>
      </c>
      <c r="H921" s="129" t="str">
        <v>To confirm</v>
      </c>
      <c r="I921" s="144" t="str">
        <v>No</v>
      </c>
      <c r="J921" s="144" t="str">
        <v>Base</v>
      </c>
      <c r="K921" s="144" t="str">
        <v/>
      </c>
      <c r="L921" s="146">
        <v>0</v>
      </c>
      <c r="M921" s="142">
        <v>0</v>
      </c>
      <c r="N921" s="144" t="str">
        <v>Unknown</v>
      </c>
      <c r="O921" s="142" t="str">
        <v/>
      </c>
      <c r="P921" s="142" t="str">
        <v/>
      </c>
      <c r="Q921" s="142" t="str">
        <v/>
      </c>
      <c r="R921" s="129" t="str">
        <v>Description – likely</v>
      </c>
      <c r="S921" s="143" t="str">
        <v/>
      </c>
      <c r="T921" s="144" t="str">
        <v>SRC-00</v>
      </c>
      <c r="U921" s="129" t="str">
        <v>S+ row 442</v>
      </c>
      <c r="V921" s="129" t="str">
        <v/>
      </c>
    </row>
    <row r="922" spans="1:22" x14ac:dyDescent="0.2">
      <c r="A922" s="144" t="str">
        <v>P1</v>
      </c>
      <c r="B922" s="145">
        <v>4</v>
      </c>
      <c r="C922" s="129" t="str">
        <v>Labiaplasty</v>
      </c>
      <c r="D922" s="129" t="str">
        <v>P1 – Perineum: Minor Procedures</v>
      </c>
      <c r="E922" s="129" t="str">
        <v>07 - Perineum</v>
      </c>
      <c r="F922" s="129" t="str">
        <v>Solutions Plus</v>
      </c>
      <c r="G922" s="144" t="str">
        <v>CON-01</v>
      </c>
      <c r="H922" s="129" t="str">
        <v>To confirm</v>
      </c>
      <c r="I922" s="144" t="str">
        <v>No</v>
      </c>
      <c r="J922" s="144" t="str">
        <v>Base</v>
      </c>
      <c r="K922" s="144" t="str">
        <v/>
      </c>
      <c r="L922" s="146">
        <v>7</v>
      </c>
      <c r="M922" s="142">
        <v>385</v>
      </c>
      <c r="N922" s="144" t="str">
        <v>Unknown</v>
      </c>
      <c r="O922" s="142" t="str">
        <v/>
      </c>
      <c r="P922" s="142" t="str">
        <v/>
      </c>
      <c r="Q922" s="142">
        <v>55</v>
      </c>
      <c r="R922" s="129" t="str">
        <v>Description – exact</v>
      </c>
      <c r="S922" s="143" t="str">
        <v/>
      </c>
      <c r="T922" s="144" t="str">
        <v>SRC-00</v>
      </c>
      <c r="U922" s="129" t="str">
        <v>S+ row 454</v>
      </c>
      <c r="V922" s="129" t="str">
        <v/>
      </c>
    </row>
    <row r="923" spans="1:22" x14ac:dyDescent="0.2">
      <c r="A923" s="144" t="str">
        <v>P1</v>
      </c>
      <c r="B923" s="145">
        <v>4</v>
      </c>
      <c r="C923" s="129" t="str">
        <v>Labioplasty</v>
      </c>
      <c r="D923" s="129" t="str">
        <v>P1 – Perineum: Minor Procedures</v>
      </c>
      <c r="E923" s="129" t="str">
        <v>07 - Perineum</v>
      </c>
      <c r="F923" s="129" t="str">
        <v>Solutions Plus</v>
      </c>
      <c r="G923" s="144" t="str">
        <v>CON-01</v>
      </c>
      <c r="H923" s="129" t="str">
        <v>To confirm</v>
      </c>
      <c r="I923" s="144" t="str">
        <v>No</v>
      </c>
      <c r="J923" s="144" t="str">
        <v>Base</v>
      </c>
      <c r="K923" s="144" t="str">
        <v/>
      </c>
      <c r="L923" s="146">
        <v>7.7</v>
      </c>
      <c r="M923" s="142">
        <v>425.15</v>
      </c>
      <c r="N923" s="144" t="str">
        <v>Unknown</v>
      </c>
      <c r="O923" s="142" t="str">
        <v/>
      </c>
      <c r="P923" s="142" t="str">
        <v/>
      </c>
      <c r="Q923" s="142">
        <v>55.214285714285708</v>
      </c>
      <c r="R923" s="129" t="str">
        <v>Description – exact</v>
      </c>
      <c r="S923" s="143" t="str">
        <v/>
      </c>
      <c r="T923" s="144" t="str">
        <v>SRC-00</v>
      </c>
      <c r="U923" s="129" t="str">
        <v>S+ row 455</v>
      </c>
      <c r="V923" s="129" t="str">
        <v/>
      </c>
    </row>
    <row r="924" spans="1:22" x14ac:dyDescent="0.2">
      <c r="A924" s="144" t="str">
        <v>P2</v>
      </c>
      <c r="B924" s="145">
        <v>5</v>
      </c>
      <c r="C924" s="129" t="str">
        <v>Laparoscopic Second Stage Right Orchidopexy - D</v>
      </c>
      <c r="D924" s="129" t="str">
        <v>P2 – Perineum: Simple but Invasive Procedures</v>
      </c>
      <c r="E924" s="129" t="str">
        <v>07 - Perineum</v>
      </c>
      <c r="F924" s="129" t="str">
        <v>Solutions Plus</v>
      </c>
      <c r="G924" s="144" t="str">
        <v>CON-01</v>
      </c>
      <c r="H924" s="129" t="str">
        <v>To confirm</v>
      </c>
      <c r="I924" s="144" t="str">
        <v>No</v>
      </c>
      <c r="J924" s="144" t="str">
        <v>Base</v>
      </c>
      <c r="K924" s="144" t="str">
        <v/>
      </c>
      <c r="L924" s="146">
        <v>12</v>
      </c>
      <c r="M924" s="142">
        <v>660</v>
      </c>
      <c r="N924" s="144" t="str">
        <v>Unknown</v>
      </c>
      <c r="O924" s="142" t="str">
        <v/>
      </c>
      <c r="P924" s="142" t="str">
        <v/>
      </c>
      <c r="Q924" s="142">
        <v>55</v>
      </c>
      <c r="R924" s="129" t="str">
        <v>Description – likely</v>
      </c>
      <c r="S924" s="143" t="str">
        <v/>
      </c>
      <c r="T924" s="144" t="str">
        <v>SRC-00</v>
      </c>
      <c r="U924" s="129" t="str">
        <v>S+ row 507</v>
      </c>
      <c r="V924" s="129" t="str">
        <v/>
      </c>
    </row>
    <row r="925" spans="1:22" x14ac:dyDescent="0.2">
      <c r="A925" s="144" t="str">
        <v>P1</v>
      </c>
      <c r="B925" s="145">
        <v>4</v>
      </c>
      <c r="C925" s="129" t="str">
        <v>Lay Open Low Anal Fistula</v>
      </c>
      <c r="D925" s="129" t="str">
        <v>P1 – Perineum: Minor Procedures</v>
      </c>
      <c r="E925" s="129" t="str">
        <v>07 - Perineum</v>
      </c>
      <c r="F925" s="129" t="str">
        <v>Solutions Plus</v>
      </c>
      <c r="G925" s="144" t="str">
        <v>CON-01</v>
      </c>
      <c r="H925" s="129" t="str">
        <v>To confirm</v>
      </c>
      <c r="I925" s="144" t="str">
        <v>No</v>
      </c>
      <c r="J925" s="144" t="str">
        <v>Base</v>
      </c>
      <c r="K925" s="144" t="str">
        <v/>
      </c>
      <c r="L925" s="146">
        <v>6</v>
      </c>
      <c r="M925" s="142">
        <v>330</v>
      </c>
      <c r="N925" s="144" t="str">
        <v>Unknown</v>
      </c>
      <c r="O925" s="142" t="str">
        <v/>
      </c>
      <c r="P925" s="142" t="str">
        <v/>
      </c>
      <c r="Q925" s="142">
        <v>55</v>
      </c>
      <c r="R925" s="129" t="str">
        <v>Description – likely</v>
      </c>
      <c r="S925" s="143" t="str">
        <v/>
      </c>
      <c r="T925" s="144" t="str">
        <v>SRC-00</v>
      </c>
      <c r="U925" s="129" t="str">
        <v>S+ row 523</v>
      </c>
      <c r="V925" s="129" t="str">
        <v/>
      </c>
    </row>
    <row r="926" spans="1:22" x14ac:dyDescent="0.2">
      <c r="A926" s="144" t="str">
        <v>P1</v>
      </c>
      <c r="B926" s="145">
        <v>4</v>
      </c>
      <c r="C926" s="129" t="str">
        <v>Left Labiaplasty</v>
      </c>
      <c r="D926" s="129" t="str">
        <v>P1 – Perineum: Minor Procedures</v>
      </c>
      <c r="E926" s="129" t="str">
        <v>07 - Perineum</v>
      </c>
      <c r="F926" s="129" t="str">
        <v>Solutions Plus</v>
      </c>
      <c r="G926" s="144" t="str">
        <v>CON-01</v>
      </c>
      <c r="H926" s="129" t="str">
        <v>To confirm</v>
      </c>
      <c r="I926" s="144" t="str">
        <v>No</v>
      </c>
      <c r="J926" s="144" t="str">
        <v>Base</v>
      </c>
      <c r="K926" s="144" t="str">
        <v/>
      </c>
      <c r="L926" s="146">
        <v>4.5</v>
      </c>
      <c r="M926" s="142">
        <v>247.5</v>
      </c>
      <c r="N926" s="144" t="str">
        <v>Unknown</v>
      </c>
      <c r="O926" s="142" t="str">
        <v/>
      </c>
      <c r="P926" s="142" t="str">
        <v/>
      </c>
      <c r="Q926" s="142">
        <v>55</v>
      </c>
      <c r="R926" s="129" t="str">
        <v>Description – exact</v>
      </c>
      <c r="S926" s="143" t="str">
        <v/>
      </c>
      <c r="T926" s="144" t="str">
        <v>SRC-00</v>
      </c>
      <c r="U926" s="129" t="str">
        <v>S+ row 577</v>
      </c>
      <c r="V926" s="129" t="str">
        <v/>
      </c>
    </row>
    <row r="927" spans="1:22" x14ac:dyDescent="0.2">
      <c r="A927" s="144" t="str">
        <v>P2</v>
      </c>
      <c r="B927" s="145">
        <v>5</v>
      </c>
      <c r="C927" s="129" t="str">
        <v>Left Lap Varicocele Repair</v>
      </c>
      <c r="D927" s="129" t="str">
        <v>P2 – Perineum: Simple but Invasive Procedures</v>
      </c>
      <c r="E927" s="129" t="str">
        <v>07 - Perineum</v>
      </c>
      <c r="F927" s="129" t="str">
        <v>Solutions Plus</v>
      </c>
      <c r="G927" s="144" t="str">
        <v>CON-01</v>
      </c>
      <c r="H927" s="129" t="str">
        <v>To confirm</v>
      </c>
      <c r="I927" s="144" t="str">
        <v>No</v>
      </c>
      <c r="J927" s="144" t="str">
        <v>Base</v>
      </c>
      <c r="K927" s="144" t="str">
        <v/>
      </c>
      <c r="L927" s="146">
        <v>3</v>
      </c>
      <c r="M927" s="142">
        <v>165</v>
      </c>
      <c r="N927" s="144" t="str">
        <v>Unknown</v>
      </c>
      <c r="O927" s="142" t="str">
        <v/>
      </c>
      <c r="P927" s="142" t="str">
        <v/>
      </c>
      <c r="Q927" s="142">
        <v>55</v>
      </c>
      <c r="R927" s="129" t="str">
        <v>Description – likely</v>
      </c>
      <c r="S927" s="143" t="str">
        <v/>
      </c>
      <c r="T927" s="144" t="str">
        <v>SRC-00</v>
      </c>
      <c r="U927" s="129" t="str">
        <v>S+ row 578</v>
      </c>
      <c r="V927" s="129" t="str">
        <v/>
      </c>
    </row>
    <row r="928" spans="1:22" x14ac:dyDescent="0.2">
      <c r="A928" s="144" t="str">
        <v>P2</v>
      </c>
      <c r="B928" s="145">
        <v>5</v>
      </c>
      <c r="C928" s="129" t="str">
        <v>Levatorplasty</v>
      </c>
      <c r="D928" s="129" t="str">
        <v>P2 – Perineum: Simple but Invasive Procedures</v>
      </c>
      <c r="E928" s="129" t="str">
        <v>07 - Perineum</v>
      </c>
      <c r="F928" s="129" t="str">
        <v>Solutions Plus</v>
      </c>
      <c r="G928" s="144" t="str">
        <v>CON-01</v>
      </c>
      <c r="H928" s="129" t="str">
        <v>To confirm</v>
      </c>
      <c r="I928" s="144" t="str">
        <v>No</v>
      </c>
      <c r="J928" s="144" t="str">
        <v>Base</v>
      </c>
      <c r="K928" s="144" t="str">
        <v/>
      </c>
      <c r="L928" s="146">
        <v>14</v>
      </c>
      <c r="M928" s="142">
        <v>770</v>
      </c>
      <c r="N928" s="144" t="str">
        <v>Unknown</v>
      </c>
      <c r="O928" s="142" t="str">
        <v/>
      </c>
      <c r="P928" s="142" t="str">
        <v/>
      </c>
      <c r="Q928" s="142">
        <v>55</v>
      </c>
      <c r="R928" s="129" t="str">
        <v>Description – likely</v>
      </c>
      <c r="S928" s="143" t="str">
        <v/>
      </c>
      <c r="T928" s="144" t="str">
        <v>SRC-00</v>
      </c>
      <c r="U928" s="129" t="str">
        <v>S+ row 607</v>
      </c>
      <c r="V928" s="129" t="str">
        <v/>
      </c>
    </row>
    <row r="929" spans="1:22" x14ac:dyDescent="0.2">
      <c r="A929" s="144" t="str">
        <v>P1</v>
      </c>
      <c r="B929" s="145">
        <v>4</v>
      </c>
      <c r="C929" s="129" t="str">
        <v>LIAS</v>
      </c>
      <c r="D929" s="129" t="str">
        <v>P1 – Perineum: Minor Procedures</v>
      </c>
      <c r="E929" s="129" t="str">
        <v>07 - Perineum</v>
      </c>
      <c r="F929" s="129" t="str">
        <v>Solutions Plus</v>
      </c>
      <c r="G929" s="144" t="str">
        <v>CON-01</v>
      </c>
      <c r="H929" s="129" t="str">
        <v>To confirm</v>
      </c>
      <c r="I929" s="144" t="str">
        <v>No</v>
      </c>
      <c r="J929" s="144" t="str">
        <v>Base</v>
      </c>
      <c r="K929" s="144" t="str">
        <v/>
      </c>
      <c r="L929" s="146">
        <v>6.2</v>
      </c>
      <c r="M929" s="142">
        <v>341</v>
      </c>
      <c r="N929" s="144" t="str">
        <v>Unknown</v>
      </c>
      <c r="O929" s="142" t="str">
        <v/>
      </c>
      <c r="P929" s="142" t="str">
        <v/>
      </c>
      <c r="Q929" s="142">
        <v>55</v>
      </c>
      <c r="R929" s="129" t="str">
        <v>Description – likely</v>
      </c>
      <c r="S929" s="143" t="str">
        <v/>
      </c>
      <c r="T929" s="144" t="str">
        <v>SRC-00</v>
      </c>
      <c r="U929" s="129" t="str">
        <v>S+ row 608</v>
      </c>
      <c r="V929" s="129" t="str">
        <v/>
      </c>
    </row>
    <row r="930" spans="1:22" x14ac:dyDescent="0.2">
      <c r="A930" s="144" t="str">
        <v>P1</v>
      </c>
      <c r="B930" s="145">
        <v>4</v>
      </c>
      <c r="C930" s="129" t="str">
        <v>Lletz</v>
      </c>
      <c r="D930" s="129" t="str">
        <v>P1 – Perineum: Minor Procedures</v>
      </c>
      <c r="E930" s="129" t="str">
        <v>07 - Perineum</v>
      </c>
      <c r="F930" s="129" t="str">
        <v>Solutions Plus</v>
      </c>
      <c r="G930" s="144" t="str">
        <v>CON-01</v>
      </c>
      <c r="H930" s="129" t="str">
        <v>To confirm</v>
      </c>
      <c r="I930" s="144" t="str">
        <v>No</v>
      </c>
      <c r="J930" s="144" t="str">
        <v>Base</v>
      </c>
      <c r="K930" s="144" t="str">
        <v/>
      </c>
      <c r="L930" s="146">
        <v>6.8</v>
      </c>
      <c r="M930" s="142">
        <v>372.9</v>
      </c>
      <c r="N930" s="144" t="str">
        <v>Unknown</v>
      </c>
      <c r="O930" s="142" t="str">
        <v/>
      </c>
      <c r="P930" s="142" t="str">
        <v/>
      </c>
      <c r="Q930" s="142">
        <v>54.838235294117645</v>
      </c>
      <c r="R930" s="129" t="str">
        <v>Description – likely</v>
      </c>
      <c r="S930" s="143" t="str">
        <v/>
      </c>
      <c r="T930" s="144" t="str">
        <v>SRC-00</v>
      </c>
      <c r="U930" s="129" t="str">
        <v>S+ row 618</v>
      </c>
      <c r="V930" s="129" t="str">
        <v/>
      </c>
    </row>
    <row r="931" spans="1:22" x14ac:dyDescent="0.2">
      <c r="A931" s="144" t="str">
        <v>P1</v>
      </c>
      <c r="B931" s="145">
        <v>4</v>
      </c>
      <c r="C931" s="129" t="str">
        <v>Minor Procedures e.g. Excision Superficial Lesions, Excision Skin Tags, Banding Haemorrhoids, Circumcision (&gt; 2 y.o.); Gynae: Cystoscopy, Hysteroscopy, D+C, Labiaplasty</v>
      </c>
      <c r="D931" s="129" t="str">
        <v>P1 – Perineum: Minor Procedures</v>
      </c>
      <c r="E931" s="129" t="str">
        <v>07 - Perineum</v>
      </c>
      <c r="F931" s="129" t="str">
        <v>NZSA RVG</v>
      </c>
      <c r="G931" s="144" t="str">
        <v>CON-10</v>
      </c>
      <c r="H931" s="129" t="str">
        <v>Reference – units only</v>
      </c>
      <c r="I931" s="144" t="str">
        <v>No</v>
      </c>
      <c r="J931" s="144" t="str">
        <v>Base</v>
      </c>
      <c r="K931" s="144" t="str">
        <v>P1</v>
      </c>
      <c r="L931" s="146">
        <v>4</v>
      </c>
      <c r="M931" s="142" t="str">
        <v/>
      </c>
      <c r="N931" s="144" t="str">
        <v/>
      </c>
      <c r="O931" s="142" t="str">
        <v/>
      </c>
      <c r="P931" s="142" t="str">
        <v/>
      </c>
      <c r="Q931" s="142">
        <v>0</v>
      </c>
      <c r="R931" s="129" t="str">
        <v>RVG code</v>
      </c>
      <c r="S931" s="143" t="str">
        <v/>
      </c>
      <c r="T931" s="144" t="str">
        <v>SRC-01</v>
      </c>
      <c r="U931" s="129" t="str">
        <v>p.10 – Perineum</v>
      </c>
      <c r="V931" s="129" t="str">
        <v>Reference units only – no $ fee (NZSA RVG 2021). Code also used for Position modifier (P1)</v>
      </c>
    </row>
    <row r="932" spans="1:22" x14ac:dyDescent="0.2">
      <c r="A932" s="144" t="str">
        <v>P2</v>
      </c>
      <c r="B932" s="145">
        <v>5</v>
      </c>
      <c r="C932" s="129" t="str">
        <v>Optical Urethrotomy</v>
      </c>
      <c r="D932" s="129" t="str">
        <v>P2 – Perineum: Simple but Invasive Procedures</v>
      </c>
      <c r="E932" s="129" t="str">
        <v>07 - Perineum</v>
      </c>
      <c r="F932" s="129" t="str">
        <v>Solutions Plus</v>
      </c>
      <c r="G932" s="144" t="str">
        <v>CON-01</v>
      </c>
      <c r="H932" s="129" t="str">
        <v>To confirm</v>
      </c>
      <c r="I932" s="144" t="str">
        <v>No</v>
      </c>
      <c r="J932" s="144" t="str">
        <v>Base</v>
      </c>
      <c r="K932" s="144" t="str">
        <v/>
      </c>
      <c r="L932" s="146">
        <v>8</v>
      </c>
      <c r="M932" s="142">
        <v>438.9</v>
      </c>
      <c r="N932" s="144" t="str">
        <v>Unknown</v>
      </c>
      <c r="O932" s="142" t="str">
        <v/>
      </c>
      <c r="P932" s="142" t="str">
        <v/>
      </c>
      <c r="Q932" s="142">
        <v>54.862499999999997</v>
      </c>
      <c r="R932" s="129" t="str">
        <v>Description – likely</v>
      </c>
      <c r="S932" s="143" t="str">
        <v/>
      </c>
      <c r="T932" s="144" t="str">
        <v>SRC-00</v>
      </c>
      <c r="U932" s="129" t="str">
        <v>S+ row 678</v>
      </c>
      <c r="V932" s="129" t="str">
        <v/>
      </c>
    </row>
    <row r="933" spans="1:22" x14ac:dyDescent="0.2">
      <c r="A933" s="144" t="str">
        <v>P2</v>
      </c>
      <c r="B933" s="145">
        <v>5</v>
      </c>
      <c r="C933" s="129" t="str">
        <v>Optical Urethrotomy And Circumcision</v>
      </c>
      <c r="D933" s="129" t="str">
        <v>P2 – Perineum: Simple but Invasive Procedures</v>
      </c>
      <c r="E933" s="129" t="str">
        <v>07 - Perineum</v>
      </c>
      <c r="F933" s="129" t="str">
        <v>Solutions Plus</v>
      </c>
      <c r="G933" s="144" t="str">
        <v>CON-01</v>
      </c>
      <c r="H933" s="129" t="str">
        <v>To confirm</v>
      </c>
      <c r="I933" s="144" t="str">
        <v>No</v>
      </c>
      <c r="J933" s="144" t="str">
        <v>Base</v>
      </c>
      <c r="K933" s="144" t="str">
        <v/>
      </c>
      <c r="L933" s="146">
        <v>8</v>
      </c>
      <c r="M933" s="142">
        <v>440</v>
      </c>
      <c r="N933" s="144" t="str">
        <v>Unknown</v>
      </c>
      <c r="O933" s="142" t="str">
        <v/>
      </c>
      <c r="P933" s="142" t="str">
        <v/>
      </c>
      <c r="Q933" s="142">
        <v>55</v>
      </c>
      <c r="R933" s="129" t="str">
        <v>Description – likely</v>
      </c>
      <c r="S933" s="143" t="str">
        <v/>
      </c>
      <c r="T933" s="144" t="str">
        <v>SRC-00</v>
      </c>
      <c r="U933" s="129" t="str">
        <v>S+ row 679</v>
      </c>
      <c r="V933" s="129" t="str">
        <v/>
      </c>
    </row>
    <row r="934" spans="1:22" x14ac:dyDescent="0.2">
      <c r="A934" s="144" t="str">
        <v>P2</v>
      </c>
      <c r="B934" s="145">
        <v>5</v>
      </c>
      <c r="C934" s="129" t="str">
        <v>Optical Urethrotomy Urethrotomy</v>
      </c>
      <c r="D934" s="129" t="str">
        <v>P2 – Perineum: Simple but Invasive Procedures</v>
      </c>
      <c r="E934" s="129" t="str">
        <v>07 - Perineum</v>
      </c>
      <c r="F934" s="129" t="str">
        <v>Solutions Plus</v>
      </c>
      <c r="G934" s="144" t="str">
        <v>CON-01</v>
      </c>
      <c r="H934" s="129" t="str">
        <v>To confirm</v>
      </c>
      <c r="I934" s="144" t="str">
        <v>No</v>
      </c>
      <c r="J934" s="144" t="str">
        <v>Base</v>
      </c>
      <c r="K934" s="144" t="str">
        <v/>
      </c>
      <c r="L934" s="146">
        <v>5</v>
      </c>
      <c r="M934" s="142">
        <v>275</v>
      </c>
      <c r="N934" s="144" t="str">
        <v>Unknown</v>
      </c>
      <c r="O934" s="142" t="str">
        <v/>
      </c>
      <c r="P934" s="142" t="str">
        <v/>
      </c>
      <c r="Q934" s="142">
        <v>55</v>
      </c>
      <c r="R934" s="129" t="str">
        <v>Description – likely</v>
      </c>
      <c r="S934" s="143" t="str">
        <v/>
      </c>
      <c r="T934" s="144" t="str">
        <v>SRC-00</v>
      </c>
      <c r="U934" s="129" t="str">
        <v>S+ row 680</v>
      </c>
      <c r="V934" s="129" t="str">
        <v/>
      </c>
    </row>
    <row r="935" spans="1:22" x14ac:dyDescent="0.2">
      <c r="A935" s="144" t="str">
        <v>P2</v>
      </c>
      <c r="B935" s="145">
        <v>5</v>
      </c>
      <c r="C935" s="129" t="str">
        <v>Orchidectomy</v>
      </c>
      <c r="D935" s="129" t="str">
        <v>P2 – Perineum: Simple but Invasive Procedures</v>
      </c>
      <c r="E935" s="129" t="str">
        <v>07 - Perineum</v>
      </c>
      <c r="F935" s="129" t="str">
        <v>Solutions Plus</v>
      </c>
      <c r="G935" s="144" t="str">
        <v>CON-01</v>
      </c>
      <c r="H935" s="129" t="str">
        <v>To confirm</v>
      </c>
      <c r="I935" s="144" t="str">
        <v>No</v>
      </c>
      <c r="J935" s="144" t="str">
        <v>Base</v>
      </c>
      <c r="K935" s="144" t="str">
        <v/>
      </c>
      <c r="L935" s="146">
        <v>8.6999999999999993</v>
      </c>
      <c r="M935" s="142">
        <v>476.3</v>
      </c>
      <c r="N935" s="144" t="str">
        <v>Unknown</v>
      </c>
      <c r="O935" s="142" t="str">
        <v/>
      </c>
      <c r="P935" s="142" t="str">
        <v/>
      </c>
      <c r="Q935" s="142">
        <v>54.747126436781613</v>
      </c>
      <c r="R935" s="129" t="str">
        <v>Description – likely</v>
      </c>
      <c r="S935" s="143" t="str">
        <v/>
      </c>
      <c r="T935" s="144" t="str">
        <v>SRC-00</v>
      </c>
      <c r="U935" s="129" t="str">
        <v>S+ row 681</v>
      </c>
      <c r="V935" s="129" t="str">
        <v/>
      </c>
    </row>
    <row r="936" spans="1:22" x14ac:dyDescent="0.2">
      <c r="A936" s="144" t="str">
        <v>P2</v>
      </c>
      <c r="B936" s="145">
        <v>5</v>
      </c>
      <c r="C936" s="129" t="str">
        <v>Orchidopexy</v>
      </c>
      <c r="D936" s="129" t="str">
        <v>P2 – Perineum: Simple but Invasive Procedures</v>
      </c>
      <c r="E936" s="129" t="str">
        <v>07 - Perineum</v>
      </c>
      <c r="F936" s="129" t="str">
        <v>Solutions Plus</v>
      </c>
      <c r="G936" s="144" t="str">
        <v>CON-01</v>
      </c>
      <c r="H936" s="129" t="str">
        <v>To confirm</v>
      </c>
      <c r="I936" s="144" t="str">
        <v>No</v>
      </c>
      <c r="J936" s="144" t="str">
        <v>Base</v>
      </c>
      <c r="K936" s="144" t="str">
        <v/>
      </c>
      <c r="L936" s="146">
        <v>8</v>
      </c>
      <c r="M936" s="142">
        <v>438.9</v>
      </c>
      <c r="N936" s="144" t="str">
        <v>Unknown</v>
      </c>
      <c r="O936" s="142" t="str">
        <v/>
      </c>
      <c r="P936" s="142" t="str">
        <v/>
      </c>
      <c r="Q936" s="142">
        <v>54.862499999999997</v>
      </c>
      <c r="R936" s="129" t="str">
        <v>Description – likely</v>
      </c>
      <c r="S936" s="143" t="str">
        <v/>
      </c>
      <c r="T936" s="144" t="str">
        <v>SRC-00</v>
      </c>
      <c r="U936" s="129" t="str">
        <v>S+ row 682</v>
      </c>
      <c r="V936" s="129" t="str">
        <v/>
      </c>
    </row>
    <row r="937" spans="1:22" x14ac:dyDescent="0.2">
      <c r="A937" s="144" t="str">
        <v>P2</v>
      </c>
      <c r="B937" s="145">
        <v>5</v>
      </c>
      <c r="C937" s="129" t="str">
        <v>Posterior Repair</v>
      </c>
      <c r="D937" s="129" t="str">
        <v>P2 – Perineum: Simple but Invasive Procedures</v>
      </c>
      <c r="E937" s="129" t="str">
        <v>07 - Perineum</v>
      </c>
      <c r="F937" s="129" t="str">
        <v>Solutions Plus</v>
      </c>
      <c r="G937" s="144" t="str">
        <v>CON-01</v>
      </c>
      <c r="H937" s="129" t="str">
        <v>To confirm</v>
      </c>
      <c r="I937" s="144" t="str">
        <v>No</v>
      </c>
      <c r="J937" s="144" t="str">
        <v>Base</v>
      </c>
      <c r="K937" s="144" t="str">
        <v/>
      </c>
      <c r="L937" s="146">
        <v>10.199999999999999</v>
      </c>
      <c r="M937" s="142">
        <v>562.1</v>
      </c>
      <c r="N937" s="144" t="str">
        <v>Unknown</v>
      </c>
      <c r="O937" s="142" t="str">
        <v/>
      </c>
      <c r="P937" s="142" t="str">
        <v/>
      </c>
      <c r="Q937" s="142">
        <v>55.10784313725491</v>
      </c>
      <c r="R937" s="129" t="str">
        <v>Description – exact</v>
      </c>
      <c r="S937" s="143" t="str">
        <v/>
      </c>
      <c r="T937" s="144" t="str">
        <v>SRC-00</v>
      </c>
      <c r="U937" s="129" t="str">
        <v>S+ row 701</v>
      </c>
      <c r="V937" s="129" t="str">
        <v/>
      </c>
    </row>
    <row r="938" spans="1:22" x14ac:dyDescent="0.2">
      <c r="A938" s="144" t="str">
        <v>P1</v>
      </c>
      <c r="B938" s="145">
        <v>4</v>
      </c>
      <c r="C938" s="129" t="str">
        <v>Proctoscopy</v>
      </c>
      <c r="D938" s="129" t="str">
        <v>P1 – Perineum: Minor Procedures</v>
      </c>
      <c r="E938" s="129" t="str">
        <v>07 - Perineum</v>
      </c>
      <c r="F938" s="129" t="str">
        <v>Solutions Plus</v>
      </c>
      <c r="G938" s="144" t="str">
        <v>CON-01</v>
      </c>
      <c r="H938" s="129" t="str">
        <v>To confirm</v>
      </c>
      <c r="I938" s="144" t="str">
        <v>No</v>
      </c>
      <c r="J938" s="144" t="str">
        <v>Base</v>
      </c>
      <c r="K938" s="144" t="str">
        <v/>
      </c>
      <c r="L938" s="146">
        <v>1</v>
      </c>
      <c r="M938" s="142">
        <v>55</v>
      </c>
      <c r="N938" s="144" t="str">
        <v>Unknown</v>
      </c>
      <c r="O938" s="142" t="str">
        <v/>
      </c>
      <c r="P938" s="142" t="str">
        <v/>
      </c>
      <c r="Q938" s="142">
        <v>55</v>
      </c>
      <c r="R938" s="129" t="str">
        <v>Description – likely</v>
      </c>
      <c r="S938" s="143" t="str">
        <v/>
      </c>
      <c r="T938" s="144" t="str">
        <v>SRC-00</v>
      </c>
      <c r="U938" s="129" t="str">
        <v>S+ row 705</v>
      </c>
      <c r="V938" s="129" t="str">
        <v/>
      </c>
    </row>
    <row r="939" spans="1:22" x14ac:dyDescent="0.2">
      <c r="A939" s="144" t="str">
        <v>P2</v>
      </c>
      <c r="B939" s="145">
        <v>5</v>
      </c>
      <c r="C939" s="129" t="str">
        <v>Pubovagunal Sling</v>
      </c>
      <c r="D939" s="129" t="str">
        <v>P2 – Perineum: Simple but Invasive Procedures</v>
      </c>
      <c r="E939" s="129" t="str">
        <v>07 - Perineum</v>
      </c>
      <c r="F939" s="129" t="str">
        <v>Solutions Plus</v>
      </c>
      <c r="G939" s="144" t="str">
        <v>CON-01</v>
      </c>
      <c r="H939" s="129" t="str">
        <v>To confirm</v>
      </c>
      <c r="I939" s="144" t="str">
        <v>No</v>
      </c>
      <c r="J939" s="144" t="str">
        <v>Base</v>
      </c>
      <c r="K939" s="144" t="str">
        <v/>
      </c>
      <c r="L939" s="146">
        <v>12</v>
      </c>
      <c r="M939" s="142">
        <v>660</v>
      </c>
      <c r="N939" s="144" t="str">
        <v>Unknown</v>
      </c>
      <c r="O939" s="142" t="str">
        <v/>
      </c>
      <c r="P939" s="142" t="str">
        <v/>
      </c>
      <c r="Q939" s="142">
        <v>55</v>
      </c>
      <c r="R939" s="129" t="str">
        <v>Description – likely</v>
      </c>
      <c r="S939" s="143" t="str">
        <v/>
      </c>
      <c r="T939" s="144" t="str">
        <v>SRC-00</v>
      </c>
      <c r="U939" s="129" t="str">
        <v>S+ row 708</v>
      </c>
      <c r="V939" s="129" t="str">
        <v/>
      </c>
    </row>
    <row r="940" spans="1:22" x14ac:dyDescent="0.2">
      <c r="A940" s="144" t="str">
        <v>P1</v>
      </c>
      <c r="B940" s="145">
        <v>4</v>
      </c>
      <c r="C940" s="129" t="str">
        <v>Rectal Biopsy</v>
      </c>
      <c r="D940" s="129" t="str">
        <v>P1 – Perineum: Minor Procedures</v>
      </c>
      <c r="E940" s="129" t="str">
        <v>07 - Perineum</v>
      </c>
      <c r="F940" s="129" t="str">
        <v>Solutions Plus</v>
      </c>
      <c r="G940" s="144" t="str">
        <v>CON-01</v>
      </c>
      <c r="H940" s="129" t="str">
        <v>To confirm</v>
      </c>
      <c r="I940" s="144" t="str">
        <v>No</v>
      </c>
      <c r="J940" s="144" t="str">
        <v>Base</v>
      </c>
      <c r="K940" s="144" t="str">
        <v/>
      </c>
      <c r="L940" s="146">
        <v>6.6</v>
      </c>
      <c r="M940" s="142">
        <v>364.65</v>
      </c>
      <c r="N940" s="144" t="str">
        <v>Unknown</v>
      </c>
      <c r="O940" s="142" t="str">
        <v/>
      </c>
      <c r="P940" s="142" t="str">
        <v/>
      </c>
      <c r="Q940" s="142">
        <v>55.25</v>
      </c>
      <c r="R940" s="129" t="str">
        <v>Description – likely</v>
      </c>
      <c r="S940" s="143" t="str">
        <v/>
      </c>
      <c r="T940" s="144" t="str">
        <v>SRC-00</v>
      </c>
      <c r="U940" s="129" t="str">
        <v>S+ row 711</v>
      </c>
      <c r="V940" s="129" t="str">
        <v/>
      </c>
    </row>
    <row r="941" spans="1:22" x14ac:dyDescent="0.2">
      <c r="A941" s="144" t="str">
        <v>P2</v>
      </c>
      <c r="B941" s="145">
        <v>5</v>
      </c>
      <c r="C941" s="129" t="str">
        <v>Rectocoele</v>
      </c>
      <c r="D941" s="129" t="str">
        <v>P2 – Perineum: Simple but Invasive Procedures</v>
      </c>
      <c r="E941" s="129" t="str">
        <v>07 - Perineum</v>
      </c>
      <c r="F941" s="129" t="str">
        <v>Solutions Plus</v>
      </c>
      <c r="G941" s="144" t="str">
        <v>CON-01</v>
      </c>
      <c r="H941" s="129" t="str">
        <v>To confirm</v>
      </c>
      <c r="I941" s="144" t="str">
        <v>No</v>
      </c>
      <c r="J941" s="144" t="str">
        <v>Base</v>
      </c>
      <c r="K941" s="144" t="str">
        <v/>
      </c>
      <c r="L941" s="146">
        <v>0</v>
      </c>
      <c r="M941" s="142">
        <v>0</v>
      </c>
      <c r="N941" s="144" t="str">
        <v>Unknown</v>
      </c>
      <c r="O941" s="142" t="str">
        <v/>
      </c>
      <c r="P941" s="142" t="str">
        <v/>
      </c>
      <c r="Q941" s="142" t="str">
        <v/>
      </c>
      <c r="R941" s="129" t="str">
        <v>Description – exact</v>
      </c>
      <c r="S941" s="143" t="str">
        <v/>
      </c>
      <c r="T941" s="144" t="str">
        <v>SRC-00</v>
      </c>
      <c r="U941" s="129" t="str">
        <v>S+ row 712</v>
      </c>
      <c r="V941" s="129" t="str">
        <v/>
      </c>
    </row>
    <row r="942" spans="1:22" x14ac:dyDescent="0.2">
      <c r="A942" s="144" t="str">
        <v>P2</v>
      </c>
      <c r="B942" s="145">
        <v>5</v>
      </c>
      <c r="C942" s="129" t="str">
        <v>Right Inguinal Orchidectomy + Insertion Of Testicul</v>
      </c>
      <c r="D942" s="129" t="str">
        <v>P2 – Perineum: Simple but Invasive Procedures</v>
      </c>
      <c r="E942" s="129" t="str">
        <v>07 - Perineum</v>
      </c>
      <c r="F942" s="129" t="str">
        <v>Solutions Plus</v>
      </c>
      <c r="G942" s="144" t="str">
        <v>CON-01</v>
      </c>
      <c r="H942" s="129" t="str">
        <v>To confirm</v>
      </c>
      <c r="I942" s="144" t="str">
        <v>No</v>
      </c>
      <c r="J942" s="144" t="str">
        <v>Base</v>
      </c>
      <c r="K942" s="144" t="str">
        <v/>
      </c>
      <c r="L942" s="146">
        <v>8</v>
      </c>
      <c r="M942" s="142">
        <v>440</v>
      </c>
      <c r="N942" s="144" t="str">
        <v>Unknown</v>
      </c>
      <c r="O942" s="142" t="str">
        <v/>
      </c>
      <c r="P942" s="142" t="str">
        <v/>
      </c>
      <c r="Q942" s="142">
        <v>55</v>
      </c>
      <c r="R942" s="129" t="str">
        <v>Description – likely</v>
      </c>
      <c r="S942" s="143" t="str">
        <v/>
      </c>
      <c r="T942" s="144" t="str">
        <v>SRC-00</v>
      </c>
      <c r="U942" s="129" t="str">
        <v>S+ row 804</v>
      </c>
      <c r="V942" s="129" t="str">
        <v/>
      </c>
    </row>
    <row r="943" spans="1:22" x14ac:dyDescent="0.2">
      <c r="A943" s="144" t="str">
        <v>P1</v>
      </c>
      <c r="B943" s="145">
        <v>4</v>
      </c>
      <c r="C943" s="129" t="str">
        <v>Rigid Cystoscopy + Biopsy + Diathermy</v>
      </c>
      <c r="D943" s="129" t="str">
        <v>P1 – Perineum: Minor Procedures</v>
      </c>
      <c r="E943" s="129" t="str">
        <v>07 - Perineum</v>
      </c>
      <c r="F943" s="129" t="str">
        <v>Solutions Plus</v>
      </c>
      <c r="G943" s="144" t="str">
        <v>CON-01</v>
      </c>
      <c r="H943" s="129" t="str">
        <v>To confirm</v>
      </c>
      <c r="I943" s="144" t="str">
        <v>No</v>
      </c>
      <c r="J943" s="144" t="str">
        <v>Base</v>
      </c>
      <c r="K943" s="144" t="str">
        <v/>
      </c>
      <c r="L943" s="146">
        <v>8.5</v>
      </c>
      <c r="M943" s="142">
        <v>467.5</v>
      </c>
      <c r="N943" s="144" t="str">
        <v>Unknown</v>
      </c>
      <c r="O943" s="142" t="str">
        <v/>
      </c>
      <c r="P943" s="142" t="str">
        <v/>
      </c>
      <c r="Q943" s="142">
        <v>55</v>
      </c>
      <c r="R943" s="129" t="str">
        <v>Description – exact</v>
      </c>
      <c r="S943" s="143" t="str">
        <v/>
      </c>
      <c r="T943" s="144" t="str">
        <v>SRC-00</v>
      </c>
      <c r="U943" s="129" t="str">
        <v>S+ row 844</v>
      </c>
      <c r="V943" s="129" t="str">
        <v/>
      </c>
    </row>
    <row r="944" spans="1:22" x14ac:dyDescent="0.2">
      <c r="A944" s="144" t="str">
        <v>P2</v>
      </c>
      <c r="B944" s="145">
        <v>5</v>
      </c>
      <c r="C944" s="129" t="str">
        <v>Simple but Invasive Procedures e.g. Circumcision (&lt; 2 y.o.), Orchidopexy, Scrotal Surgery, Urethroplasty, Ureteroscopy, TURBT; Gynae: Anterior Repair, Posterior Repair, Sacrospinous Fixation</v>
      </c>
      <c r="D944" s="129" t="str">
        <v>P2 – Perineum: Simple but Invasive Procedures</v>
      </c>
      <c r="E944" s="129" t="str">
        <v>07 - Perineum</v>
      </c>
      <c r="F944" s="129" t="str">
        <v>NZSA RVG</v>
      </c>
      <c r="G944" s="144" t="str">
        <v>CON-10</v>
      </c>
      <c r="H944" s="129" t="str">
        <v>Reference – units only</v>
      </c>
      <c r="I944" s="144" t="str">
        <v>No</v>
      </c>
      <c r="J944" s="144" t="str">
        <v>Base</v>
      </c>
      <c r="K944" s="144" t="str">
        <v>P2</v>
      </c>
      <c r="L944" s="146">
        <v>5</v>
      </c>
      <c r="M944" s="142" t="str">
        <v/>
      </c>
      <c r="N944" s="144" t="str">
        <v/>
      </c>
      <c r="O944" s="142" t="str">
        <v/>
      </c>
      <c r="P944" s="142" t="str">
        <v/>
      </c>
      <c r="Q944" s="142">
        <v>0</v>
      </c>
      <c r="R944" s="129" t="str">
        <v>RVG code</v>
      </c>
      <c r="S944" s="143" t="str">
        <v/>
      </c>
      <c r="T944" s="144" t="str">
        <v>SRC-01</v>
      </c>
      <c r="U944" s="129" t="str">
        <v>p.10 – Perineum</v>
      </c>
      <c r="V944" s="129" t="str">
        <v>Reference units only – no $ fee (NZSA RVG 2021).</v>
      </c>
    </row>
    <row r="945" spans="1:22" x14ac:dyDescent="0.2">
      <c r="A945" s="144" t="str">
        <v>P1</v>
      </c>
      <c r="B945" s="145">
        <v>4</v>
      </c>
      <c r="C945" s="129" t="str">
        <v>Sphincterotomy</v>
      </c>
      <c r="D945" s="129" t="str">
        <v>P1 – Perineum: Minor Procedures</v>
      </c>
      <c r="E945" s="129" t="str">
        <v>07 - Perineum</v>
      </c>
      <c r="F945" s="129" t="str">
        <v>Solutions Plus</v>
      </c>
      <c r="G945" s="144" t="str">
        <v>CON-01</v>
      </c>
      <c r="H945" s="129" t="str">
        <v>To confirm</v>
      </c>
      <c r="I945" s="144" t="str">
        <v>No</v>
      </c>
      <c r="J945" s="144" t="str">
        <v>Base</v>
      </c>
      <c r="K945" s="144" t="str">
        <v/>
      </c>
      <c r="L945" s="146">
        <v>6.4</v>
      </c>
      <c r="M945" s="142">
        <v>352</v>
      </c>
      <c r="N945" s="144" t="str">
        <v>Unknown</v>
      </c>
      <c r="O945" s="142" t="str">
        <v/>
      </c>
      <c r="P945" s="142" t="str">
        <v/>
      </c>
      <c r="Q945" s="142">
        <v>55</v>
      </c>
      <c r="R945" s="129" t="str">
        <v>Description – likely</v>
      </c>
      <c r="S945" s="143" t="str">
        <v/>
      </c>
      <c r="T945" s="144" t="str">
        <v>SRC-00</v>
      </c>
      <c r="U945" s="129" t="str">
        <v>S+ row 882</v>
      </c>
      <c r="V945" s="129" t="str">
        <v/>
      </c>
    </row>
    <row r="946" spans="1:22" x14ac:dyDescent="0.2">
      <c r="A946" s="144" t="str">
        <v>P1</v>
      </c>
      <c r="B946" s="145">
        <v>4</v>
      </c>
      <c r="C946" s="129" t="str">
        <v>Split Account - Circumcision</v>
      </c>
      <c r="D946" s="129" t="str">
        <v>P1 – Perineum: Minor Procedures</v>
      </c>
      <c r="E946" s="129" t="str">
        <v>07 - Perineum</v>
      </c>
      <c r="F946" s="129" t="str">
        <v>Solutions Plus</v>
      </c>
      <c r="G946" s="144" t="str">
        <v>CON-01</v>
      </c>
      <c r="H946" s="129" t="str">
        <v>To confirm</v>
      </c>
      <c r="I946" s="144" t="str">
        <v>No</v>
      </c>
      <c r="J946" s="144" t="str">
        <v>Base</v>
      </c>
      <c r="K946" s="144" t="str">
        <v/>
      </c>
      <c r="L946" s="146">
        <v>6</v>
      </c>
      <c r="M946" s="142">
        <v>330</v>
      </c>
      <c r="N946" s="144" t="str">
        <v>Unknown</v>
      </c>
      <c r="O946" s="142" t="str">
        <v/>
      </c>
      <c r="P946" s="142" t="str">
        <v/>
      </c>
      <c r="Q946" s="142">
        <v>55</v>
      </c>
      <c r="R946" s="129" t="str">
        <v>Description – likely</v>
      </c>
      <c r="S946" s="143" t="str">
        <v/>
      </c>
      <c r="T946" s="144" t="str">
        <v>SRC-00</v>
      </c>
      <c r="U946" s="129" t="str">
        <v>S+ row 888</v>
      </c>
      <c r="V946" s="129" t="str">
        <v/>
      </c>
    </row>
    <row r="947" spans="1:22" x14ac:dyDescent="0.2">
      <c r="A947" s="144" t="str">
        <v>P2</v>
      </c>
      <c r="B947" s="145">
        <v>5</v>
      </c>
      <c r="C947" s="129" t="str">
        <v>Total Removal Of Artificial Urinary Sphincter +/- Re</v>
      </c>
      <c r="D947" s="129" t="str">
        <v>P2 – Perineum: Simple but Invasive Procedures</v>
      </c>
      <c r="E947" s="129" t="str">
        <v>07 - Perineum</v>
      </c>
      <c r="F947" s="129" t="str">
        <v>Solutions Plus</v>
      </c>
      <c r="G947" s="144" t="str">
        <v>CON-01</v>
      </c>
      <c r="H947" s="129" t="str">
        <v>To confirm</v>
      </c>
      <c r="I947" s="144" t="str">
        <v>No</v>
      </c>
      <c r="J947" s="144" t="str">
        <v>Base</v>
      </c>
      <c r="K947" s="144" t="str">
        <v/>
      </c>
      <c r="L947" s="146">
        <v>15</v>
      </c>
      <c r="M947" s="142">
        <v>825</v>
      </c>
      <c r="N947" s="144" t="str">
        <v>Unknown</v>
      </c>
      <c r="O947" s="142" t="str">
        <v/>
      </c>
      <c r="P947" s="142" t="str">
        <v/>
      </c>
      <c r="Q947" s="142">
        <v>55</v>
      </c>
      <c r="R947" s="129" t="str">
        <v>Description – likely</v>
      </c>
      <c r="S947" s="143" t="str">
        <v/>
      </c>
      <c r="T947" s="144" t="str">
        <v>SRC-00</v>
      </c>
      <c r="U947" s="129" t="str">
        <v>S+ row 938</v>
      </c>
      <c r="V947" s="129" t="str">
        <v/>
      </c>
    </row>
    <row r="948" spans="1:22" x14ac:dyDescent="0.2">
      <c r="A948" s="144" t="str">
        <v>P2</v>
      </c>
      <c r="B948" s="145">
        <v>5</v>
      </c>
      <c r="C948" s="129" t="str">
        <v>TUR Bladder Tumour + Epirubicin</v>
      </c>
      <c r="D948" s="129" t="str">
        <v>P2 – Perineum: Simple but Invasive Procedures</v>
      </c>
      <c r="E948" s="129" t="str">
        <v>07 - Perineum</v>
      </c>
      <c r="F948" s="129" t="str">
        <v>Solutions Plus</v>
      </c>
      <c r="G948" s="144" t="str">
        <v>CON-01</v>
      </c>
      <c r="H948" s="129" t="str">
        <v>To confirm</v>
      </c>
      <c r="I948" s="144" t="str">
        <v>No</v>
      </c>
      <c r="J948" s="144" t="str">
        <v>Base</v>
      </c>
      <c r="K948" s="144" t="str">
        <v/>
      </c>
      <c r="L948" s="146">
        <v>9.6</v>
      </c>
      <c r="M948" s="142">
        <v>528</v>
      </c>
      <c r="N948" s="144" t="str">
        <v>Unknown</v>
      </c>
      <c r="O948" s="142" t="str">
        <v/>
      </c>
      <c r="P948" s="142" t="str">
        <v/>
      </c>
      <c r="Q948" s="142">
        <v>55</v>
      </c>
      <c r="R948" s="129" t="str">
        <v>Description – exact</v>
      </c>
      <c r="S948" s="143" t="str">
        <v/>
      </c>
      <c r="T948" s="144" t="str">
        <v>SRC-00</v>
      </c>
      <c r="U948" s="129" t="str">
        <v>S+ row 945</v>
      </c>
      <c r="V948" s="129" t="str">
        <v/>
      </c>
    </row>
    <row r="949" spans="1:22" x14ac:dyDescent="0.2">
      <c r="A949" s="144" t="str">
        <v>P2</v>
      </c>
      <c r="B949" s="145">
        <v>5</v>
      </c>
      <c r="C949" s="129" t="str">
        <v>TURBT</v>
      </c>
      <c r="D949" s="129" t="str">
        <v>P2 – Perineum: Simple but Invasive Procedures</v>
      </c>
      <c r="E949" s="129" t="str">
        <v>07 - Perineum</v>
      </c>
      <c r="F949" s="129" t="str">
        <v>Solutions Plus</v>
      </c>
      <c r="G949" s="144" t="str">
        <v>CON-01</v>
      </c>
      <c r="H949" s="129" t="str">
        <v>To confirm</v>
      </c>
      <c r="I949" s="144" t="str">
        <v>No</v>
      </c>
      <c r="J949" s="144" t="str">
        <v>Base</v>
      </c>
      <c r="K949" s="144" t="str">
        <v/>
      </c>
      <c r="L949" s="146">
        <v>8.8000000000000007</v>
      </c>
      <c r="M949" s="142">
        <v>485.65</v>
      </c>
      <c r="N949" s="144" t="str">
        <v>Unknown</v>
      </c>
      <c r="O949" s="142" t="str">
        <v/>
      </c>
      <c r="P949" s="142" t="str">
        <v/>
      </c>
      <c r="Q949" s="142">
        <v>55.187499999999993</v>
      </c>
      <c r="R949" s="129" t="str">
        <v>Description – exact</v>
      </c>
      <c r="S949" s="143" t="str">
        <v/>
      </c>
      <c r="T949" s="144" t="str">
        <v>SRC-00</v>
      </c>
      <c r="U949" s="129" t="str">
        <v>S+ row 947</v>
      </c>
      <c r="V949" s="129" t="str">
        <v/>
      </c>
    </row>
    <row r="950" spans="1:22" x14ac:dyDescent="0.2">
      <c r="A950" s="144" t="str">
        <v>P2</v>
      </c>
      <c r="B950" s="145">
        <v>5</v>
      </c>
      <c r="C950" s="129" t="str">
        <v>TURBT - CDHB</v>
      </c>
      <c r="D950" s="129" t="str">
        <v>P2 – Perineum: Simple but Invasive Procedures</v>
      </c>
      <c r="E950" s="129" t="str">
        <v>07 - Perineum</v>
      </c>
      <c r="F950" s="129" t="str">
        <v>Solutions Plus</v>
      </c>
      <c r="G950" s="144" t="str">
        <v>CON-01</v>
      </c>
      <c r="H950" s="129" t="str">
        <v>To confirm</v>
      </c>
      <c r="I950" s="144" t="str">
        <v>No</v>
      </c>
      <c r="J950" s="144" t="str">
        <v>Base</v>
      </c>
      <c r="K950" s="144" t="str">
        <v/>
      </c>
      <c r="L950" s="146">
        <v>10</v>
      </c>
      <c r="M950" s="142">
        <v>549.45000000000005</v>
      </c>
      <c r="N950" s="144" t="str">
        <v>Unknown</v>
      </c>
      <c r="O950" s="142" t="str">
        <v/>
      </c>
      <c r="P950" s="142" t="str">
        <v/>
      </c>
      <c r="Q950" s="142">
        <v>54.945000000000007</v>
      </c>
      <c r="R950" s="129" t="str">
        <v>Description – exact</v>
      </c>
      <c r="S950" s="143" t="str">
        <v/>
      </c>
      <c r="T950" s="144" t="str">
        <v>SRC-00</v>
      </c>
      <c r="U950" s="129" t="str">
        <v>S+ row 948</v>
      </c>
      <c r="V950" s="129" t="str">
        <v/>
      </c>
    </row>
    <row r="951" spans="1:22" x14ac:dyDescent="0.2">
      <c r="A951" s="144" t="str">
        <v>P2</v>
      </c>
      <c r="B951" s="145">
        <v>5</v>
      </c>
      <c r="C951" s="129" t="str">
        <v>TVT Pubovaginal Sling</v>
      </c>
      <c r="D951" s="129" t="str">
        <v>P2 – Perineum: Simple but Invasive Procedures</v>
      </c>
      <c r="E951" s="129" t="str">
        <v>07 - Perineum</v>
      </c>
      <c r="F951" s="129" t="str">
        <v>Solutions Plus</v>
      </c>
      <c r="G951" s="144" t="str">
        <v>CON-01</v>
      </c>
      <c r="H951" s="129" t="str">
        <v>To confirm</v>
      </c>
      <c r="I951" s="144" t="str">
        <v>No</v>
      </c>
      <c r="J951" s="144" t="str">
        <v>Base</v>
      </c>
      <c r="K951" s="144" t="str">
        <v/>
      </c>
      <c r="L951" s="146">
        <v>9.6</v>
      </c>
      <c r="M951" s="142">
        <v>529.65</v>
      </c>
      <c r="N951" s="144" t="str">
        <v>Unknown</v>
      </c>
      <c r="O951" s="142" t="str">
        <v/>
      </c>
      <c r="P951" s="142" t="str">
        <v/>
      </c>
      <c r="Q951" s="142">
        <v>55.171875</v>
      </c>
      <c r="R951" s="129" t="str">
        <v>Description – likely</v>
      </c>
      <c r="S951" s="143" t="str">
        <v/>
      </c>
      <c r="T951" s="144" t="str">
        <v>SRC-00</v>
      </c>
      <c r="U951" s="129" t="str">
        <v>S+ row 950</v>
      </c>
      <c r="V951" s="129" t="str">
        <v/>
      </c>
    </row>
    <row r="952" spans="1:22" x14ac:dyDescent="0.2">
      <c r="A952" s="144" t="str">
        <v>P2</v>
      </c>
      <c r="B952" s="145">
        <v>5</v>
      </c>
      <c r="C952" s="129" t="str">
        <v>TVT SLING</v>
      </c>
      <c r="D952" s="129" t="str">
        <v>P2 – Perineum: Simple but Invasive Procedures</v>
      </c>
      <c r="E952" s="129" t="str">
        <v>07 - Perineum</v>
      </c>
      <c r="F952" s="129" t="str">
        <v>Solutions Plus</v>
      </c>
      <c r="G952" s="144" t="str">
        <v>CON-01</v>
      </c>
      <c r="H952" s="129" t="str">
        <v>To confirm</v>
      </c>
      <c r="I952" s="144" t="str">
        <v>No</v>
      </c>
      <c r="J952" s="144" t="str">
        <v>Base</v>
      </c>
      <c r="K952" s="144" t="str">
        <v/>
      </c>
      <c r="L952" s="146">
        <v>9.3000000000000007</v>
      </c>
      <c r="M952" s="142">
        <v>508.75</v>
      </c>
      <c r="N952" s="144" t="str">
        <v>Unknown</v>
      </c>
      <c r="O952" s="142" t="str">
        <v/>
      </c>
      <c r="P952" s="142" t="str">
        <v/>
      </c>
      <c r="Q952" s="142">
        <v>54.704301075268816</v>
      </c>
      <c r="R952" s="129" t="str">
        <v>Description – likely</v>
      </c>
      <c r="S952" s="143" t="str">
        <v/>
      </c>
      <c r="T952" s="144" t="str">
        <v>SRC-00</v>
      </c>
      <c r="U952" s="129" t="str">
        <v>S+ row 951</v>
      </c>
      <c r="V952" s="129" t="str">
        <v/>
      </c>
    </row>
    <row r="953" spans="1:22" x14ac:dyDescent="0.2">
      <c r="A953" s="144" t="str">
        <v>P2</v>
      </c>
      <c r="B953" s="145">
        <v>5</v>
      </c>
      <c r="C953" s="129" t="str">
        <v>TWO0806377 - Total Removal Of TVT Sling</v>
      </c>
      <c r="D953" s="129" t="str">
        <v>P2 – Perineum: Simple but Invasive Procedures</v>
      </c>
      <c r="E953" s="129" t="str">
        <v>07 - Perineum</v>
      </c>
      <c r="F953" s="129" t="str">
        <v>Solutions Plus</v>
      </c>
      <c r="G953" s="144" t="str">
        <v>CON-01</v>
      </c>
      <c r="H953" s="129" t="str">
        <v>To confirm</v>
      </c>
      <c r="I953" s="144" t="str">
        <v>No</v>
      </c>
      <c r="J953" s="144" t="str">
        <v>Base</v>
      </c>
      <c r="K953" s="144" t="str">
        <v/>
      </c>
      <c r="L953" s="146">
        <v>0</v>
      </c>
      <c r="M953" s="142">
        <v>0</v>
      </c>
      <c r="N953" s="144" t="str">
        <v>Unknown</v>
      </c>
      <c r="O953" s="142" t="str">
        <v/>
      </c>
      <c r="P953" s="142" t="str">
        <v/>
      </c>
      <c r="Q953" s="142" t="str">
        <v/>
      </c>
      <c r="R953" s="129" t="str">
        <v>Description – likely</v>
      </c>
      <c r="S953" s="143" t="str">
        <v/>
      </c>
      <c r="T953" s="144" t="str">
        <v>SRC-00</v>
      </c>
      <c r="U953" s="129" t="str">
        <v>S+ row 952</v>
      </c>
      <c r="V953" s="129" t="str">
        <v/>
      </c>
    </row>
    <row r="954" spans="1:22" x14ac:dyDescent="0.2">
      <c r="A954" s="144" t="str">
        <v>P2</v>
      </c>
      <c r="B954" s="145">
        <v>5</v>
      </c>
      <c r="C954" s="129" t="str">
        <v>Ureteroscopic Laser Stone Extraction</v>
      </c>
      <c r="D954" s="129" t="str">
        <v>P2 – Perineum: Simple but Invasive Procedures</v>
      </c>
      <c r="E954" s="129" t="str">
        <v>07 - Perineum</v>
      </c>
      <c r="F954" s="129" t="str">
        <v>Solutions Plus</v>
      </c>
      <c r="G954" s="144" t="str">
        <v>CON-01</v>
      </c>
      <c r="H954" s="129" t="str">
        <v>To confirm</v>
      </c>
      <c r="I954" s="144" t="str">
        <v>No</v>
      </c>
      <c r="J954" s="144" t="str">
        <v>Base</v>
      </c>
      <c r="K954" s="144" t="str">
        <v/>
      </c>
      <c r="L954" s="146">
        <v>10</v>
      </c>
      <c r="M954" s="142">
        <v>552.20000000000005</v>
      </c>
      <c r="N954" s="144" t="str">
        <v>Unknown</v>
      </c>
      <c r="O954" s="142" t="str">
        <v/>
      </c>
      <c r="P954" s="142" t="str">
        <v/>
      </c>
      <c r="Q954" s="142">
        <v>55.220000000000006</v>
      </c>
      <c r="R954" s="129" t="str">
        <v>Description – likely</v>
      </c>
      <c r="S954" s="143" t="str">
        <v/>
      </c>
      <c r="T954" s="144" t="str">
        <v>SRC-00</v>
      </c>
      <c r="U954" s="129" t="str">
        <v>S+ row 961</v>
      </c>
      <c r="V954" s="129" t="str">
        <v/>
      </c>
    </row>
    <row r="955" spans="1:22" x14ac:dyDescent="0.2">
      <c r="A955" s="144" t="str">
        <v>P2</v>
      </c>
      <c r="B955" s="145">
        <v>5</v>
      </c>
      <c r="C955" s="129" t="str">
        <v>Ureteroscopy</v>
      </c>
      <c r="D955" s="129" t="str">
        <v>P2 – Perineum: Simple but Invasive Procedures</v>
      </c>
      <c r="E955" s="129" t="str">
        <v>07 - Perineum</v>
      </c>
      <c r="F955" s="129" t="str">
        <v>Solutions Plus</v>
      </c>
      <c r="G955" s="144" t="str">
        <v>CON-01</v>
      </c>
      <c r="H955" s="129" t="str">
        <v>To confirm</v>
      </c>
      <c r="I955" s="144" t="str">
        <v>No</v>
      </c>
      <c r="J955" s="144" t="str">
        <v>Base</v>
      </c>
      <c r="K955" s="144" t="str">
        <v/>
      </c>
      <c r="L955" s="146">
        <v>9.6</v>
      </c>
      <c r="M955" s="142">
        <v>525.25</v>
      </c>
      <c r="N955" s="144" t="str">
        <v>Unknown</v>
      </c>
      <c r="O955" s="142" t="str">
        <v/>
      </c>
      <c r="P955" s="142" t="str">
        <v/>
      </c>
      <c r="Q955" s="142">
        <v>54.713541666666671</v>
      </c>
      <c r="R955" s="129" t="str">
        <v>Description – exact</v>
      </c>
      <c r="S955" s="143" t="str">
        <v/>
      </c>
      <c r="T955" s="144" t="str">
        <v>SRC-00</v>
      </c>
      <c r="U955" s="129" t="str">
        <v>S+ row 962</v>
      </c>
      <c r="V955" s="129" t="str">
        <v/>
      </c>
    </row>
    <row r="956" spans="1:22" x14ac:dyDescent="0.2">
      <c r="A956" s="144" t="str">
        <v>P2</v>
      </c>
      <c r="B956" s="145">
        <v>5</v>
      </c>
      <c r="C956" s="129" t="str">
        <v>Urethroplasty</v>
      </c>
      <c r="D956" s="129" t="str">
        <v>P2 – Perineum: Simple but Invasive Procedures</v>
      </c>
      <c r="E956" s="129" t="str">
        <v>07 - Perineum</v>
      </c>
      <c r="F956" s="129" t="str">
        <v>Solutions Plus</v>
      </c>
      <c r="G956" s="144" t="str">
        <v>CON-01</v>
      </c>
      <c r="H956" s="129" t="str">
        <v>To confirm</v>
      </c>
      <c r="I956" s="144" t="str">
        <v>No</v>
      </c>
      <c r="J956" s="144" t="str">
        <v>Base</v>
      </c>
      <c r="K956" s="144" t="str">
        <v/>
      </c>
      <c r="L956" s="146">
        <v>13</v>
      </c>
      <c r="M956" s="142">
        <v>713.9</v>
      </c>
      <c r="N956" s="144" t="str">
        <v>Unknown</v>
      </c>
      <c r="O956" s="142" t="str">
        <v/>
      </c>
      <c r="P956" s="142" t="str">
        <v/>
      </c>
      <c r="Q956" s="142">
        <v>54.91538461538461</v>
      </c>
      <c r="R956" s="129" t="str">
        <v>Description – exact</v>
      </c>
      <c r="S956" s="143" t="str">
        <v/>
      </c>
      <c r="T956" s="144" t="str">
        <v>SRC-00</v>
      </c>
      <c r="U956" s="129" t="str">
        <v>S+ row 963</v>
      </c>
      <c r="V956" s="129" t="str">
        <v/>
      </c>
    </row>
    <row r="957" spans="1:22" x14ac:dyDescent="0.2">
      <c r="A957" s="144" t="str">
        <v>P2</v>
      </c>
      <c r="B957" s="145">
        <v>5</v>
      </c>
      <c r="C957" s="129" t="str">
        <v>Urethrotomy</v>
      </c>
      <c r="D957" s="129" t="str">
        <v>P2 – Perineum: Simple but Invasive Procedures</v>
      </c>
      <c r="E957" s="129" t="str">
        <v>07 - Perineum</v>
      </c>
      <c r="F957" s="129" t="str">
        <v>Solutions Plus</v>
      </c>
      <c r="G957" s="144" t="str">
        <v>CON-01</v>
      </c>
      <c r="H957" s="129" t="str">
        <v>To confirm</v>
      </c>
      <c r="I957" s="144" t="str">
        <v>No</v>
      </c>
      <c r="J957" s="144" t="str">
        <v>Base</v>
      </c>
      <c r="K957" s="144" t="str">
        <v/>
      </c>
      <c r="L957" s="146">
        <v>8.1999999999999993</v>
      </c>
      <c r="M957" s="142">
        <v>451</v>
      </c>
      <c r="N957" s="144" t="str">
        <v>Unknown</v>
      </c>
      <c r="O957" s="142" t="str">
        <v/>
      </c>
      <c r="P957" s="142" t="str">
        <v/>
      </c>
      <c r="Q957" s="142">
        <v>55.000000000000007</v>
      </c>
      <c r="R957" s="129" t="str">
        <v>Description – likely</v>
      </c>
      <c r="S957" s="143" t="str">
        <v/>
      </c>
      <c r="T957" s="144" t="str">
        <v>SRC-00</v>
      </c>
      <c r="U957" s="129" t="str">
        <v>S+ row 964</v>
      </c>
      <c r="V957" s="129" t="str">
        <v/>
      </c>
    </row>
    <row r="958" spans="1:22" x14ac:dyDescent="0.2">
      <c r="A958" s="144" t="str">
        <v>P2</v>
      </c>
      <c r="B958" s="145">
        <v>5</v>
      </c>
      <c r="C958" s="129" t="str">
        <v>Vasectomy</v>
      </c>
      <c r="D958" s="129" t="str">
        <v>P2 – Perineum: Simple but Invasive Procedures</v>
      </c>
      <c r="E958" s="129" t="str">
        <v>07 - Perineum</v>
      </c>
      <c r="F958" s="129" t="str">
        <v>Solutions Plus</v>
      </c>
      <c r="G958" s="144" t="str">
        <v>CON-01</v>
      </c>
      <c r="H958" s="129" t="str">
        <v>To confirm</v>
      </c>
      <c r="I958" s="144" t="str">
        <v>No</v>
      </c>
      <c r="J958" s="144" t="str">
        <v>Base</v>
      </c>
      <c r="K958" s="144" t="str">
        <v/>
      </c>
      <c r="L958" s="146">
        <v>4.5</v>
      </c>
      <c r="M958" s="142">
        <v>248.6</v>
      </c>
      <c r="N958" s="144" t="str">
        <v>Unknown</v>
      </c>
      <c r="O958" s="142" t="str">
        <v/>
      </c>
      <c r="P958" s="142" t="str">
        <v/>
      </c>
      <c r="Q958" s="142">
        <v>55.24444444444444</v>
      </c>
      <c r="R958" s="129" t="str">
        <v>Description – likely</v>
      </c>
      <c r="S958" s="143" t="str">
        <v/>
      </c>
      <c r="T958" s="144" t="str">
        <v>SRC-00</v>
      </c>
      <c r="U958" s="129" t="str">
        <v>S+ row 970</v>
      </c>
      <c r="V958" s="129" t="str">
        <v/>
      </c>
    </row>
    <row r="959" spans="1:22" x14ac:dyDescent="0.2">
      <c r="A959" s="144" t="str">
        <v>P2</v>
      </c>
      <c r="B959" s="145">
        <v>5</v>
      </c>
      <c r="C959" s="129" t="str">
        <v>Vasectomy Reversal</v>
      </c>
      <c r="D959" s="129" t="str">
        <v>P2 – Perineum: Simple but Invasive Procedures</v>
      </c>
      <c r="E959" s="129" t="str">
        <v>07 - Perineum</v>
      </c>
      <c r="F959" s="129" t="str">
        <v>Solutions Plus</v>
      </c>
      <c r="G959" s="144" t="str">
        <v>CON-01</v>
      </c>
      <c r="H959" s="129" t="str">
        <v>To confirm</v>
      </c>
      <c r="I959" s="144" t="str">
        <v>No</v>
      </c>
      <c r="J959" s="144" t="str">
        <v>Base</v>
      </c>
      <c r="K959" s="144" t="str">
        <v/>
      </c>
      <c r="L959" s="146">
        <v>15.3</v>
      </c>
      <c r="M959" s="142">
        <v>843.7</v>
      </c>
      <c r="N959" s="144" t="str">
        <v>Unknown</v>
      </c>
      <c r="O959" s="142" t="str">
        <v/>
      </c>
      <c r="P959" s="142" t="str">
        <v/>
      </c>
      <c r="Q959" s="142">
        <v>55.143790849673202</v>
      </c>
      <c r="R959" s="129" t="str">
        <v>Description – likely</v>
      </c>
      <c r="S959" s="143" t="str">
        <v/>
      </c>
      <c r="T959" s="144" t="str">
        <v>SRC-00</v>
      </c>
      <c r="U959" s="129" t="str">
        <v>S+ row 971</v>
      </c>
      <c r="V959" s="129" t="str">
        <v/>
      </c>
    </row>
    <row r="960" spans="1:22" x14ac:dyDescent="0.2">
      <c r="A960" s="144" t="str">
        <v>P8</v>
      </c>
      <c r="B960" s="145">
        <v>6</v>
      </c>
      <c r="C960" s="129" t="str">
        <v>Caesarean Section (Spinal OR GA), Vaginal Birth under GA</v>
      </c>
      <c r="D960" s="129" t="str">
        <v>P8 – Perineum / Obstetric: Caesarean Section (Spinal OR GA), Vaginal Birth under GA</v>
      </c>
      <c r="E960" s="129" t="str">
        <v>07 - Perineum</v>
      </c>
      <c r="F960" s="129" t="str">
        <v>NZSA RVG</v>
      </c>
      <c r="G960" s="144" t="str">
        <v>CON-10</v>
      </c>
      <c r="H960" s="129" t="str">
        <v>Reference – units only</v>
      </c>
      <c r="I960" s="144" t="str">
        <v>No</v>
      </c>
      <c r="J960" s="144" t="str">
        <v>Base</v>
      </c>
      <c r="K960" s="144" t="str">
        <v>P8</v>
      </c>
      <c r="L960" s="146">
        <v>6</v>
      </c>
      <c r="M960" s="142" t="str">
        <v/>
      </c>
      <c r="N960" s="144" t="str">
        <v/>
      </c>
      <c r="O960" s="142" t="str">
        <v/>
      </c>
      <c r="P960" s="142" t="str">
        <v/>
      </c>
      <c r="Q960" s="142">
        <v>0</v>
      </c>
      <c r="R960" s="129" t="str">
        <v>Unmatched</v>
      </c>
      <c r="S960" s="143" t="str">
        <v/>
      </c>
      <c r="T960" s="144" t="str">
        <v>SRC-01</v>
      </c>
      <c r="U960" s="129" t="str">
        <v>p.10 – Perineum / Obstetric</v>
      </c>
      <c r="V960" s="129" t="str">
        <v>Reference units only – no $ fee (NZSA RVG 2021).</v>
      </c>
    </row>
    <row r="961" spans="1:22" x14ac:dyDescent="0.2">
      <c r="A961" s="144" t="str">
        <v>P7</v>
      </c>
      <c r="B961" s="145">
        <v>5</v>
      </c>
      <c r="C961" s="129" t="str">
        <v>Obstetric Epidural Pain Relief/Evacuation Of Uterus [Post-partum]</v>
      </c>
      <c r="D961" s="129" t="str">
        <v>P7 – Perineum / Obstetric: Obstetric Epidural Pain Relief/Evacuation Of Uterus [Post…</v>
      </c>
      <c r="E961" s="129" t="str">
        <v>07 - Perineum</v>
      </c>
      <c r="F961" s="129" t="str">
        <v>NZSA RVG</v>
      </c>
      <c r="G961" s="144" t="str">
        <v>CON-10</v>
      </c>
      <c r="H961" s="129" t="str">
        <v>Reference – units only</v>
      </c>
      <c r="I961" s="144" t="str">
        <v>No</v>
      </c>
      <c r="J961" s="144" t="str">
        <v>Base</v>
      </c>
      <c r="K961" s="144" t="str">
        <v>P7</v>
      </c>
      <c r="L961" s="146">
        <v>5</v>
      </c>
      <c r="M961" s="142" t="str">
        <v/>
      </c>
      <c r="N961" s="144" t="str">
        <v/>
      </c>
      <c r="O961" s="142" t="str">
        <v/>
      </c>
      <c r="P961" s="142" t="str">
        <v/>
      </c>
      <c r="Q961" s="142">
        <v>0</v>
      </c>
      <c r="R961" s="129" t="str">
        <v>Unmatched</v>
      </c>
      <c r="S961" s="143" t="str">
        <v/>
      </c>
      <c r="T961" s="144" t="str">
        <v>SRC-01</v>
      </c>
      <c r="U961" s="129" t="str">
        <v>p.10 – Perineum / Obstetric</v>
      </c>
      <c r="V961" s="129" t="str">
        <v>Reference units only – no $ fee (NZSA RVG 2021).</v>
      </c>
    </row>
    <row r="962" spans="1:22" x14ac:dyDescent="0.2">
      <c r="A962" s="144" t="str">
        <v>P3</v>
      </c>
      <c r="B962" s="145">
        <v>4</v>
      </c>
      <c r="C962" s="129" t="str">
        <v>Barrigel</v>
      </c>
      <c r="D962" s="129" t="str">
        <v>P3 – Perineum / Urology: Minor Procedures</v>
      </c>
      <c r="E962" s="129" t="str">
        <v>07 - Perineum</v>
      </c>
      <c r="F962" s="129" t="str">
        <v>Solutions Plus</v>
      </c>
      <c r="G962" s="144" t="str">
        <v>CON-01</v>
      </c>
      <c r="H962" s="129" t="str">
        <v>To confirm</v>
      </c>
      <c r="I962" s="144" t="str">
        <v>No</v>
      </c>
      <c r="J962" s="144" t="str">
        <v>Base</v>
      </c>
      <c r="K962" s="144" t="str">
        <v/>
      </c>
      <c r="L962" s="146">
        <v>1</v>
      </c>
      <c r="M962" s="142">
        <v>55</v>
      </c>
      <c r="N962" s="144" t="str">
        <v>Unknown</v>
      </c>
      <c r="O962" s="142" t="str">
        <v/>
      </c>
      <c r="P962" s="142" t="str">
        <v/>
      </c>
      <c r="Q962" s="142">
        <v>55</v>
      </c>
      <c r="R962" s="129" t="str">
        <v>Description – likely</v>
      </c>
      <c r="S962" s="143" t="str">
        <v/>
      </c>
      <c r="T962" s="144" t="str">
        <v>SRC-00</v>
      </c>
      <c r="U962" s="129" t="str">
        <v>S+ row 59</v>
      </c>
      <c r="V962" s="129" t="str">
        <v/>
      </c>
    </row>
    <row r="963" spans="1:22" x14ac:dyDescent="0.2">
      <c r="A963" s="144" t="str">
        <v>P3</v>
      </c>
      <c r="B963" s="145">
        <v>4</v>
      </c>
      <c r="C963" s="129" t="str">
        <v>Barrigel Insertion</v>
      </c>
      <c r="D963" s="129" t="str">
        <v>P3 – Perineum / Urology: Minor Procedures</v>
      </c>
      <c r="E963" s="129" t="str">
        <v>07 - Perineum</v>
      </c>
      <c r="F963" s="129" t="str">
        <v>Solutions Plus</v>
      </c>
      <c r="G963" s="144" t="str">
        <v>CON-01</v>
      </c>
      <c r="H963" s="129" t="str">
        <v>To confirm</v>
      </c>
      <c r="I963" s="144" t="str">
        <v>No</v>
      </c>
      <c r="J963" s="144" t="str">
        <v>Base</v>
      </c>
      <c r="K963" s="144" t="str">
        <v/>
      </c>
      <c r="L963" s="146">
        <v>4.5</v>
      </c>
      <c r="M963" s="142">
        <v>247.5</v>
      </c>
      <c r="N963" s="144" t="str">
        <v>Unknown</v>
      </c>
      <c r="O963" s="142" t="str">
        <v/>
      </c>
      <c r="P963" s="142" t="str">
        <v/>
      </c>
      <c r="Q963" s="142">
        <v>55</v>
      </c>
      <c r="R963" s="129" t="str">
        <v>Description – likely</v>
      </c>
      <c r="S963" s="143" t="str">
        <v/>
      </c>
      <c r="T963" s="144" t="str">
        <v>SRC-00</v>
      </c>
      <c r="U963" s="129" t="str">
        <v>S+ row 60</v>
      </c>
      <c r="V963" s="129" t="str">
        <v/>
      </c>
    </row>
    <row r="964" spans="1:22" x14ac:dyDescent="0.2">
      <c r="A964" s="144" t="str">
        <v>P3</v>
      </c>
      <c r="B964" s="145">
        <v>4</v>
      </c>
      <c r="C964" s="129" t="str">
        <v>Brachytherapy Prostate</v>
      </c>
      <c r="D964" s="129" t="str">
        <v>P3 – Perineum / Urology: Minor Procedures</v>
      </c>
      <c r="E964" s="129" t="str">
        <v>07 - Perineum</v>
      </c>
      <c r="F964" s="129" t="str">
        <v>Solutions Plus</v>
      </c>
      <c r="G964" s="144" t="str">
        <v>CON-01</v>
      </c>
      <c r="H964" s="129" t="str">
        <v>To confirm</v>
      </c>
      <c r="I964" s="144" t="str">
        <v>No</v>
      </c>
      <c r="J964" s="144" t="str">
        <v>Base</v>
      </c>
      <c r="K964" s="144" t="str">
        <v/>
      </c>
      <c r="L964" s="146">
        <v>9.8000000000000007</v>
      </c>
      <c r="M964" s="142">
        <v>539</v>
      </c>
      <c r="N964" s="144" t="str">
        <v>Unknown</v>
      </c>
      <c r="O964" s="142" t="str">
        <v/>
      </c>
      <c r="P964" s="142" t="str">
        <v/>
      </c>
      <c r="Q964" s="142">
        <v>54.999999999999993</v>
      </c>
      <c r="R964" s="129" t="str">
        <v>Description – exact</v>
      </c>
      <c r="S964" s="143" t="str">
        <v/>
      </c>
      <c r="T964" s="144" t="str">
        <v>SRC-00</v>
      </c>
      <c r="U964" s="129" t="str">
        <v>S+ row 135</v>
      </c>
      <c r="V964" s="129" t="str">
        <v/>
      </c>
    </row>
    <row r="965" spans="1:22" x14ac:dyDescent="0.2">
      <c r="A965" s="144" t="str">
        <v>P6</v>
      </c>
      <c r="B965" s="145">
        <v>10</v>
      </c>
      <c r="C965" s="129" t="str">
        <v>Complex Surgery: Prostatectomy (Radical/Robotic), Nephrectomy, Open Cystectomy</v>
      </c>
      <c r="D965" s="129" t="str">
        <v>P6 – Perineum (printed twice: Urology 10 / Obstetric 4 units)</v>
      </c>
      <c r="E965" s="129" t="str">
        <v>07 - Perineum</v>
      </c>
      <c r="F965" s="129" t="str">
        <v>NZSA RVG</v>
      </c>
      <c r="G965" s="144" t="str">
        <v>CON-10</v>
      </c>
      <c r="H965" s="129" t="str">
        <v>Reference – units only</v>
      </c>
      <c r="I965" s="144" t="str">
        <v>No</v>
      </c>
      <c r="J965" s="144" t="str">
        <v>Base</v>
      </c>
      <c r="K965" s="144" t="str">
        <v>P6</v>
      </c>
      <c r="L965" s="146">
        <v>10</v>
      </c>
      <c r="M965" s="142" t="str">
        <v/>
      </c>
      <c r="N965" s="144" t="str">
        <v/>
      </c>
      <c r="O965" s="142" t="str">
        <v/>
      </c>
      <c r="P965" s="142" t="str">
        <v/>
      </c>
      <c r="Q965" s="142">
        <v>0</v>
      </c>
      <c r="R965" s="129" t="str">
        <v>RVG code</v>
      </c>
      <c r="S965" s="143" t="str">
        <v/>
      </c>
      <c r="T965" s="144" t="str">
        <v>SRC-01</v>
      </c>
      <c r="U965" s="129" t="str">
        <v>p.10 – Perineum / Urology</v>
      </c>
      <c r="V965" s="129" t="str">
        <v>Reference units only – no $ fee (NZSA RVG 2021). DUPLICATE CODE as printed – P6 also used for Obstetric Vaginal Procedures (4); lookup returns the first (10)</v>
      </c>
    </row>
    <row r="966" spans="1:22" x14ac:dyDescent="0.2">
      <c r="A966" s="144" t="str">
        <v>P4</v>
      </c>
      <c r="B966" s="145">
        <v>6</v>
      </c>
      <c r="C966" s="129" t="str">
        <v>Emergency Return To OT To Redo TURP</v>
      </c>
      <c r="D966" s="129" t="str">
        <v>P4 – Perineum / Urology: Moderate Surgery</v>
      </c>
      <c r="E966" s="129" t="str">
        <v>07 - Perineum</v>
      </c>
      <c r="F966" s="129" t="str">
        <v>Solutions Plus</v>
      </c>
      <c r="G966" s="144" t="str">
        <v>CON-01</v>
      </c>
      <c r="H966" s="129" t="str">
        <v>To confirm</v>
      </c>
      <c r="I966" s="144" t="str">
        <v>No</v>
      </c>
      <c r="J966" s="144" t="str">
        <v>Base</v>
      </c>
      <c r="K966" s="144" t="str">
        <v/>
      </c>
      <c r="L966" s="146">
        <v>26</v>
      </c>
      <c r="M966" s="142">
        <v>1430</v>
      </c>
      <c r="N966" s="144" t="str">
        <v>Unknown</v>
      </c>
      <c r="O966" s="142" t="str">
        <v/>
      </c>
      <c r="P966" s="142" t="str">
        <v/>
      </c>
      <c r="Q966" s="142">
        <v>55</v>
      </c>
      <c r="R966" s="129" t="str">
        <v>Description – likely</v>
      </c>
      <c r="S966" s="143" t="str">
        <v/>
      </c>
      <c r="T966" s="144" t="str">
        <v>SRC-00</v>
      </c>
      <c r="U966" s="129" t="str">
        <v>S+ row 269</v>
      </c>
      <c r="V966" s="129" t="str">
        <v/>
      </c>
    </row>
    <row r="967" spans="1:22" x14ac:dyDescent="0.2">
      <c r="A967" s="144" t="str">
        <v>P4</v>
      </c>
      <c r="B967" s="145">
        <v>6</v>
      </c>
      <c r="C967" s="129" t="str">
        <v>HoLEP</v>
      </c>
      <c r="D967" s="129" t="str">
        <v>P4 – Perineum / Urology: Moderate Surgery</v>
      </c>
      <c r="E967" s="129" t="str">
        <v>07 - Perineum</v>
      </c>
      <c r="F967" s="129" t="str">
        <v>Solutions Plus</v>
      </c>
      <c r="G967" s="144" t="str">
        <v>CON-01</v>
      </c>
      <c r="H967" s="129" t="str">
        <v>To confirm</v>
      </c>
      <c r="I967" s="144" t="str">
        <v>No</v>
      </c>
      <c r="J967" s="144" t="str">
        <v>Base</v>
      </c>
      <c r="K967" s="144" t="str">
        <v/>
      </c>
      <c r="L967" s="146">
        <v>12</v>
      </c>
      <c r="M967" s="142">
        <v>657.8</v>
      </c>
      <c r="N967" s="144" t="str">
        <v>Unknown</v>
      </c>
      <c r="O967" s="142" t="str">
        <v/>
      </c>
      <c r="P967" s="142" t="str">
        <v/>
      </c>
      <c r="Q967" s="142">
        <v>54.816666666666663</v>
      </c>
      <c r="R967" s="129" t="str">
        <v>Description – likely</v>
      </c>
      <c r="S967" s="143" t="str">
        <v/>
      </c>
      <c r="T967" s="144" t="str">
        <v>SRC-00</v>
      </c>
      <c r="U967" s="129" t="str">
        <v>S+ row 417</v>
      </c>
      <c r="V967" s="129" t="str">
        <v/>
      </c>
    </row>
    <row r="968" spans="1:22" x14ac:dyDescent="0.2">
      <c r="A968" s="144" t="str">
        <v>P4</v>
      </c>
      <c r="B968" s="145">
        <v>6</v>
      </c>
      <c r="C968" s="129" t="str">
        <v>Holmium Laser Enucleation Of The Prostate</v>
      </c>
      <c r="D968" s="129" t="str">
        <v>P4 – Perineum / Urology: Moderate Surgery</v>
      </c>
      <c r="E968" s="129" t="str">
        <v>07 - Perineum</v>
      </c>
      <c r="F968" s="129" t="str">
        <v>Solutions Plus</v>
      </c>
      <c r="G968" s="144" t="str">
        <v>CON-01</v>
      </c>
      <c r="H968" s="129" t="str">
        <v>To confirm</v>
      </c>
      <c r="I968" s="144" t="str">
        <v>No</v>
      </c>
      <c r="J968" s="144" t="str">
        <v>Base</v>
      </c>
      <c r="K968" s="144" t="str">
        <v/>
      </c>
      <c r="L968" s="146">
        <v>13.5</v>
      </c>
      <c r="M968" s="142">
        <v>742.5</v>
      </c>
      <c r="N968" s="144" t="str">
        <v>Unknown</v>
      </c>
      <c r="O968" s="142" t="str">
        <v/>
      </c>
      <c r="P968" s="142" t="str">
        <v/>
      </c>
      <c r="Q968" s="142">
        <v>55</v>
      </c>
      <c r="R968" s="129" t="str">
        <v>Description – likely</v>
      </c>
      <c r="S968" s="143" t="str">
        <v/>
      </c>
      <c r="T968" s="144" t="str">
        <v>SRC-00</v>
      </c>
      <c r="U968" s="129" t="str">
        <v>S+ row 3</v>
      </c>
      <c r="V968" s="129" t="str">
        <v/>
      </c>
    </row>
    <row r="969" spans="1:22" x14ac:dyDescent="0.2">
      <c r="A969" s="144" t="str">
        <v>P6</v>
      </c>
      <c r="B969" s="145">
        <v>10</v>
      </c>
      <c r="C969" s="129" t="str">
        <v>Laparoscopic Radical Nephrectomy</v>
      </c>
      <c r="D969" s="129" t="str">
        <v>P6 – Perineum (printed twice: Urology 10 / Obstetric 4 units)</v>
      </c>
      <c r="E969" s="129" t="str">
        <v>07 - Perineum</v>
      </c>
      <c r="F969" s="129" t="str">
        <v>Solutions Plus</v>
      </c>
      <c r="G969" s="144" t="str">
        <v>CON-01</v>
      </c>
      <c r="H969" s="129" t="str">
        <v>To confirm</v>
      </c>
      <c r="I969" s="144" t="str">
        <v>No</v>
      </c>
      <c r="J969" s="144" t="str">
        <v>Base</v>
      </c>
      <c r="K969" s="144" t="str">
        <v/>
      </c>
      <c r="L969" s="146">
        <v>21.3</v>
      </c>
      <c r="M969" s="142">
        <v>1173.1500000000001</v>
      </c>
      <c r="N969" s="144" t="str">
        <v>Unknown</v>
      </c>
      <c r="O969" s="142" t="str">
        <v/>
      </c>
      <c r="P969" s="142" t="str">
        <v/>
      </c>
      <c r="Q969" s="142">
        <v>55.077464788732399</v>
      </c>
      <c r="R969" s="129" t="str">
        <v>Description – exact</v>
      </c>
      <c r="S969" s="143" t="str">
        <v/>
      </c>
      <c r="T969" s="144" t="str">
        <v>SRC-00</v>
      </c>
      <c r="U969" s="129" t="str">
        <v>S+ row 497</v>
      </c>
      <c r="V969" s="129" t="str">
        <v/>
      </c>
    </row>
    <row r="970" spans="1:22" x14ac:dyDescent="0.2">
      <c r="A970" s="144" t="str">
        <v>P4</v>
      </c>
      <c r="B970" s="145">
        <v>6</v>
      </c>
      <c r="C970" s="129" t="str">
        <v>Laser Bladder Stones And TURP</v>
      </c>
      <c r="D970" s="129" t="str">
        <v>P4 – Perineum / Urology: Moderate Surgery</v>
      </c>
      <c r="E970" s="129" t="str">
        <v>07 - Perineum</v>
      </c>
      <c r="F970" s="129" t="str">
        <v>Solutions Plus</v>
      </c>
      <c r="G970" s="144" t="str">
        <v>CON-01</v>
      </c>
      <c r="H970" s="129" t="str">
        <v>To confirm</v>
      </c>
      <c r="I970" s="144" t="str">
        <v>No</v>
      </c>
      <c r="J970" s="144" t="str">
        <v>Base</v>
      </c>
      <c r="K970" s="144" t="str">
        <v/>
      </c>
      <c r="L970" s="146">
        <v>11.3</v>
      </c>
      <c r="M970" s="142">
        <v>622.6</v>
      </c>
      <c r="N970" s="144" t="str">
        <v>Unknown</v>
      </c>
      <c r="O970" s="142" t="str">
        <v/>
      </c>
      <c r="P970" s="142" t="str">
        <v/>
      </c>
      <c r="Q970" s="142">
        <v>55.097345132743364</v>
      </c>
      <c r="R970" s="129" t="str">
        <v>Description – exact</v>
      </c>
      <c r="S970" s="143" t="str">
        <v/>
      </c>
      <c r="T970" s="144" t="str">
        <v>SRC-00</v>
      </c>
      <c r="U970" s="129" t="str">
        <v>S+ row 521</v>
      </c>
      <c r="V970" s="129" t="str">
        <v/>
      </c>
    </row>
    <row r="971" spans="1:22" x14ac:dyDescent="0.2">
      <c r="A971" s="144" t="str">
        <v>P5</v>
      </c>
      <c r="B971" s="145">
        <v>8</v>
      </c>
      <c r="C971" s="129" t="str">
        <v>Major Surgery e.g. Percutaneous Nephrolithotomy</v>
      </c>
      <c r="D971" s="129" t="str">
        <v>P5 – Perineum / Urology: Major Surgery</v>
      </c>
      <c r="E971" s="129" t="str">
        <v>07 - Perineum</v>
      </c>
      <c r="F971" s="129" t="str">
        <v>NZSA RVG</v>
      </c>
      <c r="G971" s="144" t="str">
        <v>CON-10</v>
      </c>
      <c r="H971" s="129" t="str">
        <v>Reference – units only</v>
      </c>
      <c r="I971" s="144" t="str">
        <v>No</v>
      </c>
      <c r="J971" s="144" t="str">
        <v>Base</v>
      </c>
      <c r="K971" s="144" t="str">
        <v>P5</v>
      </c>
      <c r="L971" s="146">
        <v>8</v>
      </c>
      <c r="M971" s="142" t="str">
        <v/>
      </c>
      <c r="N971" s="144" t="str">
        <v/>
      </c>
      <c r="O971" s="142" t="str">
        <v/>
      </c>
      <c r="P971" s="142" t="str">
        <v/>
      </c>
      <c r="Q971" s="142">
        <v>0</v>
      </c>
      <c r="R971" s="129" t="str">
        <v>Unmatched</v>
      </c>
      <c r="S971" s="143" t="str">
        <v/>
      </c>
      <c r="T971" s="144" t="str">
        <v>SRC-01</v>
      </c>
      <c r="U971" s="129" t="str">
        <v>p.10 – Perineum / Urology</v>
      </c>
      <c r="V971" s="129" t="str">
        <v>Reference units only – no $ fee (NZSA RVG 2021).</v>
      </c>
    </row>
    <row r="972" spans="1:22" x14ac:dyDescent="0.2">
      <c r="A972" s="144" t="str">
        <v>P3</v>
      </c>
      <c r="B972" s="145">
        <v>4</v>
      </c>
      <c r="C972" s="129" t="str">
        <v>Minor Procedures e.g. Trans-perineal Prostate Procedures such as Rod Insertion or Prostate Biopsy</v>
      </c>
      <c r="D972" s="129" t="str">
        <v>P3 – Perineum / Urology: Minor Procedures</v>
      </c>
      <c r="E972" s="129" t="str">
        <v>07 - Perineum</v>
      </c>
      <c r="F972" s="129" t="str">
        <v>NZSA RVG</v>
      </c>
      <c r="G972" s="144" t="str">
        <v>CON-10</v>
      </c>
      <c r="H972" s="129" t="str">
        <v>Reference – units only</v>
      </c>
      <c r="I972" s="144" t="str">
        <v>No</v>
      </c>
      <c r="J972" s="144" t="str">
        <v>Base</v>
      </c>
      <c r="K972" s="144" t="str">
        <v>P3</v>
      </c>
      <c r="L972" s="146">
        <v>4</v>
      </c>
      <c r="M972" s="142" t="str">
        <v/>
      </c>
      <c r="N972" s="144" t="str">
        <v/>
      </c>
      <c r="O972" s="142" t="str">
        <v/>
      </c>
      <c r="P972" s="142" t="str">
        <v/>
      </c>
      <c r="Q972" s="142">
        <v>0</v>
      </c>
      <c r="R972" s="129" t="str">
        <v>RVG code</v>
      </c>
      <c r="S972" s="143" t="str">
        <v/>
      </c>
      <c r="T972" s="144" t="str">
        <v>SRC-01</v>
      </c>
      <c r="U972" s="129" t="str">
        <v>p.10 – Perineum / Urology</v>
      </c>
      <c r="V972" s="129" t="str">
        <v>Reference units only – no $ fee (NZSA RVG 2021).</v>
      </c>
    </row>
    <row r="973" spans="1:22" x14ac:dyDescent="0.2">
      <c r="A973" s="144" t="str">
        <v>P4</v>
      </c>
      <c r="B973" s="145">
        <v>6</v>
      </c>
      <c r="C973" s="129" t="str">
        <v>Moderate Surgery e.g. TURP</v>
      </c>
      <c r="D973" s="129" t="str">
        <v>P4 – Perineum / Urology: Moderate Surgery</v>
      </c>
      <c r="E973" s="129" t="str">
        <v>07 - Perineum</v>
      </c>
      <c r="F973" s="129" t="str">
        <v>NZSA RVG</v>
      </c>
      <c r="G973" s="144" t="str">
        <v>CON-10</v>
      </c>
      <c r="H973" s="129" t="str">
        <v>Reference – units only</v>
      </c>
      <c r="I973" s="144" t="str">
        <v>No</v>
      </c>
      <c r="J973" s="144" t="str">
        <v>Base</v>
      </c>
      <c r="K973" s="144" t="str">
        <v>P4</v>
      </c>
      <c r="L973" s="146">
        <v>6</v>
      </c>
      <c r="M973" s="142" t="str">
        <v/>
      </c>
      <c r="N973" s="144" t="str">
        <v/>
      </c>
      <c r="O973" s="142" t="str">
        <v/>
      </c>
      <c r="P973" s="142" t="str">
        <v/>
      </c>
      <c r="Q973" s="142">
        <v>0</v>
      </c>
      <c r="R973" s="129" t="str">
        <v>RVG code</v>
      </c>
      <c r="S973" s="143" t="str">
        <v/>
      </c>
      <c r="T973" s="144" t="str">
        <v>SRC-01</v>
      </c>
      <c r="U973" s="129" t="str">
        <v>p.10 – Perineum / Urology</v>
      </c>
      <c r="V973" s="129" t="str">
        <v>Reference units only – no $ fee (NZSA RVG 2021).</v>
      </c>
    </row>
    <row r="974" spans="1:22" x14ac:dyDescent="0.2">
      <c r="A974" s="144" t="str">
        <v>P6</v>
      </c>
      <c r="B974" s="145">
        <v>10</v>
      </c>
      <c r="C974" s="129" t="str">
        <v>Obstetric Vaginal Procedures</v>
      </c>
      <c r="D974" s="129" t="str">
        <v>P6 – Perineum (printed twice: Urology 10 / Obstetric 4 units)</v>
      </c>
      <c r="E974" s="129" t="str">
        <v>07 - Perineum</v>
      </c>
      <c r="F974" s="129" t="str">
        <v>NZSA RVG</v>
      </c>
      <c r="G974" s="144" t="str">
        <v>CON-10</v>
      </c>
      <c r="H974" s="129" t="str">
        <v>Reference – units only</v>
      </c>
      <c r="I974" s="144" t="str">
        <v>No</v>
      </c>
      <c r="J974" s="144" t="str">
        <v>Base</v>
      </c>
      <c r="K974" s="144" t="str">
        <v>P6</v>
      </c>
      <c r="L974" s="146">
        <v>4</v>
      </c>
      <c r="M974" s="142" t="str">
        <v/>
      </c>
      <c r="N974" s="144" t="str">
        <v/>
      </c>
      <c r="O974" s="142" t="str">
        <v/>
      </c>
      <c r="P974" s="142" t="str">
        <v/>
      </c>
      <c r="Q974" s="142">
        <v>0</v>
      </c>
      <c r="R974" s="129" t="str">
        <v>RVG code</v>
      </c>
      <c r="S974" s="143" t="str">
        <v/>
      </c>
      <c r="T974" s="144" t="str">
        <v>SRC-01</v>
      </c>
      <c r="U974" s="129" t="str">
        <v>p.10 – Perineum / Obstetric</v>
      </c>
      <c r="V974" s="129" t="str">
        <v>Reference units only – no $ fee (NZSA RVG 2021). DUPLICATE CODE as printed – second P6 (Obstetric)</v>
      </c>
    </row>
    <row r="975" spans="1:22" x14ac:dyDescent="0.2">
      <c r="A975" s="144" t="str">
        <v>P6</v>
      </c>
      <c r="B975" s="145">
        <v>10</v>
      </c>
      <c r="C975" s="129" t="str">
        <v>Radical Prostatectomy</v>
      </c>
      <c r="D975" s="129" t="str">
        <v>P6 – Perineum (printed twice: Urology 10 / Obstetric 4 units)</v>
      </c>
      <c r="E975" s="129" t="str">
        <v>07 - Perineum</v>
      </c>
      <c r="F975" s="129" t="str">
        <v>Solutions Plus</v>
      </c>
      <c r="G975" s="144" t="str">
        <v>CON-01</v>
      </c>
      <c r="H975" s="129" t="str">
        <v>To confirm</v>
      </c>
      <c r="I975" s="144" t="str">
        <v>No</v>
      </c>
      <c r="J975" s="144" t="str">
        <v>Base</v>
      </c>
      <c r="K975" s="144" t="str">
        <v/>
      </c>
      <c r="L975" s="146">
        <v>19.8</v>
      </c>
      <c r="M975" s="142">
        <v>1086.8</v>
      </c>
      <c r="N975" s="144" t="str">
        <v>Unknown</v>
      </c>
      <c r="O975" s="142" t="str">
        <v/>
      </c>
      <c r="P975" s="142" t="str">
        <v/>
      </c>
      <c r="Q975" s="142">
        <v>54.888888888888886</v>
      </c>
      <c r="R975" s="129" t="str">
        <v>Description – exact</v>
      </c>
      <c r="S975" s="143" t="str">
        <v/>
      </c>
      <c r="T975" s="144" t="str">
        <v>SRC-00</v>
      </c>
      <c r="U975" s="129" t="str">
        <v>S+ row 710</v>
      </c>
      <c r="V975" s="129" t="str">
        <v/>
      </c>
    </row>
    <row r="976" spans="1:22" x14ac:dyDescent="0.2">
      <c r="A976" s="144" t="str">
        <v>P6</v>
      </c>
      <c r="B976" s="145">
        <v>10</v>
      </c>
      <c r="C976" s="129" t="str">
        <v>Right Laparoscopic Pyeloplasty - CDHB</v>
      </c>
      <c r="D976" s="129" t="str">
        <v>P6 – Perineum (printed twice: Urology 10 / Obstetric 4 units)</v>
      </c>
      <c r="E976" s="129" t="str">
        <v>07 - Perineum</v>
      </c>
      <c r="F976" s="129" t="str">
        <v>Solutions Plus</v>
      </c>
      <c r="G976" s="144" t="str">
        <v>CON-01</v>
      </c>
      <c r="H976" s="129" t="str">
        <v>To confirm</v>
      </c>
      <c r="I976" s="144" t="str">
        <v>No</v>
      </c>
      <c r="J976" s="144" t="str">
        <v>Base</v>
      </c>
      <c r="K976" s="144" t="str">
        <v/>
      </c>
      <c r="L976" s="146">
        <v>29</v>
      </c>
      <c r="M976" s="142">
        <v>1595</v>
      </c>
      <c r="N976" s="144" t="str">
        <v>Unknown</v>
      </c>
      <c r="O976" s="142" t="str">
        <v/>
      </c>
      <c r="P976" s="142" t="str">
        <v/>
      </c>
      <c r="Q976" s="142">
        <v>55</v>
      </c>
      <c r="R976" s="129" t="str">
        <v>Description – likely</v>
      </c>
      <c r="S976" s="143" t="str">
        <v/>
      </c>
      <c r="T976" s="144" t="str">
        <v>SRC-00</v>
      </c>
      <c r="U976" s="129" t="str">
        <v>S+ row 811</v>
      </c>
      <c r="V976" s="129" t="str">
        <v/>
      </c>
    </row>
    <row r="977" spans="1:22" x14ac:dyDescent="0.2">
      <c r="A977" s="144" t="str">
        <v>P6</v>
      </c>
      <c r="B977" s="145">
        <v>10</v>
      </c>
      <c r="C977" s="129" t="str">
        <v>Robot Assisted Laparoscopic Prostatectomy</v>
      </c>
      <c r="D977" s="129" t="str">
        <v>P6 – Perineum (printed twice: Urology 10 / Obstetric 4 units)</v>
      </c>
      <c r="E977" s="129" t="str">
        <v>07 - Perineum</v>
      </c>
      <c r="F977" s="129" t="str">
        <v>Solutions Plus</v>
      </c>
      <c r="G977" s="144" t="str">
        <v>CON-01</v>
      </c>
      <c r="H977" s="129" t="str">
        <v>To confirm</v>
      </c>
      <c r="I977" s="144" t="str">
        <v>No</v>
      </c>
      <c r="J977" s="144" t="str">
        <v>Base</v>
      </c>
      <c r="K977" s="144" t="str">
        <v/>
      </c>
      <c r="L977" s="146">
        <v>25.6</v>
      </c>
      <c r="M977" s="142">
        <v>1409.65</v>
      </c>
      <c r="N977" s="144" t="str">
        <v>Unknown</v>
      </c>
      <c r="O977" s="142" t="str">
        <v/>
      </c>
      <c r="P977" s="142" t="str">
        <v/>
      </c>
      <c r="Q977" s="142">
        <v>55.064453125</v>
      </c>
      <c r="R977" s="129" t="str">
        <v>Description – exact</v>
      </c>
      <c r="S977" s="143" t="str">
        <v/>
      </c>
      <c r="T977" s="144" t="str">
        <v>SRC-00</v>
      </c>
      <c r="U977" s="129" t="str">
        <v>S+ row 845</v>
      </c>
      <c r="V977" s="129" t="str">
        <v/>
      </c>
    </row>
    <row r="978" spans="1:22" x14ac:dyDescent="0.2">
      <c r="A978" s="144" t="str">
        <v>P6</v>
      </c>
      <c r="B978" s="145">
        <v>10</v>
      </c>
      <c r="C978" s="129" t="str">
        <v>Robot Assisted Radical Prostatectomy</v>
      </c>
      <c r="D978" s="129" t="str">
        <v>P6 – Perineum (printed twice: Urology 10 / Obstetric 4 units)</v>
      </c>
      <c r="E978" s="129" t="str">
        <v>07 - Perineum</v>
      </c>
      <c r="F978" s="129" t="str">
        <v>Solutions Plus</v>
      </c>
      <c r="G978" s="144" t="str">
        <v>CON-01</v>
      </c>
      <c r="H978" s="129" t="str">
        <v>To confirm</v>
      </c>
      <c r="I978" s="144" t="str">
        <v>No</v>
      </c>
      <c r="J978" s="144" t="str">
        <v>Base</v>
      </c>
      <c r="K978" s="144" t="str">
        <v/>
      </c>
      <c r="L978" s="146">
        <v>25.9</v>
      </c>
      <c r="M978" s="142">
        <v>1423.95</v>
      </c>
      <c r="N978" s="144" t="str">
        <v>Unknown</v>
      </c>
      <c r="O978" s="142" t="str">
        <v/>
      </c>
      <c r="P978" s="142" t="str">
        <v/>
      </c>
      <c r="Q978" s="142">
        <v>54.978764478764482</v>
      </c>
      <c r="R978" s="129" t="str">
        <v>Description – exact</v>
      </c>
      <c r="S978" s="143" t="str">
        <v/>
      </c>
      <c r="T978" s="144" t="str">
        <v>SRC-00</v>
      </c>
      <c r="U978" s="129" t="str">
        <v>S+ row 846</v>
      </c>
      <c r="V978" s="129" t="str">
        <v/>
      </c>
    </row>
    <row r="979" spans="1:22" x14ac:dyDescent="0.2">
      <c r="A979" s="144" t="str">
        <v>P6</v>
      </c>
      <c r="B979" s="145">
        <v>10</v>
      </c>
      <c r="C979" s="129" t="str">
        <v>Robot Radical Prostatectomy</v>
      </c>
      <c r="D979" s="129" t="str">
        <v>P6 – Perineum (printed twice: Urology 10 / Obstetric 4 units)</v>
      </c>
      <c r="E979" s="129" t="str">
        <v>07 - Perineum</v>
      </c>
      <c r="F979" s="129" t="str">
        <v>Solutions Plus</v>
      </c>
      <c r="G979" s="144" t="str">
        <v>CON-01</v>
      </c>
      <c r="H979" s="129" t="str">
        <v>To confirm</v>
      </c>
      <c r="I979" s="144" t="str">
        <v>No</v>
      </c>
      <c r="J979" s="144" t="str">
        <v>Base</v>
      </c>
      <c r="K979" s="144" t="str">
        <v/>
      </c>
      <c r="L979" s="146">
        <v>27</v>
      </c>
      <c r="M979" s="142">
        <v>1485</v>
      </c>
      <c r="N979" s="144" t="str">
        <v>Unknown</v>
      </c>
      <c r="O979" s="142" t="str">
        <v/>
      </c>
      <c r="P979" s="142" t="str">
        <v/>
      </c>
      <c r="Q979" s="142">
        <v>55</v>
      </c>
      <c r="R979" s="129" t="str">
        <v>Description – exact</v>
      </c>
      <c r="S979" s="143" t="str">
        <v/>
      </c>
      <c r="T979" s="144" t="str">
        <v>SRC-00</v>
      </c>
      <c r="U979" s="129" t="str">
        <v>S+ row 847</v>
      </c>
      <c r="V979" s="129" t="str">
        <v/>
      </c>
    </row>
    <row r="980" spans="1:22" x14ac:dyDescent="0.2">
      <c r="A980" s="144" t="str">
        <v>P6</v>
      </c>
      <c r="B980" s="145">
        <v>10</v>
      </c>
      <c r="C980" s="129" t="str">
        <v>Robotic Assisted Laparoscopic Prostatectomy</v>
      </c>
      <c r="D980" s="129" t="str">
        <v>P6 – Perineum (printed twice: Urology 10 / Obstetric 4 units)</v>
      </c>
      <c r="E980" s="129" t="str">
        <v>07 - Perineum</v>
      </c>
      <c r="F980" s="129" t="str">
        <v>Solutions Plus</v>
      </c>
      <c r="G980" s="144" t="str">
        <v>CON-01</v>
      </c>
      <c r="H980" s="129" t="str">
        <v>To confirm</v>
      </c>
      <c r="I980" s="144" t="str">
        <v>No</v>
      </c>
      <c r="J980" s="144" t="str">
        <v>Base</v>
      </c>
      <c r="K980" s="144" t="str">
        <v/>
      </c>
      <c r="L980" s="146">
        <v>28</v>
      </c>
      <c r="M980" s="142">
        <v>1537.25</v>
      </c>
      <c r="N980" s="144" t="str">
        <v>Unknown</v>
      </c>
      <c r="O980" s="142" t="str">
        <v/>
      </c>
      <c r="P980" s="142" t="str">
        <v/>
      </c>
      <c r="Q980" s="142">
        <v>54.901785714285715</v>
      </c>
      <c r="R980" s="129" t="str">
        <v>Description – exact</v>
      </c>
      <c r="S980" s="143" t="str">
        <v/>
      </c>
      <c r="T980" s="144" t="str">
        <v>SRC-00</v>
      </c>
      <c r="U980" s="129" t="str">
        <v>S+ row 848</v>
      </c>
      <c r="V980" s="129" t="str">
        <v/>
      </c>
    </row>
    <row r="981" spans="1:22" x14ac:dyDescent="0.2">
      <c r="A981" s="144" t="str">
        <v>P6</v>
      </c>
      <c r="B981" s="145">
        <v>10</v>
      </c>
      <c r="C981" s="129" t="str">
        <v>Robotic Assisted Radical Prostatectomy</v>
      </c>
      <c r="D981" s="129" t="str">
        <v>P6 – Perineum (printed twice: Urology 10 / Obstetric 4 units)</v>
      </c>
      <c r="E981" s="129" t="str">
        <v>07 - Perineum</v>
      </c>
      <c r="F981" s="129" t="str">
        <v>Solutions Plus</v>
      </c>
      <c r="G981" s="144" t="str">
        <v>CON-01</v>
      </c>
      <c r="H981" s="129" t="str">
        <v>To confirm</v>
      </c>
      <c r="I981" s="144" t="str">
        <v>No</v>
      </c>
      <c r="J981" s="144" t="str">
        <v>Base</v>
      </c>
      <c r="K981" s="144" t="str">
        <v/>
      </c>
      <c r="L981" s="146">
        <v>25.4</v>
      </c>
      <c r="M981" s="142">
        <v>1394.8</v>
      </c>
      <c r="N981" s="144" t="str">
        <v>Unknown</v>
      </c>
      <c r="O981" s="142" t="str">
        <v/>
      </c>
      <c r="P981" s="142" t="str">
        <v/>
      </c>
      <c r="Q981" s="142">
        <v>54.913385826771652</v>
      </c>
      <c r="R981" s="129" t="str">
        <v>Description – exact</v>
      </c>
      <c r="S981" s="143" t="str">
        <v/>
      </c>
      <c r="T981" s="144" t="str">
        <v>SRC-00</v>
      </c>
      <c r="U981" s="129" t="str">
        <v>S+ row 849</v>
      </c>
      <c r="V981" s="129" t="str">
        <v/>
      </c>
    </row>
    <row r="982" spans="1:22" x14ac:dyDescent="0.2">
      <c r="A982" s="144" t="str">
        <v>P6</v>
      </c>
      <c r="B982" s="145">
        <v>10</v>
      </c>
      <c r="C982" s="129" t="str">
        <v>Robotic Radical Prostatectomy</v>
      </c>
      <c r="D982" s="129" t="str">
        <v>P6 – Perineum (printed twice: Urology 10 / Obstetric 4 units)</v>
      </c>
      <c r="E982" s="129" t="str">
        <v>07 - Perineum</v>
      </c>
      <c r="F982" s="129" t="str">
        <v>Solutions Plus</v>
      </c>
      <c r="G982" s="144" t="str">
        <v>CON-01</v>
      </c>
      <c r="H982" s="129" t="str">
        <v>To confirm</v>
      </c>
      <c r="I982" s="144" t="str">
        <v>No</v>
      </c>
      <c r="J982" s="144" t="str">
        <v>Base</v>
      </c>
      <c r="K982" s="144" t="str">
        <v/>
      </c>
      <c r="L982" s="146">
        <v>25.8</v>
      </c>
      <c r="M982" s="142">
        <v>1418.45</v>
      </c>
      <c r="N982" s="144" t="str">
        <v>Unknown</v>
      </c>
      <c r="O982" s="142" t="str">
        <v/>
      </c>
      <c r="P982" s="142" t="str">
        <v/>
      </c>
      <c r="Q982" s="142">
        <v>54.978682170542633</v>
      </c>
      <c r="R982" s="129" t="str">
        <v>Description – exact</v>
      </c>
      <c r="S982" s="143" t="str">
        <v/>
      </c>
      <c r="T982" s="144" t="str">
        <v>SRC-00</v>
      </c>
      <c r="U982" s="129" t="str">
        <v>S+ row 850</v>
      </c>
      <c r="V982" s="129" t="str">
        <v/>
      </c>
    </row>
    <row r="983" spans="1:22" x14ac:dyDescent="0.2">
      <c r="A983" s="144" t="str">
        <v>P3</v>
      </c>
      <c r="B983" s="145">
        <v>4</v>
      </c>
      <c r="C983" s="129" t="str">
        <v>Seed Insertion Brachytherapy</v>
      </c>
      <c r="D983" s="129" t="str">
        <v>P3 – Perineum / Urology: Minor Procedures</v>
      </c>
      <c r="E983" s="129" t="str">
        <v>07 - Perineum</v>
      </c>
      <c r="F983" s="129" t="str">
        <v>Solutions Plus</v>
      </c>
      <c r="G983" s="144" t="str">
        <v>CON-01</v>
      </c>
      <c r="H983" s="129" t="str">
        <v>To confirm</v>
      </c>
      <c r="I983" s="144" t="str">
        <v>No</v>
      </c>
      <c r="J983" s="144" t="str">
        <v>Base</v>
      </c>
      <c r="K983" s="144" t="str">
        <v/>
      </c>
      <c r="L983" s="146">
        <v>0</v>
      </c>
      <c r="M983" s="142">
        <v>0</v>
      </c>
      <c r="N983" s="144" t="str">
        <v>Unknown</v>
      </c>
      <c r="O983" s="142" t="str">
        <v/>
      </c>
      <c r="P983" s="142" t="str">
        <v/>
      </c>
      <c r="Q983" s="142" t="str">
        <v/>
      </c>
      <c r="R983" s="129" t="str">
        <v>Description – exact</v>
      </c>
      <c r="S983" s="143" t="str">
        <v/>
      </c>
      <c r="T983" s="144" t="str">
        <v>SRC-00</v>
      </c>
      <c r="U983" s="129" t="str">
        <v>S+ row 858</v>
      </c>
      <c r="V983" s="129" t="str">
        <v/>
      </c>
    </row>
    <row r="984" spans="1:22" x14ac:dyDescent="0.2">
      <c r="A984" s="144" t="str">
        <v>P3</v>
      </c>
      <c r="B984" s="145">
        <v>4</v>
      </c>
      <c r="C984" s="129" t="str">
        <v>Transperineal Prostate Biopsy</v>
      </c>
      <c r="D984" s="129" t="str">
        <v>P3 – Perineum / Urology: Minor Procedures</v>
      </c>
      <c r="E984" s="129" t="str">
        <v>07 - Perineum</v>
      </c>
      <c r="F984" s="129" t="str">
        <v>Solutions Plus</v>
      </c>
      <c r="G984" s="144" t="str">
        <v>CON-01</v>
      </c>
      <c r="H984" s="129" t="str">
        <v>To confirm</v>
      </c>
      <c r="I984" s="144" t="str">
        <v>No</v>
      </c>
      <c r="J984" s="144" t="str">
        <v>Base</v>
      </c>
      <c r="K984" s="144" t="str">
        <v/>
      </c>
      <c r="L984" s="146">
        <v>7.2</v>
      </c>
      <c r="M984" s="142">
        <v>395.45</v>
      </c>
      <c r="N984" s="144" t="str">
        <v>Unknown</v>
      </c>
      <c r="O984" s="142" t="str">
        <v/>
      </c>
      <c r="P984" s="142" t="str">
        <v/>
      </c>
      <c r="Q984" s="142">
        <v>54.923611111111107</v>
      </c>
      <c r="R984" s="129" t="str">
        <v>Description – exact</v>
      </c>
      <c r="S984" s="143" t="str">
        <v/>
      </c>
      <c r="T984" s="144" t="str">
        <v>SRC-00</v>
      </c>
      <c r="U984" s="129" t="str">
        <v>S+ row 941</v>
      </c>
      <c r="V984" s="129" t="str">
        <v/>
      </c>
    </row>
    <row r="985" spans="1:22" x14ac:dyDescent="0.2">
      <c r="A985" s="144" t="str">
        <v>P3</v>
      </c>
      <c r="B985" s="145">
        <v>4</v>
      </c>
      <c r="C985" s="129" t="str">
        <v>Transperineal Prostate Biopsy CDHB</v>
      </c>
      <c r="D985" s="129" t="str">
        <v>P3 – Perineum / Urology: Minor Procedures</v>
      </c>
      <c r="E985" s="129" t="str">
        <v>07 - Perineum</v>
      </c>
      <c r="F985" s="129" t="str">
        <v>Solutions Plus</v>
      </c>
      <c r="G985" s="144" t="str">
        <v>CON-01</v>
      </c>
      <c r="H985" s="129" t="str">
        <v>To confirm</v>
      </c>
      <c r="I985" s="144" t="str">
        <v>No</v>
      </c>
      <c r="J985" s="144" t="str">
        <v>Base</v>
      </c>
      <c r="K985" s="144" t="str">
        <v/>
      </c>
      <c r="L985" s="146">
        <v>7.5</v>
      </c>
      <c r="M985" s="142">
        <v>414.15</v>
      </c>
      <c r="N985" s="144" t="str">
        <v>Unknown</v>
      </c>
      <c r="O985" s="142" t="str">
        <v/>
      </c>
      <c r="P985" s="142" t="str">
        <v/>
      </c>
      <c r="Q985" s="142">
        <v>55.22</v>
      </c>
      <c r="R985" s="129" t="str">
        <v>Description – exact</v>
      </c>
      <c r="S985" s="143" t="str">
        <v/>
      </c>
      <c r="T985" s="144" t="str">
        <v>SRC-00</v>
      </c>
      <c r="U985" s="129" t="str">
        <v>S+ row 942</v>
      </c>
      <c r="V985" s="129" t="str">
        <v/>
      </c>
    </row>
    <row r="986" spans="1:22" x14ac:dyDescent="0.2">
      <c r="A986" s="144" t="str">
        <v>P4</v>
      </c>
      <c r="B986" s="145">
        <v>6</v>
      </c>
      <c r="C986" s="129" t="str">
        <v>Transurethral Resection Of Prostate</v>
      </c>
      <c r="D986" s="129" t="str">
        <v>P4 – Perineum / Urology: Moderate Surgery</v>
      </c>
      <c r="E986" s="129" t="str">
        <v>07 - Perineum</v>
      </c>
      <c r="F986" s="129" t="str">
        <v>Solutions Plus</v>
      </c>
      <c r="G986" s="144" t="str">
        <v>CON-01</v>
      </c>
      <c r="H986" s="129" t="str">
        <v>To confirm</v>
      </c>
      <c r="I986" s="144" t="str">
        <v>No</v>
      </c>
      <c r="J986" s="144" t="str">
        <v>Base</v>
      </c>
      <c r="K986" s="144" t="str">
        <v/>
      </c>
      <c r="L986" s="146">
        <v>11.4</v>
      </c>
      <c r="M986" s="142">
        <v>624.25</v>
      </c>
      <c r="N986" s="144" t="str">
        <v>Unknown</v>
      </c>
      <c r="O986" s="142" t="str">
        <v/>
      </c>
      <c r="P986" s="142" t="str">
        <v/>
      </c>
      <c r="Q986" s="142">
        <v>54.758771929824562</v>
      </c>
      <c r="R986" s="129" t="str">
        <v>Description – exact</v>
      </c>
      <c r="S986" s="143" t="str">
        <v/>
      </c>
      <c r="T986" s="144" t="str">
        <v>SRC-00</v>
      </c>
      <c r="U986" s="129" t="str">
        <v>S+ row 943</v>
      </c>
      <c r="V986" s="129" t="str">
        <v/>
      </c>
    </row>
    <row r="987" spans="1:22" x14ac:dyDescent="0.2">
      <c r="A987" s="144" t="str">
        <v>P4</v>
      </c>
      <c r="B987" s="145">
        <v>6</v>
      </c>
      <c r="C987" s="129" t="str">
        <v>Transurethral Resection Prostate</v>
      </c>
      <c r="D987" s="129" t="str">
        <v>P4 – Perineum / Urology: Moderate Surgery</v>
      </c>
      <c r="E987" s="129" t="str">
        <v>07 - Perineum</v>
      </c>
      <c r="F987" s="129" t="str">
        <v>Solutions Plus</v>
      </c>
      <c r="G987" s="144" t="str">
        <v>CON-01</v>
      </c>
      <c r="H987" s="129" t="str">
        <v>To confirm</v>
      </c>
      <c r="I987" s="144" t="str">
        <v>No</v>
      </c>
      <c r="J987" s="144" t="str">
        <v>Base</v>
      </c>
      <c r="K987" s="144" t="str">
        <v/>
      </c>
      <c r="L987" s="146">
        <v>11.2</v>
      </c>
      <c r="M987" s="142">
        <v>613.79999999999995</v>
      </c>
      <c r="N987" s="144" t="str">
        <v>Unknown</v>
      </c>
      <c r="O987" s="142" t="str">
        <v/>
      </c>
      <c r="P987" s="142" t="str">
        <v/>
      </c>
      <c r="Q987" s="142">
        <v>54.803571428571431</v>
      </c>
      <c r="R987" s="129" t="str">
        <v>Description – exact</v>
      </c>
      <c r="S987" s="143" t="str">
        <v/>
      </c>
      <c r="T987" s="144" t="str">
        <v>SRC-00</v>
      </c>
      <c r="U987" s="129" t="str">
        <v>S+ row 944</v>
      </c>
      <c r="V987" s="129" t="str">
        <v/>
      </c>
    </row>
    <row r="988" spans="1:22" x14ac:dyDescent="0.2">
      <c r="A988" s="144" t="str">
        <v>P4</v>
      </c>
      <c r="B988" s="145">
        <v>6</v>
      </c>
      <c r="C988" s="129" t="str">
        <v>TURP</v>
      </c>
      <c r="D988" s="129" t="str">
        <v>P4 – Perineum / Urology: Moderate Surgery</v>
      </c>
      <c r="E988" s="129" t="str">
        <v>07 - Perineum</v>
      </c>
      <c r="F988" s="129" t="str">
        <v>Solutions Plus</v>
      </c>
      <c r="G988" s="144" t="str">
        <v>CON-01</v>
      </c>
      <c r="H988" s="129" t="str">
        <v>To confirm</v>
      </c>
      <c r="I988" s="144" t="str">
        <v>No</v>
      </c>
      <c r="J988" s="144" t="str">
        <v>Base</v>
      </c>
      <c r="K988" s="144" t="str">
        <v/>
      </c>
      <c r="L988" s="146">
        <v>11.1</v>
      </c>
      <c r="M988" s="142">
        <v>609.4</v>
      </c>
      <c r="N988" s="144" t="str">
        <v>Unknown</v>
      </c>
      <c r="O988" s="142" t="str">
        <v/>
      </c>
      <c r="P988" s="142" t="str">
        <v/>
      </c>
      <c r="Q988" s="142">
        <v>54.900900900900901</v>
      </c>
      <c r="R988" s="129" t="str">
        <v>Description – exact</v>
      </c>
      <c r="S988" s="143" t="str">
        <v/>
      </c>
      <c r="T988" s="144" t="str">
        <v>SRC-00</v>
      </c>
      <c r="U988" s="129" t="str">
        <v>S+ row 949</v>
      </c>
      <c r="V988" s="129" t="str">
        <v/>
      </c>
    </row>
    <row r="989" spans="1:22" x14ac:dyDescent="0.2">
      <c r="A989" s="144" t="str">
        <v>PE1</v>
      </c>
      <c r="B989" s="145">
        <v>4</v>
      </c>
      <c r="C989" s="129" t="str">
        <v>Minor Procedures e.g. Application Hip Spica</v>
      </c>
      <c r="D989" s="129" t="str">
        <v>PE1 – Pelvic: Minor Procedures</v>
      </c>
      <c r="E989" s="129" t="str">
        <v>08 - Pelvic</v>
      </c>
      <c r="F989" s="129" t="str">
        <v>NZSA RVG</v>
      </c>
      <c r="G989" s="144" t="str">
        <v>CON-10</v>
      </c>
      <c r="H989" s="129" t="str">
        <v>Reference – units only</v>
      </c>
      <c r="I989" s="144" t="str">
        <v>No</v>
      </c>
      <c r="J989" s="144" t="str">
        <v>Base</v>
      </c>
      <c r="K989" s="144" t="str">
        <v>PE1</v>
      </c>
      <c r="L989" s="146">
        <v>4</v>
      </c>
      <c r="M989" s="142" t="str">
        <v/>
      </c>
      <c r="N989" s="144" t="str">
        <v/>
      </c>
      <c r="O989" s="142" t="str">
        <v/>
      </c>
      <c r="P989" s="142" t="str">
        <v/>
      </c>
      <c r="Q989" s="142">
        <v>0</v>
      </c>
      <c r="R989" s="129" t="str">
        <v>Unmatched</v>
      </c>
      <c r="S989" s="143" t="str">
        <v/>
      </c>
      <c r="T989" s="144" t="str">
        <v>SRC-01</v>
      </c>
      <c r="U989" s="129" t="str">
        <v>p.10 – Pelvic</v>
      </c>
      <c r="V989" s="129" t="str">
        <v>Reference units only – no $ fee (NZSA RVG 2021).</v>
      </c>
    </row>
    <row r="990" spans="1:22" x14ac:dyDescent="0.2">
      <c r="A990" s="144" t="str">
        <v>PE2</v>
      </c>
      <c r="B990" s="145">
        <v>12</v>
      </c>
      <c r="C990" s="129" t="str">
        <v>Significant Procedures e.g. Open Pelvic Surgery</v>
      </c>
      <c r="D990" s="129" t="str">
        <v>PE2 – Pelvic: Significant Procedures</v>
      </c>
      <c r="E990" s="129" t="str">
        <v>08 - Pelvic</v>
      </c>
      <c r="F990" s="129" t="str">
        <v>NZSA RVG</v>
      </c>
      <c r="G990" s="144" t="str">
        <v>CON-10</v>
      </c>
      <c r="H990" s="129" t="str">
        <v>Reference – units only</v>
      </c>
      <c r="I990" s="144" t="str">
        <v>No</v>
      </c>
      <c r="J990" s="144" t="str">
        <v>Base</v>
      </c>
      <c r="K990" s="144" t="str">
        <v>PE2</v>
      </c>
      <c r="L990" s="146">
        <v>12</v>
      </c>
      <c r="M990" s="142" t="str">
        <v/>
      </c>
      <c r="N990" s="144" t="str">
        <v/>
      </c>
      <c r="O990" s="142" t="str">
        <v/>
      </c>
      <c r="P990" s="142" t="str">
        <v/>
      </c>
      <c r="Q990" s="142">
        <v>0</v>
      </c>
      <c r="R990" s="129" t="str">
        <v>Unmatched</v>
      </c>
      <c r="S990" s="143" t="str">
        <v/>
      </c>
      <c r="T990" s="144" t="str">
        <v>SRC-01</v>
      </c>
      <c r="U990" s="129" t="str">
        <v>p.10 – Pelvic</v>
      </c>
      <c r="V990" s="129" t="str">
        <v>Reference units only – no $ fee (NZSA RVG 2021).</v>
      </c>
    </row>
    <row r="991" spans="1:22" x14ac:dyDescent="0.2">
      <c r="A991" s="144" t="str">
        <v>V5</v>
      </c>
      <c r="B991" s="145">
        <v>20</v>
      </c>
      <c r="C991" s="129" t="str">
        <v>Aorta Bi Illiac Aneurysm Repair</v>
      </c>
      <c r="D991" s="129" t="str">
        <v>V5 – Vascular: Complex Procedure,</v>
      </c>
      <c r="E991" s="129" t="str">
        <v>09 - Vascular</v>
      </c>
      <c r="F991" s="129" t="str">
        <v>Solutions Plus</v>
      </c>
      <c r="G991" s="144" t="str">
        <v>CON-01</v>
      </c>
      <c r="H991" s="129" t="str">
        <v>To confirm</v>
      </c>
      <c r="I991" s="144" t="str">
        <v>No</v>
      </c>
      <c r="J991" s="144" t="str">
        <v>Base</v>
      </c>
      <c r="K991" s="144" t="str">
        <v/>
      </c>
      <c r="L991" s="146">
        <v>44</v>
      </c>
      <c r="M991" s="142">
        <v>2420</v>
      </c>
      <c r="N991" s="144" t="str">
        <v>Unknown</v>
      </c>
      <c r="O991" s="142" t="str">
        <v/>
      </c>
      <c r="P991" s="142" t="str">
        <v/>
      </c>
      <c r="Q991" s="142">
        <v>55</v>
      </c>
      <c r="R991" s="129" t="str">
        <v>Description – likely</v>
      </c>
      <c r="S991" s="143" t="str">
        <v/>
      </c>
      <c r="T991" s="144" t="str">
        <v>SRC-00</v>
      </c>
      <c r="U991" s="129" t="str">
        <v>S+ row 49</v>
      </c>
      <c r="V991" s="129" t="str">
        <v/>
      </c>
    </row>
    <row r="992" spans="1:22" x14ac:dyDescent="0.2">
      <c r="A992" s="144" t="str">
        <v>V4</v>
      </c>
      <c r="B992" s="145">
        <v>10</v>
      </c>
      <c r="C992" s="129" t="str">
        <v>Carotid Endarterectomy</v>
      </c>
      <c r="D992" s="129" t="str">
        <v>V4 – Vascular: Significant Procedure,</v>
      </c>
      <c r="E992" s="129" t="str">
        <v>09 - Vascular</v>
      </c>
      <c r="F992" s="129" t="str">
        <v>Solutions Plus</v>
      </c>
      <c r="G992" s="144" t="str">
        <v>CON-01</v>
      </c>
      <c r="H992" s="129" t="str">
        <v>To confirm</v>
      </c>
      <c r="I992" s="144" t="str">
        <v>No</v>
      </c>
      <c r="J992" s="144" t="str">
        <v>Base</v>
      </c>
      <c r="K992" s="144" t="str">
        <v/>
      </c>
      <c r="L992" s="146">
        <v>21.3</v>
      </c>
      <c r="M992" s="142">
        <v>1172.5999999999999</v>
      </c>
      <c r="N992" s="144" t="str">
        <v>Unknown</v>
      </c>
      <c r="O992" s="142" t="str">
        <v/>
      </c>
      <c r="P992" s="142" t="str">
        <v/>
      </c>
      <c r="Q992" s="142">
        <v>55.051643192488257</v>
      </c>
      <c r="R992" s="129" t="str">
        <v>Description – exact</v>
      </c>
      <c r="S992" s="143" t="str">
        <v/>
      </c>
      <c r="T992" s="144" t="str">
        <v>SRC-00</v>
      </c>
      <c r="U992" s="129" t="str">
        <v>S+ row 150</v>
      </c>
      <c r="V992" s="129" t="str">
        <v/>
      </c>
    </row>
    <row r="993" spans="1:22" x14ac:dyDescent="0.2">
      <c r="A993" s="144" t="str">
        <v>V5</v>
      </c>
      <c r="B993" s="145">
        <v>20</v>
      </c>
      <c r="C993" s="129" t="str">
        <v>Complex Procedure, e.g. Open Abdominal Vascular Procedure</v>
      </c>
      <c r="D993" s="129" t="str">
        <v>V5 – Vascular: Complex Procedure,</v>
      </c>
      <c r="E993" s="129" t="str">
        <v>09 - Vascular</v>
      </c>
      <c r="F993" s="129" t="str">
        <v>NZSA RVG</v>
      </c>
      <c r="G993" s="144" t="str">
        <v>CON-10</v>
      </c>
      <c r="H993" s="129" t="str">
        <v>Reference – units only</v>
      </c>
      <c r="I993" s="144" t="str">
        <v>No</v>
      </c>
      <c r="J993" s="144" t="str">
        <v>Base</v>
      </c>
      <c r="K993" s="144" t="str">
        <v>V5</v>
      </c>
      <c r="L993" s="146">
        <v>20</v>
      </c>
      <c r="M993" s="142" t="str">
        <v/>
      </c>
      <c r="N993" s="144" t="str">
        <v/>
      </c>
      <c r="O993" s="142" t="str">
        <v/>
      </c>
      <c r="P993" s="142" t="str">
        <v/>
      </c>
      <c r="Q993" s="142">
        <v>0</v>
      </c>
      <c r="R993" s="129" t="str">
        <v>RVG code</v>
      </c>
      <c r="S993" s="143" t="str">
        <v/>
      </c>
      <c r="T993" s="144" t="str">
        <v>SRC-01</v>
      </c>
      <c r="U993" s="129" t="str">
        <v>p.10 – Vascular</v>
      </c>
      <c r="V993" s="129" t="str">
        <v>Reference units only – no $ fee (NZSA RVG 2021).</v>
      </c>
    </row>
    <row r="994" spans="1:22" x14ac:dyDescent="0.2">
      <c r="A994" s="144" t="str">
        <v>V4</v>
      </c>
      <c r="B994" s="145">
        <v>10</v>
      </c>
      <c r="C994" s="129" t="str">
        <v>Endoluminal Repair A Aortic Aneurysm</v>
      </c>
      <c r="D994" s="129" t="str">
        <v>V4 – Vascular: Significant Procedure,</v>
      </c>
      <c r="E994" s="129" t="str">
        <v>09 - Vascular</v>
      </c>
      <c r="F994" s="129" t="str">
        <v>Solutions Plus</v>
      </c>
      <c r="G994" s="144" t="str">
        <v>CON-01</v>
      </c>
      <c r="H994" s="129" t="str">
        <v>To confirm</v>
      </c>
      <c r="I994" s="144" t="str">
        <v>No</v>
      </c>
      <c r="J994" s="144" t="str">
        <v>Base</v>
      </c>
      <c r="K994" s="144" t="str">
        <v/>
      </c>
      <c r="L994" s="146">
        <v>35</v>
      </c>
      <c r="M994" s="142">
        <v>1925</v>
      </c>
      <c r="N994" s="144" t="str">
        <v>Unknown</v>
      </c>
      <c r="O994" s="142" t="str">
        <v/>
      </c>
      <c r="P994" s="142" t="str">
        <v/>
      </c>
      <c r="Q994" s="142">
        <v>55</v>
      </c>
      <c r="R994" s="129" t="str">
        <v>Description – exact</v>
      </c>
      <c r="S994" s="143" t="str">
        <v/>
      </c>
      <c r="T994" s="144" t="str">
        <v>SRC-00</v>
      </c>
      <c r="U994" s="129" t="str">
        <v>S+ row 270</v>
      </c>
      <c r="V994" s="129" t="str">
        <v/>
      </c>
    </row>
    <row r="995" spans="1:22" x14ac:dyDescent="0.2">
      <c r="A995" s="144" t="str">
        <v>V3</v>
      </c>
      <c r="B995" s="145">
        <v>8</v>
      </c>
      <c r="C995" s="129" t="str">
        <v>Major Procedure, e.g. Fem-pop Bypass, Non-carotid Vascular Head and Neck Procedure</v>
      </c>
      <c r="D995" s="129" t="str">
        <v>V3 – Vascular: Major Procedure,</v>
      </c>
      <c r="E995" s="129" t="str">
        <v>09 - Vascular</v>
      </c>
      <c r="F995" s="129" t="str">
        <v>NZSA RVG</v>
      </c>
      <c r="G995" s="144" t="str">
        <v>CON-10</v>
      </c>
      <c r="H995" s="129" t="str">
        <v>Reference – units only</v>
      </c>
      <c r="I995" s="144" t="str">
        <v>No</v>
      </c>
      <c r="J995" s="144" t="str">
        <v>Base</v>
      </c>
      <c r="K995" s="144" t="str">
        <v>V3</v>
      </c>
      <c r="L995" s="146">
        <v>8</v>
      </c>
      <c r="M995" s="142" t="str">
        <v/>
      </c>
      <c r="N995" s="144" t="str">
        <v/>
      </c>
      <c r="O995" s="142" t="str">
        <v/>
      </c>
      <c r="P995" s="142" t="str">
        <v/>
      </c>
      <c r="Q995" s="142">
        <v>0</v>
      </c>
      <c r="R995" s="129" t="str">
        <v>Unmatched</v>
      </c>
      <c r="S995" s="143" t="str">
        <v/>
      </c>
      <c r="T995" s="144" t="str">
        <v>SRC-01</v>
      </c>
      <c r="U995" s="129" t="str">
        <v>p.10 – Vascular</v>
      </c>
      <c r="V995" s="129" t="str">
        <v>Reference units only – no $ fee (NZSA RVG 2021).</v>
      </c>
    </row>
    <row r="996" spans="1:22" x14ac:dyDescent="0.2">
      <c r="A996" s="144" t="str">
        <v>V1</v>
      </c>
      <c r="B996" s="145">
        <v>4</v>
      </c>
      <c r="C996" s="129" t="str">
        <v>Minor Procedure, e.g. Varicose Vein Surgery, Port Insertion</v>
      </c>
      <c r="D996" s="129" t="str">
        <v>V1 – Vascular: Minor Procedure,</v>
      </c>
      <c r="E996" s="129" t="str">
        <v>09 - Vascular</v>
      </c>
      <c r="F996" s="129" t="str">
        <v>NZSA RVG</v>
      </c>
      <c r="G996" s="144" t="str">
        <v>CON-10</v>
      </c>
      <c r="H996" s="129" t="str">
        <v>Reference – units only</v>
      </c>
      <c r="I996" s="144" t="str">
        <v>No</v>
      </c>
      <c r="J996" s="144" t="str">
        <v>Base</v>
      </c>
      <c r="K996" s="144" t="str">
        <v>V1</v>
      </c>
      <c r="L996" s="146">
        <v>4</v>
      </c>
      <c r="M996" s="142" t="str">
        <v/>
      </c>
      <c r="N996" s="144" t="str">
        <v/>
      </c>
      <c r="O996" s="142" t="str">
        <v/>
      </c>
      <c r="P996" s="142" t="str">
        <v/>
      </c>
      <c r="Q996" s="142">
        <v>0</v>
      </c>
      <c r="R996" s="129" t="str">
        <v>RVG code</v>
      </c>
      <c r="S996" s="143" t="str">
        <v/>
      </c>
      <c r="T996" s="144" t="str">
        <v>SRC-01</v>
      </c>
      <c r="U996" s="129" t="str">
        <v>p.10 – Vascular</v>
      </c>
      <c r="V996" s="129" t="str">
        <v>Reference units only – no $ fee (NZSA RVG 2021).</v>
      </c>
    </row>
    <row r="997" spans="1:22" x14ac:dyDescent="0.2">
      <c r="A997" s="144" t="str">
        <v>V2</v>
      </c>
      <c r="B997" s="145">
        <v>6</v>
      </c>
      <c r="C997" s="129" t="str">
        <v>Moderate Procedure, e.g. Infra-inguinal Arterial Surgery, Fistula Formation, other Non-aortic or Carotid Vascular Procedure</v>
      </c>
      <c r="D997" s="129" t="str">
        <v>V2 – Vascular: Moderate Procedure,</v>
      </c>
      <c r="E997" s="129" t="str">
        <v>09 - Vascular</v>
      </c>
      <c r="F997" s="129" t="str">
        <v>NZSA RVG</v>
      </c>
      <c r="G997" s="144" t="str">
        <v>CON-10</v>
      </c>
      <c r="H997" s="129" t="str">
        <v>Reference – units only</v>
      </c>
      <c r="I997" s="144" t="str">
        <v>No</v>
      </c>
      <c r="J997" s="144" t="str">
        <v>Base</v>
      </c>
      <c r="K997" s="144" t="str">
        <v>V2</v>
      </c>
      <c r="L997" s="146">
        <v>6</v>
      </c>
      <c r="M997" s="142" t="str">
        <v/>
      </c>
      <c r="N997" s="144" t="str">
        <v/>
      </c>
      <c r="O997" s="142" t="str">
        <v/>
      </c>
      <c r="P997" s="142" t="str">
        <v/>
      </c>
      <c r="Q997" s="142">
        <v>0</v>
      </c>
      <c r="R997" s="129" t="str">
        <v>Unmatched</v>
      </c>
      <c r="S997" s="143" t="str">
        <v/>
      </c>
      <c r="T997" s="144" t="str">
        <v>SRC-01</v>
      </c>
      <c r="U997" s="129" t="str">
        <v>p.10 – Vascular</v>
      </c>
      <c r="V997" s="129" t="str">
        <v>Reference units only – no $ fee (NZSA RVG 2021).</v>
      </c>
    </row>
    <row r="998" spans="1:22" x14ac:dyDescent="0.2">
      <c r="A998" s="144" t="str">
        <v>V5</v>
      </c>
      <c r="B998" s="145">
        <v>20</v>
      </c>
      <c r="C998" s="129" t="str">
        <v>Open AAA Repair</v>
      </c>
      <c r="D998" s="129" t="str">
        <v>V5 – Vascular: Complex Procedure,</v>
      </c>
      <c r="E998" s="129" t="str">
        <v>09 - Vascular</v>
      </c>
      <c r="F998" s="129" t="str">
        <v>Solutions Plus</v>
      </c>
      <c r="G998" s="144" t="str">
        <v>CON-01</v>
      </c>
      <c r="H998" s="129" t="str">
        <v>To confirm</v>
      </c>
      <c r="I998" s="144" t="str">
        <v>No</v>
      </c>
      <c r="J998" s="144" t="str">
        <v>Base</v>
      </c>
      <c r="K998" s="144" t="str">
        <v/>
      </c>
      <c r="L998" s="146">
        <v>49</v>
      </c>
      <c r="M998" s="142">
        <v>2695</v>
      </c>
      <c r="N998" s="144" t="str">
        <v>Unknown</v>
      </c>
      <c r="O998" s="142" t="str">
        <v/>
      </c>
      <c r="P998" s="142" t="str">
        <v/>
      </c>
      <c r="Q998" s="142">
        <v>55</v>
      </c>
      <c r="R998" s="129" t="str">
        <v>Description – exact</v>
      </c>
      <c r="S998" s="143" t="str">
        <v/>
      </c>
      <c r="T998" s="144" t="str">
        <v>SRC-00</v>
      </c>
      <c r="U998" s="129" t="str">
        <v>S+ row 660</v>
      </c>
      <c r="V998" s="129" t="str">
        <v/>
      </c>
    </row>
    <row r="999" spans="1:22" x14ac:dyDescent="0.2">
      <c r="A999" s="144" t="str">
        <v>V4</v>
      </c>
      <c r="B999" s="145">
        <v>10</v>
      </c>
      <c r="C999" s="129" t="str">
        <v>Significant Procedure, e.g. Carotid Endarterectomy, Percutaneous Abdominal Vascular Procedure</v>
      </c>
      <c r="D999" s="129" t="str">
        <v>V4 – Vascular: Significant Procedure,</v>
      </c>
      <c r="E999" s="129" t="str">
        <v>09 - Vascular</v>
      </c>
      <c r="F999" s="129" t="str">
        <v>NZSA RVG</v>
      </c>
      <c r="G999" s="144" t="str">
        <v>CON-10</v>
      </c>
      <c r="H999" s="129" t="str">
        <v>Reference – units only</v>
      </c>
      <c r="I999" s="144" t="str">
        <v>No</v>
      </c>
      <c r="J999" s="144" t="str">
        <v>Base</v>
      </c>
      <c r="K999" s="144" t="str">
        <v>V4</v>
      </c>
      <c r="L999" s="146">
        <v>10</v>
      </c>
      <c r="M999" s="142" t="str">
        <v/>
      </c>
      <c r="N999" s="144" t="str">
        <v/>
      </c>
      <c r="O999" s="142" t="str">
        <v/>
      </c>
      <c r="P999" s="142" t="str">
        <v/>
      </c>
      <c r="Q999" s="142">
        <v>0</v>
      </c>
      <c r="R999" s="129" t="str">
        <v>RVG code</v>
      </c>
      <c r="S999" s="143" t="str">
        <v/>
      </c>
      <c r="T999" s="144" t="str">
        <v>SRC-01</v>
      </c>
      <c r="U999" s="129" t="str">
        <v>p.10 – Vascular</v>
      </c>
      <c r="V999" s="129" t="str">
        <v>Reference units only – no $ fee (NZSA RVG 2021).</v>
      </c>
    </row>
    <row r="1000" spans="1:22" x14ac:dyDescent="0.2">
      <c r="A1000" s="144" t="str">
        <v>V1</v>
      </c>
      <c r="B1000" s="145">
        <v>4</v>
      </c>
      <c r="C1000" s="129" t="str">
        <v>Varicose Veins</v>
      </c>
      <c r="D1000" s="129" t="str">
        <v>V1 – Vascular: Minor Procedure,</v>
      </c>
      <c r="E1000" s="129" t="str">
        <v>09 - Vascular</v>
      </c>
      <c r="F1000" s="129" t="str">
        <v>Solutions Plus</v>
      </c>
      <c r="G1000" s="144" t="str">
        <v>CON-01</v>
      </c>
      <c r="H1000" s="129" t="str">
        <v>To confirm</v>
      </c>
      <c r="I1000" s="144" t="str">
        <v>No</v>
      </c>
      <c r="J1000" s="144" t="str">
        <v>Base</v>
      </c>
      <c r="K1000" s="144" t="str">
        <v/>
      </c>
      <c r="L1000" s="146">
        <v>10.6</v>
      </c>
      <c r="M1000" s="142">
        <v>581.35</v>
      </c>
      <c r="N1000" s="144" t="str">
        <v>Unknown</v>
      </c>
      <c r="O1000" s="142" t="str">
        <v/>
      </c>
      <c r="P1000" s="142" t="str">
        <v/>
      </c>
      <c r="Q1000" s="142">
        <v>54.844339622641513</v>
      </c>
      <c r="R1000" s="129" t="str">
        <v>Description – exact</v>
      </c>
      <c r="S1000" s="143" t="str">
        <v/>
      </c>
      <c r="T1000" s="144" t="str">
        <v>SRC-00</v>
      </c>
      <c r="U1000" s="129" t="str">
        <v>S+ row 969</v>
      </c>
      <c r="V1000" s="129" t="str">
        <v/>
      </c>
    </row>
    <row r="1001" spans="1:22" x14ac:dyDescent="0.2">
      <c r="A1001" s="144" t="str">
        <v>LL3</v>
      </c>
      <c r="B1001" s="145">
        <v>6</v>
      </c>
      <c r="C1001" s="129" t="str">
        <v>ACL Reconstruction</v>
      </c>
      <c r="D1001" s="129" t="str">
        <v>LL3 – Lower Limb: Moderate Soft Tissue/Muscle/Nerve Procedures</v>
      </c>
      <c r="E1001" s="129" t="str">
        <v>10 - Lower Limb</v>
      </c>
      <c r="F1001" s="129" t="str">
        <v>Solutions Plus</v>
      </c>
      <c r="G1001" s="144" t="str">
        <v>CON-01</v>
      </c>
      <c r="H1001" s="129" t="str">
        <v>To confirm</v>
      </c>
      <c r="I1001" s="144" t="str">
        <v>No</v>
      </c>
      <c r="J1001" s="144" t="str">
        <v>Base</v>
      </c>
      <c r="K1001" s="144" t="str">
        <v/>
      </c>
      <c r="L1001" s="146">
        <v>12.7</v>
      </c>
      <c r="M1001" s="142">
        <v>700.7</v>
      </c>
      <c r="N1001" s="144" t="str">
        <v>Unknown</v>
      </c>
      <c r="O1001" s="142" t="str">
        <v/>
      </c>
      <c r="P1001" s="142" t="str">
        <v/>
      </c>
      <c r="Q1001" s="142">
        <v>55.173228346456696</v>
      </c>
      <c r="R1001" s="129" t="str">
        <v>Description – exact</v>
      </c>
      <c r="S1001" s="143" t="str">
        <v/>
      </c>
      <c r="T1001" s="144" t="str">
        <v>SRC-00</v>
      </c>
      <c r="U1001" s="129" t="str">
        <v>S+ row 21</v>
      </c>
      <c r="V1001" s="129" t="str">
        <v/>
      </c>
    </row>
    <row r="1002" spans="1:22" x14ac:dyDescent="0.2">
      <c r="A1002" s="144" t="str">
        <v>LL3</v>
      </c>
      <c r="B1002" s="145">
        <v>6</v>
      </c>
      <c r="C1002" s="129" t="str">
        <v>ACL Repair</v>
      </c>
      <c r="D1002" s="129" t="str">
        <v>LL3 – Lower Limb: Moderate Soft Tissue/Muscle/Nerve Procedures</v>
      </c>
      <c r="E1002" s="129" t="str">
        <v>10 - Lower Limb</v>
      </c>
      <c r="F1002" s="129" t="str">
        <v>Solutions Plus</v>
      </c>
      <c r="G1002" s="144" t="str">
        <v>CON-01</v>
      </c>
      <c r="H1002" s="129" t="str">
        <v>To confirm</v>
      </c>
      <c r="I1002" s="144" t="str">
        <v>No</v>
      </c>
      <c r="J1002" s="144" t="str">
        <v>Base</v>
      </c>
      <c r="K1002" s="144" t="str">
        <v/>
      </c>
      <c r="L1002" s="146">
        <v>12.9</v>
      </c>
      <c r="M1002" s="142">
        <v>709.5</v>
      </c>
      <c r="N1002" s="144" t="str">
        <v>Unknown</v>
      </c>
      <c r="O1002" s="142" t="str">
        <v/>
      </c>
      <c r="P1002" s="142" t="str">
        <v/>
      </c>
      <c r="Q1002" s="142">
        <v>55</v>
      </c>
      <c r="R1002" s="129" t="str">
        <v>Description – exact</v>
      </c>
      <c r="S1002" s="143" t="str">
        <v/>
      </c>
      <c r="T1002" s="144" t="str">
        <v>SRC-00</v>
      </c>
      <c r="U1002" s="129" t="str">
        <v>S+ row 22</v>
      </c>
      <c r="V1002" s="129" t="str">
        <v/>
      </c>
    </row>
    <row r="1003" spans="1:22" x14ac:dyDescent="0.2">
      <c r="A1003" s="144" t="str">
        <v>LL1</v>
      </c>
      <c r="B1003" s="145">
        <v>4</v>
      </c>
      <c r="C1003" s="129" t="str">
        <v>Ankle Arthroscopy</v>
      </c>
      <c r="D1003" s="129" t="str">
        <v>LL1 – Lower Limb: Minor Procedures</v>
      </c>
      <c r="E1003" s="129" t="str">
        <v>10 - Lower Limb</v>
      </c>
      <c r="F1003" s="129" t="str">
        <v>Solutions Plus</v>
      </c>
      <c r="G1003" s="144" t="str">
        <v>CON-01</v>
      </c>
      <c r="H1003" s="129" t="str">
        <v>To confirm</v>
      </c>
      <c r="I1003" s="144" t="str">
        <v>No</v>
      </c>
      <c r="J1003" s="144" t="str">
        <v>Base</v>
      </c>
      <c r="K1003" s="144" t="str">
        <v/>
      </c>
      <c r="L1003" s="146">
        <v>9.6</v>
      </c>
      <c r="M1003" s="142">
        <v>528</v>
      </c>
      <c r="N1003" s="144" t="str">
        <v>Unknown</v>
      </c>
      <c r="O1003" s="142" t="str">
        <v/>
      </c>
      <c r="P1003" s="142" t="str">
        <v/>
      </c>
      <c r="Q1003" s="142">
        <v>55</v>
      </c>
      <c r="R1003" s="129" t="str">
        <v>Description – likely</v>
      </c>
      <c r="S1003" s="143" t="str">
        <v/>
      </c>
      <c r="T1003" s="144" t="str">
        <v>SRC-00</v>
      </c>
      <c r="U1003" s="129" t="str">
        <v>S+ row 40</v>
      </c>
      <c r="V1003" s="129" t="str">
        <v/>
      </c>
    </row>
    <row r="1004" spans="1:22" x14ac:dyDescent="0.2">
      <c r="A1004" s="144" t="str">
        <v>LL3</v>
      </c>
      <c r="B1004" s="145">
        <v>6</v>
      </c>
      <c r="C1004" s="129" t="str">
        <v>Ankle Fusion</v>
      </c>
      <c r="D1004" s="129" t="str">
        <v>LL3 – Lower Limb: Moderate Soft Tissue/Muscle/Nerve Procedures</v>
      </c>
      <c r="E1004" s="129" t="str">
        <v>10 - Lower Limb</v>
      </c>
      <c r="F1004" s="129" t="str">
        <v>Solutions Plus</v>
      </c>
      <c r="G1004" s="144" t="str">
        <v>CON-01</v>
      </c>
      <c r="H1004" s="129" t="str">
        <v>To confirm</v>
      </c>
      <c r="I1004" s="144" t="str">
        <v>No</v>
      </c>
      <c r="J1004" s="144" t="str">
        <v>Base</v>
      </c>
      <c r="K1004" s="144" t="str">
        <v/>
      </c>
      <c r="L1004" s="146">
        <v>15.6</v>
      </c>
      <c r="M1004" s="142">
        <v>860.2</v>
      </c>
      <c r="N1004" s="144" t="str">
        <v>Unknown</v>
      </c>
      <c r="O1004" s="142" t="str">
        <v/>
      </c>
      <c r="P1004" s="142" t="str">
        <v/>
      </c>
      <c r="Q1004" s="142">
        <v>55.141025641025642</v>
      </c>
      <c r="R1004" s="129" t="str">
        <v>Description – likely</v>
      </c>
      <c r="S1004" s="143" t="str">
        <v/>
      </c>
      <c r="T1004" s="144" t="str">
        <v>SRC-00</v>
      </c>
      <c r="U1004" s="129" t="str">
        <v>S+ row 41</v>
      </c>
      <c r="V1004" s="129" t="str">
        <v/>
      </c>
    </row>
    <row r="1005" spans="1:22" x14ac:dyDescent="0.2">
      <c r="A1005" s="144" t="str">
        <v>LL3</v>
      </c>
      <c r="B1005" s="145">
        <v>6</v>
      </c>
      <c r="C1005" s="129" t="str">
        <v>Ankle Reconstruction</v>
      </c>
      <c r="D1005" s="129" t="str">
        <v>LL3 – Lower Limb: Moderate Soft Tissue/Muscle/Nerve Procedures</v>
      </c>
      <c r="E1005" s="129" t="str">
        <v>10 - Lower Limb</v>
      </c>
      <c r="F1005" s="129" t="str">
        <v>Solutions Plus</v>
      </c>
      <c r="G1005" s="144" t="str">
        <v>CON-01</v>
      </c>
      <c r="H1005" s="129" t="str">
        <v>To confirm</v>
      </c>
      <c r="I1005" s="144" t="str">
        <v>No</v>
      </c>
      <c r="J1005" s="144" t="str">
        <v>Base</v>
      </c>
      <c r="K1005" s="144" t="str">
        <v/>
      </c>
      <c r="L1005" s="146">
        <v>12.2</v>
      </c>
      <c r="M1005" s="142">
        <v>668.8</v>
      </c>
      <c r="N1005" s="144" t="str">
        <v>Unknown</v>
      </c>
      <c r="O1005" s="142" t="str">
        <v/>
      </c>
      <c r="P1005" s="142" t="str">
        <v/>
      </c>
      <c r="Q1005" s="142">
        <v>54.819672131147541</v>
      </c>
      <c r="R1005" s="129" t="str">
        <v>Description – likely</v>
      </c>
      <c r="S1005" s="143" t="str">
        <v/>
      </c>
      <c r="T1005" s="144" t="str">
        <v>SRC-00</v>
      </c>
      <c r="U1005" s="129" t="str">
        <v>S+ row 42</v>
      </c>
      <c r="V1005" s="129" t="str">
        <v/>
      </c>
    </row>
    <row r="1006" spans="1:22" x14ac:dyDescent="0.2">
      <c r="A1006" s="144" t="str">
        <v>LL4</v>
      </c>
      <c r="B1006" s="145">
        <v>8</v>
      </c>
      <c r="C1006" s="129" t="str">
        <v>Ankle Replacement</v>
      </c>
      <c r="D1006" s="129" t="str">
        <v>LL4 – Lower Limb: Major Hip/Knee Joint Procedures</v>
      </c>
      <c r="E1006" s="129" t="str">
        <v>10 - Lower Limb</v>
      </c>
      <c r="F1006" s="129" t="str">
        <v>Solutions Plus</v>
      </c>
      <c r="G1006" s="144" t="str">
        <v>CON-01</v>
      </c>
      <c r="H1006" s="129" t="str">
        <v>To confirm</v>
      </c>
      <c r="I1006" s="144" t="str">
        <v>No</v>
      </c>
      <c r="J1006" s="144" t="str">
        <v>Base</v>
      </c>
      <c r="K1006" s="144" t="str">
        <v/>
      </c>
      <c r="L1006" s="146">
        <v>22.4</v>
      </c>
      <c r="M1006" s="142">
        <v>1230.3499999999999</v>
      </c>
      <c r="N1006" s="144" t="str">
        <v>Unknown</v>
      </c>
      <c r="O1006" s="142" t="str">
        <v/>
      </c>
      <c r="P1006" s="142" t="str">
        <v/>
      </c>
      <c r="Q1006" s="142">
        <v>54.926339285714285</v>
      </c>
      <c r="R1006" s="129" t="str">
        <v>Description – likely</v>
      </c>
      <c r="S1006" s="143" t="str">
        <v/>
      </c>
      <c r="T1006" s="144" t="str">
        <v>SRC-00</v>
      </c>
      <c r="U1006" s="129" t="str">
        <v>S+ row 43</v>
      </c>
      <c r="V1006" s="129" t="str">
        <v/>
      </c>
    </row>
    <row r="1007" spans="1:22" x14ac:dyDescent="0.2">
      <c r="A1007" s="144" t="str">
        <v>LL3</v>
      </c>
      <c r="B1007" s="145">
        <v>6</v>
      </c>
      <c r="C1007" s="129" t="str">
        <v>Anterior Cruciate Reconstruction</v>
      </c>
      <c r="D1007" s="129" t="str">
        <v>LL3 – Lower Limb: Moderate Soft Tissue/Muscle/Nerve Procedures</v>
      </c>
      <c r="E1007" s="129" t="str">
        <v>10 - Lower Limb</v>
      </c>
      <c r="F1007" s="129" t="str">
        <v>Solutions Plus</v>
      </c>
      <c r="G1007" s="144" t="str">
        <v>CON-01</v>
      </c>
      <c r="H1007" s="129" t="str">
        <v>To confirm</v>
      </c>
      <c r="I1007" s="144" t="str">
        <v>No</v>
      </c>
      <c r="J1007" s="144" t="str">
        <v>Base</v>
      </c>
      <c r="K1007" s="144" t="str">
        <v/>
      </c>
      <c r="L1007" s="146">
        <v>12.4</v>
      </c>
      <c r="M1007" s="142">
        <v>682</v>
      </c>
      <c r="N1007" s="144" t="str">
        <v>Unknown</v>
      </c>
      <c r="O1007" s="142" t="str">
        <v/>
      </c>
      <c r="P1007" s="142" t="str">
        <v/>
      </c>
      <c r="Q1007" s="142">
        <v>55</v>
      </c>
      <c r="R1007" s="129" t="str">
        <v>Description – exact</v>
      </c>
      <c r="S1007" s="143" t="str">
        <v/>
      </c>
      <c r="T1007" s="144" t="str">
        <v>SRC-00</v>
      </c>
      <c r="U1007" s="129" t="str">
        <v>S+ row 46</v>
      </c>
      <c r="V1007" s="129" t="str">
        <v/>
      </c>
    </row>
    <row r="1008" spans="1:22" x14ac:dyDescent="0.2">
      <c r="A1008" s="144" t="str">
        <v>LL3</v>
      </c>
      <c r="B1008" s="145">
        <v>6</v>
      </c>
      <c r="C1008" s="129" t="str">
        <v>Arthroscopic Cruciate Reconstruction</v>
      </c>
      <c r="D1008" s="129" t="str">
        <v>LL3 – Lower Limb: Moderate Soft Tissue/Muscle/Nerve Procedures</v>
      </c>
      <c r="E1008" s="129" t="str">
        <v>10 - Lower Limb</v>
      </c>
      <c r="F1008" s="129" t="str">
        <v>Solutions Plus</v>
      </c>
      <c r="G1008" s="144" t="str">
        <v>CON-01</v>
      </c>
      <c r="H1008" s="129" t="str">
        <v>To confirm</v>
      </c>
      <c r="I1008" s="144" t="str">
        <v>No</v>
      </c>
      <c r="J1008" s="144" t="str">
        <v>Base</v>
      </c>
      <c r="K1008" s="144" t="str">
        <v/>
      </c>
      <c r="L1008" s="146">
        <v>12</v>
      </c>
      <c r="M1008" s="142">
        <v>660</v>
      </c>
      <c r="N1008" s="144" t="str">
        <v>Unknown</v>
      </c>
      <c r="O1008" s="142" t="str">
        <v/>
      </c>
      <c r="P1008" s="142" t="str">
        <v/>
      </c>
      <c r="Q1008" s="142">
        <v>55</v>
      </c>
      <c r="R1008" s="129" t="str">
        <v>Description – exact</v>
      </c>
      <c r="S1008" s="143" t="str">
        <v/>
      </c>
      <c r="T1008" s="144" t="str">
        <v>SRC-00</v>
      </c>
      <c r="U1008" s="129" t="str">
        <v>S+ row 52</v>
      </c>
      <c r="V1008" s="129" t="str">
        <v/>
      </c>
    </row>
    <row r="1009" spans="1:22" x14ac:dyDescent="0.2">
      <c r="A1009" s="144" t="str">
        <v>LL1</v>
      </c>
      <c r="B1009" s="145">
        <v>4</v>
      </c>
      <c r="C1009" s="129" t="str">
        <v>Arthroscopic Meniscectomy</v>
      </c>
      <c r="D1009" s="129" t="str">
        <v>LL1 – Lower Limb: Minor Procedures</v>
      </c>
      <c r="E1009" s="129" t="str">
        <v>10 - Lower Limb</v>
      </c>
      <c r="F1009" s="129" t="str">
        <v>Solutions Plus</v>
      </c>
      <c r="G1009" s="144" t="str">
        <v>CON-01</v>
      </c>
      <c r="H1009" s="129" t="str">
        <v>To confirm</v>
      </c>
      <c r="I1009" s="144" t="str">
        <v>No</v>
      </c>
      <c r="J1009" s="144" t="str">
        <v>Base</v>
      </c>
      <c r="K1009" s="144" t="str">
        <v/>
      </c>
      <c r="L1009" s="146">
        <v>7</v>
      </c>
      <c r="M1009" s="142">
        <v>386.1</v>
      </c>
      <c r="N1009" s="144" t="str">
        <v>Unknown</v>
      </c>
      <c r="O1009" s="142" t="str">
        <v/>
      </c>
      <c r="P1009" s="142" t="str">
        <v/>
      </c>
      <c r="Q1009" s="142">
        <v>55.157142857142858</v>
      </c>
      <c r="R1009" s="129" t="str">
        <v>Description – exact</v>
      </c>
      <c r="S1009" s="143" t="str">
        <v/>
      </c>
      <c r="T1009" s="144" t="str">
        <v>SRC-00</v>
      </c>
      <c r="U1009" s="129" t="str">
        <v>S+ row 53</v>
      </c>
      <c r="V1009" s="129" t="str">
        <v/>
      </c>
    </row>
    <row r="1010" spans="1:22" x14ac:dyDescent="0.2">
      <c r="A1010" s="144" t="str">
        <v>LL5</v>
      </c>
      <c r="B1010" s="145">
        <v>10</v>
      </c>
      <c r="C1010" s="129" t="str">
        <v>Bilateral Total Hip Replacements</v>
      </c>
      <c r="D1010" s="129" t="str">
        <v>LL5 – Lower Limb: Complex Hip/Knee Joint Procedures</v>
      </c>
      <c r="E1010" s="129" t="str">
        <v>10 - Lower Limb</v>
      </c>
      <c r="F1010" s="129" t="str">
        <v>Solutions Plus</v>
      </c>
      <c r="G1010" s="144" t="str">
        <v>CON-01</v>
      </c>
      <c r="H1010" s="129" t="str">
        <v>To confirm</v>
      </c>
      <c r="I1010" s="144" t="str">
        <v>No</v>
      </c>
      <c r="J1010" s="144" t="str">
        <v>Base</v>
      </c>
      <c r="K1010" s="144" t="str">
        <v/>
      </c>
      <c r="L1010" s="146">
        <v>25.7</v>
      </c>
      <c r="M1010" s="142">
        <v>1413.5</v>
      </c>
      <c r="N1010" s="144" t="str">
        <v>Unknown</v>
      </c>
      <c r="O1010" s="142" t="str">
        <v/>
      </c>
      <c r="P1010" s="142" t="str">
        <v/>
      </c>
      <c r="Q1010" s="142">
        <v>55</v>
      </c>
      <c r="R1010" s="129" t="str">
        <v>Description – exact</v>
      </c>
      <c r="S1010" s="143" t="str">
        <v/>
      </c>
      <c r="T1010" s="144" t="str">
        <v>SRC-00</v>
      </c>
      <c r="U1010" s="129" t="str">
        <v>S+ row 112</v>
      </c>
      <c r="V1010" s="129" t="str">
        <v/>
      </c>
    </row>
    <row r="1011" spans="1:22" x14ac:dyDescent="0.2">
      <c r="A1011" s="144" t="str">
        <v>LL5</v>
      </c>
      <c r="B1011" s="145">
        <v>10</v>
      </c>
      <c r="C1011" s="129" t="str">
        <v>Bilateral Total Knee Joint Replacement</v>
      </c>
      <c r="D1011" s="129" t="str">
        <v>LL5 – Lower Limb: Complex Hip/Knee Joint Procedures</v>
      </c>
      <c r="E1011" s="129" t="str">
        <v>10 - Lower Limb</v>
      </c>
      <c r="F1011" s="129" t="str">
        <v>Solutions Plus</v>
      </c>
      <c r="G1011" s="144" t="str">
        <v>CON-01</v>
      </c>
      <c r="H1011" s="129" t="str">
        <v>To confirm</v>
      </c>
      <c r="I1011" s="144" t="str">
        <v>No</v>
      </c>
      <c r="J1011" s="144" t="str">
        <v>Base</v>
      </c>
      <c r="K1011" s="144" t="str">
        <v/>
      </c>
      <c r="L1011" s="146">
        <v>23.7</v>
      </c>
      <c r="M1011" s="142">
        <v>1301.8499999999999</v>
      </c>
      <c r="N1011" s="144" t="str">
        <v>Unknown</v>
      </c>
      <c r="O1011" s="142" t="str">
        <v/>
      </c>
      <c r="P1011" s="142" t="str">
        <v/>
      </c>
      <c r="Q1011" s="142">
        <v>54.930379746835442</v>
      </c>
      <c r="R1011" s="129" t="str">
        <v>Description – exact</v>
      </c>
      <c r="S1011" s="143" t="str">
        <v/>
      </c>
      <c r="T1011" s="144" t="str">
        <v>SRC-00</v>
      </c>
      <c r="U1011" s="129" t="str">
        <v>S+ row 113</v>
      </c>
      <c r="V1011" s="129" t="str">
        <v/>
      </c>
    </row>
    <row r="1012" spans="1:22" x14ac:dyDescent="0.2">
      <c r="A1012" s="144" t="str">
        <v>LL3</v>
      </c>
      <c r="B1012" s="145">
        <v>6</v>
      </c>
      <c r="C1012" s="129" t="str">
        <v>Bunionectomy</v>
      </c>
      <c r="D1012" s="129" t="str">
        <v>LL3 – Lower Limb: Moderate Soft Tissue/Muscle/Nerve Procedures</v>
      </c>
      <c r="E1012" s="129" t="str">
        <v>10 - Lower Limb</v>
      </c>
      <c r="F1012" s="129" t="str">
        <v>Solutions Plus</v>
      </c>
      <c r="G1012" s="144" t="str">
        <v>CON-01</v>
      </c>
      <c r="H1012" s="129" t="str">
        <v>To confirm</v>
      </c>
      <c r="I1012" s="144" t="str">
        <v>No</v>
      </c>
      <c r="J1012" s="144" t="str">
        <v>Base</v>
      </c>
      <c r="K1012" s="144" t="str">
        <v/>
      </c>
      <c r="L1012" s="146">
        <v>8.8000000000000007</v>
      </c>
      <c r="M1012" s="142">
        <v>484</v>
      </c>
      <c r="N1012" s="144" t="str">
        <v>Unknown</v>
      </c>
      <c r="O1012" s="142" t="str">
        <v/>
      </c>
      <c r="P1012" s="142" t="str">
        <v/>
      </c>
      <c r="Q1012" s="142">
        <v>54.999999999999993</v>
      </c>
      <c r="R1012" s="129" t="str">
        <v>Description – likely</v>
      </c>
      <c r="S1012" s="143" t="str">
        <v/>
      </c>
      <c r="T1012" s="144" t="str">
        <v>SRC-00</v>
      </c>
      <c r="U1012" s="129" t="str">
        <v>S+ row 145</v>
      </c>
      <c r="V1012" s="129" t="str">
        <v/>
      </c>
    </row>
    <row r="1013" spans="1:22" x14ac:dyDescent="0.2">
      <c r="A1013" s="144" t="str">
        <v>LL5</v>
      </c>
      <c r="B1013" s="145">
        <v>10</v>
      </c>
      <c r="C1013" s="129" t="str">
        <v>Complex Hip/Knee Joint Procedures e.g. Bilateral Joint Replacements, Simple Joint Revision</v>
      </c>
      <c r="D1013" s="129" t="str">
        <v>LL5 – Lower Limb: Complex Hip/Knee Joint Procedures</v>
      </c>
      <c r="E1013" s="129" t="str">
        <v>10 - Lower Limb</v>
      </c>
      <c r="F1013" s="129" t="str">
        <v>NZSA RVG</v>
      </c>
      <c r="G1013" s="144" t="str">
        <v>CON-10</v>
      </c>
      <c r="H1013" s="129" t="str">
        <v>Reference – units only</v>
      </c>
      <c r="I1013" s="144" t="str">
        <v>No</v>
      </c>
      <c r="J1013" s="144" t="str">
        <v>Base</v>
      </c>
      <c r="K1013" s="144" t="str">
        <v>LL5</v>
      </c>
      <c r="L1013" s="146">
        <v>10</v>
      </c>
      <c r="M1013" s="142" t="str">
        <v/>
      </c>
      <c r="N1013" s="144" t="str">
        <v/>
      </c>
      <c r="O1013" s="142" t="str">
        <v/>
      </c>
      <c r="P1013" s="142" t="str">
        <v/>
      </c>
      <c r="Q1013" s="142">
        <v>0</v>
      </c>
      <c r="R1013" s="129" t="str">
        <v>RVG code</v>
      </c>
      <c r="S1013" s="143" t="str">
        <v/>
      </c>
      <c r="T1013" s="144" t="str">
        <v>SRC-01</v>
      </c>
      <c r="U1013" s="129" t="str">
        <v>p.11 – Lower Limb</v>
      </c>
      <c r="V1013" s="129" t="str">
        <v>Reference units only – no $ fee (NZSA RVG 2021).</v>
      </c>
    </row>
    <row r="1014" spans="1:22" x14ac:dyDescent="0.2">
      <c r="A1014" s="144" t="str">
        <v>LL3</v>
      </c>
      <c r="B1014" s="145">
        <v>6</v>
      </c>
      <c r="C1014" s="129" t="str">
        <v>Correction Hallux Valgus</v>
      </c>
      <c r="D1014" s="129" t="str">
        <v>LL3 – Lower Limb: Moderate Soft Tissue/Muscle/Nerve Procedures</v>
      </c>
      <c r="E1014" s="129" t="str">
        <v>10 - Lower Limb</v>
      </c>
      <c r="F1014" s="129" t="str">
        <v>Solutions Plus</v>
      </c>
      <c r="G1014" s="144" t="str">
        <v>CON-01</v>
      </c>
      <c r="H1014" s="129" t="str">
        <v>To confirm</v>
      </c>
      <c r="I1014" s="144" t="str">
        <v>No</v>
      </c>
      <c r="J1014" s="144" t="str">
        <v>Base</v>
      </c>
      <c r="K1014" s="144" t="str">
        <v/>
      </c>
      <c r="L1014" s="146">
        <v>12.5</v>
      </c>
      <c r="M1014" s="142">
        <v>687.5</v>
      </c>
      <c r="N1014" s="144" t="str">
        <v>Unknown</v>
      </c>
      <c r="O1014" s="142" t="str">
        <v/>
      </c>
      <c r="P1014" s="142" t="str">
        <v/>
      </c>
      <c r="Q1014" s="142">
        <v>55</v>
      </c>
      <c r="R1014" s="129" t="str">
        <v>Description – likely</v>
      </c>
      <c r="S1014" s="143" t="str">
        <v/>
      </c>
      <c r="T1014" s="144" t="str">
        <v>SRC-00</v>
      </c>
      <c r="U1014" s="129" t="str">
        <v>S+ row 216</v>
      </c>
      <c r="V1014" s="129" t="str">
        <v/>
      </c>
    </row>
    <row r="1015" spans="1:22" x14ac:dyDescent="0.2">
      <c r="A1015" s="144" t="str">
        <v>LL3</v>
      </c>
      <c r="B1015" s="145">
        <v>6</v>
      </c>
      <c r="C1015" s="129" t="str">
        <v>Cruciate Ligament Reconstruction</v>
      </c>
      <c r="D1015" s="129" t="str">
        <v>LL3 – Lower Limb: Moderate Soft Tissue/Muscle/Nerve Procedures</v>
      </c>
      <c r="E1015" s="129" t="str">
        <v>10 - Lower Limb</v>
      </c>
      <c r="F1015" s="129" t="str">
        <v>Solutions Plus</v>
      </c>
      <c r="G1015" s="144" t="str">
        <v>CON-01</v>
      </c>
      <c r="H1015" s="129" t="str">
        <v>To confirm</v>
      </c>
      <c r="I1015" s="144" t="str">
        <v>No</v>
      </c>
      <c r="J1015" s="144" t="str">
        <v>Base</v>
      </c>
      <c r="K1015" s="144" t="str">
        <v/>
      </c>
      <c r="L1015" s="146">
        <v>11.6</v>
      </c>
      <c r="M1015" s="142">
        <v>639.1</v>
      </c>
      <c r="N1015" s="144" t="str">
        <v>Unknown</v>
      </c>
      <c r="O1015" s="142" t="str">
        <v/>
      </c>
      <c r="P1015" s="142" t="str">
        <v/>
      </c>
      <c r="Q1015" s="142">
        <v>55.094827586206897</v>
      </c>
      <c r="R1015" s="129" t="str">
        <v>Description – exact</v>
      </c>
      <c r="S1015" s="143" t="str">
        <v/>
      </c>
      <c r="T1015" s="144" t="str">
        <v>SRC-00</v>
      </c>
      <c r="U1015" s="129" t="str">
        <v>S+ row 220</v>
      </c>
      <c r="V1015" s="129" t="str">
        <v/>
      </c>
    </row>
    <row r="1016" spans="1:22" x14ac:dyDescent="0.2">
      <c r="A1016" s="144" t="str">
        <v>LL3</v>
      </c>
      <c r="B1016" s="145">
        <v>6</v>
      </c>
      <c r="C1016" s="129" t="str">
        <v>Cruciate Reconstruction</v>
      </c>
      <c r="D1016" s="129" t="str">
        <v>LL3 – Lower Limb: Moderate Soft Tissue/Muscle/Nerve Procedures</v>
      </c>
      <c r="E1016" s="129" t="str">
        <v>10 - Lower Limb</v>
      </c>
      <c r="F1016" s="129" t="str">
        <v>Solutions Plus</v>
      </c>
      <c r="G1016" s="144" t="str">
        <v>CON-01</v>
      </c>
      <c r="H1016" s="129" t="str">
        <v>To confirm</v>
      </c>
      <c r="I1016" s="144" t="str">
        <v>No</v>
      </c>
      <c r="J1016" s="144" t="str">
        <v>Base</v>
      </c>
      <c r="K1016" s="144" t="str">
        <v/>
      </c>
      <c r="L1016" s="146">
        <v>11.8</v>
      </c>
      <c r="M1016" s="142">
        <v>651.20000000000005</v>
      </c>
      <c r="N1016" s="144" t="str">
        <v>Unknown</v>
      </c>
      <c r="O1016" s="142" t="str">
        <v/>
      </c>
      <c r="P1016" s="142" t="str">
        <v/>
      </c>
      <c r="Q1016" s="142">
        <v>55.186440677966104</v>
      </c>
      <c r="R1016" s="129" t="str">
        <v>Description – exact</v>
      </c>
      <c r="S1016" s="143" t="str">
        <v/>
      </c>
      <c r="T1016" s="144" t="str">
        <v>SRC-00</v>
      </c>
      <c r="U1016" s="129" t="str">
        <v>S+ row 221</v>
      </c>
      <c r="V1016" s="129" t="str">
        <v/>
      </c>
    </row>
    <row r="1017" spans="1:22" x14ac:dyDescent="0.2">
      <c r="A1017" s="144" t="str">
        <v>LL2</v>
      </c>
      <c r="B1017" s="145">
        <v>5</v>
      </c>
      <c r="C1017" s="129" t="str">
        <v>Decompression Archilles Tendon</v>
      </c>
      <c r="D1017" s="129" t="str">
        <v>LL2 – Lower Limb: Simple but Invasive Procedures</v>
      </c>
      <c r="E1017" s="129" t="str">
        <v>10 - Lower Limb</v>
      </c>
      <c r="F1017" s="129" t="str">
        <v>Solutions Plus</v>
      </c>
      <c r="G1017" s="144" t="str">
        <v>CON-01</v>
      </c>
      <c r="H1017" s="129" t="str">
        <v>To confirm</v>
      </c>
      <c r="I1017" s="144" t="str">
        <v>No</v>
      </c>
      <c r="J1017" s="144" t="str">
        <v>Base</v>
      </c>
      <c r="K1017" s="144" t="str">
        <v/>
      </c>
      <c r="L1017" s="146">
        <v>9</v>
      </c>
      <c r="M1017" s="142">
        <v>495</v>
      </c>
      <c r="N1017" s="144" t="str">
        <v>Unknown</v>
      </c>
      <c r="O1017" s="142" t="str">
        <v/>
      </c>
      <c r="P1017" s="142" t="str">
        <v/>
      </c>
      <c r="Q1017" s="142">
        <v>55</v>
      </c>
      <c r="R1017" s="129" t="str">
        <v>Description – likely</v>
      </c>
      <c r="S1017" s="143" t="str">
        <v/>
      </c>
      <c r="T1017" s="144" t="str">
        <v>SRC-00</v>
      </c>
      <c r="U1017" s="129" t="str">
        <v>S+ row 235</v>
      </c>
      <c r="V1017" s="129" t="str">
        <v/>
      </c>
    </row>
    <row r="1018" spans="1:22" x14ac:dyDescent="0.2">
      <c r="A1018" s="144" t="str">
        <v>LL2</v>
      </c>
      <c r="B1018" s="145">
        <v>5</v>
      </c>
      <c r="C1018" s="129" t="str">
        <v>Excision Mortons Neuroma</v>
      </c>
      <c r="D1018" s="129" t="str">
        <v>LL2 – Lower Limb: Simple but Invasive Procedures</v>
      </c>
      <c r="E1018" s="129" t="str">
        <v>10 - Lower Limb</v>
      </c>
      <c r="F1018" s="129" t="str">
        <v>Solutions Plus</v>
      </c>
      <c r="G1018" s="144" t="str">
        <v>CON-01</v>
      </c>
      <c r="H1018" s="129" t="str">
        <v>To confirm</v>
      </c>
      <c r="I1018" s="144" t="str">
        <v>No</v>
      </c>
      <c r="J1018" s="144" t="str">
        <v>Base</v>
      </c>
      <c r="K1018" s="144" t="str">
        <v/>
      </c>
      <c r="L1018" s="146">
        <v>8.6999999999999993</v>
      </c>
      <c r="M1018" s="142">
        <v>476.3</v>
      </c>
      <c r="N1018" s="144" t="str">
        <v>Unknown</v>
      </c>
      <c r="O1018" s="142" t="str">
        <v/>
      </c>
      <c r="P1018" s="142" t="str">
        <v/>
      </c>
      <c r="Q1018" s="142">
        <v>54.747126436781613</v>
      </c>
      <c r="R1018" s="129" t="str">
        <v>Description – likely</v>
      </c>
      <c r="S1018" s="143" t="str">
        <v/>
      </c>
      <c r="T1018" s="144" t="str">
        <v>SRC-00</v>
      </c>
      <c r="U1018" s="129" t="str">
        <v>S+ row 316</v>
      </c>
      <c r="V1018" s="129" t="str">
        <v/>
      </c>
    </row>
    <row r="1019" spans="1:22" x14ac:dyDescent="0.2">
      <c r="A1019" s="144" t="str">
        <v>LL3</v>
      </c>
      <c r="B1019" s="145">
        <v>6</v>
      </c>
      <c r="C1019" s="129" t="str">
        <v>Femoral Osteotomy + Nailing Complex</v>
      </c>
      <c r="D1019" s="129" t="str">
        <v>LL3 – Lower Limb: Moderate Soft Tissue/Muscle/Nerve Procedures</v>
      </c>
      <c r="E1019" s="129" t="str">
        <v>10 - Lower Limb</v>
      </c>
      <c r="F1019" s="129" t="str">
        <v>Solutions Plus</v>
      </c>
      <c r="G1019" s="144" t="str">
        <v>CON-01</v>
      </c>
      <c r="H1019" s="129" t="str">
        <v>To confirm</v>
      </c>
      <c r="I1019" s="144" t="str">
        <v>No</v>
      </c>
      <c r="J1019" s="144" t="str">
        <v>Base</v>
      </c>
      <c r="K1019" s="144" t="str">
        <v/>
      </c>
      <c r="L1019" s="146">
        <v>24</v>
      </c>
      <c r="M1019" s="142">
        <v>1320</v>
      </c>
      <c r="N1019" s="144" t="str">
        <v>Unknown</v>
      </c>
      <c r="O1019" s="142" t="str">
        <v/>
      </c>
      <c r="P1019" s="142" t="str">
        <v/>
      </c>
      <c r="Q1019" s="142">
        <v>55</v>
      </c>
      <c r="R1019" s="129" t="str">
        <v>Description – exact</v>
      </c>
      <c r="S1019" s="143" t="str">
        <v/>
      </c>
      <c r="T1019" s="144" t="str">
        <v>SRC-00</v>
      </c>
      <c r="U1019" s="129" t="str">
        <v>S+ row 363</v>
      </c>
      <c r="V1019" s="129" t="str">
        <v/>
      </c>
    </row>
    <row r="1020" spans="1:22" x14ac:dyDescent="0.2">
      <c r="A1020" s="144" t="str">
        <v>LL3</v>
      </c>
      <c r="B1020" s="145">
        <v>6</v>
      </c>
      <c r="C1020" s="129" t="str">
        <v>Gluteal Tendon Repair</v>
      </c>
      <c r="D1020" s="129" t="str">
        <v>LL3 – Lower Limb: Moderate Soft Tissue/Muscle/Nerve Procedures</v>
      </c>
      <c r="E1020" s="129" t="str">
        <v>10 - Lower Limb</v>
      </c>
      <c r="F1020" s="129" t="str">
        <v>Solutions Plus</v>
      </c>
      <c r="G1020" s="144" t="str">
        <v>CON-01</v>
      </c>
      <c r="H1020" s="129" t="str">
        <v>To confirm</v>
      </c>
      <c r="I1020" s="144" t="str">
        <v>No</v>
      </c>
      <c r="J1020" s="144" t="str">
        <v>Base</v>
      </c>
      <c r="K1020" s="144" t="str">
        <v/>
      </c>
      <c r="L1020" s="146">
        <v>2</v>
      </c>
      <c r="M1020" s="142">
        <v>110</v>
      </c>
      <c r="N1020" s="144" t="str">
        <v>Unknown</v>
      </c>
      <c r="O1020" s="142" t="str">
        <v/>
      </c>
      <c r="P1020" s="142" t="str">
        <v/>
      </c>
      <c r="Q1020" s="142">
        <v>55</v>
      </c>
      <c r="R1020" s="129" t="str">
        <v>Description – likely</v>
      </c>
      <c r="S1020" s="143" t="str">
        <v/>
      </c>
      <c r="T1020" s="144" t="str">
        <v>SRC-00</v>
      </c>
      <c r="U1020" s="129" t="str">
        <v>S+ row 391</v>
      </c>
      <c r="V1020" s="129" t="str">
        <v/>
      </c>
    </row>
    <row r="1021" spans="1:22" x14ac:dyDescent="0.2">
      <c r="A1021" s="144" t="str">
        <v>LL3</v>
      </c>
      <c r="B1021" s="145">
        <v>6</v>
      </c>
      <c r="C1021" s="129" t="str">
        <v>Hallux Valgus Correction</v>
      </c>
      <c r="D1021" s="129" t="str">
        <v>LL3 – Lower Limb: Moderate Soft Tissue/Muscle/Nerve Procedures</v>
      </c>
      <c r="E1021" s="129" t="str">
        <v>10 - Lower Limb</v>
      </c>
      <c r="F1021" s="129" t="str">
        <v>Solutions Plus</v>
      </c>
      <c r="G1021" s="144" t="str">
        <v>CON-01</v>
      </c>
      <c r="H1021" s="129" t="str">
        <v>To confirm</v>
      </c>
      <c r="I1021" s="144" t="str">
        <v>No</v>
      </c>
      <c r="J1021" s="144" t="str">
        <v>Base</v>
      </c>
      <c r="K1021" s="144" t="str">
        <v/>
      </c>
      <c r="L1021" s="146">
        <v>10.4</v>
      </c>
      <c r="M1021" s="142">
        <v>572</v>
      </c>
      <c r="N1021" s="144" t="str">
        <v>Unknown</v>
      </c>
      <c r="O1021" s="142" t="str">
        <v/>
      </c>
      <c r="P1021" s="142" t="str">
        <v/>
      </c>
      <c r="Q1021" s="142">
        <v>55</v>
      </c>
      <c r="R1021" s="129" t="str">
        <v>Description – likely</v>
      </c>
      <c r="S1021" s="143" t="str">
        <v/>
      </c>
      <c r="T1021" s="144" t="str">
        <v>SRC-00</v>
      </c>
      <c r="U1021" s="129" t="str">
        <v>S+ row 399</v>
      </c>
      <c r="V1021" s="129" t="str">
        <v/>
      </c>
    </row>
    <row r="1022" spans="1:22" x14ac:dyDescent="0.2">
      <c r="A1022" s="144" t="str">
        <v>LL4</v>
      </c>
      <c r="B1022" s="145">
        <v>8</v>
      </c>
      <c r="C1022" s="129" t="str">
        <v>Hemi Knee Arthroplasty</v>
      </c>
      <c r="D1022" s="129" t="str">
        <v>LL4 – Lower Limb: Major Hip/Knee Joint Procedures</v>
      </c>
      <c r="E1022" s="129" t="str">
        <v>10 - Lower Limb</v>
      </c>
      <c r="F1022" s="129" t="str">
        <v>Solutions Plus</v>
      </c>
      <c r="G1022" s="144" t="str">
        <v>CON-01</v>
      </c>
      <c r="H1022" s="129" t="str">
        <v>To confirm</v>
      </c>
      <c r="I1022" s="144" t="str">
        <v>No</v>
      </c>
      <c r="J1022" s="144" t="str">
        <v>Base</v>
      </c>
      <c r="K1022" s="144" t="str">
        <v/>
      </c>
      <c r="L1022" s="146">
        <v>15.9</v>
      </c>
      <c r="M1022" s="142">
        <v>872.85</v>
      </c>
      <c r="N1022" s="144" t="str">
        <v>Unknown</v>
      </c>
      <c r="O1022" s="142" t="str">
        <v/>
      </c>
      <c r="P1022" s="142" t="str">
        <v/>
      </c>
      <c r="Q1022" s="142">
        <v>54.89622641509434</v>
      </c>
      <c r="R1022" s="129" t="str">
        <v>Description – exact</v>
      </c>
      <c r="S1022" s="143" t="str">
        <v/>
      </c>
      <c r="T1022" s="144" t="str">
        <v>SRC-00</v>
      </c>
      <c r="U1022" s="129" t="str">
        <v>S+ row 406</v>
      </c>
      <c r="V1022" s="129" t="str">
        <v/>
      </c>
    </row>
    <row r="1023" spans="1:22" x14ac:dyDescent="0.2">
      <c r="A1023" s="144" t="str">
        <v>LL4</v>
      </c>
      <c r="B1023" s="145">
        <v>8</v>
      </c>
      <c r="C1023" s="129" t="str">
        <v>Hemi Knee Replacement</v>
      </c>
      <c r="D1023" s="129" t="str">
        <v>LL4 – Lower Limb: Major Hip/Knee Joint Procedures</v>
      </c>
      <c r="E1023" s="129" t="str">
        <v>10 - Lower Limb</v>
      </c>
      <c r="F1023" s="129" t="str">
        <v>Solutions Plus</v>
      </c>
      <c r="G1023" s="144" t="str">
        <v>CON-01</v>
      </c>
      <c r="H1023" s="129" t="str">
        <v>To confirm</v>
      </c>
      <c r="I1023" s="144" t="str">
        <v>No</v>
      </c>
      <c r="J1023" s="144" t="str">
        <v>Base</v>
      </c>
      <c r="K1023" s="144" t="str">
        <v/>
      </c>
      <c r="L1023" s="146">
        <v>15.9</v>
      </c>
      <c r="M1023" s="142">
        <v>875.05</v>
      </c>
      <c r="N1023" s="144" t="str">
        <v>Unknown</v>
      </c>
      <c r="O1023" s="142" t="str">
        <v/>
      </c>
      <c r="P1023" s="142" t="str">
        <v/>
      </c>
      <c r="Q1023" s="142">
        <v>55.034591194968549</v>
      </c>
      <c r="R1023" s="129" t="str">
        <v>Description – exact</v>
      </c>
      <c r="S1023" s="143" t="str">
        <v/>
      </c>
      <c r="T1023" s="144" t="str">
        <v>SRC-00</v>
      </c>
      <c r="U1023" s="129" t="str">
        <v>S+ row 407</v>
      </c>
      <c r="V1023" s="129" t="str">
        <v/>
      </c>
    </row>
    <row r="1024" spans="1:22" x14ac:dyDescent="0.2">
      <c r="A1024" s="144" t="str">
        <v>LL1</v>
      </c>
      <c r="B1024" s="145">
        <v>4</v>
      </c>
      <c r="C1024" s="129" t="str">
        <v>Hip Arthroscopy</v>
      </c>
      <c r="D1024" s="129" t="str">
        <v>LL1 – Lower Limb: Minor Procedures</v>
      </c>
      <c r="E1024" s="129" t="str">
        <v>10 - Lower Limb</v>
      </c>
      <c r="F1024" s="129" t="str">
        <v>Solutions Plus</v>
      </c>
      <c r="G1024" s="144" t="str">
        <v>CON-01</v>
      </c>
      <c r="H1024" s="129" t="str">
        <v>To confirm</v>
      </c>
      <c r="I1024" s="144" t="str">
        <v>No</v>
      </c>
      <c r="J1024" s="144" t="str">
        <v>Base</v>
      </c>
      <c r="K1024" s="144" t="str">
        <v/>
      </c>
      <c r="L1024" s="146">
        <v>18.899999999999999</v>
      </c>
      <c r="M1024" s="142">
        <v>1037.8499999999999</v>
      </c>
      <c r="N1024" s="144" t="str">
        <v>Unknown</v>
      </c>
      <c r="O1024" s="142" t="str">
        <v/>
      </c>
      <c r="P1024" s="142" t="str">
        <v/>
      </c>
      <c r="Q1024" s="142">
        <v>54.912698412698411</v>
      </c>
      <c r="R1024" s="129" t="str">
        <v>Description – exact</v>
      </c>
      <c r="S1024" s="143" t="str">
        <v/>
      </c>
      <c r="T1024" s="144" t="str">
        <v>SRC-00</v>
      </c>
      <c r="U1024" s="129" t="str">
        <v>S+ row 413</v>
      </c>
      <c r="V1024" s="129" t="str">
        <v/>
      </c>
    </row>
    <row r="1025" spans="1:22" x14ac:dyDescent="0.2">
      <c r="A1025" s="144" t="str">
        <v>LL4</v>
      </c>
      <c r="B1025" s="145">
        <v>8</v>
      </c>
      <c r="C1025" s="129" t="str">
        <v>Hip Replacement</v>
      </c>
      <c r="D1025" s="129" t="str">
        <v>LL4 – Lower Limb: Major Hip/Knee Joint Procedures</v>
      </c>
      <c r="E1025" s="129" t="str">
        <v>10 - Lower Limb</v>
      </c>
      <c r="F1025" s="129" t="str">
        <v>Solutions Plus</v>
      </c>
      <c r="G1025" s="144" t="str">
        <v>CON-01</v>
      </c>
      <c r="H1025" s="129" t="str">
        <v>To confirm</v>
      </c>
      <c r="I1025" s="144" t="str">
        <v>No</v>
      </c>
      <c r="J1025" s="144" t="str">
        <v>Base</v>
      </c>
      <c r="K1025" s="144" t="str">
        <v/>
      </c>
      <c r="L1025" s="146">
        <v>16.7</v>
      </c>
      <c r="M1025" s="142">
        <v>919.6</v>
      </c>
      <c r="N1025" s="144" t="str">
        <v>Unknown</v>
      </c>
      <c r="O1025" s="142" t="str">
        <v/>
      </c>
      <c r="P1025" s="142" t="str">
        <v/>
      </c>
      <c r="Q1025" s="142">
        <v>55.065868263473057</v>
      </c>
      <c r="R1025" s="129" t="str">
        <v>Description – exact</v>
      </c>
      <c r="S1025" s="143" t="str">
        <v/>
      </c>
      <c r="T1025" s="144" t="str">
        <v>SRC-00</v>
      </c>
      <c r="U1025" s="129" t="str">
        <v>S+ row 415</v>
      </c>
      <c r="V1025" s="129" t="str">
        <v/>
      </c>
    </row>
    <row r="1026" spans="1:22" x14ac:dyDescent="0.2">
      <c r="A1026" s="144" t="str">
        <v>LL5</v>
      </c>
      <c r="B1026" s="145">
        <v>10</v>
      </c>
      <c r="C1026" s="129" t="str">
        <v>Hip Revision</v>
      </c>
      <c r="D1026" s="129" t="str">
        <v>LL5 – Lower Limb: Complex Hip/Knee Joint Procedures</v>
      </c>
      <c r="E1026" s="129" t="str">
        <v>10 - Lower Limb</v>
      </c>
      <c r="F1026" s="129" t="str">
        <v>Solutions Plus</v>
      </c>
      <c r="G1026" s="144" t="str">
        <v>CON-01</v>
      </c>
      <c r="H1026" s="129" t="str">
        <v>To confirm</v>
      </c>
      <c r="I1026" s="144" t="str">
        <v>No</v>
      </c>
      <c r="J1026" s="144" t="str">
        <v>Base</v>
      </c>
      <c r="K1026" s="144" t="str">
        <v/>
      </c>
      <c r="L1026" s="146">
        <v>23.7</v>
      </c>
      <c r="M1026" s="142">
        <v>1304.05</v>
      </c>
      <c r="N1026" s="144" t="str">
        <v>Unknown</v>
      </c>
      <c r="O1026" s="142" t="str">
        <v/>
      </c>
      <c r="P1026" s="142" t="str">
        <v/>
      </c>
      <c r="Q1026" s="142">
        <v>55.02320675105485</v>
      </c>
      <c r="R1026" s="129" t="str">
        <v>Description – likely</v>
      </c>
      <c r="S1026" s="143" t="str">
        <v/>
      </c>
      <c r="T1026" s="144" t="str">
        <v>SRC-00</v>
      </c>
      <c r="U1026" s="129" t="str">
        <v>S+ row 416</v>
      </c>
      <c r="V1026" s="129" t="str">
        <v/>
      </c>
    </row>
    <row r="1027" spans="1:22" x14ac:dyDescent="0.2">
      <c r="A1027" s="144" t="str">
        <v>LL1</v>
      </c>
      <c r="B1027" s="145">
        <v>4</v>
      </c>
      <c r="C1027" s="129" t="str">
        <v>Knee Arthroscopic</v>
      </c>
      <c r="D1027" s="129" t="str">
        <v>LL1 – Lower Limb: Minor Procedures</v>
      </c>
      <c r="E1027" s="129" t="str">
        <v>10 - Lower Limb</v>
      </c>
      <c r="F1027" s="129" t="str">
        <v>Solutions Plus</v>
      </c>
      <c r="G1027" s="144" t="str">
        <v>CON-01</v>
      </c>
      <c r="H1027" s="129" t="str">
        <v>To confirm</v>
      </c>
      <c r="I1027" s="144" t="str">
        <v>No</v>
      </c>
      <c r="J1027" s="144" t="str">
        <v>Base</v>
      </c>
      <c r="K1027" s="144" t="str">
        <v/>
      </c>
      <c r="L1027" s="146">
        <v>7.2</v>
      </c>
      <c r="M1027" s="142">
        <v>393.8</v>
      </c>
      <c r="N1027" s="144" t="str">
        <v>Unknown</v>
      </c>
      <c r="O1027" s="142" t="str">
        <v/>
      </c>
      <c r="P1027" s="142" t="str">
        <v/>
      </c>
      <c r="Q1027" s="142">
        <v>54.694444444444443</v>
      </c>
      <c r="R1027" s="129" t="str">
        <v>Description – exact</v>
      </c>
      <c r="S1027" s="143" t="str">
        <v/>
      </c>
      <c r="T1027" s="144" t="str">
        <v>SRC-00</v>
      </c>
      <c r="U1027" s="129" t="str">
        <v>S+ row 447</v>
      </c>
      <c r="V1027" s="129" t="str">
        <v/>
      </c>
    </row>
    <row r="1028" spans="1:22" x14ac:dyDescent="0.2">
      <c r="A1028" s="144" t="str">
        <v>LL1</v>
      </c>
      <c r="B1028" s="145">
        <v>4</v>
      </c>
      <c r="C1028" s="129" t="str">
        <v>Knee Arthroscopic Left CDHB</v>
      </c>
      <c r="D1028" s="129" t="str">
        <v>LL1 – Lower Limb: Minor Procedures</v>
      </c>
      <c r="E1028" s="129" t="str">
        <v>10 - Lower Limb</v>
      </c>
      <c r="F1028" s="129" t="str">
        <v>Solutions Plus</v>
      </c>
      <c r="G1028" s="144" t="str">
        <v>CON-01</v>
      </c>
      <c r="H1028" s="129" t="str">
        <v>To confirm</v>
      </c>
      <c r="I1028" s="144" t="str">
        <v>No</v>
      </c>
      <c r="J1028" s="144" t="str">
        <v>Base</v>
      </c>
      <c r="K1028" s="144" t="str">
        <v/>
      </c>
      <c r="L1028" s="146">
        <v>7</v>
      </c>
      <c r="M1028" s="142">
        <v>385</v>
      </c>
      <c r="N1028" s="144" t="str">
        <v>Unknown</v>
      </c>
      <c r="O1028" s="142" t="str">
        <v/>
      </c>
      <c r="P1028" s="142" t="str">
        <v/>
      </c>
      <c r="Q1028" s="142">
        <v>55</v>
      </c>
      <c r="R1028" s="129" t="str">
        <v>Description – exact</v>
      </c>
      <c r="S1028" s="143" t="str">
        <v/>
      </c>
      <c r="T1028" s="144" t="str">
        <v>SRC-00</v>
      </c>
      <c r="U1028" s="129" t="str">
        <v>S+ row 448</v>
      </c>
      <c r="V1028" s="129" t="str">
        <v/>
      </c>
    </row>
    <row r="1029" spans="1:22" x14ac:dyDescent="0.2">
      <c r="A1029" s="144" t="str">
        <v>LL1</v>
      </c>
      <c r="B1029" s="145">
        <v>4</v>
      </c>
      <c r="C1029" s="129" t="str">
        <v>Knee Arthroscopy</v>
      </c>
      <c r="D1029" s="129" t="str">
        <v>LL1 – Lower Limb: Minor Procedures</v>
      </c>
      <c r="E1029" s="129" t="str">
        <v>10 - Lower Limb</v>
      </c>
      <c r="F1029" s="129" t="str">
        <v>Solutions Plus</v>
      </c>
      <c r="G1029" s="144" t="str">
        <v>CON-01</v>
      </c>
      <c r="H1029" s="129" t="str">
        <v>To confirm</v>
      </c>
      <c r="I1029" s="144" t="str">
        <v>No</v>
      </c>
      <c r="J1029" s="144" t="str">
        <v>Base</v>
      </c>
      <c r="K1029" s="144" t="str">
        <v/>
      </c>
      <c r="L1029" s="146">
        <v>8</v>
      </c>
      <c r="M1029" s="142">
        <v>438.9</v>
      </c>
      <c r="N1029" s="144" t="str">
        <v>Unknown</v>
      </c>
      <c r="O1029" s="142" t="str">
        <v/>
      </c>
      <c r="P1029" s="142" t="str">
        <v/>
      </c>
      <c r="Q1029" s="142">
        <v>54.862499999999997</v>
      </c>
      <c r="R1029" s="129" t="str">
        <v>Description – exact</v>
      </c>
      <c r="S1029" s="143" t="str">
        <v/>
      </c>
      <c r="T1029" s="144" t="str">
        <v>SRC-00</v>
      </c>
      <c r="U1029" s="129" t="str">
        <v>S+ row 449</v>
      </c>
      <c r="V1029" s="129" t="str">
        <v/>
      </c>
    </row>
    <row r="1030" spans="1:22" x14ac:dyDescent="0.2">
      <c r="A1030" s="144" t="str">
        <v>LL3</v>
      </c>
      <c r="B1030" s="145">
        <v>6</v>
      </c>
      <c r="C1030" s="129" t="str">
        <v>Left 2nd And 3rd Weil Osteotomies</v>
      </c>
      <c r="D1030" s="129" t="str">
        <v>LL3 – Lower Limb: Moderate Soft Tissue/Muscle/Nerve Procedures</v>
      </c>
      <c r="E1030" s="129" t="str">
        <v>10 - Lower Limb</v>
      </c>
      <c r="F1030" s="129" t="str">
        <v>Solutions Plus</v>
      </c>
      <c r="G1030" s="144" t="str">
        <v>CON-01</v>
      </c>
      <c r="H1030" s="129" t="str">
        <v>To confirm</v>
      </c>
      <c r="I1030" s="144" t="str">
        <v>No</v>
      </c>
      <c r="J1030" s="144" t="str">
        <v>Base</v>
      </c>
      <c r="K1030" s="144" t="str">
        <v/>
      </c>
      <c r="L1030" s="146">
        <v>7.8</v>
      </c>
      <c r="M1030" s="142">
        <v>426.25</v>
      </c>
      <c r="N1030" s="144" t="str">
        <v>Unknown</v>
      </c>
      <c r="O1030" s="142" t="str">
        <v/>
      </c>
      <c r="P1030" s="142" t="str">
        <v/>
      </c>
      <c r="Q1030" s="142">
        <v>54.647435897435898</v>
      </c>
      <c r="R1030" s="129" t="str">
        <v>Description – likely</v>
      </c>
      <c r="S1030" s="143" t="str">
        <v/>
      </c>
      <c r="T1030" s="144" t="str">
        <v>SRC-00</v>
      </c>
      <c r="U1030" s="129" t="str">
        <v>S+ row 525</v>
      </c>
      <c r="V1030" s="129" t="str">
        <v/>
      </c>
    </row>
    <row r="1031" spans="1:22" x14ac:dyDescent="0.2">
      <c r="A1031" s="144" t="str">
        <v>LL4</v>
      </c>
      <c r="B1031" s="145">
        <v>8</v>
      </c>
      <c r="C1031" s="129" t="str">
        <v>Left Direct Anterior Total Hip Replacement</v>
      </c>
      <c r="D1031" s="129" t="str">
        <v>LL4 – Lower Limb: Major Hip/Knee Joint Procedures</v>
      </c>
      <c r="E1031" s="129" t="str">
        <v>10 - Lower Limb</v>
      </c>
      <c r="F1031" s="129" t="str">
        <v>Solutions Plus</v>
      </c>
      <c r="G1031" s="144" t="str">
        <v>CON-01</v>
      </c>
      <c r="H1031" s="129" t="str">
        <v>To confirm</v>
      </c>
      <c r="I1031" s="144" t="str">
        <v>No</v>
      </c>
      <c r="J1031" s="144" t="str">
        <v>Base</v>
      </c>
      <c r="K1031" s="144" t="str">
        <v/>
      </c>
      <c r="L1031" s="146">
        <v>16.399999999999999</v>
      </c>
      <c r="M1031" s="142">
        <v>900.35</v>
      </c>
      <c r="N1031" s="144" t="str">
        <v>Unknown</v>
      </c>
      <c r="O1031" s="142" t="str">
        <v/>
      </c>
      <c r="P1031" s="142" t="str">
        <v/>
      </c>
      <c r="Q1031" s="142">
        <v>54.899390243902445</v>
      </c>
      <c r="R1031" s="129" t="str">
        <v>Description – exact</v>
      </c>
      <c r="S1031" s="143" t="str">
        <v/>
      </c>
      <c r="T1031" s="144" t="str">
        <v>SRC-00</v>
      </c>
      <c r="U1031" s="129" t="str">
        <v>S+ row 553</v>
      </c>
      <c r="V1031" s="129" t="str">
        <v/>
      </c>
    </row>
    <row r="1032" spans="1:22" x14ac:dyDescent="0.2">
      <c r="A1032" s="144" t="str">
        <v>LL3</v>
      </c>
      <c r="B1032" s="145">
        <v>6</v>
      </c>
      <c r="C1032" s="129" t="str">
        <v>Left Hamstring Avulsion Repair</v>
      </c>
      <c r="D1032" s="129" t="str">
        <v>LL3 – Lower Limb: Moderate Soft Tissue/Muscle/Nerve Procedures</v>
      </c>
      <c r="E1032" s="129" t="str">
        <v>10 - Lower Limb</v>
      </c>
      <c r="F1032" s="129" t="str">
        <v>Solutions Plus</v>
      </c>
      <c r="G1032" s="144" t="str">
        <v>CON-01</v>
      </c>
      <c r="H1032" s="129" t="str">
        <v>To confirm</v>
      </c>
      <c r="I1032" s="144" t="str">
        <v>No</v>
      </c>
      <c r="J1032" s="144" t="str">
        <v>Base</v>
      </c>
      <c r="K1032" s="144" t="str">
        <v/>
      </c>
      <c r="L1032" s="146">
        <v>14.3</v>
      </c>
      <c r="M1032" s="142">
        <v>783.75</v>
      </c>
      <c r="N1032" s="144" t="str">
        <v>Unknown</v>
      </c>
      <c r="O1032" s="142" t="str">
        <v/>
      </c>
      <c r="P1032" s="142" t="str">
        <v/>
      </c>
      <c r="Q1032" s="142">
        <v>54.807692307692307</v>
      </c>
      <c r="R1032" s="129" t="str">
        <v>Description – likely</v>
      </c>
      <c r="S1032" s="143" t="str">
        <v/>
      </c>
      <c r="T1032" s="144" t="str">
        <v>SRC-00</v>
      </c>
      <c r="U1032" s="129" t="str">
        <v>S+ row 557</v>
      </c>
      <c r="V1032" s="129" t="str">
        <v/>
      </c>
    </row>
    <row r="1033" spans="1:22" x14ac:dyDescent="0.2">
      <c r="A1033" s="144" t="str">
        <v>LL2</v>
      </c>
      <c r="B1033" s="145">
        <v>5</v>
      </c>
      <c r="C1033" s="129" t="str">
        <v>Left Hip Removal Of Plate + Screws</v>
      </c>
      <c r="D1033" s="129" t="str">
        <v>LL2 – Lower Limb: Simple but Invasive Procedures</v>
      </c>
      <c r="E1033" s="129" t="str">
        <v>10 - Lower Limb</v>
      </c>
      <c r="F1033" s="129" t="str">
        <v>Solutions Plus</v>
      </c>
      <c r="G1033" s="144" t="str">
        <v>CON-01</v>
      </c>
      <c r="H1033" s="129" t="str">
        <v>To confirm</v>
      </c>
      <c r="I1033" s="144" t="str">
        <v>No</v>
      </c>
      <c r="J1033" s="144" t="str">
        <v>Base</v>
      </c>
      <c r="K1033" s="144" t="str">
        <v/>
      </c>
      <c r="L1033" s="146">
        <v>7</v>
      </c>
      <c r="M1033" s="142">
        <v>385</v>
      </c>
      <c r="N1033" s="144" t="str">
        <v>Unknown</v>
      </c>
      <c r="O1033" s="142" t="str">
        <v/>
      </c>
      <c r="P1033" s="142" t="str">
        <v/>
      </c>
      <c r="Q1033" s="142">
        <v>55</v>
      </c>
      <c r="R1033" s="129" t="str">
        <v>Description – likely</v>
      </c>
      <c r="S1033" s="143" t="str">
        <v/>
      </c>
      <c r="T1033" s="144" t="str">
        <v>SRC-00</v>
      </c>
      <c r="U1033" s="129" t="str">
        <v>S+ row 559</v>
      </c>
      <c r="V1033" s="129" t="str">
        <v/>
      </c>
    </row>
    <row r="1034" spans="1:22" x14ac:dyDescent="0.2">
      <c r="A1034" s="144" t="str">
        <v>LL4</v>
      </c>
      <c r="B1034" s="145">
        <v>8</v>
      </c>
      <c r="C1034" s="129" t="str">
        <v>Left Hip Replacement</v>
      </c>
      <c r="D1034" s="129" t="str">
        <v>LL4 – Lower Limb: Major Hip/Knee Joint Procedures</v>
      </c>
      <c r="E1034" s="129" t="str">
        <v>10 - Lower Limb</v>
      </c>
      <c r="F1034" s="129" t="str">
        <v>Solutions Plus</v>
      </c>
      <c r="G1034" s="144" t="str">
        <v>CON-01</v>
      </c>
      <c r="H1034" s="129" t="str">
        <v>To confirm</v>
      </c>
      <c r="I1034" s="144" t="str">
        <v>No</v>
      </c>
      <c r="J1034" s="144" t="str">
        <v>Base</v>
      </c>
      <c r="K1034" s="144" t="str">
        <v/>
      </c>
      <c r="L1034" s="146">
        <v>17.100000000000001</v>
      </c>
      <c r="M1034" s="142">
        <v>938.85</v>
      </c>
      <c r="N1034" s="144" t="str">
        <v>Unknown</v>
      </c>
      <c r="O1034" s="142" t="str">
        <v/>
      </c>
      <c r="P1034" s="142" t="str">
        <v/>
      </c>
      <c r="Q1034" s="142">
        <v>54.903508771929822</v>
      </c>
      <c r="R1034" s="129" t="str">
        <v>Description – exact</v>
      </c>
      <c r="S1034" s="143" t="str">
        <v/>
      </c>
      <c r="T1034" s="144" t="str">
        <v>SRC-00</v>
      </c>
      <c r="U1034" s="129" t="str">
        <v>S+ row 560</v>
      </c>
      <c r="V1034" s="129" t="str">
        <v/>
      </c>
    </row>
    <row r="1035" spans="1:22" x14ac:dyDescent="0.2">
      <c r="A1035" s="144" t="str">
        <v>LL3</v>
      </c>
      <c r="B1035" s="145">
        <v>6</v>
      </c>
      <c r="C1035" s="129" t="str">
        <v>Left Knee Anterior Cruciate Ligament Reconstructio</v>
      </c>
      <c r="D1035" s="129" t="str">
        <v>LL3 – Lower Limb: Moderate Soft Tissue/Muscle/Nerve Procedures</v>
      </c>
      <c r="E1035" s="129" t="str">
        <v>10 - Lower Limb</v>
      </c>
      <c r="F1035" s="129" t="str">
        <v>Solutions Plus</v>
      </c>
      <c r="G1035" s="144" t="str">
        <v>CON-01</v>
      </c>
      <c r="H1035" s="129" t="str">
        <v>To confirm</v>
      </c>
      <c r="I1035" s="144" t="str">
        <v>No</v>
      </c>
      <c r="J1035" s="144" t="str">
        <v>Base</v>
      </c>
      <c r="K1035" s="144" t="str">
        <v/>
      </c>
      <c r="L1035" s="146">
        <v>12.6</v>
      </c>
      <c r="M1035" s="142">
        <v>690.8</v>
      </c>
      <c r="N1035" s="144" t="str">
        <v>Unknown</v>
      </c>
      <c r="O1035" s="142" t="str">
        <v/>
      </c>
      <c r="P1035" s="142" t="str">
        <v/>
      </c>
      <c r="Q1035" s="142">
        <v>54.825396825396822</v>
      </c>
      <c r="R1035" s="129" t="str">
        <v>Description – exact</v>
      </c>
      <c r="S1035" s="143" t="str">
        <v/>
      </c>
      <c r="T1035" s="144" t="str">
        <v>SRC-00</v>
      </c>
      <c r="U1035" s="129" t="str">
        <v>S+ row 564</v>
      </c>
      <c r="V1035" s="129" t="str">
        <v/>
      </c>
    </row>
    <row r="1036" spans="1:22" x14ac:dyDescent="0.2">
      <c r="A1036" s="144" t="str">
        <v>LL1</v>
      </c>
      <c r="B1036" s="145">
        <v>4</v>
      </c>
      <c r="C1036" s="129" t="str">
        <v>Left Knee Arthroscopic Medial Meniscal Debrideme</v>
      </c>
      <c r="D1036" s="129" t="str">
        <v>LL1 – Lower Limb: Minor Procedures</v>
      </c>
      <c r="E1036" s="129" t="str">
        <v>10 - Lower Limb</v>
      </c>
      <c r="F1036" s="129" t="str">
        <v>Solutions Plus</v>
      </c>
      <c r="G1036" s="144" t="str">
        <v>CON-01</v>
      </c>
      <c r="H1036" s="129" t="str">
        <v>To confirm</v>
      </c>
      <c r="I1036" s="144" t="str">
        <v>No</v>
      </c>
      <c r="J1036" s="144" t="str">
        <v>Base</v>
      </c>
      <c r="K1036" s="144" t="str">
        <v/>
      </c>
      <c r="L1036" s="146">
        <v>7.5</v>
      </c>
      <c r="M1036" s="142">
        <v>412.5</v>
      </c>
      <c r="N1036" s="144" t="str">
        <v>Unknown</v>
      </c>
      <c r="O1036" s="142" t="str">
        <v/>
      </c>
      <c r="P1036" s="142" t="str">
        <v/>
      </c>
      <c r="Q1036" s="142">
        <v>55</v>
      </c>
      <c r="R1036" s="129" t="str">
        <v>Description – exact</v>
      </c>
      <c r="S1036" s="143" t="str">
        <v/>
      </c>
      <c r="T1036" s="144" t="str">
        <v>SRC-00</v>
      </c>
      <c r="U1036" s="129" t="str">
        <v>S+ row 565</v>
      </c>
      <c r="V1036" s="129" t="str">
        <v/>
      </c>
    </row>
    <row r="1037" spans="1:22" x14ac:dyDescent="0.2">
      <c r="A1037" s="144" t="str">
        <v>LL1</v>
      </c>
      <c r="B1037" s="145">
        <v>4</v>
      </c>
      <c r="C1037" s="129" t="str">
        <v>Left Knee Arthroscopic Medial Meniscectomy</v>
      </c>
      <c r="D1037" s="129" t="str">
        <v>LL1 – Lower Limb: Minor Procedures</v>
      </c>
      <c r="E1037" s="129" t="str">
        <v>10 - Lower Limb</v>
      </c>
      <c r="F1037" s="129" t="str">
        <v>Solutions Plus</v>
      </c>
      <c r="G1037" s="144" t="str">
        <v>CON-01</v>
      </c>
      <c r="H1037" s="129" t="str">
        <v>To confirm</v>
      </c>
      <c r="I1037" s="144" t="str">
        <v>No</v>
      </c>
      <c r="J1037" s="144" t="str">
        <v>Base</v>
      </c>
      <c r="K1037" s="144" t="str">
        <v/>
      </c>
      <c r="L1037" s="146">
        <v>7.2</v>
      </c>
      <c r="M1037" s="142">
        <v>396</v>
      </c>
      <c r="N1037" s="144" t="str">
        <v>Unknown</v>
      </c>
      <c r="O1037" s="142" t="str">
        <v/>
      </c>
      <c r="P1037" s="142" t="str">
        <v/>
      </c>
      <c r="Q1037" s="142">
        <v>55</v>
      </c>
      <c r="R1037" s="129" t="str">
        <v>Description – exact</v>
      </c>
      <c r="S1037" s="143" t="str">
        <v/>
      </c>
      <c r="T1037" s="144" t="str">
        <v>SRC-00</v>
      </c>
      <c r="U1037" s="129" t="str">
        <v>S+ row 566</v>
      </c>
      <c r="V1037" s="129" t="str">
        <v/>
      </c>
    </row>
    <row r="1038" spans="1:22" x14ac:dyDescent="0.2">
      <c r="A1038" s="144" t="str">
        <v>LL1</v>
      </c>
      <c r="B1038" s="145">
        <v>4</v>
      </c>
      <c r="C1038" s="129" t="str">
        <v>Left Knee Arthroscopic Meniscectomy</v>
      </c>
      <c r="D1038" s="129" t="str">
        <v>LL1 – Lower Limb: Minor Procedures</v>
      </c>
      <c r="E1038" s="129" t="str">
        <v>10 - Lower Limb</v>
      </c>
      <c r="F1038" s="129" t="str">
        <v>Solutions Plus</v>
      </c>
      <c r="G1038" s="144" t="str">
        <v>CON-01</v>
      </c>
      <c r="H1038" s="129" t="str">
        <v>To confirm</v>
      </c>
      <c r="I1038" s="144" t="str">
        <v>No</v>
      </c>
      <c r="J1038" s="144" t="str">
        <v>Base</v>
      </c>
      <c r="K1038" s="144" t="str">
        <v/>
      </c>
      <c r="L1038" s="146">
        <v>6.9</v>
      </c>
      <c r="M1038" s="142">
        <v>381.15</v>
      </c>
      <c r="N1038" s="144" t="str">
        <v>Unknown</v>
      </c>
      <c r="O1038" s="142" t="str">
        <v/>
      </c>
      <c r="P1038" s="142" t="str">
        <v/>
      </c>
      <c r="Q1038" s="142">
        <v>55.239130434782602</v>
      </c>
      <c r="R1038" s="129" t="str">
        <v>Description – exact</v>
      </c>
      <c r="S1038" s="143" t="str">
        <v/>
      </c>
      <c r="T1038" s="144" t="str">
        <v>SRC-00</v>
      </c>
      <c r="U1038" s="129" t="str">
        <v>S+ row 567</v>
      </c>
      <c r="V1038" s="129" t="str">
        <v/>
      </c>
    </row>
    <row r="1039" spans="1:22" x14ac:dyDescent="0.2">
      <c r="A1039" s="144" t="str">
        <v>LL1</v>
      </c>
      <c r="B1039" s="145">
        <v>4</v>
      </c>
      <c r="C1039" s="129" t="str">
        <v>Left Knee Arthroscopy</v>
      </c>
      <c r="D1039" s="129" t="str">
        <v>LL1 – Lower Limb: Minor Procedures</v>
      </c>
      <c r="E1039" s="129" t="str">
        <v>10 - Lower Limb</v>
      </c>
      <c r="F1039" s="129" t="str">
        <v>Solutions Plus</v>
      </c>
      <c r="G1039" s="144" t="str">
        <v>CON-01</v>
      </c>
      <c r="H1039" s="129" t="str">
        <v>To confirm</v>
      </c>
      <c r="I1039" s="144" t="str">
        <v>No</v>
      </c>
      <c r="J1039" s="144" t="str">
        <v>Base</v>
      </c>
      <c r="K1039" s="144" t="str">
        <v/>
      </c>
      <c r="L1039" s="146">
        <v>7.7</v>
      </c>
      <c r="M1039" s="142">
        <v>425.7</v>
      </c>
      <c r="N1039" s="144" t="str">
        <v>Unknown</v>
      </c>
      <c r="O1039" s="142" t="str">
        <v/>
      </c>
      <c r="P1039" s="142" t="str">
        <v/>
      </c>
      <c r="Q1039" s="142">
        <v>55.285714285714285</v>
      </c>
      <c r="R1039" s="129" t="str">
        <v>Description – exact</v>
      </c>
      <c r="S1039" s="143" t="str">
        <v/>
      </c>
      <c r="T1039" s="144" t="str">
        <v>SRC-00</v>
      </c>
      <c r="U1039" s="129" t="str">
        <v>S+ row 568</v>
      </c>
      <c r="V1039" s="129" t="str">
        <v/>
      </c>
    </row>
    <row r="1040" spans="1:22" x14ac:dyDescent="0.2">
      <c r="A1040" s="144" t="str">
        <v>LL1</v>
      </c>
      <c r="B1040" s="145">
        <v>4</v>
      </c>
      <c r="C1040" s="129" t="str">
        <v>Left Knee Arthroscopy &amp; Partial Medial Meniscecto</v>
      </c>
      <c r="D1040" s="129" t="str">
        <v>LL1 – Lower Limb: Minor Procedures</v>
      </c>
      <c r="E1040" s="129" t="str">
        <v>10 - Lower Limb</v>
      </c>
      <c r="F1040" s="129" t="str">
        <v>Solutions Plus</v>
      </c>
      <c r="G1040" s="144" t="str">
        <v>CON-01</v>
      </c>
      <c r="H1040" s="129" t="str">
        <v>To confirm</v>
      </c>
      <c r="I1040" s="144" t="str">
        <v>No</v>
      </c>
      <c r="J1040" s="144" t="str">
        <v>Base</v>
      </c>
      <c r="K1040" s="144" t="str">
        <v/>
      </c>
      <c r="L1040" s="146">
        <v>8.1</v>
      </c>
      <c r="M1040" s="142">
        <v>442.75</v>
      </c>
      <c r="N1040" s="144" t="str">
        <v>Unknown</v>
      </c>
      <c r="O1040" s="142" t="str">
        <v/>
      </c>
      <c r="P1040" s="142" t="str">
        <v/>
      </c>
      <c r="Q1040" s="142">
        <v>54.660493827160494</v>
      </c>
      <c r="R1040" s="129" t="str">
        <v>Description – exact</v>
      </c>
      <c r="S1040" s="143" t="str">
        <v/>
      </c>
      <c r="T1040" s="144" t="str">
        <v>SRC-00</v>
      </c>
      <c r="U1040" s="129" t="str">
        <v>S+ row 569</v>
      </c>
      <c r="V1040" s="129" t="str">
        <v/>
      </c>
    </row>
    <row r="1041" spans="1:22" x14ac:dyDescent="0.2">
      <c r="A1041" s="144" t="str">
        <v>LL1</v>
      </c>
      <c r="B1041" s="145">
        <v>4</v>
      </c>
      <c r="C1041" s="129" t="str">
        <v>Left Knee Arthroscopy &amp; Proceed</v>
      </c>
      <c r="D1041" s="129" t="str">
        <v>LL1 – Lower Limb: Minor Procedures</v>
      </c>
      <c r="E1041" s="129" t="str">
        <v>10 - Lower Limb</v>
      </c>
      <c r="F1041" s="129" t="str">
        <v>Solutions Plus</v>
      </c>
      <c r="G1041" s="144" t="str">
        <v>CON-01</v>
      </c>
      <c r="H1041" s="129" t="str">
        <v>To confirm</v>
      </c>
      <c r="I1041" s="144" t="str">
        <v>No</v>
      </c>
      <c r="J1041" s="144" t="str">
        <v>Base</v>
      </c>
      <c r="K1041" s="144" t="str">
        <v/>
      </c>
      <c r="L1041" s="146">
        <v>7.4</v>
      </c>
      <c r="M1041" s="142">
        <v>406.45</v>
      </c>
      <c r="N1041" s="144" t="str">
        <v>Unknown</v>
      </c>
      <c r="O1041" s="142" t="str">
        <v/>
      </c>
      <c r="P1041" s="142" t="str">
        <v/>
      </c>
      <c r="Q1041" s="142">
        <v>54.92567567567567</v>
      </c>
      <c r="R1041" s="129" t="str">
        <v>Description – exact</v>
      </c>
      <c r="S1041" s="143" t="str">
        <v/>
      </c>
      <c r="T1041" s="144" t="str">
        <v>SRC-00</v>
      </c>
      <c r="U1041" s="129" t="str">
        <v>S+ row 570</v>
      </c>
      <c r="V1041" s="129" t="str">
        <v/>
      </c>
    </row>
    <row r="1042" spans="1:22" x14ac:dyDescent="0.2">
      <c r="A1042" s="144" t="str">
        <v>LL1</v>
      </c>
      <c r="B1042" s="145">
        <v>4</v>
      </c>
      <c r="C1042" s="129" t="str">
        <v>Left Knee Arthroscopy Proceed To Meniscal Repair</v>
      </c>
      <c r="D1042" s="129" t="str">
        <v>LL1 – Lower Limb: Minor Procedures</v>
      </c>
      <c r="E1042" s="129" t="str">
        <v>10 - Lower Limb</v>
      </c>
      <c r="F1042" s="129" t="str">
        <v>Solutions Plus</v>
      </c>
      <c r="G1042" s="144" t="str">
        <v>CON-01</v>
      </c>
      <c r="H1042" s="129" t="str">
        <v>To confirm</v>
      </c>
      <c r="I1042" s="144" t="str">
        <v>No</v>
      </c>
      <c r="J1042" s="144" t="str">
        <v>Base</v>
      </c>
      <c r="K1042" s="144" t="str">
        <v/>
      </c>
      <c r="L1042" s="146">
        <v>0</v>
      </c>
      <c r="M1042" s="142">
        <v>0</v>
      </c>
      <c r="N1042" s="144" t="str">
        <v>Unknown</v>
      </c>
      <c r="O1042" s="142" t="str">
        <v/>
      </c>
      <c r="P1042" s="142" t="str">
        <v/>
      </c>
      <c r="Q1042" s="142" t="str">
        <v/>
      </c>
      <c r="R1042" s="129" t="str">
        <v>Description – exact</v>
      </c>
      <c r="S1042" s="143" t="str">
        <v/>
      </c>
      <c r="T1042" s="144" t="str">
        <v>SRC-00</v>
      </c>
      <c r="U1042" s="129" t="str">
        <v>S+ row 4</v>
      </c>
      <c r="V1042" s="129" t="str">
        <v/>
      </c>
    </row>
    <row r="1043" spans="1:22" x14ac:dyDescent="0.2">
      <c r="A1043" s="144" t="str">
        <v>LL4</v>
      </c>
      <c r="B1043" s="145">
        <v>8</v>
      </c>
      <c r="C1043" s="129" t="str">
        <v>Left Knee Medial Unicompartmental Knee Replacem</v>
      </c>
      <c r="D1043" s="129" t="str">
        <v>LL4 – Lower Limb: Major Hip/Knee Joint Procedures</v>
      </c>
      <c r="E1043" s="129" t="str">
        <v>10 - Lower Limb</v>
      </c>
      <c r="F1043" s="129" t="str">
        <v>Solutions Plus</v>
      </c>
      <c r="G1043" s="144" t="str">
        <v>CON-01</v>
      </c>
      <c r="H1043" s="129" t="str">
        <v>To confirm</v>
      </c>
      <c r="I1043" s="144" t="str">
        <v>No</v>
      </c>
      <c r="J1043" s="144" t="str">
        <v>Base</v>
      </c>
      <c r="K1043" s="144" t="str">
        <v/>
      </c>
      <c r="L1043" s="146">
        <v>7</v>
      </c>
      <c r="M1043" s="142">
        <v>385</v>
      </c>
      <c r="N1043" s="144" t="str">
        <v>Unknown</v>
      </c>
      <c r="O1043" s="142" t="str">
        <v/>
      </c>
      <c r="P1043" s="142" t="str">
        <v/>
      </c>
      <c r="Q1043" s="142">
        <v>55</v>
      </c>
      <c r="R1043" s="129" t="str">
        <v>Description – exact</v>
      </c>
      <c r="S1043" s="143" t="str">
        <v/>
      </c>
      <c r="T1043" s="144" t="str">
        <v>SRC-00</v>
      </c>
      <c r="U1043" s="129" t="str">
        <v>S+ row 571</v>
      </c>
      <c r="V1043" s="129" t="str">
        <v/>
      </c>
    </row>
    <row r="1044" spans="1:22" x14ac:dyDescent="0.2">
      <c r="A1044" s="144" t="str">
        <v>LL1</v>
      </c>
      <c r="B1044" s="145">
        <v>4</v>
      </c>
      <c r="C1044" s="129" t="str">
        <v>Left Knee MUA</v>
      </c>
      <c r="D1044" s="129" t="str">
        <v>LL1 – Lower Limb: Minor Procedures</v>
      </c>
      <c r="E1044" s="129" t="str">
        <v>10 - Lower Limb</v>
      </c>
      <c r="F1044" s="129" t="str">
        <v>Solutions Plus</v>
      </c>
      <c r="G1044" s="144" t="str">
        <v>CON-01</v>
      </c>
      <c r="H1044" s="129" t="str">
        <v>To confirm</v>
      </c>
      <c r="I1044" s="144" t="str">
        <v>No</v>
      </c>
      <c r="J1044" s="144" t="str">
        <v>Base</v>
      </c>
      <c r="K1044" s="144" t="str">
        <v/>
      </c>
      <c r="L1044" s="146">
        <v>6.6</v>
      </c>
      <c r="M1044" s="142">
        <v>362.45</v>
      </c>
      <c r="N1044" s="144" t="str">
        <v>Unknown</v>
      </c>
      <c r="O1044" s="142" t="str">
        <v/>
      </c>
      <c r="P1044" s="142" t="str">
        <v/>
      </c>
      <c r="Q1044" s="142">
        <v>54.916666666666671</v>
      </c>
      <c r="R1044" s="129" t="str">
        <v>Description – likely</v>
      </c>
      <c r="S1044" s="143" t="str">
        <v/>
      </c>
      <c r="T1044" s="144" t="str">
        <v>SRC-00</v>
      </c>
      <c r="U1044" s="129" t="str">
        <v>S+ row 572</v>
      </c>
      <c r="V1044" s="129" t="str">
        <v/>
      </c>
    </row>
    <row r="1045" spans="1:22" x14ac:dyDescent="0.2">
      <c r="A1045" s="144" t="str">
        <v>LL4</v>
      </c>
      <c r="B1045" s="145">
        <v>8</v>
      </c>
      <c r="C1045" s="129" t="str">
        <v>Left Knee Replacement</v>
      </c>
      <c r="D1045" s="129" t="str">
        <v>LL4 – Lower Limb: Major Hip/Knee Joint Procedures</v>
      </c>
      <c r="E1045" s="129" t="str">
        <v>10 - Lower Limb</v>
      </c>
      <c r="F1045" s="129" t="str">
        <v>Solutions Plus</v>
      </c>
      <c r="G1045" s="144" t="str">
        <v>CON-01</v>
      </c>
      <c r="H1045" s="129" t="str">
        <v>To confirm</v>
      </c>
      <c r="I1045" s="144" t="str">
        <v>No</v>
      </c>
      <c r="J1045" s="144" t="str">
        <v>Base</v>
      </c>
      <c r="K1045" s="144" t="str">
        <v/>
      </c>
      <c r="L1045" s="146">
        <v>17</v>
      </c>
      <c r="M1045" s="142">
        <v>937.2</v>
      </c>
      <c r="N1045" s="144" t="str">
        <v>Unknown</v>
      </c>
      <c r="O1045" s="142" t="str">
        <v/>
      </c>
      <c r="P1045" s="142" t="str">
        <v/>
      </c>
      <c r="Q1045" s="142">
        <v>55.129411764705885</v>
      </c>
      <c r="R1045" s="129" t="str">
        <v>Description – exact</v>
      </c>
      <c r="S1045" s="143" t="str">
        <v/>
      </c>
      <c r="T1045" s="144" t="str">
        <v>SRC-00</v>
      </c>
      <c r="U1045" s="129" t="str">
        <v>S+ row 573</v>
      </c>
      <c r="V1045" s="129" t="str">
        <v/>
      </c>
    </row>
    <row r="1046" spans="1:22" x14ac:dyDescent="0.2">
      <c r="A1046" s="144" t="str">
        <v>LL4</v>
      </c>
      <c r="B1046" s="145">
        <v>8</v>
      </c>
      <c r="C1046" s="129" t="str">
        <v>Left Total Ankle Replacement</v>
      </c>
      <c r="D1046" s="129" t="str">
        <v>LL4 – Lower Limb: Major Hip/Knee Joint Procedures</v>
      </c>
      <c r="E1046" s="129" t="str">
        <v>10 - Lower Limb</v>
      </c>
      <c r="F1046" s="129" t="str">
        <v>Solutions Plus</v>
      </c>
      <c r="G1046" s="144" t="str">
        <v>CON-01</v>
      </c>
      <c r="H1046" s="129" t="str">
        <v>To confirm</v>
      </c>
      <c r="I1046" s="144" t="str">
        <v>No</v>
      </c>
      <c r="J1046" s="144" t="str">
        <v>Base</v>
      </c>
      <c r="K1046" s="144" t="str">
        <v/>
      </c>
      <c r="L1046" s="146">
        <v>21.5</v>
      </c>
      <c r="M1046" s="142">
        <v>1181.95</v>
      </c>
      <c r="N1046" s="144" t="str">
        <v>Unknown</v>
      </c>
      <c r="O1046" s="142" t="str">
        <v/>
      </c>
      <c r="P1046" s="142" t="str">
        <v/>
      </c>
      <c r="Q1046" s="142">
        <v>54.974418604651163</v>
      </c>
      <c r="R1046" s="129" t="str">
        <v>Description – likely</v>
      </c>
      <c r="S1046" s="143" t="str">
        <v/>
      </c>
      <c r="T1046" s="144" t="str">
        <v>SRC-00</v>
      </c>
      <c r="U1046" s="129" t="str">
        <v>S+ row 595</v>
      </c>
      <c r="V1046" s="129" t="str">
        <v/>
      </c>
    </row>
    <row r="1047" spans="1:22" x14ac:dyDescent="0.2">
      <c r="A1047" s="144" t="str">
        <v>LL4</v>
      </c>
      <c r="B1047" s="145">
        <v>8</v>
      </c>
      <c r="C1047" s="129" t="str">
        <v>Left Total Hip Joint Replacement</v>
      </c>
      <c r="D1047" s="129" t="str">
        <v>LL4 – Lower Limb: Major Hip/Knee Joint Procedures</v>
      </c>
      <c r="E1047" s="129" t="str">
        <v>10 - Lower Limb</v>
      </c>
      <c r="F1047" s="129" t="str">
        <v>Solutions Plus</v>
      </c>
      <c r="G1047" s="144" t="str">
        <v>CON-01</v>
      </c>
      <c r="H1047" s="129" t="str">
        <v>To confirm</v>
      </c>
      <c r="I1047" s="144" t="str">
        <v>No</v>
      </c>
      <c r="J1047" s="144" t="str">
        <v>Base</v>
      </c>
      <c r="K1047" s="144" t="str">
        <v/>
      </c>
      <c r="L1047" s="146">
        <v>17.600000000000001</v>
      </c>
      <c r="M1047" s="142">
        <v>966.9</v>
      </c>
      <c r="N1047" s="144" t="str">
        <v>Unknown</v>
      </c>
      <c r="O1047" s="142" t="str">
        <v/>
      </c>
      <c r="P1047" s="142" t="str">
        <v/>
      </c>
      <c r="Q1047" s="142">
        <v>54.937499999999993</v>
      </c>
      <c r="R1047" s="129" t="str">
        <v>Description – exact</v>
      </c>
      <c r="S1047" s="143" t="str">
        <v/>
      </c>
      <c r="T1047" s="144" t="str">
        <v>SRC-00</v>
      </c>
      <c r="U1047" s="129" t="str">
        <v>S+ row 596</v>
      </c>
      <c r="V1047" s="129" t="str">
        <v/>
      </c>
    </row>
    <row r="1048" spans="1:22" x14ac:dyDescent="0.2">
      <c r="A1048" s="144" t="str">
        <v>LL4</v>
      </c>
      <c r="B1048" s="145">
        <v>8</v>
      </c>
      <c r="C1048" s="129" t="str">
        <v>Left Total Hip Replacement</v>
      </c>
      <c r="D1048" s="129" t="str">
        <v>LL4 – Lower Limb: Major Hip/Knee Joint Procedures</v>
      </c>
      <c r="E1048" s="129" t="str">
        <v>10 - Lower Limb</v>
      </c>
      <c r="F1048" s="129" t="str">
        <v>Solutions Plus</v>
      </c>
      <c r="G1048" s="144" t="str">
        <v>CON-01</v>
      </c>
      <c r="H1048" s="129" t="str">
        <v>To confirm</v>
      </c>
      <c r="I1048" s="144" t="str">
        <v>No</v>
      </c>
      <c r="J1048" s="144" t="str">
        <v>Base</v>
      </c>
      <c r="K1048" s="144" t="str">
        <v/>
      </c>
      <c r="L1048" s="146">
        <v>17.2</v>
      </c>
      <c r="M1048" s="142">
        <v>947.1</v>
      </c>
      <c r="N1048" s="144" t="str">
        <v>Unknown</v>
      </c>
      <c r="O1048" s="142" t="str">
        <v/>
      </c>
      <c r="P1048" s="142" t="str">
        <v/>
      </c>
      <c r="Q1048" s="142">
        <v>55.0639534883721</v>
      </c>
      <c r="R1048" s="129" t="str">
        <v>Description – exact</v>
      </c>
      <c r="S1048" s="143" t="str">
        <v/>
      </c>
      <c r="T1048" s="144" t="str">
        <v>SRC-00</v>
      </c>
      <c r="U1048" s="129" t="str">
        <v>S+ row 597</v>
      </c>
      <c r="V1048" s="129" t="str">
        <v/>
      </c>
    </row>
    <row r="1049" spans="1:22" x14ac:dyDescent="0.2">
      <c r="A1049" s="144" t="str">
        <v>LL4</v>
      </c>
      <c r="B1049" s="145">
        <v>8</v>
      </c>
      <c r="C1049" s="129" t="str">
        <v>Left Total Hip Replacement CDHB</v>
      </c>
      <c r="D1049" s="129" t="str">
        <v>LL4 – Lower Limb: Major Hip/Knee Joint Procedures</v>
      </c>
      <c r="E1049" s="129" t="str">
        <v>10 - Lower Limb</v>
      </c>
      <c r="F1049" s="129" t="str">
        <v>Solutions Plus</v>
      </c>
      <c r="G1049" s="144" t="str">
        <v>CON-01</v>
      </c>
      <c r="H1049" s="129" t="str">
        <v>To confirm</v>
      </c>
      <c r="I1049" s="144" t="str">
        <v>No</v>
      </c>
      <c r="J1049" s="144" t="str">
        <v>Base</v>
      </c>
      <c r="K1049" s="144" t="str">
        <v/>
      </c>
      <c r="L1049" s="146">
        <v>18.600000000000001</v>
      </c>
      <c r="M1049" s="142">
        <v>1024.0999999999999</v>
      </c>
      <c r="N1049" s="144" t="str">
        <v>Unknown</v>
      </c>
      <c r="O1049" s="142" t="str">
        <v/>
      </c>
      <c r="P1049" s="142" t="str">
        <v/>
      </c>
      <c r="Q1049" s="142">
        <v>55.059139784946225</v>
      </c>
      <c r="R1049" s="129" t="str">
        <v>Description – exact</v>
      </c>
      <c r="S1049" s="143" t="str">
        <v/>
      </c>
      <c r="T1049" s="144" t="str">
        <v>SRC-00</v>
      </c>
      <c r="U1049" s="129" t="str">
        <v>S+ row 598</v>
      </c>
      <c r="V1049" s="129" t="str">
        <v/>
      </c>
    </row>
    <row r="1050" spans="1:22" x14ac:dyDescent="0.2">
      <c r="A1050" s="144" t="str">
        <v>LL4</v>
      </c>
      <c r="B1050" s="145">
        <v>8</v>
      </c>
      <c r="C1050" s="129" t="str">
        <v>Left Total Hip Replacement COS/ORTHOPADICS</v>
      </c>
      <c r="D1050" s="129" t="str">
        <v>LL4 – Lower Limb: Major Hip/Knee Joint Procedures</v>
      </c>
      <c r="E1050" s="129" t="str">
        <v>10 - Lower Limb</v>
      </c>
      <c r="F1050" s="129" t="str">
        <v>Solutions Plus</v>
      </c>
      <c r="G1050" s="144" t="str">
        <v>CON-01</v>
      </c>
      <c r="H1050" s="129" t="str">
        <v>To confirm</v>
      </c>
      <c r="I1050" s="144" t="str">
        <v>No</v>
      </c>
      <c r="J1050" s="144" t="str">
        <v>Base</v>
      </c>
      <c r="K1050" s="144" t="str">
        <v/>
      </c>
      <c r="L1050" s="146">
        <v>16</v>
      </c>
      <c r="M1050" s="142">
        <v>880</v>
      </c>
      <c r="N1050" s="144" t="str">
        <v>Unknown</v>
      </c>
      <c r="O1050" s="142" t="str">
        <v/>
      </c>
      <c r="P1050" s="142" t="str">
        <v/>
      </c>
      <c r="Q1050" s="142">
        <v>55</v>
      </c>
      <c r="R1050" s="129" t="str">
        <v>Description – exact</v>
      </c>
      <c r="S1050" s="143" t="str">
        <v/>
      </c>
      <c r="T1050" s="144" t="str">
        <v>SRC-00</v>
      </c>
      <c r="U1050" s="129" t="str">
        <v>S+ row 599</v>
      </c>
      <c r="V1050" s="129" t="str">
        <v/>
      </c>
    </row>
    <row r="1051" spans="1:22" x14ac:dyDescent="0.2">
      <c r="A1051" s="144" t="str">
        <v>LL4</v>
      </c>
      <c r="B1051" s="145">
        <v>8</v>
      </c>
      <c r="C1051" s="129" t="str">
        <v>Left Total Joint Replacement</v>
      </c>
      <c r="D1051" s="129" t="str">
        <v>LL4 – Lower Limb: Major Hip/Knee Joint Procedures</v>
      </c>
      <c r="E1051" s="129" t="str">
        <v>10 - Lower Limb</v>
      </c>
      <c r="F1051" s="129" t="str">
        <v>Solutions Plus</v>
      </c>
      <c r="G1051" s="144" t="str">
        <v>CON-01</v>
      </c>
      <c r="H1051" s="129" t="str">
        <v>To confirm</v>
      </c>
      <c r="I1051" s="144" t="str">
        <v>No</v>
      </c>
      <c r="J1051" s="144" t="str">
        <v>Base</v>
      </c>
      <c r="K1051" s="144" t="str">
        <v/>
      </c>
      <c r="L1051" s="146">
        <v>20.3</v>
      </c>
      <c r="M1051" s="142">
        <v>1116.5</v>
      </c>
      <c r="N1051" s="144" t="str">
        <v>Unknown</v>
      </c>
      <c r="O1051" s="142" t="str">
        <v/>
      </c>
      <c r="P1051" s="142" t="str">
        <v/>
      </c>
      <c r="Q1051" s="142">
        <v>55</v>
      </c>
      <c r="R1051" s="129" t="str">
        <v>Description – likely</v>
      </c>
      <c r="S1051" s="143" t="str">
        <v/>
      </c>
      <c r="T1051" s="144" t="str">
        <v>SRC-00</v>
      </c>
      <c r="U1051" s="129" t="str">
        <v>S+ row 600</v>
      </c>
      <c r="V1051" s="129" t="str">
        <v/>
      </c>
    </row>
    <row r="1052" spans="1:22" x14ac:dyDescent="0.2">
      <c r="A1052" s="144" t="str">
        <v>LL4</v>
      </c>
      <c r="B1052" s="145">
        <v>8</v>
      </c>
      <c r="C1052" s="129" t="str">
        <v>Left Total Knee Arthroscopy</v>
      </c>
      <c r="D1052" s="129" t="str">
        <v>LL4 – Lower Limb: Major Hip/Knee Joint Procedures</v>
      </c>
      <c r="E1052" s="129" t="str">
        <v>10 - Lower Limb</v>
      </c>
      <c r="F1052" s="129" t="str">
        <v>Solutions Plus</v>
      </c>
      <c r="G1052" s="144" t="str">
        <v>CON-01</v>
      </c>
      <c r="H1052" s="129" t="str">
        <v>To confirm</v>
      </c>
      <c r="I1052" s="144" t="str">
        <v>No</v>
      </c>
      <c r="J1052" s="144" t="str">
        <v>Base</v>
      </c>
      <c r="K1052" s="144" t="str">
        <v/>
      </c>
      <c r="L1052" s="146">
        <v>24.5</v>
      </c>
      <c r="M1052" s="142">
        <v>1347.5</v>
      </c>
      <c r="N1052" s="144" t="str">
        <v>Unknown</v>
      </c>
      <c r="O1052" s="142" t="str">
        <v/>
      </c>
      <c r="P1052" s="142" t="str">
        <v/>
      </c>
      <c r="Q1052" s="142">
        <v>55</v>
      </c>
      <c r="R1052" s="129" t="str">
        <v>Description – likely</v>
      </c>
      <c r="S1052" s="143" t="str">
        <v/>
      </c>
      <c r="T1052" s="144" t="str">
        <v>SRC-00</v>
      </c>
      <c r="U1052" s="129" t="str">
        <v>S+ row 601</v>
      </c>
      <c r="V1052" s="129" t="str">
        <v/>
      </c>
    </row>
    <row r="1053" spans="1:22" x14ac:dyDescent="0.2">
      <c r="A1053" s="144" t="str">
        <v>LL4</v>
      </c>
      <c r="B1053" s="145">
        <v>8</v>
      </c>
      <c r="C1053" s="129" t="str">
        <v>Left Total Knee Joint Replacement</v>
      </c>
      <c r="D1053" s="129" t="str">
        <v>LL4 – Lower Limb: Major Hip/Knee Joint Procedures</v>
      </c>
      <c r="E1053" s="129" t="str">
        <v>10 - Lower Limb</v>
      </c>
      <c r="F1053" s="129" t="str">
        <v>Solutions Plus</v>
      </c>
      <c r="G1053" s="144" t="str">
        <v>CON-01</v>
      </c>
      <c r="H1053" s="129" t="str">
        <v>To confirm</v>
      </c>
      <c r="I1053" s="144" t="str">
        <v>No</v>
      </c>
      <c r="J1053" s="144" t="str">
        <v>Base</v>
      </c>
      <c r="K1053" s="144" t="str">
        <v/>
      </c>
      <c r="L1053" s="146">
        <v>18.2</v>
      </c>
      <c r="M1053" s="142">
        <v>1001</v>
      </c>
      <c r="N1053" s="144" t="str">
        <v>Unknown</v>
      </c>
      <c r="O1053" s="142" t="str">
        <v/>
      </c>
      <c r="P1053" s="142" t="str">
        <v/>
      </c>
      <c r="Q1053" s="142">
        <v>55</v>
      </c>
      <c r="R1053" s="129" t="str">
        <v>Description – exact</v>
      </c>
      <c r="S1053" s="143" t="str">
        <v/>
      </c>
      <c r="T1053" s="144" t="str">
        <v>SRC-00</v>
      </c>
      <c r="U1053" s="129" t="str">
        <v>S+ row 602</v>
      </c>
      <c r="V1053" s="129" t="str">
        <v/>
      </c>
    </row>
    <row r="1054" spans="1:22" x14ac:dyDescent="0.2">
      <c r="A1054" s="144" t="str">
        <v>LL4</v>
      </c>
      <c r="B1054" s="145">
        <v>8</v>
      </c>
      <c r="C1054" s="129" t="str">
        <v>Left Total Knee Replacement</v>
      </c>
      <c r="D1054" s="129" t="str">
        <v>LL4 – Lower Limb: Major Hip/Knee Joint Procedures</v>
      </c>
      <c r="E1054" s="129" t="str">
        <v>10 - Lower Limb</v>
      </c>
      <c r="F1054" s="129" t="str">
        <v>Solutions Plus</v>
      </c>
      <c r="G1054" s="144" t="str">
        <v>CON-01</v>
      </c>
      <c r="H1054" s="129" t="str">
        <v>To confirm</v>
      </c>
      <c r="I1054" s="144" t="str">
        <v>No</v>
      </c>
      <c r="J1054" s="144" t="str">
        <v>Base</v>
      </c>
      <c r="K1054" s="144" t="str">
        <v/>
      </c>
      <c r="L1054" s="146">
        <v>17.600000000000001</v>
      </c>
      <c r="M1054" s="142">
        <v>965.8</v>
      </c>
      <c r="N1054" s="144" t="str">
        <v>Unknown</v>
      </c>
      <c r="O1054" s="142" t="str">
        <v/>
      </c>
      <c r="P1054" s="142" t="str">
        <v/>
      </c>
      <c r="Q1054" s="142">
        <v>54.874999999999993</v>
      </c>
      <c r="R1054" s="129" t="str">
        <v>Description – exact</v>
      </c>
      <c r="S1054" s="143" t="str">
        <v/>
      </c>
      <c r="T1054" s="144" t="str">
        <v>SRC-00</v>
      </c>
      <c r="U1054" s="129" t="str">
        <v>S+ row 603</v>
      </c>
      <c r="V1054" s="129" t="str">
        <v/>
      </c>
    </row>
    <row r="1055" spans="1:22" x14ac:dyDescent="0.2">
      <c r="A1055" s="144" t="str">
        <v>LL4</v>
      </c>
      <c r="B1055" s="145">
        <v>8</v>
      </c>
      <c r="C1055" s="129" t="str">
        <v>Left Total Knee Replacement</v>
      </c>
      <c r="D1055" s="129" t="str">
        <v>LL4 – Lower Limb: Major Hip/Knee Joint Procedures</v>
      </c>
      <c r="E1055" s="129" t="str">
        <v>10 - Lower Limb</v>
      </c>
      <c r="F1055" s="129" t="str">
        <v>Solutions Plus</v>
      </c>
      <c r="G1055" s="144" t="str">
        <v>CON-01</v>
      </c>
      <c r="H1055" s="129" t="str">
        <v>To confirm</v>
      </c>
      <c r="I1055" s="144" t="str">
        <v>No</v>
      </c>
      <c r="J1055" s="144" t="str">
        <v>Base</v>
      </c>
      <c r="K1055" s="144" t="str">
        <v/>
      </c>
      <c r="L1055" s="146">
        <v>17.600000000000001</v>
      </c>
      <c r="M1055" s="142">
        <v>965.8</v>
      </c>
      <c r="N1055" s="144" t="str">
        <v>Unknown</v>
      </c>
      <c r="O1055" s="142" t="str">
        <v/>
      </c>
      <c r="P1055" s="142" t="str">
        <v/>
      </c>
      <c r="Q1055" s="142">
        <v>54.874999999999993</v>
      </c>
      <c r="R1055" s="129" t="str">
        <v>Description – exact</v>
      </c>
      <c r="S1055" s="143" t="str">
        <v/>
      </c>
      <c r="T1055" s="144" t="str">
        <v>SRC-00</v>
      </c>
      <c r="U1055" s="129" t="str">
        <v>S+ row 604</v>
      </c>
      <c r="V1055" s="129" t="str">
        <v/>
      </c>
    </row>
    <row r="1056" spans="1:22" x14ac:dyDescent="0.2">
      <c r="A1056" s="144" t="str">
        <v>LL4</v>
      </c>
      <c r="B1056" s="145">
        <v>8</v>
      </c>
      <c r="C1056" s="129" t="str">
        <v>Major Hip/Knee Joint Procedures e.g. Hip Replacement, Knee Replacement</v>
      </c>
      <c r="D1056" s="129" t="str">
        <v>LL4 – Lower Limb: Major Hip/Knee Joint Procedures</v>
      </c>
      <c r="E1056" s="129" t="str">
        <v>10 - Lower Limb</v>
      </c>
      <c r="F1056" s="129" t="str">
        <v>NZSA RVG</v>
      </c>
      <c r="G1056" s="144" t="str">
        <v>CON-10</v>
      </c>
      <c r="H1056" s="129" t="str">
        <v>Reference – units only</v>
      </c>
      <c r="I1056" s="144" t="str">
        <v>No</v>
      </c>
      <c r="J1056" s="144" t="str">
        <v>Base</v>
      </c>
      <c r="K1056" s="144" t="str">
        <v>LL4</v>
      </c>
      <c r="L1056" s="146">
        <v>8</v>
      </c>
      <c r="M1056" s="142" t="str">
        <v/>
      </c>
      <c r="N1056" s="144" t="str">
        <v/>
      </c>
      <c r="O1056" s="142" t="str">
        <v/>
      </c>
      <c r="P1056" s="142" t="str">
        <v/>
      </c>
      <c r="Q1056" s="142">
        <v>0</v>
      </c>
      <c r="R1056" s="129" t="str">
        <v>RVG code</v>
      </c>
      <c r="S1056" s="143" t="str">
        <v/>
      </c>
      <c r="T1056" s="144" t="str">
        <v>SRC-01</v>
      </c>
      <c r="U1056" s="129" t="str">
        <v>p.11 – Lower Limb</v>
      </c>
      <c r="V1056" s="129" t="str">
        <v>Reference units only – no $ fee (NZSA RVG 2021).</v>
      </c>
    </row>
    <row r="1057" spans="1:22" x14ac:dyDescent="0.2">
      <c r="A1057" s="144" t="str">
        <v>LL3</v>
      </c>
      <c r="B1057" s="145">
        <v>6</v>
      </c>
      <c r="C1057" s="129" t="str">
        <v>Metatarsal Osteotomy</v>
      </c>
      <c r="D1057" s="129" t="str">
        <v>LL3 – Lower Limb: Moderate Soft Tissue/Muscle/Nerve Procedures</v>
      </c>
      <c r="E1057" s="129" t="str">
        <v>10 - Lower Limb</v>
      </c>
      <c r="F1057" s="129" t="str">
        <v>Solutions Plus</v>
      </c>
      <c r="G1057" s="144" t="str">
        <v>CON-01</v>
      </c>
      <c r="H1057" s="129" t="str">
        <v>To confirm</v>
      </c>
      <c r="I1057" s="144" t="str">
        <v>No</v>
      </c>
      <c r="J1057" s="144" t="str">
        <v>Base</v>
      </c>
      <c r="K1057" s="144" t="str">
        <v/>
      </c>
      <c r="L1057" s="146">
        <v>10.1</v>
      </c>
      <c r="M1057" s="142">
        <v>553.85</v>
      </c>
      <c r="N1057" s="144" t="str">
        <v>Unknown</v>
      </c>
      <c r="O1057" s="142" t="str">
        <v/>
      </c>
      <c r="P1057" s="142" t="str">
        <v/>
      </c>
      <c r="Q1057" s="142">
        <v>54.836633663366342</v>
      </c>
      <c r="R1057" s="129" t="str">
        <v>Description – likely</v>
      </c>
      <c r="S1057" s="143" t="str">
        <v/>
      </c>
      <c r="T1057" s="144" t="str">
        <v>SRC-00</v>
      </c>
      <c r="U1057" s="129" t="str">
        <v>S+ row 638</v>
      </c>
      <c r="V1057" s="129" t="str">
        <v/>
      </c>
    </row>
    <row r="1058" spans="1:22" x14ac:dyDescent="0.2">
      <c r="A1058" s="144" t="str">
        <v>LL1</v>
      </c>
      <c r="B1058" s="145">
        <v>4</v>
      </c>
      <c r="C1058" s="129" t="str">
        <v>Minor Procedures e.g. Excision Skin Lesions, Hip Arthroscopy, Knee Arthroscopy</v>
      </c>
      <c r="D1058" s="129" t="str">
        <v>LL1 – Lower Limb: Minor Procedures</v>
      </c>
      <c r="E1058" s="129" t="str">
        <v>10 - Lower Limb</v>
      </c>
      <c r="F1058" s="129" t="str">
        <v>NZSA RVG</v>
      </c>
      <c r="G1058" s="144" t="str">
        <v>CON-10</v>
      </c>
      <c r="H1058" s="129" t="str">
        <v>Reference – units only</v>
      </c>
      <c r="I1058" s="144" t="str">
        <v>No</v>
      </c>
      <c r="J1058" s="144" t="str">
        <v>Base</v>
      </c>
      <c r="K1058" s="144" t="str">
        <v>LL1</v>
      </c>
      <c r="L1058" s="146">
        <v>4</v>
      </c>
      <c r="M1058" s="142" t="str">
        <v/>
      </c>
      <c r="N1058" s="144" t="str">
        <v/>
      </c>
      <c r="O1058" s="142" t="str">
        <v/>
      </c>
      <c r="P1058" s="142" t="str">
        <v/>
      </c>
      <c r="Q1058" s="142">
        <v>0</v>
      </c>
      <c r="R1058" s="129" t="str">
        <v>RVG code</v>
      </c>
      <c r="S1058" s="143" t="str">
        <v/>
      </c>
      <c r="T1058" s="144" t="str">
        <v>SRC-01</v>
      </c>
      <c r="U1058" s="129" t="str">
        <v>p.10 – Lower Limb</v>
      </c>
      <c r="V1058" s="129" t="str">
        <v>Reference units only – no $ fee (NZSA RVG 2021).</v>
      </c>
    </row>
    <row r="1059" spans="1:22" x14ac:dyDescent="0.2">
      <c r="A1059" s="144" t="str">
        <v>LL3</v>
      </c>
      <c r="B1059" s="145">
        <v>6</v>
      </c>
      <c r="C1059" s="129" t="str">
        <v>Moderate Soft Tissue/Muscle/Nerve Procedures e.g. ACL Surgery, Femoral/Tibial Osteotomy, Alignment, Corrective Foot Surgery</v>
      </c>
      <c r="D1059" s="129" t="str">
        <v>LL3 – Lower Limb: Moderate Soft Tissue/Muscle/Nerve Procedures</v>
      </c>
      <c r="E1059" s="129" t="str">
        <v>10 - Lower Limb</v>
      </c>
      <c r="F1059" s="129" t="str">
        <v>NZSA RVG</v>
      </c>
      <c r="G1059" s="144" t="str">
        <v>CON-10</v>
      </c>
      <c r="H1059" s="129" t="str">
        <v>Reference – units only</v>
      </c>
      <c r="I1059" s="144" t="str">
        <v>No</v>
      </c>
      <c r="J1059" s="144" t="str">
        <v>Base</v>
      </c>
      <c r="K1059" s="144" t="str">
        <v>LL3</v>
      </c>
      <c r="L1059" s="146">
        <v>6</v>
      </c>
      <c r="M1059" s="142" t="str">
        <v/>
      </c>
      <c r="N1059" s="144" t="str">
        <v/>
      </c>
      <c r="O1059" s="142" t="str">
        <v/>
      </c>
      <c r="P1059" s="142" t="str">
        <v/>
      </c>
      <c r="Q1059" s="142">
        <v>0</v>
      </c>
      <c r="R1059" s="129" t="str">
        <v>RVG code</v>
      </c>
      <c r="S1059" s="143" t="str">
        <v/>
      </c>
      <c r="T1059" s="144" t="str">
        <v>SRC-01</v>
      </c>
      <c r="U1059" s="129" t="str">
        <v>p.11 – Lower Limb</v>
      </c>
      <c r="V1059" s="129" t="str">
        <v>Reference units only – no $ fee (NZSA RVG 2021).</v>
      </c>
    </row>
    <row r="1060" spans="1:22" x14ac:dyDescent="0.2">
      <c r="A1060" s="144" t="str">
        <v>LL2</v>
      </c>
      <c r="B1060" s="145">
        <v>5</v>
      </c>
      <c r="C1060" s="129" t="str">
        <v>Mortons Neuroma</v>
      </c>
      <c r="D1060" s="129" t="str">
        <v>LL2 – Lower Limb: Simple but Invasive Procedures</v>
      </c>
      <c r="E1060" s="129" t="str">
        <v>10 - Lower Limb</v>
      </c>
      <c r="F1060" s="129" t="str">
        <v>Solutions Plus</v>
      </c>
      <c r="G1060" s="144" t="str">
        <v>CON-01</v>
      </c>
      <c r="H1060" s="129" t="str">
        <v>To confirm</v>
      </c>
      <c r="I1060" s="144" t="str">
        <v>No</v>
      </c>
      <c r="J1060" s="144" t="str">
        <v>Base</v>
      </c>
      <c r="K1060" s="144" t="str">
        <v/>
      </c>
      <c r="L1060" s="146">
        <v>5.6</v>
      </c>
      <c r="M1060" s="142">
        <v>308</v>
      </c>
      <c r="N1060" s="144" t="str">
        <v>Unknown</v>
      </c>
      <c r="O1060" s="142" t="str">
        <v/>
      </c>
      <c r="P1060" s="142" t="str">
        <v/>
      </c>
      <c r="Q1060" s="142">
        <v>55</v>
      </c>
      <c r="R1060" s="129" t="str">
        <v>Description – likely</v>
      </c>
      <c r="S1060" s="143" t="str">
        <v/>
      </c>
      <c r="T1060" s="144" t="str">
        <v>SRC-00</v>
      </c>
      <c r="U1060" s="129" t="str">
        <v>S+ row 647</v>
      </c>
      <c r="V1060" s="129" t="str">
        <v/>
      </c>
    </row>
    <row r="1061" spans="1:22" x14ac:dyDescent="0.2">
      <c r="A1061" s="144" t="str">
        <v>LL1</v>
      </c>
      <c r="B1061" s="145">
        <v>4</v>
      </c>
      <c r="C1061" s="129" t="str">
        <v>MUA Of Left Knee Total Knee Joint Replacement</v>
      </c>
      <c r="D1061" s="129" t="str">
        <v>LL1 – Lower Limb: Minor Procedures</v>
      </c>
      <c r="E1061" s="129" t="str">
        <v>10 - Lower Limb</v>
      </c>
      <c r="F1061" s="129" t="str">
        <v>Solutions Plus</v>
      </c>
      <c r="G1061" s="144" t="str">
        <v>CON-01</v>
      </c>
      <c r="H1061" s="129" t="str">
        <v>To confirm</v>
      </c>
      <c r="I1061" s="144" t="str">
        <v>No</v>
      </c>
      <c r="J1061" s="144" t="str">
        <v>Base</v>
      </c>
      <c r="K1061" s="144" t="str">
        <v/>
      </c>
      <c r="L1061" s="146">
        <v>6</v>
      </c>
      <c r="M1061" s="142">
        <v>330</v>
      </c>
      <c r="N1061" s="144" t="str">
        <v>Unknown</v>
      </c>
      <c r="O1061" s="142" t="str">
        <v/>
      </c>
      <c r="P1061" s="142" t="str">
        <v/>
      </c>
      <c r="Q1061" s="142">
        <v>55</v>
      </c>
      <c r="R1061" s="129" t="str">
        <v>Description – likely</v>
      </c>
      <c r="S1061" s="143" t="str">
        <v/>
      </c>
      <c r="T1061" s="144" t="str">
        <v>SRC-00</v>
      </c>
      <c r="U1061" s="129" t="str">
        <v>S+ row 650</v>
      </c>
      <c r="V1061" s="129" t="str">
        <v/>
      </c>
    </row>
    <row r="1062" spans="1:22" x14ac:dyDescent="0.2">
      <c r="A1062" s="144" t="str">
        <v>LL2</v>
      </c>
      <c r="B1062" s="145">
        <v>5</v>
      </c>
      <c r="C1062" s="129" t="str">
        <v>Open Debridement Patella Tendon</v>
      </c>
      <c r="D1062" s="129" t="str">
        <v>LL2 – Lower Limb: Simple but Invasive Procedures</v>
      </c>
      <c r="E1062" s="129" t="str">
        <v>10 - Lower Limb</v>
      </c>
      <c r="F1062" s="129" t="str">
        <v>Solutions Plus</v>
      </c>
      <c r="G1062" s="144" t="str">
        <v>CON-01</v>
      </c>
      <c r="H1062" s="129" t="str">
        <v>To confirm</v>
      </c>
      <c r="I1062" s="144" t="str">
        <v>No</v>
      </c>
      <c r="J1062" s="144" t="str">
        <v>Base</v>
      </c>
      <c r="K1062" s="144" t="str">
        <v/>
      </c>
      <c r="L1062" s="146">
        <v>2</v>
      </c>
      <c r="M1062" s="142">
        <v>110</v>
      </c>
      <c r="N1062" s="144" t="str">
        <v>Unknown</v>
      </c>
      <c r="O1062" s="142" t="str">
        <v/>
      </c>
      <c r="P1062" s="142" t="str">
        <v/>
      </c>
      <c r="Q1062" s="142">
        <v>55</v>
      </c>
      <c r="R1062" s="129" t="str">
        <v>Description – likely</v>
      </c>
      <c r="S1062" s="143" t="str">
        <v/>
      </c>
      <c r="T1062" s="144" t="str">
        <v>SRC-00</v>
      </c>
      <c r="U1062" s="129" t="str">
        <v>S+ row 662</v>
      </c>
      <c r="V1062" s="129" t="str">
        <v/>
      </c>
    </row>
    <row r="1063" spans="1:22" x14ac:dyDescent="0.2">
      <c r="A1063" s="144" t="str">
        <v>LL3</v>
      </c>
      <c r="B1063" s="145">
        <v>6</v>
      </c>
      <c r="C1063" s="129" t="str">
        <v>PCL Reconstruction</v>
      </c>
      <c r="D1063" s="129" t="str">
        <v>LL3 – Lower Limb: Moderate Soft Tissue/Muscle/Nerve Procedures</v>
      </c>
      <c r="E1063" s="129" t="str">
        <v>10 - Lower Limb</v>
      </c>
      <c r="F1063" s="129" t="str">
        <v>Solutions Plus</v>
      </c>
      <c r="G1063" s="144" t="str">
        <v>CON-01</v>
      </c>
      <c r="H1063" s="129" t="str">
        <v>To confirm</v>
      </c>
      <c r="I1063" s="144" t="str">
        <v>No</v>
      </c>
      <c r="J1063" s="144" t="str">
        <v>Base</v>
      </c>
      <c r="K1063" s="144" t="str">
        <v/>
      </c>
      <c r="L1063" s="146">
        <v>11.5</v>
      </c>
      <c r="M1063" s="142">
        <v>632.5</v>
      </c>
      <c r="N1063" s="144" t="str">
        <v>Unknown</v>
      </c>
      <c r="O1063" s="142" t="str">
        <v/>
      </c>
      <c r="P1063" s="142" t="str">
        <v/>
      </c>
      <c r="Q1063" s="142">
        <v>55</v>
      </c>
      <c r="R1063" s="129" t="str">
        <v>Description – exact</v>
      </c>
      <c r="S1063" s="143" t="str">
        <v/>
      </c>
      <c r="T1063" s="144" t="str">
        <v>SRC-00</v>
      </c>
      <c r="U1063" s="129" t="str">
        <v>S+ row 694</v>
      </c>
      <c r="V1063" s="129" t="str">
        <v/>
      </c>
    </row>
    <row r="1064" spans="1:22" x14ac:dyDescent="0.2">
      <c r="A1064" s="144" t="str">
        <v>LL4</v>
      </c>
      <c r="B1064" s="145">
        <v>8</v>
      </c>
      <c r="C1064" s="129" t="str">
        <v>Proceed To LEFT Total Joint Replacement - Amend</v>
      </c>
      <c r="D1064" s="129" t="str">
        <v>LL4 – Lower Limb: Major Hip/Knee Joint Procedures</v>
      </c>
      <c r="E1064" s="129" t="str">
        <v>10 - Lower Limb</v>
      </c>
      <c r="F1064" s="129" t="str">
        <v>Solutions Plus</v>
      </c>
      <c r="G1064" s="144" t="str">
        <v>CON-01</v>
      </c>
      <c r="H1064" s="129" t="str">
        <v>To confirm</v>
      </c>
      <c r="I1064" s="144" t="str">
        <v>No</v>
      </c>
      <c r="J1064" s="144" t="str">
        <v>Base</v>
      </c>
      <c r="K1064" s="144" t="str">
        <v/>
      </c>
      <c r="L1064" s="146">
        <v>61</v>
      </c>
      <c r="M1064" s="142">
        <v>3355</v>
      </c>
      <c r="N1064" s="144" t="str">
        <v>Unknown</v>
      </c>
      <c r="O1064" s="142" t="str">
        <v/>
      </c>
      <c r="P1064" s="142" t="str">
        <v/>
      </c>
      <c r="Q1064" s="142">
        <v>55</v>
      </c>
      <c r="R1064" s="129" t="str">
        <v>Description – likely</v>
      </c>
      <c r="S1064" s="143" t="str">
        <v/>
      </c>
      <c r="T1064" s="144" t="str">
        <v>SRC-00</v>
      </c>
      <c r="U1064" s="129" t="str">
        <v>S+ row 704</v>
      </c>
      <c r="V1064" s="129" t="str">
        <v/>
      </c>
    </row>
    <row r="1065" spans="1:22" x14ac:dyDescent="0.2">
      <c r="A1065" s="144" t="str">
        <v>LL1</v>
      </c>
      <c r="B1065" s="145">
        <v>4</v>
      </c>
      <c r="C1065" s="129" t="str">
        <v>Removal Cyst Right 1st MTP, Excision Benign Lesio</v>
      </c>
      <c r="D1065" s="129" t="str">
        <v>LL1 – Lower Limb: Minor Procedures</v>
      </c>
      <c r="E1065" s="129" t="str">
        <v>10 - Lower Limb</v>
      </c>
      <c r="F1065" s="129" t="str">
        <v>Solutions Plus</v>
      </c>
      <c r="G1065" s="144" t="str">
        <v>CON-01</v>
      </c>
      <c r="H1065" s="129" t="str">
        <v>To confirm</v>
      </c>
      <c r="I1065" s="144" t="str">
        <v>No</v>
      </c>
      <c r="J1065" s="144" t="str">
        <v>Base</v>
      </c>
      <c r="K1065" s="144" t="str">
        <v/>
      </c>
      <c r="L1065" s="146">
        <v>3</v>
      </c>
      <c r="M1065" s="142">
        <v>165</v>
      </c>
      <c r="N1065" s="144" t="str">
        <v>Unknown</v>
      </c>
      <c r="O1065" s="142" t="str">
        <v/>
      </c>
      <c r="P1065" s="142" t="str">
        <v/>
      </c>
      <c r="Q1065" s="142">
        <v>55</v>
      </c>
      <c r="R1065" s="129" t="str">
        <v>Description – likely</v>
      </c>
      <c r="S1065" s="143" t="str">
        <v/>
      </c>
      <c r="T1065" s="144" t="str">
        <v>SRC-00</v>
      </c>
      <c r="U1065" s="129" t="str">
        <v>S+ row 716</v>
      </c>
      <c r="V1065" s="129" t="str">
        <v/>
      </c>
    </row>
    <row r="1066" spans="1:22" x14ac:dyDescent="0.2">
      <c r="A1066" s="144" t="str">
        <v>LL3</v>
      </c>
      <c r="B1066" s="145">
        <v>6</v>
      </c>
      <c r="C1066" s="129" t="str">
        <v>Removal Of Tibial Nail &amp; Tibial Osteotomy</v>
      </c>
      <c r="D1066" s="129" t="str">
        <v>LL3 – Lower Limb: Moderate Soft Tissue/Muscle/Nerve Procedures</v>
      </c>
      <c r="E1066" s="129" t="str">
        <v>10 - Lower Limb</v>
      </c>
      <c r="F1066" s="129" t="str">
        <v>Solutions Plus</v>
      </c>
      <c r="G1066" s="144" t="str">
        <v>CON-01</v>
      </c>
      <c r="H1066" s="129" t="str">
        <v>To confirm</v>
      </c>
      <c r="I1066" s="144" t="str">
        <v>No</v>
      </c>
      <c r="J1066" s="144" t="str">
        <v>Base</v>
      </c>
      <c r="K1066" s="144" t="str">
        <v/>
      </c>
      <c r="L1066" s="146">
        <v>11</v>
      </c>
      <c r="M1066" s="142">
        <v>605</v>
      </c>
      <c r="N1066" s="144" t="str">
        <v>Unknown</v>
      </c>
      <c r="O1066" s="142" t="str">
        <v/>
      </c>
      <c r="P1066" s="142" t="str">
        <v/>
      </c>
      <c r="Q1066" s="142">
        <v>55</v>
      </c>
      <c r="R1066" s="129" t="str">
        <v>Description – exact</v>
      </c>
      <c r="S1066" s="143" t="str">
        <v/>
      </c>
      <c r="T1066" s="144" t="str">
        <v>SRC-00</v>
      </c>
      <c r="U1066" s="129" t="str">
        <v>S+ row 736</v>
      </c>
      <c r="V1066" s="129" t="str">
        <v/>
      </c>
    </row>
    <row r="1067" spans="1:22" x14ac:dyDescent="0.2">
      <c r="A1067" s="144" t="str">
        <v>LL3</v>
      </c>
      <c r="B1067" s="145">
        <v>6</v>
      </c>
      <c r="C1067" s="129" t="str">
        <v>Repair ACL</v>
      </c>
      <c r="D1067" s="129" t="str">
        <v>LL3 – Lower Limb: Moderate Soft Tissue/Muscle/Nerve Procedures</v>
      </c>
      <c r="E1067" s="129" t="str">
        <v>10 - Lower Limb</v>
      </c>
      <c r="F1067" s="129" t="str">
        <v>Solutions Plus</v>
      </c>
      <c r="G1067" s="144" t="str">
        <v>CON-01</v>
      </c>
      <c r="H1067" s="129" t="str">
        <v>To confirm</v>
      </c>
      <c r="I1067" s="144" t="str">
        <v>No</v>
      </c>
      <c r="J1067" s="144" t="str">
        <v>Base</v>
      </c>
      <c r="K1067" s="144" t="str">
        <v/>
      </c>
      <c r="L1067" s="146">
        <v>13</v>
      </c>
      <c r="M1067" s="142">
        <v>715</v>
      </c>
      <c r="N1067" s="144" t="str">
        <v>Unknown</v>
      </c>
      <c r="O1067" s="142" t="str">
        <v/>
      </c>
      <c r="P1067" s="142" t="str">
        <v/>
      </c>
      <c r="Q1067" s="142">
        <v>55</v>
      </c>
      <c r="R1067" s="129" t="str">
        <v>Description – exact</v>
      </c>
      <c r="S1067" s="143" t="str">
        <v/>
      </c>
      <c r="T1067" s="144" t="str">
        <v>SRC-00</v>
      </c>
      <c r="U1067" s="129" t="str">
        <v>S+ row 739</v>
      </c>
      <c r="V1067" s="129" t="str">
        <v/>
      </c>
    </row>
    <row r="1068" spans="1:22" x14ac:dyDescent="0.2">
      <c r="A1068" s="144" t="str">
        <v>LL3</v>
      </c>
      <c r="B1068" s="145">
        <v>6</v>
      </c>
      <c r="C1068" s="129" t="str">
        <v>Revision ACL</v>
      </c>
      <c r="D1068" s="129" t="str">
        <v>LL3 – Lower Limb: Moderate Soft Tissue/Muscle/Nerve Procedures</v>
      </c>
      <c r="E1068" s="129" t="str">
        <v>10 - Lower Limb</v>
      </c>
      <c r="F1068" s="129" t="str">
        <v>Solutions Plus</v>
      </c>
      <c r="G1068" s="144" t="str">
        <v>CON-01</v>
      </c>
      <c r="H1068" s="129" t="str">
        <v>To confirm</v>
      </c>
      <c r="I1068" s="144" t="str">
        <v>No</v>
      </c>
      <c r="J1068" s="144" t="str">
        <v>Base</v>
      </c>
      <c r="K1068" s="144" t="str">
        <v/>
      </c>
      <c r="L1068" s="146">
        <v>14.8</v>
      </c>
      <c r="M1068" s="142">
        <v>812.35</v>
      </c>
      <c r="N1068" s="144" t="str">
        <v>Unknown</v>
      </c>
      <c r="O1068" s="142" t="str">
        <v/>
      </c>
      <c r="P1068" s="142" t="str">
        <v/>
      </c>
      <c r="Q1068" s="142">
        <v>54.888513513513516</v>
      </c>
      <c r="R1068" s="129" t="str">
        <v>Description – exact</v>
      </c>
      <c r="S1068" s="143" t="str">
        <v/>
      </c>
      <c r="T1068" s="144" t="str">
        <v>SRC-00</v>
      </c>
      <c r="U1068" s="129" t="str">
        <v>S+ row 752</v>
      </c>
      <c r="V1068" s="129" t="str">
        <v/>
      </c>
    </row>
    <row r="1069" spans="1:22" x14ac:dyDescent="0.2">
      <c r="A1069" s="144" t="str">
        <v>LL5</v>
      </c>
      <c r="B1069" s="145">
        <v>10</v>
      </c>
      <c r="C1069" s="129" t="str">
        <v>Revision Of Left Total Knee Replacement</v>
      </c>
      <c r="D1069" s="129" t="str">
        <v>LL5 – Lower Limb: Complex Hip/Knee Joint Procedures</v>
      </c>
      <c r="E1069" s="129" t="str">
        <v>10 - Lower Limb</v>
      </c>
      <c r="F1069" s="129" t="str">
        <v>Solutions Plus</v>
      </c>
      <c r="G1069" s="144" t="str">
        <v>CON-01</v>
      </c>
      <c r="H1069" s="129" t="str">
        <v>To confirm</v>
      </c>
      <c r="I1069" s="144" t="str">
        <v>No</v>
      </c>
      <c r="J1069" s="144" t="str">
        <v>Base</v>
      </c>
      <c r="K1069" s="144" t="str">
        <v/>
      </c>
      <c r="L1069" s="146">
        <v>27</v>
      </c>
      <c r="M1069" s="142">
        <v>1485</v>
      </c>
      <c r="N1069" s="144" t="str">
        <v>Unknown</v>
      </c>
      <c r="O1069" s="142" t="str">
        <v/>
      </c>
      <c r="P1069" s="142" t="str">
        <v/>
      </c>
      <c r="Q1069" s="142">
        <v>55</v>
      </c>
      <c r="R1069" s="129" t="str">
        <v>Description – likely</v>
      </c>
      <c r="S1069" s="143" t="str">
        <v/>
      </c>
      <c r="T1069" s="144" t="str">
        <v>SRC-00</v>
      </c>
      <c r="U1069" s="129" t="str">
        <v>S+ row 757</v>
      </c>
      <c r="V1069" s="129" t="str">
        <v/>
      </c>
    </row>
    <row r="1070" spans="1:22" x14ac:dyDescent="0.2">
      <c r="A1070" s="144" t="str">
        <v>LL3</v>
      </c>
      <c r="B1070" s="145">
        <v>6</v>
      </c>
      <c r="C1070" s="129" t="str">
        <v>Revision Right Ankle Fusion</v>
      </c>
      <c r="D1070" s="129" t="str">
        <v>LL3 – Lower Limb: Moderate Soft Tissue/Muscle/Nerve Procedures</v>
      </c>
      <c r="E1070" s="129" t="str">
        <v>10 - Lower Limb</v>
      </c>
      <c r="F1070" s="129" t="str">
        <v>Solutions Plus</v>
      </c>
      <c r="G1070" s="144" t="str">
        <v>CON-01</v>
      </c>
      <c r="H1070" s="129" t="str">
        <v>To confirm</v>
      </c>
      <c r="I1070" s="144" t="str">
        <v>No</v>
      </c>
      <c r="J1070" s="144" t="str">
        <v>Base</v>
      </c>
      <c r="K1070" s="144" t="str">
        <v/>
      </c>
      <c r="L1070" s="146">
        <v>19.5</v>
      </c>
      <c r="M1070" s="142">
        <v>1072.5</v>
      </c>
      <c r="N1070" s="144" t="str">
        <v>Unknown</v>
      </c>
      <c r="O1070" s="142" t="str">
        <v/>
      </c>
      <c r="P1070" s="142" t="str">
        <v/>
      </c>
      <c r="Q1070" s="142">
        <v>55</v>
      </c>
      <c r="R1070" s="129" t="str">
        <v>Description – likely</v>
      </c>
      <c r="S1070" s="143" t="str">
        <v/>
      </c>
      <c r="T1070" s="144" t="str">
        <v>SRC-00</v>
      </c>
      <c r="U1070" s="129" t="str">
        <v>S+ row 758</v>
      </c>
      <c r="V1070" s="129" t="str">
        <v/>
      </c>
    </row>
    <row r="1071" spans="1:22" x14ac:dyDescent="0.2">
      <c r="A1071" s="144" t="str">
        <v>LL5</v>
      </c>
      <c r="B1071" s="145">
        <v>10</v>
      </c>
      <c r="C1071" s="129" t="str">
        <v>Revision Right Total Hip Replacement</v>
      </c>
      <c r="D1071" s="129" t="str">
        <v>LL5 – Lower Limb: Complex Hip/Knee Joint Procedures</v>
      </c>
      <c r="E1071" s="129" t="str">
        <v>10 - Lower Limb</v>
      </c>
      <c r="F1071" s="129" t="str">
        <v>Solutions Plus</v>
      </c>
      <c r="G1071" s="144" t="str">
        <v>CON-01</v>
      </c>
      <c r="H1071" s="129" t="str">
        <v>To confirm</v>
      </c>
      <c r="I1071" s="144" t="str">
        <v>No</v>
      </c>
      <c r="J1071" s="144" t="str">
        <v>Base</v>
      </c>
      <c r="K1071" s="144" t="str">
        <v/>
      </c>
      <c r="L1071" s="146">
        <v>25</v>
      </c>
      <c r="M1071" s="142">
        <v>1374.45</v>
      </c>
      <c r="N1071" s="144" t="str">
        <v>Unknown</v>
      </c>
      <c r="O1071" s="142" t="str">
        <v/>
      </c>
      <c r="P1071" s="142" t="str">
        <v/>
      </c>
      <c r="Q1071" s="142">
        <v>54.978000000000002</v>
      </c>
      <c r="R1071" s="129" t="str">
        <v>Description – likely</v>
      </c>
      <c r="S1071" s="143" t="str">
        <v/>
      </c>
      <c r="T1071" s="144" t="str">
        <v>SRC-00</v>
      </c>
      <c r="U1071" s="129" t="str">
        <v>S+ row 759</v>
      </c>
      <c r="V1071" s="129" t="str">
        <v/>
      </c>
    </row>
    <row r="1072" spans="1:22" x14ac:dyDescent="0.2">
      <c r="A1072" s="144" t="str">
        <v>LL5</v>
      </c>
      <c r="B1072" s="145">
        <v>10</v>
      </c>
      <c r="C1072" s="129" t="str">
        <v>Revision Total Hip Replacement</v>
      </c>
      <c r="D1072" s="129" t="str">
        <v>LL5 – Lower Limb: Complex Hip/Knee Joint Procedures</v>
      </c>
      <c r="E1072" s="129" t="str">
        <v>10 - Lower Limb</v>
      </c>
      <c r="F1072" s="129" t="str">
        <v>Solutions Plus</v>
      </c>
      <c r="G1072" s="144" t="str">
        <v>CON-01</v>
      </c>
      <c r="H1072" s="129" t="str">
        <v>To confirm</v>
      </c>
      <c r="I1072" s="144" t="str">
        <v>No</v>
      </c>
      <c r="J1072" s="144" t="str">
        <v>Base</v>
      </c>
      <c r="K1072" s="144" t="str">
        <v/>
      </c>
      <c r="L1072" s="146">
        <v>23.9</v>
      </c>
      <c r="M1072" s="142">
        <v>1312.85</v>
      </c>
      <c r="N1072" s="144" t="str">
        <v>Unknown</v>
      </c>
      <c r="O1072" s="142" t="str">
        <v/>
      </c>
      <c r="P1072" s="142" t="str">
        <v/>
      </c>
      <c r="Q1072" s="142">
        <v>54.930962343096233</v>
      </c>
      <c r="R1072" s="129" t="str">
        <v>Description – likely</v>
      </c>
      <c r="S1072" s="143" t="str">
        <v/>
      </c>
      <c r="T1072" s="144" t="str">
        <v>SRC-00</v>
      </c>
      <c r="U1072" s="129" t="str">
        <v>S+ row 760</v>
      </c>
      <c r="V1072" s="129" t="str">
        <v/>
      </c>
    </row>
    <row r="1073" spans="1:22" x14ac:dyDescent="0.2">
      <c r="A1073" s="144" t="str">
        <v>LL3</v>
      </c>
      <c r="B1073" s="145">
        <v>6</v>
      </c>
      <c r="C1073" s="129" t="str">
        <v>Right 1st MTP Fusion</v>
      </c>
      <c r="D1073" s="129" t="str">
        <v>LL3 – Lower Limb: Moderate Soft Tissue/Muscle/Nerve Procedures</v>
      </c>
      <c r="E1073" s="129" t="str">
        <v>10 - Lower Limb</v>
      </c>
      <c r="F1073" s="129" t="str">
        <v>Solutions Plus</v>
      </c>
      <c r="G1073" s="144" t="str">
        <v>CON-01</v>
      </c>
      <c r="H1073" s="129" t="str">
        <v>To confirm</v>
      </c>
      <c r="I1073" s="144" t="str">
        <v>No</v>
      </c>
      <c r="J1073" s="144" t="str">
        <v>Base</v>
      </c>
      <c r="K1073" s="144" t="str">
        <v/>
      </c>
      <c r="L1073" s="146">
        <v>10.1</v>
      </c>
      <c r="M1073" s="142">
        <v>556.6</v>
      </c>
      <c r="N1073" s="144" t="str">
        <v>Unknown</v>
      </c>
      <c r="O1073" s="142" t="str">
        <v/>
      </c>
      <c r="P1073" s="142" t="str">
        <v/>
      </c>
      <c r="Q1073" s="142">
        <v>55.10891089108911</v>
      </c>
      <c r="R1073" s="129" t="str">
        <v>Description – likely</v>
      </c>
      <c r="S1073" s="143" t="str">
        <v/>
      </c>
      <c r="T1073" s="144" t="str">
        <v>SRC-00</v>
      </c>
      <c r="U1073" s="129" t="str">
        <v>S+ row 766</v>
      </c>
      <c r="V1073" s="129" t="str">
        <v/>
      </c>
    </row>
    <row r="1074" spans="1:22" x14ac:dyDescent="0.2">
      <c r="A1074" s="144" t="str">
        <v>LL3</v>
      </c>
      <c r="B1074" s="145">
        <v>6</v>
      </c>
      <c r="C1074" s="129" t="str">
        <v>Right ACL Reconstruction Right Patella Tightrope</v>
      </c>
      <c r="D1074" s="129" t="str">
        <v>LL3 – Lower Limb: Moderate Soft Tissue/Muscle/Nerve Procedures</v>
      </c>
      <c r="E1074" s="129" t="str">
        <v>10 - Lower Limb</v>
      </c>
      <c r="F1074" s="129" t="str">
        <v>Solutions Plus</v>
      </c>
      <c r="G1074" s="144" t="str">
        <v>CON-01</v>
      </c>
      <c r="H1074" s="129" t="str">
        <v>To confirm</v>
      </c>
      <c r="I1074" s="144" t="str">
        <v>No</v>
      </c>
      <c r="J1074" s="144" t="str">
        <v>Base</v>
      </c>
      <c r="K1074" s="144" t="str">
        <v/>
      </c>
      <c r="L1074" s="146">
        <v>14</v>
      </c>
      <c r="M1074" s="142">
        <v>770</v>
      </c>
      <c r="N1074" s="144" t="str">
        <v>Unknown</v>
      </c>
      <c r="O1074" s="142" t="str">
        <v/>
      </c>
      <c r="P1074" s="142" t="str">
        <v/>
      </c>
      <c r="Q1074" s="142">
        <v>55</v>
      </c>
      <c r="R1074" s="129" t="str">
        <v>Description – exact</v>
      </c>
      <c r="S1074" s="143" t="str">
        <v/>
      </c>
      <c r="T1074" s="144" t="str">
        <v>SRC-00</v>
      </c>
      <c r="U1074" s="129" t="str">
        <v>S+ row 767</v>
      </c>
      <c r="V1074" s="129" t="str">
        <v/>
      </c>
    </row>
    <row r="1075" spans="1:22" x14ac:dyDescent="0.2">
      <c r="A1075" s="144" t="str">
        <v>LL2</v>
      </c>
      <c r="B1075" s="145">
        <v>5</v>
      </c>
      <c r="C1075" s="129" t="str">
        <v>Right Ankle Removal Of Metalware</v>
      </c>
      <c r="D1075" s="129" t="str">
        <v>LL2 – Lower Limb: Simple but Invasive Procedures</v>
      </c>
      <c r="E1075" s="129" t="str">
        <v>10 - Lower Limb</v>
      </c>
      <c r="F1075" s="129" t="str">
        <v>Solutions Plus</v>
      </c>
      <c r="G1075" s="144" t="str">
        <v>CON-01</v>
      </c>
      <c r="H1075" s="129" t="str">
        <v>To confirm</v>
      </c>
      <c r="I1075" s="144" t="str">
        <v>No</v>
      </c>
      <c r="J1075" s="144" t="str">
        <v>Base</v>
      </c>
      <c r="K1075" s="144" t="str">
        <v/>
      </c>
      <c r="L1075" s="146">
        <v>8.8000000000000007</v>
      </c>
      <c r="M1075" s="142">
        <v>485.65</v>
      </c>
      <c r="N1075" s="144" t="str">
        <v>Unknown</v>
      </c>
      <c r="O1075" s="142" t="str">
        <v/>
      </c>
      <c r="P1075" s="142" t="str">
        <v/>
      </c>
      <c r="Q1075" s="142">
        <v>55.187499999999993</v>
      </c>
      <c r="R1075" s="129" t="str">
        <v>Description – likely</v>
      </c>
      <c r="S1075" s="143" t="str">
        <v/>
      </c>
      <c r="T1075" s="144" t="str">
        <v>SRC-00</v>
      </c>
      <c r="U1075" s="129" t="str">
        <v>S+ row 768</v>
      </c>
      <c r="V1075" s="129" t="str">
        <v/>
      </c>
    </row>
    <row r="1076" spans="1:22" x14ac:dyDescent="0.2">
      <c r="A1076" s="144" t="str">
        <v>LL4</v>
      </c>
      <c r="B1076" s="145">
        <v>8</v>
      </c>
      <c r="C1076" s="129" t="str">
        <v>Right Direct Anterior Total Hip Replacement</v>
      </c>
      <c r="D1076" s="129" t="str">
        <v>LL4 – Lower Limb: Major Hip/Knee Joint Procedures</v>
      </c>
      <c r="E1076" s="129" t="str">
        <v>10 - Lower Limb</v>
      </c>
      <c r="F1076" s="129" t="str">
        <v>Solutions Plus</v>
      </c>
      <c r="G1076" s="144" t="str">
        <v>CON-01</v>
      </c>
      <c r="H1076" s="129" t="str">
        <v>To confirm</v>
      </c>
      <c r="I1076" s="144" t="str">
        <v>No</v>
      </c>
      <c r="J1076" s="144" t="str">
        <v>Base</v>
      </c>
      <c r="K1076" s="144" t="str">
        <v/>
      </c>
      <c r="L1076" s="146">
        <v>17.100000000000001</v>
      </c>
      <c r="M1076" s="142">
        <v>939.4</v>
      </c>
      <c r="N1076" s="144" t="str">
        <v>Unknown</v>
      </c>
      <c r="O1076" s="142" t="str">
        <v/>
      </c>
      <c r="P1076" s="142" t="str">
        <v/>
      </c>
      <c r="Q1076" s="142">
        <v>54.935672514619874</v>
      </c>
      <c r="R1076" s="129" t="str">
        <v>Description – exact</v>
      </c>
      <c r="S1076" s="143" t="str">
        <v/>
      </c>
      <c r="T1076" s="144" t="str">
        <v>SRC-00</v>
      </c>
      <c r="U1076" s="129" t="str">
        <v>S+ row 793</v>
      </c>
      <c r="V1076" s="129" t="str">
        <v/>
      </c>
    </row>
    <row r="1077" spans="1:22" x14ac:dyDescent="0.2">
      <c r="A1077" s="144" t="str">
        <v>LL4</v>
      </c>
      <c r="B1077" s="145">
        <v>8</v>
      </c>
      <c r="C1077" s="129" t="str">
        <v>Right Direct Anterior Total Hip Replacement With A</v>
      </c>
      <c r="D1077" s="129" t="str">
        <v>LL4 – Lower Limb: Major Hip/Knee Joint Procedures</v>
      </c>
      <c r="E1077" s="129" t="str">
        <v>10 - Lower Limb</v>
      </c>
      <c r="F1077" s="129" t="str">
        <v>Solutions Plus</v>
      </c>
      <c r="G1077" s="144" t="str">
        <v>CON-01</v>
      </c>
      <c r="H1077" s="129" t="str">
        <v>To confirm</v>
      </c>
      <c r="I1077" s="144" t="str">
        <v>No</v>
      </c>
      <c r="J1077" s="144" t="str">
        <v>Base</v>
      </c>
      <c r="K1077" s="144" t="str">
        <v/>
      </c>
      <c r="L1077" s="146">
        <v>8.5</v>
      </c>
      <c r="M1077" s="142">
        <v>467.5</v>
      </c>
      <c r="N1077" s="144" t="str">
        <v>Unknown</v>
      </c>
      <c r="O1077" s="142" t="str">
        <v/>
      </c>
      <c r="P1077" s="142" t="str">
        <v/>
      </c>
      <c r="Q1077" s="142">
        <v>55</v>
      </c>
      <c r="R1077" s="129" t="str">
        <v>Description – exact</v>
      </c>
      <c r="S1077" s="143" t="str">
        <v/>
      </c>
      <c r="T1077" s="144" t="str">
        <v>SRC-00</v>
      </c>
      <c r="U1077" s="129" t="str">
        <v>S+ row 794</v>
      </c>
      <c r="V1077" s="129" t="str">
        <v/>
      </c>
    </row>
    <row r="1078" spans="1:22" x14ac:dyDescent="0.2">
      <c r="A1078" s="144" t="str">
        <v>LL3</v>
      </c>
      <c r="B1078" s="145">
        <v>6</v>
      </c>
      <c r="C1078" s="129" t="str">
        <v>Right Foot - Arthrodesis DIPJ Second Toe And Revi</v>
      </c>
      <c r="D1078" s="129" t="str">
        <v>LL3 – Lower Limb: Moderate Soft Tissue/Muscle/Nerve Procedures</v>
      </c>
      <c r="E1078" s="129" t="str">
        <v>10 - Lower Limb</v>
      </c>
      <c r="F1078" s="129" t="str">
        <v>Solutions Plus</v>
      </c>
      <c r="G1078" s="144" t="str">
        <v>CON-01</v>
      </c>
      <c r="H1078" s="129" t="str">
        <v>To confirm</v>
      </c>
      <c r="I1078" s="144" t="str">
        <v>No</v>
      </c>
      <c r="J1078" s="144" t="str">
        <v>Base</v>
      </c>
      <c r="K1078" s="144" t="str">
        <v/>
      </c>
      <c r="L1078" s="146">
        <v>0</v>
      </c>
      <c r="M1078" s="142">
        <v>0</v>
      </c>
      <c r="N1078" s="144" t="str">
        <v>Unknown</v>
      </c>
      <c r="O1078" s="142" t="str">
        <v/>
      </c>
      <c r="P1078" s="142" t="str">
        <v/>
      </c>
      <c r="Q1078" s="142" t="str">
        <v/>
      </c>
      <c r="R1078" s="129" t="str">
        <v>Description – likely</v>
      </c>
      <c r="S1078" s="143" t="str">
        <v/>
      </c>
      <c r="T1078" s="144" t="str">
        <v>SRC-00</v>
      </c>
      <c r="U1078" s="129" t="str">
        <v>S+ row 800</v>
      </c>
      <c r="V1078" s="129" t="str">
        <v/>
      </c>
    </row>
    <row r="1079" spans="1:22" x14ac:dyDescent="0.2">
      <c r="A1079" s="144" t="str">
        <v>LL4</v>
      </c>
      <c r="B1079" s="145">
        <v>8</v>
      </c>
      <c r="C1079" s="129" t="str">
        <v>Right Hemi Knee Replacement</v>
      </c>
      <c r="D1079" s="129" t="str">
        <v>LL4 – Lower Limb: Major Hip/Knee Joint Procedures</v>
      </c>
      <c r="E1079" s="129" t="str">
        <v>10 - Lower Limb</v>
      </c>
      <c r="F1079" s="129" t="str">
        <v>Solutions Plus</v>
      </c>
      <c r="G1079" s="144" t="str">
        <v>CON-01</v>
      </c>
      <c r="H1079" s="129" t="str">
        <v>To confirm</v>
      </c>
      <c r="I1079" s="144" t="str">
        <v>No</v>
      </c>
      <c r="J1079" s="144" t="str">
        <v>Base</v>
      </c>
      <c r="K1079" s="144" t="str">
        <v/>
      </c>
      <c r="L1079" s="146">
        <v>16</v>
      </c>
      <c r="M1079" s="142">
        <v>877.25</v>
      </c>
      <c r="N1079" s="144" t="str">
        <v>Unknown</v>
      </c>
      <c r="O1079" s="142" t="str">
        <v/>
      </c>
      <c r="P1079" s="142" t="str">
        <v/>
      </c>
      <c r="Q1079" s="142">
        <v>54.828125</v>
      </c>
      <c r="R1079" s="129" t="str">
        <v>Description – exact</v>
      </c>
      <c r="S1079" s="143" t="str">
        <v/>
      </c>
      <c r="T1079" s="144" t="str">
        <v>SRC-00</v>
      </c>
      <c r="U1079" s="129" t="str">
        <v>S+ row 801</v>
      </c>
      <c r="V1079" s="129" t="str">
        <v/>
      </c>
    </row>
    <row r="1080" spans="1:22" x14ac:dyDescent="0.2">
      <c r="A1080" s="144" t="str">
        <v>LL4</v>
      </c>
      <c r="B1080" s="145">
        <v>8</v>
      </c>
      <c r="C1080" s="129" t="str">
        <v>Right Hip Replacement</v>
      </c>
      <c r="D1080" s="129" t="str">
        <v>LL4 – Lower Limb: Major Hip/Knee Joint Procedures</v>
      </c>
      <c r="E1080" s="129" t="str">
        <v>10 - Lower Limb</v>
      </c>
      <c r="F1080" s="129" t="str">
        <v>Solutions Plus</v>
      </c>
      <c r="G1080" s="144" t="str">
        <v>CON-01</v>
      </c>
      <c r="H1080" s="129" t="str">
        <v>To confirm</v>
      </c>
      <c r="I1080" s="144" t="str">
        <v>No</v>
      </c>
      <c r="J1080" s="144" t="str">
        <v>Base</v>
      </c>
      <c r="K1080" s="144" t="str">
        <v/>
      </c>
      <c r="L1080" s="146">
        <v>16.7</v>
      </c>
      <c r="M1080" s="142">
        <v>917.4</v>
      </c>
      <c r="N1080" s="144" t="str">
        <v>Unknown</v>
      </c>
      <c r="O1080" s="142" t="str">
        <v/>
      </c>
      <c r="P1080" s="142" t="str">
        <v/>
      </c>
      <c r="Q1080" s="142">
        <v>54.93413173652695</v>
      </c>
      <c r="R1080" s="129" t="str">
        <v>Description – exact</v>
      </c>
      <c r="S1080" s="143" t="str">
        <v/>
      </c>
      <c r="T1080" s="144" t="str">
        <v>SRC-00</v>
      </c>
      <c r="U1080" s="129" t="str">
        <v>S+ row 802</v>
      </c>
      <c r="V1080" s="129" t="str">
        <v/>
      </c>
    </row>
    <row r="1081" spans="1:22" x14ac:dyDescent="0.2">
      <c r="A1081" s="144" t="str">
        <v>LL4</v>
      </c>
      <c r="B1081" s="145">
        <v>8</v>
      </c>
      <c r="C1081" s="129" t="str">
        <v>Right Hip Replacement And</v>
      </c>
      <c r="D1081" s="129" t="str">
        <v>LL4 – Lower Limb: Major Hip/Knee Joint Procedures</v>
      </c>
      <c r="E1081" s="129" t="str">
        <v>10 - Lower Limb</v>
      </c>
      <c r="F1081" s="129" t="str">
        <v>Solutions Plus</v>
      </c>
      <c r="G1081" s="144" t="str">
        <v>CON-01</v>
      </c>
      <c r="H1081" s="129" t="str">
        <v>To confirm</v>
      </c>
      <c r="I1081" s="144" t="str">
        <v>No</v>
      </c>
      <c r="J1081" s="144" t="str">
        <v>Base</v>
      </c>
      <c r="K1081" s="144" t="str">
        <v/>
      </c>
      <c r="L1081" s="146">
        <v>0</v>
      </c>
      <c r="M1081" s="142">
        <v>0</v>
      </c>
      <c r="N1081" s="144" t="str">
        <v>Unknown</v>
      </c>
      <c r="O1081" s="142" t="str">
        <v/>
      </c>
      <c r="P1081" s="142" t="str">
        <v/>
      </c>
      <c r="Q1081" s="142" t="str">
        <v/>
      </c>
      <c r="R1081" s="129" t="str">
        <v>Description – exact</v>
      </c>
      <c r="S1081" s="143" t="str">
        <v/>
      </c>
      <c r="T1081" s="144" t="str">
        <v>SRC-00</v>
      </c>
      <c r="U1081" s="129" t="str">
        <v>S+ row 803</v>
      </c>
      <c r="V1081" s="129" t="str">
        <v/>
      </c>
    </row>
    <row r="1082" spans="1:22" x14ac:dyDescent="0.2">
      <c r="A1082" s="144" t="str">
        <v>LL3</v>
      </c>
      <c r="B1082" s="145">
        <v>6</v>
      </c>
      <c r="C1082" s="129" t="str">
        <v>Right Knee ACL Reconstruction</v>
      </c>
      <c r="D1082" s="129" t="str">
        <v>LL3 – Lower Limb: Moderate Soft Tissue/Muscle/Nerve Procedures</v>
      </c>
      <c r="E1082" s="129" t="str">
        <v>10 - Lower Limb</v>
      </c>
      <c r="F1082" s="129" t="str">
        <v>Solutions Plus</v>
      </c>
      <c r="G1082" s="144" t="str">
        <v>CON-01</v>
      </c>
      <c r="H1082" s="129" t="str">
        <v>To confirm</v>
      </c>
      <c r="I1082" s="144" t="str">
        <v>No</v>
      </c>
      <c r="J1082" s="144" t="str">
        <v>Base</v>
      </c>
      <c r="K1082" s="144" t="str">
        <v/>
      </c>
      <c r="L1082" s="146">
        <v>12.4</v>
      </c>
      <c r="M1082" s="142">
        <v>682</v>
      </c>
      <c r="N1082" s="144" t="str">
        <v>Unknown</v>
      </c>
      <c r="O1082" s="142" t="str">
        <v/>
      </c>
      <c r="P1082" s="142" t="str">
        <v/>
      </c>
      <c r="Q1082" s="142">
        <v>55</v>
      </c>
      <c r="R1082" s="129" t="str">
        <v>Description – exact</v>
      </c>
      <c r="S1082" s="143" t="str">
        <v/>
      </c>
      <c r="T1082" s="144" t="str">
        <v>SRC-00</v>
      </c>
      <c r="U1082" s="129" t="str">
        <v>S+ row 805</v>
      </c>
      <c r="V1082" s="129" t="str">
        <v/>
      </c>
    </row>
    <row r="1083" spans="1:22" x14ac:dyDescent="0.2">
      <c r="A1083" s="144" t="str">
        <v>LL1</v>
      </c>
      <c r="B1083" s="145">
        <v>4</v>
      </c>
      <c r="C1083" s="129" t="str">
        <v>Right Knee Arthroscopic Meniscectomy</v>
      </c>
      <c r="D1083" s="129" t="str">
        <v>LL1 – Lower Limb: Minor Procedures</v>
      </c>
      <c r="E1083" s="129" t="str">
        <v>10 - Lower Limb</v>
      </c>
      <c r="F1083" s="129" t="str">
        <v>Solutions Plus</v>
      </c>
      <c r="G1083" s="144" t="str">
        <v>CON-01</v>
      </c>
      <c r="H1083" s="129" t="str">
        <v>To confirm</v>
      </c>
      <c r="I1083" s="144" t="str">
        <v>No</v>
      </c>
      <c r="J1083" s="144" t="str">
        <v>Base</v>
      </c>
      <c r="K1083" s="144" t="str">
        <v/>
      </c>
      <c r="L1083" s="146">
        <v>7</v>
      </c>
      <c r="M1083" s="142">
        <v>382.25</v>
      </c>
      <c r="N1083" s="144" t="str">
        <v>Unknown</v>
      </c>
      <c r="O1083" s="142" t="str">
        <v/>
      </c>
      <c r="P1083" s="142" t="str">
        <v/>
      </c>
      <c r="Q1083" s="142">
        <v>54.607142857142854</v>
      </c>
      <c r="R1083" s="129" t="str">
        <v>Description – exact</v>
      </c>
      <c r="S1083" s="143" t="str">
        <v/>
      </c>
      <c r="T1083" s="144" t="str">
        <v>SRC-00</v>
      </c>
      <c r="U1083" s="129" t="str">
        <v>S+ row 806</v>
      </c>
      <c r="V1083" s="129" t="str">
        <v/>
      </c>
    </row>
    <row r="1084" spans="1:22" x14ac:dyDescent="0.2">
      <c r="A1084" s="144" t="str">
        <v>LL1</v>
      </c>
      <c r="B1084" s="145">
        <v>4</v>
      </c>
      <c r="C1084" s="129" t="str">
        <v>Right Knee Arthroscopy + Partial Medical Meniscect</v>
      </c>
      <c r="D1084" s="129" t="str">
        <v>LL1 – Lower Limb: Minor Procedures</v>
      </c>
      <c r="E1084" s="129" t="str">
        <v>10 - Lower Limb</v>
      </c>
      <c r="F1084" s="129" t="str">
        <v>Solutions Plus</v>
      </c>
      <c r="G1084" s="144" t="str">
        <v>CON-01</v>
      </c>
      <c r="H1084" s="129" t="str">
        <v>To confirm</v>
      </c>
      <c r="I1084" s="144" t="str">
        <v>No</v>
      </c>
      <c r="J1084" s="144" t="str">
        <v>Base</v>
      </c>
      <c r="K1084" s="144" t="str">
        <v/>
      </c>
      <c r="L1084" s="146">
        <v>7.1</v>
      </c>
      <c r="M1084" s="142">
        <v>392.15</v>
      </c>
      <c r="N1084" s="144" t="str">
        <v>Unknown</v>
      </c>
      <c r="O1084" s="142" t="str">
        <v/>
      </c>
      <c r="P1084" s="142" t="str">
        <v/>
      </c>
      <c r="Q1084" s="142">
        <v>55.232394366197184</v>
      </c>
      <c r="R1084" s="129" t="str">
        <v>Description – exact</v>
      </c>
      <c r="S1084" s="143" t="str">
        <v/>
      </c>
      <c r="T1084" s="144" t="str">
        <v>SRC-00</v>
      </c>
      <c r="U1084" s="129" t="str">
        <v>S+ row 807</v>
      </c>
      <c r="V1084" s="129" t="str">
        <v/>
      </c>
    </row>
    <row r="1085" spans="1:22" x14ac:dyDescent="0.2">
      <c r="A1085" s="144" t="str">
        <v>LL4</v>
      </c>
      <c r="B1085" s="145">
        <v>8</v>
      </c>
      <c r="C1085" s="129" t="str">
        <v>Right Knee Medial Oxford UKR</v>
      </c>
      <c r="D1085" s="129" t="str">
        <v>LL4 – Lower Limb: Major Hip/Knee Joint Procedures</v>
      </c>
      <c r="E1085" s="129" t="str">
        <v>10 - Lower Limb</v>
      </c>
      <c r="F1085" s="129" t="str">
        <v>Solutions Plus</v>
      </c>
      <c r="G1085" s="144" t="str">
        <v>CON-01</v>
      </c>
      <c r="H1085" s="129" t="str">
        <v>To confirm</v>
      </c>
      <c r="I1085" s="144" t="str">
        <v>No</v>
      </c>
      <c r="J1085" s="144" t="str">
        <v>Base</v>
      </c>
      <c r="K1085" s="144" t="str">
        <v/>
      </c>
      <c r="L1085" s="146">
        <v>13.2</v>
      </c>
      <c r="M1085" s="142">
        <v>727.1</v>
      </c>
      <c r="N1085" s="144" t="str">
        <v>Unknown</v>
      </c>
      <c r="O1085" s="142" t="str">
        <v/>
      </c>
      <c r="P1085" s="142" t="str">
        <v/>
      </c>
      <c r="Q1085" s="142">
        <v>55.083333333333336</v>
      </c>
      <c r="R1085" s="129" t="str">
        <v>Description – exact</v>
      </c>
      <c r="S1085" s="143" t="str">
        <v/>
      </c>
      <c r="T1085" s="144" t="str">
        <v>SRC-00</v>
      </c>
      <c r="U1085" s="129" t="str">
        <v>S+ row 808</v>
      </c>
      <c r="V1085" s="129" t="str">
        <v/>
      </c>
    </row>
    <row r="1086" spans="1:22" x14ac:dyDescent="0.2">
      <c r="A1086" s="144" t="str">
        <v>LL4</v>
      </c>
      <c r="B1086" s="145">
        <v>8</v>
      </c>
      <c r="C1086" s="129" t="str">
        <v>Right Knee Replacement</v>
      </c>
      <c r="D1086" s="129" t="str">
        <v>LL4 – Lower Limb: Major Hip/Knee Joint Procedures</v>
      </c>
      <c r="E1086" s="129" t="str">
        <v>10 - Lower Limb</v>
      </c>
      <c r="F1086" s="129" t="str">
        <v>Solutions Plus</v>
      </c>
      <c r="G1086" s="144" t="str">
        <v>CON-01</v>
      </c>
      <c r="H1086" s="129" t="str">
        <v>To confirm</v>
      </c>
      <c r="I1086" s="144" t="str">
        <v>No</v>
      </c>
      <c r="J1086" s="144" t="str">
        <v>Base</v>
      </c>
      <c r="K1086" s="144" t="str">
        <v/>
      </c>
      <c r="L1086" s="146">
        <v>16.7</v>
      </c>
      <c r="M1086" s="142">
        <v>917.95</v>
      </c>
      <c r="N1086" s="144" t="str">
        <v>Unknown</v>
      </c>
      <c r="O1086" s="142" t="str">
        <v/>
      </c>
      <c r="P1086" s="142" t="str">
        <v/>
      </c>
      <c r="Q1086" s="142">
        <v>54.967065868263475</v>
      </c>
      <c r="R1086" s="129" t="str">
        <v>Description – exact</v>
      </c>
      <c r="S1086" s="143" t="str">
        <v/>
      </c>
      <c r="T1086" s="144" t="str">
        <v>SRC-00</v>
      </c>
      <c r="U1086" s="129" t="str">
        <v>S+ row 809</v>
      </c>
      <c r="V1086" s="129" t="str">
        <v/>
      </c>
    </row>
    <row r="1087" spans="1:22" x14ac:dyDescent="0.2">
      <c r="A1087" s="144" t="str">
        <v>LL4</v>
      </c>
      <c r="B1087" s="145">
        <v>8</v>
      </c>
      <c r="C1087" s="129" t="str">
        <v>Right Medial Uni Knee Replacement - COS</v>
      </c>
      <c r="D1087" s="129" t="str">
        <v>LL4 – Lower Limb: Major Hip/Knee Joint Procedures</v>
      </c>
      <c r="E1087" s="129" t="str">
        <v>10 - Lower Limb</v>
      </c>
      <c r="F1087" s="129" t="str">
        <v>Solutions Plus</v>
      </c>
      <c r="G1087" s="144" t="str">
        <v>CON-01</v>
      </c>
      <c r="H1087" s="129" t="str">
        <v>To confirm</v>
      </c>
      <c r="I1087" s="144" t="str">
        <v>No</v>
      </c>
      <c r="J1087" s="144" t="str">
        <v>Base</v>
      </c>
      <c r="K1087" s="144" t="str">
        <v/>
      </c>
      <c r="L1087" s="146">
        <v>14</v>
      </c>
      <c r="M1087" s="142">
        <v>770</v>
      </c>
      <c r="N1087" s="144" t="str">
        <v>Unknown</v>
      </c>
      <c r="O1087" s="142" t="str">
        <v/>
      </c>
      <c r="P1087" s="142" t="str">
        <v/>
      </c>
      <c r="Q1087" s="142">
        <v>55</v>
      </c>
      <c r="R1087" s="129" t="str">
        <v>Description – exact</v>
      </c>
      <c r="S1087" s="143" t="str">
        <v/>
      </c>
      <c r="T1087" s="144" t="str">
        <v>SRC-00</v>
      </c>
      <c r="U1087" s="129" t="str">
        <v>S+ row 814</v>
      </c>
      <c r="V1087" s="129" t="str">
        <v/>
      </c>
    </row>
    <row r="1088" spans="1:22" x14ac:dyDescent="0.2">
      <c r="A1088" s="144" t="str">
        <v>LL4</v>
      </c>
      <c r="B1088" s="145">
        <v>8</v>
      </c>
      <c r="C1088" s="129" t="str">
        <v>Right Oxford Medial Uni Knee Replacement</v>
      </c>
      <c r="D1088" s="129" t="str">
        <v>LL4 – Lower Limb: Major Hip/Knee Joint Procedures</v>
      </c>
      <c r="E1088" s="129" t="str">
        <v>10 - Lower Limb</v>
      </c>
      <c r="F1088" s="129" t="str">
        <v>Solutions Plus</v>
      </c>
      <c r="G1088" s="144" t="str">
        <v>CON-01</v>
      </c>
      <c r="H1088" s="129" t="str">
        <v>To confirm</v>
      </c>
      <c r="I1088" s="144" t="str">
        <v>No</v>
      </c>
      <c r="J1088" s="144" t="str">
        <v>Base</v>
      </c>
      <c r="K1088" s="144" t="str">
        <v/>
      </c>
      <c r="L1088" s="146">
        <v>13.5</v>
      </c>
      <c r="M1088" s="142">
        <v>741.95</v>
      </c>
      <c r="N1088" s="144" t="str">
        <v>Unknown</v>
      </c>
      <c r="O1088" s="142" t="str">
        <v/>
      </c>
      <c r="P1088" s="142" t="str">
        <v/>
      </c>
      <c r="Q1088" s="142">
        <v>54.959259259259262</v>
      </c>
      <c r="R1088" s="129" t="str">
        <v>Description – exact</v>
      </c>
      <c r="S1088" s="143" t="str">
        <v/>
      </c>
      <c r="T1088" s="144" t="str">
        <v>SRC-00</v>
      </c>
      <c r="U1088" s="129" t="str">
        <v>S+ row 816</v>
      </c>
      <c r="V1088" s="129" t="str">
        <v/>
      </c>
    </row>
    <row r="1089" spans="1:22" x14ac:dyDescent="0.2">
      <c r="A1089" s="144" t="str">
        <v>LL4</v>
      </c>
      <c r="B1089" s="145">
        <v>8</v>
      </c>
      <c r="C1089" s="129" t="str">
        <v>Right Total Hip Joint Replacement</v>
      </c>
      <c r="D1089" s="129" t="str">
        <v>LL4 – Lower Limb: Major Hip/Knee Joint Procedures</v>
      </c>
      <c r="E1089" s="129" t="str">
        <v>10 - Lower Limb</v>
      </c>
      <c r="F1089" s="129" t="str">
        <v>Solutions Plus</v>
      </c>
      <c r="G1089" s="144" t="str">
        <v>CON-01</v>
      </c>
      <c r="H1089" s="129" t="str">
        <v>To confirm</v>
      </c>
      <c r="I1089" s="144" t="str">
        <v>No</v>
      </c>
      <c r="J1089" s="144" t="str">
        <v>Base</v>
      </c>
      <c r="K1089" s="144" t="str">
        <v/>
      </c>
      <c r="L1089" s="146">
        <v>17.399999999999999</v>
      </c>
      <c r="M1089" s="142">
        <v>959.2</v>
      </c>
      <c r="N1089" s="144" t="str">
        <v>Unknown</v>
      </c>
      <c r="O1089" s="142" t="str">
        <v/>
      </c>
      <c r="P1089" s="142" t="str">
        <v/>
      </c>
      <c r="Q1089" s="142">
        <v>55.1264367816092</v>
      </c>
      <c r="R1089" s="129" t="str">
        <v>Description – exact</v>
      </c>
      <c r="S1089" s="143" t="str">
        <v/>
      </c>
      <c r="T1089" s="144" t="str">
        <v>SRC-00</v>
      </c>
      <c r="U1089" s="129" t="str">
        <v>S+ row 824</v>
      </c>
      <c r="V1089" s="129" t="str">
        <v/>
      </c>
    </row>
    <row r="1090" spans="1:22" x14ac:dyDescent="0.2">
      <c r="A1090" s="144" t="str">
        <v>LL4</v>
      </c>
      <c r="B1090" s="145">
        <v>8</v>
      </c>
      <c r="C1090" s="129" t="str">
        <v>Right Total Hip Replacement</v>
      </c>
      <c r="D1090" s="129" t="str">
        <v>LL4 – Lower Limb: Major Hip/Knee Joint Procedures</v>
      </c>
      <c r="E1090" s="129" t="str">
        <v>10 - Lower Limb</v>
      </c>
      <c r="F1090" s="129" t="str">
        <v>Solutions Plus</v>
      </c>
      <c r="G1090" s="144" t="str">
        <v>CON-01</v>
      </c>
      <c r="H1090" s="129" t="str">
        <v>To confirm</v>
      </c>
      <c r="I1090" s="144" t="str">
        <v>No</v>
      </c>
      <c r="J1090" s="144" t="str">
        <v>Base</v>
      </c>
      <c r="K1090" s="144" t="str">
        <v/>
      </c>
      <c r="L1090" s="146">
        <v>17.3</v>
      </c>
      <c r="M1090" s="142">
        <v>952.05</v>
      </c>
      <c r="N1090" s="144" t="str">
        <v>Unknown</v>
      </c>
      <c r="O1090" s="142" t="str">
        <v/>
      </c>
      <c r="P1090" s="142" t="str">
        <v/>
      </c>
      <c r="Q1090" s="142">
        <v>55.031791907514446</v>
      </c>
      <c r="R1090" s="129" t="str">
        <v>Description – exact</v>
      </c>
      <c r="S1090" s="143" t="str">
        <v/>
      </c>
      <c r="T1090" s="144" t="str">
        <v>SRC-00</v>
      </c>
      <c r="U1090" s="129" t="str">
        <v>S+ row 825</v>
      </c>
      <c r="V1090" s="129" t="str">
        <v/>
      </c>
    </row>
    <row r="1091" spans="1:22" x14ac:dyDescent="0.2">
      <c r="A1091" s="144" t="str">
        <v>LL4</v>
      </c>
      <c r="B1091" s="145">
        <v>8</v>
      </c>
      <c r="C1091" s="129" t="str">
        <v>Right Total Hip Replacement - Amended</v>
      </c>
      <c r="D1091" s="129" t="str">
        <v>LL4 – Lower Limb: Major Hip/Knee Joint Procedures</v>
      </c>
      <c r="E1091" s="129" t="str">
        <v>10 - Lower Limb</v>
      </c>
      <c r="F1091" s="129" t="str">
        <v>Solutions Plus</v>
      </c>
      <c r="G1091" s="144" t="str">
        <v>CON-01</v>
      </c>
      <c r="H1091" s="129" t="str">
        <v>To confirm</v>
      </c>
      <c r="I1091" s="144" t="str">
        <v>No</v>
      </c>
      <c r="J1091" s="144" t="str">
        <v>Base</v>
      </c>
      <c r="K1091" s="144" t="str">
        <v/>
      </c>
      <c r="L1091" s="146">
        <v>16</v>
      </c>
      <c r="M1091" s="142">
        <v>880</v>
      </c>
      <c r="N1091" s="144" t="str">
        <v>Unknown</v>
      </c>
      <c r="O1091" s="142" t="str">
        <v/>
      </c>
      <c r="P1091" s="142" t="str">
        <v/>
      </c>
      <c r="Q1091" s="142">
        <v>55</v>
      </c>
      <c r="R1091" s="129" t="str">
        <v>Description – exact</v>
      </c>
      <c r="S1091" s="143" t="str">
        <v/>
      </c>
      <c r="T1091" s="144" t="str">
        <v>SRC-00</v>
      </c>
      <c r="U1091" s="129" t="str">
        <v>S+ row 826</v>
      </c>
      <c r="V1091" s="129" t="str">
        <v/>
      </c>
    </row>
    <row r="1092" spans="1:22" x14ac:dyDescent="0.2">
      <c r="A1092" s="144" t="str">
        <v>LL4</v>
      </c>
      <c r="B1092" s="145">
        <v>8</v>
      </c>
      <c r="C1092" s="129" t="str">
        <v>Right Total Hip Replacement WCDHB</v>
      </c>
      <c r="D1092" s="129" t="str">
        <v>LL4 – Lower Limb: Major Hip/Knee Joint Procedures</v>
      </c>
      <c r="E1092" s="129" t="str">
        <v>10 - Lower Limb</v>
      </c>
      <c r="F1092" s="129" t="str">
        <v>Solutions Plus</v>
      </c>
      <c r="G1092" s="144" t="str">
        <v>CON-01</v>
      </c>
      <c r="H1092" s="129" t="str">
        <v>To confirm</v>
      </c>
      <c r="I1092" s="144" t="str">
        <v>No</v>
      </c>
      <c r="J1092" s="144" t="str">
        <v>Base</v>
      </c>
      <c r="K1092" s="144" t="str">
        <v/>
      </c>
      <c r="L1092" s="146">
        <v>19</v>
      </c>
      <c r="M1092" s="142">
        <v>1045</v>
      </c>
      <c r="N1092" s="144" t="str">
        <v>Unknown</v>
      </c>
      <c r="O1092" s="142" t="str">
        <v/>
      </c>
      <c r="P1092" s="142" t="str">
        <v/>
      </c>
      <c r="Q1092" s="142">
        <v>55</v>
      </c>
      <c r="R1092" s="129" t="str">
        <v>Description – exact</v>
      </c>
      <c r="S1092" s="143" t="str">
        <v/>
      </c>
      <c r="T1092" s="144" t="str">
        <v>SRC-00</v>
      </c>
      <c r="U1092" s="129" t="str">
        <v>S+ row 827</v>
      </c>
      <c r="V1092" s="129" t="str">
        <v/>
      </c>
    </row>
    <row r="1093" spans="1:22" x14ac:dyDescent="0.2">
      <c r="A1093" s="144" t="str">
        <v>LL4</v>
      </c>
      <c r="B1093" s="145">
        <v>8</v>
      </c>
      <c r="C1093" s="129" t="str">
        <v>Right Total Joint Replacement</v>
      </c>
      <c r="D1093" s="129" t="str">
        <v>LL4 – Lower Limb: Major Hip/Knee Joint Procedures</v>
      </c>
      <c r="E1093" s="129" t="str">
        <v>10 - Lower Limb</v>
      </c>
      <c r="F1093" s="129" t="str">
        <v>Solutions Plus</v>
      </c>
      <c r="G1093" s="144" t="str">
        <v>CON-01</v>
      </c>
      <c r="H1093" s="129" t="str">
        <v>To confirm</v>
      </c>
      <c r="I1093" s="144" t="str">
        <v>No</v>
      </c>
      <c r="J1093" s="144" t="str">
        <v>Base</v>
      </c>
      <c r="K1093" s="144" t="str">
        <v/>
      </c>
      <c r="L1093" s="146">
        <v>18</v>
      </c>
      <c r="M1093" s="142">
        <v>989.45</v>
      </c>
      <c r="N1093" s="144" t="str">
        <v>Unknown</v>
      </c>
      <c r="O1093" s="142" t="str">
        <v/>
      </c>
      <c r="P1093" s="142" t="str">
        <v/>
      </c>
      <c r="Q1093" s="142">
        <v>54.969444444444449</v>
      </c>
      <c r="R1093" s="129" t="str">
        <v>Description – likely</v>
      </c>
      <c r="S1093" s="143" t="str">
        <v/>
      </c>
      <c r="T1093" s="144" t="str">
        <v>SRC-00</v>
      </c>
      <c r="U1093" s="129" t="str">
        <v>S+ row 828</v>
      </c>
      <c r="V1093" s="129" t="str">
        <v/>
      </c>
    </row>
    <row r="1094" spans="1:22" x14ac:dyDescent="0.2">
      <c r="A1094" s="144" t="str">
        <v>LL4</v>
      </c>
      <c r="B1094" s="145">
        <v>8</v>
      </c>
      <c r="C1094" s="129" t="str">
        <v>Right Total Knee Arthroscopy</v>
      </c>
      <c r="D1094" s="129" t="str">
        <v>LL4 – Lower Limb: Major Hip/Knee Joint Procedures</v>
      </c>
      <c r="E1094" s="129" t="str">
        <v>10 - Lower Limb</v>
      </c>
      <c r="F1094" s="129" t="str">
        <v>Solutions Plus</v>
      </c>
      <c r="G1094" s="144" t="str">
        <v>CON-01</v>
      </c>
      <c r="H1094" s="129" t="str">
        <v>To confirm</v>
      </c>
      <c r="I1094" s="144" t="str">
        <v>No</v>
      </c>
      <c r="J1094" s="144" t="str">
        <v>Base</v>
      </c>
      <c r="K1094" s="144" t="str">
        <v/>
      </c>
      <c r="L1094" s="146">
        <v>20.7</v>
      </c>
      <c r="M1094" s="142">
        <v>1136.3</v>
      </c>
      <c r="N1094" s="144" t="str">
        <v>Unknown</v>
      </c>
      <c r="O1094" s="142" t="str">
        <v/>
      </c>
      <c r="P1094" s="142" t="str">
        <v/>
      </c>
      <c r="Q1094" s="142">
        <v>54.893719806763286</v>
      </c>
      <c r="R1094" s="129" t="str">
        <v>Description – likely</v>
      </c>
      <c r="S1094" s="143" t="str">
        <v/>
      </c>
      <c r="T1094" s="144" t="str">
        <v>SRC-00</v>
      </c>
      <c r="U1094" s="129" t="str">
        <v>S+ row 829</v>
      </c>
      <c r="V1094" s="129" t="str">
        <v/>
      </c>
    </row>
    <row r="1095" spans="1:22" x14ac:dyDescent="0.2">
      <c r="A1095" s="144" t="str">
        <v>LL4</v>
      </c>
      <c r="B1095" s="145">
        <v>8</v>
      </c>
      <c r="C1095" s="129" t="str">
        <v>Right Total Knee Joint Replacement</v>
      </c>
      <c r="D1095" s="129" t="str">
        <v>LL4 – Lower Limb: Major Hip/Knee Joint Procedures</v>
      </c>
      <c r="E1095" s="129" t="str">
        <v>10 - Lower Limb</v>
      </c>
      <c r="F1095" s="129" t="str">
        <v>Solutions Plus</v>
      </c>
      <c r="G1095" s="144" t="str">
        <v>CON-01</v>
      </c>
      <c r="H1095" s="129" t="str">
        <v>To confirm</v>
      </c>
      <c r="I1095" s="144" t="str">
        <v>No</v>
      </c>
      <c r="J1095" s="144" t="str">
        <v>Base</v>
      </c>
      <c r="K1095" s="144" t="str">
        <v/>
      </c>
      <c r="L1095" s="146">
        <v>18.100000000000001</v>
      </c>
      <c r="M1095" s="142">
        <v>993.3</v>
      </c>
      <c r="N1095" s="144" t="str">
        <v>Unknown</v>
      </c>
      <c r="O1095" s="142" t="str">
        <v/>
      </c>
      <c r="P1095" s="142" t="str">
        <v/>
      </c>
      <c r="Q1095" s="142">
        <v>54.878453038674024</v>
      </c>
      <c r="R1095" s="129" t="str">
        <v>Description – exact</v>
      </c>
      <c r="S1095" s="143" t="str">
        <v/>
      </c>
      <c r="T1095" s="144" t="str">
        <v>SRC-00</v>
      </c>
      <c r="U1095" s="129" t="str">
        <v>S+ row 830</v>
      </c>
      <c r="V1095" s="129" t="str">
        <v/>
      </c>
    </row>
    <row r="1096" spans="1:22" x14ac:dyDescent="0.2">
      <c r="A1096" s="144" t="str">
        <v>LL4</v>
      </c>
      <c r="B1096" s="145">
        <v>8</v>
      </c>
      <c r="C1096" s="129" t="str">
        <v>Right Total Knee Replacement</v>
      </c>
      <c r="D1096" s="129" t="str">
        <v>LL4 – Lower Limb: Major Hip/Knee Joint Procedures</v>
      </c>
      <c r="E1096" s="129" t="str">
        <v>10 - Lower Limb</v>
      </c>
      <c r="F1096" s="129" t="str">
        <v>Solutions Plus</v>
      </c>
      <c r="G1096" s="144" t="str">
        <v>CON-01</v>
      </c>
      <c r="H1096" s="129" t="str">
        <v>To confirm</v>
      </c>
      <c r="I1096" s="144" t="str">
        <v>No</v>
      </c>
      <c r="J1096" s="144" t="str">
        <v>Base</v>
      </c>
      <c r="K1096" s="144" t="str">
        <v/>
      </c>
      <c r="L1096" s="146">
        <v>17.600000000000001</v>
      </c>
      <c r="M1096" s="142">
        <v>967.45</v>
      </c>
      <c r="N1096" s="144" t="str">
        <v>Unknown</v>
      </c>
      <c r="O1096" s="142" t="str">
        <v/>
      </c>
      <c r="P1096" s="142" t="str">
        <v/>
      </c>
      <c r="Q1096" s="142">
        <v>54.96875</v>
      </c>
      <c r="R1096" s="129" t="str">
        <v>Description – exact</v>
      </c>
      <c r="S1096" s="143" t="str">
        <v/>
      </c>
      <c r="T1096" s="144" t="str">
        <v>SRC-00</v>
      </c>
      <c r="U1096" s="129" t="str">
        <v>S+ row 831</v>
      </c>
      <c r="V1096" s="129" t="str">
        <v/>
      </c>
    </row>
    <row r="1097" spans="1:22" x14ac:dyDescent="0.2">
      <c r="A1097" s="144" t="str">
        <v>LL4</v>
      </c>
      <c r="B1097" s="145">
        <v>8</v>
      </c>
      <c r="C1097" s="129" t="str">
        <v>Right Uni Compartmental Knee Replacement Surger</v>
      </c>
      <c r="D1097" s="129" t="str">
        <v>LL4 – Lower Limb: Major Hip/Knee Joint Procedures</v>
      </c>
      <c r="E1097" s="129" t="str">
        <v>10 - Lower Limb</v>
      </c>
      <c r="F1097" s="129" t="str">
        <v>Solutions Plus</v>
      </c>
      <c r="G1097" s="144" t="str">
        <v>CON-01</v>
      </c>
      <c r="H1097" s="129" t="str">
        <v>To confirm</v>
      </c>
      <c r="I1097" s="144" t="str">
        <v>No</v>
      </c>
      <c r="J1097" s="144" t="str">
        <v>Base</v>
      </c>
      <c r="K1097" s="144" t="str">
        <v/>
      </c>
      <c r="L1097" s="146">
        <v>15</v>
      </c>
      <c r="M1097" s="142">
        <v>825</v>
      </c>
      <c r="N1097" s="144" t="str">
        <v>Unknown</v>
      </c>
      <c r="O1097" s="142" t="str">
        <v/>
      </c>
      <c r="P1097" s="142" t="str">
        <v/>
      </c>
      <c r="Q1097" s="142">
        <v>55</v>
      </c>
      <c r="R1097" s="129" t="str">
        <v>Description – exact</v>
      </c>
      <c r="S1097" s="143" t="str">
        <v/>
      </c>
      <c r="T1097" s="144" t="str">
        <v>SRC-00</v>
      </c>
      <c r="U1097" s="129" t="str">
        <v>S+ row 834</v>
      </c>
      <c r="V1097" s="129" t="str">
        <v/>
      </c>
    </row>
    <row r="1098" spans="1:22" x14ac:dyDescent="0.2">
      <c r="A1098" s="144" t="str">
        <v>LL4</v>
      </c>
      <c r="B1098" s="145">
        <v>8</v>
      </c>
      <c r="C1098" s="129" t="str">
        <v>Right Uni Knee Replacement</v>
      </c>
      <c r="D1098" s="129" t="str">
        <v>LL4 – Lower Limb: Major Hip/Knee Joint Procedures</v>
      </c>
      <c r="E1098" s="129" t="str">
        <v>10 - Lower Limb</v>
      </c>
      <c r="F1098" s="129" t="str">
        <v>Solutions Plus</v>
      </c>
      <c r="G1098" s="144" t="str">
        <v>CON-01</v>
      </c>
      <c r="H1098" s="129" t="str">
        <v>To confirm</v>
      </c>
      <c r="I1098" s="144" t="str">
        <v>No</v>
      </c>
      <c r="J1098" s="144" t="str">
        <v>Base</v>
      </c>
      <c r="K1098" s="144" t="str">
        <v/>
      </c>
      <c r="L1098" s="146">
        <v>15.8</v>
      </c>
      <c r="M1098" s="142">
        <v>867.35</v>
      </c>
      <c r="N1098" s="144" t="str">
        <v>Unknown</v>
      </c>
      <c r="O1098" s="142" t="str">
        <v/>
      </c>
      <c r="P1098" s="142" t="str">
        <v/>
      </c>
      <c r="Q1098" s="142">
        <v>54.895569620253163</v>
      </c>
      <c r="R1098" s="129" t="str">
        <v>Description – exact</v>
      </c>
      <c r="S1098" s="143" t="str">
        <v/>
      </c>
      <c r="T1098" s="144" t="str">
        <v>SRC-00</v>
      </c>
      <c r="U1098" s="129" t="str">
        <v>S+ row 835</v>
      </c>
      <c r="V1098" s="129" t="str">
        <v/>
      </c>
    </row>
    <row r="1099" spans="1:22" x14ac:dyDescent="0.2">
      <c r="A1099" s="144" t="str">
        <v>LL4</v>
      </c>
      <c r="B1099" s="145">
        <v>8</v>
      </c>
      <c r="C1099" s="129" t="str">
        <v>Right Uni Knee Replacement - DHB</v>
      </c>
      <c r="D1099" s="129" t="str">
        <v>LL4 – Lower Limb: Major Hip/Knee Joint Procedures</v>
      </c>
      <c r="E1099" s="129" t="str">
        <v>10 - Lower Limb</v>
      </c>
      <c r="F1099" s="129" t="str">
        <v>Solutions Plus</v>
      </c>
      <c r="G1099" s="144" t="str">
        <v>CON-01</v>
      </c>
      <c r="H1099" s="129" t="str">
        <v>To confirm</v>
      </c>
      <c r="I1099" s="144" t="str">
        <v>No</v>
      </c>
      <c r="J1099" s="144" t="str">
        <v>Base</v>
      </c>
      <c r="K1099" s="144" t="str">
        <v/>
      </c>
      <c r="L1099" s="146">
        <v>13</v>
      </c>
      <c r="M1099" s="142">
        <v>715</v>
      </c>
      <c r="N1099" s="144" t="str">
        <v>Unknown</v>
      </c>
      <c r="O1099" s="142" t="str">
        <v/>
      </c>
      <c r="P1099" s="142" t="str">
        <v/>
      </c>
      <c r="Q1099" s="142">
        <v>55</v>
      </c>
      <c r="R1099" s="129" t="str">
        <v>Description – exact</v>
      </c>
      <c r="S1099" s="143" t="str">
        <v/>
      </c>
      <c r="T1099" s="144" t="str">
        <v>SRC-00</v>
      </c>
      <c r="U1099" s="129" t="str">
        <v>S+ row 836</v>
      </c>
      <c r="V1099" s="129" t="str">
        <v/>
      </c>
    </row>
    <row r="1100" spans="1:22" x14ac:dyDescent="0.2">
      <c r="A1100" s="144" t="str">
        <v>LL4</v>
      </c>
      <c r="B1100" s="145">
        <v>8</v>
      </c>
      <c r="C1100" s="129" t="str">
        <v>Right Unicompartmental Knee Replacement CDHB</v>
      </c>
      <c r="D1100" s="129" t="str">
        <v>LL4 – Lower Limb: Major Hip/Knee Joint Procedures</v>
      </c>
      <c r="E1100" s="129" t="str">
        <v>10 - Lower Limb</v>
      </c>
      <c r="F1100" s="129" t="str">
        <v>Solutions Plus</v>
      </c>
      <c r="G1100" s="144" t="str">
        <v>CON-01</v>
      </c>
      <c r="H1100" s="129" t="str">
        <v>To confirm</v>
      </c>
      <c r="I1100" s="144" t="str">
        <v>No</v>
      </c>
      <c r="J1100" s="144" t="str">
        <v>Base</v>
      </c>
      <c r="K1100" s="144" t="str">
        <v/>
      </c>
      <c r="L1100" s="146">
        <v>18.2</v>
      </c>
      <c r="M1100" s="142">
        <v>998.8</v>
      </c>
      <c r="N1100" s="144" t="str">
        <v>Unknown</v>
      </c>
      <c r="O1100" s="142" t="str">
        <v/>
      </c>
      <c r="P1100" s="142" t="str">
        <v/>
      </c>
      <c r="Q1100" s="142">
        <v>54.879120879120876</v>
      </c>
      <c r="R1100" s="129" t="str">
        <v>Description – exact</v>
      </c>
      <c r="S1100" s="143" t="str">
        <v/>
      </c>
      <c r="T1100" s="144" t="str">
        <v>SRC-00</v>
      </c>
      <c r="U1100" s="129" t="str">
        <v>S+ row 837</v>
      </c>
      <c r="V1100" s="129" t="str">
        <v/>
      </c>
    </row>
    <row r="1101" spans="1:22" x14ac:dyDescent="0.2">
      <c r="A1101" s="144" t="str">
        <v>LL6</v>
      </c>
      <c r="B1101" s="145">
        <v>12</v>
      </c>
      <c r="C1101" s="129" t="str">
        <v>Significant Hip/Knee Joint Revision Procedures e.g. Two Component Revisions, Acetabular Reconstruction + Bone Graft, Open Pelvic Surgery</v>
      </c>
      <c r="D1101" s="129" t="str">
        <v>LL6 – Lower Limb: Significant Hip/Knee Joint Revision Procedures</v>
      </c>
      <c r="E1101" s="129" t="str">
        <v>10 - Lower Limb</v>
      </c>
      <c r="F1101" s="129" t="str">
        <v>NZSA RVG</v>
      </c>
      <c r="G1101" s="144" t="str">
        <v>CON-10</v>
      </c>
      <c r="H1101" s="129" t="str">
        <v>Reference – units only</v>
      </c>
      <c r="I1101" s="144" t="str">
        <v>No</v>
      </c>
      <c r="J1101" s="144" t="str">
        <v>Base</v>
      </c>
      <c r="K1101" s="144" t="str">
        <v>LL6</v>
      </c>
      <c r="L1101" s="146">
        <v>12</v>
      </c>
      <c r="M1101" s="142" t="str">
        <v/>
      </c>
      <c r="N1101" s="144" t="str">
        <v/>
      </c>
      <c r="O1101" s="142" t="str">
        <v/>
      </c>
      <c r="P1101" s="142" t="str">
        <v/>
      </c>
      <c r="Q1101" s="142">
        <v>0</v>
      </c>
      <c r="R1101" s="129" t="str">
        <v>Unmatched</v>
      </c>
      <c r="S1101" s="143" t="str">
        <v/>
      </c>
      <c r="T1101" s="144" t="str">
        <v>SRC-01</v>
      </c>
      <c r="U1101" s="129" t="str">
        <v>p.11 – Lower Limb</v>
      </c>
      <c r="V1101" s="129" t="str">
        <v>Reference units only – no $ fee (NZSA RVG 2021).</v>
      </c>
    </row>
    <row r="1102" spans="1:22" x14ac:dyDescent="0.2">
      <c r="A1102" s="144" t="str">
        <v>LL2</v>
      </c>
      <c r="B1102" s="145">
        <v>5</v>
      </c>
      <c r="C1102" s="129" t="str">
        <v>Simple but Invasive Procedures e.g. Simple Tendon Transposition, Simple Nerve Transposition</v>
      </c>
      <c r="D1102" s="129" t="str">
        <v>LL2 – Lower Limb: Simple but Invasive Procedures</v>
      </c>
      <c r="E1102" s="129" t="str">
        <v>10 - Lower Limb</v>
      </c>
      <c r="F1102" s="129" t="str">
        <v>NZSA RVG</v>
      </c>
      <c r="G1102" s="144" t="str">
        <v>CON-10</v>
      </c>
      <c r="H1102" s="129" t="str">
        <v>Reference – units only</v>
      </c>
      <c r="I1102" s="144" t="str">
        <v>No</v>
      </c>
      <c r="J1102" s="144" t="str">
        <v>Base</v>
      </c>
      <c r="K1102" s="144" t="str">
        <v>LL2</v>
      </c>
      <c r="L1102" s="146">
        <v>5</v>
      </c>
      <c r="M1102" s="142" t="str">
        <v/>
      </c>
      <c r="N1102" s="144" t="str">
        <v/>
      </c>
      <c r="O1102" s="142" t="str">
        <v/>
      </c>
      <c r="P1102" s="142" t="str">
        <v/>
      </c>
      <c r="Q1102" s="142">
        <v>0</v>
      </c>
      <c r="R1102" s="129" t="str">
        <v>RVG code</v>
      </c>
      <c r="S1102" s="143" t="str">
        <v/>
      </c>
      <c r="T1102" s="144" t="str">
        <v>SRC-01</v>
      </c>
      <c r="U1102" s="129" t="str">
        <v>p.10 – Lower Limb</v>
      </c>
      <c r="V1102" s="129" t="str">
        <v>Reference units only – no $ fee (NZSA RVG 2021).</v>
      </c>
    </row>
    <row r="1103" spans="1:22" x14ac:dyDescent="0.2">
      <c r="A1103" s="144" t="str">
        <v>LL1</v>
      </c>
      <c r="B1103" s="145">
        <v>4</v>
      </c>
      <c r="C1103" s="129" t="str">
        <v>Split Account - WLE Melanoma Right Anterior Leg</v>
      </c>
      <c r="D1103" s="129" t="str">
        <v>LL1 – Lower Limb: Minor Procedures</v>
      </c>
      <c r="E1103" s="129" t="str">
        <v>10 - Lower Limb</v>
      </c>
      <c r="F1103" s="129" t="str">
        <v>Solutions Plus</v>
      </c>
      <c r="G1103" s="144" t="str">
        <v>CON-01</v>
      </c>
      <c r="H1103" s="129" t="str">
        <v>To confirm</v>
      </c>
      <c r="I1103" s="144" t="str">
        <v>No</v>
      </c>
      <c r="J1103" s="144" t="str">
        <v>Base</v>
      </c>
      <c r="K1103" s="144" t="str">
        <v/>
      </c>
      <c r="L1103" s="146">
        <v>10</v>
      </c>
      <c r="M1103" s="142">
        <v>550</v>
      </c>
      <c r="N1103" s="144" t="str">
        <v>Unknown</v>
      </c>
      <c r="O1103" s="142" t="str">
        <v/>
      </c>
      <c r="P1103" s="142" t="str">
        <v/>
      </c>
      <c r="Q1103" s="142">
        <v>55</v>
      </c>
      <c r="R1103" s="129" t="str">
        <v>Description – likely</v>
      </c>
      <c r="S1103" s="143" t="str">
        <v/>
      </c>
      <c r="T1103" s="144" t="str">
        <v>SRC-00</v>
      </c>
      <c r="U1103" s="129" t="str">
        <v>S+ row 901</v>
      </c>
      <c r="V1103" s="129" t="str">
        <v/>
      </c>
    </row>
    <row r="1104" spans="1:22" x14ac:dyDescent="0.2">
      <c r="A1104" s="144" t="str">
        <v>LL3</v>
      </c>
      <c r="B1104" s="145">
        <v>6</v>
      </c>
      <c r="C1104" s="129" t="str">
        <v>Tibial Osteotomy</v>
      </c>
      <c r="D1104" s="129" t="str">
        <v>LL3 – Lower Limb: Moderate Soft Tissue/Muscle/Nerve Procedures</v>
      </c>
      <c r="E1104" s="129" t="str">
        <v>10 - Lower Limb</v>
      </c>
      <c r="F1104" s="129" t="str">
        <v>Solutions Plus</v>
      </c>
      <c r="G1104" s="144" t="str">
        <v>CON-01</v>
      </c>
      <c r="H1104" s="129" t="str">
        <v>To confirm</v>
      </c>
      <c r="I1104" s="144" t="str">
        <v>No</v>
      </c>
      <c r="J1104" s="144" t="str">
        <v>Base</v>
      </c>
      <c r="K1104" s="144" t="str">
        <v/>
      </c>
      <c r="L1104" s="146">
        <v>12.4</v>
      </c>
      <c r="M1104" s="142">
        <v>684.2</v>
      </c>
      <c r="N1104" s="144" t="str">
        <v>Unknown</v>
      </c>
      <c r="O1104" s="142" t="str">
        <v/>
      </c>
      <c r="P1104" s="142" t="str">
        <v/>
      </c>
      <c r="Q1104" s="142">
        <v>55.177419354838712</v>
      </c>
      <c r="R1104" s="129" t="str">
        <v>Description – exact</v>
      </c>
      <c r="S1104" s="143" t="str">
        <v/>
      </c>
      <c r="T1104" s="144" t="str">
        <v>SRC-00</v>
      </c>
      <c r="U1104" s="129" t="str">
        <v>S+ row 923</v>
      </c>
      <c r="V1104" s="129" t="str">
        <v/>
      </c>
    </row>
    <row r="1105" spans="1:22" x14ac:dyDescent="0.2">
      <c r="A1105" s="144" t="str">
        <v>LL4</v>
      </c>
      <c r="B1105" s="145">
        <v>8</v>
      </c>
      <c r="C1105" s="129" t="str">
        <v>Total Hip Joint Replacement</v>
      </c>
      <c r="D1105" s="129" t="str">
        <v>LL4 – Lower Limb: Major Hip/Knee Joint Procedures</v>
      </c>
      <c r="E1105" s="129" t="str">
        <v>10 - Lower Limb</v>
      </c>
      <c r="F1105" s="129" t="str">
        <v>Solutions Plus</v>
      </c>
      <c r="G1105" s="144" t="str">
        <v>CON-01</v>
      </c>
      <c r="H1105" s="129" t="str">
        <v>To confirm</v>
      </c>
      <c r="I1105" s="144" t="str">
        <v>No</v>
      </c>
      <c r="J1105" s="144" t="str">
        <v>Base</v>
      </c>
      <c r="K1105" s="144" t="str">
        <v/>
      </c>
      <c r="L1105" s="146">
        <v>17.399999999999999</v>
      </c>
      <c r="M1105" s="142">
        <v>958.65</v>
      </c>
      <c r="N1105" s="144" t="str">
        <v>Unknown</v>
      </c>
      <c r="O1105" s="142" t="str">
        <v/>
      </c>
      <c r="P1105" s="142" t="str">
        <v/>
      </c>
      <c r="Q1105" s="142">
        <v>55.094827586206897</v>
      </c>
      <c r="R1105" s="129" t="str">
        <v>Description – exact</v>
      </c>
      <c r="S1105" s="143" t="str">
        <v/>
      </c>
      <c r="T1105" s="144" t="str">
        <v>SRC-00</v>
      </c>
      <c r="U1105" s="129" t="str">
        <v>S+ row 930</v>
      </c>
      <c r="V1105" s="129" t="str">
        <v/>
      </c>
    </row>
    <row r="1106" spans="1:22" x14ac:dyDescent="0.2">
      <c r="A1106" s="144" t="str">
        <v>LL4</v>
      </c>
      <c r="B1106" s="145">
        <v>8</v>
      </c>
      <c r="C1106" s="129" t="str">
        <v>Total Hip Replacement</v>
      </c>
      <c r="D1106" s="129" t="str">
        <v>LL4 – Lower Limb: Major Hip/Knee Joint Procedures</v>
      </c>
      <c r="E1106" s="129" t="str">
        <v>10 - Lower Limb</v>
      </c>
      <c r="F1106" s="129" t="str">
        <v>Solutions Plus</v>
      </c>
      <c r="G1106" s="144" t="str">
        <v>CON-01</v>
      </c>
      <c r="H1106" s="129" t="str">
        <v>To confirm</v>
      </c>
      <c r="I1106" s="144" t="str">
        <v>No</v>
      </c>
      <c r="J1106" s="144" t="str">
        <v>Base</v>
      </c>
      <c r="K1106" s="144" t="str">
        <v/>
      </c>
      <c r="L1106" s="146">
        <v>16.8</v>
      </c>
      <c r="M1106" s="142">
        <v>925.1</v>
      </c>
      <c r="N1106" s="144" t="str">
        <v>Unknown</v>
      </c>
      <c r="O1106" s="142" t="str">
        <v/>
      </c>
      <c r="P1106" s="142" t="str">
        <v/>
      </c>
      <c r="Q1106" s="142">
        <v>55.06547619047619</v>
      </c>
      <c r="R1106" s="129" t="str">
        <v>Description – exact</v>
      </c>
      <c r="S1106" s="143" t="str">
        <v/>
      </c>
      <c r="T1106" s="144" t="str">
        <v>SRC-00</v>
      </c>
      <c r="U1106" s="129" t="str">
        <v>S+ row 931</v>
      </c>
      <c r="V1106" s="129" t="str">
        <v/>
      </c>
    </row>
    <row r="1107" spans="1:22" x14ac:dyDescent="0.2">
      <c r="A1107" s="144" t="str">
        <v>LL5</v>
      </c>
      <c r="B1107" s="145">
        <v>10</v>
      </c>
      <c r="C1107" s="129" t="str">
        <v>Total Hip Revision</v>
      </c>
      <c r="D1107" s="129" t="str">
        <v>LL5 – Lower Limb: Complex Hip/Knee Joint Procedures</v>
      </c>
      <c r="E1107" s="129" t="str">
        <v>10 - Lower Limb</v>
      </c>
      <c r="F1107" s="129" t="str">
        <v>Solutions Plus</v>
      </c>
      <c r="G1107" s="144" t="str">
        <v>CON-01</v>
      </c>
      <c r="H1107" s="129" t="str">
        <v>To confirm</v>
      </c>
      <c r="I1107" s="144" t="str">
        <v>No</v>
      </c>
      <c r="J1107" s="144" t="str">
        <v>Base</v>
      </c>
      <c r="K1107" s="144" t="str">
        <v/>
      </c>
      <c r="L1107" s="146">
        <v>21</v>
      </c>
      <c r="M1107" s="142">
        <v>1155</v>
      </c>
      <c r="N1107" s="144" t="str">
        <v>Unknown</v>
      </c>
      <c r="O1107" s="142" t="str">
        <v/>
      </c>
      <c r="P1107" s="142" t="str">
        <v/>
      </c>
      <c r="Q1107" s="142">
        <v>55</v>
      </c>
      <c r="R1107" s="129" t="str">
        <v>Description – likely</v>
      </c>
      <c r="S1107" s="143" t="str">
        <v/>
      </c>
      <c r="T1107" s="144" t="str">
        <v>SRC-00</v>
      </c>
      <c r="U1107" s="129" t="str">
        <v>S+ row 932</v>
      </c>
      <c r="V1107" s="129" t="str">
        <v/>
      </c>
    </row>
    <row r="1108" spans="1:22" x14ac:dyDescent="0.2">
      <c r="A1108" s="144" t="str">
        <v>LL4</v>
      </c>
      <c r="B1108" s="145">
        <v>8</v>
      </c>
      <c r="C1108" s="129" t="str">
        <v>Total Knee Joint Replacement</v>
      </c>
      <c r="D1108" s="129" t="str">
        <v>LL4 – Lower Limb: Major Hip/Knee Joint Procedures</v>
      </c>
      <c r="E1108" s="129" t="str">
        <v>10 - Lower Limb</v>
      </c>
      <c r="F1108" s="129" t="str">
        <v>Solutions Plus</v>
      </c>
      <c r="G1108" s="144" t="str">
        <v>CON-01</v>
      </c>
      <c r="H1108" s="129" t="str">
        <v>To confirm</v>
      </c>
      <c r="I1108" s="144" t="str">
        <v>No</v>
      </c>
      <c r="J1108" s="144" t="str">
        <v>Base</v>
      </c>
      <c r="K1108" s="144" t="str">
        <v/>
      </c>
      <c r="L1108" s="146">
        <v>17.399999999999999</v>
      </c>
      <c r="M1108" s="142">
        <v>957</v>
      </c>
      <c r="N1108" s="144" t="str">
        <v>Unknown</v>
      </c>
      <c r="O1108" s="142" t="str">
        <v/>
      </c>
      <c r="P1108" s="142" t="str">
        <v/>
      </c>
      <c r="Q1108" s="142">
        <v>55.000000000000007</v>
      </c>
      <c r="R1108" s="129" t="str">
        <v>Description – exact</v>
      </c>
      <c r="S1108" s="143" t="str">
        <v/>
      </c>
      <c r="T1108" s="144" t="str">
        <v>SRC-00</v>
      </c>
      <c r="U1108" s="129" t="str">
        <v>S+ row 933</v>
      </c>
      <c r="V1108" s="129" t="str">
        <v/>
      </c>
    </row>
    <row r="1109" spans="1:22" x14ac:dyDescent="0.2">
      <c r="A1109" s="144" t="str">
        <v>LL4</v>
      </c>
      <c r="B1109" s="145">
        <v>8</v>
      </c>
      <c r="C1109" s="129" t="str">
        <v>Total Knee Joint Replacement - Right</v>
      </c>
      <c r="D1109" s="129" t="str">
        <v>LL4 – Lower Limb: Major Hip/Knee Joint Procedures</v>
      </c>
      <c r="E1109" s="129" t="str">
        <v>10 - Lower Limb</v>
      </c>
      <c r="F1109" s="129" t="str">
        <v>Solutions Plus</v>
      </c>
      <c r="G1109" s="144" t="str">
        <v>CON-01</v>
      </c>
      <c r="H1109" s="129" t="str">
        <v>To confirm</v>
      </c>
      <c r="I1109" s="144" t="str">
        <v>No</v>
      </c>
      <c r="J1109" s="144" t="str">
        <v>Base</v>
      </c>
      <c r="K1109" s="144" t="str">
        <v/>
      </c>
      <c r="L1109" s="146">
        <v>22.7</v>
      </c>
      <c r="M1109" s="142">
        <v>1248.5</v>
      </c>
      <c r="N1109" s="144" t="str">
        <v>Unknown</v>
      </c>
      <c r="O1109" s="142" t="str">
        <v/>
      </c>
      <c r="P1109" s="142" t="str">
        <v/>
      </c>
      <c r="Q1109" s="142">
        <v>55</v>
      </c>
      <c r="R1109" s="129" t="str">
        <v>Description – exact</v>
      </c>
      <c r="S1109" s="143" t="str">
        <v/>
      </c>
      <c r="T1109" s="144" t="str">
        <v>SRC-00</v>
      </c>
      <c r="U1109" s="129" t="str">
        <v>S+ row 934</v>
      </c>
      <c r="V1109" s="129" t="str">
        <v/>
      </c>
    </row>
    <row r="1110" spans="1:22" x14ac:dyDescent="0.2">
      <c r="A1110" s="144" t="str">
        <v>LL4</v>
      </c>
      <c r="B1110" s="145">
        <v>8</v>
      </c>
      <c r="C1110" s="129" t="str">
        <v>Total Knee Replacement - Left</v>
      </c>
      <c r="D1110" s="129" t="str">
        <v>LL4 – Lower Limb: Major Hip/Knee Joint Procedures</v>
      </c>
      <c r="E1110" s="129" t="str">
        <v>10 - Lower Limb</v>
      </c>
      <c r="F1110" s="129" t="str">
        <v>Solutions Plus</v>
      </c>
      <c r="G1110" s="144" t="str">
        <v>CON-01</v>
      </c>
      <c r="H1110" s="129" t="str">
        <v>To confirm</v>
      </c>
      <c r="I1110" s="144" t="str">
        <v>No</v>
      </c>
      <c r="J1110" s="144" t="str">
        <v>Base</v>
      </c>
      <c r="K1110" s="144" t="str">
        <v/>
      </c>
      <c r="L1110" s="146">
        <v>20.3</v>
      </c>
      <c r="M1110" s="142">
        <v>1115.4000000000001</v>
      </c>
      <c r="N1110" s="144" t="str">
        <v>Unknown</v>
      </c>
      <c r="O1110" s="142" t="str">
        <v/>
      </c>
      <c r="P1110" s="142" t="str">
        <v/>
      </c>
      <c r="Q1110" s="142">
        <v>54.945812807881779</v>
      </c>
      <c r="R1110" s="129" t="str">
        <v>Description – exact</v>
      </c>
      <c r="S1110" s="143" t="str">
        <v/>
      </c>
      <c r="T1110" s="144" t="str">
        <v>SRC-00</v>
      </c>
      <c r="U1110" s="129" t="str">
        <v>S+ row 935</v>
      </c>
      <c r="V1110" s="129" t="str">
        <v/>
      </c>
    </row>
    <row r="1111" spans="1:22" x14ac:dyDescent="0.2">
      <c r="A1111" s="144" t="str">
        <v>LL4</v>
      </c>
      <c r="B1111" s="145">
        <v>8</v>
      </c>
      <c r="C1111" s="129" t="str">
        <v>Total Left Knee Joint Replacement</v>
      </c>
      <c r="D1111" s="129" t="str">
        <v>LL4 – Lower Limb: Major Hip/Knee Joint Procedures</v>
      </c>
      <c r="E1111" s="129" t="str">
        <v>10 - Lower Limb</v>
      </c>
      <c r="F1111" s="129" t="str">
        <v>Solutions Plus</v>
      </c>
      <c r="G1111" s="144" t="str">
        <v>CON-01</v>
      </c>
      <c r="H1111" s="129" t="str">
        <v>To confirm</v>
      </c>
      <c r="I1111" s="144" t="str">
        <v>No</v>
      </c>
      <c r="J1111" s="144" t="str">
        <v>Base</v>
      </c>
      <c r="K1111" s="144" t="str">
        <v/>
      </c>
      <c r="L1111" s="146">
        <v>23</v>
      </c>
      <c r="M1111" s="142">
        <v>1265</v>
      </c>
      <c r="N1111" s="144" t="str">
        <v>Unknown</v>
      </c>
      <c r="O1111" s="142" t="str">
        <v/>
      </c>
      <c r="P1111" s="142" t="str">
        <v/>
      </c>
      <c r="Q1111" s="142">
        <v>55</v>
      </c>
      <c r="R1111" s="129" t="str">
        <v>Description – exact</v>
      </c>
      <c r="S1111" s="143" t="str">
        <v/>
      </c>
      <c r="T1111" s="144" t="str">
        <v>SRC-00</v>
      </c>
      <c r="U1111" s="129" t="str">
        <v>S+ row 937</v>
      </c>
      <c r="V1111" s="129" t="str">
        <v/>
      </c>
    </row>
    <row r="1112" spans="1:22" x14ac:dyDescent="0.2">
      <c r="A1112" s="144" t="str">
        <v>LL1</v>
      </c>
      <c r="B1112" s="145">
        <v>4</v>
      </c>
      <c r="C1112" s="129" t="str">
        <v>Wide Excision M/M Leg ? Sentinel Node Excision In</v>
      </c>
      <c r="D1112" s="129" t="str">
        <v>LL1 – Lower Limb: Minor Procedures</v>
      </c>
      <c r="E1112" s="129" t="str">
        <v>10 - Lower Limb</v>
      </c>
      <c r="F1112" s="129" t="str">
        <v>Solutions Plus</v>
      </c>
      <c r="G1112" s="144" t="str">
        <v>CON-01</v>
      </c>
      <c r="H1112" s="129" t="str">
        <v>To confirm</v>
      </c>
      <c r="I1112" s="144" t="str">
        <v>No</v>
      </c>
      <c r="J1112" s="144" t="str">
        <v>Base</v>
      </c>
      <c r="K1112" s="144" t="str">
        <v/>
      </c>
      <c r="L1112" s="146">
        <v>0</v>
      </c>
      <c r="M1112" s="142">
        <v>0</v>
      </c>
      <c r="N1112" s="144" t="str">
        <v>Unknown</v>
      </c>
      <c r="O1112" s="142" t="str">
        <v/>
      </c>
      <c r="P1112" s="142" t="str">
        <v/>
      </c>
      <c r="Q1112" s="142" t="str">
        <v/>
      </c>
      <c r="R1112" s="129" t="str">
        <v>Description – likely</v>
      </c>
      <c r="S1112" s="143" t="str">
        <v/>
      </c>
      <c r="T1112" s="144" t="str">
        <v>SRC-00</v>
      </c>
      <c r="U1112" s="129" t="str">
        <v>S+ row 982</v>
      </c>
      <c r="V1112" s="129" t="str">
        <v/>
      </c>
    </row>
    <row r="1113" spans="1:22" x14ac:dyDescent="0.2">
      <c r="A1113" s="144" t="str">
        <v>C2</v>
      </c>
      <c r="B1113" s="145">
        <v>6</v>
      </c>
      <c r="C1113" s="129" t="str">
        <v>Cardiac Ablation - Right Heart, SVT Procedures</v>
      </c>
      <c r="D1113" s="129" t="str">
        <v>C2 – Anaesthesia in Remote Locations / Cardiology: Cardiac Ablation - Right Heart, SVT Procedures</v>
      </c>
      <c r="E1113" s="129" t="str">
        <v>11 - Anaesthesia in Remote Locations</v>
      </c>
      <c r="F1113" s="129" t="str">
        <v>NZSA RVG</v>
      </c>
      <c r="G1113" s="144" t="str">
        <v>CON-10</v>
      </c>
      <c r="H1113" s="129" t="str">
        <v>Reference – units only</v>
      </c>
      <c r="I1113" s="144" t="str">
        <v>No</v>
      </c>
      <c r="J1113" s="144" t="str">
        <v>Base</v>
      </c>
      <c r="K1113" s="144" t="str">
        <v>C2</v>
      </c>
      <c r="L1113" s="146">
        <v>6</v>
      </c>
      <c r="M1113" s="142" t="str">
        <v/>
      </c>
      <c r="N1113" s="144" t="str">
        <v/>
      </c>
      <c r="O1113" s="142" t="str">
        <v/>
      </c>
      <c r="P1113" s="142" t="str">
        <v/>
      </c>
      <c r="Q1113" s="142">
        <v>0</v>
      </c>
      <c r="R1113" s="129" t="str">
        <v>Unmatched</v>
      </c>
      <c r="S1113" s="143" t="str">
        <v/>
      </c>
      <c r="T1113" s="144" t="str">
        <v>SRC-01</v>
      </c>
      <c r="U1113" s="129" t="str">
        <v>p.11 – Anaesthesia in Remote Locations / Cardiology</v>
      </c>
      <c r="V1113" s="129" t="str">
        <v>Reference units only – no $ fee (NZSA RVG 2021).</v>
      </c>
    </row>
    <row r="1114" spans="1:22" x14ac:dyDescent="0.2">
      <c r="A1114" s="144" t="str">
        <v>C1</v>
      </c>
      <c r="B1114" s="145">
        <v>4</v>
      </c>
      <c r="C1114" s="129" t="str">
        <v>Cardioversion</v>
      </c>
      <c r="D1114" s="129" t="str">
        <v>C1 – Anaesthesia in Remote Locations / Cardiology: Minor Procedures</v>
      </c>
      <c r="E1114" s="129" t="str">
        <v>11 - Anaesthesia in Remote Locations</v>
      </c>
      <c r="F1114" s="129" t="str">
        <v>Solutions Plus</v>
      </c>
      <c r="G1114" s="144" t="str">
        <v>CON-01</v>
      </c>
      <c r="H1114" s="129" t="str">
        <v>To confirm</v>
      </c>
      <c r="I1114" s="144" t="str">
        <v>No</v>
      </c>
      <c r="J1114" s="144" t="str">
        <v>Base</v>
      </c>
      <c r="K1114" s="144" t="str">
        <v/>
      </c>
      <c r="L1114" s="146">
        <v>6.7</v>
      </c>
      <c r="M1114" s="142">
        <v>366.3</v>
      </c>
      <c r="N1114" s="144" t="str">
        <v>Unknown</v>
      </c>
      <c r="O1114" s="142" t="str">
        <v/>
      </c>
      <c r="P1114" s="142" t="str">
        <v/>
      </c>
      <c r="Q1114" s="142">
        <v>54.671641791044777</v>
      </c>
      <c r="R1114" s="129" t="str">
        <v>Description – exact</v>
      </c>
      <c r="S1114" s="143" t="str">
        <v/>
      </c>
      <c r="T1114" s="144" t="str">
        <v>SRC-00</v>
      </c>
      <c r="U1114" s="129" t="str">
        <v>S+ row 149</v>
      </c>
      <c r="V1114" s="129" t="str">
        <v/>
      </c>
    </row>
    <row r="1115" spans="1:22" x14ac:dyDescent="0.2">
      <c r="A1115" s="144" t="str">
        <v>C4</v>
      </c>
      <c r="B1115" s="145">
        <v>12</v>
      </c>
      <c r="C1115" s="129" t="str">
        <v>Extraction Of Cardiac Leads</v>
      </c>
      <c r="D1115" s="129" t="str">
        <v>C4 – Anaesthesia in Remote Locations / Cardiology: Extraction Of Cardiac Leads</v>
      </c>
      <c r="E1115" s="129" t="str">
        <v>11 - Anaesthesia in Remote Locations</v>
      </c>
      <c r="F1115" s="129" t="str">
        <v>NZSA RVG</v>
      </c>
      <c r="G1115" s="144" t="str">
        <v>CON-10</v>
      </c>
      <c r="H1115" s="129" t="str">
        <v>Reference – units only</v>
      </c>
      <c r="I1115" s="144" t="str">
        <v>No</v>
      </c>
      <c r="J1115" s="144" t="str">
        <v>Base</v>
      </c>
      <c r="K1115" s="144" t="str">
        <v>C4</v>
      </c>
      <c r="L1115" s="146">
        <v>12</v>
      </c>
      <c r="M1115" s="142" t="str">
        <v/>
      </c>
      <c r="N1115" s="144" t="str">
        <v/>
      </c>
      <c r="O1115" s="142" t="str">
        <v/>
      </c>
      <c r="P1115" s="142" t="str">
        <v/>
      </c>
      <c r="Q1115" s="142">
        <v>0</v>
      </c>
      <c r="R1115" s="129" t="str">
        <v>Unmatched</v>
      </c>
      <c r="S1115" s="143" t="str">
        <v/>
      </c>
      <c r="T1115" s="144" t="str">
        <v>SRC-01</v>
      </c>
      <c r="U1115" s="129" t="str">
        <v>p.11 – Anaesthesia in Remote Locations / Cardiology</v>
      </c>
      <c r="V1115" s="129" t="str">
        <v>Reference units only – no $ fee (NZSA RVG 2021).</v>
      </c>
    </row>
    <row r="1116" spans="1:22" x14ac:dyDescent="0.2">
      <c r="A1116" s="144" t="str">
        <v>C1</v>
      </c>
      <c r="B1116" s="145">
        <v>4</v>
      </c>
      <c r="C1116" s="129" t="str">
        <v>Minor Procedures e.g. Cardioversion, Sedation For TOE</v>
      </c>
      <c r="D1116" s="129" t="str">
        <v>C1 – Anaesthesia in Remote Locations / Cardiology: Minor Procedures</v>
      </c>
      <c r="E1116" s="129" t="str">
        <v>11 - Anaesthesia in Remote Locations</v>
      </c>
      <c r="F1116" s="129" t="str">
        <v>NZSA RVG</v>
      </c>
      <c r="G1116" s="144" t="str">
        <v>CON-10</v>
      </c>
      <c r="H1116" s="129" t="str">
        <v>Reference – units only</v>
      </c>
      <c r="I1116" s="144" t="str">
        <v>No</v>
      </c>
      <c r="J1116" s="144" t="str">
        <v>Base</v>
      </c>
      <c r="K1116" s="144" t="str">
        <v>C1</v>
      </c>
      <c r="L1116" s="146">
        <v>4</v>
      </c>
      <c r="M1116" s="142" t="str">
        <v/>
      </c>
      <c r="N1116" s="144" t="str">
        <v/>
      </c>
      <c r="O1116" s="142" t="str">
        <v/>
      </c>
      <c r="P1116" s="142" t="str">
        <v/>
      </c>
      <c r="Q1116" s="142">
        <v>0</v>
      </c>
      <c r="R1116" s="129" t="str">
        <v>RVG code</v>
      </c>
      <c r="S1116" s="143" t="str">
        <v/>
      </c>
      <c r="T1116" s="144" t="str">
        <v>SRC-01</v>
      </c>
      <c r="U1116" s="129" t="str">
        <v>p.11 – Anaesthesia in Remote Locations / Cardiology</v>
      </c>
      <c r="V1116" s="129" t="str">
        <v>Reference units only – no $ fee (NZSA RVG 2021).</v>
      </c>
    </row>
    <row r="1117" spans="1:22" x14ac:dyDescent="0.2">
      <c r="A1117" s="144" t="str">
        <v>C3</v>
      </c>
      <c r="B1117" s="145">
        <v>10</v>
      </c>
      <c r="C1117" s="129" t="str">
        <v>Pulmonary Vein Isolation</v>
      </c>
      <c r="D1117" s="129" t="str">
        <v>C3 – Anaesthesia in Remote Locations / Cardiology: Pulmonary Vein Isolation</v>
      </c>
      <c r="E1117" s="129" t="str">
        <v>11 - Anaesthesia in Remote Locations</v>
      </c>
      <c r="F1117" s="129" t="str">
        <v>NZSA RVG</v>
      </c>
      <c r="G1117" s="144" t="str">
        <v>CON-10</v>
      </c>
      <c r="H1117" s="129" t="str">
        <v>Reference – units only</v>
      </c>
      <c r="I1117" s="144" t="str">
        <v>No</v>
      </c>
      <c r="J1117" s="144" t="str">
        <v>Base</v>
      </c>
      <c r="K1117" s="144" t="str">
        <v>C3</v>
      </c>
      <c r="L1117" s="146">
        <v>10</v>
      </c>
      <c r="M1117" s="142" t="str">
        <v/>
      </c>
      <c r="N1117" s="144" t="str">
        <v/>
      </c>
      <c r="O1117" s="142" t="str">
        <v/>
      </c>
      <c r="P1117" s="142" t="str">
        <v/>
      </c>
      <c r="Q1117" s="142">
        <v>0</v>
      </c>
      <c r="R1117" s="129" t="str">
        <v>Unmatched</v>
      </c>
      <c r="S1117" s="143" t="str">
        <v/>
      </c>
      <c r="T1117" s="144" t="str">
        <v>SRC-01</v>
      </c>
      <c r="U1117" s="129" t="str">
        <v>p.11 – Anaesthesia in Remote Locations / Cardiology</v>
      </c>
      <c r="V1117" s="129" t="str">
        <v>Reference units only – no $ fee (NZSA RVG 2021).</v>
      </c>
    </row>
    <row r="1118" spans="1:22" x14ac:dyDescent="0.2">
      <c r="A1118" s="144" t="str">
        <v>E1</v>
      </c>
      <c r="B1118" s="145">
        <v>4</v>
      </c>
      <c r="C1118" s="129" t="str">
        <v>Colonoscopy</v>
      </c>
      <c r="D1118" s="129" t="str">
        <v>E1 – Anaesthesia in Remote Locations / Endoscopy: Endoscopy Under Sedation [Gastroscopy, Colonoscopy - incl…</v>
      </c>
      <c r="E1118" s="129" t="str">
        <v>11 - Anaesthesia in Remote Locations</v>
      </c>
      <c r="F1118" s="129" t="str">
        <v>Solutions Plus</v>
      </c>
      <c r="G1118" s="144" t="str">
        <v>CON-01</v>
      </c>
      <c r="H1118" s="129" t="str">
        <v>To confirm</v>
      </c>
      <c r="I1118" s="144" t="str">
        <v>No</v>
      </c>
      <c r="J1118" s="144" t="str">
        <v>Base</v>
      </c>
      <c r="K1118" s="144" t="str">
        <v/>
      </c>
      <c r="L1118" s="146">
        <v>7.4</v>
      </c>
      <c r="M1118" s="142">
        <v>406.45</v>
      </c>
      <c r="N1118" s="144" t="str">
        <v>Unknown</v>
      </c>
      <c r="O1118" s="142" t="str">
        <v/>
      </c>
      <c r="P1118" s="142" t="str">
        <v/>
      </c>
      <c r="Q1118" s="142">
        <v>54.92567567567567</v>
      </c>
      <c r="R1118" s="129" t="str">
        <v>Description – likely</v>
      </c>
      <c r="S1118" s="143" t="str">
        <v/>
      </c>
      <c r="T1118" s="144" t="str">
        <v>SRC-00</v>
      </c>
      <c r="U1118" s="129" t="str">
        <v>S+ row 178</v>
      </c>
      <c r="V1118" s="129" t="str">
        <v/>
      </c>
    </row>
    <row r="1119" spans="1:22" x14ac:dyDescent="0.2">
      <c r="A1119" s="144" t="str">
        <v>E1</v>
      </c>
      <c r="B1119" s="145">
        <v>4</v>
      </c>
      <c r="C1119" s="129" t="str">
        <v>Colonoscopy - CDHB</v>
      </c>
      <c r="D1119" s="129" t="str">
        <v>E1 – Anaesthesia in Remote Locations / Endoscopy: Endoscopy Under Sedation [Gastroscopy, Colonoscopy - incl…</v>
      </c>
      <c r="E1119" s="129" t="str">
        <v>11 - Anaesthesia in Remote Locations</v>
      </c>
      <c r="F1119" s="129" t="str">
        <v>Solutions Plus</v>
      </c>
      <c r="G1119" s="144" t="str">
        <v>CON-01</v>
      </c>
      <c r="H1119" s="129" t="str">
        <v>To confirm</v>
      </c>
      <c r="I1119" s="144" t="str">
        <v>No</v>
      </c>
      <c r="J1119" s="144" t="str">
        <v>Base</v>
      </c>
      <c r="K1119" s="144" t="str">
        <v/>
      </c>
      <c r="L1119" s="146">
        <v>9.1</v>
      </c>
      <c r="M1119" s="142">
        <v>501.6</v>
      </c>
      <c r="N1119" s="144" t="str">
        <v>Unknown</v>
      </c>
      <c r="O1119" s="142" t="str">
        <v/>
      </c>
      <c r="P1119" s="142" t="str">
        <v/>
      </c>
      <c r="Q1119" s="142">
        <v>55.120879120879124</v>
      </c>
      <c r="R1119" s="129" t="str">
        <v>Description – likely</v>
      </c>
      <c r="S1119" s="143" t="str">
        <v/>
      </c>
      <c r="T1119" s="144" t="str">
        <v>SRC-00</v>
      </c>
      <c r="U1119" s="129" t="str">
        <v>S+ row 179</v>
      </c>
      <c r="V1119" s="129" t="str">
        <v/>
      </c>
    </row>
    <row r="1120" spans="1:22" x14ac:dyDescent="0.2">
      <c r="A1120" s="144" t="str">
        <v>E1</v>
      </c>
      <c r="B1120" s="145">
        <v>4</v>
      </c>
      <c r="C1120" s="129" t="str">
        <v>Colonoscopy &amp; Biopsy</v>
      </c>
      <c r="D1120" s="129" t="str">
        <v>E1 – Anaesthesia in Remote Locations / Endoscopy: Endoscopy Under Sedation [Gastroscopy, Colonoscopy - incl…</v>
      </c>
      <c r="E1120" s="129" t="str">
        <v>11 - Anaesthesia in Remote Locations</v>
      </c>
      <c r="F1120" s="129" t="str">
        <v>Solutions Plus</v>
      </c>
      <c r="G1120" s="144" t="str">
        <v>CON-01</v>
      </c>
      <c r="H1120" s="129" t="str">
        <v>To confirm</v>
      </c>
      <c r="I1120" s="144" t="str">
        <v>No</v>
      </c>
      <c r="J1120" s="144" t="str">
        <v>Base</v>
      </c>
      <c r="K1120" s="144" t="str">
        <v/>
      </c>
      <c r="L1120" s="146">
        <v>8</v>
      </c>
      <c r="M1120" s="142">
        <v>441.65</v>
      </c>
      <c r="N1120" s="144" t="str">
        <v>Unknown</v>
      </c>
      <c r="O1120" s="142" t="str">
        <v/>
      </c>
      <c r="P1120" s="142" t="str">
        <v/>
      </c>
      <c r="Q1120" s="142">
        <v>55.206249999999997</v>
      </c>
      <c r="R1120" s="129" t="str">
        <v>Description – likely</v>
      </c>
      <c r="S1120" s="143" t="str">
        <v/>
      </c>
      <c r="T1120" s="144" t="str">
        <v>SRC-00</v>
      </c>
      <c r="U1120" s="129" t="str">
        <v>S+ row 181</v>
      </c>
      <c r="V1120" s="129" t="str">
        <v/>
      </c>
    </row>
    <row r="1121" spans="1:22" x14ac:dyDescent="0.2">
      <c r="A1121" s="144" t="str">
        <v>E1</v>
      </c>
      <c r="B1121" s="145">
        <v>4</v>
      </c>
      <c r="C1121" s="129" t="str">
        <v>Colonoscopy &amp; Bx</v>
      </c>
      <c r="D1121" s="129" t="str">
        <v>E1 – Anaesthesia in Remote Locations / Endoscopy: Endoscopy Under Sedation [Gastroscopy, Colonoscopy - incl…</v>
      </c>
      <c r="E1121" s="129" t="str">
        <v>11 - Anaesthesia in Remote Locations</v>
      </c>
      <c r="F1121" s="129" t="str">
        <v>Solutions Plus</v>
      </c>
      <c r="G1121" s="144" t="str">
        <v>CON-01</v>
      </c>
      <c r="H1121" s="129" t="str">
        <v>To confirm</v>
      </c>
      <c r="I1121" s="144" t="str">
        <v>No</v>
      </c>
      <c r="J1121" s="144" t="str">
        <v>Base</v>
      </c>
      <c r="K1121" s="144" t="str">
        <v/>
      </c>
      <c r="L1121" s="146">
        <v>8.3000000000000007</v>
      </c>
      <c r="M1121" s="142">
        <v>457.05</v>
      </c>
      <c r="N1121" s="144" t="str">
        <v>Unknown</v>
      </c>
      <c r="O1121" s="142" t="str">
        <v/>
      </c>
      <c r="P1121" s="142" t="str">
        <v/>
      </c>
      <c r="Q1121" s="142">
        <v>55.066265060240958</v>
      </c>
      <c r="R1121" s="129" t="str">
        <v>Description – likely</v>
      </c>
      <c r="S1121" s="143" t="str">
        <v/>
      </c>
      <c r="T1121" s="144" t="str">
        <v>SRC-00</v>
      </c>
      <c r="U1121" s="129" t="str">
        <v>S+ row 182</v>
      </c>
      <c r="V1121" s="129" t="str">
        <v/>
      </c>
    </row>
    <row r="1122" spans="1:22" x14ac:dyDescent="0.2">
      <c r="A1122" s="144" t="str">
        <v>E1</v>
      </c>
      <c r="B1122" s="145">
        <v>4</v>
      </c>
      <c r="C1122" s="129" t="str">
        <v>Colonoscopy &amp; Gastroscopy</v>
      </c>
      <c r="D1122" s="129" t="str">
        <v>E1 – Anaesthesia in Remote Locations / Endoscopy: Endoscopy Under Sedation [Gastroscopy, Colonoscopy - incl…</v>
      </c>
      <c r="E1122" s="129" t="str">
        <v>11 - Anaesthesia in Remote Locations</v>
      </c>
      <c r="F1122" s="129" t="str">
        <v>Solutions Plus</v>
      </c>
      <c r="G1122" s="144" t="str">
        <v>CON-01</v>
      </c>
      <c r="H1122" s="129" t="str">
        <v>To confirm</v>
      </c>
      <c r="I1122" s="144" t="str">
        <v>No</v>
      </c>
      <c r="J1122" s="144" t="str">
        <v>Base</v>
      </c>
      <c r="K1122" s="144" t="str">
        <v/>
      </c>
      <c r="L1122" s="146">
        <v>8.1999999999999993</v>
      </c>
      <c r="M1122" s="142">
        <v>448.25</v>
      </c>
      <c r="N1122" s="144" t="str">
        <v>Unknown</v>
      </c>
      <c r="O1122" s="142" t="str">
        <v/>
      </c>
      <c r="P1122" s="142" t="str">
        <v/>
      </c>
      <c r="Q1122" s="142">
        <v>54.66463414634147</v>
      </c>
      <c r="R1122" s="129" t="str">
        <v>Description – likely</v>
      </c>
      <c r="S1122" s="143" t="str">
        <v/>
      </c>
      <c r="T1122" s="144" t="str">
        <v>SRC-00</v>
      </c>
      <c r="U1122" s="129" t="str">
        <v>S+ row 183</v>
      </c>
      <c r="V1122" s="129" t="str">
        <v/>
      </c>
    </row>
    <row r="1123" spans="1:22" x14ac:dyDescent="0.2">
      <c r="A1123" s="144" t="str">
        <v>E1</v>
      </c>
      <c r="B1123" s="145">
        <v>4</v>
      </c>
      <c r="C1123" s="129" t="str">
        <v>Colonoscopy &amp; Haemorrhoidectomy</v>
      </c>
      <c r="D1123" s="129" t="str">
        <v>E1 – Anaesthesia in Remote Locations / Endoscopy: Endoscopy Under Sedation [Gastroscopy, Colonoscopy - incl…</v>
      </c>
      <c r="E1123" s="129" t="str">
        <v>11 - Anaesthesia in Remote Locations</v>
      </c>
      <c r="F1123" s="129" t="str">
        <v>Solutions Plus</v>
      </c>
      <c r="G1123" s="144" t="str">
        <v>CON-01</v>
      </c>
      <c r="H1123" s="129" t="str">
        <v>To confirm</v>
      </c>
      <c r="I1123" s="144" t="str">
        <v>No</v>
      </c>
      <c r="J1123" s="144" t="str">
        <v>Base</v>
      </c>
      <c r="K1123" s="144" t="str">
        <v/>
      </c>
      <c r="L1123" s="146">
        <v>9.5</v>
      </c>
      <c r="M1123" s="142">
        <v>521.4</v>
      </c>
      <c r="N1123" s="144" t="str">
        <v>Unknown</v>
      </c>
      <c r="O1123" s="142" t="str">
        <v/>
      </c>
      <c r="P1123" s="142" t="str">
        <v/>
      </c>
      <c r="Q1123" s="142">
        <v>54.88421052631579</v>
      </c>
      <c r="R1123" s="129" t="str">
        <v>Description – likely</v>
      </c>
      <c r="S1123" s="143" t="str">
        <v/>
      </c>
      <c r="T1123" s="144" t="str">
        <v>SRC-00</v>
      </c>
      <c r="U1123" s="129" t="str">
        <v>S+ row 184</v>
      </c>
      <c r="V1123" s="129" t="str">
        <v/>
      </c>
    </row>
    <row r="1124" spans="1:22" x14ac:dyDescent="0.2">
      <c r="A1124" s="144" t="str">
        <v>E1</v>
      </c>
      <c r="B1124" s="145">
        <v>4</v>
      </c>
      <c r="C1124" s="129" t="str">
        <v>Colonoscopy + EUA +</v>
      </c>
      <c r="D1124" s="129" t="str">
        <v>E1 – Anaesthesia in Remote Locations / Endoscopy: Endoscopy Under Sedation [Gastroscopy, Colonoscopy - incl…</v>
      </c>
      <c r="E1124" s="129" t="str">
        <v>11 - Anaesthesia in Remote Locations</v>
      </c>
      <c r="F1124" s="129" t="str">
        <v>Solutions Plus</v>
      </c>
      <c r="G1124" s="144" t="str">
        <v>CON-01</v>
      </c>
      <c r="H1124" s="129" t="str">
        <v>To confirm</v>
      </c>
      <c r="I1124" s="144" t="str">
        <v>No</v>
      </c>
      <c r="J1124" s="144" t="str">
        <v>Base</v>
      </c>
      <c r="K1124" s="144" t="str">
        <v/>
      </c>
      <c r="L1124" s="146">
        <v>0</v>
      </c>
      <c r="M1124" s="142">
        <v>0</v>
      </c>
      <c r="N1124" s="144" t="str">
        <v>Unknown</v>
      </c>
      <c r="O1124" s="142" t="str">
        <v/>
      </c>
      <c r="P1124" s="142" t="str">
        <v/>
      </c>
      <c r="Q1124" s="142" t="str">
        <v/>
      </c>
      <c r="R1124" s="129" t="str">
        <v>Description – likely</v>
      </c>
      <c r="S1124" s="143" t="str">
        <v/>
      </c>
      <c r="T1124" s="144" t="str">
        <v>SRC-00</v>
      </c>
      <c r="U1124" s="129" t="str">
        <v>S+ row 185</v>
      </c>
      <c r="V1124" s="129" t="str">
        <v/>
      </c>
    </row>
    <row r="1125" spans="1:22" x14ac:dyDescent="0.2">
      <c r="A1125" s="144" t="str">
        <v>E1</v>
      </c>
      <c r="B1125" s="145">
        <v>4</v>
      </c>
      <c r="C1125" s="129" t="str">
        <v>Colonoscopy + EUA +/- Fistulotomy +/- Seton - SX</v>
      </c>
      <c r="D1125" s="129" t="str">
        <v>E1 – Anaesthesia in Remote Locations / Endoscopy: Endoscopy Under Sedation [Gastroscopy, Colonoscopy - incl…</v>
      </c>
      <c r="E1125" s="129" t="str">
        <v>11 - Anaesthesia in Remote Locations</v>
      </c>
      <c r="F1125" s="129" t="str">
        <v>Solutions Plus</v>
      </c>
      <c r="G1125" s="144" t="str">
        <v>CON-01</v>
      </c>
      <c r="H1125" s="129" t="str">
        <v>To confirm</v>
      </c>
      <c r="I1125" s="144" t="str">
        <v>No</v>
      </c>
      <c r="J1125" s="144" t="str">
        <v>Base</v>
      </c>
      <c r="K1125" s="144" t="str">
        <v/>
      </c>
      <c r="L1125" s="146">
        <v>0</v>
      </c>
      <c r="M1125" s="142">
        <v>0</v>
      </c>
      <c r="N1125" s="144" t="str">
        <v>Unknown</v>
      </c>
      <c r="O1125" s="142" t="str">
        <v/>
      </c>
      <c r="P1125" s="142" t="str">
        <v/>
      </c>
      <c r="Q1125" s="142" t="str">
        <v/>
      </c>
      <c r="R1125" s="129" t="str">
        <v>Description – likely</v>
      </c>
      <c r="S1125" s="143" t="str">
        <v/>
      </c>
      <c r="T1125" s="144" t="str">
        <v>SRC-00</v>
      </c>
      <c r="U1125" s="129" t="str">
        <v>S+ row 186</v>
      </c>
      <c r="V1125" s="129" t="str">
        <v/>
      </c>
    </row>
    <row r="1126" spans="1:22" x14ac:dyDescent="0.2">
      <c r="A1126" s="144" t="str">
        <v>E1</v>
      </c>
      <c r="B1126" s="145">
        <v>4</v>
      </c>
      <c r="C1126" s="129" t="str">
        <v>Colonoscopy + Excisision And Drainage Anal Fissu</v>
      </c>
      <c r="D1126" s="129" t="str">
        <v>E1 – Anaesthesia in Remote Locations / Endoscopy: Endoscopy Under Sedation [Gastroscopy, Colonoscopy - incl…</v>
      </c>
      <c r="E1126" s="129" t="str">
        <v>11 - Anaesthesia in Remote Locations</v>
      </c>
      <c r="F1126" s="129" t="str">
        <v>Solutions Plus</v>
      </c>
      <c r="G1126" s="144" t="str">
        <v>CON-01</v>
      </c>
      <c r="H1126" s="129" t="str">
        <v>To confirm</v>
      </c>
      <c r="I1126" s="144" t="str">
        <v>No</v>
      </c>
      <c r="J1126" s="144" t="str">
        <v>Base</v>
      </c>
      <c r="K1126" s="144" t="str">
        <v/>
      </c>
      <c r="L1126" s="146">
        <v>0</v>
      </c>
      <c r="M1126" s="142">
        <v>0</v>
      </c>
      <c r="N1126" s="144" t="str">
        <v>Unknown</v>
      </c>
      <c r="O1126" s="142" t="str">
        <v/>
      </c>
      <c r="P1126" s="142" t="str">
        <v/>
      </c>
      <c r="Q1126" s="142" t="str">
        <v/>
      </c>
      <c r="R1126" s="129" t="str">
        <v>Description – likely</v>
      </c>
      <c r="S1126" s="143" t="str">
        <v/>
      </c>
      <c r="T1126" s="144" t="str">
        <v>SRC-00</v>
      </c>
      <c r="U1126" s="129" t="str">
        <v>S+ row 187</v>
      </c>
      <c r="V1126" s="129" t="str">
        <v/>
      </c>
    </row>
    <row r="1127" spans="1:22" x14ac:dyDescent="0.2">
      <c r="A1127" s="144" t="str">
        <v>E1</v>
      </c>
      <c r="B1127" s="145">
        <v>4</v>
      </c>
      <c r="C1127" s="129" t="str">
        <v>Colonoscopy + Gastroscopy + EUA + Haemorrhoide</v>
      </c>
      <c r="D1127" s="129" t="str">
        <v>E1 – Anaesthesia in Remote Locations / Endoscopy: Endoscopy Under Sedation [Gastroscopy, Colonoscopy - incl…</v>
      </c>
      <c r="E1127" s="129" t="str">
        <v>11 - Anaesthesia in Remote Locations</v>
      </c>
      <c r="F1127" s="129" t="str">
        <v>Solutions Plus</v>
      </c>
      <c r="G1127" s="144" t="str">
        <v>CON-01</v>
      </c>
      <c r="H1127" s="129" t="str">
        <v>To confirm</v>
      </c>
      <c r="I1127" s="144" t="str">
        <v>No</v>
      </c>
      <c r="J1127" s="144" t="str">
        <v>Base</v>
      </c>
      <c r="K1127" s="144" t="str">
        <v/>
      </c>
      <c r="L1127" s="146">
        <v>7</v>
      </c>
      <c r="M1127" s="142">
        <v>385</v>
      </c>
      <c r="N1127" s="144" t="str">
        <v>Unknown</v>
      </c>
      <c r="O1127" s="142" t="str">
        <v/>
      </c>
      <c r="P1127" s="142" t="str">
        <v/>
      </c>
      <c r="Q1127" s="142">
        <v>55</v>
      </c>
      <c r="R1127" s="129" t="str">
        <v>Description – likely</v>
      </c>
      <c r="S1127" s="143" t="str">
        <v/>
      </c>
      <c r="T1127" s="144" t="str">
        <v>SRC-00</v>
      </c>
      <c r="U1127" s="129" t="str">
        <v>S+ row 188</v>
      </c>
      <c r="V1127" s="129" t="str">
        <v/>
      </c>
    </row>
    <row r="1128" spans="1:22" x14ac:dyDescent="0.2">
      <c r="A1128" s="144" t="str">
        <v>E1</v>
      </c>
      <c r="B1128" s="145">
        <v>4</v>
      </c>
      <c r="C1128" s="129" t="str">
        <v>Colonoscopy + Polypectomies</v>
      </c>
      <c r="D1128" s="129" t="str">
        <v>E1 – Anaesthesia in Remote Locations / Endoscopy: Endoscopy Under Sedation [Gastroscopy, Colonoscopy - incl…</v>
      </c>
      <c r="E1128" s="129" t="str">
        <v>11 - Anaesthesia in Remote Locations</v>
      </c>
      <c r="F1128" s="129" t="str">
        <v>Solutions Plus</v>
      </c>
      <c r="G1128" s="144" t="str">
        <v>CON-01</v>
      </c>
      <c r="H1128" s="129" t="str">
        <v>To confirm</v>
      </c>
      <c r="I1128" s="144" t="str">
        <v>No</v>
      </c>
      <c r="J1128" s="144" t="str">
        <v>Base</v>
      </c>
      <c r="K1128" s="144" t="str">
        <v/>
      </c>
      <c r="L1128" s="146">
        <v>8.5</v>
      </c>
      <c r="M1128" s="142">
        <v>467.5</v>
      </c>
      <c r="N1128" s="144" t="str">
        <v>Unknown</v>
      </c>
      <c r="O1128" s="142" t="str">
        <v/>
      </c>
      <c r="P1128" s="142" t="str">
        <v/>
      </c>
      <c r="Q1128" s="142">
        <v>55</v>
      </c>
      <c r="R1128" s="129" t="str">
        <v>Description – likely</v>
      </c>
      <c r="S1128" s="143" t="str">
        <v/>
      </c>
      <c r="T1128" s="144" t="str">
        <v>SRC-00</v>
      </c>
      <c r="U1128" s="129" t="str">
        <v>S+ row 189</v>
      </c>
      <c r="V1128" s="129" t="str">
        <v/>
      </c>
    </row>
    <row r="1129" spans="1:22" x14ac:dyDescent="0.2">
      <c r="A1129" s="144" t="str">
        <v>E1</v>
      </c>
      <c r="B1129" s="145">
        <v>4</v>
      </c>
      <c r="C1129" s="129" t="str">
        <v>Colonoscopy + RBL</v>
      </c>
      <c r="D1129" s="129" t="str">
        <v>E1 – Anaesthesia in Remote Locations / Endoscopy: Endoscopy Under Sedation [Gastroscopy, Colonoscopy - incl…</v>
      </c>
      <c r="E1129" s="129" t="str">
        <v>11 - Anaesthesia in Remote Locations</v>
      </c>
      <c r="F1129" s="129" t="str">
        <v>Solutions Plus</v>
      </c>
      <c r="G1129" s="144" t="str">
        <v>CON-01</v>
      </c>
      <c r="H1129" s="129" t="str">
        <v>To confirm</v>
      </c>
      <c r="I1129" s="144" t="str">
        <v>No</v>
      </c>
      <c r="J1129" s="144" t="str">
        <v>Base</v>
      </c>
      <c r="K1129" s="144" t="str">
        <v/>
      </c>
      <c r="L1129" s="146">
        <v>7.5</v>
      </c>
      <c r="M1129" s="142">
        <v>410.3</v>
      </c>
      <c r="N1129" s="144" t="str">
        <v>Unknown</v>
      </c>
      <c r="O1129" s="142" t="str">
        <v/>
      </c>
      <c r="P1129" s="142" t="str">
        <v/>
      </c>
      <c r="Q1129" s="142">
        <v>54.706666666666671</v>
      </c>
      <c r="R1129" s="129" t="str">
        <v>Description – likely</v>
      </c>
      <c r="S1129" s="143" t="str">
        <v/>
      </c>
      <c r="T1129" s="144" t="str">
        <v>SRC-00</v>
      </c>
      <c r="U1129" s="129" t="str">
        <v>S+ row 190</v>
      </c>
      <c r="V1129" s="129" t="str">
        <v/>
      </c>
    </row>
    <row r="1130" spans="1:22" x14ac:dyDescent="0.2">
      <c r="A1130" s="144" t="str">
        <v>E1</v>
      </c>
      <c r="B1130" s="145">
        <v>4</v>
      </c>
      <c r="C1130" s="129" t="str">
        <v>Colonoscopy +/- Biopsies -+/ Polypectomies &amp; Seto</v>
      </c>
      <c r="D1130" s="129" t="str">
        <v>E1 – Anaesthesia in Remote Locations / Endoscopy: Endoscopy Under Sedation [Gastroscopy, Colonoscopy - incl…</v>
      </c>
      <c r="E1130" s="129" t="str">
        <v>11 - Anaesthesia in Remote Locations</v>
      </c>
      <c r="F1130" s="129" t="str">
        <v>Solutions Plus</v>
      </c>
      <c r="G1130" s="144" t="str">
        <v>CON-01</v>
      </c>
      <c r="H1130" s="129" t="str">
        <v>To confirm</v>
      </c>
      <c r="I1130" s="144" t="str">
        <v>No</v>
      </c>
      <c r="J1130" s="144" t="str">
        <v>Base</v>
      </c>
      <c r="K1130" s="144" t="str">
        <v/>
      </c>
      <c r="L1130" s="146">
        <v>7</v>
      </c>
      <c r="M1130" s="142">
        <v>385</v>
      </c>
      <c r="N1130" s="144" t="str">
        <v>Unknown</v>
      </c>
      <c r="O1130" s="142" t="str">
        <v/>
      </c>
      <c r="P1130" s="142" t="str">
        <v/>
      </c>
      <c r="Q1130" s="142">
        <v>55</v>
      </c>
      <c r="R1130" s="129" t="str">
        <v>Description – likely</v>
      </c>
      <c r="S1130" s="143" t="str">
        <v/>
      </c>
      <c r="T1130" s="144" t="str">
        <v>SRC-00</v>
      </c>
      <c r="U1130" s="129" t="str">
        <v>S+ row 192</v>
      </c>
      <c r="V1130" s="129" t="str">
        <v/>
      </c>
    </row>
    <row r="1131" spans="1:22" x14ac:dyDescent="0.2">
      <c r="A1131" s="144" t="str">
        <v>E1</v>
      </c>
      <c r="B1131" s="145">
        <v>4</v>
      </c>
      <c r="C1131" s="129" t="str">
        <v>Colonoscopy +/- Biopsies +/- Polypectomies</v>
      </c>
      <c r="D1131" s="129" t="str">
        <v>E1 – Anaesthesia in Remote Locations / Endoscopy: Endoscopy Under Sedation [Gastroscopy, Colonoscopy - incl…</v>
      </c>
      <c r="E1131" s="129" t="str">
        <v>11 - Anaesthesia in Remote Locations</v>
      </c>
      <c r="F1131" s="129" t="str">
        <v>Solutions Plus</v>
      </c>
      <c r="G1131" s="144" t="str">
        <v>CON-01</v>
      </c>
      <c r="H1131" s="129" t="str">
        <v>To confirm</v>
      </c>
      <c r="I1131" s="144" t="str">
        <v>No</v>
      </c>
      <c r="J1131" s="144" t="str">
        <v>Base</v>
      </c>
      <c r="K1131" s="144" t="str">
        <v/>
      </c>
      <c r="L1131" s="146">
        <v>8.1</v>
      </c>
      <c r="M1131" s="142">
        <v>447.7</v>
      </c>
      <c r="N1131" s="144" t="str">
        <v>Unknown</v>
      </c>
      <c r="O1131" s="142" t="str">
        <v/>
      </c>
      <c r="P1131" s="142" t="str">
        <v/>
      </c>
      <c r="Q1131" s="142">
        <v>55.271604938271608</v>
      </c>
      <c r="R1131" s="129" t="str">
        <v>Description – likely</v>
      </c>
      <c r="S1131" s="143" t="str">
        <v/>
      </c>
      <c r="T1131" s="144" t="str">
        <v>SRC-00</v>
      </c>
      <c r="U1131" s="129" t="str">
        <v>S+ row 191</v>
      </c>
      <c r="V1131" s="129" t="str">
        <v/>
      </c>
    </row>
    <row r="1132" spans="1:22" x14ac:dyDescent="0.2">
      <c r="A1132" s="144" t="str">
        <v>E1</v>
      </c>
      <c r="B1132" s="145">
        <v>4</v>
      </c>
      <c r="C1132" s="129" t="str">
        <v>Colonoscopy +/- Biopsies +/- Polypectomies + RBL</v>
      </c>
      <c r="D1132" s="129" t="str">
        <v>E1 – Anaesthesia in Remote Locations / Endoscopy: Endoscopy Under Sedation [Gastroscopy, Colonoscopy - incl…</v>
      </c>
      <c r="E1132" s="129" t="str">
        <v>11 - Anaesthesia in Remote Locations</v>
      </c>
      <c r="F1132" s="129" t="str">
        <v>Solutions Plus</v>
      </c>
      <c r="G1132" s="144" t="str">
        <v>CON-01</v>
      </c>
      <c r="H1132" s="129" t="str">
        <v>To confirm</v>
      </c>
      <c r="I1132" s="144" t="str">
        <v>No</v>
      </c>
      <c r="J1132" s="144" t="str">
        <v>Base</v>
      </c>
      <c r="K1132" s="144" t="str">
        <v/>
      </c>
      <c r="L1132" s="146">
        <v>7</v>
      </c>
      <c r="M1132" s="142">
        <v>385</v>
      </c>
      <c r="N1132" s="144" t="str">
        <v>Unknown</v>
      </c>
      <c r="O1132" s="142" t="str">
        <v/>
      </c>
      <c r="P1132" s="142" t="str">
        <v/>
      </c>
      <c r="Q1132" s="142">
        <v>55</v>
      </c>
      <c r="R1132" s="129" t="str">
        <v>Description – likely</v>
      </c>
      <c r="S1132" s="143" t="str">
        <v/>
      </c>
      <c r="T1132" s="144" t="str">
        <v>SRC-00</v>
      </c>
      <c r="U1132" s="129" t="str">
        <v>S+ row 193</v>
      </c>
      <c r="V1132" s="129" t="str">
        <v/>
      </c>
    </row>
    <row r="1133" spans="1:22" x14ac:dyDescent="0.2">
      <c r="A1133" s="144" t="str">
        <v>E1</v>
      </c>
      <c r="B1133" s="145">
        <v>4</v>
      </c>
      <c r="C1133" s="129" t="str">
        <v>Colonoscopy +h Polypectomy</v>
      </c>
      <c r="D1133" s="129" t="str">
        <v>E1 – Anaesthesia in Remote Locations / Endoscopy: Endoscopy Under Sedation [Gastroscopy, Colonoscopy - incl…</v>
      </c>
      <c r="E1133" s="129" t="str">
        <v>11 - Anaesthesia in Remote Locations</v>
      </c>
      <c r="F1133" s="129" t="str">
        <v>Solutions Plus</v>
      </c>
      <c r="G1133" s="144" t="str">
        <v>CON-01</v>
      </c>
      <c r="H1133" s="129" t="str">
        <v>To confirm</v>
      </c>
      <c r="I1133" s="144" t="str">
        <v>No</v>
      </c>
      <c r="J1133" s="144" t="str">
        <v>Base</v>
      </c>
      <c r="K1133" s="144" t="str">
        <v/>
      </c>
      <c r="L1133" s="146">
        <v>9.9</v>
      </c>
      <c r="M1133" s="142">
        <v>544.5</v>
      </c>
      <c r="N1133" s="144" t="str">
        <v>Unknown</v>
      </c>
      <c r="O1133" s="142" t="str">
        <v/>
      </c>
      <c r="P1133" s="142" t="str">
        <v/>
      </c>
      <c r="Q1133" s="142">
        <v>55</v>
      </c>
      <c r="R1133" s="129" t="str">
        <v>Description – likely</v>
      </c>
      <c r="S1133" s="143" t="str">
        <v/>
      </c>
      <c r="T1133" s="144" t="str">
        <v>SRC-00</v>
      </c>
      <c r="U1133" s="129" t="str">
        <v>S+ row 194</v>
      </c>
      <c r="V1133" s="129" t="str">
        <v/>
      </c>
    </row>
    <row r="1134" spans="1:22" x14ac:dyDescent="0.2">
      <c r="A1134" s="144" t="str">
        <v>E1</v>
      </c>
      <c r="B1134" s="145">
        <v>4</v>
      </c>
      <c r="C1134" s="129" t="str">
        <v>Colonoscopy And Biopsy</v>
      </c>
      <c r="D1134" s="129" t="str">
        <v>E1 – Anaesthesia in Remote Locations / Endoscopy: Endoscopy Under Sedation [Gastroscopy, Colonoscopy - incl…</v>
      </c>
      <c r="E1134" s="129" t="str">
        <v>11 - Anaesthesia in Remote Locations</v>
      </c>
      <c r="F1134" s="129" t="str">
        <v>Solutions Plus</v>
      </c>
      <c r="G1134" s="144" t="str">
        <v>CON-01</v>
      </c>
      <c r="H1134" s="129" t="str">
        <v>To confirm</v>
      </c>
      <c r="I1134" s="144" t="str">
        <v>No</v>
      </c>
      <c r="J1134" s="144" t="str">
        <v>Base</v>
      </c>
      <c r="K1134" s="144" t="str">
        <v/>
      </c>
      <c r="L1134" s="146">
        <v>7.6</v>
      </c>
      <c r="M1134" s="142">
        <v>419.1</v>
      </c>
      <c r="N1134" s="144" t="str">
        <v>Unknown</v>
      </c>
      <c r="O1134" s="142" t="str">
        <v/>
      </c>
      <c r="P1134" s="142" t="str">
        <v/>
      </c>
      <c r="Q1134" s="142">
        <v>55.144736842105267</v>
      </c>
      <c r="R1134" s="129" t="str">
        <v>Description – likely</v>
      </c>
      <c r="S1134" s="143" t="str">
        <v/>
      </c>
      <c r="T1134" s="144" t="str">
        <v>SRC-00</v>
      </c>
      <c r="U1134" s="129" t="str">
        <v>S+ row 195</v>
      </c>
      <c r="V1134" s="129" t="str">
        <v/>
      </c>
    </row>
    <row r="1135" spans="1:22" x14ac:dyDescent="0.2">
      <c r="A1135" s="144" t="str">
        <v>E1</v>
      </c>
      <c r="B1135" s="145">
        <v>4</v>
      </c>
      <c r="C1135" s="129" t="str">
        <v>Colonoscopy EUA + Col, +/- Botox CDHB</v>
      </c>
      <c r="D1135" s="129" t="str">
        <v>E1 – Anaesthesia in Remote Locations / Endoscopy: Endoscopy Under Sedation [Gastroscopy, Colonoscopy - incl…</v>
      </c>
      <c r="E1135" s="129" t="str">
        <v>11 - Anaesthesia in Remote Locations</v>
      </c>
      <c r="F1135" s="129" t="str">
        <v>Solutions Plus</v>
      </c>
      <c r="G1135" s="144" t="str">
        <v>CON-01</v>
      </c>
      <c r="H1135" s="129" t="str">
        <v>To confirm</v>
      </c>
      <c r="I1135" s="144" t="str">
        <v>No</v>
      </c>
      <c r="J1135" s="144" t="str">
        <v>Base</v>
      </c>
      <c r="K1135" s="144" t="str">
        <v/>
      </c>
      <c r="L1135" s="146">
        <v>7</v>
      </c>
      <c r="M1135" s="142">
        <v>385</v>
      </c>
      <c r="N1135" s="144" t="str">
        <v>Unknown</v>
      </c>
      <c r="O1135" s="142" t="str">
        <v/>
      </c>
      <c r="P1135" s="142" t="str">
        <v/>
      </c>
      <c r="Q1135" s="142">
        <v>55</v>
      </c>
      <c r="R1135" s="129" t="str">
        <v>Description – likely</v>
      </c>
      <c r="S1135" s="143" t="str">
        <v/>
      </c>
      <c r="T1135" s="144" t="str">
        <v>SRC-00</v>
      </c>
      <c r="U1135" s="129" t="str">
        <v>S+ row 196</v>
      </c>
      <c r="V1135" s="129" t="str">
        <v/>
      </c>
    </row>
    <row r="1136" spans="1:22" x14ac:dyDescent="0.2">
      <c r="A1136" s="144" t="str">
        <v>E1</v>
      </c>
      <c r="B1136" s="145">
        <v>4</v>
      </c>
      <c r="C1136" s="129" t="str">
        <v>Colonoscopy EUA Haemorrhiodectomy</v>
      </c>
      <c r="D1136" s="129" t="str">
        <v>E1 – Anaesthesia in Remote Locations / Endoscopy: Endoscopy Under Sedation [Gastroscopy, Colonoscopy - incl…</v>
      </c>
      <c r="E1136" s="129" t="str">
        <v>11 - Anaesthesia in Remote Locations</v>
      </c>
      <c r="F1136" s="129" t="str">
        <v>Solutions Plus</v>
      </c>
      <c r="G1136" s="144" t="str">
        <v>CON-01</v>
      </c>
      <c r="H1136" s="129" t="str">
        <v>To confirm</v>
      </c>
      <c r="I1136" s="144" t="str">
        <v>No</v>
      </c>
      <c r="J1136" s="144" t="str">
        <v>Base</v>
      </c>
      <c r="K1136" s="144" t="str">
        <v/>
      </c>
      <c r="L1136" s="146">
        <v>7.5</v>
      </c>
      <c r="M1136" s="142">
        <v>412.5</v>
      </c>
      <c r="N1136" s="144" t="str">
        <v>Unknown</v>
      </c>
      <c r="O1136" s="142" t="str">
        <v/>
      </c>
      <c r="P1136" s="142" t="str">
        <v/>
      </c>
      <c r="Q1136" s="142">
        <v>55</v>
      </c>
      <c r="R1136" s="129" t="str">
        <v>Description – likely</v>
      </c>
      <c r="S1136" s="143" t="str">
        <v/>
      </c>
      <c r="T1136" s="144" t="str">
        <v>SRC-00</v>
      </c>
      <c r="U1136" s="129" t="str">
        <v>S+ row 180</v>
      </c>
      <c r="V1136" s="129" t="str">
        <v/>
      </c>
    </row>
    <row r="1137" spans="1:22" x14ac:dyDescent="0.2">
      <c r="A1137" s="144" t="str">
        <v>E1</v>
      </c>
      <c r="B1137" s="145">
        <v>4</v>
      </c>
      <c r="C1137" s="129" t="str">
        <v>Colonoscopy EUA Of Stoma</v>
      </c>
      <c r="D1137" s="129" t="str">
        <v>E1 – Anaesthesia in Remote Locations / Endoscopy: Endoscopy Under Sedation [Gastroscopy, Colonoscopy - incl…</v>
      </c>
      <c r="E1137" s="129" t="str">
        <v>11 - Anaesthesia in Remote Locations</v>
      </c>
      <c r="F1137" s="129" t="str">
        <v>Solutions Plus</v>
      </c>
      <c r="G1137" s="144" t="str">
        <v>CON-01</v>
      </c>
      <c r="H1137" s="129" t="str">
        <v>To confirm</v>
      </c>
      <c r="I1137" s="144" t="str">
        <v>No</v>
      </c>
      <c r="J1137" s="144" t="str">
        <v>Base</v>
      </c>
      <c r="K1137" s="144" t="str">
        <v/>
      </c>
      <c r="L1137" s="146">
        <v>11</v>
      </c>
      <c r="M1137" s="142">
        <v>605</v>
      </c>
      <c r="N1137" s="144" t="str">
        <v>Unknown</v>
      </c>
      <c r="O1137" s="142" t="str">
        <v/>
      </c>
      <c r="P1137" s="142" t="str">
        <v/>
      </c>
      <c r="Q1137" s="142">
        <v>55</v>
      </c>
      <c r="R1137" s="129" t="str">
        <v>Description – likely</v>
      </c>
      <c r="S1137" s="143" t="str">
        <v/>
      </c>
      <c r="T1137" s="144" t="str">
        <v>SRC-00</v>
      </c>
      <c r="U1137" s="129" t="str">
        <v>S+ row 197</v>
      </c>
      <c r="V1137" s="129" t="str">
        <v/>
      </c>
    </row>
    <row r="1138" spans="1:22" x14ac:dyDescent="0.2">
      <c r="A1138" s="144" t="str">
        <v>E1</v>
      </c>
      <c r="B1138" s="145">
        <v>4</v>
      </c>
      <c r="C1138" s="129" t="str">
        <v>Colonoscopy Excisision And Drainage Anal Fissure</v>
      </c>
      <c r="D1138" s="129" t="str">
        <v>E1 – Anaesthesia in Remote Locations / Endoscopy: Endoscopy Under Sedation [Gastroscopy, Colonoscopy - incl…</v>
      </c>
      <c r="E1138" s="129" t="str">
        <v>11 - Anaesthesia in Remote Locations</v>
      </c>
      <c r="F1138" s="129" t="str">
        <v>Solutions Plus</v>
      </c>
      <c r="G1138" s="144" t="str">
        <v>CON-01</v>
      </c>
      <c r="H1138" s="129" t="str">
        <v>To confirm</v>
      </c>
      <c r="I1138" s="144" t="str">
        <v>No</v>
      </c>
      <c r="J1138" s="144" t="str">
        <v>Base</v>
      </c>
      <c r="K1138" s="144" t="str">
        <v/>
      </c>
      <c r="L1138" s="146">
        <v>0</v>
      </c>
      <c r="M1138" s="142">
        <v>0</v>
      </c>
      <c r="N1138" s="144" t="str">
        <v>Unknown</v>
      </c>
      <c r="O1138" s="142" t="str">
        <v/>
      </c>
      <c r="P1138" s="142" t="str">
        <v/>
      </c>
      <c r="Q1138" s="142" t="str">
        <v/>
      </c>
      <c r="R1138" s="129" t="str">
        <v>Description – likely</v>
      </c>
      <c r="S1138" s="143" t="str">
        <v/>
      </c>
      <c r="T1138" s="144" t="str">
        <v>SRC-00</v>
      </c>
      <c r="U1138" s="129" t="str">
        <v>S+ row 198</v>
      </c>
      <c r="V1138" s="129" t="str">
        <v/>
      </c>
    </row>
    <row r="1139" spans="1:22" x14ac:dyDescent="0.2">
      <c r="A1139" s="144" t="str">
        <v>E1</v>
      </c>
      <c r="B1139" s="145">
        <v>4</v>
      </c>
      <c r="C1139" s="129" t="str">
        <v>Colonoscopy RBL Haemorrhoids</v>
      </c>
      <c r="D1139" s="129" t="str">
        <v>E1 – Anaesthesia in Remote Locations / Endoscopy: Endoscopy Under Sedation [Gastroscopy, Colonoscopy - incl…</v>
      </c>
      <c r="E1139" s="129" t="str">
        <v>11 - Anaesthesia in Remote Locations</v>
      </c>
      <c r="F1139" s="129" t="str">
        <v>Solutions Plus</v>
      </c>
      <c r="G1139" s="144" t="str">
        <v>CON-01</v>
      </c>
      <c r="H1139" s="129" t="str">
        <v>To confirm</v>
      </c>
      <c r="I1139" s="144" t="str">
        <v>No</v>
      </c>
      <c r="J1139" s="144" t="str">
        <v>Base</v>
      </c>
      <c r="K1139" s="144" t="str">
        <v/>
      </c>
      <c r="L1139" s="146">
        <v>8</v>
      </c>
      <c r="M1139" s="142">
        <v>440</v>
      </c>
      <c r="N1139" s="144" t="str">
        <v>Unknown</v>
      </c>
      <c r="O1139" s="142" t="str">
        <v/>
      </c>
      <c r="P1139" s="142" t="str">
        <v/>
      </c>
      <c r="Q1139" s="142">
        <v>55</v>
      </c>
      <c r="R1139" s="129" t="str">
        <v>Description – likely</v>
      </c>
      <c r="S1139" s="143" t="str">
        <v/>
      </c>
      <c r="T1139" s="144" t="str">
        <v>SRC-00</v>
      </c>
      <c r="U1139" s="129" t="str">
        <v>S+ row 199</v>
      </c>
      <c r="V1139" s="129" t="str">
        <v/>
      </c>
    </row>
    <row r="1140" spans="1:22" x14ac:dyDescent="0.2">
      <c r="A1140" s="144" t="str">
        <v>E1</v>
      </c>
      <c r="B1140" s="145">
        <v>4</v>
      </c>
      <c r="C1140" s="129" t="str">
        <v>Colonoscopy, EUA +/- Mucosal Advancement Flaps</v>
      </c>
      <c r="D1140" s="129" t="str">
        <v>E1 – Anaesthesia in Remote Locations / Endoscopy: Endoscopy Under Sedation [Gastroscopy, Colonoscopy - incl…</v>
      </c>
      <c r="E1140" s="129" t="str">
        <v>11 - Anaesthesia in Remote Locations</v>
      </c>
      <c r="F1140" s="129" t="str">
        <v>Solutions Plus</v>
      </c>
      <c r="G1140" s="144" t="str">
        <v>CON-01</v>
      </c>
      <c r="H1140" s="129" t="str">
        <v>To confirm</v>
      </c>
      <c r="I1140" s="144" t="str">
        <v>No</v>
      </c>
      <c r="J1140" s="144" t="str">
        <v>Base</v>
      </c>
      <c r="K1140" s="144" t="str">
        <v/>
      </c>
      <c r="L1140" s="146">
        <v>0</v>
      </c>
      <c r="M1140" s="142">
        <v>0</v>
      </c>
      <c r="N1140" s="144" t="str">
        <v>Unknown</v>
      </c>
      <c r="O1140" s="142" t="str">
        <v/>
      </c>
      <c r="P1140" s="142" t="str">
        <v/>
      </c>
      <c r="Q1140" s="142" t="str">
        <v/>
      </c>
      <c r="R1140" s="129" t="str">
        <v>Description – likely</v>
      </c>
      <c r="S1140" s="143" t="str">
        <v/>
      </c>
      <c r="T1140" s="144" t="str">
        <v>SRC-00</v>
      </c>
      <c r="U1140" s="129" t="str">
        <v>S+ row 200</v>
      </c>
      <c r="V1140" s="129" t="str">
        <v/>
      </c>
    </row>
    <row r="1141" spans="1:22" x14ac:dyDescent="0.2">
      <c r="A1141" s="144" t="str">
        <v>E1</v>
      </c>
      <c r="B1141" s="145">
        <v>4</v>
      </c>
      <c r="C1141" s="129" t="str">
        <v>Colonoscopy, Gastroscopy</v>
      </c>
      <c r="D1141" s="129" t="str">
        <v>E1 – Anaesthesia in Remote Locations / Endoscopy: Endoscopy Under Sedation [Gastroscopy, Colonoscopy - incl…</v>
      </c>
      <c r="E1141" s="129" t="str">
        <v>11 - Anaesthesia in Remote Locations</v>
      </c>
      <c r="F1141" s="129" t="str">
        <v>Solutions Plus</v>
      </c>
      <c r="G1141" s="144" t="str">
        <v>CON-01</v>
      </c>
      <c r="H1141" s="129" t="str">
        <v>To confirm</v>
      </c>
      <c r="I1141" s="144" t="str">
        <v>No</v>
      </c>
      <c r="J1141" s="144" t="str">
        <v>Base</v>
      </c>
      <c r="K1141" s="144" t="str">
        <v/>
      </c>
      <c r="L1141" s="146">
        <v>7.6</v>
      </c>
      <c r="M1141" s="142">
        <v>415.8</v>
      </c>
      <c r="N1141" s="144" t="str">
        <v>Unknown</v>
      </c>
      <c r="O1141" s="142" t="str">
        <v/>
      </c>
      <c r="P1141" s="142" t="str">
        <v/>
      </c>
      <c r="Q1141" s="142">
        <v>54.71052631578948</v>
      </c>
      <c r="R1141" s="129" t="str">
        <v>Description – likely</v>
      </c>
      <c r="S1141" s="143" t="str">
        <v/>
      </c>
      <c r="T1141" s="144" t="str">
        <v>SRC-00</v>
      </c>
      <c r="U1141" s="129" t="str">
        <v>S+ row 201</v>
      </c>
      <c r="V1141" s="129" t="str">
        <v/>
      </c>
    </row>
    <row r="1142" spans="1:22" x14ac:dyDescent="0.2">
      <c r="A1142" s="144" t="str">
        <v>E1</v>
      </c>
      <c r="B1142" s="145">
        <v>4</v>
      </c>
      <c r="C1142" s="129" t="str">
        <v>Colonoscopy/Polypectomy</v>
      </c>
      <c r="D1142" s="129" t="str">
        <v>E1 – Anaesthesia in Remote Locations / Endoscopy: Endoscopy Under Sedation [Gastroscopy, Colonoscopy - incl…</v>
      </c>
      <c r="E1142" s="129" t="str">
        <v>11 - Anaesthesia in Remote Locations</v>
      </c>
      <c r="F1142" s="129" t="str">
        <v>Solutions Plus</v>
      </c>
      <c r="G1142" s="144" t="str">
        <v>CON-01</v>
      </c>
      <c r="H1142" s="129" t="str">
        <v>To confirm</v>
      </c>
      <c r="I1142" s="144" t="str">
        <v>No</v>
      </c>
      <c r="J1142" s="144" t="str">
        <v>Base</v>
      </c>
      <c r="K1142" s="144" t="str">
        <v/>
      </c>
      <c r="L1142" s="146">
        <v>7.7</v>
      </c>
      <c r="M1142" s="142">
        <v>423.5</v>
      </c>
      <c r="N1142" s="144" t="str">
        <v>Unknown</v>
      </c>
      <c r="O1142" s="142" t="str">
        <v/>
      </c>
      <c r="P1142" s="142" t="str">
        <v/>
      </c>
      <c r="Q1142" s="142">
        <v>55</v>
      </c>
      <c r="R1142" s="129" t="str">
        <v>Description – likely</v>
      </c>
      <c r="S1142" s="143" t="str">
        <v/>
      </c>
      <c r="T1142" s="144" t="str">
        <v>SRC-00</v>
      </c>
      <c r="U1142" s="129" t="str">
        <v>S+ row 202</v>
      </c>
      <c r="V1142" s="129" t="str">
        <v/>
      </c>
    </row>
    <row r="1143" spans="1:22" x14ac:dyDescent="0.2">
      <c r="A1143" s="144" t="str">
        <v>E1</v>
      </c>
      <c r="B1143" s="145">
        <v>4</v>
      </c>
      <c r="C1143" s="129" t="str">
        <v>Colonoscopy/Polypectomy Haemorrhoidectomy, Inj</v>
      </c>
      <c r="D1143" s="129" t="str">
        <v>E1 – Anaesthesia in Remote Locations / Endoscopy: Endoscopy Under Sedation [Gastroscopy, Colonoscopy - incl…</v>
      </c>
      <c r="E1143" s="129" t="str">
        <v>11 - Anaesthesia in Remote Locations</v>
      </c>
      <c r="F1143" s="129" t="str">
        <v>Solutions Plus</v>
      </c>
      <c r="G1143" s="144" t="str">
        <v>CON-01</v>
      </c>
      <c r="H1143" s="129" t="str">
        <v>To confirm</v>
      </c>
      <c r="I1143" s="144" t="str">
        <v>No</v>
      </c>
      <c r="J1143" s="144" t="str">
        <v>Base</v>
      </c>
      <c r="K1143" s="144" t="str">
        <v/>
      </c>
      <c r="L1143" s="146">
        <v>0</v>
      </c>
      <c r="M1143" s="142">
        <v>0</v>
      </c>
      <c r="N1143" s="144" t="str">
        <v>Unknown</v>
      </c>
      <c r="O1143" s="142" t="str">
        <v/>
      </c>
      <c r="P1143" s="142" t="str">
        <v/>
      </c>
      <c r="Q1143" s="142" t="str">
        <v/>
      </c>
      <c r="R1143" s="129" t="str">
        <v>Description – likely</v>
      </c>
      <c r="S1143" s="143" t="str">
        <v/>
      </c>
      <c r="T1143" s="144" t="str">
        <v>SRC-00</v>
      </c>
      <c r="U1143" s="129" t="str">
        <v>S+ row 203</v>
      </c>
      <c r="V1143" s="129" t="str">
        <v/>
      </c>
    </row>
    <row r="1144" spans="1:22" x14ac:dyDescent="0.2">
      <c r="A1144" s="144" t="str">
        <v>E1</v>
      </c>
      <c r="B1144" s="145">
        <v>4</v>
      </c>
      <c r="C1144" s="129" t="str">
        <v>Colonscopy</v>
      </c>
      <c r="D1144" s="129" t="str">
        <v>E1 – Anaesthesia in Remote Locations / Endoscopy: Endoscopy Under Sedation [Gastroscopy, Colonoscopy - incl…</v>
      </c>
      <c r="E1144" s="129" t="str">
        <v>11 - Anaesthesia in Remote Locations</v>
      </c>
      <c r="F1144" s="129" t="str">
        <v>Solutions Plus</v>
      </c>
      <c r="G1144" s="144" t="str">
        <v>CON-01</v>
      </c>
      <c r="H1144" s="129" t="str">
        <v>To confirm</v>
      </c>
      <c r="I1144" s="144" t="str">
        <v>No</v>
      </c>
      <c r="J1144" s="144" t="str">
        <v>Base</v>
      </c>
      <c r="K1144" s="144" t="str">
        <v/>
      </c>
      <c r="L1144" s="146">
        <v>7.1</v>
      </c>
      <c r="M1144" s="142">
        <v>388.85</v>
      </c>
      <c r="N1144" s="144" t="str">
        <v>Unknown</v>
      </c>
      <c r="O1144" s="142" t="str">
        <v/>
      </c>
      <c r="P1144" s="142" t="str">
        <v/>
      </c>
      <c r="Q1144" s="142">
        <v>54.767605633802823</v>
      </c>
      <c r="R1144" s="129" t="str">
        <v>Description – likely</v>
      </c>
      <c r="S1144" s="143" t="str">
        <v/>
      </c>
      <c r="T1144" s="144" t="str">
        <v>SRC-00</v>
      </c>
      <c r="U1144" s="129" t="str">
        <v>S+ row 204</v>
      </c>
      <c r="V1144" s="129" t="str">
        <v/>
      </c>
    </row>
    <row r="1145" spans="1:22" x14ac:dyDescent="0.2">
      <c r="A1145" s="144" t="str">
        <v>E1</v>
      </c>
      <c r="B1145" s="145">
        <v>4</v>
      </c>
      <c r="C1145" s="129" t="str">
        <v>Colonscopy &amp; EUA</v>
      </c>
      <c r="D1145" s="129" t="str">
        <v>E1 – Anaesthesia in Remote Locations / Endoscopy: Endoscopy Under Sedation [Gastroscopy, Colonoscopy - incl…</v>
      </c>
      <c r="E1145" s="129" t="str">
        <v>11 - Anaesthesia in Remote Locations</v>
      </c>
      <c r="F1145" s="129" t="str">
        <v>Solutions Plus</v>
      </c>
      <c r="G1145" s="144" t="str">
        <v>CON-01</v>
      </c>
      <c r="H1145" s="129" t="str">
        <v>To confirm</v>
      </c>
      <c r="I1145" s="144" t="str">
        <v>No</v>
      </c>
      <c r="J1145" s="144" t="str">
        <v>Base</v>
      </c>
      <c r="K1145" s="144" t="str">
        <v/>
      </c>
      <c r="L1145" s="146">
        <v>11.5</v>
      </c>
      <c r="M1145" s="142">
        <v>632.5</v>
      </c>
      <c r="N1145" s="144" t="str">
        <v>Unknown</v>
      </c>
      <c r="O1145" s="142" t="str">
        <v/>
      </c>
      <c r="P1145" s="142" t="str">
        <v/>
      </c>
      <c r="Q1145" s="142">
        <v>55</v>
      </c>
      <c r="R1145" s="129" t="str">
        <v>Description – likely</v>
      </c>
      <c r="S1145" s="143" t="str">
        <v/>
      </c>
      <c r="T1145" s="144" t="str">
        <v>SRC-00</v>
      </c>
      <c r="U1145" s="129" t="str">
        <v>S+ row 205</v>
      </c>
      <c r="V1145" s="129" t="str">
        <v/>
      </c>
    </row>
    <row r="1146" spans="1:22" x14ac:dyDescent="0.2">
      <c r="A1146" s="144" t="str">
        <v>E1</v>
      </c>
      <c r="B1146" s="145">
        <v>4</v>
      </c>
      <c r="C1146" s="129" t="str">
        <v>Colonscopy &amp; Polypectomy &amp; Haemorrhoidectomy</v>
      </c>
      <c r="D1146" s="129" t="str">
        <v>E1 – Anaesthesia in Remote Locations / Endoscopy: Endoscopy Under Sedation [Gastroscopy, Colonoscopy - incl…</v>
      </c>
      <c r="E1146" s="129" t="str">
        <v>11 - Anaesthesia in Remote Locations</v>
      </c>
      <c r="F1146" s="129" t="str">
        <v>Solutions Plus</v>
      </c>
      <c r="G1146" s="144" t="str">
        <v>CON-01</v>
      </c>
      <c r="H1146" s="129" t="str">
        <v>To confirm</v>
      </c>
      <c r="I1146" s="144" t="str">
        <v>No</v>
      </c>
      <c r="J1146" s="144" t="str">
        <v>Base</v>
      </c>
      <c r="K1146" s="144" t="str">
        <v/>
      </c>
      <c r="L1146" s="146">
        <v>0</v>
      </c>
      <c r="M1146" s="142">
        <v>0</v>
      </c>
      <c r="N1146" s="144" t="str">
        <v>Unknown</v>
      </c>
      <c r="O1146" s="142" t="str">
        <v/>
      </c>
      <c r="P1146" s="142" t="str">
        <v/>
      </c>
      <c r="Q1146" s="142" t="str">
        <v/>
      </c>
      <c r="R1146" s="129" t="str">
        <v>Description – likely</v>
      </c>
      <c r="S1146" s="143" t="str">
        <v/>
      </c>
      <c r="T1146" s="144" t="str">
        <v>SRC-00</v>
      </c>
      <c r="U1146" s="129" t="str">
        <v>S+ row 206</v>
      </c>
      <c r="V1146" s="129" t="str">
        <v/>
      </c>
    </row>
    <row r="1147" spans="1:22" x14ac:dyDescent="0.2">
      <c r="A1147" s="144" t="str">
        <v>E1</v>
      </c>
      <c r="B1147" s="145">
        <v>4</v>
      </c>
      <c r="C1147" s="129" t="str">
        <v>Conoloscopy RBL EUA CDHB</v>
      </c>
      <c r="D1147" s="129" t="str">
        <v>E1 – Anaesthesia in Remote Locations / Endoscopy: Endoscopy Under Sedation [Gastroscopy, Colonoscopy - incl…</v>
      </c>
      <c r="E1147" s="129" t="str">
        <v>11 - Anaesthesia in Remote Locations</v>
      </c>
      <c r="F1147" s="129" t="str">
        <v>Solutions Plus</v>
      </c>
      <c r="G1147" s="144" t="str">
        <v>CON-01</v>
      </c>
      <c r="H1147" s="129" t="str">
        <v>To confirm</v>
      </c>
      <c r="I1147" s="144" t="str">
        <v>No</v>
      </c>
      <c r="J1147" s="144" t="str">
        <v>Base</v>
      </c>
      <c r="K1147" s="144" t="str">
        <v/>
      </c>
      <c r="L1147" s="146">
        <v>6</v>
      </c>
      <c r="M1147" s="142">
        <v>330</v>
      </c>
      <c r="N1147" s="144" t="str">
        <v>Unknown</v>
      </c>
      <c r="O1147" s="142" t="str">
        <v/>
      </c>
      <c r="P1147" s="142" t="str">
        <v/>
      </c>
      <c r="Q1147" s="142">
        <v>55</v>
      </c>
      <c r="R1147" s="129" t="str">
        <v>Description – likely</v>
      </c>
      <c r="S1147" s="143" t="str">
        <v/>
      </c>
      <c r="T1147" s="144" t="str">
        <v>SRC-00</v>
      </c>
      <c r="U1147" s="129" t="str">
        <v>S+ row 212</v>
      </c>
      <c r="V1147" s="129" t="str">
        <v/>
      </c>
    </row>
    <row r="1148" spans="1:22" x14ac:dyDescent="0.2">
      <c r="A1148" s="144" t="str">
        <v>E2</v>
      </c>
      <c r="B1148" s="145">
        <v>5</v>
      </c>
      <c r="C1148" s="129" t="str">
        <v>Endoscopy Under General Anaesthesia [Gastroscopy, Colonoscopy]</v>
      </c>
      <c r="D1148" s="129" t="str">
        <v>E2 – Anaesthesia in Remote Locations / Endoscopy: Endoscopy Under General Anaesthesia [Gastroscopy, Colonos…</v>
      </c>
      <c r="E1148" s="129" t="str">
        <v>11 - Anaesthesia in Remote Locations</v>
      </c>
      <c r="F1148" s="129" t="str">
        <v>NZSA RVG</v>
      </c>
      <c r="G1148" s="144" t="str">
        <v>CON-10</v>
      </c>
      <c r="H1148" s="129" t="str">
        <v>Reference – units only</v>
      </c>
      <c r="I1148" s="144" t="str">
        <v>No</v>
      </c>
      <c r="J1148" s="144" t="str">
        <v>Base</v>
      </c>
      <c r="K1148" s="144" t="str">
        <v>E2</v>
      </c>
      <c r="L1148" s="146">
        <v>5</v>
      </c>
      <c r="M1148" s="142" t="str">
        <v/>
      </c>
      <c r="N1148" s="144" t="str">
        <v/>
      </c>
      <c r="O1148" s="142" t="str">
        <v/>
      </c>
      <c r="P1148" s="142" t="str">
        <v/>
      </c>
      <c r="Q1148" s="142">
        <v>0</v>
      </c>
      <c r="R1148" s="129" t="str">
        <v>Unmatched</v>
      </c>
      <c r="S1148" s="143" t="str">
        <v/>
      </c>
      <c r="T1148" s="144" t="str">
        <v>SRC-01</v>
      </c>
      <c r="U1148" s="129" t="str">
        <v>p.11 – Anaesthesia in Remote Locations / Endoscopy</v>
      </c>
      <c r="V1148" s="129" t="str">
        <v>Reference units only – no $ fee (NZSA RVG 2021).</v>
      </c>
    </row>
    <row r="1149" spans="1:22" x14ac:dyDescent="0.2">
      <c r="A1149" s="144" t="str">
        <v>E1</v>
      </c>
      <c r="B1149" s="145">
        <v>4</v>
      </c>
      <c r="C1149" s="129" t="str">
        <v>Endoscopy Under Sedation [Gastroscopy, Colonoscopy - includes Sedation for Uncomplicated Biopsies]</v>
      </c>
      <c r="D1149" s="129" t="str">
        <v>E1 – Anaesthesia in Remote Locations / Endoscopy: Endoscopy Under Sedation [Gastroscopy, Colonoscopy - incl…</v>
      </c>
      <c r="E1149" s="129" t="str">
        <v>11 - Anaesthesia in Remote Locations</v>
      </c>
      <c r="F1149" s="129" t="str">
        <v>NZSA RVG</v>
      </c>
      <c r="G1149" s="144" t="str">
        <v>CON-10</v>
      </c>
      <c r="H1149" s="129" t="str">
        <v>Reference – units only</v>
      </c>
      <c r="I1149" s="144" t="str">
        <v>No</v>
      </c>
      <c r="J1149" s="144" t="str">
        <v>Base</v>
      </c>
      <c r="K1149" s="144" t="str">
        <v>E1</v>
      </c>
      <c r="L1149" s="146">
        <v>4</v>
      </c>
      <c r="M1149" s="142" t="str">
        <v/>
      </c>
      <c r="N1149" s="144" t="str">
        <v/>
      </c>
      <c r="O1149" s="142" t="str">
        <v/>
      </c>
      <c r="P1149" s="142" t="str">
        <v/>
      </c>
      <c r="Q1149" s="142">
        <v>0</v>
      </c>
      <c r="R1149" s="129" t="str">
        <v>RVG code</v>
      </c>
      <c r="S1149" s="143" t="str">
        <v/>
      </c>
      <c r="T1149" s="144" t="str">
        <v>SRC-01</v>
      </c>
      <c r="U1149" s="129" t="str">
        <v>p.11 – Anaesthesia in Remote Locations / Endoscopy</v>
      </c>
      <c r="V1149" s="129" t="str">
        <v>Reference units only – no $ fee (NZSA RVG 2021).</v>
      </c>
    </row>
    <row r="1150" spans="1:22" x14ac:dyDescent="0.2">
      <c r="A1150" s="144" t="str">
        <v>E3</v>
      </c>
      <c r="B1150" s="145">
        <v>6</v>
      </c>
      <c r="C1150" s="129" t="str">
        <v>ERCP</v>
      </c>
      <c r="D1150" s="129" t="str">
        <v>E3 – Anaesthesia in Remote Locations / Endoscopy: Moderate Endoscopic Procedures</v>
      </c>
      <c r="E1150" s="129" t="str">
        <v>11 - Anaesthesia in Remote Locations</v>
      </c>
      <c r="F1150" s="129" t="str">
        <v>Solutions Plus</v>
      </c>
      <c r="G1150" s="144" t="str">
        <v>CON-01</v>
      </c>
      <c r="H1150" s="129" t="str">
        <v>To confirm</v>
      </c>
      <c r="I1150" s="144" t="str">
        <v>No</v>
      </c>
      <c r="J1150" s="144" t="str">
        <v>Base</v>
      </c>
      <c r="K1150" s="144" t="str">
        <v/>
      </c>
      <c r="L1150" s="146">
        <v>9.9</v>
      </c>
      <c r="M1150" s="142">
        <v>545.6</v>
      </c>
      <c r="N1150" s="144" t="str">
        <v>Unknown</v>
      </c>
      <c r="O1150" s="142" t="str">
        <v/>
      </c>
      <c r="P1150" s="142" t="str">
        <v/>
      </c>
      <c r="Q1150" s="142">
        <v>55.111111111111114</v>
      </c>
      <c r="R1150" s="129" t="str">
        <v>Description – exact</v>
      </c>
      <c r="S1150" s="143" t="str">
        <v/>
      </c>
      <c r="T1150" s="144" t="str">
        <v>SRC-00</v>
      </c>
      <c r="U1150" s="129" t="str">
        <v>S+ row 283</v>
      </c>
      <c r="V1150" s="129" t="str">
        <v/>
      </c>
    </row>
    <row r="1151" spans="1:22" x14ac:dyDescent="0.2">
      <c r="A1151" s="144" t="str">
        <v>E1</v>
      </c>
      <c r="B1151" s="145">
        <v>4</v>
      </c>
      <c r="C1151" s="129" t="str">
        <v>Flexi Sigmoidoscopy + Rubber Band Ligation</v>
      </c>
      <c r="D1151" s="129" t="str">
        <v>E1 – Anaesthesia in Remote Locations / Endoscopy: Endoscopy Under Sedation [Gastroscopy, Colonoscopy - incl…</v>
      </c>
      <c r="E1151" s="129" t="str">
        <v>11 - Anaesthesia in Remote Locations</v>
      </c>
      <c r="F1151" s="129" t="str">
        <v>Solutions Plus</v>
      </c>
      <c r="G1151" s="144" t="str">
        <v>CON-01</v>
      </c>
      <c r="H1151" s="129" t="str">
        <v>To confirm</v>
      </c>
      <c r="I1151" s="144" t="str">
        <v>No</v>
      </c>
      <c r="J1151" s="144" t="str">
        <v>Base</v>
      </c>
      <c r="K1151" s="144" t="str">
        <v/>
      </c>
      <c r="L1151" s="146">
        <v>9</v>
      </c>
      <c r="M1151" s="142">
        <v>495</v>
      </c>
      <c r="N1151" s="144" t="str">
        <v>Unknown</v>
      </c>
      <c r="O1151" s="142" t="str">
        <v/>
      </c>
      <c r="P1151" s="142" t="str">
        <v/>
      </c>
      <c r="Q1151" s="142">
        <v>55</v>
      </c>
      <c r="R1151" s="129" t="str">
        <v>Description – likely</v>
      </c>
      <c r="S1151" s="143" t="str">
        <v/>
      </c>
      <c r="T1151" s="144" t="str">
        <v>SRC-00</v>
      </c>
      <c r="U1151" s="129" t="str">
        <v>S+ row 368</v>
      </c>
      <c r="V1151" s="129" t="str">
        <v/>
      </c>
    </row>
    <row r="1152" spans="1:22" x14ac:dyDescent="0.2">
      <c r="A1152" s="144" t="str">
        <v>E1</v>
      </c>
      <c r="B1152" s="145">
        <v>4</v>
      </c>
      <c r="C1152" s="129" t="str">
        <v>Flexible Sigmoidoscopy</v>
      </c>
      <c r="D1152" s="129" t="str">
        <v>E1 – Anaesthesia in Remote Locations / Endoscopy: Endoscopy Under Sedation [Gastroscopy, Colonoscopy - incl…</v>
      </c>
      <c r="E1152" s="129" t="str">
        <v>11 - Anaesthesia in Remote Locations</v>
      </c>
      <c r="F1152" s="129" t="str">
        <v>Solutions Plus</v>
      </c>
      <c r="G1152" s="144" t="str">
        <v>CON-01</v>
      </c>
      <c r="H1152" s="129" t="str">
        <v>To confirm</v>
      </c>
      <c r="I1152" s="144" t="str">
        <v>No</v>
      </c>
      <c r="J1152" s="144" t="str">
        <v>Base</v>
      </c>
      <c r="K1152" s="144" t="str">
        <v/>
      </c>
      <c r="L1152" s="146">
        <v>7.2</v>
      </c>
      <c r="M1152" s="142">
        <v>393.8</v>
      </c>
      <c r="N1152" s="144" t="str">
        <v>Unknown</v>
      </c>
      <c r="O1152" s="142" t="str">
        <v/>
      </c>
      <c r="P1152" s="142" t="str">
        <v/>
      </c>
      <c r="Q1152" s="142">
        <v>54.694444444444443</v>
      </c>
      <c r="R1152" s="129" t="str">
        <v>Description – likely</v>
      </c>
      <c r="S1152" s="143" t="str">
        <v/>
      </c>
      <c r="T1152" s="144" t="str">
        <v>SRC-00</v>
      </c>
      <c r="U1152" s="129" t="str">
        <v>S+ row 369</v>
      </c>
      <c r="V1152" s="129" t="str">
        <v/>
      </c>
    </row>
    <row r="1153" spans="1:22" x14ac:dyDescent="0.2">
      <c r="A1153" s="144" t="str">
        <v>E1</v>
      </c>
      <c r="B1153" s="145">
        <v>4</v>
      </c>
      <c r="C1153" s="129" t="str">
        <v>Flexible Sigmoidoscopy +/- Biopsies</v>
      </c>
      <c r="D1153" s="129" t="str">
        <v>E1 – Anaesthesia in Remote Locations / Endoscopy: Endoscopy Under Sedation [Gastroscopy, Colonoscopy - incl…</v>
      </c>
      <c r="E1153" s="129" t="str">
        <v>11 - Anaesthesia in Remote Locations</v>
      </c>
      <c r="F1153" s="129" t="str">
        <v>Solutions Plus</v>
      </c>
      <c r="G1153" s="144" t="str">
        <v>CON-01</v>
      </c>
      <c r="H1153" s="129" t="str">
        <v>To confirm</v>
      </c>
      <c r="I1153" s="144" t="str">
        <v>No</v>
      </c>
      <c r="J1153" s="144" t="str">
        <v>Base</v>
      </c>
      <c r="K1153" s="144" t="str">
        <v/>
      </c>
      <c r="L1153" s="146">
        <v>8</v>
      </c>
      <c r="M1153" s="142">
        <v>440</v>
      </c>
      <c r="N1153" s="144" t="str">
        <v>Unknown</v>
      </c>
      <c r="O1153" s="142" t="str">
        <v/>
      </c>
      <c r="P1153" s="142" t="str">
        <v/>
      </c>
      <c r="Q1153" s="142">
        <v>55</v>
      </c>
      <c r="R1153" s="129" t="str">
        <v>Description – likely</v>
      </c>
      <c r="S1153" s="143" t="str">
        <v/>
      </c>
      <c r="T1153" s="144" t="str">
        <v>SRC-00</v>
      </c>
      <c r="U1153" s="129" t="str">
        <v>S+ row 371</v>
      </c>
      <c r="V1153" s="129" t="str">
        <v/>
      </c>
    </row>
    <row r="1154" spans="1:22" x14ac:dyDescent="0.2">
      <c r="A1154" s="144" t="str">
        <v>E1</v>
      </c>
      <c r="B1154" s="145">
        <v>4</v>
      </c>
      <c r="C1154" s="129" t="str">
        <v>Flexible Sigmoidoscopy, Ligature Haemorrhoidecto</v>
      </c>
      <c r="D1154" s="129" t="str">
        <v>E1 – Anaesthesia in Remote Locations / Endoscopy: Endoscopy Under Sedation [Gastroscopy, Colonoscopy - incl…</v>
      </c>
      <c r="E1154" s="129" t="str">
        <v>11 - Anaesthesia in Remote Locations</v>
      </c>
      <c r="F1154" s="129" t="str">
        <v>Solutions Plus</v>
      </c>
      <c r="G1154" s="144" t="str">
        <v>CON-01</v>
      </c>
      <c r="H1154" s="129" t="str">
        <v>To confirm</v>
      </c>
      <c r="I1154" s="144" t="str">
        <v>No</v>
      </c>
      <c r="J1154" s="144" t="str">
        <v>Base</v>
      </c>
      <c r="K1154" s="144" t="str">
        <v/>
      </c>
      <c r="L1154" s="146">
        <v>6.7</v>
      </c>
      <c r="M1154" s="142">
        <v>366.3</v>
      </c>
      <c r="N1154" s="144" t="str">
        <v>Unknown</v>
      </c>
      <c r="O1154" s="142" t="str">
        <v/>
      </c>
      <c r="P1154" s="142" t="str">
        <v/>
      </c>
      <c r="Q1154" s="142">
        <v>54.671641791044777</v>
      </c>
      <c r="R1154" s="129" t="str">
        <v>Description – likely</v>
      </c>
      <c r="S1154" s="143" t="str">
        <v/>
      </c>
      <c r="T1154" s="144" t="str">
        <v>SRC-00</v>
      </c>
      <c r="U1154" s="129" t="str">
        <v>S+ row 372</v>
      </c>
      <c r="V1154" s="129" t="str">
        <v/>
      </c>
    </row>
    <row r="1155" spans="1:22" x14ac:dyDescent="0.2">
      <c r="A1155" s="144" t="str">
        <v>E1</v>
      </c>
      <c r="B1155" s="145">
        <v>4</v>
      </c>
      <c r="C1155" s="129" t="str">
        <v>Gastroscopy</v>
      </c>
      <c r="D1155" s="129" t="str">
        <v>E1 – Anaesthesia in Remote Locations / Endoscopy: Endoscopy Under Sedation [Gastroscopy, Colonoscopy - incl…</v>
      </c>
      <c r="E1155" s="129" t="str">
        <v>11 - Anaesthesia in Remote Locations</v>
      </c>
      <c r="F1155" s="129" t="str">
        <v>Solutions Plus</v>
      </c>
      <c r="G1155" s="144" t="str">
        <v>CON-01</v>
      </c>
      <c r="H1155" s="129" t="str">
        <v>To confirm</v>
      </c>
      <c r="I1155" s="144" t="str">
        <v>No</v>
      </c>
      <c r="J1155" s="144" t="str">
        <v>Base</v>
      </c>
      <c r="K1155" s="144" t="str">
        <v/>
      </c>
      <c r="L1155" s="146">
        <v>6.9</v>
      </c>
      <c r="M1155" s="142">
        <v>379.5</v>
      </c>
      <c r="N1155" s="144" t="str">
        <v>Unknown</v>
      </c>
      <c r="O1155" s="142" t="str">
        <v/>
      </c>
      <c r="P1155" s="142" t="str">
        <v/>
      </c>
      <c r="Q1155" s="142">
        <v>55</v>
      </c>
      <c r="R1155" s="129" t="str">
        <v>Description – likely</v>
      </c>
      <c r="S1155" s="143" t="str">
        <v/>
      </c>
      <c r="T1155" s="144" t="str">
        <v>SRC-00</v>
      </c>
      <c r="U1155" s="129" t="str">
        <v>S+ row 380</v>
      </c>
      <c r="V1155" s="129" t="str">
        <v/>
      </c>
    </row>
    <row r="1156" spans="1:22" x14ac:dyDescent="0.2">
      <c r="A1156" s="144" t="str">
        <v>E1</v>
      </c>
      <c r="B1156" s="145">
        <v>4</v>
      </c>
      <c r="C1156" s="129" t="str">
        <v>Gastroscopy &amp; Colonoscopy</v>
      </c>
      <c r="D1156" s="129" t="str">
        <v>E1 – Anaesthesia in Remote Locations / Endoscopy: Endoscopy Under Sedation [Gastroscopy, Colonoscopy - incl…</v>
      </c>
      <c r="E1156" s="129" t="str">
        <v>11 - Anaesthesia in Remote Locations</v>
      </c>
      <c r="F1156" s="129" t="str">
        <v>Solutions Plus</v>
      </c>
      <c r="G1156" s="144" t="str">
        <v>CON-01</v>
      </c>
      <c r="H1156" s="129" t="str">
        <v>To confirm</v>
      </c>
      <c r="I1156" s="144" t="str">
        <v>No</v>
      </c>
      <c r="J1156" s="144" t="str">
        <v>Base</v>
      </c>
      <c r="K1156" s="144" t="str">
        <v/>
      </c>
      <c r="L1156" s="146">
        <v>8.1999999999999993</v>
      </c>
      <c r="M1156" s="142">
        <v>453.2</v>
      </c>
      <c r="N1156" s="144" t="str">
        <v>Unknown</v>
      </c>
      <c r="O1156" s="142" t="str">
        <v/>
      </c>
      <c r="P1156" s="142" t="str">
        <v/>
      </c>
      <c r="Q1156" s="142">
        <v>55.268292682926834</v>
      </c>
      <c r="R1156" s="129" t="str">
        <v>Description – likely</v>
      </c>
      <c r="S1156" s="143" t="str">
        <v/>
      </c>
      <c r="T1156" s="144" t="str">
        <v>SRC-00</v>
      </c>
      <c r="U1156" s="129" t="str">
        <v>S+ row 382</v>
      </c>
      <c r="V1156" s="129" t="str">
        <v/>
      </c>
    </row>
    <row r="1157" spans="1:22" x14ac:dyDescent="0.2">
      <c r="A1157" s="144" t="str">
        <v>E1</v>
      </c>
      <c r="B1157" s="145">
        <v>4</v>
      </c>
      <c r="C1157" s="129" t="str">
        <v>Gastroscopy &amp; Colonoscopy &amp; Bx</v>
      </c>
      <c r="D1157" s="129" t="str">
        <v>E1 – Anaesthesia in Remote Locations / Endoscopy: Endoscopy Under Sedation [Gastroscopy, Colonoscopy - incl…</v>
      </c>
      <c r="E1157" s="129" t="str">
        <v>11 - Anaesthesia in Remote Locations</v>
      </c>
      <c r="F1157" s="129" t="str">
        <v>Solutions Plus</v>
      </c>
      <c r="G1157" s="144" t="str">
        <v>CON-01</v>
      </c>
      <c r="H1157" s="129" t="str">
        <v>To confirm</v>
      </c>
      <c r="I1157" s="144" t="str">
        <v>No</v>
      </c>
      <c r="J1157" s="144" t="str">
        <v>Base</v>
      </c>
      <c r="K1157" s="144" t="str">
        <v/>
      </c>
      <c r="L1157" s="146">
        <v>8.4</v>
      </c>
      <c r="M1157" s="142">
        <v>464.2</v>
      </c>
      <c r="N1157" s="144" t="str">
        <v>Unknown</v>
      </c>
      <c r="O1157" s="142" t="str">
        <v/>
      </c>
      <c r="P1157" s="142" t="str">
        <v/>
      </c>
      <c r="Q1157" s="142">
        <v>55.261904761904759</v>
      </c>
      <c r="R1157" s="129" t="str">
        <v>Description – likely</v>
      </c>
      <c r="S1157" s="143" t="str">
        <v/>
      </c>
      <c r="T1157" s="144" t="str">
        <v>SRC-00</v>
      </c>
      <c r="U1157" s="129" t="str">
        <v>S+ row 383</v>
      </c>
      <c r="V1157" s="129" t="str">
        <v/>
      </c>
    </row>
    <row r="1158" spans="1:22" x14ac:dyDescent="0.2">
      <c r="A1158" s="144" t="str">
        <v>E3</v>
      </c>
      <c r="B1158" s="145">
        <v>6</v>
      </c>
      <c r="C1158" s="129" t="str">
        <v>Gastroscopy &amp; Dilatation - Amended Invoice</v>
      </c>
      <c r="D1158" s="129" t="str">
        <v>E3 – Anaesthesia in Remote Locations / Endoscopy: Moderate Endoscopic Procedures</v>
      </c>
      <c r="E1158" s="129" t="str">
        <v>11 - Anaesthesia in Remote Locations</v>
      </c>
      <c r="F1158" s="129" t="str">
        <v>Solutions Plus</v>
      </c>
      <c r="G1158" s="144" t="str">
        <v>CON-01</v>
      </c>
      <c r="H1158" s="129" t="str">
        <v>To confirm</v>
      </c>
      <c r="I1158" s="144" t="str">
        <v>No</v>
      </c>
      <c r="J1158" s="144" t="str">
        <v>Base</v>
      </c>
      <c r="K1158" s="144" t="str">
        <v/>
      </c>
      <c r="L1158" s="146">
        <v>11</v>
      </c>
      <c r="M1158" s="142">
        <v>605</v>
      </c>
      <c r="N1158" s="144" t="str">
        <v>Unknown</v>
      </c>
      <c r="O1158" s="142" t="str">
        <v/>
      </c>
      <c r="P1158" s="142" t="str">
        <v/>
      </c>
      <c r="Q1158" s="142">
        <v>55</v>
      </c>
      <c r="R1158" s="129" t="str">
        <v>Description – likely</v>
      </c>
      <c r="S1158" s="143" t="str">
        <v/>
      </c>
      <c r="T1158" s="144" t="str">
        <v>SRC-00</v>
      </c>
      <c r="U1158" s="129" t="str">
        <v>S+ row 384</v>
      </c>
      <c r="V1158" s="129" t="str">
        <v/>
      </c>
    </row>
    <row r="1159" spans="1:22" x14ac:dyDescent="0.2">
      <c r="A1159" s="144" t="str">
        <v>E1</v>
      </c>
      <c r="B1159" s="145">
        <v>4</v>
      </c>
      <c r="C1159" s="129" t="str">
        <v>Gastroscopy + Balloon - Amended Invoice</v>
      </c>
      <c r="D1159" s="129" t="str">
        <v>E1 – Anaesthesia in Remote Locations / Endoscopy: Endoscopy Under Sedation [Gastroscopy, Colonoscopy - incl…</v>
      </c>
      <c r="E1159" s="129" t="str">
        <v>11 - Anaesthesia in Remote Locations</v>
      </c>
      <c r="F1159" s="129" t="str">
        <v>Solutions Plus</v>
      </c>
      <c r="G1159" s="144" t="str">
        <v>CON-01</v>
      </c>
      <c r="H1159" s="129" t="str">
        <v>To confirm</v>
      </c>
      <c r="I1159" s="144" t="str">
        <v>No</v>
      </c>
      <c r="J1159" s="144" t="str">
        <v>Base</v>
      </c>
      <c r="K1159" s="144" t="str">
        <v/>
      </c>
      <c r="L1159" s="146">
        <v>6</v>
      </c>
      <c r="M1159" s="142">
        <v>330</v>
      </c>
      <c r="N1159" s="144" t="str">
        <v>Unknown</v>
      </c>
      <c r="O1159" s="142" t="str">
        <v/>
      </c>
      <c r="P1159" s="142" t="str">
        <v/>
      </c>
      <c r="Q1159" s="142">
        <v>55</v>
      </c>
      <c r="R1159" s="129" t="str">
        <v>Description – likely</v>
      </c>
      <c r="S1159" s="143" t="str">
        <v/>
      </c>
      <c r="T1159" s="144" t="str">
        <v>SRC-00</v>
      </c>
      <c r="U1159" s="129" t="str">
        <v>S+ row 385</v>
      </c>
      <c r="V1159" s="129" t="str">
        <v/>
      </c>
    </row>
    <row r="1160" spans="1:22" x14ac:dyDescent="0.2">
      <c r="A1160" s="144" t="str">
        <v>E1</v>
      </c>
      <c r="B1160" s="145">
        <v>4</v>
      </c>
      <c r="C1160" s="129" t="str">
        <v>Gastroscopy + Colonoscopy</v>
      </c>
      <c r="D1160" s="129" t="str">
        <v>E1 – Anaesthesia in Remote Locations / Endoscopy: Endoscopy Under Sedation [Gastroscopy, Colonoscopy - incl…</v>
      </c>
      <c r="E1160" s="129" t="str">
        <v>11 - Anaesthesia in Remote Locations</v>
      </c>
      <c r="F1160" s="129" t="str">
        <v>Solutions Plus</v>
      </c>
      <c r="G1160" s="144" t="str">
        <v>CON-01</v>
      </c>
      <c r="H1160" s="129" t="str">
        <v>To confirm</v>
      </c>
      <c r="I1160" s="144" t="str">
        <v>No</v>
      </c>
      <c r="J1160" s="144" t="str">
        <v>Base</v>
      </c>
      <c r="K1160" s="144" t="str">
        <v/>
      </c>
      <c r="L1160" s="146">
        <v>9.1999999999999993</v>
      </c>
      <c r="M1160" s="142">
        <v>507.65</v>
      </c>
      <c r="N1160" s="144" t="str">
        <v>Unknown</v>
      </c>
      <c r="O1160" s="142" t="str">
        <v/>
      </c>
      <c r="P1160" s="142" t="str">
        <v/>
      </c>
      <c r="Q1160" s="142">
        <v>55.179347826086961</v>
      </c>
      <c r="R1160" s="129" t="str">
        <v>Description – likely</v>
      </c>
      <c r="S1160" s="143" t="str">
        <v/>
      </c>
      <c r="T1160" s="144" t="str">
        <v>SRC-00</v>
      </c>
      <c r="U1160" s="129" t="str">
        <v>S+ row 386</v>
      </c>
      <c r="V1160" s="129" t="str">
        <v/>
      </c>
    </row>
    <row r="1161" spans="1:22" x14ac:dyDescent="0.2">
      <c r="A1161" s="144" t="str">
        <v>E1</v>
      </c>
      <c r="B1161" s="145">
        <v>4</v>
      </c>
      <c r="C1161" s="129" t="str">
        <v>Gastroscopy + Colonoscopy + Duenal Biopsy</v>
      </c>
      <c r="D1161" s="129" t="str">
        <v>E1 – Anaesthesia in Remote Locations / Endoscopy: Endoscopy Under Sedation [Gastroscopy, Colonoscopy - incl…</v>
      </c>
      <c r="E1161" s="129" t="str">
        <v>11 - Anaesthesia in Remote Locations</v>
      </c>
      <c r="F1161" s="129" t="str">
        <v>Solutions Plus</v>
      </c>
      <c r="G1161" s="144" t="str">
        <v>CON-01</v>
      </c>
      <c r="H1161" s="129" t="str">
        <v>To confirm</v>
      </c>
      <c r="I1161" s="144" t="str">
        <v>No</v>
      </c>
      <c r="J1161" s="144" t="str">
        <v>Base</v>
      </c>
      <c r="K1161" s="144" t="str">
        <v/>
      </c>
      <c r="L1161" s="146">
        <v>8</v>
      </c>
      <c r="M1161" s="142">
        <v>440</v>
      </c>
      <c r="N1161" s="144" t="str">
        <v>Unknown</v>
      </c>
      <c r="O1161" s="142" t="str">
        <v/>
      </c>
      <c r="P1161" s="142" t="str">
        <v/>
      </c>
      <c r="Q1161" s="142">
        <v>55</v>
      </c>
      <c r="R1161" s="129" t="str">
        <v>Description – likely</v>
      </c>
      <c r="S1161" s="143" t="str">
        <v/>
      </c>
      <c r="T1161" s="144" t="str">
        <v>SRC-00</v>
      </c>
      <c r="U1161" s="129" t="str">
        <v>S+ row 387</v>
      </c>
      <c r="V1161" s="129" t="str">
        <v/>
      </c>
    </row>
    <row r="1162" spans="1:22" x14ac:dyDescent="0.2">
      <c r="A1162" s="144" t="str">
        <v>E1</v>
      </c>
      <c r="B1162" s="145">
        <v>4</v>
      </c>
      <c r="C1162" s="129" t="str">
        <v>Gastroscopy + Flexi Sigmoidoscopy + EUA</v>
      </c>
      <c r="D1162" s="129" t="str">
        <v>E1 – Anaesthesia in Remote Locations / Endoscopy: Endoscopy Under Sedation [Gastroscopy, Colonoscopy - incl…</v>
      </c>
      <c r="E1162" s="129" t="str">
        <v>11 - Anaesthesia in Remote Locations</v>
      </c>
      <c r="F1162" s="129" t="str">
        <v>Solutions Plus</v>
      </c>
      <c r="G1162" s="144" t="str">
        <v>CON-01</v>
      </c>
      <c r="H1162" s="129" t="str">
        <v>To confirm</v>
      </c>
      <c r="I1162" s="144" t="str">
        <v>No</v>
      </c>
      <c r="J1162" s="144" t="str">
        <v>Base</v>
      </c>
      <c r="K1162" s="144" t="str">
        <v/>
      </c>
      <c r="L1162" s="146">
        <v>0</v>
      </c>
      <c r="M1162" s="142">
        <v>0</v>
      </c>
      <c r="N1162" s="144" t="str">
        <v>Unknown</v>
      </c>
      <c r="O1162" s="142" t="str">
        <v/>
      </c>
      <c r="P1162" s="142" t="str">
        <v/>
      </c>
      <c r="Q1162" s="142" t="str">
        <v/>
      </c>
      <c r="R1162" s="129" t="str">
        <v>Description – likely</v>
      </c>
      <c r="S1162" s="143" t="str">
        <v/>
      </c>
      <c r="T1162" s="144" t="str">
        <v>SRC-00</v>
      </c>
      <c r="U1162" s="129" t="str">
        <v>S+ row 388</v>
      </c>
      <c r="V1162" s="129" t="str">
        <v/>
      </c>
    </row>
    <row r="1163" spans="1:22" x14ac:dyDescent="0.2">
      <c r="A1163" s="144" t="str">
        <v>E1</v>
      </c>
      <c r="B1163" s="145">
        <v>4</v>
      </c>
      <c r="C1163" s="129" t="str">
        <v>Gastroscopy SOU-177507</v>
      </c>
      <c r="D1163" s="129" t="str">
        <v>E1 – Anaesthesia in Remote Locations / Endoscopy: Endoscopy Under Sedation [Gastroscopy, Colonoscopy - incl…</v>
      </c>
      <c r="E1163" s="129" t="str">
        <v>11 - Anaesthesia in Remote Locations</v>
      </c>
      <c r="F1163" s="129" t="str">
        <v>Solutions Plus</v>
      </c>
      <c r="G1163" s="144" t="str">
        <v>CON-01</v>
      </c>
      <c r="H1163" s="129" t="str">
        <v>To confirm</v>
      </c>
      <c r="I1163" s="144" t="str">
        <v>No</v>
      </c>
      <c r="J1163" s="144" t="str">
        <v>Base</v>
      </c>
      <c r="K1163" s="144" t="str">
        <v/>
      </c>
      <c r="L1163" s="146">
        <v>7</v>
      </c>
      <c r="M1163" s="142">
        <v>385</v>
      </c>
      <c r="N1163" s="144" t="str">
        <v>Unknown</v>
      </c>
      <c r="O1163" s="142" t="str">
        <v/>
      </c>
      <c r="P1163" s="142" t="str">
        <v/>
      </c>
      <c r="Q1163" s="142">
        <v>55</v>
      </c>
      <c r="R1163" s="129" t="str">
        <v>Description – likely</v>
      </c>
      <c r="S1163" s="143" t="str">
        <v/>
      </c>
      <c r="T1163" s="144" t="str">
        <v>SRC-00</v>
      </c>
      <c r="U1163" s="129" t="str">
        <v>S+ row 381</v>
      </c>
      <c r="V1163" s="129" t="str">
        <v/>
      </c>
    </row>
    <row r="1164" spans="1:22" x14ac:dyDescent="0.2">
      <c r="A1164" s="144" t="str">
        <v>E1</v>
      </c>
      <c r="B1164" s="145">
        <v>4</v>
      </c>
      <c r="C1164" s="129" t="str">
        <v>Gastroscopy, Colonoscopy &amp; Bx - Recall</v>
      </c>
      <c r="D1164" s="129" t="str">
        <v>E1 – Anaesthesia in Remote Locations / Endoscopy: Endoscopy Under Sedation [Gastroscopy, Colonoscopy - incl…</v>
      </c>
      <c r="E1164" s="129" t="str">
        <v>11 - Anaesthesia in Remote Locations</v>
      </c>
      <c r="F1164" s="129" t="str">
        <v>Solutions Plus</v>
      </c>
      <c r="G1164" s="144" t="str">
        <v>CON-01</v>
      </c>
      <c r="H1164" s="129" t="str">
        <v>To confirm</v>
      </c>
      <c r="I1164" s="144" t="str">
        <v>No</v>
      </c>
      <c r="J1164" s="144" t="str">
        <v>Base</v>
      </c>
      <c r="K1164" s="144" t="str">
        <v/>
      </c>
      <c r="L1164" s="146">
        <v>9.1</v>
      </c>
      <c r="M1164" s="142">
        <v>501.6</v>
      </c>
      <c r="N1164" s="144" t="str">
        <v>Unknown</v>
      </c>
      <c r="O1164" s="142" t="str">
        <v/>
      </c>
      <c r="P1164" s="142" t="str">
        <v/>
      </c>
      <c r="Q1164" s="142">
        <v>55.120879120879124</v>
      </c>
      <c r="R1164" s="129" t="str">
        <v>Description – likely</v>
      </c>
      <c r="S1164" s="143" t="str">
        <v/>
      </c>
      <c r="T1164" s="144" t="str">
        <v>SRC-00</v>
      </c>
      <c r="U1164" s="129" t="str">
        <v>S+ row 389</v>
      </c>
      <c r="V1164" s="129" t="str">
        <v/>
      </c>
    </row>
    <row r="1165" spans="1:22" x14ac:dyDescent="0.2">
      <c r="A1165" s="144" t="str">
        <v>E3</v>
      </c>
      <c r="B1165" s="145">
        <v>6</v>
      </c>
      <c r="C1165" s="129" t="str">
        <v>Moderate Endoscopic Procedures e.g. ERCP, Oesophageal Stenting</v>
      </c>
      <c r="D1165" s="129" t="str">
        <v>E3 – Anaesthesia in Remote Locations / Endoscopy: Moderate Endoscopic Procedures</v>
      </c>
      <c r="E1165" s="129" t="str">
        <v>11 - Anaesthesia in Remote Locations</v>
      </c>
      <c r="F1165" s="129" t="str">
        <v>NZSA RVG</v>
      </c>
      <c r="G1165" s="144" t="str">
        <v>CON-10</v>
      </c>
      <c r="H1165" s="129" t="str">
        <v>Reference – units only</v>
      </c>
      <c r="I1165" s="144" t="str">
        <v>No</v>
      </c>
      <c r="J1165" s="144" t="str">
        <v>Base</v>
      </c>
      <c r="K1165" s="144" t="str">
        <v>E3</v>
      </c>
      <c r="L1165" s="146">
        <v>6</v>
      </c>
      <c r="M1165" s="142" t="str">
        <v/>
      </c>
      <c r="N1165" s="144" t="str">
        <v/>
      </c>
      <c r="O1165" s="142" t="str">
        <v/>
      </c>
      <c r="P1165" s="142" t="str">
        <v/>
      </c>
      <c r="Q1165" s="142">
        <v>0</v>
      </c>
      <c r="R1165" s="129" t="str">
        <v>RVG code</v>
      </c>
      <c r="S1165" s="143" t="str">
        <v/>
      </c>
      <c r="T1165" s="144" t="str">
        <v>SRC-01</v>
      </c>
      <c r="U1165" s="129" t="str">
        <v>p.11 – Anaesthesia in Remote Locations / Endoscopy</v>
      </c>
      <c r="V1165" s="129" t="str">
        <v>Reference units only – no $ fee (NZSA RVG 2021).</v>
      </c>
    </row>
    <row r="1166" spans="1:22" x14ac:dyDescent="0.2">
      <c r="A1166" s="144" t="str">
        <v>E3</v>
      </c>
      <c r="B1166" s="145">
        <v>6</v>
      </c>
      <c r="C1166" s="129" t="str">
        <v>POEM - Peroral Endoscopic Myotomy</v>
      </c>
      <c r="D1166" s="129" t="str">
        <v>E3 – Anaesthesia in Remote Locations / Endoscopy: Moderate Endoscopic Procedures</v>
      </c>
      <c r="E1166" s="129" t="str">
        <v>11 - Anaesthesia in Remote Locations</v>
      </c>
      <c r="F1166" s="129" t="str">
        <v>Solutions Plus</v>
      </c>
      <c r="G1166" s="144" t="str">
        <v>CON-01</v>
      </c>
      <c r="H1166" s="129" t="str">
        <v>To confirm</v>
      </c>
      <c r="I1166" s="144" t="str">
        <v>No</v>
      </c>
      <c r="J1166" s="144" t="str">
        <v>Base</v>
      </c>
      <c r="K1166" s="144" t="str">
        <v/>
      </c>
      <c r="L1166" s="146">
        <v>17</v>
      </c>
      <c r="M1166" s="142">
        <v>935</v>
      </c>
      <c r="N1166" s="144" t="str">
        <v>Unknown</v>
      </c>
      <c r="O1166" s="142" t="str">
        <v/>
      </c>
      <c r="P1166" s="142" t="str">
        <v/>
      </c>
      <c r="Q1166" s="142">
        <v>55</v>
      </c>
      <c r="R1166" s="129" t="str">
        <v>Description – likely</v>
      </c>
      <c r="S1166" s="143" t="str">
        <v/>
      </c>
      <c r="T1166" s="144" t="str">
        <v>SRC-00</v>
      </c>
      <c r="U1166" s="129" t="str">
        <v>S+ row 698</v>
      </c>
      <c r="V1166" s="129" t="str">
        <v/>
      </c>
    </row>
    <row r="1167" spans="1:22" x14ac:dyDescent="0.2">
      <c r="A1167" s="144" t="str">
        <v>E1</v>
      </c>
      <c r="B1167" s="145">
        <v>4</v>
      </c>
      <c r="C1167" s="129" t="str">
        <v>Sigmoidoscopy</v>
      </c>
      <c r="D1167" s="129" t="str">
        <v>E1 – Anaesthesia in Remote Locations / Endoscopy: Endoscopy Under Sedation [Gastroscopy, Colonoscopy - incl…</v>
      </c>
      <c r="E1167" s="129" t="str">
        <v>11 - Anaesthesia in Remote Locations</v>
      </c>
      <c r="F1167" s="129" t="str">
        <v>Solutions Plus</v>
      </c>
      <c r="G1167" s="144" t="str">
        <v>CON-01</v>
      </c>
      <c r="H1167" s="129" t="str">
        <v>To confirm</v>
      </c>
      <c r="I1167" s="144" t="str">
        <v>No</v>
      </c>
      <c r="J1167" s="144" t="str">
        <v>Base</v>
      </c>
      <c r="K1167" s="144" t="str">
        <v/>
      </c>
      <c r="L1167" s="146">
        <v>8.1</v>
      </c>
      <c r="M1167" s="142">
        <v>447.7</v>
      </c>
      <c r="N1167" s="144" t="str">
        <v>Unknown</v>
      </c>
      <c r="O1167" s="142" t="str">
        <v/>
      </c>
      <c r="P1167" s="142" t="str">
        <v/>
      </c>
      <c r="Q1167" s="142">
        <v>55.271604938271608</v>
      </c>
      <c r="R1167" s="129" t="str">
        <v>Description – likely</v>
      </c>
      <c r="S1167" s="143" t="str">
        <v/>
      </c>
      <c r="T1167" s="144" t="str">
        <v>SRC-00</v>
      </c>
      <c r="U1167" s="129" t="str">
        <v>S+ row 873</v>
      </c>
      <c r="V1167" s="129" t="str">
        <v/>
      </c>
    </row>
    <row r="1168" spans="1:22" x14ac:dyDescent="0.2">
      <c r="A1168" s="144" t="str">
        <v>E1</v>
      </c>
      <c r="B1168" s="145">
        <v>4</v>
      </c>
      <c r="C1168" s="129" t="str">
        <v>Split Account - Colonoscopy</v>
      </c>
      <c r="D1168" s="129" t="str">
        <v>E1 – Anaesthesia in Remote Locations / Endoscopy: Endoscopy Under Sedation [Gastroscopy, Colonoscopy - incl…</v>
      </c>
      <c r="E1168" s="129" t="str">
        <v>11 - Anaesthesia in Remote Locations</v>
      </c>
      <c r="F1168" s="129" t="str">
        <v>Solutions Plus</v>
      </c>
      <c r="G1168" s="144" t="str">
        <v>CON-01</v>
      </c>
      <c r="H1168" s="129" t="str">
        <v>To confirm</v>
      </c>
      <c r="I1168" s="144" t="str">
        <v>No</v>
      </c>
      <c r="J1168" s="144" t="str">
        <v>Base</v>
      </c>
      <c r="K1168" s="144" t="str">
        <v/>
      </c>
      <c r="L1168" s="146">
        <v>7.6</v>
      </c>
      <c r="M1168" s="142">
        <v>420.2</v>
      </c>
      <c r="N1168" s="144" t="str">
        <v>Unknown</v>
      </c>
      <c r="O1168" s="142" t="str">
        <v/>
      </c>
      <c r="P1168" s="142" t="str">
        <v/>
      </c>
      <c r="Q1168" s="142">
        <v>55.289473684210527</v>
      </c>
      <c r="R1168" s="129" t="str">
        <v>Description – likely</v>
      </c>
      <c r="S1168" s="143" t="str">
        <v/>
      </c>
      <c r="T1168" s="144" t="str">
        <v>SRC-00</v>
      </c>
      <c r="U1168" s="129" t="str">
        <v>S+ row 889</v>
      </c>
      <c r="V1168" s="129" t="str">
        <v/>
      </c>
    </row>
    <row r="1169" spans="1:22" x14ac:dyDescent="0.2">
      <c r="A1169" s="144" t="str">
        <v>E1</v>
      </c>
      <c r="B1169" s="145">
        <v>4</v>
      </c>
      <c r="C1169" s="129" t="str">
        <v>Split Account - Colonoscopy + Polypectomy</v>
      </c>
      <c r="D1169" s="129" t="str">
        <v>E1 – Anaesthesia in Remote Locations / Endoscopy: Endoscopy Under Sedation [Gastroscopy, Colonoscopy - incl…</v>
      </c>
      <c r="E1169" s="129" t="str">
        <v>11 - Anaesthesia in Remote Locations</v>
      </c>
      <c r="F1169" s="129" t="str">
        <v>Solutions Plus</v>
      </c>
      <c r="G1169" s="144" t="str">
        <v>CON-01</v>
      </c>
      <c r="H1169" s="129" t="str">
        <v>To confirm</v>
      </c>
      <c r="I1169" s="144" t="str">
        <v>No</v>
      </c>
      <c r="J1169" s="144" t="str">
        <v>Base</v>
      </c>
      <c r="K1169" s="144" t="str">
        <v/>
      </c>
      <c r="L1169" s="146">
        <v>7</v>
      </c>
      <c r="M1169" s="142">
        <v>385</v>
      </c>
      <c r="N1169" s="144" t="str">
        <v>Unknown</v>
      </c>
      <c r="O1169" s="142" t="str">
        <v/>
      </c>
      <c r="P1169" s="142" t="str">
        <v/>
      </c>
      <c r="Q1169" s="142">
        <v>55</v>
      </c>
      <c r="R1169" s="129" t="str">
        <v>Description – likely</v>
      </c>
      <c r="S1169" s="143" t="str">
        <v/>
      </c>
      <c r="T1169" s="144" t="str">
        <v>SRC-00</v>
      </c>
      <c r="U1169" s="129" t="str">
        <v>S+ row 890</v>
      </c>
      <c r="V1169" s="129" t="str">
        <v/>
      </c>
    </row>
    <row r="1170" spans="1:22" x14ac:dyDescent="0.2">
      <c r="A1170" s="144" t="str">
        <v>E1</v>
      </c>
      <c r="B1170" s="145">
        <v>4</v>
      </c>
      <c r="C1170" s="129" t="str">
        <v>Split Account - Flexible Sigmoidoscopy</v>
      </c>
      <c r="D1170" s="129" t="str">
        <v>E1 – Anaesthesia in Remote Locations / Endoscopy: Endoscopy Under Sedation [Gastroscopy, Colonoscopy - incl…</v>
      </c>
      <c r="E1170" s="129" t="str">
        <v>11 - Anaesthesia in Remote Locations</v>
      </c>
      <c r="F1170" s="129" t="str">
        <v>Solutions Plus</v>
      </c>
      <c r="G1170" s="144" t="str">
        <v>CON-01</v>
      </c>
      <c r="H1170" s="129" t="str">
        <v>To confirm</v>
      </c>
      <c r="I1170" s="144" t="str">
        <v>No</v>
      </c>
      <c r="J1170" s="144" t="str">
        <v>Base</v>
      </c>
      <c r="K1170" s="144" t="str">
        <v/>
      </c>
      <c r="L1170" s="146">
        <v>5.7</v>
      </c>
      <c r="M1170" s="142">
        <v>311.3</v>
      </c>
      <c r="N1170" s="144" t="str">
        <v>Unknown</v>
      </c>
      <c r="O1170" s="142" t="str">
        <v/>
      </c>
      <c r="P1170" s="142" t="str">
        <v/>
      </c>
      <c r="Q1170" s="142">
        <v>54.614035087719301</v>
      </c>
      <c r="R1170" s="129" t="str">
        <v>Description – likely</v>
      </c>
      <c r="S1170" s="143" t="str">
        <v/>
      </c>
      <c r="T1170" s="144" t="str">
        <v>SRC-00</v>
      </c>
      <c r="U1170" s="129" t="str">
        <v>S+ row 894</v>
      </c>
      <c r="V1170" s="129" t="str">
        <v/>
      </c>
    </row>
    <row r="1171" spans="1:22" x14ac:dyDescent="0.2">
      <c r="A1171" s="144" t="str">
        <v>E1</v>
      </c>
      <c r="B1171" s="145">
        <v>4</v>
      </c>
      <c r="C1171" s="129" t="str">
        <v>Split Account - Gastroscopy + Colonoscopy</v>
      </c>
      <c r="D1171" s="129" t="str">
        <v>E1 – Anaesthesia in Remote Locations / Endoscopy: Endoscopy Under Sedation [Gastroscopy, Colonoscopy - incl…</v>
      </c>
      <c r="E1171" s="129" t="str">
        <v>11 - Anaesthesia in Remote Locations</v>
      </c>
      <c r="F1171" s="129" t="str">
        <v>Solutions Plus</v>
      </c>
      <c r="G1171" s="144" t="str">
        <v>CON-01</v>
      </c>
      <c r="H1171" s="129" t="str">
        <v>To confirm</v>
      </c>
      <c r="I1171" s="144" t="str">
        <v>No</v>
      </c>
      <c r="J1171" s="144" t="str">
        <v>Base</v>
      </c>
      <c r="K1171" s="144" t="str">
        <v/>
      </c>
      <c r="L1171" s="146">
        <v>7.5</v>
      </c>
      <c r="M1171" s="142">
        <v>412.5</v>
      </c>
      <c r="N1171" s="144" t="str">
        <v>Unknown</v>
      </c>
      <c r="O1171" s="142" t="str">
        <v/>
      </c>
      <c r="P1171" s="142" t="str">
        <v/>
      </c>
      <c r="Q1171" s="142">
        <v>55</v>
      </c>
      <c r="R1171" s="129" t="str">
        <v>Description – likely</v>
      </c>
      <c r="S1171" s="143" t="str">
        <v/>
      </c>
      <c r="T1171" s="144" t="str">
        <v>SRC-00</v>
      </c>
      <c r="U1171" s="129" t="str">
        <v>S+ row 895</v>
      </c>
      <c r="V1171" s="129" t="str">
        <v/>
      </c>
    </row>
    <row r="1172" spans="1:22" x14ac:dyDescent="0.2">
      <c r="A1172" s="144" t="str">
        <v>M2</v>
      </c>
      <c r="B1172" s="145">
        <v>6</v>
      </c>
      <c r="C1172" s="129" t="str">
        <v>ESWL</v>
      </c>
      <c r="D1172" s="129" t="str">
        <v>M2 – Anaesthesia in Remote Locations / Miscellaneous: Extracorporeal Shockwave Lithotripsy</v>
      </c>
      <c r="E1172" s="129" t="str">
        <v>11 - Anaesthesia in Remote Locations</v>
      </c>
      <c r="F1172" s="129" t="str">
        <v>Solutions Plus</v>
      </c>
      <c r="G1172" s="144" t="str">
        <v>CON-01</v>
      </c>
      <c r="H1172" s="129" t="str">
        <v>To confirm</v>
      </c>
      <c r="I1172" s="144" t="str">
        <v>No</v>
      </c>
      <c r="J1172" s="144" t="str">
        <v>Base</v>
      </c>
      <c r="K1172" s="144" t="str">
        <v/>
      </c>
      <c r="L1172" s="146">
        <v>11.2</v>
      </c>
      <c r="M1172" s="142">
        <v>613.25</v>
      </c>
      <c r="N1172" s="144" t="str">
        <v>Unknown</v>
      </c>
      <c r="O1172" s="142" t="str">
        <v/>
      </c>
      <c r="P1172" s="142" t="str">
        <v/>
      </c>
      <c r="Q1172" s="142">
        <v>54.754464285714292</v>
      </c>
      <c r="R1172" s="129" t="str">
        <v>Description – exact</v>
      </c>
      <c r="S1172" s="143" t="str">
        <v/>
      </c>
      <c r="T1172" s="144" t="str">
        <v>SRC-00</v>
      </c>
      <c r="U1172" s="129" t="str">
        <v>S+ row 286</v>
      </c>
      <c r="V1172" s="129" t="str">
        <v/>
      </c>
    </row>
    <row r="1173" spans="1:22" x14ac:dyDescent="0.2">
      <c r="A1173" s="144" t="str">
        <v>M2</v>
      </c>
      <c r="B1173" s="145">
        <v>6</v>
      </c>
      <c r="C1173" s="129" t="str">
        <v>ESWL Left</v>
      </c>
      <c r="D1173" s="129" t="str">
        <v>M2 – Anaesthesia in Remote Locations / Miscellaneous: Extracorporeal Shockwave Lithotripsy</v>
      </c>
      <c r="E1173" s="129" t="str">
        <v>11 - Anaesthesia in Remote Locations</v>
      </c>
      <c r="F1173" s="129" t="str">
        <v>Solutions Plus</v>
      </c>
      <c r="G1173" s="144" t="str">
        <v>CON-01</v>
      </c>
      <c r="H1173" s="129" t="str">
        <v>To confirm</v>
      </c>
      <c r="I1173" s="144" t="str">
        <v>No</v>
      </c>
      <c r="J1173" s="144" t="str">
        <v>Base</v>
      </c>
      <c r="K1173" s="144" t="str">
        <v/>
      </c>
      <c r="L1173" s="146">
        <v>11.6</v>
      </c>
      <c r="M1173" s="142">
        <v>636.9</v>
      </c>
      <c r="N1173" s="144" t="str">
        <v>Unknown</v>
      </c>
      <c r="O1173" s="142" t="str">
        <v/>
      </c>
      <c r="P1173" s="142" t="str">
        <v/>
      </c>
      <c r="Q1173" s="142">
        <v>54.905172413793103</v>
      </c>
      <c r="R1173" s="129" t="str">
        <v>Description – exact</v>
      </c>
      <c r="S1173" s="143" t="str">
        <v/>
      </c>
      <c r="T1173" s="144" t="str">
        <v>SRC-00</v>
      </c>
      <c r="U1173" s="129" t="str">
        <v>S+ row 287</v>
      </c>
      <c r="V1173" s="129" t="str">
        <v/>
      </c>
    </row>
    <row r="1174" spans="1:22" x14ac:dyDescent="0.2">
      <c r="A1174" s="144" t="str">
        <v>M2</v>
      </c>
      <c r="B1174" s="145">
        <v>6</v>
      </c>
      <c r="C1174" s="129" t="str">
        <v>ESWL Right</v>
      </c>
      <c r="D1174" s="129" t="str">
        <v>M2 – Anaesthesia in Remote Locations / Miscellaneous: Extracorporeal Shockwave Lithotripsy</v>
      </c>
      <c r="E1174" s="129" t="str">
        <v>11 - Anaesthesia in Remote Locations</v>
      </c>
      <c r="F1174" s="129" t="str">
        <v>Solutions Plus</v>
      </c>
      <c r="G1174" s="144" t="str">
        <v>CON-01</v>
      </c>
      <c r="H1174" s="129" t="str">
        <v>To confirm</v>
      </c>
      <c r="I1174" s="144" t="str">
        <v>No</v>
      </c>
      <c r="J1174" s="144" t="str">
        <v>Base</v>
      </c>
      <c r="K1174" s="144" t="str">
        <v/>
      </c>
      <c r="L1174" s="146">
        <v>11.4</v>
      </c>
      <c r="M1174" s="142">
        <v>627</v>
      </c>
      <c r="N1174" s="144" t="str">
        <v>Unknown</v>
      </c>
      <c r="O1174" s="142" t="str">
        <v/>
      </c>
      <c r="P1174" s="142" t="str">
        <v/>
      </c>
      <c r="Q1174" s="142">
        <v>55</v>
      </c>
      <c r="R1174" s="129" t="str">
        <v>Description – exact</v>
      </c>
      <c r="S1174" s="143" t="str">
        <v/>
      </c>
      <c r="T1174" s="144" t="str">
        <v>SRC-00</v>
      </c>
      <c r="U1174" s="129" t="str">
        <v>S+ row 288</v>
      </c>
      <c r="V1174" s="129" t="str">
        <v/>
      </c>
    </row>
    <row r="1175" spans="1:22" x14ac:dyDescent="0.2">
      <c r="A1175" s="144" t="str">
        <v>M2</v>
      </c>
      <c r="B1175" s="145">
        <v>6</v>
      </c>
      <c r="C1175" s="129" t="str">
        <v>ESWL Right Kidney Stones</v>
      </c>
      <c r="D1175" s="129" t="str">
        <v>M2 – Anaesthesia in Remote Locations / Miscellaneous: Extracorporeal Shockwave Lithotripsy</v>
      </c>
      <c r="E1175" s="129" t="str">
        <v>11 - Anaesthesia in Remote Locations</v>
      </c>
      <c r="F1175" s="129" t="str">
        <v>Solutions Plus</v>
      </c>
      <c r="G1175" s="144" t="str">
        <v>CON-01</v>
      </c>
      <c r="H1175" s="129" t="str">
        <v>To confirm</v>
      </c>
      <c r="I1175" s="144" t="str">
        <v>No</v>
      </c>
      <c r="J1175" s="144" t="str">
        <v>Base</v>
      </c>
      <c r="K1175" s="144" t="str">
        <v/>
      </c>
      <c r="L1175" s="146">
        <v>11</v>
      </c>
      <c r="M1175" s="142">
        <v>605</v>
      </c>
      <c r="N1175" s="144" t="str">
        <v>Unknown</v>
      </c>
      <c r="O1175" s="142" t="str">
        <v/>
      </c>
      <c r="P1175" s="142" t="str">
        <v/>
      </c>
      <c r="Q1175" s="142">
        <v>55</v>
      </c>
      <c r="R1175" s="129" t="str">
        <v>Description – exact</v>
      </c>
      <c r="S1175" s="143" t="str">
        <v/>
      </c>
      <c r="T1175" s="144" t="str">
        <v>SRC-00</v>
      </c>
      <c r="U1175" s="129" t="str">
        <v>S+ row 289</v>
      </c>
      <c r="V1175" s="129" t="str">
        <v/>
      </c>
    </row>
    <row r="1176" spans="1:22" x14ac:dyDescent="0.2">
      <c r="A1176" s="144" t="str">
        <v>M2</v>
      </c>
      <c r="B1176" s="145">
        <v>6</v>
      </c>
      <c r="C1176" s="129" t="str">
        <v>Extracorporeal Shockwave Lithotripsy</v>
      </c>
      <c r="D1176" s="129" t="str">
        <v>M2 – Anaesthesia in Remote Locations / Miscellaneous: Extracorporeal Shockwave Lithotripsy</v>
      </c>
      <c r="E1176" s="129" t="str">
        <v>11 - Anaesthesia in Remote Locations</v>
      </c>
      <c r="F1176" s="129" t="str">
        <v>NZSA RVG</v>
      </c>
      <c r="G1176" s="144" t="str">
        <v>CON-10</v>
      </c>
      <c r="H1176" s="129" t="str">
        <v>Reference – units only</v>
      </c>
      <c r="I1176" s="144" t="str">
        <v>No</v>
      </c>
      <c r="J1176" s="144" t="str">
        <v>Base</v>
      </c>
      <c r="K1176" s="144" t="str">
        <v>M2</v>
      </c>
      <c r="L1176" s="146">
        <v>6</v>
      </c>
      <c r="M1176" s="142" t="str">
        <v/>
      </c>
      <c r="N1176" s="144" t="str">
        <v/>
      </c>
      <c r="O1176" s="142" t="str">
        <v/>
      </c>
      <c r="P1176" s="142" t="str">
        <v/>
      </c>
      <c r="Q1176" s="142">
        <v>0</v>
      </c>
      <c r="R1176" s="129" t="str">
        <v>RVG code</v>
      </c>
      <c r="S1176" s="143" t="str">
        <v/>
      </c>
      <c r="T1176" s="144" t="str">
        <v>SRC-01</v>
      </c>
      <c r="U1176" s="129" t="str">
        <v>p.11 – Anaesthesia in Remote Locations / Miscellaneous</v>
      </c>
      <c r="V1176" s="129" t="str">
        <v>Reference units only – no $ fee (NZSA RVG 2021).</v>
      </c>
    </row>
    <row r="1177" spans="1:22" x14ac:dyDescent="0.2">
      <c r="A1177" s="144" t="str">
        <v>M2</v>
      </c>
      <c r="B1177" s="145">
        <v>6</v>
      </c>
      <c r="C1177" s="129" t="str">
        <v>Left ESWL</v>
      </c>
      <c r="D1177" s="129" t="str">
        <v>M2 – Anaesthesia in Remote Locations / Miscellaneous: Extracorporeal Shockwave Lithotripsy</v>
      </c>
      <c r="E1177" s="129" t="str">
        <v>11 - Anaesthesia in Remote Locations</v>
      </c>
      <c r="F1177" s="129" t="str">
        <v>Solutions Plus</v>
      </c>
      <c r="G1177" s="144" t="str">
        <v>CON-01</v>
      </c>
      <c r="H1177" s="129" t="str">
        <v>To confirm</v>
      </c>
      <c r="I1177" s="144" t="str">
        <v>No</v>
      </c>
      <c r="J1177" s="144" t="str">
        <v>Base</v>
      </c>
      <c r="K1177" s="144" t="str">
        <v/>
      </c>
      <c r="L1177" s="146">
        <v>11.2</v>
      </c>
      <c r="M1177" s="142">
        <v>613.25</v>
      </c>
      <c r="N1177" s="144" t="str">
        <v>Unknown</v>
      </c>
      <c r="O1177" s="142" t="str">
        <v/>
      </c>
      <c r="P1177" s="142" t="str">
        <v/>
      </c>
      <c r="Q1177" s="142">
        <v>54.754464285714292</v>
      </c>
      <c r="R1177" s="129" t="str">
        <v>Description – exact</v>
      </c>
      <c r="S1177" s="143" t="str">
        <v/>
      </c>
      <c r="T1177" s="144" t="str">
        <v>SRC-00</v>
      </c>
      <c r="U1177" s="129" t="str">
        <v>S+ row 554</v>
      </c>
      <c r="V1177" s="129" t="str">
        <v/>
      </c>
    </row>
    <row r="1178" spans="1:22" x14ac:dyDescent="0.2">
      <c r="A1178" s="144" t="str">
        <v>M2</v>
      </c>
      <c r="B1178" s="145">
        <v>6</v>
      </c>
      <c r="C1178" s="129" t="str">
        <v>Left ESWL - CDHB</v>
      </c>
      <c r="D1178" s="129" t="str">
        <v>M2 – Anaesthesia in Remote Locations / Miscellaneous: Extracorporeal Shockwave Lithotripsy</v>
      </c>
      <c r="E1178" s="129" t="str">
        <v>11 - Anaesthesia in Remote Locations</v>
      </c>
      <c r="F1178" s="129" t="str">
        <v>Solutions Plus</v>
      </c>
      <c r="G1178" s="144" t="str">
        <v>CON-01</v>
      </c>
      <c r="H1178" s="129" t="str">
        <v>To confirm</v>
      </c>
      <c r="I1178" s="144" t="str">
        <v>No</v>
      </c>
      <c r="J1178" s="144" t="str">
        <v>Base</v>
      </c>
      <c r="K1178" s="144" t="str">
        <v/>
      </c>
      <c r="L1178" s="146">
        <v>11.4</v>
      </c>
      <c r="M1178" s="142">
        <v>624.79999999999995</v>
      </c>
      <c r="N1178" s="144" t="str">
        <v>Unknown</v>
      </c>
      <c r="O1178" s="142" t="str">
        <v/>
      </c>
      <c r="P1178" s="142" t="str">
        <v/>
      </c>
      <c r="Q1178" s="142">
        <v>54.807017543859644</v>
      </c>
      <c r="R1178" s="129" t="str">
        <v>Description – exact</v>
      </c>
      <c r="S1178" s="143" t="str">
        <v/>
      </c>
      <c r="T1178" s="144" t="str">
        <v>SRC-00</v>
      </c>
      <c r="U1178" s="129" t="str">
        <v>S+ row 555</v>
      </c>
      <c r="V1178" s="129" t="str">
        <v/>
      </c>
    </row>
    <row r="1179" spans="1:22" x14ac:dyDescent="0.2">
      <c r="A1179" s="144" t="str">
        <v>M2</v>
      </c>
      <c r="B1179" s="145">
        <v>6</v>
      </c>
      <c r="C1179" s="129" t="str">
        <v>Lithotripsy</v>
      </c>
      <c r="D1179" s="129" t="str">
        <v>M2 – Anaesthesia in Remote Locations / Miscellaneous: Extracorporeal Shockwave Lithotripsy</v>
      </c>
      <c r="E1179" s="129" t="str">
        <v>11 - Anaesthesia in Remote Locations</v>
      </c>
      <c r="F1179" s="129" t="str">
        <v>Solutions Plus</v>
      </c>
      <c r="G1179" s="144" t="str">
        <v>CON-01</v>
      </c>
      <c r="H1179" s="129" t="str">
        <v>To confirm</v>
      </c>
      <c r="I1179" s="144" t="str">
        <v>No</v>
      </c>
      <c r="J1179" s="144" t="str">
        <v>Base</v>
      </c>
      <c r="K1179" s="144" t="str">
        <v/>
      </c>
      <c r="L1179" s="146">
        <v>10.6</v>
      </c>
      <c r="M1179" s="142">
        <v>580.79999999999995</v>
      </c>
      <c r="N1179" s="144" t="str">
        <v>Unknown</v>
      </c>
      <c r="O1179" s="142" t="str">
        <v/>
      </c>
      <c r="P1179" s="142" t="str">
        <v/>
      </c>
      <c r="Q1179" s="142">
        <v>54.79245283018868</v>
      </c>
      <c r="R1179" s="129" t="str">
        <v>Description – likely</v>
      </c>
      <c r="S1179" s="143" t="str">
        <v/>
      </c>
      <c r="T1179" s="144" t="str">
        <v>SRC-00</v>
      </c>
      <c r="U1179" s="129" t="str">
        <v>S+ row 617</v>
      </c>
      <c r="V1179" s="129" t="str">
        <v/>
      </c>
    </row>
    <row r="1180" spans="1:22" x14ac:dyDescent="0.2">
      <c r="A1180" s="144" t="str">
        <v>M3</v>
      </c>
      <c r="B1180" s="145">
        <v>4</v>
      </c>
      <c r="C1180" s="129" t="str">
        <v>Medical Transport - Preparation, Monitoring, Ventilator, Circulatory Support</v>
      </c>
      <c r="D1180" s="129" t="str">
        <v>M3 – Anaesthesia in Remote Locations / Miscellaneous: Medical Transport - Preparation, Monitoring, Ventilator, …</v>
      </c>
      <c r="E1180" s="129" t="str">
        <v>11 - Anaesthesia in Remote Locations</v>
      </c>
      <c r="F1180" s="129" t="str">
        <v>NZSA RVG</v>
      </c>
      <c r="G1180" s="144" t="str">
        <v>CON-10</v>
      </c>
      <c r="H1180" s="129" t="str">
        <v>Reference – units only</v>
      </c>
      <c r="I1180" s="144" t="str">
        <v>No</v>
      </c>
      <c r="J1180" s="144" t="str">
        <v>Base</v>
      </c>
      <c r="K1180" s="144" t="str">
        <v>M3</v>
      </c>
      <c r="L1180" s="146" t="str">
        <v/>
      </c>
      <c r="M1180" s="142" t="str">
        <v/>
      </c>
      <c r="N1180" s="144" t="str">
        <v/>
      </c>
      <c r="O1180" s="142" t="str">
        <v/>
      </c>
      <c r="P1180" s="142" t="str">
        <v/>
      </c>
      <c r="Q1180" s="142" t="str">
        <v/>
      </c>
      <c r="R1180" s="129" t="str">
        <v>Unmatched</v>
      </c>
      <c r="S1180" s="143" t="str">
        <v/>
      </c>
      <c r="T1180" s="144" t="str">
        <v>SRC-01</v>
      </c>
      <c r="U1180" s="129" t="str">
        <v>p.11 – Anaesthesia in Remote Locations / Miscellaneous</v>
      </c>
      <c r="V1180" s="129" t="str">
        <v>Reference units only – no $ fee (NZSA RVG 2021). Units as printed: "4 + Time". Plus time units</v>
      </c>
    </row>
    <row r="1181" spans="1:22" x14ac:dyDescent="0.2">
      <c r="A1181" s="144" t="str">
        <v>M1</v>
      </c>
      <c r="B1181" s="145">
        <v>4</v>
      </c>
      <c r="C1181" s="129" t="str">
        <v>Minor Procedures e.g. Electroconvulsive Therapy</v>
      </c>
      <c r="D1181" s="129" t="str">
        <v>M1 – Anaesthesia in Remote Locations / Miscellaneous: Minor Procedures</v>
      </c>
      <c r="E1181" s="129" t="str">
        <v>11 - Anaesthesia in Remote Locations</v>
      </c>
      <c r="F1181" s="129" t="str">
        <v>NZSA RVG</v>
      </c>
      <c r="G1181" s="144" t="str">
        <v>CON-10</v>
      </c>
      <c r="H1181" s="129" t="str">
        <v>Reference – units only</v>
      </c>
      <c r="I1181" s="144" t="str">
        <v>No</v>
      </c>
      <c r="J1181" s="144" t="str">
        <v>Base</v>
      </c>
      <c r="K1181" s="144" t="str">
        <v>M1</v>
      </c>
      <c r="L1181" s="146">
        <v>4</v>
      </c>
      <c r="M1181" s="142" t="str">
        <v/>
      </c>
      <c r="N1181" s="144" t="str">
        <v/>
      </c>
      <c r="O1181" s="142" t="str">
        <v/>
      </c>
      <c r="P1181" s="142" t="str">
        <v/>
      </c>
      <c r="Q1181" s="142">
        <v>0</v>
      </c>
      <c r="R1181" s="129" t="str">
        <v>Unmatched</v>
      </c>
      <c r="S1181" s="143" t="str">
        <v/>
      </c>
      <c r="T1181" s="144" t="str">
        <v>SRC-01</v>
      </c>
      <c r="U1181" s="129" t="str">
        <v>p.11 – Anaesthesia in Remote Locations / Miscellaneous</v>
      </c>
      <c r="V1181" s="129" t="str">
        <v>Reference units only – no $ fee (NZSA RVG 2021).</v>
      </c>
    </row>
    <row r="1182" spans="1:22" x14ac:dyDescent="0.2">
      <c r="A1182" s="144" t="str">
        <v>M2</v>
      </c>
      <c r="B1182" s="145">
        <v>6</v>
      </c>
      <c r="C1182" s="129" t="str">
        <v>Right ESWL</v>
      </c>
      <c r="D1182" s="129" t="str">
        <v>M2 – Anaesthesia in Remote Locations / Miscellaneous: Extracorporeal Shockwave Lithotripsy</v>
      </c>
      <c r="E1182" s="129" t="str">
        <v>11 - Anaesthesia in Remote Locations</v>
      </c>
      <c r="F1182" s="129" t="str">
        <v>Solutions Plus</v>
      </c>
      <c r="G1182" s="144" t="str">
        <v>CON-01</v>
      </c>
      <c r="H1182" s="129" t="str">
        <v>To confirm</v>
      </c>
      <c r="I1182" s="144" t="str">
        <v>No</v>
      </c>
      <c r="J1182" s="144" t="str">
        <v>Base</v>
      </c>
      <c r="K1182" s="144" t="str">
        <v/>
      </c>
      <c r="L1182" s="146">
        <v>11.2</v>
      </c>
      <c r="M1182" s="142">
        <v>614.9</v>
      </c>
      <c r="N1182" s="144" t="str">
        <v>Unknown</v>
      </c>
      <c r="O1182" s="142" t="str">
        <v/>
      </c>
      <c r="P1182" s="142" t="str">
        <v/>
      </c>
      <c r="Q1182" s="142">
        <v>54.901785714285715</v>
      </c>
      <c r="R1182" s="129" t="str">
        <v>Description – exact</v>
      </c>
      <c r="S1182" s="143" t="str">
        <v/>
      </c>
      <c r="T1182" s="144" t="str">
        <v>SRC-00</v>
      </c>
      <c r="U1182" s="129" t="str">
        <v>S+ row 798</v>
      </c>
      <c r="V1182" s="129" t="str">
        <v/>
      </c>
    </row>
    <row r="1183" spans="1:22" x14ac:dyDescent="0.2">
      <c r="A1183" s="144" t="str">
        <v>M2</v>
      </c>
      <c r="B1183" s="145">
        <v>6</v>
      </c>
      <c r="C1183" s="129" t="str">
        <v>Right ESWL (renal) - CDHB</v>
      </c>
      <c r="D1183" s="129" t="str">
        <v>M2 – Anaesthesia in Remote Locations / Miscellaneous: Extracorporeal Shockwave Lithotripsy</v>
      </c>
      <c r="E1183" s="129" t="str">
        <v>11 - Anaesthesia in Remote Locations</v>
      </c>
      <c r="F1183" s="129" t="str">
        <v>Solutions Plus</v>
      </c>
      <c r="G1183" s="144" t="str">
        <v>CON-01</v>
      </c>
      <c r="H1183" s="129" t="str">
        <v>To confirm</v>
      </c>
      <c r="I1183" s="144" t="str">
        <v>No</v>
      </c>
      <c r="J1183" s="144" t="str">
        <v>Base</v>
      </c>
      <c r="K1183" s="144" t="str">
        <v/>
      </c>
      <c r="L1183" s="146">
        <v>10.5</v>
      </c>
      <c r="M1183" s="142">
        <v>577.5</v>
      </c>
      <c r="N1183" s="144" t="str">
        <v>Unknown</v>
      </c>
      <c r="O1183" s="142" t="str">
        <v/>
      </c>
      <c r="P1183" s="142" t="str">
        <v/>
      </c>
      <c r="Q1183" s="142">
        <v>55</v>
      </c>
      <c r="R1183" s="129" t="str">
        <v>Description – exact</v>
      </c>
      <c r="S1183" s="143" t="str">
        <v/>
      </c>
      <c r="T1183" s="144" t="str">
        <v>SRC-00</v>
      </c>
      <c r="U1183" s="129" t="str">
        <v>S+ row 799</v>
      </c>
      <c r="V1183" s="129" t="str">
        <v/>
      </c>
    </row>
    <row r="1184" spans="1:22" x14ac:dyDescent="0.2">
      <c r="A1184" s="144" t="str">
        <v>R1</v>
      </c>
      <c r="B1184" s="145">
        <v>5</v>
      </c>
      <c r="C1184" s="129" t="str">
        <v>Diagnostic Radiology e.g., CT Scan, PET Scan, MRI</v>
      </c>
      <c r="D1184" s="129" t="str">
        <v>R1 – Anaesthesia in Remote Locations / Radiology: Diagnostic Radiology</v>
      </c>
      <c r="E1184" s="129" t="str">
        <v>11 - Anaesthesia in Remote Locations</v>
      </c>
      <c r="F1184" s="129" t="str">
        <v>NZSA RVG</v>
      </c>
      <c r="G1184" s="144" t="str">
        <v>CON-10</v>
      </c>
      <c r="H1184" s="129" t="str">
        <v>Reference – units only</v>
      </c>
      <c r="I1184" s="144" t="str">
        <v>No</v>
      </c>
      <c r="J1184" s="144" t="str">
        <v>Base</v>
      </c>
      <c r="K1184" s="144" t="str">
        <v>R1</v>
      </c>
      <c r="L1184" s="146">
        <v>5</v>
      </c>
      <c r="M1184" s="142" t="str">
        <v/>
      </c>
      <c r="N1184" s="144" t="str">
        <v/>
      </c>
      <c r="O1184" s="142" t="str">
        <v/>
      </c>
      <c r="P1184" s="142" t="str">
        <v/>
      </c>
      <c r="Q1184" s="142">
        <v>0</v>
      </c>
      <c r="R1184" s="129" t="str">
        <v>RVG code</v>
      </c>
      <c r="S1184" s="143" t="str">
        <v/>
      </c>
      <c r="T1184" s="144" t="str">
        <v>SRC-01</v>
      </c>
      <c r="U1184" s="129" t="str">
        <v>p.11 – Anaesthesia in Remote Locations / Radiology</v>
      </c>
      <c r="V1184" s="129" t="str">
        <v>Reference units only – no $ fee (NZSA RVG 2021).</v>
      </c>
    </row>
    <row r="1185" spans="1:22" x14ac:dyDescent="0.2">
      <c r="A1185" s="144" t="str">
        <v>R1</v>
      </c>
      <c r="B1185" s="145">
        <v>5</v>
      </c>
      <c r="C1185" s="129" t="str">
        <v>Head Scan</v>
      </c>
      <c r="D1185" s="129" t="str">
        <v>R1 – Anaesthesia in Remote Locations / Radiology: Diagnostic Radiology</v>
      </c>
      <c r="E1185" s="129" t="str">
        <v>11 - Anaesthesia in Remote Locations</v>
      </c>
      <c r="F1185" s="129" t="str">
        <v>Solutions Plus</v>
      </c>
      <c r="G1185" s="144" t="str">
        <v>CON-01</v>
      </c>
      <c r="H1185" s="129" t="str">
        <v>To confirm</v>
      </c>
      <c r="I1185" s="144" t="str">
        <v>No</v>
      </c>
      <c r="J1185" s="144" t="str">
        <v>Base</v>
      </c>
      <c r="K1185" s="144" t="str">
        <v/>
      </c>
      <c r="L1185" s="146">
        <v>0</v>
      </c>
      <c r="M1185" s="142">
        <v>0</v>
      </c>
      <c r="N1185" s="144" t="str">
        <v>Unknown</v>
      </c>
      <c r="O1185" s="142" t="str">
        <v/>
      </c>
      <c r="P1185" s="142" t="str">
        <v/>
      </c>
      <c r="Q1185" s="142" t="str">
        <v/>
      </c>
      <c r="R1185" s="129" t="str">
        <v>Description – likely</v>
      </c>
      <c r="S1185" s="143" t="str">
        <v/>
      </c>
      <c r="T1185" s="144" t="str">
        <v>SRC-00</v>
      </c>
      <c r="U1185" s="129" t="str">
        <v>S+ row 405</v>
      </c>
      <c r="V1185" s="129" t="str">
        <v/>
      </c>
    </row>
    <row r="1186" spans="1:22" x14ac:dyDescent="0.2">
      <c r="A1186" s="144" t="str">
        <v>R2</v>
      </c>
      <c r="B1186" s="145">
        <v>6</v>
      </c>
      <c r="C1186" s="129" t="str">
        <v>Major Radiological Procedures e.g. Non-Cerebral Embolization, Non-Aortic Stenting</v>
      </c>
      <c r="D1186" s="129" t="str">
        <v>R2 – Anaesthesia in Remote Locations / Radiology: Major Radiological Procedures</v>
      </c>
      <c r="E1186" s="129" t="str">
        <v>11 - Anaesthesia in Remote Locations</v>
      </c>
      <c r="F1186" s="129" t="str">
        <v>NZSA RVG</v>
      </c>
      <c r="G1186" s="144" t="str">
        <v>CON-10</v>
      </c>
      <c r="H1186" s="129" t="str">
        <v>Reference – units only</v>
      </c>
      <c r="I1186" s="144" t="str">
        <v>No</v>
      </c>
      <c r="J1186" s="144" t="str">
        <v>Base</v>
      </c>
      <c r="K1186" s="144" t="str">
        <v>R2</v>
      </c>
      <c r="L1186" s="146" t="str">
        <v/>
      </c>
      <c r="M1186" s="142" t="str">
        <v/>
      </c>
      <c r="N1186" s="144" t="str">
        <v/>
      </c>
      <c r="O1186" s="142" t="str">
        <v/>
      </c>
      <c r="P1186" s="142" t="str">
        <v/>
      </c>
      <c r="Q1186" s="142" t="str">
        <v/>
      </c>
      <c r="R1186" s="129" t="str">
        <v>Unmatched</v>
      </c>
      <c r="S1186" s="143" t="str">
        <v/>
      </c>
      <c r="T1186" s="144" t="str">
        <v>SRC-01</v>
      </c>
      <c r="U1186" s="129" t="str">
        <v>p.11 – Anaesthesia in Remote Locations / Radiology</v>
      </c>
      <c r="V1186" s="129" t="str">
        <v>Reference units only – no $ fee (NZSA RVG 2021). Units as printed: "6-8" (lower bound in units columns). Printed as a range 6-8</v>
      </c>
    </row>
    <row r="1187" spans="1:22" x14ac:dyDescent="0.2">
      <c r="A1187" s="144" t="str">
        <v>R1</v>
      </c>
      <c r="B1187" s="145">
        <v>5</v>
      </c>
      <c r="C1187" s="129" t="str">
        <v>MRI</v>
      </c>
      <c r="D1187" s="129" t="str">
        <v>R1 – Anaesthesia in Remote Locations / Radiology: Diagnostic Radiology</v>
      </c>
      <c r="E1187" s="129" t="str">
        <v>11 - Anaesthesia in Remote Locations</v>
      </c>
      <c r="F1187" s="129" t="str">
        <v>Solutions Plus</v>
      </c>
      <c r="G1187" s="144" t="str">
        <v>CON-01</v>
      </c>
      <c r="H1187" s="129" t="str">
        <v>To confirm</v>
      </c>
      <c r="I1187" s="144" t="str">
        <v>No</v>
      </c>
      <c r="J1187" s="144" t="str">
        <v>Base</v>
      </c>
      <c r="K1187" s="144" t="str">
        <v/>
      </c>
      <c r="L1187" s="146">
        <v>16.5</v>
      </c>
      <c r="M1187" s="142">
        <v>907.5</v>
      </c>
      <c r="N1187" s="144" t="str">
        <v>Unknown</v>
      </c>
      <c r="O1187" s="142" t="str">
        <v/>
      </c>
      <c r="P1187" s="142" t="str">
        <v/>
      </c>
      <c r="Q1187" s="142">
        <v>55</v>
      </c>
      <c r="R1187" s="129" t="str">
        <v>Description – exact</v>
      </c>
      <c r="S1187" s="143" t="str">
        <v/>
      </c>
      <c r="T1187" s="144" t="str">
        <v>SRC-00</v>
      </c>
      <c r="U1187" s="129" t="str">
        <v>S+ row 648</v>
      </c>
      <c r="V1187" s="129" t="str">
        <v/>
      </c>
    </row>
    <row r="1188" spans="1:22" x14ac:dyDescent="0.2">
      <c r="A1188" s="144" t="str">
        <v>R1</v>
      </c>
      <c r="B1188" s="145">
        <v>5</v>
      </c>
      <c r="C1188" s="129" t="str">
        <v>MRI Cardiac PURCHASE ORDER NO: 335818</v>
      </c>
      <c r="D1188" s="129" t="str">
        <v>R1 – Anaesthesia in Remote Locations / Radiology: Diagnostic Radiology</v>
      </c>
      <c r="E1188" s="129" t="str">
        <v>11 - Anaesthesia in Remote Locations</v>
      </c>
      <c r="F1188" s="129" t="str">
        <v>Solutions Plus</v>
      </c>
      <c r="G1188" s="144" t="str">
        <v>CON-01</v>
      </c>
      <c r="H1188" s="129" t="str">
        <v>To confirm</v>
      </c>
      <c r="I1188" s="144" t="str">
        <v>No</v>
      </c>
      <c r="J1188" s="144" t="str">
        <v>Base</v>
      </c>
      <c r="K1188" s="144" t="str">
        <v/>
      </c>
      <c r="L1188" s="146">
        <v>16</v>
      </c>
      <c r="M1188" s="142">
        <v>880</v>
      </c>
      <c r="N1188" s="144" t="str">
        <v>Unknown</v>
      </c>
      <c r="O1188" s="142" t="str">
        <v/>
      </c>
      <c r="P1188" s="142" t="str">
        <v/>
      </c>
      <c r="Q1188" s="142">
        <v>55</v>
      </c>
      <c r="R1188" s="129" t="str">
        <v>Description – exact</v>
      </c>
      <c r="S1188" s="143" t="str">
        <v/>
      </c>
      <c r="T1188" s="144" t="str">
        <v>SRC-00</v>
      </c>
      <c r="U1188" s="129" t="str">
        <v>S+ row 649</v>
      </c>
      <c r="V1188" s="129" t="str">
        <v/>
      </c>
    </row>
    <row r="1189" spans="1:22" x14ac:dyDescent="0.2">
      <c r="A1189" s="144" t="str">
        <v>R3</v>
      </c>
      <c r="B1189" s="145">
        <v>10</v>
      </c>
      <c r="C1189" s="129" t="str">
        <v>Significant Radiological Procedures e.g. Cerebral Embolization, Aortic Stenting</v>
      </c>
      <c r="D1189" s="129" t="str">
        <v>R3 – Anaesthesia in Remote Locations / Radiology: Significant Radiological Procedures</v>
      </c>
      <c r="E1189" s="129" t="str">
        <v>11 - Anaesthesia in Remote Locations</v>
      </c>
      <c r="F1189" s="129" t="str">
        <v>NZSA RVG</v>
      </c>
      <c r="G1189" s="144" t="str">
        <v>CON-10</v>
      </c>
      <c r="H1189" s="129" t="str">
        <v>Reference – units only</v>
      </c>
      <c r="I1189" s="144" t="str">
        <v>No</v>
      </c>
      <c r="J1189" s="144" t="str">
        <v>Base</v>
      </c>
      <c r="K1189" s="144" t="str">
        <v>R3</v>
      </c>
      <c r="L1189" s="146">
        <v>10</v>
      </c>
      <c r="M1189" s="142" t="str">
        <v/>
      </c>
      <c r="N1189" s="144" t="str">
        <v/>
      </c>
      <c r="O1189" s="142" t="str">
        <v/>
      </c>
      <c r="P1189" s="142" t="str">
        <v/>
      </c>
      <c r="Q1189" s="142">
        <v>0</v>
      </c>
      <c r="R1189" s="129" t="str">
        <v>Unmatched</v>
      </c>
      <c r="S1189" s="143" t="str">
        <v/>
      </c>
      <c r="T1189" s="144" t="str">
        <v>SRC-01</v>
      </c>
      <c r="U1189" s="129" t="str">
        <v>p.11 – Anaesthesia in Remote Locations / Radiology</v>
      </c>
      <c r="V1189" s="129" t="str">
        <v>Reference units only – no $ fee (NZSA RVG 2021).</v>
      </c>
    </row>
    <row r="1190" spans="1:22" x14ac:dyDescent="0.2">
      <c r="A1190" s="144" t="str">
        <v>CP3</v>
      </c>
      <c r="B1190" s="145">
        <v>8</v>
      </c>
      <c r="C1190" s="129" t="str">
        <v>HIGH Complexity Decision Making</v>
      </c>
      <c r="D1190" s="129" t="str">
        <v>CP3 – Pain Consultations and Procedures / Consultation: HIGH Complexity Decision Making</v>
      </c>
      <c r="E1190" s="129" t="str">
        <v>12 - Pain Consultations and Procedures</v>
      </c>
      <c r="F1190" s="129" t="str">
        <v>NZSA RVG</v>
      </c>
      <c r="G1190" s="144" t="str">
        <v>CON-10</v>
      </c>
      <c r="H1190" s="129" t="str">
        <v>Reference – units only</v>
      </c>
      <c r="I1190" s="144" t="str">
        <v>No</v>
      </c>
      <c r="J1190" s="144" t="str">
        <v>Base</v>
      </c>
      <c r="K1190" s="144" t="str">
        <v>CP3</v>
      </c>
      <c r="L1190" s="146" t="str">
        <v/>
      </c>
      <c r="M1190" s="142" t="str">
        <v/>
      </c>
      <c r="N1190" s="144" t="str">
        <v/>
      </c>
      <c r="O1190" s="142" t="str">
        <v/>
      </c>
      <c r="P1190" s="142" t="str">
        <v/>
      </c>
      <c r="Q1190" s="142" t="str">
        <v/>
      </c>
      <c r="R1190" s="129" t="str">
        <v>Unmatched</v>
      </c>
      <c r="S1190" s="143" t="str">
        <v/>
      </c>
      <c r="T1190" s="144" t="str">
        <v>SRC-01</v>
      </c>
      <c r="U1190" s="129" t="str">
        <v>p.11 – Pain Consultations and Procedures / Consultation</v>
      </c>
      <c r="V1190" s="129" t="str">
        <v>Reference units only – no $ fee (NZSA RVG 2021). Units as printed: "8 + Time". Plus time units. Consultation for Chronic Pain Requiring History, Examination, and Decision Making</v>
      </c>
    </row>
    <row r="1191" spans="1:22" x14ac:dyDescent="0.2">
      <c r="A1191" s="144" t="str">
        <v>CP1</v>
      </c>
      <c r="B1191" s="145">
        <v>4</v>
      </c>
      <c r="C1191" s="129" t="str">
        <v>LOW Complexity Decision Making</v>
      </c>
      <c r="D1191" s="129" t="str">
        <v>CP1 – Pain Consultations and Procedures / Consultation: LOW Complexity Decision Making</v>
      </c>
      <c r="E1191" s="129" t="str">
        <v>12 - Pain Consultations and Procedures</v>
      </c>
      <c r="F1191" s="129" t="str">
        <v>NZSA RVG</v>
      </c>
      <c r="G1191" s="144" t="str">
        <v>CON-10</v>
      </c>
      <c r="H1191" s="129" t="str">
        <v>Reference – units only</v>
      </c>
      <c r="I1191" s="144" t="str">
        <v>No</v>
      </c>
      <c r="J1191" s="144" t="str">
        <v>Base</v>
      </c>
      <c r="K1191" s="144" t="str">
        <v>CP1</v>
      </c>
      <c r="L1191" s="146" t="str">
        <v/>
      </c>
      <c r="M1191" s="142" t="str">
        <v/>
      </c>
      <c r="N1191" s="144" t="str">
        <v/>
      </c>
      <c r="O1191" s="142" t="str">
        <v/>
      </c>
      <c r="P1191" s="142" t="str">
        <v/>
      </c>
      <c r="Q1191" s="142" t="str">
        <v/>
      </c>
      <c r="R1191" s="129" t="str">
        <v>Unmatched</v>
      </c>
      <c r="S1191" s="143" t="str">
        <v/>
      </c>
      <c r="T1191" s="144" t="str">
        <v>SRC-01</v>
      </c>
      <c r="U1191" s="129" t="str">
        <v>p.11 – Pain Consultations and Procedures / Consultation</v>
      </c>
      <c r="V1191" s="129" t="str">
        <v>Reference units only – no $ fee (NZSA RVG 2021). Units as printed: "4 + Time". Plus time units. Consultation for Chronic Pain Requiring History, Examination, and Decision Making</v>
      </c>
    </row>
    <row r="1192" spans="1:22" x14ac:dyDescent="0.2">
      <c r="A1192" s="144" t="str">
        <v>CP2</v>
      </c>
      <c r="B1192" s="145">
        <v>6</v>
      </c>
      <c r="C1192" s="129" t="str">
        <v>MEDIUM Complexity Decision Making</v>
      </c>
      <c r="D1192" s="129" t="str">
        <v>CP2 – Pain Consultations and Procedures / Consultation: MEDIUM Complexity Decision Making</v>
      </c>
      <c r="E1192" s="129" t="str">
        <v>12 - Pain Consultations and Procedures</v>
      </c>
      <c r="F1192" s="129" t="str">
        <v>NZSA RVG</v>
      </c>
      <c r="G1192" s="144" t="str">
        <v>CON-10</v>
      </c>
      <c r="H1192" s="129" t="str">
        <v>Reference – units only</v>
      </c>
      <c r="I1192" s="144" t="str">
        <v>No</v>
      </c>
      <c r="J1192" s="144" t="str">
        <v>Base</v>
      </c>
      <c r="K1192" s="144" t="str">
        <v>CP2</v>
      </c>
      <c r="L1192" s="146" t="str">
        <v/>
      </c>
      <c r="M1192" s="142" t="str">
        <v/>
      </c>
      <c r="N1192" s="144" t="str">
        <v/>
      </c>
      <c r="O1192" s="142" t="str">
        <v/>
      </c>
      <c r="P1192" s="142" t="str">
        <v/>
      </c>
      <c r="Q1192" s="142" t="str">
        <v/>
      </c>
      <c r="R1192" s="129" t="str">
        <v>Unmatched</v>
      </c>
      <c r="S1192" s="143" t="str">
        <v/>
      </c>
      <c r="T1192" s="144" t="str">
        <v>SRC-01</v>
      </c>
      <c r="U1192" s="129" t="str">
        <v>p.11 – Pain Consultations and Procedures / Consultation</v>
      </c>
      <c r="V1192" s="129" t="str">
        <v>Reference units only – no $ fee (NZSA RVG 2021). Units as printed: "6 + Time". Plus time units. Consultation for Chronic Pain Requiring History, Examination, and Decision Making</v>
      </c>
    </row>
    <row r="1193" spans="1:22" x14ac:dyDescent="0.2">
      <c r="A1193" s="144" t="str">
        <v>CP5</v>
      </c>
      <c r="B1193" s="145">
        <v>6</v>
      </c>
      <c r="C1193" s="129" t="str">
        <v>Regional Blocks</v>
      </c>
      <c r="D1193" s="129" t="str">
        <v>CP5 – Pain Consultations and Procedures / Procedures: Regional Blocks</v>
      </c>
      <c r="E1193" s="129" t="str">
        <v>12 - Pain Consultations and Procedures</v>
      </c>
      <c r="F1193" s="129" t="str">
        <v>NZSA RVG</v>
      </c>
      <c r="G1193" s="144" t="str">
        <v>CON-10</v>
      </c>
      <c r="H1193" s="129" t="str">
        <v>Reference – units only</v>
      </c>
      <c r="I1193" s="144" t="str">
        <v>No</v>
      </c>
      <c r="J1193" s="144" t="str">
        <v>Base</v>
      </c>
      <c r="K1193" s="144" t="str">
        <v>CP5</v>
      </c>
      <c r="L1193" s="146" t="str">
        <v/>
      </c>
      <c r="M1193" s="142" t="str">
        <v/>
      </c>
      <c r="N1193" s="144" t="str">
        <v/>
      </c>
      <c r="O1193" s="142" t="str">
        <v/>
      </c>
      <c r="P1193" s="142" t="str">
        <v/>
      </c>
      <c r="Q1193" s="142" t="str">
        <v/>
      </c>
      <c r="R1193" s="129" t="str">
        <v>Unmatched</v>
      </c>
      <c r="S1193" s="143" t="str">
        <v/>
      </c>
      <c r="T1193" s="144" t="str">
        <v>SRC-01</v>
      </c>
      <c r="U1193" s="129" t="str">
        <v>p.11 – Pain Consultations and Procedures / Procedures</v>
      </c>
      <c r="V1193" s="129" t="str">
        <v>Reference units only – no $ fee (NZSA RVG 2021). Units as printed: "6 + Time". Plus time units. NB: multiple procedures on one case at one time – ONE base unit charged plus time</v>
      </c>
    </row>
    <row r="1194" spans="1:22" x14ac:dyDescent="0.2">
      <c r="A1194" s="144" t="str">
        <v>CP6</v>
      </c>
      <c r="B1194" s="145">
        <v>8</v>
      </c>
      <c r="C1194" s="129" t="str">
        <v>Spinal Procedures</v>
      </c>
      <c r="D1194" s="129" t="str">
        <v>CP6 – Pain Consultations and Procedures / Procedures: Spinal Procedures</v>
      </c>
      <c r="E1194" s="129" t="str">
        <v>12 - Pain Consultations and Procedures</v>
      </c>
      <c r="F1194" s="129" t="str">
        <v>NZSA RVG</v>
      </c>
      <c r="G1194" s="144" t="str">
        <v>CON-10</v>
      </c>
      <c r="H1194" s="129" t="str">
        <v>Reference – units only</v>
      </c>
      <c r="I1194" s="144" t="str">
        <v>No</v>
      </c>
      <c r="J1194" s="144" t="str">
        <v>Base</v>
      </c>
      <c r="K1194" s="144" t="str">
        <v>CP6</v>
      </c>
      <c r="L1194" s="146" t="str">
        <v/>
      </c>
      <c r="M1194" s="142" t="str">
        <v/>
      </c>
      <c r="N1194" s="144" t="str">
        <v/>
      </c>
      <c r="O1194" s="142" t="str">
        <v/>
      </c>
      <c r="P1194" s="142" t="str">
        <v/>
      </c>
      <c r="Q1194" s="142" t="str">
        <v/>
      </c>
      <c r="R1194" s="129" t="str">
        <v>Unmatched</v>
      </c>
      <c r="S1194" s="143" t="str">
        <v/>
      </c>
      <c r="T1194" s="144" t="str">
        <v>SRC-01</v>
      </c>
      <c r="U1194" s="129" t="str">
        <v>p.11 – Pain Consultations and Procedures / Procedures</v>
      </c>
      <c r="V1194" s="129" t="str">
        <v>Reference units only – no $ fee (NZSA RVG 2021). Units as printed: "8 + Time". Plus time units. NB: multiple procedures on one case at one time – ONE base unit charged plus time</v>
      </c>
    </row>
    <row r="1195" spans="1:22" x14ac:dyDescent="0.2">
      <c r="A1195" s="144" t="str">
        <v>CP4</v>
      </c>
      <c r="B1195" s="145">
        <v>4</v>
      </c>
      <c r="C1195" s="129" t="str">
        <v>Trigger Point Injections/Infusions</v>
      </c>
      <c r="D1195" s="129" t="str">
        <v>CP4 – Pain Consultations and Procedures / Procedures: Trigger Point Injections/Infusions</v>
      </c>
      <c r="E1195" s="129" t="str">
        <v>12 - Pain Consultations and Procedures</v>
      </c>
      <c r="F1195" s="129" t="str">
        <v>NZSA RVG</v>
      </c>
      <c r="G1195" s="144" t="str">
        <v>CON-10</v>
      </c>
      <c r="H1195" s="129" t="str">
        <v>Reference – units only</v>
      </c>
      <c r="I1195" s="144" t="str">
        <v>No</v>
      </c>
      <c r="J1195" s="144" t="str">
        <v>Base</v>
      </c>
      <c r="K1195" s="144" t="str">
        <v>CP4</v>
      </c>
      <c r="L1195" s="146" t="str">
        <v/>
      </c>
      <c r="M1195" s="142" t="str">
        <v/>
      </c>
      <c r="N1195" s="144" t="str">
        <v/>
      </c>
      <c r="O1195" s="142" t="str">
        <v/>
      </c>
      <c r="P1195" s="142" t="str">
        <v/>
      </c>
      <c r="Q1195" s="142" t="str">
        <v/>
      </c>
      <c r="R1195" s="129" t="str">
        <v>Unmatched</v>
      </c>
      <c r="S1195" s="143" t="str">
        <v/>
      </c>
      <c r="T1195" s="144" t="str">
        <v>SRC-01</v>
      </c>
      <c r="U1195" s="129" t="str">
        <v>p.11 – Pain Consultations and Procedures / Procedures</v>
      </c>
      <c r="V1195" s="129" t="str">
        <v>Reference units only – no $ fee (NZSA RVG 2021). Units as printed: "4 + Time". Plus time units. NB: multiple procedures on one case at one time – ONE base unit charged plus time</v>
      </c>
    </row>
    <row r="1196" spans="1:22" x14ac:dyDescent="0.2">
      <c r="A1196" s="144" t="str">
        <v>TIME-T2</v>
      </c>
      <c r="B1196" s="145">
        <v>1</v>
      </c>
      <c r="C1196" s="129" t="str">
        <v>Every 10 Minutes of part thereof [From the start of the THIRD hour]</v>
      </c>
      <c r="D1196" s="129" t="str">
        <v>T2 – Billing for time: Every 10 Minutes of part thereof [From the start of the T…</v>
      </c>
      <c r="E1196" s="129" t="str">
        <v>13 - Billing for time</v>
      </c>
      <c r="F1196" s="129" t="str">
        <v>NZSA RVG</v>
      </c>
      <c r="G1196" s="144" t="str">
        <v>CON-10</v>
      </c>
      <c r="H1196" s="129" t="str">
        <v>Reference – units only</v>
      </c>
      <c r="I1196" s="144" t="str">
        <v>No</v>
      </c>
      <c r="J1196" s="144" t="str">
        <v>Time band</v>
      </c>
      <c r="K1196" s="144" t="str">
        <v>T2</v>
      </c>
      <c r="L1196" s="146">
        <v>1</v>
      </c>
      <c r="M1196" s="142" t="str">
        <v/>
      </c>
      <c r="N1196" s="144" t="str">
        <v/>
      </c>
      <c r="O1196" s="142" t="str">
        <v/>
      </c>
      <c r="P1196" s="142" t="str">
        <v/>
      </c>
      <c r="Q1196" s="142">
        <v>0</v>
      </c>
      <c r="R1196" s="129" t="str">
        <v>Unmatched</v>
      </c>
      <c r="S1196" s="143" t="str">
        <v/>
      </c>
      <c r="T1196" s="144" t="str">
        <v>SRC-01</v>
      </c>
      <c r="U1196" s="129" t="str">
        <v>p.12 – Billing for time</v>
      </c>
      <c r="V1196" s="129" t="str">
        <v>Reference units only – no $ fee (NZSA RVG 2021). Printed code T2 – clashes with Breast T2</v>
      </c>
    </row>
    <row r="1197" spans="1:22" x14ac:dyDescent="0.2">
      <c r="A1197" s="144" t="str">
        <v>TIME-T1</v>
      </c>
      <c r="B1197" s="145">
        <v>1</v>
      </c>
      <c r="C1197" s="129" t="str">
        <v>Every 15 Minutes or part thereof [For the first TWO hours]</v>
      </c>
      <c r="D1197" s="129" t="str">
        <v>T1 – Billing for time: Every 15 Minutes or part thereof [For the first TWO hours]</v>
      </c>
      <c r="E1197" s="129" t="str">
        <v>13 - Billing for time</v>
      </c>
      <c r="F1197" s="129" t="str">
        <v>NZSA RVG</v>
      </c>
      <c r="G1197" s="144" t="str">
        <v>CON-10</v>
      </c>
      <c r="H1197" s="129" t="str">
        <v>Reference – units only</v>
      </c>
      <c r="I1197" s="144" t="str">
        <v>No</v>
      </c>
      <c r="J1197" s="144" t="str">
        <v>Time band</v>
      </c>
      <c r="K1197" s="144" t="str">
        <v>T1</v>
      </c>
      <c r="L1197" s="146">
        <v>1</v>
      </c>
      <c r="M1197" s="142" t="str">
        <v/>
      </c>
      <c r="N1197" s="144" t="str">
        <v/>
      </c>
      <c r="O1197" s="142" t="str">
        <v/>
      </c>
      <c r="P1197" s="142" t="str">
        <v/>
      </c>
      <c r="Q1197" s="142">
        <v>0</v>
      </c>
      <c r="R1197" s="129" t="str">
        <v>Unmatched</v>
      </c>
      <c r="S1197" s="143" t="str">
        <v/>
      </c>
      <c r="T1197" s="144" t="str">
        <v>SRC-01</v>
      </c>
      <c r="U1197" s="129" t="str">
        <v>p.12 – Billing for time</v>
      </c>
      <c r="V1197" s="129" t="str">
        <v>Reference units only – no $ fee (NZSA RVG 2021). Printed code T1 – clashes with Thorax T1</v>
      </c>
    </row>
    <row r="1198" spans="1:22" x14ac:dyDescent="0.2">
      <c r="A1198" s="144" t="str">
        <v>MOD-A2</v>
      </c>
      <c r="B1198" s="145">
        <v>2</v>
      </c>
      <c r="C1198" s="129" t="str">
        <v>Age &lt; 1 year old and/but &gt; 80-year-old</v>
      </c>
      <c r="D1198" s="129" t="str">
        <v>A2 – Billing for modifying factors: Age &lt; 1 year old and/but &gt; 80-year-old</v>
      </c>
      <c r="E1198" s="129" t="str">
        <v>14 - Billing for modifying factors</v>
      </c>
      <c r="F1198" s="129" t="str">
        <v>NZSA RVG</v>
      </c>
      <c r="G1198" s="144" t="str">
        <v>CON-10</v>
      </c>
      <c r="H1198" s="129" t="str">
        <v>Reference – units only</v>
      </c>
      <c r="I1198" s="144" t="str">
        <v>No</v>
      </c>
      <c r="J1198" s="144" t="str">
        <v>Add-on</v>
      </c>
      <c r="K1198" s="144" t="str">
        <v>A2</v>
      </c>
      <c r="L1198" s="146">
        <v>2</v>
      </c>
      <c r="M1198" s="142" t="str">
        <v/>
      </c>
      <c r="N1198" s="144" t="str">
        <v/>
      </c>
      <c r="O1198" s="142" t="str">
        <v/>
      </c>
      <c r="P1198" s="142" t="str">
        <v/>
      </c>
      <c r="Q1198" s="142">
        <v>0</v>
      </c>
      <c r="R1198" s="129" t="str">
        <v>Unmatched</v>
      </c>
      <c r="S1198" s="143" t="str">
        <v/>
      </c>
      <c r="T1198" s="144" t="str">
        <v>SRC-01</v>
      </c>
      <c r="U1198" s="129" t="str">
        <v>p.12 – Billing for modifying factors</v>
      </c>
      <c r="V1198" s="129" t="str">
        <v>Reference units only – no $ fee (NZSA RVG 2021). Printed code A2 – clashes with Abdomen A2</v>
      </c>
    </row>
    <row r="1199" spans="1:22" x14ac:dyDescent="0.2">
      <c r="A1199" s="144" t="str">
        <v>MOD-A1</v>
      </c>
      <c r="B1199" s="145">
        <v>1</v>
      </c>
      <c r="C1199" s="129" t="str">
        <v>Age &gt;1, and/but &lt;2, 70-80-year-old</v>
      </c>
      <c r="D1199" s="129" t="str">
        <v>A1 – Billing for modifying factors: Age &gt;1, and/but &lt;2, 70-80-year-old</v>
      </c>
      <c r="E1199" s="129" t="str">
        <v>14 - Billing for modifying factors</v>
      </c>
      <c r="F1199" s="129" t="str">
        <v>NZSA RVG</v>
      </c>
      <c r="G1199" s="144" t="str">
        <v>CON-10</v>
      </c>
      <c r="H1199" s="129" t="str">
        <v>Reference – units only</v>
      </c>
      <c r="I1199" s="144" t="str">
        <v>No</v>
      </c>
      <c r="J1199" s="144" t="str">
        <v>Add-on</v>
      </c>
      <c r="K1199" s="144" t="str">
        <v>A1</v>
      </c>
      <c r="L1199" s="146">
        <v>1</v>
      </c>
      <c r="M1199" s="142" t="str">
        <v/>
      </c>
      <c r="N1199" s="144" t="str">
        <v/>
      </c>
      <c r="O1199" s="142" t="str">
        <v/>
      </c>
      <c r="P1199" s="142" t="str">
        <v/>
      </c>
      <c r="Q1199" s="142">
        <v>0</v>
      </c>
      <c r="R1199" s="129" t="str">
        <v>Unmatched</v>
      </c>
      <c r="S1199" s="143" t="str">
        <v/>
      </c>
      <c r="T1199" s="144" t="str">
        <v>SRC-01</v>
      </c>
      <c r="U1199" s="129" t="str">
        <v>p.12 – Billing for modifying factors</v>
      </c>
      <c r="V1199" s="129" t="str">
        <v>Reference units only – no $ fee (NZSA RVG 2021). Printed code A1 – clashes with Abdomen A1</v>
      </c>
    </row>
    <row r="1200" spans="1:22" x14ac:dyDescent="0.2">
      <c r="A1200" s="144" t="str">
        <v>MOD-P1</v>
      </c>
      <c r="B1200" s="145">
        <v>2</v>
      </c>
      <c r="C1200" s="129" t="str">
        <v>Any position that is non-supine, non- lithotomy, or non-lateral IF not already accounted for (It is included in Spine and Neuro Base units)</v>
      </c>
      <c r="D1200" s="129" t="str">
        <v>P1 – Billing for modifying factors: Any position that is non-supine, non- lithotomy, or non-l…</v>
      </c>
      <c r="E1200" s="129" t="str">
        <v>14 - Billing for modifying factors</v>
      </c>
      <c r="F1200" s="129" t="str">
        <v>NZSA RVG</v>
      </c>
      <c r="G1200" s="144" t="str">
        <v>CON-10</v>
      </c>
      <c r="H1200" s="129" t="str">
        <v>Reference – units only</v>
      </c>
      <c r="I1200" s="144" t="str">
        <v>No</v>
      </c>
      <c r="J1200" s="144" t="str">
        <v>Add-on</v>
      </c>
      <c r="K1200" s="144" t="str">
        <v>P1</v>
      </c>
      <c r="L1200" s="146">
        <v>2</v>
      </c>
      <c r="M1200" s="142" t="str">
        <v/>
      </c>
      <c r="N1200" s="144" t="str">
        <v/>
      </c>
      <c r="O1200" s="142" t="str">
        <v/>
      </c>
      <c r="P1200" s="142" t="str">
        <v/>
      </c>
      <c r="Q1200" s="142">
        <v>0</v>
      </c>
      <c r="R1200" s="129" t="str">
        <v>Unmatched</v>
      </c>
      <c r="S1200" s="143" t="str">
        <v/>
      </c>
      <c r="T1200" s="144" t="str">
        <v>SRC-01</v>
      </c>
      <c r="U1200" s="129" t="str">
        <v>p.12 – Billing for modifying factors</v>
      </c>
      <c r="V1200" s="129" t="str">
        <v>Reference units only – no $ fee (NZSA RVG 2021). Printed code P1 – clashes with Perineum P1</v>
      </c>
    </row>
    <row r="1201" spans="1:22" x14ac:dyDescent="0.2">
      <c r="A1201" s="144" t="str">
        <v>AS1</v>
      </c>
      <c r="B1201" s="145">
        <v>0</v>
      </c>
      <c r="C1201" s="129" t="str">
        <v>ASA I or II</v>
      </c>
      <c r="D1201" s="129" t="str">
        <v>AS1 – Billing for modifying factors: ASA I or II</v>
      </c>
      <c r="E1201" s="129" t="str">
        <v>14 - Billing for modifying factors</v>
      </c>
      <c r="F1201" s="129" t="str">
        <v>NZSA RVG</v>
      </c>
      <c r="G1201" s="144" t="str">
        <v>CON-10</v>
      </c>
      <c r="H1201" s="129" t="str">
        <v>Reference – units only</v>
      </c>
      <c r="I1201" s="144" t="str">
        <v>No</v>
      </c>
      <c r="J1201" s="144" t="str">
        <v>Add-on</v>
      </c>
      <c r="K1201" s="144" t="str">
        <v>AS1</v>
      </c>
      <c r="L1201" s="146">
        <v>0</v>
      </c>
      <c r="M1201" s="142" t="str">
        <v/>
      </c>
      <c r="N1201" s="144" t="str">
        <v/>
      </c>
      <c r="O1201" s="142" t="str">
        <v/>
      </c>
      <c r="P1201" s="142" t="str">
        <v/>
      </c>
      <c r="Q1201" s="142" t="str">
        <v/>
      </c>
      <c r="R1201" s="129" t="str">
        <v>Unmatched</v>
      </c>
      <c r="S1201" s="143" t="str">
        <v/>
      </c>
      <c r="T1201" s="144" t="str">
        <v>SRC-01</v>
      </c>
      <c r="U1201" s="129" t="str">
        <v>p.12 – Billing for modifying factors</v>
      </c>
      <c r="V1201" s="129" t="str">
        <v>Reference units only – no $ fee (NZSA RVG 2021).</v>
      </c>
    </row>
    <row r="1202" spans="1:22" x14ac:dyDescent="0.2">
      <c r="A1202" s="144" t="str">
        <v>AS3</v>
      </c>
      <c r="B1202" s="145">
        <v>2</v>
      </c>
      <c r="C1202" s="129" t="str">
        <v>ASA III</v>
      </c>
      <c r="D1202" s="129" t="str">
        <v>AS3 – Billing for modifying factors: ASA III</v>
      </c>
      <c r="E1202" s="129" t="str">
        <v>14 - Billing for modifying factors</v>
      </c>
      <c r="F1202" s="129" t="str">
        <v>NZSA RVG</v>
      </c>
      <c r="G1202" s="144" t="str">
        <v>CON-10</v>
      </c>
      <c r="H1202" s="129" t="str">
        <v>Reference – units only</v>
      </c>
      <c r="I1202" s="144" t="str">
        <v>No</v>
      </c>
      <c r="J1202" s="144" t="str">
        <v>Add-on</v>
      </c>
      <c r="K1202" s="144" t="str">
        <v>AS3</v>
      </c>
      <c r="L1202" s="146">
        <v>2</v>
      </c>
      <c r="M1202" s="142" t="str">
        <v/>
      </c>
      <c r="N1202" s="144" t="str">
        <v/>
      </c>
      <c r="O1202" s="142" t="str">
        <v/>
      </c>
      <c r="P1202" s="142" t="str">
        <v/>
      </c>
      <c r="Q1202" s="142">
        <v>0</v>
      </c>
      <c r="R1202" s="129" t="str">
        <v>Unmatched</v>
      </c>
      <c r="S1202" s="143" t="str">
        <v/>
      </c>
      <c r="T1202" s="144" t="str">
        <v>SRC-01</v>
      </c>
      <c r="U1202" s="129" t="str">
        <v>p.12 – Billing for modifying factors</v>
      </c>
      <c r="V1202" s="129" t="str">
        <v>Reference units only – no $ fee (NZSA RVG 2021).</v>
      </c>
    </row>
    <row r="1203" spans="1:22" x14ac:dyDescent="0.2">
      <c r="A1203" s="144" t="str">
        <v>AS4</v>
      </c>
      <c r="B1203" s="145">
        <v>4</v>
      </c>
      <c r="C1203" s="129" t="str">
        <v>ASA IV</v>
      </c>
      <c r="D1203" s="129" t="str">
        <v>AS4 – Billing for modifying factors: ASA IV</v>
      </c>
      <c r="E1203" s="129" t="str">
        <v>14 - Billing for modifying factors</v>
      </c>
      <c r="F1203" s="129" t="str">
        <v>NZSA RVG</v>
      </c>
      <c r="G1203" s="144" t="str">
        <v>CON-10</v>
      </c>
      <c r="H1203" s="129" t="str">
        <v>Reference – units only</v>
      </c>
      <c r="I1203" s="144" t="str">
        <v>No</v>
      </c>
      <c r="J1203" s="144" t="str">
        <v>Add-on</v>
      </c>
      <c r="K1203" s="144" t="str">
        <v>AS4</v>
      </c>
      <c r="L1203" s="146">
        <v>4</v>
      </c>
      <c r="M1203" s="142" t="str">
        <v/>
      </c>
      <c r="N1203" s="144" t="str">
        <v/>
      </c>
      <c r="O1203" s="142" t="str">
        <v/>
      </c>
      <c r="P1203" s="142" t="str">
        <v/>
      </c>
      <c r="Q1203" s="142">
        <v>0</v>
      </c>
      <c r="R1203" s="129" t="str">
        <v>Unmatched</v>
      </c>
      <c r="S1203" s="143" t="str">
        <v/>
      </c>
      <c r="T1203" s="144" t="str">
        <v>SRC-01</v>
      </c>
      <c r="U1203" s="129" t="str">
        <v>p.12 – Billing for modifying factors</v>
      </c>
      <c r="V1203" s="129" t="str">
        <v>Reference units only – no $ fee (NZSA RVG 2021).</v>
      </c>
    </row>
    <row r="1204" spans="1:22" x14ac:dyDescent="0.2">
      <c r="A1204" s="144" t="str">
        <v>AI1</v>
      </c>
      <c r="B1204" s="145">
        <v>2</v>
      </c>
      <c r="C1204" s="129" t="str">
        <v>Awake Intubation - However accomplished</v>
      </c>
      <c r="D1204" s="129" t="str">
        <v>AI1 – Billing for modifying factors: Awake Intubation - However accomplished</v>
      </c>
      <c r="E1204" s="129" t="str">
        <v>14 - Billing for modifying factors</v>
      </c>
      <c r="F1204" s="129" t="str">
        <v>NZSA RVG</v>
      </c>
      <c r="G1204" s="144" t="str">
        <v>CON-10</v>
      </c>
      <c r="H1204" s="129" t="str">
        <v>Reference – units only</v>
      </c>
      <c r="I1204" s="144" t="str">
        <v>No</v>
      </c>
      <c r="J1204" s="144" t="str">
        <v>Add-on</v>
      </c>
      <c r="K1204" s="144" t="str">
        <v>AI1</v>
      </c>
      <c r="L1204" s="146">
        <v>2</v>
      </c>
      <c r="M1204" s="142" t="str">
        <v/>
      </c>
      <c r="N1204" s="144" t="str">
        <v/>
      </c>
      <c r="O1204" s="142" t="str">
        <v/>
      </c>
      <c r="P1204" s="142" t="str">
        <v/>
      </c>
      <c r="Q1204" s="142">
        <v>0</v>
      </c>
      <c r="R1204" s="129" t="str">
        <v>Unmatched</v>
      </c>
      <c r="S1204" s="143" t="str">
        <v/>
      </c>
      <c r="T1204" s="144" t="str">
        <v>SRC-01</v>
      </c>
      <c r="U1204" s="129" t="str">
        <v>p.12 – Billing for modifying factors</v>
      </c>
      <c r="V1204" s="129" t="str">
        <v>Reference units only – no $ fee (NZSA RVG 2021).</v>
      </c>
    </row>
    <row r="1205" spans="1:22" x14ac:dyDescent="0.2">
      <c r="A1205" s="144" t="str">
        <v>OB1</v>
      </c>
      <c r="B1205" s="145">
        <v>0</v>
      </c>
      <c r="C1205" s="129" t="str">
        <v>BMI &lt; 35</v>
      </c>
      <c r="D1205" s="129" t="str">
        <v>OB1 – Billing for modifying factors: BMI &lt; 35</v>
      </c>
      <c r="E1205" s="129" t="str">
        <v>14 - Billing for modifying factors</v>
      </c>
      <c r="F1205" s="129" t="str">
        <v>NZSA RVG</v>
      </c>
      <c r="G1205" s="144" t="str">
        <v>CON-10</v>
      </c>
      <c r="H1205" s="129" t="str">
        <v>Reference – units only</v>
      </c>
      <c r="I1205" s="144" t="str">
        <v>No</v>
      </c>
      <c r="J1205" s="144" t="str">
        <v>Add-on</v>
      </c>
      <c r="K1205" s="144" t="str">
        <v>OB1</v>
      </c>
      <c r="L1205" s="146">
        <v>0</v>
      </c>
      <c r="M1205" s="142" t="str">
        <v/>
      </c>
      <c r="N1205" s="144" t="str">
        <v/>
      </c>
      <c r="O1205" s="142" t="str">
        <v/>
      </c>
      <c r="P1205" s="142" t="str">
        <v/>
      </c>
      <c r="Q1205" s="142" t="str">
        <v/>
      </c>
      <c r="R1205" s="129" t="str">
        <v>Unmatched</v>
      </c>
      <c r="S1205" s="143" t="str">
        <v/>
      </c>
      <c r="T1205" s="144" t="str">
        <v>SRC-01</v>
      </c>
      <c r="U1205" s="129" t="str">
        <v>p.12 – Billing for modifying factors</v>
      </c>
      <c r="V1205" s="129" t="str">
        <v>Reference units only – no $ fee (NZSA RVG 2021).</v>
      </c>
    </row>
    <row r="1206" spans="1:22" x14ac:dyDescent="0.2">
      <c r="A1206" s="144" t="str">
        <v>OB3</v>
      </c>
      <c r="B1206" s="145">
        <v>2</v>
      </c>
      <c r="C1206" s="129" t="str">
        <v>BMI &gt; 40</v>
      </c>
      <c r="D1206" s="129" t="str">
        <v>OB3 – Billing for modifying factors: BMI &gt; 40</v>
      </c>
      <c r="E1206" s="129" t="str">
        <v>14 - Billing for modifying factors</v>
      </c>
      <c r="F1206" s="129" t="str">
        <v>NZSA RVG</v>
      </c>
      <c r="G1206" s="144" t="str">
        <v>CON-10</v>
      </c>
      <c r="H1206" s="129" t="str">
        <v>Reference – units only</v>
      </c>
      <c r="I1206" s="144" t="str">
        <v>No</v>
      </c>
      <c r="J1206" s="144" t="str">
        <v>Add-on</v>
      </c>
      <c r="K1206" s="144" t="str">
        <v>OB3</v>
      </c>
      <c r="L1206" s="146">
        <v>2</v>
      </c>
      <c r="M1206" s="142" t="str">
        <v/>
      </c>
      <c r="N1206" s="144" t="str">
        <v/>
      </c>
      <c r="O1206" s="142" t="str">
        <v/>
      </c>
      <c r="P1206" s="142" t="str">
        <v/>
      </c>
      <c r="Q1206" s="142">
        <v>0</v>
      </c>
      <c r="R1206" s="129" t="str">
        <v>Unmatched</v>
      </c>
      <c r="S1206" s="143" t="str">
        <v/>
      </c>
      <c r="T1206" s="144" t="str">
        <v>SRC-01</v>
      </c>
      <c r="U1206" s="129" t="str">
        <v>p.12 – Billing for modifying factors</v>
      </c>
      <c r="V1206" s="129" t="str">
        <v>Reference units only – no $ fee (NZSA RVG 2021).</v>
      </c>
    </row>
    <row r="1207" spans="1:22" x14ac:dyDescent="0.2">
      <c r="A1207" s="144" t="str">
        <v>OB4</v>
      </c>
      <c r="B1207" s="145">
        <v>3</v>
      </c>
      <c r="C1207" s="129" t="str">
        <v>BMI &gt; 50</v>
      </c>
      <c r="D1207" s="129" t="str">
        <v>OB4 – Billing for modifying factors: BMI &gt; 50</v>
      </c>
      <c r="E1207" s="129" t="str">
        <v>14 - Billing for modifying factors</v>
      </c>
      <c r="F1207" s="129" t="str">
        <v>NZSA RVG</v>
      </c>
      <c r="G1207" s="144" t="str">
        <v>CON-10</v>
      </c>
      <c r="H1207" s="129" t="str">
        <v>Reference – units only</v>
      </c>
      <c r="I1207" s="144" t="str">
        <v>No</v>
      </c>
      <c r="J1207" s="144" t="str">
        <v>Add-on</v>
      </c>
      <c r="K1207" s="144" t="str">
        <v>OB4</v>
      </c>
      <c r="L1207" s="146">
        <v>3</v>
      </c>
      <c r="M1207" s="142" t="str">
        <v/>
      </c>
      <c r="N1207" s="144" t="str">
        <v/>
      </c>
      <c r="O1207" s="142" t="str">
        <v/>
      </c>
      <c r="P1207" s="142" t="str">
        <v/>
      </c>
      <c r="Q1207" s="142">
        <v>0</v>
      </c>
      <c r="R1207" s="129" t="str">
        <v>Unmatched</v>
      </c>
      <c r="S1207" s="143" t="str">
        <v/>
      </c>
      <c r="T1207" s="144" t="str">
        <v>SRC-01</v>
      </c>
      <c r="U1207" s="129" t="str">
        <v>p.12 – Billing for modifying factors</v>
      </c>
      <c r="V1207" s="129" t="str">
        <v>Reference units only – no $ fee (NZSA RVG 2021).</v>
      </c>
    </row>
    <row r="1208" spans="1:22" x14ac:dyDescent="0.2">
      <c r="A1208" s="144" t="str">
        <v>OB2</v>
      </c>
      <c r="B1208" s="145">
        <v>1</v>
      </c>
      <c r="C1208" s="129" t="str">
        <v>BMI 35 - 40</v>
      </c>
      <c r="D1208" s="129" t="str">
        <v>OB2 – Billing for modifying factors: BMI 35 - 40</v>
      </c>
      <c r="E1208" s="129" t="str">
        <v>14 - Billing for modifying factors</v>
      </c>
      <c r="F1208" s="129" t="str">
        <v>NZSA RVG</v>
      </c>
      <c r="G1208" s="144" t="str">
        <v>CON-10</v>
      </c>
      <c r="H1208" s="129" t="str">
        <v>Reference – units only</v>
      </c>
      <c r="I1208" s="144" t="str">
        <v>No</v>
      </c>
      <c r="J1208" s="144" t="str">
        <v>Add-on</v>
      </c>
      <c r="K1208" s="144" t="str">
        <v>OB2</v>
      </c>
      <c r="L1208" s="146">
        <v>1</v>
      </c>
      <c r="M1208" s="142" t="str">
        <v/>
      </c>
      <c r="N1208" s="144" t="str">
        <v/>
      </c>
      <c r="O1208" s="142" t="str">
        <v/>
      </c>
      <c r="P1208" s="142" t="str">
        <v/>
      </c>
      <c r="Q1208" s="142">
        <v>0</v>
      </c>
      <c r="R1208" s="129" t="str">
        <v>Unmatched</v>
      </c>
      <c r="S1208" s="143" t="str">
        <v/>
      </c>
      <c r="T1208" s="144" t="str">
        <v>SRC-01</v>
      </c>
      <c r="U1208" s="129" t="str">
        <v>p.12 – Billing for modifying factors</v>
      </c>
      <c r="V1208" s="129" t="str">
        <v>Reference units only – no $ fee (NZSA RVG 2021).</v>
      </c>
    </row>
    <row r="1209" spans="1:22" x14ac:dyDescent="0.2">
      <c r="A1209" s="144" t="str">
        <v>PA5</v>
      </c>
      <c r="B1209" s="145">
        <v>2</v>
      </c>
      <c r="C1209" s="129" t="str">
        <v>Cancellation of Case on Day of Surgery [After Complex Pre-assessment]</v>
      </c>
      <c r="D1209" s="129" t="str">
        <v>PA5 – Billing for modifying factors: Cancellation of Case on Day of Surgery [After Complex Pre…</v>
      </c>
      <c r="E1209" s="129" t="str">
        <v>14 - Billing for modifying factors</v>
      </c>
      <c r="F1209" s="129" t="str">
        <v>NZSA RVG</v>
      </c>
      <c r="G1209" s="144" t="str">
        <v>CON-10</v>
      </c>
      <c r="H1209" s="129" t="str">
        <v>Reference – units only</v>
      </c>
      <c r="I1209" s="144" t="str">
        <v>No</v>
      </c>
      <c r="J1209" s="144" t="str">
        <v>Add-on</v>
      </c>
      <c r="K1209" s="144" t="str">
        <v>PA5</v>
      </c>
      <c r="L1209" s="146" t="str">
        <v/>
      </c>
      <c r="M1209" s="142" t="str">
        <v/>
      </c>
      <c r="N1209" s="144" t="str">
        <v/>
      </c>
      <c r="O1209" s="142" t="str">
        <v/>
      </c>
      <c r="P1209" s="142" t="str">
        <v/>
      </c>
      <c r="Q1209" s="142" t="str">
        <v/>
      </c>
      <c r="R1209" s="129" t="str">
        <v>Unmatched</v>
      </c>
      <c r="S1209" s="143" t="str">
        <v/>
      </c>
      <c r="T1209" s="144" t="str">
        <v>SRC-01</v>
      </c>
      <c r="U1209" s="129" t="str">
        <v>p.12 – Billing for modifying factors</v>
      </c>
      <c r="V1209" s="129" t="str">
        <v>Reference units only – no $ fee (NZSA RVG 2021). Units as printed: "2 [Max]". Maximum 2 units</v>
      </c>
    </row>
    <row r="1210" spans="1:22" x14ac:dyDescent="0.2">
      <c r="A1210" s="144" t="str">
        <v>POC3b</v>
      </c>
      <c r="B1210" s="145">
        <v>2</v>
      </c>
      <c r="C1210" s="129" t="str">
        <v>Complex Postop Visit</v>
      </c>
      <c r="D1210" s="129" t="str">
        <v>POC3b – Billing for modifying factors: Complex Ward/PACU Review with significant documented mana…</v>
      </c>
      <c r="E1210" s="129" t="str">
        <v>14 - Billing for modifying factors</v>
      </c>
      <c r="F1210" s="129" t="str">
        <v>Solutions Plus</v>
      </c>
      <c r="G1210" s="144" t="str">
        <v>CON-01</v>
      </c>
      <c r="H1210" s="129" t="str">
        <v>To confirm</v>
      </c>
      <c r="I1210" s="144" t="str">
        <v>No</v>
      </c>
      <c r="J1210" s="144" t="str">
        <v>Base</v>
      </c>
      <c r="K1210" s="144" t="str">
        <v/>
      </c>
      <c r="L1210" s="146">
        <v>6</v>
      </c>
      <c r="M1210" s="142">
        <v>330</v>
      </c>
      <c r="N1210" s="144" t="str">
        <v>Unknown</v>
      </c>
      <c r="O1210" s="142" t="str">
        <v/>
      </c>
      <c r="P1210" s="142" t="str">
        <v/>
      </c>
      <c r="Q1210" s="142">
        <v>55</v>
      </c>
      <c r="R1210" s="129" t="str">
        <v>Description – likely</v>
      </c>
      <c r="S1210" s="143" t="str">
        <v/>
      </c>
      <c r="T1210" s="144" t="str">
        <v>SRC-00</v>
      </c>
      <c r="U1210" s="129" t="str">
        <v>S+ row 211</v>
      </c>
      <c r="V1210" s="129" t="str">
        <v/>
      </c>
    </row>
    <row r="1211" spans="1:22" x14ac:dyDescent="0.2">
      <c r="A1211" s="144" t="str">
        <v>POC3b</v>
      </c>
      <c r="B1211" s="145">
        <v>2</v>
      </c>
      <c r="C1211" s="129" t="str">
        <v>Complex Ward/PACU Review with significant documented management issues</v>
      </c>
      <c r="D1211" s="129" t="str">
        <v>POC3b – Billing for modifying factors: Complex Ward/PACU Review with significant documented mana…</v>
      </c>
      <c r="E1211" s="129" t="str">
        <v>14 - Billing for modifying factors</v>
      </c>
      <c r="F1211" s="129" t="str">
        <v>NZSA RVG</v>
      </c>
      <c r="G1211" s="144" t="str">
        <v>CON-10</v>
      </c>
      <c r="H1211" s="129" t="str">
        <v>Reference – units only</v>
      </c>
      <c r="I1211" s="144" t="str">
        <v>No</v>
      </c>
      <c r="J1211" s="144" t="str">
        <v>Add-on</v>
      </c>
      <c r="K1211" s="144" t="str">
        <v>POC3b</v>
      </c>
      <c r="L1211" s="146" t="str">
        <v/>
      </c>
      <c r="M1211" s="142" t="str">
        <v/>
      </c>
      <c r="N1211" s="144" t="str">
        <v/>
      </c>
      <c r="O1211" s="142" t="str">
        <v/>
      </c>
      <c r="P1211" s="142" t="str">
        <v/>
      </c>
      <c r="Q1211" s="142" t="str">
        <v/>
      </c>
      <c r="R1211" s="129" t="str">
        <v>RVG code</v>
      </c>
      <c r="S1211" s="143" t="str">
        <v/>
      </c>
      <c r="T1211" s="144" t="str">
        <v>SRC-01</v>
      </c>
      <c r="U1211" s="129" t="str">
        <v>p.13 – Billing for modifying factors</v>
      </c>
      <c r="V1211" s="129" t="str">
        <v>Reference units only – no $ fee (NZSA RVG 2021). Units as printed: "2 + Time". Plus time units</v>
      </c>
    </row>
    <row r="1212" spans="1:22" x14ac:dyDescent="0.2">
      <c r="A1212" s="144" t="str">
        <v>EAA1</v>
      </c>
      <c r="B1212" s="145">
        <v>4</v>
      </c>
      <c r="C1212" s="129" t="str">
        <v>Elective Additional Anaesthetic Assistance [Discuss with patient + payer pre-surgery if possible]</v>
      </c>
      <c r="D1212" s="129" t="str">
        <v>EAA1 – Billing for modifying factors: Elective Additional Anaesthetic Assistance [Discuss with …</v>
      </c>
      <c r="E1212" s="129" t="str">
        <v>14 - Billing for modifying factors</v>
      </c>
      <c r="F1212" s="129" t="str">
        <v>NZSA RVG</v>
      </c>
      <c r="G1212" s="144" t="str">
        <v>CON-10</v>
      </c>
      <c r="H1212" s="129" t="str">
        <v>Reference – units only</v>
      </c>
      <c r="I1212" s="144" t="str">
        <v>No</v>
      </c>
      <c r="J1212" s="144" t="str">
        <v>Add-on</v>
      </c>
      <c r="K1212" s="144" t="str">
        <v>EAA1</v>
      </c>
      <c r="L1212" s="146">
        <v>4</v>
      </c>
      <c r="M1212" s="142" t="str">
        <v/>
      </c>
      <c r="N1212" s="144" t="str">
        <v/>
      </c>
      <c r="O1212" s="142" t="str">
        <v/>
      </c>
      <c r="P1212" s="142" t="str">
        <v/>
      </c>
      <c r="Q1212" s="142">
        <v>0</v>
      </c>
      <c r="R1212" s="129" t="str">
        <v>Unmatched</v>
      </c>
      <c r="S1212" s="143" t="str">
        <v/>
      </c>
      <c r="T1212" s="144" t="str">
        <v>SRC-01</v>
      </c>
      <c r="U1212" s="129" t="str">
        <v>p.13 – Billing for modifying factors</v>
      </c>
      <c r="V1212" s="129" t="str">
        <v>Reference units only – no $ fee (NZSA RVG 2021).</v>
      </c>
    </row>
    <row r="1213" spans="1:22" x14ac:dyDescent="0.2">
      <c r="A1213" s="144" t="str">
        <v>ASE</v>
      </c>
      <c r="B1213" s="145">
        <v>2</v>
      </c>
      <c r="C1213" s="129" t="str">
        <v>Emergency case</v>
      </c>
      <c r="D1213" s="129" t="str">
        <v>ASE – Billing for modifying factors: Emergency case</v>
      </c>
      <c r="E1213" s="129" t="str">
        <v>14 - Billing for modifying factors</v>
      </c>
      <c r="F1213" s="129" t="str">
        <v>NZSA RVG</v>
      </c>
      <c r="G1213" s="144" t="str">
        <v>CON-10</v>
      </c>
      <c r="H1213" s="129" t="str">
        <v>Reference – units only</v>
      </c>
      <c r="I1213" s="144" t="str">
        <v>No</v>
      </c>
      <c r="J1213" s="144" t="str">
        <v>Add-on</v>
      </c>
      <c r="K1213" s="144" t="str">
        <v>ASE</v>
      </c>
      <c r="L1213" s="146">
        <v>2</v>
      </c>
      <c r="M1213" s="142" t="str">
        <v/>
      </c>
      <c r="N1213" s="144" t="str">
        <v/>
      </c>
      <c r="O1213" s="142" t="str">
        <v/>
      </c>
      <c r="P1213" s="142" t="str">
        <v/>
      </c>
      <c r="Q1213" s="142">
        <v>0</v>
      </c>
      <c r="R1213" s="129" t="str">
        <v>Unmatched</v>
      </c>
      <c r="S1213" s="143" t="str">
        <v/>
      </c>
      <c r="T1213" s="144" t="str">
        <v>SRC-01</v>
      </c>
      <c r="U1213" s="129" t="str">
        <v>p.12 – Billing for modifying factors</v>
      </c>
      <c r="V1213" s="129" t="str">
        <v>Reference units only – no $ fee (NZSA RVG 2021).</v>
      </c>
    </row>
    <row r="1214" spans="1:22" x14ac:dyDescent="0.2">
      <c r="A1214" s="144" t="str">
        <v>PA4</v>
      </c>
      <c r="B1214" s="145">
        <v>2</v>
      </c>
      <c r="C1214" s="129" t="str">
        <v>Face-To-Face Pre-assessment – On Day Of Surgery – Complex [Complex Assessment + Management Of Significant Issues]</v>
      </c>
      <c r="D1214" s="129" t="str">
        <v>PA4 – Billing for modifying factors: Face-To-Face Pre-assessment – On Day Of Surgery – Complex…</v>
      </c>
      <c r="E1214" s="129" t="str">
        <v>14 - Billing for modifying factors</v>
      </c>
      <c r="F1214" s="129" t="str">
        <v>NZSA RVG</v>
      </c>
      <c r="G1214" s="144" t="str">
        <v>CON-10</v>
      </c>
      <c r="H1214" s="129" t="str">
        <v>Reference – units only</v>
      </c>
      <c r="I1214" s="144" t="str">
        <v>No</v>
      </c>
      <c r="J1214" s="144" t="str">
        <v>Add-on</v>
      </c>
      <c r="K1214" s="144" t="str">
        <v>PA4</v>
      </c>
      <c r="L1214" s="146">
        <v>2</v>
      </c>
      <c r="M1214" s="142" t="str">
        <v/>
      </c>
      <c r="N1214" s="144" t="str">
        <v/>
      </c>
      <c r="O1214" s="142" t="str">
        <v/>
      </c>
      <c r="P1214" s="142" t="str">
        <v/>
      </c>
      <c r="Q1214" s="142">
        <v>0</v>
      </c>
      <c r="R1214" s="129" t="str">
        <v>Unmatched</v>
      </c>
      <c r="S1214" s="143" t="str">
        <v/>
      </c>
      <c r="T1214" s="144" t="str">
        <v>SRC-01</v>
      </c>
      <c r="U1214" s="129" t="str">
        <v>p.12 – Billing for modifying factors</v>
      </c>
      <c r="V1214" s="129" t="str">
        <v>Reference units only – no $ fee (NZSA RVG 2021).</v>
      </c>
    </row>
    <row r="1215" spans="1:22" x14ac:dyDescent="0.2">
      <c r="A1215" s="144" t="str">
        <v>PA3</v>
      </c>
      <c r="B1215" s="145">
        <v>2</v>
      </c>
      <c r="C1215" s="129" t="str">
        <v>Face-To-Face Pre-assessment – Prior To Day Of Surgery [Maximum 4 Units]</v>
      </c>
      <c r="D1215" s="129" t="str">
        <v>PA3 – Billing for modifying factors: Face-To-Face Pre-assessment – Prior To Day Of Surgery [Ma…</v>
      </c>
      <c r="E1215" s="129" t="str">
        <v>14 - Billing for modifying factors</v>
      </c>
      <c r="F1215" s="129" t="str">
        <v>NZSA RVG</v>
      </c>
      <c r="G1215" s="144" t="str">
        <v>CON-10</v>
      </c>
      <c r="H1215" s="129" t="str">
        <v>Reference – units only</v>
      </c>
      <c r="I1215" s="144" t="str">
        <v>No</v>
      </c>
      <c r="J1215" s="144" t="str">
        <v>Add-on</v>
      </c>
      <c r="K1215" s="144" t="str">
        <v>PA3</v>
      </c>
      <c r="L1215" s="146" t="str">
        <v/>
      </c>
      <c r="M1215" s="142" t="str">
        <v/>
      </c>
      <c r="N1215" s="144" t="str">
        <v/>
      </c>
      <c r="O1215" s="142" t="str">
        <v/>
      </c>
      <c r="P1215" s="142" t="str">
        <v/>
      </c>
      <c r="Q1215" s="142" t="str">
        <v/>
      </c>
      <c r="R1215" s="129" t="str">
        <v>Unmatched</v>
      </c>
      <c r="S1215" s="143" t="str">
        <v/>
      </c>
      <c r="T1215" s="144" t="str">
        <v>SRC-01</v>
      </c>
      <c r="U1215" s="129" t="str">
        <v>p.12 – Billing for modifying factors</v>
      </c>
      <c r="V1215" s="129" t="str">
        <v>Reference units only – no $ fee (NZSA RVG 2021). Units as printed: "2 + Time". Plus time; maximum 4 units</v>
      </c>
    </row>
    <row r="1216" spans="1:22" x14ac:dyDescent="0.2">
      <c r="A1216" s="144" t="str">
        <v>POC2a</v>
      </c>
      <c r="B1216" s="145">
        <v>4</v>
      </c>
      <c r="C1216" s="129" t="str">
        <v>HDU Care: Anaesthetist At Home Providing Cover per day</v>
      </c>
      <c r="D1216" s="129" t="str">
        <v>POC2a – Billing for modifying factors: HDU Care: Anaesthetist At Home Providing Cover per day</v>
      </c>
      <c r="E1216" s="129" t="str">
        <v>14 - Billing for modifying factors</v>
      </c>
      <c r="F1216" s="129" t="str">
        <v>NZSA RVG</v>
      </c>
      <c r="G1216" s="144" t="str">
        <v>CON-10</v>
      </c>
      <c r="H1216" s="129" t="str">
        <v>Reference – units only</v>
      </c>
      <c r="I1216" s="144" t="str">
        <v>No</v>
      </c>
      <c r="J1216" s="144" t="str">
        <v>Add-on</v>
      </c>
      <c r="K1216" s="144" t="str">
        <v>POC2a</v>
      </c>
      <c r="L1216" s="146" t="str">
        <v/>
      </c>
      <c r="M1216" s="142" t="str">
        <v/>
      </c>
      <c r="N1216" s="144" t="str">
        <v/>
      </c>
      <c r="O1216" s="142" t="str">
        <v/>
      </c>
      <c r="P1216" s="142" t="str">
        <v/>
      </c>
      <c r="Q1216" s="142" t="str">
        <v/>
      </c>
      <c r="R1216" s="129" t="str">
        <v>Unmatched</v>
      </c>
      <c r="S1216" s="143" t="str">
        <v/>
      </c>
      <c r="T1216" s="144" t="str">
        <v>SRC-01</v>
      </c>
      <c r="U1216" s="129" t="str">
        <v>p.13 – Billing for modifying factors</v>
      </c>
      <c r="V1216" s="129" t="str">
        <v>Reference units only – no $ fee (NZSA RVG 2021). Units as printed: "4-6" (lower bound in units columns). Per day; printed as a range 4-6</v>
      </c>
    </row>
    <row r="1217" spans="1:22" x14ac:dyDescent="0.2">
      <c r="A1217" s="144" t="str">
        <v>POC1</v>
      </c>
      <c r="B1217" s="145">
        <v>25</v>
      </c>
      <c r="C1217" s="129" t="str">
        <v>ICU Care: Anaesthetist In Hospital Providing Cover per day</v>
      </c>
      <c r="D1217" s="129" t="str">
        <v>POC1 – Billing for modifying factors: ICU Care: Anaesthetist In Hospital Providing Cover per day</v>
      </c>
      <c r="E1217" s="129" t="str">
        <v>14 - Billing for modifying factors</v>
      </c>
      <c r="F1217" s="129" t="str">
        <v>NZSA RVG</v>
      </c>
      <c r="G1217" s="144" t="str">
        <v>CON-10</v>
      </c>
      <c r="H1217" s="129" t="str">
        <v>Reference – units only</v>
      </c>
      <c r="I1217" s="144" t="str">
        <v>No</v>
      </c>
      <c r="J1217" s="144" t="str">
        <v>Add-on</v>
      </c>
      <c r="K1217" s="144" t="str">
        <v>POC 1</v>
      </c>
      <c r="L1217" s="146">
        <v>25</v>
      </c>
      <c r="M1217" s="142" t="str">
        <v/>
      </c>
      <c r="N1217" s="144" t="str">
        <v/>
      </c>
      <c r="O1217" s="142" t="str">
        <v/>
      </c>
      <c r="P1217" s="142" t="str">
        <v/>
      </c>
      <c r="Q1217" s="142">
        <v>0</v>
      </c>
      <c r="R1217" s="129" t="str">
        <v>Unmatched</v>
      </c>
      <c r="S1217" s="143" t="str">
        <v/>
      </c>
      <c r="T1217" s="144" t="str">
        <v>SRC-01</v>
      </c>
      <c r="U1217" s="129" t="str">
        <v>p.13 – Billing for modifying factors</v>
      </c>
      <c r="V1217" s="129" t="str">
        <v>Reference units only – no $ fee (NZSA RVG 2021). Per day</v>
      </c>
    </row>
    <row r="1218" spans="1:22" x14ac:dyDescent="0.2">
      <c r="A1218" s="144" t="str">
        <v>NC2</v>
      </c>
      <c r="B1218" s="145">
        <v>1</v>
      </c>
      <c r="C1218" s="129" t="str">
        <v>In situ Plexus/Nerve Catheter at hospital discharge [1 Unit/day to maximum of 3 Units]</v>
      </c>
      <c r="D1218" s="129" t="str">
        <v>NC2 – Billing for modifying factors: In situ Plexus/Nerve Catheter at hospital discharge [1 Un…</v>
      </c>
      <c r="E1218" s="129" t="str">
        <v>14 - Billing for modifying factors</v>
      </c>
      <c r="F1218" s="129" t="str">
        <v>NZSA RVG</v>
      </c>
      <c r="G1218" s="144" t="str">
        <v>CON-10</v>
      </c>
      <c r="H1218" s="129" t="str">
        <v>Reference – units only</v>
      </c>
      <c r="I1218" s="144" t="str">
        <v>No</v>
      </c>
      <c r="J1218" s="144" t="str">
        <v>Add-on</v>
      </c>
      <c r="K1218" s="144" t="str">
        <v>NC2</v>
      </c>
      <c r="L1218" s="146">
        <v>1</v>
      </c>
      <c r="M1218" s="142" t="str">
        <v/>
      </c>
      <c r="N1218" s="144" t="str">
        <v/>
      </c>
      <c r="O1218" s="142" t="str">
        <v/>
      </c>
      <c r="P1218" s="142" t="str">
        <v/>
      </c>
      <c r="Q1218" s="142">
        <v>0</v>
      </c>
      <c r="R1218" s="129" t="str">
        <v>Unmatched</v>
      </c>
      <c r="S1218" s="143" t="str">
        <v/>
      </c>
      <c r="T1218" s="144" t="str">
        <v>SRC-01</v>
      </c>
      <c r="U1218" s="129" t="str">
        <v>p.13 – Billing for modifying factors</v>
      </c>
      <c r="V1218" s="129" t="str">
        <v>Reference units only – no $ fee (NZSA RVG 2021). 1 unit/day, maximum 3 units</v>
      </c>
    </row>
    <row r="1219" spans="1:22" x14ac:dyDescent="0.2">
      <c r="A1219" s="144" t="str">
        <v>NC1</v>
      </c>
      <c r="B1219" s="145">
        <v>1</v>
      </c>
      <c r="C1219" s="129" t="str">
        <v>In situ Plexus/Nerve Catheter patient in hospital</v>
      </c>
      <c r="D1219" s="129" t="str">
        <v>NC1 – Billing for modifying factors: In situ Plexus/Nerve Catheter patient in hospital</v>
      </c>
      <c r="E1219" s="129" t="str">
        <v>14 - Billing for modifying factors</v>
      </c>
      <c r="F1219" s="129" t="str">
        <v>NZSA RVG</v>
      </c>
      <c r="G1219" s="144" t="str">
        <v>CON-10</v>
      </c>
      <c r="H1219" s="129" t="str">
        <v>Reference – units only</v>
      </c>
      <c r="I1219" s="144" t="str">
        <v>No</v>
      </c>
      <c r="J1219" s="144" t="str">
        <v>Add-on</v>
      </c>
      <c r="K1219" s="144" t="str">
        <v>NC1</v>
      </c>
      <c r="L1219" s="146">
        <v>1</v>
      </c>
      <c r="M1219" s="142" t="str">
        <v/>
      </c>
      <c r="N1219" s="144" t="str">
        <v/>
      </c>
      <c r="O1219" s="142" t="str">
        <v/>
      </c>
      <c r="P1219" s="142" t="str">
        <v/>
      </c>
      <c r="Q1219" s="142">
        <v>0</v>
      </c>
      <c r="R1219" s="129" t="str">
        <v>Unmatched</v>
      </c>
      <c r="S1219" s="143" t="str">
        <v/>
      </c>
      <c r="T1219" s="144" t="str">
        <v>SRC-01</v>
      </c>
      <c r="U1219" s="129" t="str">
        <v>p.13 – Billing for modifying factors</v>
      </c>
      <c r="V1219" s="129" t="str">
        <v>Reference units only – no $ fee (NZSA RVG 2021).</v>
      </c>
    </row>
    <row r="1220" spans="1:22" x14ac:dyDescent="0.2">
      <c r="A1220" s="144" t="str">
        <v>POC3a</v>
      </c>
      <c r="B1220" s="145">
        <v>1</v>
      </c>
      <c r="C1220" s="129" t="str">
        <v>Non-Complex Ward/PACU Review – Nerve Catheter/Epidural/IV Fluids/Analgesia</v>
      </c>
      <c r="D1220" s="129" t="str">
        <v>POC3a – Billing for modifying factors: Non-Complex Ward/PACU Review – Nerve Catheter/Epidural/IV…</v>
      </c>
      <c r="E1220" s="129" t="str">
        <v>14 - Billing for modifying factors</v>
      </c>
      <c r="F1220" s="129" t="str">
        <v>NZSA RVG</v>
      </c>
      <c r="G1220" s="144" t="str">
        <v>CON-10</v>
      </c>
      <c r="H1220" s="129" t="str">
        <v>Reference – units only</v>
      </c>
      <c r="I1220" s="144" t="str">
        <v>No</v>
      </c>
      <c r="J1220" s="144" t="str">
        <v>Add-on</v>
      </c>
      <c r="K1220" s="144" t="str">
        <v>POC3a</v>
      </c>
      <c r="L1220" s="146" t="str">
        <v/>
      </c>
      <c r="M1220" s="142" t="str">
        <v/>
      </c>
      <c r="N1220" s="144" t="str">
        <v/>
      </c>
      <c r="O1220" s="142" t="str">
        <v/>
      </c>
      <c r="P1220" s="142" t="str">
        <v/>
      </c>
      <c r="Q1220" s="142" t="str">
        <v/>
      </c>
      <c r="R1220" s="129" t="str">
        <v>Unmatched</v>
      </c>
      <c r="S1220" s="143" t="str">
        <v/>
      </c>
      <c r="T1220" s="144" t="str">
        <v>SRC-01</v>
      </c>
      <c r="U1220" s="129" t="str">
        <v>p.13 – Billing for modifying factors</v>
      </c>
      <c r="V1220" s="129" t="str">
        <v>Reference units only – no $ fee (NZSA RVG 2021). Units as printed: "1+ Time". Plus time units</v>
      </c>
    </row>
    <row r="1221" spans="1:22" x14ac:dyDescent="0.2">
      <c r="A1221" s="144" t="str">
        <v>TTE2</v>
      </c>
      <c r="B1221" s="145">
        <v>2</v>
      </c>
      <c r="C1221" s="129" t="str">
        <v>Non-operative Transthoracic Echocardiogram – i.e. in Emergent Situation To Assess Filling [Accredited Anaesthetist ONLY]</v>
      </c>
      <c r="D1221" s="129" t="str">
        <v>TTE2 – Billing for modifying factors: Non-operative Transthoracic Echocardiogram – i.e. in Emer…</v>
      </c>
      <c r="E1221" s="129" t="str">
        <v>14 - Billing for modifying factors</v>
      </c>
      <c r="F1221" s="129" t="str">
        <v>NZSA RVG</v>
      </c>
      <c r="G1221" s="144" t="str">
        <v>CON-10</v>
      </c>
      <c r="H1221" s="129" t="str">
        <v>Reference – units only</v>
      </c>
      <c r="I1221" s="144" t="str">
        <v>No</v>
      </c>
      <c r="J1221" s="144" t="str">
        <v>Add-on</v>
      </c>
      <c r="K1221" s="144" t="str">
        <v>TTE2</v>
      </c>
      <c r="L1221" s="146">
        <v>2</v>
      </c>
      <c r="M1221" s="142" t="str">
        <v/>
      </c>
      <c r="N1221" s="144" t="str">
        <v/>
      </c>
      <c r="O1221" s="142" t="str">
        <v/>
      </c>
      <c r="P1221" s="142" t="str">
        <v/>
      </c>
      <c r="Q1221" s="142">
        <v>0</v>
      </c>
      <c r="R1221" s="129" t="str">
        <v>Unmatched</v>
      </c>
      <c r="S1221" s="143" t="str">
        <v/>
      </c>
      <c r="T1221" s="144" t="str">
        <v>SRC-01</v>
      </c>
      <c r="U1221" s="129" t="str">
        <v>p.13 – Billing for modifying factors</v>
      </c>
      <c r="V1221" s="129" t="str">
        <v>Reference units only – no $ fee (NZSA RVG 2021).</v>
      </c>
    </row>
    <row r="1222" spans="1:22" x14ac:dyDescent="0.2">
      <c r="A1222" s="144" t="str">
        <v>TTE1</v>
      </c>
      <c r="B1222" s="145">
        <v>6</v>
      </c>
      <c r="C1222" s="129" t="str">
        <v>Peri-operative Transthoracic Echocardiogram - i.e. Full Report + Formal Report [Accredited Anaesthetist ONLY]</v>
      </c>
      <c r="D1222" s="129" t="str">
        <v>TTE1 – Billing for modifying factors: Peri-operative Transthoracic Echocardiogram - i.e. Full R…</v>
      </c>
      <c r="E1222" s="129" t="str">
        <v>14 - Billing for modifying factors</v>
      </c>
      <c r="F1222" s="129" t="str">
        <v>NZSA RVG</v>
      </c>
      <c r="G1222" s="144" t="str">
        <v>CON-10</v>
      </c>
      <c r="H1222" s="129" t="str">
        <v>Reference – units only</v>
      </c>
      <c r="I1222" s="144" t="str">
        <v>No</v>
      </c>
      <c r="J1222" s="144" t="str">
        <v>Add-on</v>
      </c>
      <c r="K1222" s="144" t="str">
        <v>TTE1</v>
      </c>
      <c r="L1222" s="146">
        <v>6</v>
      </c>
      <c r="M1222" s="142" t="str">
        <v/>
      </c>
      <c r="N1222" s="144" t="str">
        <v/>
      </c>
      <c r="O1222" s="142" t="str">
        <v/>
      </c>
      <c r="P1222" s="142" t="str">
        <v/>
      </c>
      <c r="Q1222" s="142">
        <v>0</v>
      </c>
      <c r="R1222" s="129" t="str">
        <v>Unmatched</v>
      </c>
      <c r="S1222" s="143" t="str">
        <v/>
      </c>
      <c r="T1222" s="144" t="str">
        <v>SRC-01</v>
      </c>
      <c r="U1222" s="129" t="str">
        <v>p.13 – Billing for modifying factors</v>
      </c>
      <c r="V1222" s="129" t="str">
        <v>Reference units only – no $ fee (NZSA RVG 2021).</v>
      </c>
    </row>
    <row r="1223" spans="1:22" x14ac:dyDescent="0.2">
      <c r="A1223" s="144" t="str">
        <v>POC2c</v>
      </c>
      <c r="B1223" s="145">
        <v>4</v>
      </c>
      <c r="C1223" s="129" t="str">
        <v>PLUS: Face-To-Face Visit Resulting in Significant Management Change</v>
      </c>
      <c r="D1223" s="129" t="str">
        <v>POC2c – Billing for modifying factors: PLUS: Face-To-Face Visit Resulting in Significant Managem…</v>
      </c>
      <c r="E1223" s="129" t="str">
        <v>14 - Billing for modifying factors</v>
      </c>
      <c r="F1223" s="129" t="str">
        <v>NZSA RVG</v>
      </c>
      <c r="G1223" s="144" t="str">
        <v>CON-10</v>
      </c>
      <c r="H1223" s="129" t="str">
        <v>Reference – units only</v>
      </c>
      <c r="I1223" s="144" t="str">
        <v>No</v>
      </c>
      <c r="J1223" s="144" t="str">
        <v>Add-on</v>
      </c>
      <c r="K1223" s="144" t="str">
        <v>POC2c</v>
      </c>
      <c r="L1223" s="146" t="str">
        <v/>
      </c>
      <c r="M1223" s="142" t="str">
        <v/>
      </c>
      <c r="N1223" s="144" t="str">
        <v/>
      </c>
      <c r="O1223" s="142" t="str">
        <v/>
      </c>
      <c r="P1223" s="142" t="str">
        <v/>
      </c>
      <c r="Q1223" s="142" t="str">
        <v/>
      </c>
      <c r="R1223" s="129" t="str">
        <v>Unmatched</v>
      </c>
      <c r="S1223" s="143" t="str">
        <v/>
      </c>
      <c r="T1223" s="144" t="str">
        <v>SRC-01</v>
      </c>
      <c r="U1223" s="129" t="str">
        <v>p.13 – Billing for modifying factors</v>
      </c>
      <c r="V1223" s="129" t="str">
        <v>Reference units only – no $ fee (NZSA RVG 2021). Units as printed: "4 + Time". Plus time units</v>
      </c>
    </row>
    <row r="1224" spans="1:22" x14ac:dyDescent="0.2">
      <c r="A1224" s="144" t="str">
        <v>POC2b</v>
      </c>
      <c r="B1224" s="145">
        <v>1</v>
      </c>
      <c r="C1224" s="129" t="str">
        <v>PLUS: Telephone Call Requiring Significant Management Change</v>
      </c>
      <c r="D1224" s="129" t="str">
        <v>POC2b – Billing for modifying factors: PLUS: Telephone Call Requiring Significant Management Change</v>
      </c>
      <c r="E1224" s="129" t="str">
        <v>14 - Billing for modifying factors</v>
      </c>
      <c r="F1224" s="129" t="str">
        <v>NZSA RVG</v>
      </c>
      <c r="G1224" s="144" t="str">
        <v>CON-10</v>
      </c>
      <c r="H1224" s="129" t="str">
        <v>Reference – units only</v>
      </c>
      <c r="I1224" s="144" t="str">
        <v>No</v>
      </c>
      <c r="J1224" s="144" t="str">
        <v>Add-on</v>
      </c>
      <c r="K1224" s="144" t="str">
        <v>POC2b</v>
      </c>
      <c r="L1224" s="146" t="str">
        <v/>
      </c>
      <c r="M1224" s="142" t="str">
        <v/>
      </c>
      <c r="N1224" s="144" t="str">
        <v/>
      </c>
      <c r="O1224" s="142" t="str">
        <v/>
      </c>
      <c r="P1224" s="142" t="str">
        <v/>
      </c>
      <c r="Q1224" s="142" t="str">
        <v/>
      </c>
      <c r="R1224" s="129" t="str">
        <v>Unmatched</v>
      </c>
      <c r="S1224" s="143" t="str">
        <v/>
      </c>
      <c r="T1224" s="144" t="str">
        <v>SRC-01</v>
      </c>
      <c r="U1224" s="129" t="str">
        <v>p.13 – Billing for modifying factors</v>
      </c>
      <c r="V1224" s="129" t="str">
        <v>Reference units only – no $ fee (NZSA RVG 2021). Units as printed: "1 [Per Call]". Per call</v>
      </c>
    </row>
    <row r="1225" spans="1:22" x14ac:dyDescent="0.2">
      <c r="A1225" s="144" t="str">
        <v>PACU1</v>
      </c>
      <c r="B1225" s="145">
        <v>0</v>
      </c>
      <c r="C1225" s="129" t="str">
        <v>Recovery Room Care – Provide documentation if &gt;15 minutes being claimed for</v>
      </c>
      <c r="D1225" s="129" t="str">
        <v>PACU1 – Billing for modifying factors: Recovery Room Care – Provide documentation if &gt;15 minutes…</v>
      </c>
      <c r="E1225" s="129" t="str">
        <v>14 - Billing for modifying factors</v>
      </c>
      <c r="F1225" s="129" t="str">
        <v>NZSA RVG</v>
      </c>
      <c r="G1225" s="144" t="str">
        <v>CON-10</v>
      </c>
      <c r="H1225" s="129" t="str">
        <v>Reference – units only</v>
      </c>
      <c r="I1225" s="144" t="str">
        <v>No</v>
      </c>
      <c r="J1225" s="144" t="str">
        <v>Add-on</v>
      </c>
      <c r="K1225" s="144" t="str">
        <v>PACU1</v>
      </c>
      <c r="L1225" s="146" t="str">
        <v/>
      </c>
      <c r="M1225" s="142" t="str">
        <v/>
      </c>
      <c r="N1225" s="144" t="str">
        <v/>
      </c>
      <c r="O1225" s="142" t="str">
        <v/>
      </c>
      <c r="P1225" s="142" t="str">
        <v/>
      </c>
      <c r="Q1225" s="142" t="str">
        <v/>
      </c>
      <c r="R1225" s="129" t="str">
        <v>Unmatched</v>
      </c>
      <c r="S1225" s="143" t="str">
        <v/>
      </c>
      <c r="T1225" s="144" t="str">
        <v>SRC-01</v>
      </c>
      <c r="U1225" s="129" t="str">
        <v>p.13 – Billing for modifying factors</v>
      </c>
      <c r="V1225" s="129" t="str">
        <v>Reference units only – no $ fee (NZSA RVG 2021). Units as printed: "As Per T1/T2". Units as per time codes T1/T2</v>
      </c>
    </row>
    <row r="1226" spans="1:22" x14ac:dyDescent="0.2">
      <c r="A1226" s="144" t="str">
        <v>PA2</v>
      </c>
      <c r="B1226" s="145">
        <v>2</v>
      </c>
      <c r="C1226" s="129" t="str">
        <v>Telephone Pre-assessment – Complex [&gt;15 minutes]</v>
      </c>
      <c r="D1226" s="129" t="str">
        <v>PA2 – Billing for modifying factors: Telephone Pre-assessment – Complex [&gt;15 minutes]</v>
      </c>
      <c r="E1226" s="129" t="str">
        <v>14 - Billing for modifying factors</v>
      </c>
      <c r="F1226" s="129" t="str">
        <v>NZSA RVG</v>
      </c>
      <c r="G1226" s="144" t="str">
        <v>CON-10</v>
      </c>
      <c r="H1226" s="129" t="str">
        <v>Reference – units only</v>
      </c>
      <c r="I1226" s="144" t="str">
        <v>No</v>
      </c>
      <c r="J1226" s="144" t="str">
        <v>Add-on</v>
      </c>
      <c r="K1226" s="144" t="str">
        <v>PA2</v>
      </c>
      <c r="L1226" s="146">
        <v>2</v>
      </c>
      <c r="M1226" s="142" t="str">
        <v/>
      </c>
      <c r="N1226" s="144" t="str">
        <v/>
      </c>
      <c r="O1226" s="142" t="str">
        <v/>
      </c>
      <c r="P1226" s="142" t="str">
        <v/>
      </c>
      <c r="Q1226" s="142">
        <v>0</v>
      </c>
      <c r="R1226" s="129" t="str">
        <v>Unmatched</v>
      </c>
      <c r="S1226" s="143" t="str">
        <v/>
      </c>
      <c r="T1226" s="144" t="str">
        <v>SRC-01</v>
      </c>
      <c r="U1226" s="129" t="str">
        <v>p.12 – Billing for modifying factors</v>
      </c>
      <c r="V1226" s="129" t="str">
        <v>Reference units only – no $ fee (NZSA RVG 2021).</v>
      </c>
    </row>
    <row r="1227" spans="1:22" x14ac:dyDescent="0.2">
      <c r="A1227" s="144" t="str">
        <v>PA1</v>
      </c>
      <c r="B1227" s="145">
        <v>1</v>
      </c>
      <c r="C1227" s="129" t="str">
        <v>Telephone Pre-assessment – Simple [&lt;15 minutes]</v>
      </c>
      <c r="D1227" s="129" t="str">
        <v>PA1 – Billing for modifying factors: Telephone Pre-assessment – Simple [&lt;15 minutes]</v>
      </c>
      <c r="E1227" s="129" t="str">
        <v>14 - Billing for modifying factors</v>
      </c>
      <c r="F1227" s="129" t="str">
        <v>NZSA RVG</v>
      </c>
      <c r="G1227" s="144" t="str">
        <v>CON-10</v>
      </c>
      <c r="H1227" s="129" t="str">
        <v>Reference – units only</v>
      </c>
      <c r="I1227" s="144" t="str">
        <v>No</v>
      </c>
      <c r="J1227" s="144" t="str">
        <v>Add-on</v>
      </c>
      <c r="K1227" s="144" t="str">
        <v>PA1</v>
      </c>
      <c r="L1227" s="146">
        <v>1</v>
      </c>
      <c r="M1227" s="142" t="str">
        <v/>
      </c>
      <c r="N1227" s="144" t="str">
        <v/>
      </c>
      <c r="O1227" s="142" t="str">
        <v/>
      </c>
      <c r="P1227" s="142" t="str">
        <v/>
      </c>
      <c r="Q1227" s="142">
        <v>0</v>
      </c>
      <c r="R1227" s="129" t="str">
        <v>Unmatched</v>
      </c>
      <c r="S1227" s="143" t="str">
        <v/>
      </c>
      <c r="T1227" s="144" t="str">
        <v>SRC-01</v>
      </c>
      <c r="U1227" s="129" t="str">
        <v>p.12 – Billing for modifying factors</v>
      </c>
      <c r="V1227" s="129" t="str">
        <v>Reference units only – no $ fee (NZSA RVG 2021).</v>
      </c>
    </row>
    <row r="1228" spans="1:22" x14ac:dyDescent="0.2">
      <c r="A1228" s="144" t="str">
        <v>VM1</v>
      </c>
      <c r="B1228" s="145">
        <v>2</v>
      </c>
      <c r="C1228" s="129" t="str">
        <v>Vascular monitoring (Art Line, CVL, PA Catheter) NOT EXPECTED of Anaesthesia/Procedure</v>
      </c>
      <c r="D1228" s="129" t="str">
        <v>VM1 – Billing for modifying factors: Vascular monitoring (Art Line, CVL, PA Catheter) NOT EXPE…</v>
      </c>
      <c r="E1228" s="129" t="str">
        <v>14 - Billing for modifying factors</v>
      </c>
      <c r="F1228" s="129" t="str">
        <v>NZSA RVG</v>
      </c>
      <c r="G1228" s="144" t="str">
        <v>CON-10</v>
      </c>
      <c r="H1228" s="129" t="str">
        <v>Reference – units only</v>
      </c>
      <c r="I1228" s="144" t="str">
        <v>No</v>
      </c>
      <c r="J1228" s="144" t="str">
        <v>Add-on</v>
      </c>
      <c r="K1228" s="144" t="str">
        <v>VM1</v>
      </c>
      <c r="L1228" s="146">
        <v>2</v>
      </c>
      <c r="M1228" s="142" t="str">
        <v/>
      </c>
      <c r="N1228" s="144" t="str">
        <v/>
      </c>
      <c r="O1228" s="142" t="str">
        <v/>
      </c>
      <c r="P1228" s="142" t="str">
        <v/>
      </c>
      <c r="Q1228" s="142">
        <v>0</v>
      </c>
      <c r="R1228" s="129" t="str">
        <v>Unmatched</v>
      </c>
      <c r="S1228" s="143" t="str">
        <v/>
      </c>
      <c r="T1228" s="144" t="str">
        <v>SRC-01</v>
      </c>
      <c r="U1228" s="129" t="str">
        <v>p.13 – Billing for modifying factors</v>
      </c>
      <c r="V1228" s="129" t="str">
        <v>Reference units only – no $ fee (NZSA RVG 2021).</v>
      </c>
    </row>
    <row r="1229" spans="1:22" x14ac:dyDescent="0.2">
      <c r="A1229" s="144" t="str">
        <v/>
      </c>
      <c r="B1229" s="145" t="str">
        <v/>
      </c>
      <c r="C1229" s="129" t="str">
        <v>Anaesthetic consultation – Anaesthetic consultation - Per Call (pre-operatively only)</v>
      </c>
      <c r="D1229" s="129" t="str">
        <v>ACC CS70 – Anaesthetic consultation (per call)</v>
      </c>
      <c r="E1229" s="129" t="str">
        <v>15 - Preoperative consultations for ACC Patients</v>
      </c>
      <c r="F1229" s="129" t="str">
        <v>ACC (listed in NZSA RVG)</v>
      </c>
      <c r="G1229" s="144" t="str">
        <v>CON-09</v>
      </c>
      <c r="H1229" s="129" t="str">
        <v>To confirm</v>
      </c>
      <c r="I1229" s="144" t="str">
        <v>No</v>
      </c>
      <c r="J1229" s="144" t="str">
        <v>Other</v>
      </c>
      <c r="K1229" s="144" t="str">
        <v>CS70</v>
      </c>
      <c r="L1229" s="146" t="str">
        <v/>
      </c>
      <c r="M1229" s="142" t="str">
        <v/>
      </c>
      <c r="N1229" s="144" t="str">
        <v/>
      </c>
      <c r="O1229" s="142" t="str">
        <v/>
      </c>
      <c r="P1229" s="142" t="str">
        <v/>
      </c>
      <c r="Q1229" s="142" t="str">
        <v/>
      </c>
      <c r="R1229" s="129" t="str">
        <v>Description – exact</v>
      </c>
      <c r="S1229" s="143" t="str">
        <v/>
      </c>
      <c r="T1229" s="144" t="str">
        <v>SRC-01</v>
      </c>
      <c r="U1229" s="129" t="str">
        <v>p.14 – Preoperative consultations for ACC Patients / ACC Clinical Services Table 2</v>
      </c>
      <c r="V1229" s="129" t="str">
        <v>Reference units only – no $ fee (NZSA RVG 2021). ACC code (not an RVG unit code). Treatment provider: Anaesthetist. Procedure – Definition as printed</v>
      </c>
    </row>
    <row r="1230" spans="1:22" x14ac:dyDescent="0.2">
      <c r="A1230" s="144" t="str">
        <v/>
      </c>
      <c r="B1230" s="145" t="str">
        <v/>
      </c>
      <c r="C1230" s="129" t="str">
        <v>Anaesthetic Telehealth Consultation For Administra</v>
      </c>
      <c r="D1230" s="129" t="str">
        <v>ACC CS70 – Anaesthetic consultation (per call)</v>
      </c>
      <c r="E1230" s="129" t="str">
        <v>15 - Preoperative consultations for ACC Patients</v>
      </c>
      <c r="F1230" s="129" t="str">
        <v>Solutions Plus</v>
      </c>
      <c r="G1230" s="144" t="str">
        <v>CON-01</v>
      </c>
      <c r="H1230" s="129" t="str">
        <v>To confirm</v>
      </c>
      <c r="I1230" s="144" t="str">
        <v>No</v>
      </c>
      <c r="J1230" s="144" t="str">
        <v>Base</v>
      </c>
      <c r="K1230" s="144" t="str">
        <v/>
      </c>
      <c r="L1230" s="146">
        <v>0</v>
      </c>
      <c r="M1230" s="142">
        <v>0</v>
      </c>
      <c r="N1230" s="144" t="str">
        <v>Unknown</v>
      </c>
      <c r="O1230" s="142" t="str">
        <v/>
      </c>
      <c r="P1230" s="142" t="str">
        <v/>
      </c>
      <c r="Q1230" s="142" t="str">
        <v/>
      </c>
      <c r="R1230" s="129" t="str">
        <v>Description – likely</v>
      </c>
      <c r="S1230" s="143" t="str">
        <v/>
      </c>
      <c r="T1230" s="144" t="str">
        <v>SRC-00</v>
      </c>
      <c r="U1230" s="129" t="str">
        <v>S+ row 37</v>
      </c>
      <c r="V1230" s="129" t="str">
        <v/>
      </c>
    </row>
    <row r="1231" spans="1:22" x14ac:dyDescent="0.2">
      <c r="A1231" s="144" t="str">
        <v/>
      </c>
      <c r="B1231" s="145" t="str">
        <v/>
      </c>
      <c r="C1231" s="129" t="str">
        <v>Complex Pre-operative Anaesthetic Assessment – (Initial) – Complex Pre-operative Anaesthetic Assessment - (Initial) - Per consultation (preoperatively only)</v>
      </c>
      <c r="D1231" s="129" t="str">
        <v>ACC CS260 – Complex pre-operative anaesthetic assessment</v>
      </c>
      <c r="E1231" s="129" t="str">
        <v>15 - Preoperative consultations for ACC Patients</v>
      </c>
      <c r="F1231" s="129" t="str">
        <v>ACC (listed in NZSA RVG)</v>
      </c>
      <c r="G1231" s="144" t="str">
        <v>CON-09</v>
      </c>
      <c r="H1231" s="129" t="str">
        <v>To confirm</v>
      </c>
      <c r="I1231" s="144" t="str">
        <v>No</v>
      </c>
      <c r="J1231" s="144" t="str">
        <v>Other</v>
      </c>
      <c r="K1231" s="144" t="str">
        <v>CS260</v>
      </c>
      <c r="L1231" s="146" t="str">
        <v/>
      </c>
      <c r="M1231" s="142" t="str">
        <v/>
      </c>
      <c r="N1231" s="144" t="str">
        <v/>
      </c>
      <c r="O1231" s="142" t="str">
        <v/>
      </c>
      <c r="P1231" s="142" t="str">
        <v/>
      </c>
      <c r="Q1231" s="142" t="str">
        <v/>
      </c>
      <c r="R1231" s="129" t="str">
        <v>Unmatched</v>
      </c>
      <c r="S1231" s="143" t="str">
        <v/>
      </c>
      <c r="T1231" s="144" t="str">
        <v>SRC-01</v>
      </c>
      <c r="U1231" s="129" t="str">
        <v>p.14 – Preoperative consultations for ACC Patients / ACC Clinical Services Table 2</v>
      </c>
      <c r="V1231" s="129" t="str">
        <v>Reference units only – no $ fee (NZSA RVG 2021). ACC code (not an RVG unit code). Treatment provider: Anaesthetist. Procedure – Definition as printed</v>
      </c>
    </row>
    <row r="1232" spans="1:22" x14ac:dyDescent="0.2">
      <c r="A1232" s="144" t="str">
        <v/>
      </c>
      <c r="B1232" s="145" t="str">
        <v/>
      </c>
      <c r="C1232" s="129" t="str">
        <v>CS 70 Anaesthetic Telehealth Consultation For Adm</v>
      </c>
      <c r="D1232" s="129" t="str">
        <v>ACC CS70 – Anaesthetic consultation (per call)</v>
      </c>
      <c r="E1232" s="129" t="str">
        <v>15 - Preoperative consultations for ACC Patients</v>
      </c>
      <c r="F1232" s="129" t="str">
        <v>Solutions Plus</v>
      </c>
      <c r="G1232" s="144" t="str">
        <v>CON-01</v>
      </c>
      <c r="H1232" s="129" t="str">
        <v>To confirm</v>
      </c>
      <c r="I1232" s="144" t="str">
        <v>No</v>
      </c>
      <c r="J1232" s="144" t="str">
        <v>Base</v>
      </c>
      <c r="K1232" s="144" t="str">
        <v/>
      </c>
      <c r="L1232" s="146">
        <v>0.2</v>
      </c>
      <c r="M1232" s="142">
        <v>12.1</v>
      </c>
      <c r="N1232" s="144" t="str">
        <v>Unknown</v>
      </c>
      <c r="O1232" s="142" t="str">
        <v/>
      </c>
      <c r="P1232" s="142" t="str">
        <v/>
      </c>
      <c r="Q1232" s="142">
        <v>60.499999999999993</v>
      </c>
      <c r="R1232" s="129" t="str">
        <v>Description – exact</v>
      </c>
      <c r="S1232" s="143" t="str">
        <v/>
      </c>
      <c r="T1232" s="144" t="str">
        <v>SRC-00</v>
      </c>
      <c r="U1232" s="129" t="str">
        <v>S+ row 222</v>
      </c>
      <c r="V1232" s="129" t="str">
        <v/>
      </c>
    </row>
    <row r="1233" spans="1:22" x14ac:dyDescent="0.2">
      <c r="A1233" s="144" t="str">
        <v/>
      </c>
      <c r="B1233" s="145" t="str">
        <v/>
      </c>
      <c r="C1233" s="129" t="str">
        <v>CS250 - Simple Pre-Operative Anaesthetic Assessm</v>
      </c>
      <c r="D1233" s="129" t="str">
        <v>ACC CS250 – Simple pre-operative anaesthetic assessment</v>
      </c>
      <c r="E1233" s="129" t="str">
        <v>15 - Preoperative consultations for ACC Patients</v>
      </c>
      <c r="F1233" s="129" t="str">
        <v>Solutions Plus</v>
      </c>
      <c r="G1233" s="144" t="str">
        <v>CON-01</v>
      </c>
      <c r="H1233" s="129" t="str">
        <v>To confirm</v>
      </c>
      <c r="I1233" s="144" t="str">
        <v>No</v>
      </c>
      <c r="J1233" s="144" t="str">
        <v>Base</v>
      </c>
      <c r="K1233" s="144" t="str">
        <v/>
      </c>
      <c r="L1233" s="146">
        <v>0.1</v>
      </c>
      <c r="M1233" s="142">
        <v>5.5</v>
      </c>
      <c r="N1233" s="144" t="str">
        <v>Unknown</v>
      </c>
      <c r="O1233" s="142" t="str">
        <v/>
      </c>
      <c r="P1233" s="142" t="str">
        <v/>
      </c>
      <c r="Q1233" s="142">
        <v>55</v>
      </c>
      <c r="R1233" s="129" t="str">
        <v>Description – exact</v>
      </c>
      <c r="S1233" s="143" t="str">
        <v/>
      </c>
      <c r="T1233" s="144" t="str">
        <v>SRC-00</v>
      </c>
      <c r="U1233" s="129" t="str">
        <v>S+ row 223</v>
      </c>
      <c r="V1233" s="129" t="str">
        <v/>
      </c>
    </row>
    <row r="1234" spans="1:22" x14ac:dyDescent="0.2">
      <c r="A1234" s="144" t="str">
        <v/>
      </c>
      <c r="B1234" s="145" t="str">
        <v/>
      </c>
      <c r="C1234" s="129" t="str">
        <v>CS70 Anaesthetic Telehealth Consultation For Admi</v>
      </c>
      <c r="D1234" s="129" t="str">
        <v>ACC CS70 – Anaesthetic consultation (per call)</v>
      </c>
      <c r="E1234" s="129" t="str">
        <v>15 - Preoperative consultations for ACC Patients</v>
      </c>
      <c r="F1234" s="129" t="str">
        <v>Solutions Plus</v>
      </c>
      <c r="G1234" s="144" t="str">
        <v>CON-01</v>
      </c>
      <c r="H1234" s="129" t="str">
        <v>To confirm</v>
      </c>
      <c r="I1234" s="144" t="str">
        <v>No</v>
      </c>
      <c r="J1234" s="144" t="str">
        <v>Base</v>
      </c>
      <c r="K1234" s="144" t="str">
        <v/>
      </c>
      <c r="L1234" s="146">
        <v>0</v>
      </c>
      <c r="M1234" s="142">
        <v>0</v>
      </c>
      <c r="N1234" s="144" t="str">
        <v>Unknown</v>
      </c>
      <c r="O1234" s="142" t="str">
        <v/>
      </c>
      <c r="P1234" s="142" t="str">
        <v/>
      </c>
      <c r="Q1234" s="142" t="str">
        <v/>
      </c>
      <c r="R1234" s="129" t="str">
        <v>Description – exact</v>
      </c>
      <c r="S1234" s="143" t="str">
        <v/>
      </c>
      <c r="T1234" s="144" t="str">
        <v>SRC-00</v>
      </c>
      <c r="U1234" s="129" t="str">
        <v>S+ row 224</v>
      </c>
      <c r="V1234" s="129" t="str">
        <v/>
      </c>
    </row>
    <row r="1235" spans="1:22" x14ac:dyDescent="0.2">
      <c r="A1235" s="144" t="str">
        <v/>
      </c>
      <c r="B1235" s="145" t="str">
        <v/>
      </c>
      <c r="C1235" s="129" t="str">
        <v>Simple Pre-operative Anaesthetic Assessment (Initial) – Simple Pre-operative Anaesthetic Assessment (Initial) - Electronic consultation (preoperatively only)</v>
      </c>
      <c r="D1235" s="129" t="str">
        <v>ACC CS250 – Simple pre-operative anaesthetic assessment</v>
      </c>
      <c r="E1235" s="129" t="str">
        <v>15 - Preoperative consultations for ACC Patients</v>
      </c>
      <c r="F1235" s="129" t="str">
        <v>ACC (listed in NZSA RVG)</v>
      </c>
      <c r="G1235" s="144" t="str">
        <v>CON-09</v>
      </c>
      <c r="H1235" s="129" t="str">
        <v>To confirm</v>
      </c>
      <c r="I1235" s="144" t="str">
        <v>No</v>
      </c>
      <c r="J1235" s="144" t="str">
        <v>Other</v>
      </c>
      <c r="K1235" s="144" t="str">
        <v>CS250</v>
      </c>
      <c r="L1235" s="146" t="str">
        <v/>
      </c>
      <c r="M1235" s="142" t="str">
        <v/>
      </c>
      <c r="N1235" s="144" t="str">
        <v/>
      </c>
      <c r="O1235" s="142" t="str">
        <v/>
      </c>
      <c r="P1235" s="142" t="str">
        <v/>
      </c>
      <c r="Q1235" s="142" t="str">
        <v/>
      </c>
      <c r="R1235" s="129" t="str">
        <v>Description – exact</v>
      </c>
      <c r="S1235" s="143" t="str">
        <v/>
      </c>
      <c r="T1235" s="144" t="str">
        <v>SRC-01</v>
      </c>
      <c r="U1235" s="129" t="str">
        <v>p.14 – Preoperative consultations for ACC Patients / ACC Clinical Services Table 2</v>
      </c>
      <c r="V1235" s="129" t="str">
        <v>Reference units only – no $ fee (NZSA RVG 2021). ACC code (not an RVG unit code). Treatment provider: Anaesthetist. Procedure – Definition as printed</v>
      </c>
    </row>
    <row r="1236" spans="1:22" x14ac:dyDescent="0.2">
      <c r="A1236" s="144" t="str">
        <v/>
      </c>
      <c r="B1236" s="145" t="str">
        <v/>
      </c>
      <c r="C1236" s="129" t="str">
        <v>2nd Invoice For Patient - Following Surgery With J S</v>
      </c>
      <c r="D1236" s="129" t="str">
        <v/>
      </c>
      <c r="E1236" s="129" t="str">
        <v>99 - Unassigned</v>
      </c>
      <c r="F1236" s="129" t="str">
        <v>Solutions Plus</v>
      </c>
      <c r="G1236" s="144" t="str">
        <v>CON-01</v>
      </c>
      <c r="H1236" s="129" t="str">
        <v>To confirm</v>
      </c>
      <c r="I1236" s="144" t="str">
        <v>No</v>
      </c>
      <c r="J1236" s="144" t="str">
        <v>Base</v>
      </c>
      <c r="K1236" s="144" t="str">
        <v/>
      </c>
      <c r="L1236" s="146">
        <v>0</v>
      </c>
      <c r="M1236" s="142">
        <v>0</v>
      </c>
      <c r="N1236" s="144" t="str">
        <v>Unknown</v>
      </c>
      <c r="O1236" s="142" t="str">
        <v/>
      </c>
      <c r="P1236" s="142" t="str">
        <v/>
      </c>
      <c r="Q1236" s="142" t="str">
        <v/>
      </c>
      <c r="R1236" s="129" t="str">
        <v>Unmatched</v>
      </c>
      <c r="S1236" s="143" t="str">
        <v/>
      </c>
      <c r="T1236" s="144" t="str">
        <v>SRC-00</v>
      </c>
      <c r="U1236" s="129" t="str">
        <v>S+ row 8</v>
      </c>
      <c r="V1236" s="129" t="str">
        <v/>
      </c>
    </row>
    <row r="1237" spans="1:22" x14ac:dyDescent="0.2">
      <c r="A1237" s="144" t="str">
        <v/>
      </c>
      <c r="B1237" s="145" t="str">
        <v/>
      </c>
      <c r="C1237" s="129" t="str">
        <v>ADD ON Liposuction - 30 mins per area - specify on booking how many areas</v>
      </c>
      <c r="D1237" s="129" t="str">
        <v/>
      </c>
      <c r="E1237" s="129" t="str">
        <v>99 - Unassigned</v>
      </c>
      <c r="F1237" s="129" t="str">
        <v>Merivale PS – Self-funding</v>
      </c>
      <c r="G1237" s="144" t="str">
        <v>CON-08</v>
      </c>
      <c r="H1237" s="129" t="str">
        <v>Fixed fee schedule</v>
      </c>
      <c r="I1237" s="144" t="str">
        <v>Yes</v>
      </c>
      <c r="J1237" s="144" t="str">
        <v>Add-on</v>
      </c>
      <c r="K1237" s="144" t="str">
        <v/>
      </c>
      <c r="L1237" s="146" t="str">
        <v/>
      </c>
      <c r="M1237" s="142">
        <v>345</v>
      </c>
      <c r="N1237" s="144" t="str">
        <v>Incl</v>
      </c>
      <c r="O1237" s="142">
        <v>300</v>
      </c>
      <c r="P1237" s="142">
        <v>345</v>
      </c>
      <c r="Q1237" s="142" t="str">
        <v/>
      </c>
      <c r="R1237" s="129" t="str">
        <v>Unmatched</v>
      </c>
      <c r="S1237" s="143">
        <v>46174</v>
      </c>
      <c r="T1237" s="144" t="str">
        <v>SRC-04</v>
      </c>
      <c r="U1237" s="129" t="str">
        <v>p.1</v>
      </c>
      <c r="V1237" s="129" t="str">
        <v>Self-funding patients of Dr Kerri Mooney (Merivale Plastic Surgery) only; anaesthetist invoices patient directly. Next review 1 Jun 2027. Add-on: $345 per area (30 mins per area), number of areas to be specified on booking. Combined total = procedure fee + $345 × areas. Left Unmatched – see Open Questions.</v>
      </c>
    </row>
    <row r="1238" spans="1:22" x14ac:dyDescent="0.2">
      <c r="A1238" s="144" t="str">
        <v/>
      </c>
      <c r="B1238" s="145" t="str">
        <v/>
      </c>
      <c r="C1238" s="129" t="str">
        <v>Adhesiolysis</v>
      </c>
      <c r="D1238" s="129" t="str">
        <v/>
      </c>
      <c r="E1238" s="129" t="str">
        <v>99 - Unassigned</v>
      </c>
      <c r="F1238" s="129" t="str">
        <v>Solutions Plus</v>
      </c>
      <c r="G1238" s="144" t="str">
        <v>CON-01</v>
      </c>
      <c r="H1238" s="129" t="str">
        <v>To confirm</v>
      </c>
      <c r="I1238" s="144" t="str">
        <v>No</v>
      </c>
      <c r="J1238" s="144" t="str">
        <v>Base</v>
      </c>
      <c r="K1238" s="144" t="str">
        <v/>
      </c>
      <c r="L1238" s="146">
        <v>5.2</v>
      </c>
      <c r="M1238" s="142">
        <v>286</v>
      </c>
      <c r="N1238" s="144" t="str">
        <v>Unknown</v>
      </c>
      <c r="O1238" s="142" t="str">
        <v/>
      </c>
      <c r="P1238" s="142" t="str">
        <v/>
      </c>
      <c r="Q1238" s="142">
        <v>55</v>
      </c>
      <c r="R1238" s="129" t="str">
        <v>Unmatched</v>
      </c>
      <c r="S1238" s="143" t="str">
        <v/>
      </c>
      <c r="T1238" s="144" t="str">
        <v>SRC-00</v>
      </c>
      <c r="U1238" s="129" t="str">
        <v>S+ row 31</v>
      </c>
      <c r="V1238" s="129" t="str">
        <v/>
      </c>
    </row>
    <row r="1239" spans="1:22" x14ac:dyDescent="0.2">
      <c r="A1239" s="144" t="str">
        <v/>
      </c>
      <c r="B1239" s="145" t="str">
        <v/>
      </c>
      <c r="C1239" s="129" t="str">
        <v>Adjust Gastric Band</v>
      </c>
      <c r="D1239" s="129" t="str">
        <v/>
      </c>
      <c r="E1239" s="129" t="str">
        <v>99 - Unassigned</v>
      </c>
      <c r="F1239" s="129" t="str">
        <v>Solutions Plus</v>
      </c>
      <c r="G1239" s="144" t="str">
        <v>CON-01</v>
      </c>
      <c r="H1239" s="129" t="str">
        <v>To confirm</v>
      </c>
      <c r="I1239" s="144" t="str">
        <v>No</v>
      </c>
      <c r="J1239" s="144" t="str">
        <v>Base</v>
      </c>
      <c r="K1239" s="144" t="str">
        <v/>
      </c>
      <c r="L1239" s="146">
        <v>1</v>
      </c>
      <c r="M1239" s="142">
        <v>55</v>
      </c>
      <c r="N1239" s="144" t="str">
        <v>Unknown</v>
      </c>
      <c r="O1239" s="142" t="str">
        <v/>
      </c>
      <c r="P1239" s="142" t="str">
        <v/>
      </c>
      <c r="Q1239" s="142">
        <v>55</v>
      </c>
      <c r="R1239" s="129" t="str">
        <v>Unmatched</v>
      </c>
      <c r="S1239" s="143" t="str">
        <v/>
      </c>
      <c r="T1239" s="144" t="str">
        <v>SRC-00</v>
      </c>
      <c r="U1239" s="129" t="str">
        <v>S+ row 32</v>
      </c>
      <c r="V1239" s="129" t="str">
        <v/>
      </c>
    </row>
    <row r="1240" spans="1:22" x14ac:dyDescent="0.2">
      <c r="A1240" s="144" t="str">
        <v/>
      </c>
      <c r="B1240" s="145" t="str">
        <v/>
      </c>
      <c r="C1240" s="129" t="str">
        <v>Arthroscopy</v>
      </c>
      <c r="D1240" s="129" t="str">
        <v/>
      </c>
      <c r="E1240" s="129" t="str">
        <v>99 - Unassigned</v>
      </c>
      <c r="F1240" s="129" t="str">
        <v>Solutions Plus</v>
      </c>
      <c r="G1240" s="144" t="str">
        <v>CON-01</v>
      </c>
      <c r="H1240" s="129" t="str">
        <v>To confirm</v>
      </c>
      <c r="I1240" s="144" t="str">
        <v>No</v>
      </c>
      <c r="J1240" s="144" t="str">
        <v>Base</v>
      </c>
      <c r="K1240" s="144" t="str">
        <v/>
      </c>
      <c r="L1240" s="146">
        <v>7</v>
      </c>
      <c r="M1240" s="142">
        <v>386.1</v>
      </c>
      <c r="N1240" s="144" t="str">
        <v>Unknown</v>
      </c>
      <c r="O1240" s="142" t="str">
        <v/>
      </c>
      <c r="P1240" s="142" t="str">
        <v/>
      </c>
      <c r="Q1240" s="142">
        <v>55.157142857142858</v>
      </c>
      <c r="R1240" s="129" t="str">
        <v>Unmatched</v>
      </c>
      <c r="S1240" s="143" t="str">
        <v/>
      </c>
      <c r="T1240" s="144" t="str">
        <v>SRC-00</v>
      </c>
      <c r="U1240" s="129" t="str">
        <v>S+ row 56</v>
      </c>
      <c r="V1240" s="129" t="str">
        <v/>
      </c>
    </row>
    <row r="1241" spans="1:22" x14ac:dyDescent="0.2">
      <c r="A1241" s="144" t="str">
        <v/>
      </c>
      <c r="B1241" s="145" t="str">
        <v/>
      </c>
      <c r="C1241" s="129" t="str">
        <v>Bilateral Brachioplasty</v>
      </c>
      <c r="D1241" s="129" t="str">
        <v/>
      </c>
      <c r="E1241" s="129" t="str">
        <v>99 - Unassigned</v>
      </c>
      <c r="F1241" s="129" t="str">
        <v>Solutions Plus</v>
      </c>
      <c r="G1241" s="144" t="str">
        <v>CON-01</v>
      </c>
      <c r="H1241" s="129" t="str">
        <v>To confirm</v>
      </c>
      <c r="I1241" s="144" t="str">
        <v>No</v>
      </c>
      <c r="J1241" s="144" t="str">
        <v>Base</v>
      </c>
      <c r="K1241" s="144" t="str">
        <v/>
      </c>
      <c r="L1241" s="146">
        <v>17.2</v>
      </c>
      <c r="M1241" s="142">
        <v>946</v>
      </c>
      <c r="N1241" s="144" t="str">
        <v>Unknown</v>
      </c>
      <c r="O1241" s="142" t="str">
        <v/>
      </c>
      <c r="P1241" s="142" t="str">
        <v/>
      </c>
      <c r="Q1241" s="142">
        <v>55</v>
      </c>
      <c r="R1241" s="129" t="str">
        <v>Unmatched</v>
      </c>
      <c r="S1241" s="143" t="str">
        <v/>
      </c>
      <c r="T1241" s="144" t="str">
        <v>SRC-00</v>
      </c>
      <c r="U1241" s="129" t="str">
        <v>S+ row 65</v>
      </c>
      <c r="V1241" s="129" t="str">
        <v/>
      </c>
    </row>
    <row r="1242" spans="1:22" x14ac:dyDescent="0.2">
      <c r="A1242" s="144" t="str">
        <v/>
      </c>
      <c r="B1242" s="145" t="str">
        <v/>
      </c>
      <c r="C1242" s="129" t="str">
        <v>Bilateral Excision DOG Ears/fat Grafting Right Reco</v>
      </c>
      <c r="D1242" s="129" t="str">
        <v/>
      </c>
      <c r="E1242" s="129" t="str">
        <v>99 - Unassigned</v>
      </c>
      <c r="F1242" s="129" t="str">
        <v>Solutions Plus</v>
      </c>
      <c r="G1242" s="144" t="str">
        <v>CON-01</v>
      </c>
      <c r="H1242" s="129" t="str">
        <v>To confirm</v>
      </c>
      <c r="I1242" s="144" t="str">
        <v>No</v>
      </c>
      <c r="J1242" s="144" t="str">
        <v>Base</v>
      </c>
      <c r="K1242" s="144" t="str">
        <v/>
      </c>
      <c r="L1242" s="146">
        <v>14</v>
      </c>
      <c r="M1242" s="142">
        <v>770</v>
      </c>
      <c r="N1242" s="144" t="str">
        <v>Unknown</v>
      </c>
      <c r="O1242" s="142" t="str">
        <v/>
      </c>
      <c r="P1242" s="142" t="str">
        <v/>
      </c>
      <c r="Q1242" s="142">
        <v>55</v>
      </c>
      <c r="R1242" s="129" t="str">
        <v>Unmatched</v>
      </c>
      <c r="S1242" s="143" t="str">
        <v/>
      </c>
      <c r="T1242" s="144" t="str">
        <v>SRC-00</v>
      </c>
      <c r="U1242" s="129" t="str">
        <v>S+ row 85</v>
      </c>
      <c r="V1242" s="129" t="str">
        <v/>
      </c>
    </row>
    <row r="1243" spans="1:22" x14ac:dyDescent="0.2">
      <c r="A1243" s="144" t="str">
        <v/>
      </c>
      <c r="B1243" s="145" t="str">
        <v/>
      </c>
      <c r="C1243" s="129" t="str">
        <v>Bilateral FTSG From ULs To LLs WCDHB</v>
      </c>
      <c r="D1243" s="129" t="str">
        <v/>
      </c>
      <c r="E1243" s="129" t="str">
        <v>99 - Unassigned</v>
      </c>
      <c r="F1243" s="129" t="str">
        <v>Solutions Plus</v>
      </c>
      <c r="G1243" s="144" t="str">
        <v>CON-01</v>
      </c>
      <c r="H1243" s="129" t="str">
        <v>To confirm</v>
      </c>
      <c r="I1243" s="144" t="str">
        <v>No</v>
      </c>
      <c r="J1243" s="144" t="str">
        <v>Base</v>
      </c>
      <c r="K1243" s="144" t="str">
        <v/>
      </c>
      <c r="L1243" s="146">
        <v>0</v>
      </c>
      <c r="M1243" s="142">
        <v>0</v>
      </c>
      <c r="N1243" s="144" t="str">
        <v>Unknown</v>
      </c>
      <c r="O1243" s="142" t="str">
        <v/>
      </c>
      <c r="P1243" s="142" t="str">
        <v/>
      </c>
      <c r="Q1243" s="142" t="str">
        <v/>
      </c>
      <c r="R1243" s="129" t="str">
        <v>Unmatched</v>
      </c>
      <c r="S1243" s="143" t="str">
        <v/>
      </c>
      <c r="T1243" s="144" t="str">
        <v>SRC-00</v>
      </c>
      <c r="U1243" s="129" t="str">
        <v>S+ row 88</v>
      </c>
      <c r="V1243" s="129" t="str">
        <v/>
      </c>
    </row>
    <row r="1244" spans="1:22" x14ac:dyDescent="0.2">
      <c r="A1244" s="144" t="str">
        <v/>
      </c>
      <c r="B1244" s="145" t="str">
        <v/>
      </c>
      <c r="C1244" s="129" t="str">
        <v>Biopsies, Debridement Of Necrotic Bone And Closu</v>
      </c>
      <c r="D1244" s="129" t="str">
        <v/>
      </c>
      <c r="E1244" s="129" t="str">
        <v>99 - Unassigned</v>
      </c>
      <c r="F1244" s="129" t="str">
        <v>Solutions Plus</v>
      </c>
      <c r="G1244" s="144" t="str">
        <v>CON-01</v>
      </c>
      <c r="H1244" s="129" t="str">
        <v>To confirm</v>
      </c>
      <c r="I1244" s="144" t="str">
        <v>No</v>
      </c>
      <c r="J1244" s="144" t="str">
        <v>Base</v>
      </c>
      <c r="K1244" s="144" t="str">
        <v/>
      </c>
      <c r="L1244" s="146">
        <v>8</v>
      </c>
      <c r="M1244" s="142">
        <v>440</v>
      </c>
      <c r="N1244" s="144" t="str">
        <v>Unknown</v>
      </c>
      <c r="O1244" s="142" t="str">
        <v/>
      </c>
      <c r="P1244" s="142" t="str">
        <v/>
      </c>
      <c r="Q1244" s="142">
        <v>55</v>
      </c>
      <c r="R1244" s="129" t="str">
        <v>Unmatched</v>
      </c>
      <c r="S1244" s="143" t="str">
        <v/>
      </c>
      <c r="T1244" s="144" t="str">
        <v>SRC-00</v>
      </c>
      <c r="U1244" s="129" t="str">
        <v>S+ row 126</v>
      </c>
      <c r="V1244" s="129" t="str">
        <v/>
      </c>
    </row>
    <row r="1245" spans="1:22" x14ac:dyDescent="0.2">
      <c r="A1245" s="144" t="str">
        <v/>
      </c>
      <c r="B1245" s="145" t="str">
        <v/>
      </c>
      <c r="C1245" s="129" t="str">
        <v>Bloods</v>
      </c>
      <c r="D1245" s="129" t="str">
        <v/>
      </c>
      <c r="E1245" s="129" t="str">
        <v>99 - Unassigned</v>
      </c>
      <c r="F1245" s="129" t="str">
        <v>Solutions Plus</v>
      </c>
      <c r="G1245" s="144" t="str">
        <v>CON-01</v>
      </c>
      <c r="H1245" s="129" t="str">
        <v>To confirm</v>
      </c>
      <c r="I1245" s="144" t="str">
        <v>No</v>
      </c>
      <c r="J1245" s="144" t="str">
        <v>Base</v>
      </c>
      <c r="K1245" s="144" t="str">
        <v/>
      </c>
      <c r="L1245" s="146">
        <v>0</v>
      </c>
      <c r="M1245" s="142">
        <v>0</v>
      </c>
      <c r="N1245" s="144" t="str">
        <v>Unknown</v>
      </c>
      <c r="O1245" s="142" t="str">
        <v/>
      </c>
      <c r="P1245" s="142" t="str">
        <v/>
      </c>
      <c r="Q1245" s="142" t="str">
        <v/>
      </c>
      <c r="R1245" s="129" t="str">
        <v>Unmatched</v>
      </c>
      <c r="S1245" s="143" t="str">
        <v/>
      </c>
      <c r="T1245" s="144" t="str">
        <v>SRC-00</v>
      </c>
      <c r="U1245" s="129" t="str">
        <v>S+ row 130</v>
      </c>
      <c r="V1245" s="129" t="str">
        <v/>
      </c>
    </row>
    <row r="1246" spans="1:22" x14ac:dyDescent="0.2">
      <c r="A1246" s="144" t="str">
        <v/>
      </c>
      <c r="B1246" s="145" t="str">
        <v/>
      </c>
      <c r="C1246" s="129" t="str">
        <v>Bone Biopsy</v>
      </c>
      <c r="D1246" s="129" t="str">
        <v/>
      </c>
      <c r="E1246" s="129" t="str">
        <v>99 - Unassigned</v>
      </c>
      <c r="F1246" s="129" t="str">
        <v>Solutions Plus</v>
      </c>
      <c r="G1246" s="144" t="str">
        <v>CON-01</v>
      </c>
      <c r="H1246" s="129" t="str">
        <v>To confirm</v>
      </c>
      <c r="I1246" s="144" t="str">
        <v>No</v>
      </c>
      <c r="J1246" s="144" t="str">
        <v>Base</v>
      </c>
      <c r="K1246" s="144" t="str">
        <v/>
      </c>
      <c r="L1246" s="146">
        <v>5</v>
      </c>
      <c r="M1246" s="142">
        <v>275</v>
      </c>
      <c r="N1246" s="144" t="str">
        <v>Unknown</v>
      </c>
      <c r="O1246" s="142" t="str">
        <v/>
      </c>
      <c r="P1246" s="142" t="str">
        <v/>
      </c>
      <c r="Q1246" s="142">
        <v>55</v>
      </c>
      <c r="R1246" s="129" t="str">
        <v>Unmatched</v>
      </c>
      <c r="S1246" s="143" t="str">
        <v/>
      </c>
      <c r="T1246" s="144" t="str">
        <v>SRC-00</v>
      </c>
      <c r="U1246" s="129" t="str">
        <v>S+ row 131</v>
      </c>
      <c r="V1246" s="129" t="str">
        <v/>
      </c>
    </row>
    <row r="1247" spans="1:22" x14ac:dyDescent="0.2">
      <c r="A1247" s="144" t="str">
        <v/>
      </c>
      <c r="B1247" s="145" t="str">
        <v/>
      </c>
      <c r="C1247" s="129" t="str">
        <v>Botox Injection</v>
      </c>
      <c r="D1247" s="129" t="str">
        <v/>
      </c>
      <c r="E1247" s="129" t="str">
        <v>99 - Unassigned</v>
      </c>
      <c r="F1247" s="129" t="str">
        <v>Solutions Plus</v>
      </c>
      <c r="G1247" s="144" t="str">
        <v>CON-01</v>
      </c>
      <c r="H1247" s="129" t="str">
        <v>To confirm</v>
      </c>
      <c r="I1247" s="144" t="str">
        <v>No</v>
      </c>
      <c r="J1247" s="144" t="str">
        <v>Base</v>
      </c>
      <c r="K1247" s="144" t="str">
        <v/>
      </c>
      <c r="L1247" s="146">
        <v>1.3</v>
      </c>
      <c r="M1247" s="142">
        <v>73.150000000000006</v>
      </c>
      <c r="N1247" s="144" t="str">
        <v>Unknown</v>
      </c>
      <c r="O1247" s="142" t="str">
        <v/>
      </c>
      <c r="P1247" s="142" t="str">
        <v/>
      </c>
      <c r="Q1247" s="142">
        <v>56.269230769230774</v>
      </c>
      <c r="R1247" s="129" t="str">
        <v>Unmatched</v>
      </c>
      <c r="S1247" s="143" t="str">
        <v/>
      </c>
      <c r="T1247" s="144" t="str">
        <v>SRC-00</v>
      </c>
      <c r="U1247" s="129" t="str">
        <v>S+ row 132</v>
      </c>
      <c r="V1247" s="129" t="str">
        <v/>
      </c>
    </row>
    <row r="1248" spans="1:22" x14ac:dyDescent="0.2">
      <c r="A1248" s="144" t="str">
        <v/>
      </c>
      <c r="B1248" s="145" t="str">
        <v/>
      </c>
      <c r="C1248" s="129" t="str">
        <v>Botox To Pelvic Floor, Pudendal Nerve Blocks. Rem</v>
      </c>
      <c r="D1248" s="129" t="str">
        <v/>
      </c>
      <c r="E1248" s="129" t="str">
        <v>99 - Unassigned</v>
      </c>
      <c r="F1248" s="129" t="str">
        <v>Solutions Plus</v>
      </c>
      <c r="G1248" s="144" t="str">
        <v>CON-01</v>
      </c>
      <c r="H1248" s="129" t="str">
        <v>To confirm</v>
      </c>
      <c r="I1248" s="144" t="str">
        <v>No</v>
      </c>
      <c r="J1248" s="144" t="str">
        <v>Base</v>
      </c>
      <c r="K1248" s="144" t="str">
        <v/>
      </c>
      <c r="L1248" s="146">
        <v>9</v>
      </c>
      <c r="M1248" s="142">
        <v>495</v>
      </c>
      <c r="N1248" s="144" t="str">
        <v>Unknown</v>
      </c>
      <c r="O1248" s="142" t="str">
        <v/>
      </c>
      <c r="P1248" s="142" t="str">
        <v/>
      </c>
      <c r="Q1248" s="142">
        <v>55</v>
      </c>
      <c r="R1248" s="129" t="str">
        <v>Unmatched</v>
      </c>
      <c r="S1248" s="143" t="str">
        <v/>
      </c>
      <c r="T1248" s="144" t="str">
        <v>SRC-00</v>
      </c>
      <c r="U1248" s="129" t="str">
        <v>S+ row 133</v>
      </c>
      <c r="V1248" s="129" t="str">
        <v/>
      </c>
    </row>
    <row r="1249" spans="1:22" x14ac:dyDescent="0.2">
      <c r="A1249" s="144" t="str">
        <v/>
      </c>
      <c r="B1249" s="145" t="str">
        <v/>
      </c>
      <c r="C1249" s="129" t="str">
        <v>Brachioplasty</v>
      </c>
      <c r="D1249" s="129" t="str">
        <v/>
      </c>
      <c r="E1249" s="129" t="str">
        <v>99 - Unassigned</v>
      </c>
      <c r="F1249" s="129" t="str">
        <v>Solutions Plus</v>
      </c>
      <c r="G1249" s="144" t="str">
        <v>CON-01</v>
      </c>
      <c r="H1249" s="129" t="str">
        <v>To confirm</v>
      </c>
      <c r="I1249" s="144" t="str">
        <v>No</v>
      </c>
      <c r="J1249" s="144" t="str">
        <v>Base</v>
      </c>
      <c r="K1249" s="144" t="str">
        <v/>
      </c>
      <c r="L1249" s="146">
        <v>23</v>
      </c>
      <c r="M1249" s="142">
        <v>1264.45</v>
      </c>
      <c r="N1249" s="144" t="str">
        <v>Unknown</v>
      </c>
      <c r="O1249" s="142" t="str">
        <v/>
      </c>
      <c r="P1249" s="142" t="str">
        <v/>
      </c>
      <c r="Q1249" s="142">
        <v>54.97608695652174</v>
      </c>
      <c r="R1249" s="129" t="str">
        <v>Unmatched</v>
      </c>
      <c r="S1249" s="143" t="str">
        <v/>
      </c>
      <c r="T1249" s="144" t="str">
        <v>SRC-00</v>
      </c>
      <c r="U1249" s="129" t="str">
        <v>S+ row 134</v>
      </c>
      <c r="V1249" s="129" t="str">
        <v/>
      </c>
    </row>
    <row r="1250" spans="1:22" x14ac:dyDescent="0.2">
      <c r="A1250" s="144" t="str">
        <v/>
      </c>
      <c r="B1250" s="145" t="str">
        <v/>
      </c>
      <c r="C1250" s="129" t="str">
        <v>Coccygectomy</v>
      </c>
      <c r="D1250" s="129" t="str">
        <v/>
      </c>
      <c r="E1250" s="129" t="str">
        <v>99 - Unassigned</v>
      </c>
      <c r="F1250" s="129" t="str">
        <v>Solutions Plus</v>
      </c>
      <c r="G1250" s="144" t="str">
        <v>CON-01</v>
      </c>
      <c r="H1250" s="129" t="str">
        <v>To confirm</v>
      </c>
      <c r="I1250" s="144" t="str">
        <v>No</v>
      </c>
      <c r="J1250" s="144" t="str">
        <v>Base</v>
      </c>
      <c r="K1250" s="144" t="str">
        <v/>
      </c>
      <c r="L1250" s="146">
        <v>14.3</v>
      </c>
      <c r="M1250" s="142">
        <v>787.6</v>
      </c>
      <c r="N1250" s="144" t="str">
        <v>Unknown</v>
      </c>
      <c r="O1250" s="142" t="str">
        <v/>
      </c>
      <c r="P1250" s="142" t="str">
        <v/>
      </c>
      <c r="Q1250" s="142">
        <v>55.076923076923073</v>
      </c>
      <c r="R1250" s="129" t="str">
        <v>Unmatched</v>
      </c>
      <c r="S1250" s="143" t="str">
        <v/>
      </c>
      <c r="T1250" s="144" t="str">
        <v>SRC-00</v>
      </c>
      <c r="U1250" s="129" t="str">
        <v>S+ row 175</v>
      </c>
      <c r="V1250" s="129" t="str">
        <v/>
      </c>
    </row>
    <row r="1251" spans="1:22" x14ac:dyDescent="0.2">
      <c r="A1251" s="144" t="str">
        <v/>
      </c>
      <c r="B1251" s="145" t="str">
        <v/>
      </c>
      <c r="C1251" s="129" t="str">
        <v>Compartment Fasciectomy</v>
      </c>
      <c r="D1251" s="129" t="str">
        <v/>
      </c>
      <c r="E1251" s="129" t="str">
        <v>99 - Unassigned</v>
      </c>
      <c r="F1251" s="129" t="str">
        <v>Solutions Plus</v>
      </c>
      <c r="G1251" s="144" t="str">
        <v>CON-01</v>
      </c>
      <c r="H1251" s="129" t="str">
        <v>To confirm</v>
      </c>
      <c r="I1251" s="144" t="str">
        <v>No</v>
      </c>
      <c r="J1251" s="144" t="str">
        <v>Base</v>
      </c>
      <c r="K1251" s="144" t="str">
        <v/>
      </c>
      <c r="L1251" s="146">
        <v>0</v>
      </c>
      <c r="M1251" s="142">
        <v>0</v>
      </c>
      <c r="N1251" s="144" t="str">
        <v>Unknown</v>
      </c>
      <c r="O1251" s="142" t="str">
        <v/>
      </c>
      <c r="P1251" s="142" t="str">
        <v/>
      </c>
      <c r="Q1251" s="142" t="str">
        <v/>
      </c>
      <c r="R1251" s="129" t="str">
        <v>Unmatched</v>
      </c>
      <c r="S1251" s="143" t="str">
        <v/>
      </c>
      <c r="T1251" s="144" t="str">
        <v>SRC-00</v>
      </c>
      <c r="U1251" s="129" t="str">
        <v>S+ row 210</v>
      </c>
      <c r="V1251" s="129" t="str">
        <v/>
      </c>
    </row>
    <row r="1252" spans="1:22" x14ac:dyDescent="0.2">
      <c r="A1252" s="144" t="str">
        <v/>
      </c>
      <c r="B1252" s="145" t="str">
        <v/>
      </c>
      <c r="C1252" s="129" t="str">
        <v>Corticobasal Degeneration.</v>
      </c>
      <c r="D1252" s="129" t="str">
        <v/>
      </c>
      <c r="E1252" s="129" t="str">
        <v>99 - Unassigned</v>
      </c>
      <c r="F1252" s="129" t="str">
        <v>Solutions Plus</v>
      </c>
      <c r="G1252" s="144" t="str">
        <v>CON-01</v>
      </c>
      <c r="H1252" s="129" t="str">
        <v>To confirm</v>
      </c>
      <c r="I1252" s="144" t="str">
        <v>No</v>
      </c>
      <c r="J1252" s="144" t="str">
        <v>Base</v>
      </c>
      <c r="K1252" s="144" t="str">
        <v/>
      </c>
      <c r="L1252" s="146">
        <v>4</v>
      </c>
      <c r="M1252" s="142">
        <v>220</v>
      </c>
      <c r="N1252" s="144" t="str">
        <v>Unknown</v>
      </c>
      <c r="O1252" s="142" t="str">
        <v/>
      </c>
      <c r="P1252" s="142" t="str">
        <v/>
      </c>
      <c r="Q1252" s="142">
        <v>55</v>
      </c>
      <c r="R1252" s="129" t="str">
        <v>Unmatched</v>
      </c>
      <c r="S1252" s="143" t="str">
        <v/>
      </c>
      <c r="T1252" s="144" t="str">
        <v>SRC-00</v>
      </c>
      <c r="U1252" s="129" t="str">
        <v>S+ row 2</v>
      </c>
      <c r="V1252" s="129" t="str">
        <v/>
      </c>
    </row>
    <row r="1253" spans="1:22" x14ac:dyDescent="0.2">
      <c r="A1253" s="144" t="str">
        <v/>
      </c>
      <c r="B1253" s="145" t="str">
        <v/>
      </c>
      <c r="C1253" s="129" t="str">
        <v>Dermabrasion</v>
      </c>
      <c r="D1253" s="129" t="str">
        <v/>
      </c>
      <c r="E1253" s="129" t="str">
        <v>99 - Unassigned</v>
      </c>
      <c r="F1253" s="129" t="str">
        <v>Solutions Plus</v>
      </c>
      <c r="G1253" s="144" t="str">
        <v>CON-01</v>
      </c>
      <c r="H1253" s="129" t="str">
        <v>To confirm</v>
      </c>
      <c r="I1253" s="144" t="str">
        <v>No</v>
      </c>
      <c r="J1253" s="144" t="str">
        <v>Base</v>
      </c>
      <c r="K1253" s="144" t="str">
        <v/>
      </c>
      <c r="L1253" s="146">
        <v>1</v>
      </c>
      <c r="M1253" s="142">
        <v>55</v>
      </c>
      <c r="N1253" s="144" t="str">
        <v>Unknown</v>
      </c>
      <c r="O1253" s="142" t="str">
        <v/>
      </c>
      <c r="P1253" s="142" t="str">
        <v/>
      </c>
      <c r="Q1253" s="142">
        <v>55</v>
      </c>
      <c r="R1253" s="129" t="str">
        <v>Unmatched</v>
      </c>
      <c r="S1253" s="143" t="str">
        <v/>
      </c>
      <c r="T1253" s="144" t="str">
        <v>SRC-00</v>
      </c>
      <c r="U1253" s="129" t="str">
        <v>S+ row 242</v>
      </c>
      <c r="V1253" s="129" t="str">
        <v/>
      </c>
    </row>
    <row r="1254" spans="1:22" x14ac:dyDescent="0.2">
      <c r="A1254" s="144" t="str">
        <v/>
      </c>
      <c r="B1254" s="145" t="str">
        <v/>
      </c>
      <c r="C1254" s="129" t="str">
        <v>Dilatation</v>
      </c>
      <c r="D1254" s="129" t="str">
        <v/>
      </c>
      <c r="E1254" s="129" t="str">
        <v>99 - Unassigned</v>
      </c>
      <c r="F1254" s="129" t="str">
        <v>Solutions Plus</v>
      </c>
      <c r="G1254" s="144" t="str">
        <v>CON-01</v>
      </c>
      <c r="H1254" s="129" t="str">
        <v>To confirm</v>
      </c>
      <c r="I1254" s="144" t="str">
        <v>No</v>
      </c>
      <c r="J1254" s="144" t="str">
        <v>Base</v>
      </c>
      <c r="K1254" s="144" t="str">
        <v/>
      </c>
      <c r="L1254" s="146">
        <v>1</v>
      </c>
      <c r="M1254" s="142">
        <v>55</v>
      </c>
      <c r="N1254" s="144" t="str">
        <v>Unknown</v>
      </c>
      <c r="O1254" s="142" t="str">
        <v/>
      </c>
      <c r="P1254" s="142" t="str">
        <v/>
      </c>
      <c r="Q1254" s="142">
        <v>55</v>
      </c>
      <c r="R1254" s="129" t="str">
        <v>Unmatched</v>
      </c>
      <c r="S1254" s="143" t="str">
        <v/>
      </c>
      <c r="T1254" s="144" t="str">
        <v>SRC-00</v>
      </c>
      <c r="U1254" s="129" t="str">
        <v>S+ row 255</v>
      </c>
      <c r="V1254" s="129" t="str">
        <v/>
      </c>
    </row>
    <row r="1255" spans="1:22" x14ac:dyDescent="0.2">
      <c r="A1255" s="144" t="str">
        <v/>
      </c>
      <c r="B1255" s="145" t="str">
        <v/>
      </c>
      <c r="C1255" s="129" t="str">
        <v>Enucleation Lesion Mandible</v>
      </c>
      <c r="D1255" s="129" t="str">
        <v/>
      </c>
      <c r="E1255" s="129" t="str">
        <v>99 - Unassigned</v>
      </c>
      <c r="F1255" s="129" t="str">
        <v>Solutions Plus</v>
      </c>
      <c r="G1255" s="144" t="str">
        <v>CON-01</v>
      </c>
      <c r="H1255" s="129" t="str">
        <v>To confirm</v>
      </c>
      <c r="I1255" s="144" t="str">
        <v>No</v>
      </c>
      <c r="J1255" s="144" t="str">
        <v>Base</v>
      </c>
      <c r="K1255" s="144" t="str">
        <v/>
      </c>
      <c r="L1255" s="146">
        <v>10</v>
      </c>
      <c r="M1255" s="142">
        <v>550</v>
      </c>
      <c r="N1255" s="144" t="str">
        <v>Unknown</v>
      </c>
      <c r="O1255" s="142" t="str">
        <v/>
      </c>
      <c r="P1255" s="142" t="str">
        <v/>
      </c>
      <c r="Q1255" s="142">
        <v>55</v>
      </c>
      <c r="R1255" s="129" t="str">
        <v>Unmatched</v>
      </c>
      <c r="S1255" s="143" t="str">
        <v/>
      </c>
      <c r="T1255" s="144" t="str">
        <v>SRC-00</v>
      </c>
      <c r="U1255" s="129" t="str">
        <v>S+ row 277</v>
      </c>
      <c r="V1255" s="129" t="str">
        <v/>
      </c>
    </row>
    <row r="1256" spans="1:22" x14ac:dyDescent="0.2">
      <c r="A1256" s="144" t="str">
        <v/>
      </c>
      <c r="B1256" s="145" t="str">
        <v/>
      </c>
      <c r="C1256" s="129" t="str">
        <v>Enucleation, Curretage &amp; Peripheral Osteotomy Of</v>
      </c>
      <c r="D1256" s="129" t="str">
        <v/>
      </c>
      <c r="E1256" s="129" t="str">
        <v>99 - Unassigned</v>
      </c>
      <c r="F1256" s="129" t="str">
        <v>Solutions Plus</v>
      </c>
      <c r="G1256" s="144" t="str">
        <v>CON-01</v>
      </c>
      <c r="H1256" s="129" t="str">
        <v>To confirm</v>
      </c>
      <c r="I1256" s="144" t="str">
        <v>No</v>
      </c>
      <c r="J1256" s="144" t="str">
        <v>Base</v>
      </c>
      <c r="K1256" s="144" t="str">
        <v/>
      </c>
      <c r="L1256" s="146">
        <v>2</v>
      </c>
      <c r="M1256" s="142">
        <v>110</v>
      </c>
      <c r="N1256" s="144" t="str">
        <v>Unknown</v>
      </c>
      <c r="O1256" s="142" t="str">
        <v/>
      </c>
      <c r="P1256" s="142" t="str">
        <v/>
      </c>
      <c r="Q1256" s="142">
        <v>55</v>
      </c>
      <c r="R1256" s="129" t="str">
        <v>Unmatched</v>
      </c>
      <c r="S1256" s="143" t="str">
        <v/>
      </c>
      <c r="T1256" s="144" t="str">
        <v>SRC-00</v>
      </c>
      <c r="U1256" s="129" t="str">
        <v>S+ row 278</v>
      </c>
      <c r="V1256" s="129" t="str">
        <v/>
      </c>
    </row>
    <row r="1257" spans="1:22" x14ac:dyDescent="0.2">
      <c r="A1257" s="144" t="str">
        <v/>
      </c>
      <c r="B1257" s="145" t="str">
        <v/>
      </c>
      <c r="C1257" s="129" t="str">
        <v>EPOA</v>
      </c>
      <c r="D1257" s="129" t="str">
        <v/>
      </c>
      <c r="E1257" s="129" t="str">
        <v>99 - Unassigned</v>
      </c>
      <c r="F1257" s="129" t="str">
        <v>Solutions Plus</v>
      </c>
      <c r="G1257" s="144" t="str">
        <v>CON-01</v>
      </c>
      <c r="H1257" s="129" t="str">
        <v>To confirm</v>
      </c>
      <c r="I1257" s="144" t="str">
        <v>No</v>
      </c>
      <c r="J1257" s="144" t="str">
        <v>Base</v>
      </c>
      <c r="K1257" s="144" t="str">
        <v/>
      </c>
      <c r="L1257" s="146">
        <v>1</v>
      </c>
      <c r="M1257" s="142">
        <v>55</v>
      </c>
      <c r="N1257" s="144" t="str">
        <v>Unknown</v>
      </c>
      <c r="O1257" s="142" t="str">
        <v/>
      </c>
      <c r="P1257" s="142" t="str">
        <v/>
      </c>
      <c r="Q1257" s="142">
        <v>55</v>
      </c>
      <c r="R1257" s="129" t="str">
        <v>Unmatched</v>
      </c>
      <c r="S1257" s="143" t="str">
        <v/>
      </c>
      <c r="T1257" s="144" t="str">
        <v>SRC-00</v>
      </c>
      <c r="U1257" s="129" t="str">
        <v>S+ row 282</v>
      </c>
      <c r="V1257" s="129" t="str">
        <v/>
      </c>
    </row>
    <row r="1258" spans="1:22" x14ac:dyDescent="0.2">
      <c r="A1258" s="144" t="str">
        <v/>
      </c>
      <c r="B1258" s="145" t="str">
        <v/>
      </c>
      <c r="C1258" s="129" t="str">
        <v>EUA</v>
      </c>
      <c r="D1258" s="129" t="str">
        <v/>
      </c>
      <c r="E1258" s="129" t="str">
        <v>99 - Unassigned</v>
      </c>
      <c r="F1258" s="129" t="str">
        <v>Solutions Plus</v>
      </c>
      <c r="G1258" s="144" t="str">
        <v>CON-01</v>
      </c>
      <c r="H1258" s="129" t="str">
        <v>To confirm</v>
      </c>
      <c r="I1258" s="144" t="str">
        <v>No</v>
      </c>
      <c r="J1258" s="144" t="str">
        <v>Base</v>
      </c>
      <c r="K1258" s="144" t="str">
        <v/>
      </c>
      <c r="L1258" s="146">
        <v>5.7</v>
      </c>
      <c r="M1258" s="142">
        <v>310.75</v>
      </c>
      <c r="N1258" s="144" t="str">
        <v>Unknown</v>
      </c>
      <c r="O1258" s="142" t="str">
        <v/>
      </c>
      <c r="P1258" s="142" t="str">
        <v/>
      </c>
      <c r="Q1258" s="142">
        <v>54.517543859649123</v>
      </c>
      <c r="R1258" s="129" t="str">
        <v>Unmatched</v>
      </c>
      <c r="S1258" s="143" t="str">
        <v/>
      </c>
      <c r="T1258" s="144" t="str">
        <v>SRC-00</v>
      </c>
      <c r="U1258" s="129" t="str">
        <v>S+ row 290</v>
      </c>
      <c r="V1258" s="129" t="str">
        <v/>
      </c>
    </row>
    <row r="1259" spans="1:22" x14ac:dyDescent="0.2">
      <c r="A1259" s="144" t="str">
        <v/>
      </c>
      <c r="B1259" s="145" t="str">
        <v/>
      </c>
      <c r="C1259" s="129" t="str">
        <v>Evacuate Haematoma</v>
      </c>
      <c r="D1259" s="129" t="str">
        <v/>
      </c>
      <c r="E1259" s="129" t="str">
        <v>99 - Unassigned</v>
      </c>
      <c r="F1259" s="129" t="str">
        <v>Solutions Plus</v>
      </c>
      <c r="G1259" s="144" t="str">
        <v>CON-01</v>
      </c>
      <c r="H1259" s="129" t="str">
        <v>To confirm</v>
      </c>
      <c r="I1259" s="144" t="str">
        <v>No</v>
      </c>
      <c r="J1259" s="144" t="str">
        <v>Base</v>
      </c>
      <c r="K1259" s="144" t="str">
        <v/>
      </c>
      <c r="L1259" s="146">
        <v>8.6999999999999993</v>
      </c>
      <c r="M1259" s="142">
        <v>476.3</v>
      </c>
      <c r="N1259" s="144" t="str">
        <v>Unknown</v>
      </c>
      <c r="O1259" s="142" t="str">
        <v/>
      </c>
      <c r="P1259" s="142" t="str">
        <v/>
      </c>
      <c r="Q1259" s="142">
        <v>54.747126436781613</v>
      </c>
      <c r="R1259" s="129" t="str">
        <v>Unmatched</v>
      </c>
      <c r="S1259" s="143" t="str">
        <v/>
      </c>
      <c r="T1259" s="144" t="str">
        <v>SRC-00</v>
      </c>
      <c r="U1259" s="129" t="str">
        <v>S+ row 301</v>
      </c>
      <c r="V1259" s="129" t="str">
        <v/>
      </c>
    </row>
    <row r="1260" spans="1:22" x14ac:dyDescent="0.2">
      <c r="A1260" s="144" t="str">
        <v/>
      </c>
      <c r="B1260" s="145" t="str">
        <v/>
      </c>
      <c r="C1260" s="129" t="str">
        <v>Excision +/- Closure Of Chronic Pitonidal Disease</v>
      </c>
      <c r="D1260" s="129" t="str">
        <v/>
      </c>
      <c r="E1260" s="129" t="str">
        <v>99 - Unassigned</v>
      </c>
      <c r="F1260" s="129" t="str">
        <v>Solutions Plus</v>
      </c>
      <c r="G1260" s="144" t="str">
        <v>CON-01</v>
      </c>
      <c r="H1260" s="129" t="str">
        <v>To confirm</v>
      </c>
      <c r="I1260" s="144" t="str">
        <v>No</v>
      </c>
      <c r="J1260" s="144" t="str">
        <v>Base</v>
      </c>
      <c r="K1260" s="144" t="str">
        <v/>
      </c>
      <c r="L1260" s="146">
        <v>11</v>
      </c>
      <c r="M1260" s="142">
        <v>605</v>
      </c>
      <c r="N1260" s="144" t="str">
        <v>Unknown</v>
      </c>
      <c r="O1260" s="142" t="str">
        <v/>
      </c>
      <c r="P1260" s="142" t="str">
        <v/>
      </c>
      <c r="Q1260" s="142">
        <v>55</v>
      </c>
      <c r="R1260" s="129" t="str">
        <v>Unmatched</v>
      </c>
      <c r="S1260" s="143" t="str">
        <v/>
      </c>
      <c r="T1260" s="144" t="str">
        <v>SRC-00</v>
      </c>
      <c r="U1260" s="129" t="str">
        <v>S+ row 304</v>
      </c>
      <c r="V1260" s="129" t="str">
        <v/>
      </c>
    </row>
    <row r="1261" spans="1:22" x14ac:dyDescent="0.2">
      <c r="A1261" s="144" t="str">
        <v/>
      </c>
      <c r="B1261" s="145" t="str">
        <v/>
      </c>
      <c r="C1261" s="129" t="str">
        <v>Excision Lipoma</v>
      </c>
      <c r="D1261" s="129" t="str">
        <v/>
      </c>
      <c r="E1261" s="129" t="str">
        <v>99 - Unassigned</v>
      </c>
      <c r="F1261" s="129" t="str">
        <v>Solutions Plus</v>
      </c>
      <c r="G1261" s="144" t="str">
        <v>CON-01</v>
      </c>
      <c r="H1261" s="129" t="str">
        <v>To confirm</v>
      </c>
      <c r="I1261" s="144" t="str">
        <v>No</v>
      </c>
      <c r="J1261" s="144" t="str">
        <v>Base</v>
      </c>
      <c r="K1261" s="144" t="str">
        <v/>
      </c>
      <c r="L1261" s="146">
        <v>8.9</v>
      </c>
      <c r="M1261" s="142">
        <v>489.5</v>
      </c>
      <c r="N1261" s="144" t="str">
        <v>Unknown</v>
      </c>
      <c r="O1261" s="142" t="str">
        <v/>
      </c>
      <c r="P1261" s="142" t="str">
        <v/>
      </c>
      <c r="Q1261" s="142">
        <v>55</v>
      </c>
      <c r="R1261" s="129" t="str">
        <v>Unmatched</v>
      </c>
      <c r="S1261" s="143" t="str">
        <v/>
      </c>
      <c r="T1261" s="144" t="str">
        <v>SRC-00</v>
      </c>
      <c r="U1261" s="129" t="str">
        <v>S+ row 314</v>
      </c>
      <c r="V1261" s="129" t="str">
        <v/>
      </c>
    </row>
    <row r="1262" spans="1:22" x14ac:dyDescent="0.2">
      <c r="A1262" s="144" t="str">
        <v/>
      </c>
      <c r="B1262" s="145" t="str">
        <v/>
      </c>
      <c r="C1262" s="129" t="str">
        <v>Excision Of Coccyx</v>
      </c>
      <c r="D1262" s="129" t="str">
        <v/>
      </c>
      <c r="E1262" s="129" t="str">
        <v>99 - Unassigned</v>
      </c>
      <c r="F1262" s="129" t="str">
        <v>Solutions Plus</v>
      </c>
      <c r="G1262" s="144" t="str">
        <v>CON-01</v>
      </c>
      <c r="H1262" s="129" t="str">
        <v>To confirm</v>
      </c>
      <c r="I1262" s="144" t="str">
        <v>No</v>
      </c>
      <c r="J1262" s="144" t="str">
        <v>Base</v>
      </c>
      <c r="K1262" s="144" t="str">
        <v/>
      </c>
      <c r="L1262" s="146">
        <v>11.5</v>
      </c>
      <c r="M1262" s="142">
        <v>634.15</v>
      </c>
      <c r="N1262" s="144" t="str">
        <v>Unknown</v>
      </c>
      <c r="O1262" s="142" t="str">
        <v/>
      </c>
      <c r="P1262" s="142" t="str">
        <v/>
      </c>
      <c r="Q1262" s="142">
        <v>55.143478260869564</v>
      </c>
      <c r="R1262" s="129" t="str">
        <v>Unmatched</v>
      </c>
      <c r="S1262" s="143" t="str">
        <v/>
      </c>
      <c r="T1262" s="144" t="str">
        <v>SRC-00</v>
      </c>
      <c r="U1262" s="129" t="str">
        <v>S+ row 317</v>
      </c>
      <c r="V1262" s="129" t="str">
        <v/>
      </c>
    </row>
    <row r="1263" spans="1:22" x14ac:dyDescent="0.2">
      <c r="A1263" s="144" t="str">
        <v/>
      </c>
      <c r="B1263" s="145" t="str">
        <v/>
      </c>
      <c r="C1263" s="129" t="str">
        <v>Excision Of Foreign Body And Soft Tissue Mass Rig</v>
      </c>
      <c r="D1263" s="129" t="str">
        <v/>
      </c>
      <c r="E1263" s="129" t="str">
        <v>99 - Unassigned</v>
      </c>
      <c r="F1263" s="129" t="str">
        <v>Solutions Plus</v>
      </c>
      <c r="G1263" s="144" t="str">
        <v>CON-01</v>
      </c>
      <c r="H1263" s="129" t="str">
        <v>To confirm</v>
      </c>
      <c r="I1263" s="144" t="str">
        <v>No</v>
      </c>
      <c r="J1263" s="144" t="str">
        <v>Base</v>
      </c>
      <c r="K1263" s="144" t="str">
        <v/>
      </c>
      <c r="L1263" s="146">
        <v>12</v>
      </c>
      <c r="M1263" s="142">
        <v>660</v>
      </c>
      <c r="N1263" s="144" t="str">
        <v>Unknown</v>
      </c>
      <c r="O1263" s="142" t="str">
        <v/>
      </c>
      <c r="P1263" s="142" t="str">
        <v/>
      </c>
      <c r="Q1263" s="142">
        <v>55</v>
      </c>
      <c r="R1263" s="129" t="str">
        <v>Unmatched</v>
      </c>
      <c r="S1263" s="143" t="str">
        <v/>
      </c>
      <c r="T1263" s="144" t="str">
        <v>SRC-00</v>
      </c>
      <c r="U1263" s="129" t="str">
        <v>S+ row 318</v>
      </c>
      <c r="V1263" s="129" t="str">
        <v/>
      </c>
    </row>
    <row r="1264" spans="1:22" x14ac:dyDescent="0.2">
      <c r="A1264" s="144" t="str">
        <v/>
      </c>
      <c r="B1264" s="145" t="str">
        <v/>
      </c>
      <c r="C1264" s="129" t="str">
        <v>Excision Pilionidal Sinus</v>
      </c>
      <c r="D1264" s="129" t="str">
        <v/>
      </c>
      <c r="E1264" s="129" t="str">
        <v>99 - Unassigned</v>
      </c>
      <c r="F1264" s="129" t="str">
        <v>Solutions Plus</v>
      </c>
      <c r="G1264" s="144" t="str">
        <v>CON-01</v>
      </c>
      <c r="H1264" s="129" t="str">
        <v>To confirm</v>
      </c>
      <c r="I1264" s="144" t="str">
        <v>No</v>
      </c>
      <c r="J1264" s="144" t="str">
        <v>Base</v>
      </c>
      <c r="K1264" s="144" t="str">
        <v/>
      </c>
      <c r="L1264" s="146">
        <v>8.8000000000000007</v>
      </c>
      <c r="M1264" s="142">
        <v>481.25</v>
      </c>
      <c r="N1264" s="144" t="str">
        <v>Unknown</v>
      </c>
      <c r="O1264" s="142" t="str">
        <v/>
      </c>
      <c r="P1264" s="142" t="str">
        <v/>
      </c>
      <c r="Q1264" s="142">
        <v>54.687499999999993</v>
      </c>
      <c r="R1264" s="129" t="str">
        <v>Unmatched</v>
      </c>
      <c r="S1264" s="143" t="str">
        <v/>
      </c>
      <c r="T1264" s="144" t="str">
        <v>SRC-00</v>
      </c>
      <c r="U1264" s="129" t="str">
        <v>S+ row 322</v>
      </c>
      <c r="V1264" s="129" t="str">
        <v/>
      </c>
    </row>
    <row r="1265" spans="1:22" x14ac:dyDescent="0.2">
      <c r="A1265" s="144" t="str">
        <v/>
      </c>
      <c r="B1265" s="145" t="str">
        <v/>
      </c>
      <c r="C1265" s="129" t="str">
        <v>Expander/implant Exchange Both Breasts, LAVH/Sa</v>
      </c>
      <c r="D1265" s="129" t="str">
        <v/>
      </c>
      <c r="E1265" s="129" t="str">
        <v>99 - Unassigned</v>
      </c>
      <c r="F1265" s="129" t="str">
        <v>Solutions Plus</v>
      </c>
      <c r="G1265" s="144" t="str">
        <v>CON-01</v>
      </c>
      <c r="H1265" s="129" t="str">
        <v>To confirm</v>
      </c>
      <c r="I1265" s="144" t="str">
        <v>No</v>
      </c>
      <c r="J1265" s="144" t="str">
        <v>Base</v>
      </c>
      <c r="K1265" s="144" t="str">
        <v/>
      </c>
      <c r="L1265" s="146">
        <v>0</v>
      </c>
      <c r="M1265" s="142">
        <v>0</v>
      </c>
      <c r="N1265" s="144" t="str">
        <v>Unknown</v>
      </c>
      <c r="O1265" s="142" t="str">
        <v/>
      </c>
      <c r="P1265" s="142" t="str">
        <v/>
      </c>
      <c r="Q1265" s="142" t="str">
        <v/>
      </c>
      <c r="R1265" s="129" t="str">
        <v>Unmatched</v>
      </c>
      <c r="S1265" s="143" t="str">
        <v/>
      </c>
      <c r="T1265" s="144" t="str">
        <v>SRC-00</v>
      </c>
      <c r="U1265" s="129" t="str">
        <v>S+ row 326</v>
      </c>
      <c r="V1265" s="129" t="str">
        <v/>
      </c>
    </row>
    <row r="1266" spans="1:22" x14ac:dyDescent="0.2">
      <c r="A1266" s="144" t="str">
        <v/>
      </c>
      <c r="B1266" s="145" t="str">
        <v/>
      </c>
      <c r="C1266" s="129" t="str">
        <v>Fat Injection To Right Forearm,</v>
      </c>
      <c r="D1266" s="129" t="str">
        <v/>
      </c>
      <c r="E1266" s="129" t="str">
        <v>99 - Unassigned</v>
      </c>
      <c r="F1266" s="129" t="str">
        <v>Solutions Plus</v>
      </c>
      <c r="G1266" s="144" t="str">
        <v>CON-01</v>
      </c>
      <c r="H1266" s="129" t="str">
        <v>To confirm</v>
      </c>
      <c r="I1266" s="144" t="str">
        <v>No</v>
      </c>
      <c r="J1266" s="144" t="str">
        <v>Base</v>
      </c>
      <c r="K1266" s="144" t="str">
        <v/>
      </c>
      <c r="L1266" s="146">
        <v>0</v>
      </c>
      <c r="M1266" s="142">
        <v>0</v>
      </c>
      <c r="N1266" s="144" t="str">
        <v>Unknown</v>
      </c>
      <c r="O1266" s="142" t="str">
        <v/>
      </c>
      <c r="P1266" s="142" t="str">
        <v/>
      </c>
      <c r="Q1266" s="142" t="str">
        <v/>
      </c>
      <c r="R1266" s="129" t="str">
        <v>Unmatched</v>
      </c>
      <c r="S1266" s="143" t="str">
        <v/>
      </c>
      <c r="T1266" s="144" t="str">
        <v>SRC-00</v>
      </c>
      <c r="U1266" s="129" t="str">
        <v>S+ row 362</v>
      </c>
      <c r="V1266" s="129" t="str">
        <v/>
      </c>
    </row>
    <row r="1267" spans="1:22" x14ac:dyDescent="0.2">
      <c r="A1267" s="144" t="str">
        <v/>
      </c>
      <c r="B1267" s="145" t="str">
        <v/>
      </c>
      <c r="C1267" s="129" t="str">
        <v>Frenulectomy</v>
      </c>
      <c r="D1267" s="129" t="str">
        <v/>
      </c>
      <c r="E1267" s="129" t="str">
        <v>99 - Unassigned</v>
      </c>
      <c r="F1267" s="129" t="str">
        <v>Solutions Plus</v>
      </c>
      <c r="G1267" s="144" t="str">
        <v>CON-01</v>
      </c>
      <c r="H1267" s="129" t="str">
        <v>To confirm</v>
      </c>
      <c r="I1267" s="144" t="str">
        <v>No</v>
      </c>
      <c r="J1267" s="144" t="str">
        <v>Base</v>
      </c>
      <c r="K1267" s="144" t="str">
        <v/>
      </c>
      <c r="L1267" s="146">
        <v>7</v>
      </c>
      <c r="M1267" s="142">
        <v>385</v>
      </c>
      <c r="N1267" s="144" t="str">
        <v>Unknown</v>
      </c>
      <c r="O1267" s="142" t="str">
        <v/>
      </c>
      <c r="P1267" s="142" t="str">
        <v/>
      </c>
      <c r="Q1267" s="142">
        <v>55</v>
      </c>
      <c r="R1267" s="129" t="str">
        <v>Unmatched</v>
      </c>
      <c r="S1267" s="143" t="str">
        <v/>
      </c>
      <c r="T1267" s="144" t="str">
        <v>SRC-00</v>
      </c>
      <c r="U1267" s="129" t="str">
        <v>S+ row 375</v>
      </c>
      <c r="V1267" s="129" t="str">
        <v/>
      </c>
    </row>
    <row r="1268" spans="1:22" x14ac:dyDescent="0.2">
      <c r="A1268" s="144" t="str">
        <v/>
      </c>
      <c r="B1268" s="145" t="str">
        <v/>
      </c>
      <c r="C1268" s="129" t="str">
        <v>Frenuloplasty</v>
      </c>
      <c r="D1268" s="129" t="str">
        <v/>
      </c>
      <c r="E1268" s="129" t="str">
        <v>99 - Unassigned</v>
      </c>
      <c r="F1268" s="129" t="str">
        <v>Solutions Plus</v>
      </c>
      <c r="G1268" s="144" t="str">
        <v>CON-01</v>
      </c>
      <c r="H1268" s="129" t="str">
        <v>To confirm</v>
      </c>
      <c r="I1268" s="144" t="str">
        <v>No</v>
      </c>
      <c r="J1268" s="144" t="str">
        <v>Base</v>
      </c>
      <c r="K1268" s="144" t="str">
        <v/>
      </c>
      <c r="L1268" s="146">
        <v>6.6</v>
      </c>
      <c r="M1268" s="142">
        <v>361.35</v>
      </c>
      <c r="N1268" s="144" t="str">
        <v>Unknown</v>
      </c>
      <c r="O1268" s="142" t="str">
        <v/>
      </c>
      <c r="P1268" s="142" t="str">
        <v/>
      </c>
      <c r="Q1268" s="142">
        <v>54.750000000000007</v>
      </c>
      <c r="R1268" s="129" t="str">
        <v>Unmatched</v>
      </c>
      <c r="S1268" s="143" t="str">
        <v/>
      </c>
      <c r="T1268" s="144" t="str">
        <v>SRC-00</v>
      </c>
      <c r="U1268" s="129" t="str">
        <v>S+ row 376</v>
      </c>
      <c r="V1268" s="129" t="str">
        <v/>
      </c>
    </row>
    <row r="1269" spans="1:22" x14ac:dyDescent="0.2">
      <c r="A1269" s="144" t="str">
        <v/>
      </c>
      <c r="B1269" s="145" t="str">
        <v/>
      </c>
      <c r="C1269" s="129" t="str">
        <v>General Anaesthetic Add on Fee</v>
      </c>
      <c r="D1269" s="129" t="str">
        <v/>
      </c>
      <c r="E1269" s="129" t="str">
        <v>99 - Unassigned</v>
      </c>
      <c r="F1269" s="129" t="str">
        <v>SXAP</v>
      </c>
      <c r="G1269" s="144" t="str">
        <v>CON-02</v>
      </c>
      <c r="H1269" s="129" t="str">
        <v>Fixed fee schedule</v>
      </c>
      <c r="I1269" s="144" t="str">
        <v>Yes</v>
      </c>
      <c r="J1269" s="144" t="str">
        <v>Add-on</v>
      </c>
      <c r="K1269" s="144" t="str">
        <v>8265</v>
      </c>
      <c r="L1269" s="146" t="str">
        <v/>
      </c>
      <c r="M1269" s="142">
        <v>370</v>
      </c>
      <c r="N1269" s="144" t="str">
        <v>Incl</v>
      </c>
      <c r="O1269" s="142">
        <v>321.73913043478262</v>
      </c>
      <c r="P1269" s="142">
        <v>370</v>
      </c>
      <c r="Q1269" s="142" t="str">
        <v/>
      </c>
      <c r="R1269" s="129" t="str">
        <v>Unmatched</v>
      </c>
      <c r="S1269" s="143">
        <v>46113</v>
      </c>
      <c r="T1269" s="144" t="str">
        <v>SRC-05</v>
      </c>
      <c r="U1269" s="129" t="str">
        <v>p.1</v>
      </c>
      <c r="V1269" s="129" t="str">
        <v>Southern Cross Affiliated Provider (SXAP) – incl. GST. Add-on to the SXAP entropion/ectropion LA fees: combined $1,405 (unilateral) or $1,635 (bilateral). Numeric code as printed. Left Unmatched – see Open Questions.</v>
      </c>
    </row>
    <row r="1270" spans="1:22" x14ac:dyDescent="0.2">
      <c r="A1270" s="144" t="str">
        <v/>
      </c>
      <c r="B1270" s="145" t="str">
        <v/>
      </c>
      <c r="C1270" s="129" t="str">
        <v>General Anaesthetic Add on Fee</v>
      </c>
      <c r="D1270" s="129" t="str">
        <v/>
      </c>
      <c r="E1270" s="129" t="str">
        <v>99 - Unassigned</v>
      </c>
      <c r="F1270" s="129" t="str">
        <v>SXAP</v>
      </c>
      <c r="G1270" s="144" t="str">
        <v>CON-02</v>
      </c>
      <c r="H1270" s="129" t="str">
        <v>Fixed fee schedule</v>
      </c>
      <c r="I1270" s="144" t="str">
        <v>Yes</v>
      </c>
      <c r="J1270" s="144" t="str">
        <v>Add-on</v>
      </c>
      <c r="K1270" s="144" t="str">
        <v>8265</v>
      </c>
      <c r="L1270" s="146" t="str">
        <v/>
      </c>
      <c r="M1270" s="142">
        <v>370</v>
      </c>
      <c r="N1270" s="144" t="str">
        <v>Incl</v>
      </c>
      <c r="O1270" s="142">
        <v>321.73913043478262</v>
      </c>
      <c r="P1270" s="142">
        <v>370</v>
      </c>
      <c r="Q1270" s="142" t="str">
        <v/>
      </c>
      <c r="R1270" s="129" t="str">
        <v>Unmatched</v>
      </c>
      <c r="S1270" s="143">
        <v>46113</v>
      </c>
      <c r="T1270" s="144" t="str">
        <v>SRC-07</v>
      </c>
      <c r="U1270" s="129" t="str">
        <v>p.1</v>
      </c>
      <c r="V1270" s="129" t="str">
        <v>Southern Cross Affiliated Provider (SXAP) – incl. GST. Add-on to the SXAP blepharoplasty/ptosis LA fees: combined $1,280–$1,695. Numeric code as printed. Same code, description and fee as the SRC-05 8265 row directly above – left Unmatched pending Open Questions Q19.</v>
      </c>
    </row>
    <row r="1271" spans="1:22" x14ac:dyDescent="0.2">
      <c r="A1271" s="144" t="str">
        <v/>
      </c>
      <c r="B1271" s="145" t="str">
        <v/>
      </c>
      <c r="C1271" s="129" t="str">
        <v>Hand Surgery</v>
      </c>
      <c r="D1271" s="129" t="str">
        <v/>
      </c>
      <c r="E1271" s="129" t="str">
        <v>99 - Unassigned</v>
      </c>
      <c r="F1271" s="129" t="str">
        <v>Solutions Plus</v>
      </c>
      <c r="G1271" s="144" t="str">
        <v>CON-01</v>
      </c>
      <c r="H1271" s="129" t="str">
        <v>To confirm</v>
      </c>
      <c r="I1271" s="144" t="str">
        <v>No</v>
      </c>
      <c r="J1271" s="144" t="str">
        <v>Base</v>
      </c>
      <c r="K1271" s="144" t="str">
        <v/>
      </c>
      <c r="L1271" s="146">
        <v>9</v>
      </c>
      <c r="M1271" s="142">
        <v>495</v>
      </c>
      <c r="N1271" s="144" t="str">
        <v>Unknown</v>
      </c>
      <c r="O1271" s="142" t="str">
        <v/>
      </c>
      <c r="P1271" s="142" t="str">
        <v/>
      </c>
      <c r="Q1271" s="142">
        <v>55</v>
      </c>
      <c r="R1271" s="129" t="str">
        <v>Unmatched</v>
      </c>
      <c r="S1271" s="143" t="str">
        <v/>
      </c>
      <c r="T1271" s="144" t="str">
        <v>SRC-00</v>
      </c>
      <c r="U1271" s="129" t="str">
        <v>S+ row 402</v>
      </c>
      <c r="V1271" s="129" t="str">
        <v/>
      </c>
    </row>
    <row r="1272" spans="1:22" x14ac:dyDescent="0.2">
      <c r="A1272" s="144" t="str">
        <v/>
      </c>
      <c r="B1272" s="145" t="str">
        <v/>
      </c>
      <c r="C1272" s="129" t="str">
        <v>Hip Dislocation</v>
      </c>
      <c r="D1272" s="129" t="str">
        <v/>
      </c>
      <c r="E1272" s="129" t="str">
        <v>99 - Unassigned</v>
      </c>
      <c r="F1272" s="129" t="str">
        <v>Solutions Plus</v>
      </c>
      <c r="G1272" s="144" t="str">
        <v>CON-01</v>
      </c>
      <c r="H1272" s="129" t="str">
        <v>To confirm</v>
      </c>
      <c r="I1272" s="144" t="str">
        <v>No</v>
      </c>
      <c r="J1272" s="144" t="str">
        <v>Base</v>
      </c>
      <c r="K1272" s="144" t="str">
        <v/>
      </c>
      <c r="L1272" s="146">
        <v>0</v>
      </c>
      <c r="M1272" s="142">
        <v>0</v>
      </c>
      <c r="N1272" s="144" t="str">
        <v>Unknown</v>
      </c>
      <c r="O1272" s="142" t="str">
        <v/>
      </c>
      <c r="P1272" s="142" t="str">
        <v/>
      </c>
      <c r="Q1272" s="142" t="str">
        <v/>
      </c>
      <c r="R1272" s="129" t="str">
        <v>Unmatched</v>
      </c>
      <c r="S1272" s="143" t="str">
        <v/>
      </c>
      <c r="T1272" s="144" t="str">
        <v>SRC-00</v>
      </c>
      <c r="U1272" s="129" t="str">
        <v>S+ row 414</v>
      </c>
      <c r="V1272" s="129" t="str">
        <v/>
      </c>
    </row>
    <row r="1273" spans="1:22" x14ac:dyDescent="0.2">
      <c r="A1273" s="144" t="str">
        <v/>
      </c>
      <c r="B1273" s="145" t="str">
        <v/>
      </c>
      <c r="C1273" s="129" t="str">
        <v>Intraperitoneal And Abdominal Wall Haemorrhage (t</v>
      </c>
      <c r="D1273" s="129" t="str">
        <v/>
      </c>
      <c r="E1273" s="129" t="str">
        <v>99 - Unassigned</v>
      </c>
      <c r="F1273" s="129" t="str">
        <v>Solutions Plus</v>
      </c>
      <c r="G1273" s="144" t="str">
        <v>CON-01</v>
      </c>
      <c r="H1273" s="129" t="str">
        <v>To confirm</v>
      </c>
      <c r="I1273" s="144" t="str">
        <v>No</v>
      </c>
      <c r="J1273" s="144" t="str">
        <v>Base</v>
      </c>
      <c r="K1273" s="144" t="str">
        <v/>
      </c>
      <c r="L1273" s="146">
        <v>23</v>
      </c>
      <c r="M1273" s="142">
        <v>1265</v>
      </c>
      <c r="N1273" s="144" t="str">
        <v>Unknown</v>
      </c>
      <c r="O1273" s="142" t="str">
        <v/>
      </c>
      <c r="P1273" s="142" t="str">
        <v/>
      </c>
      <c r="Q1273" s="142">
        <v>55</v>
      </c>
      <c r="R1273" s="129" t="str">
        <v>Unmatched</v>
      </c>
      <c r="S1273" s="143" t="str">
        <v/>
      </c>
      <c r="T1273" s="144" t="str">
        <v>SRC-00</v>
      </c>
      <c r="U1273" s="129" t="str">
        <v>S+ row 445</v>
      </c>
      <c r="V1273" s="129" t="str">
        <v/>
      </c>
    </row>
    <row r="1274" spans="1:22" x14ac:dyDescent="0.2">
      <c r="A1274" s="144" t="str">
        <v/>
      </c>
      <c r="B1274" s="145" t="str">
        <v/>
      </c>
      <c r="C1274" s="129" t="str">
        <v>Iron Infusion</v>
      </c>
      <c r="D1274" s="129" t="str">
        <v/>
      </c>
      <c r="E1274" s="129" t="str">
        <v>99 - Unassigned</v>
      </c>
      <c r="F1274" s="129" t="str">
        <v>Solutions Plus</v>
      </c>
      <c r="G1274" s="144" t="str">
        <v>CON-01</v>
      </c>
      <c r="H1274" s="129" t="str">
        <v>To confirm</v>
      </c>
      <c r="I1274" s="144" t="str">
        <v>No</v>
      </c>
      <c r="J1274" s="144" t="str">
        <v>Base</v>
      </c>
      <c r="K1274" s="144" t="str">
        <v/>
      </c>
      <c r="L1274" s="146">
        <v>5</v>
      </c>
      <c r="M1274" s="142">
        <v>275</v>
      </c>
      <c r="N1274" s="144" t="str">
        <v>Unknown</v>
      </c>
      <c r="O1274" s="142" t="str">
        <v/>
      </c>
      <c r="P1274" s="142" t="str">
        <v/>
      </c>
      <c r="Q1274" s="142">
        <v>55</v>
      </c>
      <c r="R1274" s="129" t="str">
        <v>Unmatched</v>
      </c>
      <c r="S1274" s="143" t="str">
        <v/>
      </c>
      <c r="T1274" s="144" t="str">
        <v>SRC-00</v>
      </c>
      <c r="U1274" s="129" t="str">
        <v>S+ row 446</v>
      </c>
      <c r="V1274" s="129" t="str">
        <v/>
      </c>
    </row>
    <row r="1275" spans="1:22" x14ac:dyDescent="0.2">
      <c r="A1275" s="144" t="str">
        <v/>
      </c>
      <c r="B1275" s="145" t="str">
        <v/>
      </c>
      <c r="C1275" s="129" t="str">
        <v>Laparoscopic Hysteroscopy</v>
      </c>
      <c r="D1275" s="129" t="str">
        <v/>
      </c>
      <c r="E1275" s="129" t="str">
        <v>99 - Unassigned</v>
      </c>
      <c r="F1275" s="129" t="str">
        <v>Solutions Plus</v>
      </c>
      <c r="G1275" s="144" t="str">
        <v>CON-01</v>
      </c>
      <c r="H1275" s="129" t="str">
        <v>To confirm</v>
      </c>
      <c r="I1275" s="144" t="str">
        <v>No</v>
      </c>
      <c r="J1275" s="144" t="str">
        <v>Base</v>
      </c>
      <c r="K1275" s="144" t="str">
        <v/>
      </c>
      <c r="L1275" s="146">
        <v>6</v>
      </c>
      <c r="M1275" s="142">
        <v>330</v>
      </c>
      <c r="N1275" s="144" t="str">
        <v>Unknown</v>
      </c>
      <c r="O1275" s="142" t="str">
        <v/>
      </c>
      <c r="P1275" s="142" t="str">
        <v/>
      </c>
      <c r="Q1275" s="142">
        <v>55</v>
      </c>
      <c r="R1275" s="129" t="str">
        <v>Unmatched</v>
      </c>
      <c r="S1275" s="143" t="str">
        <v/>
      </c>
      <c r="T1275" s="144" t="str">
        <v>SRC-00</v>
      </c>
      <c r="U1275" s="129" t="str">
        <v>S+ row 460</v>
      </c>
      <c r="V1275" s="129" t="str">
        <v/>
      </c>
    </row>
    <row r="1276" spans="1:22" x14ac:dyDescent="0.2">
      <c r="A1276" s="144" t="str">
        <v/>
      </c>
      <c r="B1276" s="145" t="str">
        <v/>
      </c>
      <c r="C1276" s="129" t="str">
        <v>Left Renal Calculus - CDHB</v>
      </c>
      <c r="D1276" s="129" t="str">
        <v/>
      </c>
      <c r="E1276" s="129" t="str">
        <v>99 - Unassigned</v>
      </c>
      <c r="F1276" s="129" t="str">
        <v>Solutions Plus</v>
      </c>
      <c r="G1276" s="144" t="str">
        <v>CON-01</v>
      </c>
      <c r="H1276" s="129" t="str">
        <v>To confirm</v>
      </c>
      <c r="I1276" s="144" t="str">
        <v>No</v>
      </c>
      <c r="J1276" s="144" t="str">
        <v>Base</v>
      </c>
      <c r="K1276" s="144" t="str">
        <v/>
      </c>
      <c r="L1276" s="146">
        <v>10.4</v>
      </c>
      <c r="M1276" s="142">
        <v>570.35</v>
      </c>
      <c r="N1276" s="144" t="str">
        <v>Unknown</v>
      </c>
      <c r="O1276" s="142" t="str">
        <v/>
      </c>
      <c r="P1276" s="142" t="str">
        <v/>
      </c>
      <c r="Q1276" s="142">
        <v>54.841346153846153</v>
      </c>
      <c r="R1276" s="129" t="str">
        <v>Unmatched</v>
      </c>
      <c r="S1276" s="143" t="str">
        <v/>
      </c>
      <c r="T1276" s="144" t="str">
        <v>SRC-00</v>
      </c>
      <c r="U1276" s="129" t="str">
        <v>S+ row 588</v>
      </c>
      <c r="V1276" s="129" t="str">
        <v/>
      </c>
    </row>
    <row r="1277" spans="1:22" x14ac:dyDescent="0.2">
      <c r="A1277" s="144" t="str">
        <v/>
      </c>
      <c r="B1277" s="145" t="str">
        <v/>
      </c>
      <c r="C1277" s="129" t="str">
        <v>Ligament Repair</v>
      </c>
      <c r="D1277" s="129" t="str">
        <v/>
      </c>
      <c r="E1277" s="129" t="str">
        <v>99 - Unassigned</v>
      </c>
      <c r="F1277" s="129" t="str">
        <v>Solutions Plus</v>
      </c>
      <c r="G1277" s="144" t="str">
        <v>CON-01</v>
      </c>
      <c r="H1277" s="129" t="str">
        <v>To confirm</v>
      </c>
      <c r="I1277" s="144" t="str">
        <v>No</v>
      </c>
      <c r="J1277" s="144" t="str">
        <v>Base</v>
      </c>
      <c r="K1277" s="144" t="str">
        <v/>
      </c>
      <c r="L1277" s="146">
        <v>9</v>
      </c>
      <c r="M1277" s="142">
        <v>495</v>
      </c>
      <c r="N1277" s="144" t="str">
        <v>Unknown</v>
      </c>
      <c r="O1277" s="142" t="str">
        <v/>
      </c>
      <c r="P1277" s="142" t="str">
        <v/>
      </c>
      <c r="Q1277" s="142">
        <v>55</v>
      </c>
      <c r="R1277" s="129" t="str">
        <v>Unmatched</v>
      </c>
      <c r="S1277" s="143" t="str">
        <v/>
      </c>
      <c r="T1277" s="144" t="str">
        <v>SRC-00</v>
      </c>
      <c r="U1277" s="129" t="str">
        <v>S+ row 610</v>
      </c>
      <c r="V1277" s="129" t="str">
        <v/>
      </c>
    </row>
    <row r="1278" spans="1:22" x14ac:dyDescent="0.2">
      <c r="A1278" s="144" t="str">
        <v/>
      </c>
      <c r="B1278" s="145" t="str">
        <v/>
      </c>
      <c r="C1278" s="129" t="str">
        <v>Lipo Modelling From Abdominal Wall To Infiltrate Ri</v>
      </c>
      <c r="D1278" s="129" t="str">
        <v/>
      </c>
      <c r="E1278" s="129" t="str">
        <v>99 - Unassigned</v>
      </c>
      <c r="F1278" s="129" t="str">
        <v>Solutions Plus</v>
      </c>
      <c r="G1278" s="144" t="str">
        <v>CON-01</v>
      </c>
      <c r="H1278" s="129" t="str">
        <v>To confirm</v>
      </c>
      <c r="I1278" s="144" t="str">
        <v>No</v>
      </c>
      <c r="J1278" s="144" t="str">
        <v>Base</v>
      </c>
      <c r="K1278" s="144" t="str">
        <v/>
      </c>
      <c r="L1278" s="146">
        <v>18</v>
      </c>
      <c r="M1278" s="142">
        <v>990</v>
      </c>
      <c r="N1278" s="144" t="str">
        <v>Unknown</v>
      </c>
      <c r="O1278" s="142" t="str">
        <v/>
      </c>
      <c r="P1278" s="142" t="str">
        <v/>
      </c>
      <c r="Q1278" s="142">
        <v>55</v>
      </c>
      <c r="R1278" s="129" t="str">
        <v>Unmatched</v>
      </c>
      <c r="S1278" s="143" t="str">
        <v/>
      </c>
      <c r="T1278" s="144" t="str">
        <v>SRC-00</v>
      </c>
      <c r="U1278" s="129" t="str">
        <v>S+ row 611</v>
      </c>
      <c r="V1278" s="129" t="str">
        <v/>
      </c>
    </row>
    <row r="1279" spans="1:22" x14ac:dyDescent="0.2">
      <c r="A1279" s="144" t="str">
        <v/>
      </c>
      <c r="B1279" s="145" t="str">
        <v/>
      </c>
      <c r="C1279" s="129" t="str">
        <v>Lipoma Excision</v>
      </c>
      <c r="D1279" s="129" t="str">
        <v/>
      </c>
      <c r="E1279" s="129" t="str">
        <v>99 - Unassigned</v>
      </c>
      <c r="F1279" s="129" t="str">
        <v>Solutions Plus</v>
      </c>
      <c r="G1279" s="144" t="str">
        <v>CON-01</v>
      </c>
      <c r="H1279" s="129" t="str">
        <v>To confirm</v>
      </c>
      <c r="I1279" s="144" t="str">
        <v>No</v>
      </c>
      <c r="J1279" s="144" t="str">
        <v>Base</v>
      </c>
      <c r="K1279" s="144" t="str">
        <v/>
      </c>
      <c r="L1279" s="146">
        <v>0</v>
      </c>
      <c r="M1279" s="142">
        <v>0</v>
      </c>
      <c r="N1279" s="144" t="str">
        <v>Unknown</v>
      </c>
      <c r="O1279" s="142" t="str">
        <v/>
      </c>
      <c r="P1279" s="142" t="str">
        <v/>
      </c>
      <c r="Q1279" s="142" t="str">
        <v/>
      </c>
      <c r="R1279" s="129" t="str">
        <v>Unmatched</v>
      </c>
      <c r="S1279" s="143" t="str">
        <v/>
      </c>
      <c r="T1279" s="144" t="str">
        <v>SRC-00</v>
      </c>
      <c r="U1279" s="129" t="str">
        <v>S+ row 613</v>
      </c>
      <c r="V1279" s="129" t="str">
        <v/>
      </c>
    </row>
    <row r="1280" spans="1:22" x14ac:dyDescent="0.2">
      <c r="A1280" s="144" t="str">
        <v/>
      </c>
      <c r="B1280" s="145" t="str">
        <v/>
      </c>
      <c r="C1280" s="129" t="str">
        <v>Liposuction To Contour Deformity Right Knee</v>
      </c>
      <c r="D1280" s="129" t="str">
        <v/>
      </c>
      <c r="E1280" s="129" t="str">
        <v>99 - Unassigned</v>
      </c>
      <c r="F1280" s="129" t="str">
        <v>Solutions Plus</v>
      </c>
      <c r="G1280" s="144" t="str">
        <v>CON-01</v>
      </c>
      <c r="H1280" s="129" t="str">
        <v>To confirm</v>
      </c>
      <c r="I1280" s="144" t="str">
        <v>No</v>
      </c>
      <c r="J1280" s="144" t="str">
        <v>Base</v>
      </c>
      <c r="K1280" s="144" t="str">
        <v/>
      </c>
      <c r="L1280" s="146">
        <v>9</v>
      </c>
      <c r="M1280" s="142">
        <v>495</v>
      </c>
      <c r="N1280" s="144" t="str">
        <v>Unknown</v>
      </c>
      <c r="O1280" s="142" t="str">
        <v/>
      </c>
      <c r="P1280" s="142" t="str">
        <v/>
      </c>
      <c r="Q1280" s="142">
        <v>55</v>
      </c>
      <c r="R1280" s="129" t="str">
        <v>Unmatched</v>
      </c>
      <c r="S1280" s="143" t="str">
        <v/>
      </c>
      <c r="T1280" s="144" t="str">
        <v>SRC-00</v>
      </c>
      <c r="U1280" s="129" t="str">
        <v>S+ row 616</v>
      </c>
      <c r="V1280" s="129" t="str">
        <v/>
      </c>
    </row>
    <row r="1281" spans="1:22" x14ac:dyDescent="0.2">
      <c r="A1281" s="144" t="str">
        <v/>
      </c>
      <c r="B1281" s="145" t="str">
        <v/>
      </c>
      <c r="C1281" s="129" t="str">
        <v>Meatoplasty</v>
      </c>
      <c r="D1281" s="129" t="str">
        <v/>
      </c>
      <c r="E1281" s="129" t="str">
        <v>99 - Unassigned</v>
      </c>
      <c r="F1281" s="129" t="str">
        <v>Solutions Plus</v>
      </c>
      <c r="G1281" s="144" t="str">
        <v>CON-01</v>
      </c>
      <c r="H1281" s="129" t="str">
        <v>To confirm</v>
      </c>
      <c r="I1281" s="144" t="str">
        <v>No</v>
      </c>
      <c r="J1281" s="144" t="str">
        <v>Base</v>
      </c>
      <c r="K1281" s="144" t="str">
        <v/>
      </c>
      <c r="L1281" s="146">
        <v>6.8</v>
      </c>
      <c r="M1281" s="142">
        <v>374</v>
      </c>
      <c r="N1281" s="144" t="str">
        <v>Unknown</v>
      </c>
      <c r="O1281" s="142" t="str">
        <v/>
      </c>
      <c r="P1281" s="142" t="str">
        <v/>
      </c>
      <c r="Q1281" s="142">
        <v>55</v>
      </c>
      <c r="R1281" s="129" t="str">
        <v>Unmatched</v>
      </c>
      <c r="S1281" s="143" t="str">
        <v/>
      </c>
      <c r="T1281" s="144" t="str">
        <v>SRC-00</v>
      </c>
      <c r="U1281" s="129" t="str">
        <v>S+ row 634</v>
      </c>
      <c r="V1281" s="129" t="str">
        <v/>
      </c>
    </row>
    <row r="1282" spans="1:22" x14ac:dyDescent="0.2">
      <c r="A1282" s="144" t="str">
        <v/>
      </c>
      <c r="B1282" s="145" t="str">
        <v/>
      </c>
      <c r="C1282" s="129" t="str">
        <v>Monarch Repair.</v>
      </c>
      <c r="D1282" s="129" t="str">
        <v/>
      </c>
      <c r="E1282" s="129" t="str">
        <v>99 - Unassigned</v>
      </c>
      <c r="F1282" s="129" t="str">
        <v>Solutions Plus</v>
      </c>
      <c r="G1282" s="144" t="str">
        <v>CON-01</v>
      </c>
      <c r="H1282" s="129" t="str">
        <v>To confirm</v>
      </c>
      <c r="I1282" s="144" t="str">
        <v>No</v>
      </c>
      <c r="J1282" s="144" t="str">
        <v>Base</v>
      </c>
      <c r="K1282" s="144" t="str">
        <v/>
      </c>
      <c r="L1282" s="146">
        <v>0</v>
      </c>
      <c r="M1282" s="142">
        <v>0</v>
      </c>
      <c r="N1282" s="144" t="str">
        <v>Unknown</v>
      </c>
      <c r="O1282" s="142" t="str">
        <v/>
      </c>
      <c r="P1282" s="142" t="str">
        <v/>
      </c>
      <c r="Q1282" s="142" t="str">
        <v/>
      </c>
      <c r="R1282" s="129" t="str">
        <v>Unmatched</v>
      </c>
      <c r="S1282" s="143" t="str">
        <v/>
      </c>
      <c r="T1282" s="144" t="str">
        <v>SRC-00</v>
      </c>
      <c r="U1282" s="129" t="str">
        <v>S+ row 646</v>
      </c>
      <c r="V1282" s="129" t="str">
        <v/>
      </c>
    </row>
    <row r="1283" spans="1:22" x14ac:dyDescent="0.2">
      <c r="A1283" s="144" t="str">
        <v/>
      </c>
      <c r="B1283" s="145" t="str">
        <v/>
      </c>
      <c r="C1283" s="129" t="str">
        <v>Nose ACC Left Lower Eyelide (Self Funded)</v>
      </c>
      <c r="D1283" s="129" t="str">
        <v/>
      </c>
      <c r="E1283" s="129" t="str">
        <v>99 - Unassigned</v>
      </c>
      <c r="F1283" s="129" t="str">
        <v>Solutions Plus</v>
      </c>
      <c r="G1283" s="144" t="str">
        <v>CON-01</v>
      </c>
      <c r="H1283" s="129" t="str">
        <v>To confirm</v>
      </c>
      <c r="I1283" s="144" t="str">
        <v>No</v>
      </c>
      <c r="J1283" s="144" t="str">
        <v>Base</v>
      </c>
      <c r="K1283" s="144" t="str">
        <v/>
      </c>
      <c r="L1283" s="146">
        <v>0</v>
      </c>
      <c r="M1283" s="142">
        <v>0</v>
      </c>
      <c r="N1283" s="144" t="str">
        <v>Unknown</v>
      </c>
      <c r="O1283" s="142" t="str">
        <v/>
      </c>
      <c r="P1283" s="142" t="str">
        <v/>
      </c>
      <c r="Q1283" s="142" t="str">
        <v/>
      </c>
      <c r="R1283" s="129" t="str">
        <v>Unmatched</v>
      </c>
      <c r="S1283" s="143" t="str">
        <v/>
      </c>
      <c r="T1283" s="144" t="str">
        <v>SRC-00</v>
      </c>
      <c r="U1283" s="129" t="str">
        <v>S+ row 655</v>
      </c>
      <c r="V1283" s="129" t="str">
        <v/>
      </c>
    </row>
    <row r="1284" spans="1:22" x14ac:dyDescent="0.2">
      <c r="A1284" s="144" t="str">
        <v/>
      </c>
      <c r="B1284" s="145" t="str">
        <v/>
      </c>
      <c r="C1284" s="129" t="str">
        <v>Operating</v>
      </c>
      <c r="D1284" s="129" t="str">
        <v/>
      </c>
      <c r="E1284" s="129" t="str">
        <v>99 - Unassigned</v>
      </c>
      <c r="F1284" s="129" t="str">
        <v>Solutions Plus</v>
      </c>
      <c r="G1284" s="144" t="str">
        <v>CON-01</v>
      </c>
      <c r="H1284" s="129" t="str">
        <v>To confirm</v>
      </c>
      <c r="I1284" s="144" t="str">
        <v>No</v>
      </c>
      <c r="J1284" s="144" t="str">
        <v>Base</v>
      </c>
      <c r="K1284" s="144" t="str">
        <v/>
      </c>
      <c r="L1284" s="146">
        <v>0</v>
      </c>
      <c r="M1284" s="142">
        <v>0</v>
      </c>
      <c r="N1284" s="144" t="str">
        <v>Unknown</v>
      </c>
      <c r="O1284" s="142" t="str">
        <v/>
      </c>
      <c r="P1284" s="142" t="str">
        <v/>
      </c>
      <c r="Q1284" s="142" t="str">
        <v/>
      </c>
      <c r="R1284" s="129" t="str">
        <v>Unmatched</v>
      </c>
      <c r="S1284" s="143" t="str">
        <v/>
      </c>
      <c r="T1284" s="144" t="str">
        <v>SRC-00</v>
      </c>
      <c r="U1284" s="129" t="str">
        <v>S+ row 675</v>
      </c>
      <c r="V1284" s="129" t="str">
        <v/>
      </c>
    </row>
    <row r="1285" spans="1:22" x14ac:dyDescent="0.2">
      <c r="A1285" s="144" t="str">
        <v/>
      </c>
      <c r="B1285" s="145" t="str">
        <v/>
      </c>
      <c r="C1285" s="129" t="str">
        <v>ORIF</v>
      </c>
      <c r="D1285" s="129" t="str">
        <v/>
      </c>
      <c r="E1285" s="129" t="str">
        <v>99 - Unassigned</v>
      </c>
      <c r="F1285" s="129" t="str">
        <v>Solutions Plus</v>
      </c>
      <c r="G1285" s="144" t="str">
        <v>CON-01</v>
      </c>
      <c r="H1285" s="129" t="str">
        <v>To confirm</v>
      </c>
      <c r="I1285" s="144" t="str">
        <v>No</v>
      </c>
      <c r="J1285" s="144" t="str">
        <v>Base</v>
      </c>
      <c r="K1285" s="144" t="str">
        <v/>
      </c>
      <c r="L1285" s="146">
        <v>16.5</v>
      </c>
      <c r="M1285" s="142">
        <v>907.5</v>
      </c>
      <c r="N1285" s="144" t="str">
        <v>Unknown</v>
      </c>
      <c r="O1285" s="142" t="str">
        <v/>
      </c>
      <c r="P1285" s="142" t="str">
        <v/>
      </c>
      <c r="Q1285" s="142">
        <v>55</v>
      </c>
      <c r="R1285" s="129" t="str">
        <v>Unmatched</v>
      </c>
      <c r="S1285" s="143" t="str">
        <v/>
      </c>
      <c r="T1285" s="144" t="str">
        <v>SRC-00</v>
      </c>
      <c r="U1285" s="129" t="str">
        <v>S+ row 683</v>
      </c>
      <c r="V1285" s="129" t="str">
        <v/>
      </c>
    </row>
    <row r="1286" spans="1:22" x14ac:dyDescent="0.2">
      <c r="A1286" s="144" t="str">
        <v/>
      </c>
      <c r="B1286" s="145" t="str">
        <v/>
      </c>
      <c r="C1286" s="129" t="str">
        <v>Osteotomy</v>
      </c>
      <c r="D1286" s="129" t="str">
        <v/>
      </c>
      <c r="E1286" s="129" t="str">
        <v>99 - Unassigned</v>
      </c>
      <c r="F1286" s="129" t="str">
        <v>Solutions Plus</v>
      </c>
      <c r="G1286" s="144" t="str">
        <v>CON-01</v>
      </c>
      <c r="H1286" s="129" t="str">
        <v>To confirm</v>
      </c>
      <c r="I1286" s="144" t="str">
        <v>No</v>
      </c>
      <c r="J1286" s="144" t="str">
        <v>Base</v>
      </c>
      <c r="K1286" s="144" t="str">
        <v/>
      </c>
      <c r="L1286" s="146">
        <v>10.5</v>
      </c>
      <c r="M1286" s="142">
        <v>577.5</v>
      </c>
      <c r="N1286" s="144" t="str">
        <v>Unknown</v>
      </c>
      <c r="O1286" s="142" t="str">
        <v/>
      </c>
      <c r="P1286" s="142" t="str">
        <v/>
      </c>
      <c r="Q1286" s="142">
        <v>55</v>
      </c>
      <c r="R1286" s="129" t="str">
        <v>Unmatched</v>
      </c>
      <c r="S1286" s="143" t="str">
        <v/>
      </c>
      <c r="T1286" s="144" t="str">
        <v>SRC-00</v>
      </c>
      <c r="U1286" s="129" t="str">
        <v>S+ row 686</v>
      </c>
      <c r="V1286" s="129" t="str">
        <v/>
      </c>
    </row>
    <row r="1287" spans="1:22" x14ac:dyDescent="0.2">
      <c r="A1287" s="144" t="str">
        <v/>
      </c>
      <c r="B1287" s="145" t="str">
        <v/>
      </c>
      <c r="C1287" s="129" t="str">
        <v>Pilonidal Sinus</v>
      </c>
      <c r="D1287" s="129" t="str">
        <v/>
      </c>
      <c r="E1287" s="129" t="str">
        <v>99 - Unassigned</v>
      </c>
      <c r="F1287" s="129" t="str">
        <v>Solutions Plus</v>
      </c>
      <c r="G1287" s="144" t="str">
        <v>CON-01</v>
      </c>
      <c r="H1287" s="129" t="str">
        <v>To confirm</v>
      </c>
      <c r="I1287" s="144" t="str">
        <v>No</v>
      </c>
      <c r="J1287" s="144" t="str">
        <v>Base</v>
      </c>
      <c r="K1287" s="144" t="str">
        <v/>
      </c>
      <c r="L1287" s="146">
        <v>8.1</v>
      </c>
      <c r="M1287" s="142">
        <v>447.15</v>
      </c>
      <c r="N1287" s="144" t="str">
        <v>Unknown</v>
      </c>
      <c r="O1287" s="142" t="str">
        <v/>
      </c>
      <c r="P1287" s="142" t="str">
        <v/>
      </c>
      <c r="Q1287" s="142">
        <v>55.203703703703702</v>
      </c>
      <c r="R1287" s="129" t="str">
        <v>Unmatched</v>
      </c>
      <c r="S1287" s="143" t="str">
        <v/>
      </c>
      <c r="T1287" s="144" t="str">
        <v>SRC-00</v>
      </c>
      <c r="U1287" s="129" t="str">
        <v>S+ row 696</v>
      </c>
      <c r="V1287" s="129" t="str">
        <v/>
      </c>
    </row>
    <row r="1288" spans="1:22" x14ac:dyDescent="0.2">
      <c r="A1288" s="144" t="str">
        <v/>
      </c>
      <c r="B1288" s="145" t="str">
        <v/>
      </c>
      <c r="C1288" s="129" t="str">
        <v>Polypectomy</v>
      </c>
      <c r="D1288" s="129" t="str">
        <v/>
      </c>
      <c r="E1288" s="129" t="str">
        <v>99 - Unassigned</v>
      </c>
      <c r="F1288" s="129" t="str">
        <v>Solutions Plus</v>
      </c>
      <c r="G1288" s="144" t="str">
        <v>CON-01</v>
      </c>
      <c r="H1288" s="129" t="str">
        <v>To confirm</v>
      </c>
      <c r="I1288" s="144" t="str">
        <v>No</v>
      </c>
      <c r="J1288" s="144" t="str">
        <v>Base</v>
      </c>
      <c r="K1288" s="144" t="str">
        <v/>
      </c>
      <c r="L1288" s="146">
        <v>3.1</v>
      </c>
      <c r="M1288" s="142">
        <v>172.15</v>
      </c>
      <c r="N1288" s="144" t="str">
        <v>Unknown</v>
      </c>
      <c r="O1288" s="142" t="str">
        <v/>
      </c>
      <c r="P1288" s="142" t="str">
        <v/>
      </c>
      <c r="Q1288" s="142">
        <v>55.532258064516128</v>
      </c>
      <c r="R1288" s="129" t="str">
        <v>Unmatched</v>
      </c>
      <c r="S1288" s="143" t="str">
        <v/>
      </c>
      <c r="T1288" s="144" t="str">
        <v>SRC-00</v>
      </c>
      <c r="U1288" s="129" t="str">
        <v>S+ row 699</v>
      </c>
      <c r="V1288" s="129" t="str">
        <v/>
      </c>
    </row>
    <row r="1289" spans="1:22" x14ac:dyDescent="0.2">
      <c r="A1289" s="144" t="str">
        <v/>
      </c>
      <c r="B1289" s="145" t="str">
        <v/>
      </c>
      <c r="C1289" s="129" t="str">
        <v>Pre Op Phone Consultations</v>
      </c>
      <c r="D1289" s="129" t="str">
        <v/>
      </c>
      <c r="E1289" s="129" t="str">
        <v>99 - Unassigned</v>
      </c>
      <c r="F1289" s="129" t="str">
        <v>Solutions Plus</v>
      </c>
      <c r="G1289" s="144" t="str">
        <v>CON-01</v>
      </c>
      <c r="H1289" s="129" t="str">
        <v>To confirm</v>
      </c>
      <c r="I1289" s="144" t="str">
        <v>No</v>
      </c>
      <c r="J1289" s="144" t="str">
        <v>Base</v>
      </c>
      <c r="K1289" s="144" t="str">
        <v/>
      </c>
      <c r="L1289" s="146">
        <v>0</v>
      </c>
      <c r="M1289" s="142">
        <v>0</v>
      </c>
      <c r="N1289" s="144" t="str">
        <v>Unknown</v>
      </c>
      <c r="O1289" s="142" t="str">
        <v/>
      </c>
      <c r="P1289" s="142" t="str">
        <v/>
      </c>
      <c r="Q1289" s="142" t="str">
        <v/>
      </c>
      <c r="R1289" s="129" t="str">
        <v>Unmatched</v>
      </c>
      <c r="S1289" s="143" t="str">
        <v/>
      </c>
      <c r="T1289" s="144" t="str">
        <v>SRC-00</v>
      </c>
      <c r="U1289" s="129" t="str">
        <v>S+ row 702</v>
      </c>
      <c r="V1289" s="129" t="str">
        <v/>
      </c>
    </row>
    <row r="1290" spans="1:22" x14ac:dyDescent="0.2">
      <c r="A1290" s="144" t="str">
        <v/>
      </c>
      <c r="B1290" s="145" t="str">
        <v/>
      </c>
      <c r="C1290" s="129" t="str">
        <v>Pre-Op Consultation &amp; Review Of Previous Ana</v>
      </c>
      <c r="D1290" s="129" t="str">
        <v/>
      </c>
      <c r="E1290" s="129" t="str">
        <v>99 - Unassigned</v>
      </c>
      <c r="F1290" s="129" t="str">
        <v>Solutions Plus</v>
      </c>
      <c r="G1290" s="144" t="str">
        <v>CON-01</v>
      </c>
      <c r="H1290" s="129" t="str">
        <v>To confirm</v>
      </c>
      <c r="I1290" s="144" t="str">
        <v>No</v>
      </c>
      <c r="J1290" s="144" t="str">
        <v>Base</v>
      </c>
      <c r="K1290" s="144" t="str">
        <v/>
      </c>
      <c r="L1290" s="146">
        <v>0</v>
      </c>
      <c r="M1290" s="142">
        <v>0</v>
      </c>
      <c r="N1290" s="144" t="str">
        <v>Unknown</v>
      </c>
      <c r="O1290" s="142" t="str">
        <v/>
      </c>
      <c r="P1290" s="142" t="str">
        <v/>
      </c>
      <c r="Q1290" s="142" t="str">
        <v/>
      </c>
      <c r="R1290" s="129" t="str">
        <v>Unmatched</v>
      </c>
      <c r="S1290" s="143" t="str">
        <v/>
      </c>
      <c r="T1290" s="144" t="str">
        <v>SRC-00</v>
      </c>
      <c r="U1290" s="129" t="str">
        <v>S+ row 703</v>
      </c>
      <c r="V1290" s="129" t="str">
        <v/>
      </c>
    </row>
    <row r="1291" spans="1:22" x14ac:dyDescent="0.2">
      <c r="A1291" s="144" t="str">
        <v/>
      </c>
      <c r="B1291" s="145" t="str">
        <v/>
      </c>
      <c r="C1291" s="129" t="str">
        <v>Prosthesis Exchange</v>
      </c>
      <c r="D1291" s="129" t="str">
        <v/>
      </c>
      <c r="E1291" s="129" t="str">
        <v>99 - Unassigned</v>
      </c>
      <c r="F1291" s="129" t="str">
        <v>Solutions Plus</v>
      </c>
      <c r="G1291" s="144" t="str">
        <v>CON-01</v>
      </c>
      <c r="H1291" s="129" t="str">
        <v>To confirm</v>
      </c>
      <c r="I1291" s="144" t="str">
        <v>No</v>
      </c>
      <c r="J1291" s="144" t="str">
        <v>Base</v>
      </c>
      <c r="K1291" s="144" t="str">
        <v/>
      </c>
      <c r="L1291" s="146">
        <v>0</v>
      </c>
      <c r="M1291" s="142">
        <v>0</v>
      </c>
      <c r="N1291" s="144" t="str">
        <v>Unknown</v>
      </c>
      <c r="O1291" s="142" t="str">
        <v/>
      </c>
      <c r="P1291" s="142" t="str">
        <v/>
      </c>
      <c r="Q1291" s="142" t="str">
        <v/>
      </c>
      <c r="R1291" s="129" t="str">
        <v>Unmatched</v>
      </c>
      <c r="S1291" s="143" t="str">
        <v/>
      </c>
      <c r="T1291" s="144" t="str">
        <v>SRC-00</v>
      </c>
      <c r="U1291" s="129" t="str">
        <v>S+ row 706</v>
      </c>
      <c r="V1291" s="129" t="str">
        <v/>
      </c>
    </row>
    <row r="1292" spans="1:22" x14ac:dyDescent="0.2">
      <c r="A1292" s="144" t="str">
        <v/>
      </c>
      <c r="B1292" s="145" t="str">
        <v/>
      </c>
      <c r="C1292" s="129" t="str">
        <v>R/O Metalware La/sedative</v>
      </c>
      <c r="D1292" s="129" t="str">
        <v/>
      </c>
      <c r="E1292" s="129" t="str">
        <v>99 - Unassigned</v>
      </c>
      <c r="F1292" s="129" t="str">
        <v>Solutions Plus</v>
      </c>
      <c r="G1292" s="144" t="str">
        <v>CON-01</v>
      </c>
      <c r="H1292" s="129" t="str">
        <v>To confirm</v>
      </c>
      <c r="I1292" s="144" t="str">
        <v>No</v>
      </c>
      <c r="J1292" s="144" t="str">
        <v>Base</v>
      </c>
      <c r="K1292" s="144" t="str">
        <v/>
      </c>
      <c r="L1292" s="146">
        <v>9</v>
      </c>
      <c r="M1292" s="142">
        <v>495</v>
      </c>
      <c r="N1292" s="144" t="str">
        <v>Unknown</v>
      </c>
      <c r="O1292" s="142" t="str">
        <v/>
      </c>
      <c r="P1292" s="142" t="str">
        <v/>
      </c>
      <c r="Q1292" s="142">
        <v>55</v>
      </c>
      <c r="R1292" s="129" t="str">
        <v>Unmatched</v>
      </c>
      <c r="S1292" s="143" t="str">
        <v/>
      </c>
      <c r="T1292" s="144" t="str">
        <v>SRC-00</v>
      </c>
      <c r="U1292" s="129" t="str">
        <v>S+ row 709</v>
      </c>
      <c r="V1292" s="129" t="str">
        <v/>
      </c>
    </row>
    <row r="1293" spans="1:22" x14ac:dyDescent="0.2">
      <c r="A1293" s="144" t="str">
        <v/>
      </c>
      <c r="B1293" s="145" t="str">
        <v/>
      </c>
      <c r="C1293" s="129" t="str">
        <v>Removal Of Cyst</v>
      </c>
      <c r="D1293" s="129" t="str">
        <v/>
      </c>
      <c r="E1293" s="129" t="str">
        <v>99 - Unassigned</v>
      </c>
      <c r="F1293" s="129" t="str">
        <v>Solutions Plus</v>
      </c>
      <c r="G1293" s="144" t="str">
        <v>CON-01</v>
      </c>
      <c r="H1293" s="129" t="str">
        <v>To confirm</v>
      </c>
      <c r="I1293" s="144" t="str">
        <v>No</v>
      </c>
      <c r="J1293" s="144" t="str">
        <v>Base</v>
      </c>
      <c r="K1293" s="144" t="str">
        <v/>
      </c>
      <c r="L1293" s="146">
        <v>2.8</v>
      </c>
      <c r="M1293" s="142">
        <v>156.19999999999999</v>
      </c>
      <c r="N1293" s="144" t="str">
        <v>Unknown</v>
      </c>
      <c r="O1293" s="142" t="str">
        <v/>
      </c>
      <c r="P1293" s="142" t="str">
        <v/>
      </c>
      <c r="Q1293" s="142">
        <v>55.785714285714285</v>
      </c>
      <c r="R1293" s="129" t="str">
        <v>Unmatched</v>
      </c>
      <c r="S1293" s="143" t="str">
        <v/>
      </c>
      <c r="T1293" s="144" t="str">
        <v>SRC-00</v>
      </c>
      <c r="U1293" s="129" t="str">
        <v>S+ row 724</v>
      </c>
      <c r="V1293" s="129" t="str">
        <v/>
      </c>
    </row>
    <row r="1294" spans="1:22" x14ac:dyDescent="0.2">
      <c r="A1294" s="144" t="str">
        <v/>
      </c>
      <c r="B1294" s="145" t="str">
        <v/>
      </c>
      <c r="C1294" s="129" t="str">
        <v>Return To Theatre -</v>
      </c>
      <c r="D1294" s="129" t="str">
        <v/>
      </c>
      <c r="E1294" s="129" t="str">
        <v>99 - Unassigned</v>
      </c>
      <c r="F1294" s="129" t="str">
        <v>Solutions Plus</v>
      </c>
      <c r="G1294" s="144" t="str">
        <v>CON-01</v>
      </c>
      <c r="H1294" s="129" t="str">
        <v>To confirm</v>
      </c>
      <c r="I1294" s="144" t="str">
        <v>No</v>
      </c>
      <c r="J1294" s="144" t="str">
        <v>Base</v>
      </c>
      <c r="K1294" s="144" t="str">
        <v/>
      </c>
      <c r="L1294" s="146">
        <v>0</v>
      </c>
      <c r="M1294" s="142">
        <v>0</v>
      </c>
      <c r="N1294" s="144" t="str">
        <v>Unknown</v>
      </c>
      <c r="O1294" s="142" t="str">
        <v/>
      </c>
      <c r="P1294" s="142" t="str">
        <v/>
      </c>
      <c r="Q1294" s="142" t="str">
        <v/>
      </c>
      <c r="R1294" s="129" t="str">
        <v>Unmatched</v>
      </c>
      <c r="S1294" s="143" t="str">
        <v/>
      </c>
      <c r="T1294" s="144" t="str">
        <v>SRC-00</v>
      </c>
      <c r="U1294" s="129" t="str">
        <v>S+ row 742</v>
      </c>
      <c r="V1294" s="129" t="str">
        <v/>
      </c>
    </row>
    <row r="1295" spans="1:22" x14ac:dyDescent="0.2">
      <c r="A1295" s="144" t="str">
        <v/>
      </c>
      <c r="B1295" s="145" t="str">
        <v/>
      </c>
      <c r="C1295" s="129" t="str">
        <v>Return To Theatre - Anaphylaxis During Surgery</v>
      </c>
      <c r="D1295" s="129" t="str">
        <v/>
      </c>
      <c r="E1295" s="129" t="str">
        <v>99 - Unassigned</v>
      </c>
      <c r="F1295" s="129" t="str">
        <v>Solutions Plus</v>
      </c>
      <c r="G1295" s="144" t="str">
        <v>CON-01</v>
      </c>
      <c r="H1295" s="129" t="str">
        <v>To confirm</v>
      </c>
      <c r="I1295" s="144" t="str">
        <v>No</v>
      </c>
      <c r="J1295" s="144" t="str">
        <v>Base</v>
      </c>
      <c r="K1295" s="144" t="str">
        <v/>
      </c>
      <c r="L1295" s="146">
        <v>6</v>
      </c>
      <c r="M1295" s="142">
        <v>330</v>
      </c>
      <c r="N1295" s="144" t="str">
        <v>Unknown</v>
      </c>
      <c r="O1295" s="142" t="str">
        <v/>
      </c>
      <c r="P1295" s="142" t="str">
        <v/>
      </c>
      <c r="Q1295" s="142">
        <v>55</v>
      </c>
      <c r="R1295" s="129" t="str">
        <v>Unmatched</v>
      </c>
      <c r="S1295" s="143" t="str">
        <v/>
      </c>
      <c r="T1295" s="144" t="str">
        <v>SRC-00</v>
      </c>
      <c r="U1295" s="129" t="str">
        <v>S+ row 743</v>
      </c>
      <c r="V1295" s="129" t="str">
        <v/>
      </c>
    </row>
    <row r="1296" spans="1:22" x14ac:dyDescent="0.2">
      <c r="A1296" s="144" t="str">
        <v/>
      </c>
      <c r="B1296" s="145" t="str">
        <v/>
      </c>
      <c r="C1296" s="129" t="str">
        <v>Return To Theatre - Evacuation Of Haematoma</v>
      </c>
      <c r="D1296" s="129" t="str">
        <v/>
      </c>
      <c r="E1296" s="129" t="str">
        <v>99 - Unassigned</v>
      </c>
      <c r="F1296" s="129" t="str">
        <v>Solutions Plus</v>
      </c>
      <c r="G1296" s="144" t="str">
        <v>CON-01</v>
      </c>
      <c r="H1296" s="129" t="str">
        <v>To confirm</v>
      </c>
      <c r="I1296" s="144" t="str">
        <v>No</v>
      </c>
      <c r="J1296" s="144" t="str">
        <v>Base</v>
      </c>
      <c r="K1296" s="144" t="str">
        <v/>
      </c>
      <c r="L1296" s="146">
        <v>14.8</v>
      </c>
      <c r="M1296" s="142">
        <v>811.25</v>
      </c>
      <c r="N1296" s="144" t="str">
        <v>Unknown</v>
      </c>
      <c r="O1296" s="142" t="str">
        <v/>
      </c>
      <c r="P1296" s="142" t="str">
        <v/>
      </c>
      <c r="Q1296" s="142">
        <v>54.814189189189186</v>
      </c>
      <c r="R1296" s="129" t="str">
        <v>Unmatched</v>
      </c>
      <c r="S1296" s="143" t="str">
        <v/>
      </c>
      <c r="T1296" s="144" t="str">
        <v>SRC-00</v>
      </c>
      <c r="U1296" s="129" t="str">
        <v>S+ row 745</v>
      </c>
      <c r="V1296" s="129" t="str">
        <v/>
      </c>
    </row>
    <row r="1297" spans="1:22" x14ac:dyDescent="0.2">
      <c r="A1297" s="144" t="str">
        <v/>
      </c>
      <c r="B1297" s="145" t="str">
        <v/>
      </c>
      <c r="C1297" s="129" t="str">
        <v>Return To Theatre - Exploration Left Lateral Knee W</v>
      </c>
      <c r="D1297" s="129" t="str">
        <v/>
      </c>
      <c r="E1297" s="129" t="str">
        <v>99 - Unassigned</v>
      </c>
      <c r="F1297" s="129" t="str">
        <v>Solutions Plus</v>
      </c>
      <c r="G1297" s="144" t="str">
        <v>CON-01</v>
      </c>
      <c r="H1297" s="129" t="str">
        <v>To confirm</v>
      </c>
      <c r="I1297" s="144" t="str">
        <v>No</v>
      </c>
      <c r="J1297" s="144" t="str">
        <v>Base</v>
      </c>
      <c r="K1297" s="144" t="str">
        <v/>
      </c>
      <c r="L1297" s="146">
        <v>9</v>
      </c>
      <c r="M1297" s="142">
        <v>495</v>
      </c>
      <c r="N1297" s="144" t="str">
        <v>Unknown</v>
      </c>
      <c r="O1297" s="142" t="str">
        <v/>
      </c>
      <c r="P1297" s="142" t="str">
        <v/>
      </c>
      <c r="Q1297" s="142">
        <v>55</v>
      </c>
      <c r="R1297" s="129" t="str">
        <v>Unmatched</v>
      </c>
      <c r="S1297" s="143" t="str">
        <v/>
      </c>
      <c r="T1297" s="144" t="str">
        <v>SRC-00</v>
      </c>
      <c r="U1297" s="129" t="str">
        <v>S+ row 746</v>
      </c>
      <c r="V1297" s="129" t="str">
        <v/>
      </c>
    </row>
    <row r="1298" spans="1:22" x14ac:dyDescent="0.2">
      <c r="A1298" s="144" t="str">
        <v/>
      </c>
      <c r="B1298" s="145" t="str">
        <v/>
      </c>
      <c r="C1298" s="129" t="str">
        <v>Return To Theatre - Exploration Umbilical Port Site</v>
      </c>
      <c r="D1298" s="129" t="str">
        <v/>
      </c>
      <c r="E1298" s="129" t="str">
        <v>99 - Unassigned</v>
      </c>
      <c r="F1298" s="129" t="str">
        <v>Solutions Plus</v>
      </c>
      <c r="G1298" s="144" t="str">
        <v>CON-01</v>
      </c>
      <c r="H1298" s="129" t="str">
        <v>To confirm</v>
      </c>
      <c r="I1298" s="144" t="str">
        <v>No</v>
      </c>
      <c r="J1298" s="144" t="str">
        <v>Base</v>
      </c>
      <c r="K1298" s="144" t="str">
        <v/>
      </c>
      <c r="L1298" s="146">
        <v>21</v>
      </c>
      <c r="M1298" s="142">
        <v>1155</v>
      </c>
      <c r="N1298" s="144" t="str">
        <v>Unknown</v>
      </c>
      <c r="O1298" s="142" t="str">
        <v/>
      </c>
      <c r="P1298" s="142" t="str">
        <v/>
      </c>
      <c r="Q1298" s="142">
        <v>55</v>
      </c>
      <c r="R1298" s="129" t="str">
        <v>Unmatched</v>
      </c>
      <c r="S1298" s="143" t="str">
        <v/>
      </c>
      <c r="T1298" s="144" t="str">
        <v>SRC-00</v>
      </c>
      <c r="U1298" s="129" t="str">
        <v>S+ row 747</v>
      </c>
      <c r="V1298" s="129" t="str">
        <v/>
      </c>
    </row>
    <row r="1299" spans="1:22" x14ac:dyDescent="0.2">
      <c r="A1299" s="144" t="str">
        <v/>
      </c>
      <c r="B1299" s="145" t="str">
        <v/>
      </c>
      <c r="C1299" s="129" t="str">
        <v>Return To Theatre - Washout Spine, Dural Patch/ Re</v>
      </c>
      <c r="D1299" s="129" t="str">
        <v/>
      </c>
      <c r="E1299" s="129" t="str">
        <v>99 - Unassigned</v>
      </c>
      <c r="F1299" s="129" t="str">
        <v>Solutions Plus</v>
      </c>
      <c r="G1299" s="144" t="str">
        <v>CON-01</v>
      </c>
      <c r="H1299" s="129" t="str">
        <v>To confirm</v>
      </c>
      <c r="I1299" s="144" t="str">
        <v>No</v>
      </c>
      <c r="J1299" s="144" t="str">
        <v>Base</v>
      </c>
      <c r="K1299" s="144" t="str">
        <v/>
      </c>
      <c r="L1299" s="146">
        <v>38</v>
      </c>
      <c r="M1299" s="142">
        <v>2090</v>
      </c>
      <c r="N1299" s="144" t="str">
        <v>Unknown</v>
      </c>
      <c r="O1299" s="142" t="str">
        <v/>
      </c>
      <c r="P1299" s="142" t="str">
        <v/>
      </c>
      <c r="Q1299" s="142">
        <v>55</v>
      </c>
      <c r="R1299" s="129" t="str">
        <v>Unmatched</v>
      </c>
      <c r="S1299" s="143" t="str">
        <v/>
      </c>
      <c r="T1299" s="144" t="str">
        <v>SRC-00</v>
      </c>
      <c r="U1299" s="129" t="str">
        <v>S+ row 748</v>
      </c>
      <c r="V1299" s="129" t="str">
        <v/>
      </c>
    </row>
    <row r="1300" spans="1:22" x14ac:dyDescent="0.2">
      <c r="A1300" s="144" t="str">
        <v/>
      </c>
      <c r="B1300" s="145" t="str">
        <v/>
      </c>
      <c r="C1300" s="129" t="str">
        <v>Seton</v>
      </c>
      <c r="D1300" s="129" t="str">
        <v/>
      </c>
      <c r="E1300" s="129" t="str">
        <v>99 - Unassigned</v>
      </c>
      <c r="F1300" s="129" t="str">
        <v>Solutions Plus</v>
      </c>
      <c r="G1300" s="144" t="str">
        <v>CON-01</v>
      </c>
      <c r="H1300" s="129" t="str">
        <v>To confirm</v>
      </c>
      <c r="I1300" s="144" t="str">
        <v>No</v>
      </c>
      <c r="J1300" s="144" t="str">
        <v>Base</v>
      </c>
      <c r="K1300" s="144" t="str">
        <v/>
      </c>
      <c r="L1300" s="146">
        <v>7</v>
      </c>
      <c r="M1300" s="142">
        <v>385</v>
      </c>
      <c r="N1300" s="144" t="str">
        <v>Unknown</v>
      </c>
      <c r="O1300" s="142" t="str">
        <v/>
      </c>
      <c r="P1300" s="142" t="str">
        <v/>
      </c>
      <c r="Q1300" s="142">
        <v>55</v>
      </c>
      <c r="R1300" s="129" t="str">
        <v>Unmatched</v>
      </c>
      <c r="S1300" s="143" t="str">
        <v/>
      </c>
      <c r="T1300" s="144" t="str">
        <v>SRC-00</v>
      </c>
      <c r="U1300" s="129" t="str">
        <v>S+ row 870</v>
      </c>
      <c r="V1300" s="129" t="str">
        <v/>
      </c>
    </row>
    <row r="1301" spans="1:22" x14ac:dyDescent="0.2">
      <c r="A1301" s="144" t="str">
        <v/>
      </c>
      <c r="B1301" s="145" t="str">
        <v/>
      </c>
      <c r="C1301" s="129" t="str">
        <v>Simple Bascom Procedure</v>
      </c>
      <c r="D1301" s="129" t="str">
        <v/>
      </c>
      <c r="E1301" s="129" t="str">
        <v>99 - Unassigned</v>
      </c>
      <c r="F1301" s="129" t="str">
        <v>Solutions Plus</v>
      </c>
      <c r="G1301" s="144" t="str">
        <v>CON-01</v>
      </c>
      <c r="H1301" s="129" t="str">
        <v>To confirm</v>
      </c>
      <c r="I1301" s="144" t="str">
        <v>No</v>
      </c>
      <c r="J1301" s="144" t="str">
        <v>Base</v>
      </c>
      <c r="K1301" s="144" t="str">
        <v/>
      </c>
      <c r="L1301" s="146">
        <v>8</v>
      </c>
      <c r="M1301" s="142">
        <v>440</v>
      </c>
      <c r="N1301" s="144" t="str">
        <v>Unknown</v>
      </c>
      <c r="O1301" s="142" t="str">
        <v/>
      </c>
      <c r="P1301" s="142" t="str">
        <v/>
      </c>
      <c r="Q1301" s="142">
        <v>55</v>
      </c>
      <c r="R1301" s="129" t="str">
        <v>Unmatched</v>
      </c>
      <c r="S1301" s="143" t="str">
        <v/>
      </c>
      <c r="T1301" s="144" t="str">
        <v>SRC-00</v>
      </c>
      <c r="U1301" s="129" t="str">
        <v>S+ row 875</v>
      </c>
      <c r="V1301" s="129" t="str">
        <v/>
      </c>
    </row>
    <row r="1302" spans="1:22" x14ac:dyDescent="0.2">
      <c r="A1302" s="144" t="str">
        <v/>
      </c>
      <c r="B1302" s="145" t="str">
        <v/>
      </c>
      <c r="C1302" s="129" t="str">
        <v>Spinal Instrumentation</v>
      </c>
      <c r="D1302" s="129" t="str">
        <v/>
      </c>
      <c r="E1302" s="129" t="str">
        <v>99 - Unassigned</v>
      </c>
      <c r="F1302" s="129" t="str">
        <v>Solutions Plus</v>
      </c>
      <c r="G1302" s="144" t="str">
        <v>CON-01</v>
      </c>
      <c r="H1302" s="129" t="str">
        <v>To confirm</v>
      </c>
      <c r="I1302" s="144" t="str">
        <v>No</v>
      </c>
      <c r="J1302" s="144" t="str">
        <v>Base</v>
      </c>
      <c r="K1302" s="144" t="str">
        <v/>
      </c>
      <c r="L1302" s="146">
        <v>23</v>
      </c>
      <c r="M1302" s="142">
        <v>1265</v>
      </c>
      <c r="N1302" s="144" t="str">
        <v>Unknown</v>
      </c>
      <c r="O1302" s="142" t="str">
        <v/>
      </c>
      <c r="P1302" s="142" t="str">
        <v/>
      </c>
      <c r="Q1302" s="142">
        <v>55</v>
      </c>
      <c r="R1302" s="129" t="str">
        <v>Unmatched</v>
      </c>
      <c r="S1302" s="143" t="str">
        <v/>
      </c>
      <c r="T1302" s="144" t="str">
        <v>SRC-00</v>
      </c>
      <c r="U1302" s="129" t="str">
        <v>S+ row 885</v>
      </c>
      <c r="V1302" s="129" t="str">
        <v/>
      </c>
    </row>
    <row r="1303" spans="1:22" x14ac:dyDescent="0.2">
      <c r="A1303" s="144" t="str">
        <v/>
      </c>
      <c r="B1303" s="145" t="str">
        <v/>
      </c>
      <c r="C1303" s="129" t="str">
        <v>Suspected Anaphylaxis</v>
      </c>
      <c r="D1303" s="129" t="str">
        <v/>
      </c>
      <c r="E1303" s="129" t="str">
        <v>99 - Unassigned</v>
      </c>
      <c r="F1303" s="129" t="str">
        <v>Solutions Plus</v>
      </c>
      <c r="G1303" s="144" t="str">
        <v>CON-01</v>
      </c>
      <c r="H1303" s="129" t="str">
        <v>To confirm</v>
      </c>
      <c r="I1303" s="144" t="str">
        <v>No</v>
      </c>
      <c r="J1303" s="144" t="str">
        <v>Base</v>
      </c>
      <c r="K1303" s="144" t="str">
        <v/>
      </c>
      <c r="L1303" s="146">
        <v>15</v>
      </c>
      <c r="M1303" s="142">
        <v>825</v>
      </c>
      <c r="N1303" s="144" t="str">
        <v>Unknown</v>
      </c>
      <c r="O1303" s="142" t="str">
        <v/>
      </c>
      <c r="P1303" s="142" t="str">
        <v/>
      </c>
      <c r="Q1303" s="142">
        <v>55</v>
      </c>
      <c r="R1303" s="129" t="str">
        <v>Unmatched</v>
      </c>
      <c r="S1303" s="143" t="str">
        <v/>
      </c>
      <c r="T1303" s="144" t="str">
        <v>SRC-00</v>
      </c>
      <c r="U1303" s="129" t="str">
        <v>S+ row 912</v>
      </c>
      <c r="V1303" s="129" t="str">
        <v/>
      </c>
    </row>
    <row r="1304" spans="1:22" x14ac:dyDescent="0.2">
      <c r="A1304" s="144" t="str">
        <v/>
      </c>
      <c r="B1304" s="145" t="str">
        <v/>
      </c>
      <c r="C1304" s="129" t="str">
        <v>Tendon Transfer</v>
      </c>
      <c r="D1304" s="129" t="str">
        <v/>
      </c>
      <c r="E1304" s="129" t="str">
        <v>99 - Unassigned</v>
      </c>
      <c r="F1304" s="129" t="str">
        <v>Solutions Plus</v>
      </c>
      <c r="G1304" s="144" t="str">
        <v>CON-01</v>
      </c>
      <c r="H1304" s="129" t="str">
        <v>To confirm</v>
      </c>
      <c r="I1304" s="144" t="str">
        <v>No</v>
      </c>
      <c r="J1304" s="144" t="str">
        <v>Base</v>
      </c>
      <c r="K1304" s="144" t="str">
        <v/>
      </c>
      <c r="L1304" s="146">
        <v>12</v>
      </c>
      <c r="M1304" s="142">
        <v>660</v>
      </c>
      <c r="N1304" s="144" t="str">
        <v>Unknown</v>
      </c>
      <c r="O1304" s="142" t="str">
        <v/>
      </c>
      <c r="P1304" s="142" t="str">
        <v/>
      </c>
      <c r="Q1304" s="142">
        <v>55</v>
      </c>
      <c r="R1304" s="129" t="str">
        <v>Unmatched</v>
      </c>
      <c r="S1304" s="143" t="str">
        <v/>
      </c>
      <c r="T1304" s="144" t="str">
        <v>SRC-00</v>
      </c>
      <c r="U1304" s="129" t="str">
        <v>S+ row 916</v>
      </c>
      <c r="V1304" s="129" t="str">
        <v/>
      </c>
    </row>
    <row r="1305" spans="1:22" x14ac:dyDescent="0.2">
      <c r="A1305" s="144" t="str">
        <v/>
      </c>
      <c r="B1305" s="145" t="str">
        <v/>
      </c>
      <c r="C1305" s="129" t="str">
        <v>Tenolysis</v>
      </c>
      <c r="D1305" s="129" t="str">
        <v/>
      </c>
      <c r="E1305" s="129" t="str">
        <v>99 - Unassigned</v>
      </c>
      <c r="F1305" s="129" t="str">
        <v>Solutions Plus</v>
      </c>
      <c r="G1305" s="144" t="str">
        <v>CON-01</v>
      </c>
      <c r="H1305" s="129" t="str">
        <v>To confirm</v>
      </c>
      <c r="I1305" s="144" t="str">
        <v>No</v>
      </c>
      <c r="J1305" s="144" t="str">
        <v>Base</v>
      </c>
      <c r="K1305" s="144" t="str">
        <v/>
      </c>
      <c r="L1305" s="146">
        <v>11.5</v>
      </c>
      <c r="M1305" s="142">
        <v>632.5</v>
      </c>
      <c r="N1305" s="144" t="str">
        <v>Unknown</v>
      </c>
      <c r="O1305" s="142" t="str">
        <v/>
      </c>
      <c r="P1305" s="142" t="str">
        <v/>
      </c>
      <c r="Q1305" s="142">
        <v>55</v>
      </c>
      <c r="R1305" s="129" t="str">
        <v>Unmatched</v>
      </c>
      <c r="S1305" s="143" t="str">
        <v/>
      </c>
      <c r="T1305" s="144" t="str">
        <v>SRC-00</v>
      </c>
      <c r="U1305" s="129" t="str">
        <v>S+ row 918</v>
      </c>
      <c r="V1305" s="129" t="str">
        <v/>
      </c>
    </row>
    <row r="1306" spans="1:22" x14ac:dyDescent="0.2">
      <c r="A1306" s="144" t="str">
        <v/>
      </c>
      <c r="B1306" s="145" t="str">
        <v/>
      </c>
      <c r="C1306" s="129" t="str">
        <v>Thymectomy</v>
      </c>
      <c r="D1306" s="129" t="str">
        <v/>
      </c>
      <c r="E1306" s="129" t="str">
        <v>99 - Unassigned</v>
      </c>
      <c r="F1306" s="129" t="str">
        <v>Solutions Plus</v>
      </c>
      <c r="G1306" s="144" t="str">
        <v>CON-01</v>
      </c>
      <c r="H1306" s="129" t="str">
        <v>To confirm</v>
      </c>
      <c r="I1306" s="144" t="str">
        <v>No</v>
      </c>
      <c r="J1306" s="144" t="str">
        <v>Base</v>
      </c>
      <c r="K1306" s="144" t="str">
        <v/>
      </c>
      <c r="L1306" s="146">
        <v>23.6</v>
      </c>
      <c r="M1306" s="142">
        <v>1295.25</v>
      </c>
      <c r="N1306" s="144" t="str">
        <v>Unknown</v>
      </c>
      <c r="O1306" s="142" t="str">
        <v/>
      </c>
      <c r="P1306" s="142" t="str">
        <v/>
      </c>
      <c r="Q1306" s="142">
        <v>54.883474576271183</v>
      </c>
      <c r="R1306" s="129" t="str">
        <v>Unmatched</v>
      </c>
      <c r="S1306" s="143" t="str">
        <v/>
      </c>
      <c r="T1306" s="144" t="str">
        <v>SRC-00</v>
      </c>
      <c r="U1306" s="129" t="str">
        <v>S+ row 920</v>
      </c>
      <c r="V1306" s="129" t="str">
        <v/>
      </c>
    </row>
    <row r="1307" spans="1:22" x14ac:dyDescent="0.2">
      <c r="A1307" s="144" t="str">
        <v/>
      </c>
      <c r="B1307" s="145" t="str">
        <v/>
      </c>
      <c r="C1307" s="129" t="str">
        <v>WCDHB Outsourced Level 1 Ophthalmic Procedures (&lt;30 mins in theatre)</v>
      </c>
      <c r="D1307" s="129" t="str">
        <v/>
      </c>
      <c r="E1307" s="129" t="str">
        <v>99 - Unassigned</v>
      </c>
      <c r="F1307" s="129" t="str">
        <v>CESL – HNZ</v>
      </c>
      <c r="G1307" s="144" t="str">
        <v>CON-04</v>
      </c>
      <c r="H1307" s="129" t="str">
        <v>Fixed fee schedule</v>
      </c>
      <c r="I1307" s="144" t="str">
        <v>Yes</v>
      </c>
      <c r="J1307" s="144" t="str">
        <v>Time band</v>
      </c>
      <c r="K1307" s="144" t="str">
        <v/>
      </c>
      <c r="L1307" s="146" t="str">
        <v/>
      </c>
      <c r="M1307" s="142">
        <v>572</v>
      </c>
      <c r="N1307" s="144" t="str">
        <v>Excl</v>
      </c>
      <c r="O1307" s="142">
        <v>572</v>
      </c>
      <c r="P1307" s="142">
        <v>657.8</v>
      </c>
      <c r="Q1307" s="142" t="str">
        <v/>
      </c>
      <c r="R1307" s="129" t="str">
        <v>Unmatched</v>
      </c>
      <c r="S1307" s="143">
        <v>45931</v>
      </c>
      <c r="T1307" s="144" t="str">
        <v>SRC-02</v>
      </c>
      <c r="U1307" s="129" t="str">
        <v>p.1 – HNZ</v>
      </c>
      <c r="V1307" s="129" t="str">
        <v>Christchurch Eye Surgery (CESL) contract. Health NZ – WCDHB outsourced Level 1 ophthalmic procedures, under 30 mins in theatre. Printed excl. $572.00 / incl. $657.80. Generic procedure category (not one procedure) – left Unmatched, see Open Questions. Stray '0' printed after the description omitted.</v>
      </c>
    </row>
    <row r="1308" spans="1:22" x14ac:dyDescent="0.2">
      <c r="A1308" s="144" t="str">
        <v/>
      </c>
      <c r="B1308" s="145" t="str">
        <v/>
      </c>
      <c r="C1308" s="129" t="str">
        <v>WCDHB Outsourced Level 2 Ophthalmic Procedures (&gt;30 mins in theatre)</v>
      </c>
      <c r="D1308" s="129" t="str">
        <v/>
      </c>
      <c r="E1308" s="129" t="str">
        <v>99 - Unassigned</v>
      </c>
      <c r="F1308" s="129" t="str">
        <v>CESL – HNZ</v>
      </c>
      <c r="G1308" s="144" t="str">
        <v>CON-04</v>
      </c>
      <c r="H1308" s="129" t="str">
        <v>Fixed fee schedule</v>
      </c>
      <c r="I1308" s="144" t="str">
        <v>Yes</v>
      </c>
      <c r="J1308" s="144" t="str">
        <v>Time band</v>
      </c>
      <c r="K1308" s="144" t="str">
        <v/>
      </c>
      <c r="L1308" s="146" t="str">
        <v/>
      </c>
      <c r="M1308" s="142">
        <v>728</v>
      </c>
      <c r="N1308" s="144" t="str">
        <v>Excl</v>
      </c>
      <c r="O1308" s="142">
        <v>728</v>
      </c>
      <c r="P1308" s="142">
        <v>837.19999999999993</v>
      </c>
      <c r="Q1308" s="142" t="str">
        <v/>
      </c>
      <c r="R1308" s="129" t="str">
        <v>Unmatched</v>
      </c>
      <c r="S1308" s="143">
        <v>45931</v>
      </c>
      <c r="T1308" s="144" t="str">
        <v>SRC-02</v>
      </c>
      <c r="U1308" s="129" t="str">
        <v>p.1 – HNZ</v>
      </c>
      <c r="V1308" s="129" t="str">
        <v>Christchurch Eye Surgery (CESL) contract. Health NZ – WCDHB outsourced Level 2 ophthalmic procedures, over 30 mins in theatre. Printed excl. $728.00 / incl. $837.20. Generic procedure category (not one procedure) – left Unmatched, see Open Questions.</v>
      </c>
    </row>
    <row r="1309" spans="1:22" x14ac:dyDescent="0.2">
      <c r="A1309" s="144"/>
      <c r="B1309" s="145"/>
      <c r="C1309" s="129"/>
      <c r="D1309" s="129"/>
      <c r="E1309" s="129"/>
      <c r="F1309" s="129"/>
      <c r="G1309" s="144"/>
      <c r="H1309" s="129"/>
      <c r="I1309" s="144"/>
      <c r="J1309" s="144"/>
      <c r="K1309" s="144"/>
      <c r="L1309" s="146"/>
      <c r="M1309" s="142"/>
      <c r="N1309" s="144"/>
      <c r="O1309" s="142"/>
      <c r="P1309" s="142"/>
      <c r="Q1309" s="142"/>
      <c r="R1309" s="129"/>
      <c r="S1309" s="143"/>
      <c r="T1309" s="144"/>
      <c r="U1309" s="129"/>
      <c r="V1309" s="129"/>
    </row>
    <row r="1310" spans="1:22" x14ac:dyDescent="0.2">
      <c r="A1310" s="144"/>
      <c r="B1310" s="145"/>
      <c r="C1310" s="129"/>
      <c r="D1310" s="129"/>
      <c r="E1310" s="129"/>
      <c r="F1310" s="129"/>
      <c r="G1310" s="144"/>
      <c r="H1310" s="129"/>
      <c r="I1310" s="144"/>
      <c r="J1310" s="144"/>
      <c r="K1310" s="144"/>
      <c r="L1310" s="146"/>
      <c r="M1310" s="142"/>
      <c r="N1310" s="144"/>
      <c r="O1310" s="142"/>
      <c r="P1310" s="142"/>
      <c r="Q1310" s="142"/>
      <c r="R1310" s="129"/>
      <c r="S1310" s="143"/>
      <c r="T1310" s="144"/>
      <c r="U1310" s="129"/>
      <c r="V1310" s="129"/>
    </row>
    <row r="1311" spans="1:22" x14ac:dyDescent="0.2">
      <c r="A1311" s="144"/>
      <c r="B1311" s="145"/>
      <c r="C1311" s="129"/>
      <c r="D1311" s="129"/>
      <c r="E1311" s="129"/>
      <c r="F1311" s="129"/>
      <c r="G1311" s="144"/>
      <c r="H1311" s="129"/>
      <c r="I1311" s="144"/>
      <c r="J1311" s="144"/>
      <c r="K1311" s="144"/>
      <c r="L1311" s="146"/>
      <c r="M1311" s="142"/>
      <c r="N1311" s="144"/>
      <c r="O1311" s="142"/>
      <c r="P1311" s="142"/>
      <c r="Q1311" s="142"/>
      <c r="R1311" s="129"/>
      <c r="S1311" s="143"/>
      <c r="T1311" s="144"/>
      <c r="U1311" s="129"/>
      <c r="V1311" s="129"/>
    </row>
    <row r="1312" spans="1:22" x14ac:dyDescent="0.2">
      <c r="A1312" s="144"/>
      <c r="B1312" s="145"/>
      <c r="C1312" s="129"/>
      <c r="D1312" s="129"/>
      <c r="E1312" s="129"/>
      <c r="F1312" s="129"/>
      <c r="G1312" s="144"/>
      <c r="H1312" s="129"/>
      <c r="I1312" s="144"/>
      <c r="J1312" s="144"/>
      <c r="K1312" s="144"/>
      <c r="L1312" s="146"/>
      <c r="M1312" s="142"/>
      <c r="N1312" s="144"/>
      <c r="O1312" s="142"/>
      <c r="P1312" s="142"/>
      <c r="Q1312" s="142"/>
      <c r="R1312" s="129"/>
      <c r="S1312" s="143"/>
      <c r="T1312" s="144"/>
      <c r="U1312" s="129"/>
      <c r="V1312" s="129"/>
    </row>
    <row r="1313" spans="1:22" x14ac:dyDescent="0.2">
      <c r="A1313" s="144"/>
      <c r="B1313" s="145"/>
      <c r="C1313" s="129"/>
      <c r="D1313" s="129"/>
      <c r="E1313" s="129"/>
      <c r="F1313" s="129"/>
      <c r="G1313" s="144"/>
      <c r="H1313" s="129"/>
      <c r="I1313" s="144"/>
      <c r="J1313" s="144"/>
      <c r="K1313" s="144"/>
      <c r="L1313" s="146"/>
      <c r="M1313" s="142"/>
      <c r="N1313" s="144"/>
      <c r="O1313" s="142"/>
      <c r="P1313" s="142"/>
      <c r="Q1313" s="142"/>
      <c r="R1313" s="129"/>
      <c r="S1313" s="143"/>
      <c r="T1313" s="144"/>
      <c r="U1313" s="129"/>
      <c r="V1313" s="129"/>
    </row>
    <row r="1314" spans="1:22" x14ac:dyDescent="0.2">
      <c r="A1314" s="144"/>
      <c r="B1314" s="145"/>
      <c r="C1314" s="129"/>
      <c r="D1314" s="129"/>
      <c r="E1314" s="129"/>
      <c r="F1314" s="129"/>
      <c r="G1314" s="144"/>
      <c r="H1314" s="129"/>
      <c r="I1314" s="144"/>
      <c r="J1314" s="144"/>
      <c r="K1314" s="144"/>
      <c r="L1314" s="146"/>
      <c r="M1314" s="142"/>
      <c r="N1314" s="144"/>
      <c r="O1314" s="142"/>
      <c r="P1314" s="142"/>
      <c r="Q1314" s="142"/>
      <c r="R1314" s="129"/>
      <c r="S1314" s="143"/>
      <c r="T1314" s="144"/>
      <c r="U1314" s="129"/>
      <c r="V1314" s="129"/>
    </row>
    <row r="1315" spans="1:22" x14ac:dyDescent="0.2">
      <c r="A1315" s="144"/>
      <c r="B1315" s="145"/>
      <c r="C1315" s="129"/>
      <c r="D1315" s="129"/>
      <c r="E1315" s="129"/>
      <c r="F1315" s="129"/>
      <c r="G1315" s="144"/>
      <c r="H1315" s="129"/>
      <c r="I1315" s="144"/>
      <c r="J1315" s="144"/>
      <c r="K1315" s="144"/>
      <c r="L1315" s="146"/>
      <c r="M1315" s="142"/>
      <c r="N1315" s="144"/>
      <c r="O1315" s="142"/>
      <c r="P1315" s="142"/>
      <c r="Q1315" s="142"/>
      <c r="R1315" s="129"/>
      <c r="S1315" s="143"/>
      <c r="T1315" s="144"/>
      <c r="U1315" s="129"/>
      <c r="V1315" s="129"/>
    </row>
    <row r="1316" spans="1:22" x14ac:dyDescent="0.2">
      <c r="A1316" s="144"/>
      <c r="B1316" s="145"/>
      <c r="C1316" s="129"/>
      <c r="D1316" s="129"/>
      <c r="E1316" s="129"/>
      <c r="F1316" s="129"/>
      <c r="G1316" s="144"/>
      <c r="H1316" s="129"/>
      <c r="I1316" s="144"/>
      <c r="J1316" s="144"/>
      <c r="K1316" s="144"/>
      <c r="L1316" s="146"/>
      <c r="M1316" s="142"/>
      <c r="N1316" s="144"/>
      <c r="O1316" s="142"/>
      <c r="P1316" s="142"/>
      <c r="Q1316" s="142"/>
      <c r="R1316" s="129"/>
      <c r="S1316" s="143"/>
      <c r="T1316" s="144"/>
      <c r="U1316" s="129"/>
      <c r="V1316" s="129"/>
    </row>
    <row r="1317" spans="1:22" x14ac:dyDescent="0.2">
      <c r="A1317" s="144"/>
      <c r="B1317" s="145"/>
      <c r="C1317" s="129"/>
      <c r="D1317" s="129"/>
      <c r="E1317" s="129"/>
      <c r="F1317" s="129"/>
      <c r="G1317" s="144"/>
      <c r="H1317" s="129"/>
      <c r="I1317" s="144"/>
      <c r="J1317" s="144"/>
      <c r="K1317" s="144"/>
      <c r="L1317" s="146"/>
      <c r="M1317" s="142"/>
      <c r="N1317" s="144"/>
      <c r="O1317" s="142"/>
      <c r="P1317" s="142"/>
      <c r="Q1317" s="142"/>
      <c r="R1317" s="129"/>
      <c r="S1317" s="143"/>
      <c r="T1317" s="144"/>
      <c r="U1317" s="129"/>
      <c r="V1317" s="129"/>
    </row>
    <row r="1318" spans="1:22" x14ac:dyDescent="0.2">
      <c r="A1318" s="144"/>
      <c r="B1318" s="145"/>
      <c r="C1318" s="129"/>
      <c r="D1318" s="129"/>
      <c r="E1318" s="129"/>
      <c r="F1318" s="129"/>
      <c r="G1318" s="144"/>
      <c r="H1318" s="129"/>
      <c r="I1318" s="144"/>
      <c r="J1318" s="144"/>
      <c r="K1318" s="144"/>
      <c r="L1318" s="146"/>
      <c r="M1318" s="142"/>
      <c r="N1318" s="144"/>
      <c r="O1318" s="142"/>
      <c r="P1318" s="142"/>
      <c r="Q1318" s="142"/>
      <c r="R1318" s="129"/>
      <c r="S1318" s="143"/>
      <c r="T1318" s="144"/>
      <c r="U1318" s="129"/>
      <c r="V1318" s="129"/>
    </row>
    <row r="1319" spans="1:22" x14ac:dyDescent="0.2">
      <c r="A1319" s="144"/>
      <c r="B1319" s="145"/>
      <c r="C1319" s="129"/>
      <c r="D1319" s="129"/>
      <c r="E1319" s="129"/>
      <c r="F1319" s="129"/>
      <c r="G1319" s="144"/>
      <c r="H1319" s="129"/>
      <c r="I1319" s="144"/>
      <c r="J1319" s="144"/>
      <c r="K1319" s="144"/>
      <c r="L1319" s="146"/>
      <c r="M1319" s="142"/>
      <c r="N1319" s="144"/>
      <c r="O1319" s="142"/>
      <c r="P1319" s="142"/>
      <c r="Q1319" s="142"/>
      <c r="R1319" s="129"/>
      <c r="S1319" s="143"/>
      <c r="T1319" s="144"/>
      <c r="U1319" s="129"/>
      <c r="V1319" s="129"/>
    </row>
    <row r="1320" spans="1:22" x14ac:dyDescent="0.2">
      <c r="A1320" s="144"/>
      <c r="B1320" s="145"/>
      <c r="C1320" s="129"/>
      <c r="D1320" s="129"/>
      <c r="E1320" s="129"/>
      <c r="F1320" s="129"/>
      <c r="G1320" s="144"/>
      <c r="H1320" s="129"/>
      <c r="I1320" s="144"/>
      <c r="J1320" s="144"/>
      <c r="K1320" s="144"/>
      <c r="L1320" s="146"/>
      <c r="M1320" s="142"/>
      <c r="N1320" s="144"/>
      <c r="O1320" s="142"/>
      <c r="P1320" s="142"/>
      <c r="Q1320" s="142"/>
      <c r="R1320" s="129"/>
      <c r="S1320" s="143"/>
      <c r="T1320" s="144"/>
      <c r="U1320" s="129"/>
      <c r="V1320" s="129"/>
    </row>
    <row r="1321" spans="1:22" x14ac:dyDescent="0.2">
      <c r="A1321" s="144"/>
      <c r="B1321" s="145"/>
      <c r="C1321" s="129"/>
      <c r="D1321" s="129"/>
      <c r="E1321" s="129"/>
      <c r="F1321" s="129"/>
      <c r="G1321" s="144"/>
      <c r="H1321" s="129"/>
      <c r="I1321" s="144"/>
      <c r="J1321" s="144"/>
      <c r="K1321" s="144"/>
      <c r="L1321" s="146"/>
      <c r="M1321" s="142"/>
      <c r="N1321" s="144"/>
      <c r="O1321" s="142"/>
      <c r="P1321" s="142"/>
      <c r="Q1321" s="142"/>
      <c r="R1321" s="129"/>
      <c r="S1321" s="143"/>
      <c r="T1321" s="144"/>
      <c r="U1321" s="129"/>
      <c r="V1321" s="129"/>
    </row>
    <row r="1322" spans="1:22" x14ac:dyDescent="0.2">
      <c r="A1322" s="144"/>
      <c r="B1322" s="145"/>
      <c r="C1322" s="129"/>
      <c r="D1322" s="129"/>
      <c r="E1322" s="129"/>
      <c r="F1322" s="129"/>
      <c r="G1322" s="144"/>
      <c r="H1322" s="129"/>
      <c r="I1322" s="144"/>
      <c r="J1322" s="144"/>
      <c r="K1322" s="144"/>
      <c r="L1322" s="146"/>
      <c r="M1322" s="142"/>
      <c r="N1322" s="144"/>
      <c r="O1322" s="142"/>
      <c r="P1322" s="142"/>
      <c r="Q1322" s="142"/>
      <c r="R1322" s="129"/>
      <c r="S1322" s="143"/>
      <c r="T1322" s="144"/>
      <c r="U1322" s="129"/>
      <c r="V1322" s="129"/>
    </row>
    <row r="1323" spans="1:22" x14ac:dyDescent="0.2">
      <c r="A1323" s="144"/>
      <c r="B1323" s="145"/>
      <c r="C1323" s="129"/>
      <c r="D1323" s="129"/>
      <c r="E1323" s="129"/>
      <c r="F1323" s="129"/>
      <c r="G1323" s="144"/>
      <c r="H1323" s="129"/>
      <c r="I1323" s="144"/>
      <c r="J1323" s="144"/>
      <c r="K1323" s="144"/>
      <c r="L1323" s="146"/>
      <c r="M1323" s="142"/>
      <c r="N1323" s="144"/>
      <c r="O1323" s="142"/>
      <c r="P1323" s="142"/>
      <c r="Q1323" s="142"/>
      <c r="R1323" s="129"/>
      <c r="S1323" s="143"/>
      <c r="T1323" s="144"/>
      <c r="U1323" s="129"/>
      <c r="V1323" s="129"/>
    </row>
    <row r="1324" spans="1:22" x14ac:dyDescent="0.2">
      <c r="A1324" s="144"/>
      <c r="B1324" s="145"/>
      <c r="C1324" s="129"/>
      <c r="D1324" s="129"/>
      <c r="E1324" s="129"/>
      <c r="F1324" s="129"/>
      <c r="G1324" s="144"/>
      <c r="H1324" s="129"/>
      <c r="I1324" s="144"/>
      <c r="J1324" s="144"/>
      <c r="K1324" s="144"/>
      <c r="L1324" s="146"/>
      <c r="M1324" s="142"/>
      <c r="N1324" s="144"/>
      <c r="O1324" s="142"/>
      <c r="P1324" s="142"/>
      <c r="Q1324" s="142"/>
      <c r="R1324" s="129"/>
      <c r="S1324" s="143"/>
      <c r="T1324" s="144"/>
      <c r="U1324" s="129"/>
      <c r="V1324" s="129"/>
    </row>
    <row r="1325" spans="1:22" x14ac:dyDescent="0.2">
      <c r="A1325" s="144"/>
      <c r="B1325" s="145"/>
      <c r="C1325" s="129"/>
      <c r="D1325" s="129"/>
      <c r="E1325" s="129"/>
      <c r="F1325" s="129"/>
      <c r="G1325" s="144"/>
      <c r="H1325" s="129"/>
      <c r="I1325" s="144"/>
      <c r="J1325" s="144"/>
      <c r="K1325" s="144"/>
      <c r="L1325" s="146"/>
      <c r="M1325" s="142"/>
      <c r="N1325" s="144"/>
      <c r="O1325" s="142"/>
      <c r="P1325" s="142"/>
      <c r="Q1325" s="142"/>
      <c r="R1325" s="129"/>
      <c r="S1325" s="143"/>
      <c r="T1325" s="144"/>
      <c r="U1325" s="129"/>
      <c r="V1325" s="129"/>
    </row>
    <row r="1326" spans="1:22" x14ac:dyDescent="0.2">
      <c r="A1326" s="144"/>
      <c r="B1326" s="145"/>
      <c r="C1326" s="129"/>
      <c r="D1326" s="129"/>
      <c r="E1326" s="129"/>
      <c r="F1326" s="129"/>
      <c r="G1326" s="144"/>
      <c r="H1326" s="129"/>
      <c r="I1326" s="144"/>
      <c r="J1326" s="144"/>
      <c r="K1326" s="144"/>
      <c r="L1326" s="146"/>
      <c r="M1326" s="142"/>
      <c r="N1326" s="144"/>
      <c r="O1326" s="142"/>
      <c r="P1326" s="142"/>
      <c r="Q1326" s="142"/>
      <c r="R1326" s="129"/>
      <c r="S1326" s="143"/>
      <c r="T1326" s="144"/>
      <c r="U1326" s="129"/>
      <c r="V1326" s="129"/>
    </row>
    <row r="1327" spans="1:22" x14ac:dyDescent="0.2">
      <c r="A1327" s="144"/>
      <c r="B1327" s="145"/>
      <c r="C1327" s="129"/>
      <c r="D1327" s="129"/>
      <c r="E1327" s="129"/>
      <c r="F1327" s="129"/>
      <c r="G1327" s="144"/>
      <c r="H1327" s="129"/>
      <c r="I1327" s="144"/>
      <c r="J1327" s="144"/>
      <c r="K1327" s="144"/>
      <c r="L1327" s="146"/>
      <c r="M1327" s="142"/>
      <c r="N1327" s="144"/>
      <c r="O1327" s="142"/>
      <c r="P1327" s="142"/>
      <c r="Q1327" s="142"/>
      <c r="R1327" s="129"/>
      <c r="S1327" s="143"/>
      <c r="T1327" s="144"/>
      <c r="U1327" s="129"/>
      <c r="V1327" s="129"/>
    </row>
    <row r="1328" spans="1:22" x14ac:dyDescent="0.2">
      <c r="A1328" s="144"/>
      <c r="B1328" s="145"/>
      <c r="C1328" s="129"/>
      <c r="D1328" s="129"/>
      <c r="E1328" s="129"/>
      <c r="F1328" s="129"/>
      <c r="G1328" s="144"/>
      <c r="H1328" s="129"/>
      <c r="I1328" s="144"/>
      <c r="J1328" s="144"/>
      <c r="K1328" s="144"/>
      <c r="L1328" s="146"/>
      <c r="M1328" s="142"/>
      <c r="N1328" s="144"/>
      <c r="O1328" s="142"/>
      <c r="P1328" s="142"/>
      <c r="Q1328" s="142"/>
      <c r="R1328" s="129"/>
      <c r="S1328" s="143"/>
      <c r="T1328" s="144"/>
      <c r="U1328" s="129"/>
      <c r="V1328" s="129"/>
    </row>
    <row r="1329" spans="1:22" x14ac:dyDescent="0.2">
      <c r="A1329" s="144"/>
      <c r="B1329" s="145"/>
      <c r="C1329" s="129"/>
      <c r="D1329" s="129"/>
      <c r="E1329" s="129"/>
      <c r="F1329" s="129"/>
      <c r="G1329" s="144"/>
      <c r="H1329" s="129"/>
      <c r="I1329" s="144"/>
      <c r="J1329" s="144"/>
      <c r="K1329" s="144"/>
      <c r="L1329" s="146"/>
      <c r="M1329" s="142"/>
      <c r="N1329" s="144"/>
      <c r="O1329" s="142"/>
      <c r="P1329" s="142"/>
      <c r="Q1329" s="142"/>
      <c r="R1329" s="129"/>
      <c r="S1329" s="143"/>
      <c r="T1329" s="144"/>
      <c r="U1329" s="129"/>
      <c r="V1329" s="129"/>
    </row>
    <row r="1330" spans="1:22" x14ac:dyDescent="0.2">
      <c r="A1330" s="144"/>
      <c r="B1330" s="145"/>
      <c r="C1330" s="129"/>
      <c r="D1330" s="129"/>
      <c r="E1330" s="129"/>
      <c r="F1330" s="129"/>
      <c r="G1330" s="144"/>
      <c r="H1330" s="129"/>
      <c r="I1330" s="144"/>
      <c r="J1330" s="144"/>
      <c r="K1330" s="144"/>
      <c r="L1330" s="146"/>
      <c r="M1330" s="142"/>
      <c r="N1330" s="144"/>
      <c r="O1330" s="142"/>
      <c r="P1330" s="142"/>
      <c r="Q1330" s="142"/>
      <c r="R1330" s="129"/>
      <c r="S1330" s="143"/>
      <c r="T1330" s="144"/>
      <c r="U1330" s="129"/>
      <c r="V1330" s="129"/>
    </row>
    <row r="1331" spans="1:22" x14ac:dyDescent="0.2">
      <c r="A1331" s="144"/>
      <c r="B1331" s="145"/>
      <c r="C1331" s="129"/>
      <c r="D1331" s="129"/>
      <c r="E1331" s="129"/>
      <c r="F1331" s="129"/>
      <c r="G1331" s="144"/>
      <c r="H1331" s="129"/>
      <c r="I1331" s="144"/>
      <c r="J1331" s="144"/>
      <c r="K1331" s="144"/>
      <c r="L1331" s="146"/>
      <c r="M1331" s="142"/>
      <c r="N1331" s="144"/>
      <c r="O1331" s="142"/>
      <c r="P1331" s="142"/>
      <c r="Q1331" s="142"/>
      <c r="R1331" s="129"/>
      <c r="S1331" s="143"/>
      <c r="T1331" s="144"/>
      <c r="U1331" s="129"/>
      <c r="V1331" s="129"/>
    </row>
    <row r="1332" spans="1:22" x14ac:dyDescent="0.2">
      <c r="A1332" s="144"/>
      <c r="B1332" s="145"/>
      <c r="C1332" s="129"/>
      <c r="D1332" s="129"/>
      <c r="E1332" s="129"/>
      <c r="F1332" s="129"/>
      <c r="G1332" s="144"/>
      <c r="H1332" s="129"/>
      <c r="I1332" s="144"/>
      <c r="J1332" s="144"/>
      <c r="K1332" s="144"/>
      <c r="L1332" s="146"/>
      <c r="M1332" s="142"/>
      <c r="N1332" s="144"/>
      <c r="O1332" s="142"/>
      <c r="P1332" s="142"/>
      <c r="Q1332" s="142"/>
      <c r="R1332" s="129"/>
      <c r="S1332" s="143"/>
      <c r="T1332" s="144"/>
      <c r="U1332" s="129"/>
      <c r="V1332" s="129"/>
    </row>
    <row r="1333" spans="1:22" x14ac:dyDescent="0.2">
      <c r="A1333" s="144"/>
      <c r="B1333" s="145"/>
      <c r="C1333" s="129"/>
      <c r="D1333" s="129"/>
      <c r="E1333" s="129"/>
      <c r="F1333" s="129"/>
      <c r="G1333" s="144"/>
      <c r="H1333" s="129"/>
      <c r="I1333" s="144"/>
      <c r="J1333" s="144"/>
      <c r="K1333" s="144"/>
      <c r="L1333" s="146"/>
      <c r="M1333" s="142"/>
      <c r="N1333" s="144"/>
      <c r="O1333" s="142"/>
      <c r="P1333" s="142"/>
      <c r="Q1333" s="142"/>
      <c r="R1333" s="129"/>
      <c r="S1333" s="143"/>
      <c r="T1333" s="144"/>
      <c r="U1333" s="129"/>
      <c r="V1333" s="129"/>
    </row>
    <row r="1334" spans="1:22" x14ac:dyDescent="0.2">
      <c r="A1334" s="144"/>
      <c r="B1334" s="145"/>
      <c r="C1334" s="129"/>
      <c r="D1334" s="129"/>
      <c r="E1334" s="129"/>
      <c r="F1334" s="129"/>
      <c r="G1334" s="144"/>
      <c r="H1334" s="129"/>
      <c r="I1334" s="144"/>
      <c r="J1334" s="144"/>
      <c r="K1334" s="144"/>
      <c r="L1334" s="146"/>
      <c r="M1334" s="142"/>
      <c r="N1334" s="144"/>
      <c r="O1334" s="142"/>
      <c r="P1334" s="142"/>
      <c r="Q1334" s="142"/>
      <c r="R1334" s="129"/>
      <c r="S1334" s="143"/>
      <c r="T1334" s="144"/>
      <c r="U1334" s="129"/>
      <c r="V1334" s="129"/>
    </row>
    <row r="1335" spans="1:22" x14ac:dyDescent="0.2">
      <c r="A1335" s="144"/>
      <c r="B1335" s="145"/>
      <c r="C1335" s="129"/>
      <c r="D1335" s="129"/>
      <c r="E1335" s="129"/>
      <c r="F1335" s="129"/>
      <c r="G1335" s="144"/>
      <c r="H1335" s="129"/>
      <c r="I1335" s="144"/>
      <c r="J1335" s="144"/>
      <c r="K1335" s="144"/>
      <c r="L1335" s="146"/>
      <c r="M1335" s="142"/>
      <c r="N1335" s="144"/>
      <c r="O1335" s="142"/>
      <c r="P1335" s="142"/>
      <c r="Q1335" s="142"/>
      <c r="R1335" s="129"/>
      <c r="S1335" s="143"/>
      <c r="T1335" s="144"/>
      <c r="U1335" s="129"/>
      <c r="V1335" s="129"/>
    </row>
    <row r="1336" spans="1:22" x14ac:dyDescent="0.2">
      <c r="A1336" s="144"/>
      <c r="B1336" s="145"/>
      <c r="C1336" s="129"/>
      <c r="D1336" s="129"/>
      <c r="E1336" s="129"/>
      <c r="F1336" s="129"/>
      <c r="G1336" s="144"/>
      <c r="H1336" s="129"/>
      <c r="I1336" s="144"/>
      <c r="J1336" s="144"/>
      <c r="K1336" s="144"/>
      <c r="L1336" s="146"/>
      <c r="M1336" s="142"/>
      <c r="N1336" s="144"/>
      <c r="O1336" s="142"/>
      <c r="P1336" s="142"/>
      <c r="Q1336" s="142"/>
      <c r="R1336" s="129"/>
      <c r="S1336" s="143"/>
      <c r="T1336" s="144"/>
      <c r="U1336" s="129"/>
      <c r="V1336" s="129"/>
    </row>
    <row r="1337" spans="1:22" x14ac:dyDescent="0.2">
      <c r="A1337" s="144"/>
      <c r="B1337" s="145"/>
      <c r="C1337" s="129"/>
      <c r="D1337" s="129"/>
      <c r="E1337" s="129"/>
      <c r="F1337" s="129"/>
      <c r="G1337" s="144"/>
      <c r="H1337" s="129"/>
      <c r="I1337" s="144"/>
      <c r="J1337" s="144"/>
      <c r="K1337" s="144"/>
      <c r="L1337" s="146"/>
      <c r="M1337" s="142"/>
      <c r="N1337" s="144"/>
      <c r="O1337" s="142"/>
      <c r="P1337" s="142"/>
      <c r="Q1337" s="142"/>
      <c r="R1337" s="129"/>
      <c r="S1337" s="143"/>
      <c r="T1337" s="144"/>
      <c r="U1337" s="129"/>
      <c r="V1337" s="129"/>
    </row>
    <row r="1338" spans="1:22" x14ac:dyDescent="0.2">
      <c r="A1338" s="144"/>
      <c r="B1338" s="145"/>
      <c r="C1338" s="129"/>
      <c r="D1338" s="129"/>
      <c r="E1338" s="129"/>
      <c r="F1338" s="129"/>
      <c r="G1338" s="144"/>
      <c r="H1338" s="129"/>
      <c r="I1338" s="144"/>
      <c r="J1338" s="144"/>
      <c r="K1338" s="144"/>
      <c r="L1338" s="146"/>
      <c r="M1338" s="142"/>
      <c r="N1338" s="144"/>
      <c r="O1338" s="142"/>
      <c r="P1338" s="142"/>
      <c r="Q1338" s="142"/>
      <c r="R1338" s="129"/>
      <c r="S1338" s="143"/>
      <c r="T1338" s="144"/>
      <c r="U1338" s="129"/>
      <c r="V1338" s="129"/>
    </row>
    <row r="1339" spans="1:22" x14ac:dyDescent="0.2">
      <c r="A1339" s="144"/>
      <c r="B1339" s="145"/>
      <c r="C1339" s="129"/>
      <c r="D1339" s="129"/>
      <c r="E1339" s="129"/>
      <c r="F1339" s="129"/>
      <c r="G1339" s="144"/>
      <c r="H1339" s="129"/>
      <c r="I1339" s="144"/>
      <c r="J1339" s="144"/>
      <c r="K1339" s="144"/>
      <c r="L1339" s="146"/>
      <c r="M1339" s="142"/>
      <c r="N1339" s="144"/>
      <c r="O1339" s="142"/>
      <c r="P1339" s="142"/>
      <c r="Q1339" s="142"/>
      <c r="R1339" s="129"/>
      <c r="S1339" s="143"/>
      <c r="T1339" s="144"/>
      <c r="U1339" s="129"/>
      <c r="V1339" s="129"/>
    </row>
    <row r="1340" spans="1:22" x14ac:dyDescent="0.2">
      <c r="A1340" s="144"/>
      <c r="B1340" s="145"/>
      <c r="C1340" s="129"/>
      <c r="D1340" s="129"/>
      <c r="E1340" s="129"/>
      <c r="F1340" s="129"/>
      <c r="G1340" s="144"/>
      <c r="H1340" s="129"/>
      <c r="I1340" s="144"/>
      <c r="J1340" s="144"/>
      <c r="K1340" s="144"/>
      <c r="L1340" s="146"/>
      <c r="M1340" s="142"/>
      <c r="N1340" s="144"/>
      <c r="O1340" s="142"/>
      <c r="P1340" s="142"/>
      <c r="Q1340" s="142"/>
      <c r="R1340" s="129"/>
      <c r="S1340" s="143"/>
      <c r="T1340" s="144"/>
      <c r="U1340" s="129"/>
      <c r="V1340" s="129"/>
    </row>
    <row r="1341" spans="1:22" x14ac:dyDescent="0.2">
      <c r="A1341" s="144"/>
      <c r="B1341" s="145"/>
      <c r="C1341" s="129"/>
      <c r="D1341" s="129"/>
      <c r="E1341" s="129"/>
      <c r="F1341" s="129"/>
      <c r="G1341" s="144"/>
      <c r="H1341" s="129"/>
      <c r="I1341" s="144"/>
      <c r="J1341" s="144"/>
      <c r="K1341" s="144"/>
      <c r="L1341" s="146"/>
      <c r="M1341" s="142"/>
      <c r="N1341" s="144"/>
      <c r="O1341" s="142"/>
      <c r="P1341" s="142"/>
      <c r="Q1341" s="142"/>
      <c r="R1341" s="129"/>
      <c r="S1341" s="143"/>
      <c r="T1341" s="144"/>
      <c r="U1341" s="129"/>
      <c r="V1341" s="129"/>
    </row>
    <row r="1342" spans="1:22" x14ac:dyDescent="0.2">
      <c r="A1342" s="144"/>
      <c r="B1342" s="145"/>
      <c r="C1342" s="129"/>
      <c r="D1342" s="129"/>
      <c r="E1342" s="129"/>
      <c r="F1342" s="129"/>
      <c r="G1342" s="144"/>
      <c r="H1342" s="129"/>
      <c r="I1342" s="144"/>
      <c r="J1342" s="144"/>
      <c r="K1342" s="144"/>
      <c r="L1342" s="146"/>
      <c r="M1342" s="142"/>
      <c r="N1342" s="144"/>
      <c r="O1342" s="142"/>
      <c r="P1342" s="142"/>
      <c r="Q1342" s="142"/>
      <c r="R1342" s="129"/>
      <c r="S1342" s="143"/>
      <c r="T1342" s="144"/>
      <c r="U1342" s="129"/>
      <c r="V1342" s="129"/>
    </row>
    <row r="1343" spans="1:22" x14ac:dyDescent="0.2">
      <c r="A1343" s="144"/>
      <c r="B1343" s="145"/>
      <c r="C1343" s="129"/>
      <c r="D1343" s="129"/>
      <c r="E1343" s="129"/>
      <c r="F1343" s="129"/>
      <c r="G1343" s="144"/>
      <c r="H1343" s="129"/>
      <c r="I1343" s="144"/>
      <c r="J1343" s="144"/>
      <c r="K1343" s="144"/>
      <c r="L1343" s="146"/>
      <c r="M1343" s="142"/>
      <c r="N1343" s="144"/>
      <c r="O1343" s="142"/>
      <c r="P1343" s="142"/>
      <c r="Q1343" s="142"/>
      <c r="R1343" s="129"/>
      <c r="S1343" s="143"/>
      <c r="T1343" s="144"/>
      <c r="U1343" s="129"/>
      <c r="V1343" s="129"/>
    </row>
    <row r="1344" spans="1:22" x14ac:dyDescent="0.2">
      <c r="A1344" s="144"/>
      <c r="B1344" s="145"/>
      <c r="C1344" s="129"/>
      <c r="D1344" s="129"/>
      <c r="E1344" s="129"/>
      <c r="F1344" s="129"/>
      <c r="G1344" s="144"/>
      <c r="H1344" s="129"/>
      <c r="I1344" s="144"/>
      <c r="J1344" s="144"/>
      <c r="K1344" s="144"/>
      <c r="L1344" s="146"/>
      <c r="M1344" s="142"/>
      <c r="N1344" s="144"/>
      <c r="O1344" s="142"/>
      <c r="P1344" s="142"/>
      <c r="Q1344" s="142"/>
      <c r="R1344" s="129"/>
      <c r="S1344" s="143"/>
      <c r="T1344" s="144"/>
      <c r="U1344" s="129"/>
      <c r="V1344" s="129"/>
    </row>
    <row r="1345" spans="1:22" x14ac:dyDescent="0.2">
      <c r="A1345" s="144"/>
      <c r="B1345" s="145"/>
      <c r="C1345" s="129"/>
      <c r="D1345" s="129"/>
      <c r="E1345" s="129"/>
      <c r="F1345" s="129"/>
      <c r="G1345" s="144"/>
      <c r="H1345" s="129"/>
      <c r="I1345" s="144"/>
      <c r="J1345" s="144"/>
      <c r="K1345" s="144"/>
      <c r="L1345" s="146"/>
      <c r="M1345" s="142"/>
      <c r="N1345" s="144"/>
      <c r="O1345" s="142"/>
      <c r="P1345" s="142"/>
      <c r="Q1345" s="142"/>
      <c r="R1345" s="129"/>
      <c r="S1345" s="143"/>
      <c r="T1345" s="144"/>
      <c r="U1345" s="129"/>
      <c r="V1345" s="129"/>
    </row>
    <row r="1346" spans="1:22" x14ac:dyDescent="0.2">
      <c r="A1346" s="144"/>
      <c r="B1346" s="145"/>
      <c r="C1346" s="129"/>
      <c r="D1346" s="129"/>
      <c r="E1346" s="129"/>
      <c r="F1346" s="129"/>
      <c r="G1346" s="144"/>
      <c r="H1346" s="129"/>
      <c r="I1346" s="144"/>
      <c r="J1346" s="144"/>
      <c r="K1346" s="144"/>
      <c r="L1346" s="146"/>
      <c r="M1346" s="142"/>
      <c r="N1346" s="144"/>
      <c r="O1346" s="142"/>
      <c r="P1346" s="142"/>
      <c r="Q1346" s="142"/>
      <c r="R1346" s="129"/>
      <c r="S1346" s="143"/>
      <c r="T1346" s="144"/>
      <c r="U1346" s="129"/>
      <c r="V1346" s="129"/>
    </row>
    <row r="1347" spans="1:22" x14ac:dyDescent="0.2">
      <c r="A1347" s="144"/>
      <c r="B1347" s="145"/>
      <c r="C1347" s="129"/>
      <c r="D1347" s="129"/>
      <c r="E1347" s="129"/>
      <c r="F1347" s="129"/>
      <c r="G1347" s="144"/>
      <c r="H1347" s="129"/>
      <c r="I1347" s="144"/>
      <c r="J1347" s="144"/>
      <c r="K1347" s="144"/>
      <c r="L1347" s="146"/>
      <c r="M1347" s="142"/>
      <c r="N1347" s="144"/>
      <c r="O1347" s="142"/>
      <c r="P1347" s="142"/>
      <c r="Q1347" s="142"/>
      <c r="R1347" s="129"/>
      <c r="S1347" s="143"/>
      <c r="T1347" s="144"/>
      <c r="U1347" s="129"/>
      <c r="V1347" s="129"/>
    </row>
    <row r="1348" spans="1:22" x14ac:dyDescent="0.2">
      <c r="A1348" s="144"/>
      <c r="B1348" s="145"/>
      <c r="C1348" s="129"/>
      <c r="D1348" s="129"/>
      <c r="E1348" s="129"/>
      <c r="F1348" s="129"/>
      <c r="G1348" s="144"/>
      <c r="H1348" s="129"/>
      <c r="I1348" s="144"/>
      <c r="J1348" s="144"/>
      <c r="K1348" s="144"/>
      <c r="L1348" s="146"/>
      <c r="M1348" s="142"/>
      <c r="N1348" s="144"/>
      <c r="O1348" s="142"/>
      <c r="P1348" s="142"/>
      <c r="Q1348" s="142"/>
      <c r="R1348" s="129"/>
      <c r="S1348" s="143"/>
      <c r="T1348" s="144"/>
      <c r="U1348" s="129"/>
      <c r="V1348" s="129"/>
    </row>
    <row r="1349" spans="1:22" x14ac:dyDescent="0.2">
      <c r="A1349" s="144"/>
      <c r="B1349" s="145"/>
      <c r="C1349" s="129"/>
      <c r="D1349" s="129"/>
      <c r="E1349" s="129"/>
      <c r="F1349" s="129"/>
      <c r="G1349" s="144"/>
      <c r="H1349" s="129"/>
      <c r="I1349" s="144"/>
      <c r="J1349" s="144"/>
      <c r="K1349" s="144"/>
      <c r="L1349" s="146"/>
      <c r="M1349" s="142"/>
      <c r="N1349" s="144"/>
      <c r="O1349" s="142"/>
      <c r="P1349" s="142"/>
      <c r="Q1349" s="142"/>
      <c r="R1349" s="129"/>
      <c r="S1349" s="143"/>
      <c r="T1349" s="144"/>
      <c r="U1349" s="129"/>
      <c r="V1349" s="129"/>
    </row>
    <row r="1350" spans="1:22" x14ac:dyDescent="0.2">
      <c r="A1350" s="144"/>
      <c r="B1350" s="145"/>
      <c r="C1350" s="129"/>
      <c r="D1350" s="129"/>
      <c r="E1350" s="129"/>
      <c r="F1350" s="129"/>
      <c r="G1350" s="144"/>
      <c r="H1350" s="129"/>
      <c r="I1350" s="144"/>
      <c r="J1350" s="144"/>
      <c r="K1350" s="144"/>
      <c r="L1350" s="146"/>
      <c r="M1350" s="142"/>
      <c r="N1350" s="144"/>
      <c r="O1350" s="142"/>
      <c r="P1350" s="142"/>
      <c r="Q1350" s="142"/>
      <c r="R1350" s="129"/>
      <c r="S1350" s="143"/>
      <c r="T1350" s="144"/>
      <c r="U1350" s="129"/>
      <c r="V1350" s="129"/>
    </row>
    <row r="1351" spans="1:22" x14ac:dyDescent="0.2">
      <c r="A1351" s="144"/>
      <c r="B1351" s="145"/>
      <c r="C1351" s="129"/>
      <c r="D1351" s="129"/>
      <c r="E1351" s="129"/>
      <c r="F1351" s="129"/>
      <c r="G1351" s="144"/>
      <c r="H1351" s="129"/>
      <c r="I1351" s="144"/>
      <c r="J1351" s="144"/>
      <c r="K1351" s="144"/>
      <c r="L1351" s="146"/>
      <c r="M1351" s="142"/>
      <c r="N1351" s="144"/>
      <c r="O1351" s="142"/>
      <c r="P1351" s="142"/>
      <c r="Q1351" s="142"/>
      <c r="R1351" s="129"/>
      <c r="S1351" s="143"/>
      <c r="T1351" s="144"/>
      <c r="U1351" s="129"/>
      <c r="V1351" s="129"/>
    </row>
    <row r="1352" spans="1:22" x14ac:dyDescent="0.2">
      <c r="A1352" s="144"/>
      <c r="B1352" s="145"/>
      <c r="C1352" s="129"/>
      <c r="D1352" s="129"/>
      <c r="E1352" s="129"/>
      <c r="F1352" s="129"/>
      <c r="G1352" s="144"/>
      <c r="H1352" s="129"/>
      <c r="I1352" s="144"/>
      <c r="J1352" s="144"/>
      <c r="K1352" s="144"/>
      <c r="L1352" s="146"/>
      <c r="M1352" s="142"/>
      <c r="N1352" s="144"/>
      <c r="O1352" s="142"/>
      <c r="P1352" s="142"/>
      <c r="Q1352" s="142"/>
      <c r="R1352" s="129"/>
      <c r="S1352" s="143"/>
      <c r="T1352" s="144"/>
      <c r="U1352" s="129"/>
      <c r="V1352" s="129"/>
    </row>
    <row r="1353" spans="1:22" x14ac:dyDescent="0.2">
      <c r="A1353" s="144"/>
      <c r="B1353" s="145"/>
      <c r="C1353" s="129"/>
      <c r="D1353" s="129"/>
      <c r="E1353" s="129"/>
      <c r="F1353" s="129"/>
      <c r="G1353" s="144"/>
      <c r="H1353" s="129"/>
      <c r="I1353" s="144"/>
      <c r="J1353" s="144"/>
      <c r="K1353" s="144"/>
      <c r="L1353" s="146"/>
      <c r="M1353" s="142"/>
      <c r="N1353" s="144"/>
      <c r="O1353" s="142"/>
      <c r="P1353" s="142"/>
      <c r="Q1353" s="142"/>
      <c r="R1353" s="129"/>
      <c r="S1353" s="143"/>
      <c r="T1353" s="144"/>
      <c r="U1353" s="129"/>
      <c r="V1353" s="129"/>
    </row>
    <row r="1354" spans="1:22" x14ac:dyDescent="0.2">
      <c r="A1354" s="144"/>
      <c r="B1354" s="145"/>
      <c r="C1354" s="129"/>
      <c r="D1354" s="129"/>
      <c r="E1354" s="129"/>
      <c r="F1354" s="129"/>
      <c r="G1354" s="144"/>
      <c r="H1354" s="129"/>
      <c r="I1354" s="144"/>
      <c r="J1354" s="144"/>
      <c r="K1354" s="144"/>
      <c r="L1354" s="146"/>
      <c r="M1354" s="142"/>
      <c r="N1354" s="144"/>
      <c r="O1354" s="142"/>
      <c r="P1354" s="142"/>
      <c r="Q1354" s="142"/>
      <c r="R1354" s="129"/>
      <c r="S1354" s="143"/>
      <c r="T1354" s="144"/>
      <c r="U1354" s="129"/>
      <c r="V1354" s="129"/>
    </row>
    <row r="1355" spans="1:22" x14ac:dyDescent="0.2">
      <c r="A1355" s="144"/>
      <c r="B1355" s="145"/>
      <c r="C1355" s="129"/>
      <c r="D1355" s="129"/>
      <c r="E1355" s="129"/>
      <c r="F1355" s="129"/>
      <c r="G1355" s="144"/>
      <c r="H1355" s="129"/>
      <c r="I1355" s="144"/>
      <c r="J1355" s="144"/>
      <c r="K1355" s="144"/>
      <c r="L1355" s="146"/>
      <c r="M1355" s="142"/>
      <c r="N1355" s="144"/>
      <c r="O1355" s="142"/>
      <c r="P1355" s="142"/>
      <c r="Q1355" s="142"/>
      <c r="R1355" s="129"/>
      <c r="S1355" s="143"/>
      <c r="T1355" s="144"/>
      <c r="U1355" s="129"/>
      <c r="V1355" s="129"/>
    </row>
    <row r="1356" spans="1:22" x14ac:dyDescent="0.2">
      <c r="A1356" s="144"/>
      <c r="B1356" s="145"/>
      <c r="C1356" s="129"/>
      <c r="D1356" s="129"/>
      <c r="E1356" s="129"/>
      <c r="F1356" s="129"/>
      <c r="G1356" s="144"/>
      <c r="H1356" s="129"/>
      <c r="I1356" s="144"/>
      <c r="J1356" s="144"/>
      <c r="K1356" s="144"/>
      <c r="L1356" s="146"/>
      <c r="M1356" s="142"/>
      <c r="N1356" s="144"/>
      <c r="O1356" s="142"/>
      <c r="P1356" s="142"/>
      <c r="Q1356" s="142"/>
      <c r="R1356" s="129"/>
      <c r="S1356" s="143"/>
      <c r="T1356" s="144"/>
      <c r="U1356" s="129"/>
      <c r="V1356" s="129"/>
    </row>
    <row r="1357" spans="1:22" x14ac:dyDescent="0.2">
      <c r="A1357" s="144"/>
      <c r="B1357" s="145"/>
      <c r="C1357" s="129"/>
      <c r="D1357" s="129"/>
      <c r="E1357" s="129"/>
      <c r="F1357" s="129"/>
      <c r="G1357" s="144"/>
      <c r="H1357" s="129"/>
      <c r="I1357" s="144"/>
      <c r="J1357" s="144"/>
      <c r="K1357" s="144"/>
      <c r="L1357" s="146"/>
      <c r="M1357" s="142"/>
      <c r="N1357" s="144"/>
      <c r="O1357" s="142"/>
      <c r="P1357" s="142"/>
      <c r="Q1357" s="142"/>
      <c r="R1357" s="129"/>
      <c r="S1357" s="143"/>
      <c r="T1357" s="144"/>
      <c r="U1357" s="129"/>
      <c r="V1357" s="129"/>
    </row>
    <row r="1358" spans="1:22" x14ac:dyDescent="0.2">
      <c r="A1358" s="144"/>
      <c r="B1358" s="145"/>
      <c r="C1358" s="129"/>
      <c r="D1358" s="129"/>
      <c r="E1358" s="129"/>
      <c r="F1358" s="129"/>
      <c r="G1358" s="144"/>
      <c r="H1358" s="129"/>
      <c r="I1358" s="144"/>
      <c r="J1358" s="144"/>
      <c r="K1358" s="144"/>
      <c r="L1358" s="146"/>
      <c r="M1358" s="142"/>
      <c r="N1358" s="144"/>
      <c r="O1358" s="142"/>
      <c r="P1358" s="142"/>
      <c r="Q1358" s="142"/>
      <c r="R1358" s="129"/>
      <c r="S1358" s="143"/>
      <c r="T1358" s="144"/>
      <c r="U1358" s="129"/>
      <c r="V1358" s="129"/>
    </row>
    <row r="1359" spans="1:22" x14ac:dyDescent="0.2">
      <c r="A1359" s="144"/>
      <c r="B1359" s="145"/>
      <c r="C1359" s="129"/>
      <c r="D1359" s="129"/>
      <c r="E1359" s="129"/>
      <c r="F1359" s="129"/>
      <c r="G1359" s="144"/>
      <c r="H1359" s="129"/>
      <c r="I1359" s="144"/>
      <c r="J1359" s="144"/>
      <c r="K1359" s="144"/>
      <c r="L1359" s="146"/>
      <c r="M1359" s="142"/>
      <c r="N1359" s="144"/>
      <c r="O1359" s="142"/>
      <c r="P1359" s="142"/>
      <c r="Q1359" s="142"/>
      <c r="R1359" s="129"/>
      <c r="S1359" s="143"/>
      <c r="T1359" s="144"/>
      <c r="U1359" s="129"/>
      <c r="V1359" s="129"/>
    </row>
    <row r="1360" spans="1:22" x14ac:dyDescent="0.2">
      <c r="A1360" s="144"/>
      <c r="B1360" s="145"/>
      <c r="C1360" s="129"/>
      <c r="D1360" s="129"/>
      <c r="E1360" s="129"/>
      <c r="F1360" s="129"/>
      <c r="G1360" s="144"/>
      <c r="H1360" s="129"/>
      <c r="I1360" s="144"/>
      <c r="J1360" s="144"/>
      <c r="K1360" s="144"/>
      <c r="L1360" s="146"/>
      <c r="M1360" s="142"/>
      <c r="N1360" s="144"/>
      <c r="O1360" s="142"/>
      <c r="P1360" s="142"/>
      <c r="Q1360" s="142"/>
      <c r="R1360" s="129"/>
      <c r="S1360" s="143"/>
      <c r="T1360" s="144"/>
      <c r="U1360" s="129"/>
      <c r="V1360" s="129"/>
    </row>
    <row r="1361" spans="1:22" x14ac:dyDescent="0.2">
      <c r="A1361" s="144"/>
      <c r="B1361" s="145"/>
      <c r="C1361" s="129"/>
      <c r="D1361" s="129"/>
      <c r="E1361" s="129"/>
      <c r="F1361" s="129"/>
      <c r="G1361" s="144"/>
      <c r="H1361" s="129"/>
      <c r="I1361" s="144"/>
      <c r="J1361" s="144"/>
      <c r="K1361" s="144"/>
      <c r="L1361" s="146"/>
      <c r="M1361" s="142"/>
      <c r="N1361" s="144"/>
      <c r="O1361" s="142"/>
      <c r="P1361" s="142"/>
      <c r="Q1361" s="142"/>
      <c r="R1361" s="129"/>
      <c r="S1361" s="143"/>
      <c r="T1361" s="144"/>
      <c r="U1361" s="129"/>
      <c r="V1361" s="129"/>
    </row>
    <row r="1362" spans="1:22" x14ac:dyDescent="0.2">
      <c r="A1362" s="144"/>
      <c r="B1362" s="145"/>
      <c r="C1362" s="129"/>
      <c r="D1362" s="129"/>
      <c r="E1362" s="129"/>
      <c r="F1362" s="129"/>
      <c r="G1362" s="144"/>
      <c r="H1362" s="129"/>
      <c r="I1362" s="144"/>
      <c r="J1362" s="144"/>
      <c r="K1362" s="144"/>
      <c r="L1362" s="146"/>
      <c r="M1362" s="142"/>
      <c r="N1362" s="144"/>
      <c r="O1362" s="142"/>
      <c r="P1362" s="142"/>
      <c r="Q1362" s="142"/>
      <c r="R1362" s="129"/>
      <c r="S1362" s="143"/>
      <c r="T1362" s="144"/>
      <c r="U1362" s="129"/>
      <c r="V1362" s="129"/>
    </row>
    <row r="1363" spans="1:22" x14ac:dyDescent="0.2">
      <c r="A1363" s="144"/>
      <c r="B1363" s="145"/>
      <c r="C1363" s="129"/>
      <c r="D1363" s="129"/>
      <c r="E1363" s="129"/>
      <c r="F1363" s="129"/>
      <c r="G1363" s="144"/>
      <c r="H1363" s="129"/>
      <c r="I1363" s="144"/>
      <c r="J1363" s="144"/>
      <c r="K1363" s="144"/>
      <c r="L1363" s="146"/>
      <c r="M1363" s="142"/>
      <c r="N1363" s="144"/>
      <c r="O1363" s="142"/>
      <c r="P1363" s="142"/>
      <c r="Q1363" s="142"/>
      <c r="R1363" s="129"/>
      <c r="S1363" s="143"/>
      <c r="T1363" s="144"/>
      <c r="U1363" s="129"/>
      <c r="V1363" s="129"/>
    </row>
    <row r="1364" spans="1:22" x14ac:dyDescent="0.2">
      <c r="A1364" s="144"/>
      <c r="B1364" s="145"/>
      <c r="C1364" s="129"/>
      <c r="D1364" s="129"/>
      <c r="E1364" s="129"/>
      <c r="F1364" s="129"/>
      <c r="G1364" s="144"/>
      <c r="H1364" s="129"/>
      <c r="I1364" s="144"/>
      <c r="J1364" s="144"/>
      <c r="K1364" s="144"/>
      <c r="L1364" s="146"/>
      <c r="M1364" s="142"/>
      <c r="N1364" s="144"/>
      <c r="O1364" s="142"/>
      <c r="P1364" s="142"/>
      <c r="Q1364" s="142"/>
      <c r="R1364" s="129"/>
      <c r="S1364" s="143"/>
      <c r="T1364" s="144"/>
      <c r="U1364" s="129"/>
      <c r="V1364" s="129"/>
    </row>
    <row r="1365" spans="1:22" x14ac:dyDescent="0.2">
      <c r="A1365" s="144"/>
      <c r="B1365" s="145"/>
      <c r="C1365" s="129"/>
      <c r="D1365" s="129"/>
      <c r="E1365" s="129"/>
      <c r="F1365" s="129"/>
      <c r="G1365" s="144"/>
      <c r="H1365" s="129"/>
      <c r="I1365" s="144"/>
      <c r="J1365" s="144"/>
      <c r="K1365" s="144"/>
      <c r="L1365" s="146"/>
      <c r="M1365" s="142"/>
      <c r="N1365" s="144"/>
      <c r="O1365" s="142"/>
      <c r="P1365" s="142"/>
      <c r="Q1365" s="142"/>
      <c r="R1365" s="129"/>
      <c r="S1365" s="143"/>
      <c r="T1365" s="144"/>
      <c r="U1365" s="129"/>
      <c r="V1365" s="129"/>
    </row>
    <row r="1366" spans="1:22" x14ac:dyDescent="0.2">
      <c r="A1366" s="144"/>
      <c r="B1366" s="145"/>
      <c r="C1366" s="129"/>
      <c r="D1366" s="129"/>
      <c r="E1366" s="129"/>
      <c r="F1366" s="129"/>
      <c r="G1366" s="144"/>
      <c r="H1366" s="129"/>
      <c r="I1366" s="144"/>
      <c r="J1366" s="144"/>
      <c r="K1366" s="144"/>
      <c r="L1366" s="146"/>
      <c r="M1366" s="142"/>
      <c r="N1366" s="144"/>
      <c r="O1366" s="142"/>
      <c r="P1366" s="142"/>
      <c r="Q1366" s="142"/>
      <c r="R1366" s="129"/>
      <c r="S1366" s="143"/>
      <c r="T1366" s="144"/>
      <c r="U1366" s="129"/>
      <c r="V1366" s="129"/>
    </row>
    <row r="1367" spans="1:22" x14ac:dyDescent="0.2">
      <c r="A1367" s="144"/>
      <c r="B1367" s="145"/>
      <c r="C1367" s="129"/>
      <c r="D1367" s="129"/>
      <c r="E1367" s="129"/>
      <c r="F1367" s="129"/>
      <c r="G1367" s="144"/>
      <c r="H1367" s="129"/>
      <c r="I1367" s="144"/>
      <c r="J1367" s="144"/>
      <c r="K1367" s="144"/>
      <c r="L1367" s="146"/>
      <c r="M1367" s="142"/>
      <c r="N1367" s="144"/>
      <c r="O1367" s="142"/>
      <c r="P1367" s="142"/>
      <c r="Q1367" s="142"/>
      <c r="R1367" s="129"/>
      <c r="S1367" s="143"/>
      <c r="T1367" s="144"/>
      <c r="U1367" s="129"/>
      <c r="V1367" s="129"/>
    </row>
    <row r="1368" spans="1:22" x14ac:dyDescent="0.2">
      <c r="A1368" s="144"/>
      <c r="B1368" s="145"/>
      <c r="C1368" s="129"/>
      <c r="D1368" s="129"/>
      <c r="E1368" s="129"/>
      <c r="F1368" s="129"/>
      <c r="G1368" s="144"/>
      <c r="H1368" s="129"/>
      <c r="I1368" s="144"/>
      <c r="J1368" s="144"/>
      <c r="K1368" s="144"/>
      <c r="L1368" s="146"/>
      <c r="M1368" s="142"/>
      <c r="N1368" s="144"/>
      <c r="O1368" s="142"/>
      <c r="P1368" s="142"/>
      <c r="Q1368" s="142"/>
      <c r="R1368" s="129"/>
      <c r="S1368" s="143"/>
      <c r="T1368" s="144"/>
      <c r="U1368" s="129"/>
      <c r="V1368" s="129"/>
    </row>
    <row r="1369" spans="1:22" x14ac:dyDescent="0.2">
      <c r="A1369" s="144"/>
      <c r="B1369" s="145"/>
      <c r="C1369" s="129"/>
      <c r="D1369" s="129"/>
      <c r="E1369" s="129"/>
      <c r="F1369" s="129"/>
      <c r="G1369" s="144"/>
      <c r="H1369" s="129"/>
      <c r="I1369" s="144"/>
      <c r="J1369" s="144"/>
      <c r="K1369" s="144"/>
      <c r="L1369" s="146"/>
      <c r="M1369" s="142"/>
      <c r="N1369" s="144"/>
      <c r="O1369" s="142"/>
      <c r="P1369" s="142"/>
      <c r="Q1369" s="142"/>
      <c r="R1369" s="129"/>
      <c r="S1369" s="143"/>
      <c r="T1369" s="144"/>
      <c r="U1369" s="129"/>
      <c r="V1369" s="129"/>
    </row>
    <row r="1370" spans="1:22" x14ac:dyDescent="0.2">
      <c r="A1370" s="144"/>
      <c r="B1370" s="145"/>
      <c r="C1370" s="129"/>
      <c r="D1370" s="129"/>
      <c r="E1370" s="129"/>
      <c r="F1370" s="129"/>
      <c r="G1370" s="144"/>
      <c r="H1370" s="129"/>
      <c r="I1370" s="144"/>
      <c r="J1370" s="144"/>
      <c r="K1370" s="144"/>
      <c r="L1370" s="146"/>
      <c r="M1370" s="142"/>
      <c r="N1370" s="144"/>
      <c r="O1370" s="142"/>
      <c r="P1370" s="142"/>
      <c r="Q1370" s="142"/>
      <c r="R1370" s="129"/>
      <c r="S1370" s="143"/>
      <c r="T1370" s="144"/>
      <c r="U1370" s="129"/>
      <c r="V1370" s="129"/>
    </row>
    <row r="1371" spans="1:22" x14ac:dyDescent="0.2">
      <c r="A1371" s="144"/>
      <c r="B1371" s="145"/>
      <c r="C1371" s="129"/>
      <c r="D1371" s="129"/>
      <c r="E1371" s="129"/>
      <c r="F1371" s="129"/>
      <c r="G1371" s="144"/>
      <c r="H1371" s="129"/>
      <c r="I1371" s="144"/>
      <c r="J1371" s="144"/>
      <c r="K1371" s="144"/>
      <c r="L1371" s="146"/>
      <c r="M1371" s="142"/>
      <c r="N1371" s="144"/>
      <c r="O1371" s="142"/>
      <c r="P1371" s="142"/>
      <c r="Q1371" s="142"/>
      <c r="R1371" s="129"/>
      <c r="S1371" s="143"/>
      <c r="T1371" s="144"/>
      <c r="U1371" s="129"/>
      <c r="V1371" s="129"/>
    </row>
    <row r="1372" spans="1:22" x14ac:dyDescent="0.2">
      <c r="A1372" s="144"/>
      <c r="B1372" s="145"/>
      <c r="C1372" s="129"/>
      <c r="D1372" s="129"/>
      <c r="E1372" s="129"/>
      <c r="F1372" s="129"/>
      <c r="G1372" s="144"/>
      <c r="H1372" s="129"/>
      <c r="I1372" s="144"/>
      <c r="J1372" s="144"/>
      <c r="K1372" s="144"/>
      <c r="L1372" s="146"/>
      <c r="M1372" s="142"/>
      <c r="N1372" s="144"/>
      <c r="O1372" s="142"/>
      <c r="P1372" s="142"/>
      <c r="Q1372" s="142"/>
      <c r="R1372" s="129"/>
      <c r="S1372" s="143"/>
      <c r="T1372" s="144"/>
      <c r="U1372" s="129"/>
      <c r="V1372" s="129"/>
    </row>
    <row r="1373" spans="1:22" x14ac:dyDescent="0.2">
      <c r="A1373" s="144"/>
      <c r="B1373" s="145"/>
      <c r="C1373" s="129"/>
      <c r="D1373" s="129"/>
      <c r="E1373" s="129"/>
      <c r="F1373" s="129"/>
      <c r="G1373" s="144"/>
      <c r="H1373" s="129"/>
      <c r="I1373" s="144"/>
      <c r="J1373" s="144"/>
      <c r="K1373" s="144"/>
      <c r="L1373" s="146"/>
      <c r="M1373" s="142"/>
      <c r="N1373" s="144"/>
      <c r="O1373" s="142"/>
      <c r="P1373" s="142"/>
      <c r="Q1373" s="142"/>
      <c r="R1373" s="129"/>
      <c r="S1373" s="143"/>
      <c r="T1373" s="144"/>
      <c r="U1373" s="129"/>
      <c r="V1373" s="129"/>
    </row>
    <row r="1374" spans="1:22" x14ac:dyDescent="0.2">
      <c r="A1374" s="144"/>
      <c r="B1374" s="145"/>
      <c r="C1374" s="129"/>
      <c r="D1374" s="129"/>
      <c r="E1374" s="129"/>
      <c r="F1374" s="129"/>
      <c r="G1374" s="144"/>
      <c r="H1374" s="129"/>
      <c r="I1374" s="144"/>
      <c r="J1374" s="144"/>
      <c r="K1374" s="144"/>
      <c r="L1374" s="146"/>
      <c r="M1374" s="142"/>
      <c r="N1374" s="144"/>
      <c r="O1374" s="142"/>
      <c r="P1374" s="142"/>
      <c r="Q1374" s="142"/>
      <c r="R1374" s="129"/>
      <c r="S1374" s="143"/>
      <c r="T1374" s="144"/>
      <c r="U1374" s="129"/>
      <c r="V1374" s="129"/>
    </row>
    <row r="1375" spans="1:22" x14ac:dyDescent="0.2">
      <c r="A1375" s="144"/>
      <c r="B1375" s="145"/>
      <c r="C1375" s="129"/>
      <c r="D1375" s="129"/>
      <c r="E1375" s="129"/>
      <c r="F1375" s="129"/>
      <c r="G1375" s="144"/>
      <c r="H1375" s="129"/>
      <c r="I1375" s="144"/>
      <c r="J1375" s="144"/>
      <c r="K1375" s="144"/>
      <c r="L1375" s="146"/>
      <c r="M1375" s="142"/>
      <c r="N1375" s="144"/>
      <c r="O1375" s="142"/>
      <c r="P1375" s="142"/>
      <c r="Q1375" s="142"/>
      <c r="R1375" s="129"/>
      <c r="S1375" s="143"/>
      <c r="T1375" s="144"/>
      <c r="U1375" s="129"/>
      <c r="V1375" s="129"/>
    </row>
    <row r="1376" spans="1:22" x14ac:dyDescent="0.2">
      <c r="A1376" s="144"/>
      <c r="B1376" s="145"/>
      <c r="C1376" s="129"/>
      <c r="D1376" s="129"/>
      <c r="E1376" s="129"/>
      <c r="F1376" s="129"/>
      <c r="G1376" s="144"/>
      <c r="H1376" s="129"/>
      <c r="I1376" s="144"/>
      <c r="J1376" s="144"/>
      <c r="K1376" s="144"/>
      <c r="L1376" s="146"/>
      <c r="M1376" s="142"/>
      <c r="N1376" s="144"/>
      <c r="O1376" s="142"/>
      <c r="P1376" s="142"/>
      <c r="Q1376" s="142"/>
      <c r="R1376" s="129"/>
      <c r="S1376" s="143"/>
      <c r="T1376" s="144"/>
      <c r="U1376" s="129"/>
      <c r="V1376" s="129"/>
    </row>
    <row r="1377" spans="1:22" x14ac:dyDescent="0.2">
      <c r="A1377" s="144"/>
      <c r="B1377" s="145"/>
      <c r="C1377" s="129"/>
      <c r="D1377" s="129"/>
      <c r="E1377" s="129"/>
      <c r="F1377" s="129"/>
      <c r="G1377" s="144"/>
      <c r="H1377" s="129"/>
      <c r="I1377" s="144"/>
      <c r="J1377" s="144"/>
      <c r="K1377" s="144"/>
      <c r="L1377" s="146"/>
      <c r="M1377" s="142"/>
      <c r="N1377" s="144"/>
      <c r="O1377" s="142"/>
      <c r="P1377" s="142"/>
      <c r="Q1377" s="142"/>
      <c r="R1377" s="129"/>
      <c r="S1377" s="143"/>
      <c r="T1377" s="144"/>
      <c r="U1377" s="129"/>
      <c r="V1377" s="129"/>
    </row>
    <row r="1378" spans="1:22" x14ac:dyDescent="0.2">
      <c r="A1378" s="144"/>
      <c r="B1378" s="145"/>
      <c r="C1378" s="129"/>
      <c r="D1378" s="129"/>
      <c r="E1378" s="129"/>
      <c r="F1378" s="129"/>
      <c r="G1378" s="144"/>
      <c r="H1378" s="129"/>
      <c r="I1378" s="144"/>
      <c r="J1378" s="144"/>
      <c r="K1378" s="144"/>
      <c r="L1378" s="146"/>
      <c r="M1378" s="142"/>
      <c r="N1378" s="144"/>
      <c r="O1378" s="142"/>
      <c r="P1378" s="142"/>
      <c r="Q1378" s="142"/>
      <c r="R1378" s="129"/>
      <c r="S1378" s="143"/>
      <c r="T1378" s="144"/>
      <c r="U1378" s="129"/>
      <c r="V1378" s="129"/>
    </row>
    <row r="1379" spans="1:22" x14ac:dyDescent="0.2">
      <c r="A1379" s="144"/>
      <c r="B1379" s="145"/>
      <c r="C1379" s="129"/>
      <c r="D1379" s="129"/>
      <c r="E1379" s="129"/>
      <c r="F1379" s="129"/>
      <c r="G1379" s="144"/>
      <c r="H1379" s="129"/>
      <c r="I1379" s="144"/>
      <c r="J1379" s="144"/>
      <c r="K1379" s="144"/>
      <c r="L1379" s="146"/>
      <c r="M1379" s="142"/>
      <c r="N1379" s="144"/>
      <c r="O1379" s="142"/>
      <c r="P1379" s="142"/>
      <c r="Q1379" s="142"/>
      <c r="R1379" s="129"/>
      <c r="S1379" s="143"/>
      <c r="T1379" s="144"/>
      <c r="U1379" s="129"/>
      <c r="V1379" s="129"/>
    </row>
    <row r="1380" spans="1:22" x14ac:dyDescent="0.2">
      <c r="A1380" s="144"/>
      <c r="B1380" s="145"/>
      <c r="C1380" s="129"/>
      <c r="D1380" s="129"/>
      <c r="E1380" s="129"/>
      <c r="F1380" s="129"/>
      <c r="G1380" s="144"/>
      <c r="H1380" s="129"/>
      <c r="I1380" s="144"/>
      <c r="J1380" s="144"/>
      <c r="K1380" s="144"/>
      <c r="L1380" s="146"/>
      <c r="M1380" s="142"/>
      <c r="N1380" s="144"/>
      <c r="O1380" s="142"/>
      <c r="P1380" s="142"/>
      <c r="Q1380" s="142"/>
      <c r="R1380" s="129"/>
      <c r="S1380" s="143"/>
      <c r="T1380" s="144"/>
      <c r="U1380" s="129"/>
      <c r="V1380" s="129"/>
    </row>
    <row r="1381" spans="1:22" x14ac:dyDescent="0.2">
      <c r="A1381" s="144"/>
      <c r="B1381" s="145"/>
      <c r="C1381" s="129"/>
      <c r="D1381" s="129"/>
      <c r="E1381" s="129"/>
      <c r="F1381" s="129"/>
      <c r="G1381" s="144"/>
      <c r="H1381" s="129"/>
      <c r="I1381" s="144"/>
      <c r="J1381" s="144"/>
      <c r="K1381" s="144"/>
      <c r="L1381" s="146"/>
      <c r="M1381" s="142"/>
      <c r="N1381" s="144"/>
      <c r="O1381" s="142"/>
      <c r="P1381" s="142"/>
      <c r="Q1381" s="142"/>
      <c r="R1381" s="129"/>
      <c r="S1381" s="143"/>
      <c r="T1381" s="144"/>
      <c r="U1381" s="129"/>
      <c r="V1381" s="129"/>
    </row>
    <row r="1382" spans="1:22" x14ac:dyDescent="0.2">
      <c r="A1382" s="144"/>
      <c r="B1382" s="145"/>
      <c r="C1382" s="129"/>
      <c r="D1382" s="129"/>
      <c r="E1382" s="129"/>
      <c r="F1382" s="129"/>
      <c r="G1382" s="144"/>
      <c r="H1382" s="129"/>
      <c r="I1382" s="144"/>
      <c r="J1382" s="144"/>
      <c r="K1382" s="144"/>
      <c r="L1382" s="146"/>
      <c r="M1382" s="142"/>
      <c r="N1382" s="144"/>
      <c r="O1382" s="142"/>
      <c r="P1382" s="142"/>
      <c r="Q1382" s="142"/>
      <c r="R1382" s="129"/>
      <c r="S1382" s="143"/>
      <c r="T1382" s="144"/>
      <c r="U1382" s="129"/>
      <c r="V1382" s="129"/>
    </row>
    <row r="1383" spans="1:22" x14ac:dyDescent="0.2">
      <c r="A1383" s="144"/>
      <c r="B1383" s="145"/>
      <c r="C1383" s="129"/>
      <c r="D1383" s="129"/>
      <c r="E1383" s="129"/>
      <c r="F1383" s="129"/>
      <c r="G1383" s="144"/>
      <c r="H1383" s="129"/>
      <c r="I1383" s="144"/>
      <c r="J1383" s="144"/>
      <c r="K1383" s="144"/>
      <c r="L1383" s="146"/>
      <c r="M1383" s="142"/>
      <c r="N1383" s="144"/>
      <c r="O1383" s="142"/>
      <c r="P1383" s="142"/>
      <c r="Q1383" s="142"/>
      <c r="R1383" s="129"/>
      <c r="S1383" s="143"/>
      <c r="T1383" s="144"/>
      <c r="U1383" s="129"/>
      <c r="V1383" s="129"/>
    </row>
    <row r="1384" spans="1:22" x14ac:dyDescent="0.2">
      <c r="A1384" s="144"/>
      <c r="B1384" s="145"/>
      <c r="C1384" s="129"/>
      <c r="D1384" s="129"/>
      <c r="E1384" s="129"/>
      <c r="F1384" s="129"/>
      <c r="G1384" s="144"/>
      <c r="H1384" s="129"/>
      <c r="I1384" s="144"/>
      <c r="J1384" s="144"/>
      <c r="K1384" s="144"/>
      <c r="L1384" s="146"/>
      <c r="M1384" s="142"/>
      <c r="N1384" s="144"/>
      <c r="O1384" s="142"/>
      <c r="P1384" s="142"/>
      <c r="Q1384" s="142"/>
      <c r="R1384" s="129"/>
      <c r="S1384" s="143"/>
      <c r="T1384" s="144"/>
      <c r="U1384" s="129"/>
      <c r="V1384" s="129"/>
    </row>
    <row r="1385" spans="1:22" x14ac:dyDescent="0.2">
      <c r="A1385" s="144"/>
      <c r="B1385" s="145"/>
      <c r="C1385" s="129"/>
      <c r="D1385" s="129"/>
      <c r="E1385" s="129"/>
      <c r="F1385" s="129"/>
      <c r="G1385" s="144"/>
      <c r="H1385" s="129"/>
      <c r="I1385" s="144"/>
      <c r="J1385" s="144"/>
      <c r="K1385" s="144"/>
      <c r="L1385" s="146"/>
      <c r="M1385" s="142"/>
      <c r="N1385" s="144"/>
      <c r="O1385" s="142"/>
      <c r="P1385" s="142"/>
      <c r="Q1385" s="142"/>
      <c r="R1385" s="129"/>
      <c r="S1385" s="143"/>
      <c r="T1385" s="144"/>
      <c r="U1385" s="129"/>
      <c r="V1385" s="129"/>
    </row>
    <row r="1386" spans="1:22" x14ac:dyDescent="0.2">
      <c r="A1386" s="144"/>
      <c r="B1386" s="145"/>
      <c r="C1386" s="129"/>
      <c r="D1386" s="129"/>
      <c r="E1386" s="129"/>
      <c r="F1386" s="129"/>
      <c r="G1386" s="144"/>
      <c r="H1386" s="129"/>
      <c r="I1386" s="144"/>
      <c r="J1386" s="144"/>
      <c r="K1386" s="144"/>
      <c r="L1386" s="146"/>
      <c r="M1386" s="142"/>
      <c r="N1386" s="144"/>
      <c r="O1386" s="142"/>
      <c r="P1386" s="142"/>
      <c r="Q1386" s="142"/>
      <c r="R1386" s="129"/>
      <c r="S1386" s="143"/>
      <c r="T1386" s="144"/>
      <c r="U1386" s="129"/>
      <c r="V1386" s="129"/>
    </row>
    <row r="1387" spans="1:22" x14ac:dyDescent="0.2">
      <c r="A1387" s="144"/>
      <c r="B1387" s="145"/>
      <c r="C1387" s="129"/>
      <c r="D1387" s="129"/>
      <c r="E1387" s="129"/>
      <c r="F1387" s="129"/>
      <c r="G1387" s="144"/>
      <c r="H1387" s="129"/>
      <c r="I1387" s="144"/>
      <c r="J1387" s="144"/>
      <c r="K1387" s="144"/>
      <c r="L1387" s="146"/>
      <c r="M1387" s="142"/>
      <c r="N1387" s="144"/>
      <c r="O1387" s="142"/>
      <c r="P1387" s="142"/>
      <c r="Q1387" s="142"/>
      <c r="R1387" s="129"/>
      <c r="S1387" s="143"/>
      <c r="T1387" s="144"/>
      <c r="U1387" s="129"/>
      <c r="V1387" s="129"/>
    </row>
    <row r="1388" spans="1:22" x14ac:dyDescent="0.2">
      <c r="A1388" s="144"/>
      <c r="B1388" s="145"/>
      <c r="C1388" s="129"/>
      <c r="D1388" s="129"/>
      <c r="E1388" s="129"/>
      <c r="F1388" s="129"/>
      <c r="G1388" s="144"/>
      <c r="H1388" s="129"/>
      <c r="I1388" s="144"/>
      <c r="J1388" s="144"/>
      <c r="K1388" s="144"/>
      <c r="L1388" s="146"/>
      <c r="M1388" s="142"/>
      <c r="N1388" s="144"/>
      <c r="O1388" s="142"/>
      <c r="P1388" s="142"/>
      <c r="Q1388" s="142"/>
      <c r="R1388" s="129"/>
      <c r="S1388" s="143"/>
      <c r="T1388" s="144"/>
      <c r="U1388" s="129"/>
      <c r="V1388" s="129"/>
    </row>
    <row r="1389" spans="1:22" x14ac:dyDescent="0.2">
      <c r="A1389" s="144"/>
      <c r="B1389" s="145"/>
      <c r="C1389" s="129"/>
      <c r="D1389" s="129"/>
      <c r="E1389" s="129"/>
      <c r="F1389" s="129"/>
      <c r="G1389" s="144"/>
      <c r="H1389" s="129"/>
      <c r="I1389" s="144"/>
      <c r="J1389" s="144"/>
      <c r="K1389" s="144"/>
      <c r="L1389" s="146"/>
      <c r="M1389" s="142"/>
      <c r="N1389" s="144"/>
      <c r="O1389" s="142"/>
      <c r="P1389" s="142"/>
      <c r="Q1389" s="142"/>
      <c r="R1389" s="129"/>
      <c r="S1389" s="143"/>
      <c r="T1389" s="144"/>
      <c r="U1389" s="129"/>
      <c r="V1389" s="129"/>
    </row>
    <row r="1390" spans="1:22" x14ac:dyDescent="0.2">
      <c r="A1390" s="144"/>
      <c r="B1390" s="145"/>
      <c r="C1390" s="129"/>
      <c r="D1390" s="129"/>
      <c r="E1390" s="129"/>
      <c r="F1390" s="129"/>
      <c r="G1390" s="144"/>
      <c r="H1390" s="129"/>
      <c r="I1390" s="144"/>
      <c r="J1390" s="144"/>
      <c r="K1390" s="144"/>
      <c r="L1390" s="146"/>
      <c r="M1390" s="142"/>
      <c r="N1390" s="144"/>
      <c r="O1390" s="142"/>
      <c r="P1390" s="142"/>
      <c r="Q1390" s="142"/>
      <c r="R1390" s="129"/>
      <c r="S1390" s="143"/>
      <c r="T1390" s="144"/>
      <c r="U1390" s="129"/>
      <c r="V1390" s="129"/>
    </row>
    <row r="1391" spans="1:22" x14ac:dyDescent="0.2">
      <c r="A1391" s="144"/>
      <c r="B1391" s="145"/>
      <c r="C1391" s="129"/>
      <c r="D1391" s="129"/>
      <c r="E1391" s="129"/>
      <c r="F1391" s="129"/>
      <c r="G1391" s="144"/>
      <c r="H1391" s="129"/>
      <c r="I1391" s="144"/>
      <c r="J1391" s="144"/>
      <c r="K1391" s="144"/>
      <c r="L1391" s="146"/>
      <c r="M1391" s="142"/>
      <c r="N1391" s="144"/>
      <c r="O1391" s="142"/>
      <c r="P1391" s="142"/>
      <c r="Q1391" s="142"/>
      <c r="R1391" s="129"/>
      <c r="S1391" s="143"/>
      <c r="T1391" s="144"/>
      <c r="U1391" s="129"/>
      <c r="V1391" s="129"/>
    </row>
    <row r="1392" spans="1:22" x14ac:dyDescent="0.2">
      <c r="A1392" s="144"/>
      <c r="B1392" s="145"/>
      <c r="C1392" s="129"/>
      <c r="D1392" s="129"/>
      <c r="E1392" s="129"/>
      <c r="F1392" s="129"/>
      <c r="G1392" s="144"/>
      <c r="H1392" s="129"/>
      <c r="I1392" s="144"/>
      <c r="J1392" s="144"/>
      <c r="K1392" s="144"/>
      <c r="L1392" s="146"/>
      <c r="M1392" s="142"/>
      <c r="N1392" s="144"/>
      <c r="O1392" s="142"/>
      <c r="P1392" s="142"/>
      <c r="Q1392" s="142"/>
      <c r="R1392" s="129"/>
      <c r="S1392" s="143"/>
      <c r="T1392" s="144"/>
      <c r="U1392" s="129"/>
      <c r="V1392" s="129"/>
    </row>
    <row r="1393" spans="1:22" x14ac:dyDescent="0.2">
      <c r="A1393" s="144"/>
      <c r="B1393" s="145"/>
      <c r="C1393" s="129"/>
      <c r="D1393" s="129"/>
      <c r="E1393" s="129"/>
      <c r="F1393" s="129"/>
      <c r="G1393" s="144"/>
      <c r="H1393" s="129"/>
      <c r="I1393" s="144"/>
      <c r="J1393" s="144"/>
      <c r="K1393" s="144"/>
      <c r="L1393" s="146"/>
      <c r="M1393" s="142"/>
      <c r="N1393" s="144"/>
      <c r="O1393" s="142"/>
      <c r="P1393" s="142"/>
      <c r="Q1393" s="142"/>
      <c r="R1393" s="129"/>
      <c r="S1393" s="143"/>
      <c r="T1393" s="144"/>
      <c r="U1393" s="129"/>
      <c r="V1393" s="129"/>
    </row>
    <row r="1394" spans="1:22" x14ac:dyDescent="0.2">
      <c r="A1394" s="144"/>
      <c r="B1394" s="145"/>
      <c r="C1394" s="129"/>
      <c r="D1394" s="129"/>
      <c r="E1394" s="129"/>
      <c r="F1394" s="129"/>
      <c r="G1394" s="144"/>
      <c r="H1394" s="129"/>
      <c r="I1394" s="144"/>
      <c r="J1394" s="144"/>
      <c r="K1394" s="144"/>
      <c r="L1394" s="146"/>
      <c r="M1394" s="142"/>
      <c r="N1394" s="144"/>
      <c r="O1394" s="142"/>
      <c r="P1394" s="142"/>
      <c r="Q1394" s="142"/>
      <c r="R1394" s="129"/>
      <c r="S1394" s="143"/>
      <c r="T1394" s="144"/>
      <c r="U1394" s="129"/>
      <c r="V1394" s="129"/>
    </row>
    <row r="1395" spans="1:22" x14ac:dyDescent="0.2">
      <c r="A1395" s="144"/>
      <c r="B1395" s="145"/>
      <c r="C1395" s="129"/>
      <c r="D1395" s="129"/>
      <c r="E1395" s="129"/>
      <c r="F1395" s="129"/>
      <c r="G1395" s="144"/>
      <c r="H1395" s="129"/>
      <c r="I1395" s="144"/>
      <c r="J1395" s="144"/>
      <c r="K1395" s="144"/>
      <c r="L1395" s="146"/>
      <c r="M1395" s="142"/>
      <c r="N1395" s="144"/>
      <c r="O1395" s="142"/>
      <c r="P1395" s="142"/>
      <c r="Q1395" s="142"/>
      <c r="R1395" s="129"/>
      <c r="S1395" s="143"/>
      <c r="T1395" s="144"/>
      <c r="U1395" s="129"/>
      <c r="V1395" s="129"/>
    </row>
    <row r="1396" spans="1:22" x14ac:dyDescent="0.2">
      <c r="A1396" s="144"/>
      <c r="B1396" s="145"/>
      <c r="C1396" s="129"/>
      <c r="D1396" s="129"/>
      <c r="E1396" s="129"/>
      <c r="F1396" s="129"/>
      <c r="G1396" s="144"/>
      <c r="H1396" s="129"/>
      <c r="I1396" s="144"/>
      <c r="J1396" s="144"/>
      <c r="K1396" s="144"/>
      <c r="L1396" s="146"/>
      <c r="M1396" s="142"/>
      <c r="N1396" s="144"/>
      <c r="O1396" s="142"/>
      <c r="P1396" s="142"/>
      <c r="Q1396" s="142"/>
      <c r="R1396" s="129"/>
      <c r="S1396" s="143"/>
      <c r="T1396" s="144"/>
      <c r="U1396" s="129"/>
      <c r="V1396" s="129"/>
    </row>
    <row r="1397" spans="1:22" x14ac:dyDescent="0.2">
      <c r="A1397" s="144"/>
      <c r="B1397" s="145"/>
      <c r="C1397" s="129"/>
      <c r="D1397" s="129"/>
      <c r="E1397" s="129"/>
      <c r="F1397" s="129"/>
      <c r="G1397" s="144"/>
      <c r="H1397" s="129"/>
      <c r="I1397" s="144"/>
      <c r="J1397" s="144"/>
      <c r="K1397" s="144"/>
      <c r="L1397" s="146"/>
      <c r="M1397" s="142"/>
      <c r="N1397" s="144"/>
      <c r="O1397" s="142"/>
      <c r="P1397" s="142"/>
      <c r="Q1397" s="142"/>
      <c r="R1397" s="129"/>
      <c r="S1397" s="143"/>
      <c r="T1397" s="144"/>
      <c r="U1397" s="129"/>
      <c r="V1397" s="129"/>
    </row>
    <row r="1398" spans="1:22" x14ac:dyDescent="0.2">
      <c r="A1398" s="144"/>
      <c r="B1398" s="145"/>
      <c r="C1398" s="129"/>
      <c r="D1398" s="129"/>
      <c r="E1398" s="129"/>
      <c r="F1398" s="129"/>
      <c r="G1398" s="144"/>
      <c r="H1398" s="129"/>
      <c r="I1398" s="144"/>
      <c r="J1398" s="144"/>
      <c r="K1398" s="144"/>
      <c r="L1398" s="146"/>
      <c r="M1398" s="142"/>
      <c r="N1398" s="144"/>
      <c r="O1398" s="142"/>
      <c r="P1398" s="142"/>
      <c r="Q1398" s="142"/>
      <c r="R1398" s="129"/>
      <c r="S1398" s="143"/>
      <c r="T1398" s="144"/>
      <c r="U1398" s="129"/>
      <c r="V1398" s="129"/>
    </row>
    <row r="1399" spans="1:22" x14ac:dyDescent="0.2">
      <c r="A1399" s="144"/>
      <c r="B1399" s="145"/>
      <c r="C1399" s="129"/>
      <c r="D1399" s="129"/>
      <c r="E1399" s="129"/>
      <c r="F1399" s="129"/>
      <c r="G1399" s="144"/>
      <c r="H1399" s="129"/>
      <c r="I1399" s="144"/>
      <c r="J1399" s="144"/>
      <c r="K1399" s="144"/>
      <c r="L1399" s="146"/>
      <c r="M1399" s="142"/>
      <c r="N1399" s="144"/>
      <c r="O1399" s="142"/>
      <c r="P1399" s="142"/>
      <c r="Q1399" s="142"/>
      <c r="R1399" s="129"/>
      <c r="S1399" s="143"/>
      <c r="T1399" s="144"/>
      <c r="U1399" s="129"/>
      <c r="V1399" s="129"/>
    </row>
    <row r="1400" spans="1:22" x14ac:dyDescent="0.2">
      <c r="A1400" s="144"/>
      <c r="B1400" s="145"/>
      <c r="C1400" s="129"/>
      <c r="D1400" s="129"/>
      <c r="E1400" s="129"/>
      <c r="F1400" s="129"/>
      <c r="G1400" s="144"/>
      <c r="H1400" s="129"/>
      <c r="I1400" s="144"/>
      <c r="J1400" s="144"/>
      <c r="K1400" s="144"/>
      <c r="L1400" s="146"/>
      <c r="M1400" s="142"/>
      <c r="N1400" s="144"/>
      <c r="O1400" s="142"/>
      <c r="P1400" s="142"/>
      <c r="Q1400" s="142"/>
      <c r="R1400" s="129"/>
      <c r="S1400" s="143"/>
      <c r="T1400" s="144"/>
      <c r="U1400" s="129"/>
      <c r="V1400" s="129"/>
    </row>
    <row r="1401" spans="1:22" x14ac:dyDescent="0.2">
      <c r="A1401" s="144"/>
      <c r="B1401" s="145"/>
      <c r="C1401" s="129"/>
      <c r="D1401" s="129"/>
      <c r="E1401" s="129"/>
      <c r="F1401" s="129"/>
      <c r="G1401" s="144"/>
      <c r="H1401" s="129"/>
      <c r="I1401" s="144"/>
      <c r="J1401" s="144"/>
      <c r="K1401" s="144"/>
      <c r="L1401" s="146"/>
      <c r="M1401" s="142"/>
      <c r="N1401" s="144"/>
      <c r="O1401" s="142"/>
      <c r="P1401" s="142"/>
      <c r="Q1401" s="142"/>
      <c r="R1401" s="129"/>
      <c r="S1401" s="143"/>
      <c r="T1401" s="144"/>
      <c r="U1401" s="129"/>
      <c r="V1401" s="129"/>
    </row>
    <row r="1402" spans="1:22" x14ac:dyDescent="0.2">
      <c r="A1402" s="144"/>
      <c r="B1402" s="145"/>
      <c r="C1402" s="129"/>
      <c r="D1402" s="129"/>
      <c r="E1402" s="129"/>
      <c r="F1402" s="129"/>
      <c r="G1402" s="144"/>
      <c r="H1402" s="129"/>
      <c r="I1402" s="144"/>
      <c r="J1402" s="144"/>
      <c r="K1402" s="144"/>
      <c r="L1402" s="146"/>
      <c r="M1402" s="142"/>
      <c r="N1402" s="144"/>
      <c r="O1402" s="142"/>
      <c r="P1402" s="142"/>
      <c r="Q1402" s="142"/>
      <c r="R1402" s="129"/>
      <c r="S1402" s="143"/>
      <c r="T1402" s="144"/>
      <c r="U1402" s="129"/>
      <c r="V1402" s="129"/>
    </row>
    <row r="1403" spans="1:22" x14ac:dyDescent="0.2">
      <c r="A1403" s="144"/>
      <c r="B1403" s="145"/>
      <c r="C1403" s="129"/>
      <c r="D1403" s="129"/>
      <c r="E1403" s="129"/>
      <c r="F1403" s="129"/>
      <c r="G1403" s="144"/>
      <c r="H1403" s="129"/>
      <c r="I1403" s="144"/>
      <c r="J1403" s="144"/>
      <c r="K1403" s="144"/>
      <c r="L1403" s="146"/>
      <c r="M1403" s="142"/>
      <c r="N1403" s="144"/>
      <c r="O1403" s="142"/>
      <c r="P1403" s="142"/>
      <c r="Q1403" s="142"/>
      <c r="R1403" s="129"/>
      <c r="S1403" s="143"/>
      <c r="T1403" s="144"/>
      <c r="U1403" s="129"/>
      <c r="V1403" s="129"/>
    </row>
    <row r="1404" spans="1:22" x14ac:dyDescent="0.2">
      <c r="A1404" s="144"/>
      <c r="B1404" s="145"/>
      <c r="C1404" s="129"/>
      <c r="D1404" s="129"/>
      <c r="E1404" s="129"/>
      <c r="F1404" s="129"/>
      <c r="G1404" s="144"/>
      <c r="H1404" s="129"/>
      <c r="I1404" s="144"/>
      <c r="J1404" s="144"/>
      <c r="K1404" s="144"/>
      <c r="L1404" s="146"/>
      <c r="M1404" s="142"/>
      <c r="N1404" s="144"/>
      <c r="O1404" s="142"/>
      <c r="P1404" s="142"/>
      <c r="Q1404" s="142"/>
      <c r="R1404" s="129"/>
      <c r="S1404" s="143"/>
      <c r="T1404" s="144"/>
      <c r="U1404" s="129"/>
      <c r="V1404" s="129"/>
    </row>
    <row r="1405" spans="1:22" x14ac:dyDescent="0.2">
      <c r="A1405" s="144"/>
      <c r="B1405" s="145"/>
      <c r="C1405" s="129"/>
      <c r="D1405" s="129"/>
      <c r="E1405" s="129"/>
      <c r="F1405" s="129"/>
      <c r="G1405" s="144"/>
      <c r="H1405" s="129"/>
      <c r="I1405" s="144"/>
      <c r="J1405" s="144"/>
      <c r="K1405" s="144"/>
      <c r="L1405" s="146"/>
      <c r="M1405" s="142"/>
      <c r="N1405" s="144"/>
      <c r="O1405" s="142"/>
      <c r="P1405" s="142"/>
      <c r="Q1405" s="142"/>
      <c r="R1405" s="129"/>
      <c r="S1405" s="143"/>
      <c r="T1405" s="144"/>
      <c r="U1405" s="129"/>
      <c r="V1405" s="129"/>
    </row>
    <row r="1406" spans="1:22" x14ac:dyDescent="0.2">
      <c r="A1406" s="144"/>
      <c r="B1406" s="145"/>
      <c r="C1406" s="129"/>
      <c r="D1406" s="129"/>
      <c r="E1406" s="129"/>
      <c r="F1406" s="129"/>
      <c r="G1406" s="144"/>
      <c r="H1406" s="129"/>
      <c r="I1406" s="144"/>
      <c r="J1406" s="144"/>
      <c r="K1406" s="144"/>
      <c r="L1406" s="146"/>
      <c r="M1406" s="142"/>
      <c r="N1406" s="144"/>
      <c r="O1406" s="142"/>
      <c r="P1406" s="142"/>
      <c r="Q1406" s="142"/>
      <c r="R1406" s="129"/>
      <c r="S1406" s="143"/>
      <c r="T1406" s="144"/>
      <c r="U1406" s="129"/>
      <c r="V1406" s="129"/>
    </row>
    <row r="1407" spans="1:22" x14ac:dyDescent="0.2">
      <c r="A1407" s="144"/>
      <c r="B1407" s="145"/>
      <c r="C1407" s="129"/>
      <c r="D1407" s="129"/>
      <c r="E1407" s="129"/>
      <c r="F1407" s="129"/>
      <c r="G1407" s="144"/>
      <c r="H1407" s="129"/>
      <c r="I1407" s="144"/>
      <c r="J1407" s="144"/>
      <c r="K1407" s="144"/>
      <c r="L1407" s="146"/>
      <c r="M1407" s="142"/>
      <c r="N1407" s="144"/>
      <c r="O1407" s="142"/>
      <c r="P1407" s="142"/>
      <c r="Q1407" s="142"/>
      <c r="R1407" s="129"/>
      <c r="S1407" s="143"/>
      <c r="T1407" s="144"/>
      <c r="U1407" s="129"/>
      <c r="V1407" s="129"/>
    </row>
    <row r="1408" spans="1:22" x14ac:dyDescent="0.2">
      <c r="A1408" s="144"/>
      <c r="B1408" s="145"/>
      <c r="C1408" s="129"/>
      <c r="D1408" s="129"/>
      <c r="E1408" s="129"/>
      <c r="F1408" s="129"/>
      <c r="G1408" s="144"/>
      <c r="H1408" s="129"/>
      <c r="I1408" s="144"/>
      <c r="J1408" s="144"/>
      <c r="K1408" s="144"/>
      <c r="L1408" s="146"/>
      <c r="M1408" s="142"/>
      <c r="N1408" s="144"/>
      <c r="O1408" s="142"/>
      <c r="P1408" s="142"/>
      <c r="Q1408" s="142"/>
      <c r="R1408" s="129"/>
      <c r="S1408" s="143"/>
      <c r="T1408" s="144"/>
      <c r="U1408" s="129"/>
      <c r="V1408" s="129"/>
    </row>
    <row r="1409" spans="1:22" x14ac:dyDescent="0.2">
      <c r="A1409" s="144"/>
      <c r="B1409" s="145"/>
      <c r="C1409" s="129"/>
      <c r="D1409" s="129"/>
      <c r="E1409" s="129"/>
      <c r="F1409" s="129"/>
      <c r="G1409" s="144"/>
      <c r="H1409" s="129"/>
      <c r="I1409" s="144"/>
      <c r="J1409" s="144"/>
      <c r="K1409" s="144"/>
      <c r="L1409" s="146"/>
      <c r="M1409" s="142"/>
      <c r="N1409" s="144"/>
      <c r="O1409" s="142"/>
      <c r="P1409" s="142"/>
      <c r="Q1409" s="142"/>
      <c r="R1409" s="129"/>
      <c r="S1409" s="143"/>
      <c r="T1409" s="144"/>
      <c r="U1409" s="129"/>
      <c r="V1409" s="129"/>
    </row>
    <row r="1410" spans="1:22" x14ac:dyDescent="0.2">
      <c r="A1410" s="144"/>
      <c r="B1410" s="145"/>
      <c r="C1410" s="129"/>
      <c r="D1410" s="129"/>
      <c r="E1410" s="129"/>
      <c r="F1410" s="129"/>
      <c r="G1410" s="144"/>
      <c r="H1410" s="129"/>
      <c r="I1410" s="144"/>
      <c r="J1410" s="144"/>
      <c r="K1410" s="144"/>
      <c r="L1410" s="146"/>
      <c r="M1410" s="142"/>
      <c r="N1410" s="144"/>
      <c r="O1410" s="142"/>
      <c r="P1410" s="142"/>
      <c r="Q1410" s="142"/>
      <c r="R1410" s="129"/>
      <c r="S1410" s="143"/>
      <c r="T1410" s="144"/>
      <c r="U1410" s="129"/>
      <c r="V1410" s="129"/>
    </row>
    <row r="1411" spans="1:22" x14ac:dyDescent="0.2">
      <c r="A1411" s="144"/>
      <c r="B1411" s="145"/>
      <c r="C1411" s="129"/>
      <c r="D1411" s="129"/>
      <c r="E1411" s="129"/>
      <c r="F1411" s="129"/>
      <c r="G1411" s="144"/>
      <c r="H1411" s="129"/>
      <c r="I1411" s="144"/>
      <c r="J1411" s="144"/>
      <c r="K1411" s="144"/>
      <c r="L1411" s="146"/>
      <c r="M1411" s="142"/>
      <c r="N1411" s="144"/>
      <c r="O1411" s="142"/>
      <c r="P1411" s="142"/>
      <c r="Q1411" s="142"/>
      <c r="R1411" s="129"/>
      <c r="S1411" s="143"/>
      <c r="T1411" s="144"/>
      <c r="U1411" s="129"/>
      <c r="V1411" s="129"/>
    </row>
    <row r="1412" spans="1:22" x14ac:dyDescent="0.2">
      <c r="A1412" s="144"/>
      <c r="B1412" s="145"/>
      <c r="C1412" s="129"/>
      <c r="D1412" s="129"/>
      <c r="E1412" s="129"/>
      <c r="F1412" s="129"/>
      <c r="G1412" s="144"/>
      <c r="H1412" s="129"/>
      <c r="I1412" s="144"/>
      <c r="J1412" s="144"/>
      <c r="K1412" s="144"/>
      <c r="L1412" s="146"/>
      <c r="M1412" s="142"/>
      <c r="N1412" s="144"/>
      <c r="O1412" s="142"/>
      <c r="P1412" s="142"/>
      <c r="Q1412" s="142"/>
      <c r="R1412" s="129"/>
      <c r="S1412" s="143"/>
      <c r="T1412" s="144"/>
      <c r="U1412" s="129"/>
      <c r="V1412" s="129"/>
    </row>
    <row r="1413" spans="1:22" x14ac:dyDescent="0.2">
      <c r="A1413" s="144"/>
      <c r="B1413" s="145"/>
      <c r="C1413" s="129"/>
      <c r="D1413" s="129"/>
      <c r="E1413" s="129"/>
      <c r="F1413" s="129"/>
      <c r="G1413" s="144"/>
      <c r="H1413" s="129"/>
      <c r="I1413" s="144"/>
      <c r="J1413" s="144"/>
      <c r="K1413" s="144"/>
      <c r="L1413" s="146"/>
      <c r="M1413" s="142"/>
      <c r="N1413" s="144"/>
      <c r="O1413" s="142"/>
      <c r="P1413" s="142"/>
      <c r="Q1413" s="142"/>
      <c r="R1413" s="129"/>
      <c r="S1413" s="143"/>
      <c r="T1413" s="144"/>
      <c r="U1413" s="129"/>
      <c r="V1413" s="129"/>
    </row>
    <row r="1414" spans="1:22" x14ac:dyDescent="0.2">
      <c r="A1414" s="144"/>
      <c r="B1414" s="145"/>
      <c r="C1414" s="129"/>
      <c r="D1414" s="129"/>
      <c r="E1414" s="129"/>
      <c r="F1414" s="129"/>
      <c r="G1414" s="144"/>
      <c r="H1414" s="129"/>
      <c r="I1414" s="144"/>
      <c r="J1414" s="144"/>
      <c r="K1414" s="144"/>
      <c r="L1414" s="146"/>
      <c r="M1414" s="142"/>
      <c r="N1414" s="144"/>
      <c r="O1414" s="142"/>
      <c r="P1414" s="142"/>
      <c r="Q1414" s="142"/>
      <c r="R1414" s="129"/>
      <c r="S1414" s="143"/>
      <c r="T1414" s="144"/>
      <c r="U1414" s="129"/>
      <c r="V1414" s="129"/>
    </row>
    <row r="1415" spans="1:22" x14ac:dyDescent="0.2">
      <c r="A1415" s="144"/>
      <c r="B1415" s="145"/>
      <c r="C1415" s="129"/>
      <c r="D1415" s="129"/>
      <c r="E1415" s="129"/>
      <c r="F1415" s="129"/>
      <c r="G1415" s="144"/>
      <c r="H1415" s="129"/>
      <c r="I1415" s="144"/>
      <c r="J1415" s="144"/>
      <c r="K1415" s="144"/>
      <c r="L1415" s="146"/>
      <c r="M1415" s="142"/>
      <c r="N1415" s="144"/>
      <c r="O1415" s="142"/>
      <c r="P1415" s="142"/>
      <c r="Q1415" s="142"/>
      <c r="R1415" s="129"/>
      <c r="S1415" s="143"/>
      <c r="T1415" s="144"/>
      <c r="U1415" s="129"/>
      <c r="V1415" s="129"/>
    </row>
    <row r="1416" spans="1:22" x14ac:dyDescent="0.2">
      <c r="A1416" s="144"/>
      <c r="B1416" s="145"/>
      <c r="C1416" s="129"/>
      <c r="D1416" s="129"/>
      <c r="E1416" s="129"/>
      <c r="F1416" s="129"/>
      <c r="G1416" s="144"/>
      <c r="H1416" s="129"/>
      <c r="I1416" s="144"/>
      <c r="J1416" s="144"/>
      <c r="K1416" s="144"/>
      <c r="L1416" s="146"/>
      <c r="M1416" s="142"/>
      <c r="N1416" s="144"/>
      <c r="O1416" s="142"/>
      <c r="P1416" s="142"/>
      <c r="Q1416" s="142"/>
      <c r="R1416" s="129"/>
      <c r="S1416" s="143"/>
      <c r="T1416" s="144"/>
      <c r="U1416" s="129"/>
      <c r="V1416" s="129"/>
    </row>
    <row r="1417" spans="1:22" x14ac:dyDescent="0.2">
      <c r="A1417" s="144"/>
      <c r="B1417" s="145"/>
      <c r="C1417" s="129"/>
      <c r="D1417" s="129"/>
      <c r="E1417" s="129"/>
      <c r="F1417" s="129"/>
      <c r="G1417" s="144"/>
      <c r="H1417" s="129"/>
      <c r="I1417" s="144"/>
      <c r="J1417" s="144"/>
      <c r="K1417" s="144"/>
      <c r="L1417" s="146"/>
      <c r="M1417" s="142"/>
      <c r="N1417" s="144"/>
      <c r="O1417" s="142"/>
      <c r="P1417" s="142"/>
      <c r="Q1417" s="142"/>
      <c r="R1417" s="129"/>
      <c r="S1417" s="143"/>
      <c r="T1417" s="144"/>
      <c r="U1417" s="129"/>
      <c r="V1417" s="129"/>
    </row>
    <row r="1418" spans="1:22" x14ac:dyDescent="0.2">
      <c r="A1418" s="144"/>
      <c r="B1418" s="145"/>
      <c r="C1418" s="129"/>
      <c r="D1418" s="129"/>
      <c r="E1418" s="129"/>
      <c r="F1418" s="129"/>
      <c r="G1418" s="144"/>
      <c r="H1418" s="129"/>
      <c r="I1418" s="144"/>
      <c r="J1418" s="144"/>
      <c r="K1418" s="144"/>
      <c r="L1418" s="146"/>
      <c r="M1418" s="142"/>
      <c r="N1418" s="144"/>
      <c r="O1418" s="142"/>
      <c r="P1418" s="142"/>
      <c r="Q1418" s="142"/>
      <c r="R1418" s="129"/>
      <c r="S1418" s="143"/>
      <c r="T1418" s="144"/>
      <c r="U1418" s="129"/>
      <c r="V1418" s="129"/>
    </row>
    <row r="1419" spans="1:22" x14ac:dyDescent="0.2">
      <c r="A1419" s="144"/>
      <c r="B1419" s="145"/>
      <c r="C1419" s="129"/>
      <c r="D1419" s="129"/>
      <c r="E1419" s="129"/>
      <c r="F1419" s="129"/>
      <c r="G1419" s="144"/>
      <c r="H1419" s="129"/>
      <c r="I1419" s="144"/>
      <c r="J1419" s="144"/>
      <c r="K1419" s="144"/>
      <c r="L1419" s="146"/>
      <c r="M1419" s="142"/>
      <c r="N1419" s="144"/>
      <c r="O1419" s="142"/>
      <c r="P1419" s="142"/>
      <c r="Q1419" s="142"/>
      <c r="R1419" s="129"/>
      <c r="S1419" s="143"/>
      <c r="T1419" s="144"/>
      <c r="U1419" s="129"/>
      <c r="V1419" s="129"/>
    </row>
    <row r="1420" spans="1:22" x14ac:dyDescent="0.2">
      <c r="A1420" s="144"/>
      <c r="B1420" s="145"/>
      <c r="C1420" s="129"/>
      <c r="D1420" s="129"/>
      <c r="E1420" s="129"/>
      <c r="F1420" s="129"/>
      <c r="G1420" s="144"/>
      <c r="H1420" s="129"/>
      <c r="I1420" s="144"/>
      <c r="J1420" s="144"/>
      <c r="K1420" s="144"/>
      <c r="L1420" s="146"/>
      <c r="M1420" s="142"/>
      <c r="N1420" s="144"/>
      <c r="O1420" s="142"/>
      <c r="P1420" s="142"/>
      <c r="Q1420" s="142"/>
      <c r="R1420" s="129"/>
      <c r="S1420" s="143"/>
      <c r="T1420" s="144"/>
      <c r="U1420" s="129"/>
      <c r="V1420" s="129"/>
    </row>
    <row r="1421" spans="1:22" x14ac:dyDescent="0.2">
      <c r="A1421" s="144"/>
      <c r="B1421" s="145"/>
      <c r="C1421" s="129"/>
      <c r="D1421" s="129"/>
      <c r="E1421" s="129"/>
      <c r="F1421" s="129"/>
      <c r="G1421" s="144"/>
      <c r="H1421" s="129"/>
      <c r="I1421" s="144"/>
      <c r="J1421" s="144"/>
      <c r="K1421" s="144"/>
      <c r="L1421" s="146"/>
      <c r="M1421" s="142"/>
      <c r="N1421" s="144"/>
      <c r="O1421" s="142"/>
      <c r="P1421" s="142"/>
      <c r="Q1421" s="142"/>
      <c r="R1421" s="129"/>
      <c r="S1421" s="143"/>
      <c r="T1421" s="144"/>
      <c r="U1421" s="129"/>
      <c r="V1421" s="129"/>
    </row>
    <row r="1422" spans="1:22" x14ac:dyDescent="0.2">
      <c r="A1422" s="144"/>
      <c r="B1422" s="145"/>
      <c r="C1422" s="129"/>
      <c r="D1422" s="129"/>
      <c r="E1422" s="129"/>
      <c r="F1422" s="129"/>
      <c r="G1422" s="144"/>
      <c r="H1422" s="129"/>
      <c r="I1422" s="144"/>
      <c r="J1422" s="144"/>
      <c r="K1422" s="144"/>
      <c r="L1422" s="146"/>
      <c r="M1422" s="142"/>
      <c r="N1422" s="144"/>
      <c r="O1422" s="142"/>
      <c r="P1422" s="142"/>
      <c r="Q1422" s="142"/>
      <c r="R1422" s="129"/>
      <c r="S1422" s="143"/>
      <c r="T1422" s="144"/>
      <c r="U1422" s="129"/>
      <c r="V1422" s="129"/>
    </row>
    <row r="1423" spans="1:22" x14ac:dyDescent="0.2">
      <c r="A1423" s="144"/>
      <c r="B1423" s="145"/>
      <c r="C1423" s="129"/>
      <c r="D1423" s="129"/>
      <c r="E1423" s="129"/>
      <c r="F1423" s="129"/>
      <c r="G1423" s="144"/>
      <c r="H1423" s="129"/>
      <c r="I1423" s="144"/>
      <c r="J1423" s="144"/>
      <c r="K1423" s="144"/>
      <c r="L1423" s="146"/>
      <c r="M1423" s="142"/>
      <c r="N1423" s="144"/>
      <c r="O1423" s="142"/>
      <c r="P1423" s="142"/>
      <c r="Q1423" s="142"/>
      <c r="R1423" s="129"/>
      <c r="S1423" s="143"/>
      <c r="T1423" s="144"/>
      <c r="U1423" s="129"/>
      <c r="V1423" s="129"/>
    </row>
    <row r="1424" spans="1:22" x14ac:dyDescent="0.2">
      <c r="A1424" s="144"/>
      <c r="B1424" s="145"/>
      <c r="C1424" s="129"/>
      <c r="D1424" s="129"/>
      <c r="E1424" s="129"/>
      <c r="F1424" s="129"/>
      <c r="G1424" s="144"/>
      <c r="H1424" s="129"/>
      <c r="I1424" s="144"/>
      <c r="J1424" s="144"/>
      <c r="K1424" s="144"/>
      <c r="L1424" s="146"/>
      <c r="M1424" s="142"/>
      <c r="N1424" s="144"/>
      <c r="O1424" s="142"/>
      <c r="P1424" s="142"/>
      <c r="Q1424" s="142"/>
      <c r="R1424" s="129"/>
      <c r="S1424" s="143"/>
      <c r="T1424" s="144"/>
      <c r="U1424" s="129"/>
      <c r="V1424" s="129"/>
    </row>
    <row r="1425" spans="1:22" x14ac:dyDescent="0.2">
      <c r="A1425" s="144"/>
      <c r="B1425" s="145"/>
      <c r="C1425" s="129"/>
      <c r="D1425" s="129"/>
      <c r="E1425" s="129"/>
      <c r="F1425" s="129"/>
      <c r="G1425" s="144"/>
      <c r="H1425" s="129"/>
      <c r="I1425" s="144"/>
      <c r="J1425" s="144"/>
      <c r="K1425" s="144"/>
      <c r="L1425" s="146"/>
      <c r="M1425" s="142"/>
      <c r="N1425" s="144"/>
      <c r="O1425" s="142"/>
      <c r="P1425" s="142"/>
      <c r="Q1425" s="142"/>
      <c r="R1425" s="129"/>
      <c r="S1425" s="143"/>
      <c r="T1425" s="144"/>
      <c r="U1425" s="129"/>
      <c r="V1425" s="129"/>
    </row>
    <row r="1426" spans="1:22" x14ac:dyDescent="0.2">
      <c r="A1426" s="144"/>
      <c r="B1426" s="145"/>
      <c r="C1426" s="129"/>
      <c r="D1426" s="129"/>
      <c r="E1426" s="129"/>
      <c r="F1426" s="129"/>
      <c r="G1426" s="144"/>
      <c r="H1426" s="129"/>
      <c r="I1426" s="144"/>
      <c r="J1426" s="144"/>
      <c r="K1426" s="144"/>
      <c r="L1426" s="146"/>
      <c r="M1426" s="142"/>
      <c r="N1426" s="144"/>
      <c r="O1426" s="142"/>
      <c r="P1426" s="142"/>
      <c r="Q1426" s="142"/>
      <c r="R1426" s="129"/>
      <c r="S1426" s="143"/>
      <c r="T1426" s="144"/>
      <c r="U1426" s="129"/>
      <c r="V1426" s="129"/>
    </row>
    <row r="1427" spans="1:22" x14ac:dyDescent="0.2">
      <c r="A1427" s="144"/>
      <c r="B1427" s="145"/>
      <c r="C1427" s="129"/>
      <c r="D1427" s="129"/>
      <c r="E1427" s="129"/>
      <c r="F1427" s="129"/>
      <c r="G1427" s="144"/>
      <c r="H1427" s="129"/>
      <c r="I1427" s="144"/>
      <c r="J1427" s="144"/>
      <c r="K1427" s="144"/>
      <c r="L1427" s="146"/>
      <c r="M1427" s="142"/>
      <c r="N1427" s="144"/>
      <c r="O1427" s="142"/>
      <c r="P1427" s="142"/>
      <c r="Q1427" s="142"/>
      <c r="R1427" s="129"/>
      <c r="S1427" s="143"/>
      <c r="T1427" s="144"/>
      <c r="U1427" s="129"/>
      <c r="V1427" s="129"/>
    </row>
    <row r="1428" spans="1:22" x14ac:dyDescent="0.2">
      <c r="A1428" s="144"/>
      <c r="B1428" s="145"/>
      <c r="C1428" s="129"/>
      <c r="D1428" s="129"/>
      <c r="E1428" s="129"/>
      <c r="F1428" s="129"/>
      <c r="G1428" s="144"/>
      <c r="H1428" s="129"/>
      <c r="I1428" s="144"/>
      <c r="J1428" s="144"/>
      <c r="K1428" s="144"/>
      <c r="L1428" s="146"/>
      <c r="M1428" s="142"/>
      <c r="N1428" s="144"/>
      <c r="O1428" s="142"/>
      <c r="P1428" s="142"/>
      <c r="Q1428" s="142"/>
      <c r="R1428" s="129"/>
      <c r="S1428" s="143"/>
      <c r="T1428" s="144"/>
      <c r="U1428" s="129"/>
      <c r="V1428" s="129"/>
    </row>
    <row r="1429" spans="1:22" x14ac:dyDescent="0.2">
      <c r="A1429" s="144"/>
      <c r="B1429" s="145"/>
      <c r="C1429" s="129"/>
      <c r="D1429" s="129"/>
      <c r="E1429" s="129"/>
      <c r="F1429" s="129"/>
      <c r="G1429" s="144"/>
      <c r="H1429" s="129"/>
      <c r="I1429" s="144"/>
      <c r="J1429" s="144"/>
      <c r="K1429" s="144"/>
      <c r="L1429" s="146"/>
      <c r="M1429" s="142"/>
      <c r="N1429" s="144"/>
      <c r="O1429" s="142"/>
      <c r="P1429" s="142"/>
      <c r="Q1429" s="142"/>
      <c r="R1429" s="129"/>
      <c r="S1429" s="143"/>
      <c r="T1429" s="144"/>
      <c r="U1429" s="129"/>
      <c r="V1429" s="129"/>
    </row>
    <row r="1430" spans="1:22" x14ac:dyDescent="0.2">
      <c r="A1430" s="144"/>
      <c r="B1430" s="145"/>
      <c r="C1430" s="129"/>
      <c r="D1430" s="129"/>
      <c r="E1430" s="129"/>
      <c r="F1430" s="129"/>
      <c r="G1430" s="144"/>
      <c r="H1430" s="129"/>
      <c r="I1430" s="144"/>
      <c r="J1430" s="144"/>
      <c r="K1430" s="144"/>
      <c r="L1430" s="146"/>
      <c r="M1430" s="142"/>
      <c r="N1430" s="144"/>
      <c r="O1430" s="142"/>
      <c r="P1430" s="142"/>
      <c r="Q1430" s="142"/>
      <c r="R1430" s="129"/>
      <c r="S1430" s="143"/>
      <c r="T1430" s="144"/>
      <c r="U1430" s="129"/>
      <c r="V1430" s="129"/>
    </row>
    <row r="1431" spans="1:22" x14ac:dyDescent="0.2">
      <c r="A1431" s="144"/>
      <c r="B1431" s="145"/>
      <c r="C1431" s="129"/>
      <c r="D1431" s="129"/>
      <c r="E1431" s="129"/>
      <c r="F1431" s="129"/>
      <c r="G1431" s="144"/>
      <c r="H1431" s="129"/>
      <c r="I1431" s="144"/>
      <c r="J1431" s="144"/>
      <c r="K1431" s="144"/>
      <c r="L1431" s="146"/>
      <c r="M1431" s="142"/>
      <c r="N1431" s="144"/>
      <c r="O1431" s="142"/>
      <c r="P1431" s="142"/>
      <c r="Q1431" s="142"/>
      <c r="R1431" s="129"/>
      <c r="S1431" s="143"/>
      <c r="T1431" s="144"/>
      <c r="U1431" s="129"/>
      <c r="V1431" s="129"/>
    </row>
    <row r="1432" spans="1:22" x14ac:dyDescent="0.2">
      <c r="A1432" s="144"/>
      <c r="B1432" s="145"/>
      <c r="C1432" s="129"/>
      <c r="D1432" s="129"/>
      <c r="E1432" s="129"/>
      <c r="F1432" s="129"/>
      <c r="G1432" s="144"/>
      <c r="H1432" s="129"/>
      <c r="I1432" s="144"/>
      <c r="J1432" s="144"/>
      <c r="K1432" s="144"/>
      <c r="L1432" s="146"/>
      <c r="M1432" s="142"/>
      <c r="N1432" s="144"/>
      <c r="O1432" s="142"/>
      <c r="P1432" s="142"/>
      <c r="Q1432" s="142"/>
      <c r="R1432" s="129"/>
      <c r="S1432" s="143"/>
      <c r="T1432" s="144"/>
      <c r="U1432" s="129"/>
      <c r="V1432" s="129"/>
    </row>
    <row r="1433" spans="1:22" x14ac:dyDescent="0.2">
      <c r="A1433" s="144"/>
      <c r="B1433" s="145"/>
      <c r="C1433" s="129"/>
      <c r="D1433" s="129"/>
      <c r="E1433" s="129"/>
      <c r="F1433" s="129"/>
      <c r="G1433" s="144"/>
      <c r="H1433" s="129"/>
      <c r="I1433" s="144"/>
      <c r="J1433" s="144"/>
      <c r="K1433" s="144"/>
      <c r="L1433" s="146"/>
      <c r="M1433" s="142"/>
      <c r="N1433" s="144"/>
      <c r="O1433" s="142"/>
      <c r="P1433" s="142"/>
      <c r="Q1433" s="142"/>
      <c r="R1433" s="129"/>
      <c r="S1433" s="143"/>
      <c r="T1433" s="144"/>
      <c r="U1433" s="129"/>
      <c r="V1433" s="129"/>
    </row>
    <row r="1434" spans="1:22" x14ac:dyDescent="0.2">
      <c r="A1434" s="144"/>
      <c r="B1434" s="145"/>
      <c r="C1434" s="129"/>
      <c r="D1434" s="129"/>
      <c r="E1434" s="129"/>
      <c r="F1434" s="129"/>
      <c r="G1434" s="144"/>
      <c r="H1434" s="129"/>
      <c r="I1434" s="144"/>
      <c r="J1434" s="144"/>
      <c r="K1434" s="144"/>
      <c r="L1434" s="146"/>
      <c r="M1434" s="142"/>
      <c r="N1434" s="144"/>
      <c r="O1434" s="142"/>
      <c r="P1434" s="142"/>
      <c r="Q1434" s="142"/>
      <c r="R1434" s="129"/>
      <c r="S1434" s="143"/>
      <c r="T1434" s="144"/>
      <c r="U1434" s="129"/>
      <c r="V1434" s="129"/>
    </row>
    <row r="1435" spans="1:22" x14ac:dyDescent="0.2">
      <c r="A1435" s="144"/>
      <c r="B1435" s="145"/>
      <c r="C1435" s="129"/>
      <c r="D1435" s="129"/>
      <c r="E1435" s="129"/>
      <c r="F1435" s="129"/>
      <c r="G1435" s="144"/>
      <c r="H1435" s="129"/>
      <c r="I1435" s="144"/>
      <c r="J1435" s="144"/>
      <c r="K1435" s="144"/>
      <c r="L1435" s="146"/>
      <c r="M1435" s="142"/>
      <c r="N1435" s="144"/>
      <c r="O1435" s="142"/>
      <c r="P1435" s="142"/>
      <c r="Q1435" s="142"/>
      <c r="R1435" s="129"/>
      <c r="S1435" s="143"/>
      <c r="T1435" s="144"/>
      <c r="U1435" s="129"/>
      <c r="V1435" s="129"/>
    </row>
    <row r="1436" spans="1:22" x14ac:dyDescent="0.2">
      <c r="A1436" s="144"/>
      <c r="B1436" s="145"/>
      <c r="C1436" s="129"/>
      <c r="D1436" s="129"/>
      <c r="E1436" s="129"/>
      <c r="F1436" s="129"/>
      <c r="G1436" s="144"/>
      <c r="H1436" s="129"/>
      <c r="I1436" s="144"/>
      <c r="J1436" s="144"/>
      <c r="K1436" s="144"/>
      <c r="L1436" s="146"/>
      <c r="M1436" s="142"/>
      <c r="N1436" s="144"/>
      <c r="O1436" s="142"/>
      <c r="P1436" s="142"/>
      <c r="Q1436" s="142"/>
      <c r="R1436" s="129"/>
      <c r="S1436" s="143"/>
      <c r="T1436" s="144"/>
      <c r="U1436" s="129"/>
      <c r="V1436" s="129"/>
    </row>
    <row r="1437" spans="1:22" x14ac:dyDescent="0.2">
      <c r="A1437" s="144"/>
      <c r="B1437" s="145"/>
      <c r="C1437" s="129"/>
      <c r="D1437" s="129"/>
      <c r="E1437" s="129"/>
      <c r="F1437" s="129"/>
      <c r="G1437" s="144"/>
      <c r="H1437" s="129"/>
      <c r="I1437" s="144"/>
      <c r="J1437" s="144"/>
      <c r="K1437" s="144"/>
      <c r="L1437" s="146"/>
      <c r="M1437" s="142"/>
      <c r="N1437" s="144"/>
      <c r="O1437" s="142"/>
      <c r="P1437" s="142"/>
      <c r="Q1437" s="142"/>
      <c r="R1437" s="129"/>
      <c r="S1437" s="143"/>
      <c r="T1437" s="144"/>
      <c r="U1437" s="129"/>
      <c r="V1437" s="129"/>
    </row>
    <row r="1438" spans="1:22" x14ac:dyDescent="0.2">
      <c r="A1438" s="144"/>
      <c r="B1438" s="145"/>
      <c r="C1438" s="129"/>
      <c r="D1438" s="129"/>
      <c r="E1438" s="129"/>
      <c r="F1438" s="129"/>
      <c r="G1438" s="144"/>
      <c r="H1438" s="129"/>
      <c r="I1438" s="144"/>
      <c r="J1438" s="144"/>
      <c r="K1438" s="144"/>
      <c r="L1438" s="146"/>
      <c r="M1438" s="142"/>
      <c r="N1438" s="144"/>
      <c r="O1438" s="142"/>
      <c r="P1438" s="142"/>
      <c r="Q1438" s="142"/>
      <c r="R1438" s="129"/>
      <c r="S1438" s="143"/>
      <c r="T1438" s="144"/>
      <c r="U1438" s="129"/>
      <c r="V1438" s="129"/>
    </row>
    <row r="1439" spans="1:22" x14ac:dyDescent="0.2">
      <c r="A1439" s="144"/>
      <c r="B1439" s="145"/>
      <c r="C1439" s="129"/>
      <c r="D1439" s="129"/>
      <c r="E1439" s="129"/>
      <c r="F1439" s="129"/>
      <c r="G1439" s="144"/>
      <c r="H1439" s="129"/>
      <c r="I1439" s="144"/>
      <c r="J1439" s="144"/>
      <c r="K1439" s="144"/>
      <c r="L1439" s="146"/>
      <c r="M1439" s="142"/>
      <c r="N1439" s="144"/>
      <c r="O1439" s="142"/>
      <c r="P1439" s="142"/>
      <c r="Q1439" s="142"/>
      <c r="R1439" s="129"/>
      <c r="S1439" s="143"/>
      <c r="T1439" s="144"/>
      <c r="U1439" s="129"/>
      <c r="V1439" s="129"/>
    </row>
    <row r="1440" spans="1:22" x14ac:dyDescent="0.2">
      <c r="A1440" s="144"/>
      <c r="B1440" s="145"/>
      <c r="C1440" s="129"/>
      <c r="D1440" s="129"/>
      <c r="E1440" s="129"/>
      <c r="F1440" s="129"/>
      <c r="G1440" s="144"/>
      <c r="H1440" s="129"/>
      <c r="I1440" s="144"/>
      <c r="J1440" s="144"/>
      <c r="K1440" s="144"/>
      <c r="L1440" s="146"/>
      <c r="M1440" s="142"/>
      <c r="N1440" s="144"/>
      <c r="O1440" s="142"/>
      <c r="P1440" s="142"/>
      <c r="Q1440" s="142"/>
      <c r="R1440" s="129"/>
      <c r="S1440" s="143"/>
      <c r="T1440" s="144"/>
      <c r="U1440" s="129"/>
      <c r="V1440" s="129"/>
    </row>
    <row r="1441" spans="1:22" x14ac:dyDescent="0.2">
      <c r="A1441" s="144"/>
      <c r="B1441" s="145"/>
      <c r="C1441" s="129"/>
      <c r="D1441" s="129"/>
      <c r="E1441" s="129"/>
      <c r="F1441" s="129"/>
      <c r="G1441" s="144"/>
      <c r="H1441" s="129"/>
      <c r="I1441" s="144"/>
      <c r="J1441" s="144"/>
      <c r="K1441" s="144"/>
      <c r="L1441" s="146"/>
      <c r="M1441" s="142"/>
      <c r="N1441" s="144"/>
      <c r="O1441" s="142"/>
      <c r="P1441" s="142"/>
      <c r="Q1441" s="142"/>
      <c r="R1441" s="129"/>
      <c r="S1441" s="143"/>
      <c r="T1441" s="144"/>
      <c r="U1441" s="129"/>
      <c r="V1441" s="129"/>
    </row>
    <row r="1442" spans="1:22" x14ac:dyDescent="0.2">
      <c r="A1442" s="144"/>
      <c r="B1442" s="145"/>
      <c r="C1442" s="129"/>
      <c r="D1442" s="129"/>
      <c r="E1442" s="129"/>
      <c r="F1442" s="129"/>
      <c r="G1442" s="144"/>
      <c r="H1442" s="129"/>
      <c r="I1442" s="144"/>
      <c r="J1442" s="144"/>
      <c r="K1442" s="144"/>
      <c r="L1442" s="146"/>
      <c r="M1442" s="142"/>
      <c r="N1442" s="144"/>
      <c r="O1442" s="142"/>
      <c r="P1442" s="142"/>
      <c r="Q1442" s="142"/>
      <c r="R1442" s="129"/>
      <c r="S1442" s="143"/>
      <c r="T1442" s="144"/>
      <c r="U1442" s="129"/>
      <c r="V1442" s="129"/>
    </row>
    <row r="1443" spans="1:22" x14ac:dyDescent="0.2">
      <c r="A1443" s="144"/>
      <c r="B1443" s="145"/>
      <c r="C1443" s="129"/>
      <c r="D1443" s="129"/>
      <c r="E1443" s="129"/>
      <c r="F1443" s="129"/>
      <c r="G1443" s="144"/>
      <c r="H1443" s="129"/>
      <c r="I1443" s="144"/>
      <c r="J1443" s="144"/>
      <c r="K1443" s="144"/>
      <c r="L1443" s="146"/>
      <c r="M1443" s="142"/>
      <c r="N1443" s="144"/>
      <c r="O1443" s="142"/>
      <c r="P1443" s="142"/>
      <c r="Q1443" s="142"/>
      <c r="R1443" s="129"/>
      <c r="S1443" s="143"/>
      <c r="T1443" s="144"/>
      <c r="U1443" s="129"/>
      <c r="V1443" s="129"/>
    </row>
    <row r="1444" spans="1:22" x14ac:dyDescent="0.2">
      <c r="A1444" s="144"/>
      <c r="B1444" s="145"/>
      <c r="C1444" s="129"/>
      <c r="D1444" s="129"/>
      <c r="E1444" s="129"/>
      <c r="F1444" s="129"/>
      <c r="G1444" s="144"/>
      <c r="H1444" s="129"/>
      <c r="I1444" s="144"/>
      <c r="J1444" s="144"/>
      <c r="K1444" s="144"/>
      <c r="L1444" s="146"/>
      <c r="M1444" s="142"/>
      <c r="N1444" s="144"/>
      <c r="O1444" s="142"/>
      <c r="P1444" s="142"/>
      <c r="Q1444" s="142"/>
      <c r="R1444" s="129"/>
      <c r="S1444" s="143"/>
      <c r="T1444" s="144"/>
      <c r="U1444" s="129"/>
      <c r="V1444" s="129"/>
    </row>
    <row r="1445" spans="1:22" x14ac:dyDescent="0.2">
      <c r="A1445" s="144"/>
      <c r="B1445" s="145"/>
      <c r="C1445" s="129"/>
      <c r="D1445" s="129"/>
      <c r="E1445" s="129"/>
      <c r="F1445" s="129"/>
      <c r="G1445" s="144"/>
      <c r="H1445" s="129"/>
      <c r="I1445" s="144"/>
      <c r="J1445" s="144"/>
      <c r="K1445" s="144"/>
      <c r="L1445" s="146"/>
      <c r="M1445" s="142"/>
      <c r="N1445" s="144"/>
      <c r="O1445" s="142"/>
      <c r="P1445" s="142"/>
      <c r="Q1445" s="142"/>
      <c r="R1445" s="129"/>
      <c r="S1445" s="143"/>
      <c r="T1445" s="144"/>
      <c r="U1445" s="129"/>
      <c r="V1445" s="129"/>
    </row>
    <row r="1446" spans="1:22" x14ac:dyDescent="0.2">
      <c r="A1446" s="144"/>
      <c r="B1446" s="145"/>
      <c r="C1446" s="129"/>
      <c r="D1446" s="129"/>
      <c r="E1446" s="129"/>
      <c r="F1446" s="129"/>
      <c r="G1446" s="144"/>
      <c r="H1446" s="129"/>
      <c r="I1446" s="144"/>
      <c r="J1446" s="144"/>
      <c r="K1446" s="144"/>
      <c r="L1446" s="146"/>
      <c r="M1446" s="142"/>
      <c r="N1446" s="144"/>
      <c r="O1446" s="142"/>
      <c r="P1446" s="142"/>
      <c r="Q1446" s="142"/>
      <c r="R1446" s="129"/>
      <c r="S1446" s="143"/>
      <c r="T1446" s="144"/>
      <c r="U1446" s="129"/>
      <c r="V1446" s="129"/>
    </row>
    <row r="1447" spans="1:22" x14ac:dyDescent="0.2">
      <c r="A1447" s="144"/>
      <c r="B1447" s="145"/>
      <c r="C1447" s="129"/>
      <c r="D1447" s="129"/>
      <c r="E1447" s="129"/>
      <c r="F1447" s="129"/>
      <c r="G1447" s="144"/>
      <c r="H1447" s="129"/>
      <c r="I1447" s="144"/>
      <c r="J1447" s="144"/>
      <c r="K1447" s="144"/>
      <c r="L1447" s="146"/>
      <c r="M1447" s="142"/>
      <c r="N1447" s="144"/>
      <c r="O1447" s="142"/>
      <c r="P1447" s="142"/>
      <c r="Q1447" s="142"/>
      <c r="R1447" s="129"/>
      <c r="S1447" s="143"/>
      <c r="T1447" s="144"/>
      <c r="U1447" s="129"/>
      <c r="V1447" s="129"/>
    </row>
    <row r="1448" spans="1:22" x14ac:dyDescent="0.2">
      <c r="A1448" s="144"/>
      <c r="B1448" s="145"/>
      <c r="C1448" s="129"/>
      <c r="D1448" s="129"/>
      <c r="E1448" s="129"/>
      <c r="F1448" s="129"/>
      <c r="G1448" s="144"/>
      <c r="H1448" s="129"/>
      <c r="I1448" s="144"/>
      <c r="J1448" s="144"/>
      <c r="K1448" s="144"/>
      <c r="L1448" s="146"/>
      <c r="M1448" s="142"/>
      <c r="N1448" s="144"/>
      <c r="O1448" s="142"/>
      <c r="P1448" s="142"/>
      <c r="Q1448" s="142"/>
      <c r="R1448" s="129"/>
      <c r="S1448" s="143"/>
      <c r="T1448" s="144"/>
      <c r="U1448" s="129"/>
      <c r="V1448" s="129"/>
    </row>
    <row r="1449" spans="1:22" x14ac:dyDescent="0.2">
      <c r="A1449" s="144"/>
      <c r="B1449" s="145"/>
      <c r="C1449" s="129"/>
      <c r="D1449" s="129"/>
      <c r="E1449" s="129"/>
      <c r="F1449" s="129"/>
      <c r="G1449" s="144"/>
      <c r="H1449" s="129"/>
      <c r="I1449" s="144"/>
      <c r="J1449" s="144"/>
      <c r="K1449" s="144"/>
      <c r="L1449" s="146"/>
      <c r="M1449" s="142"/>
      <c r="N1449" s="144"/>
      <c r="O1449" s="142"/>
      <c r="P1449" s="142"/>
      <c r="Q1449" s="142"/>
      <c r="R1449" s="129"/>
      <c r="S1449" s="143"/>
      <c r="T1449" s="144"/>
      <c r="U1449" s="129"/>
      <c r="V1449" s="129"/>
    </row>
    <row r="1450" spans="1:22" x14ac:dyDescent="0.2">
      <c r="A1450" s="144"/>
      <c r="B1450" s="145"/>
      <c r="C1450" s="129"/>
      <c r="D1450" s="129"/>
      <c r="E1450" s="129"/>
      <c r="F1450" s="129"/>
      <c r="G1450" s="144"/>
      <c r="H1450" s="129"/>
      <c r="I1450" s="144"/>
      <c r="J1450" s="144"/>
      <c r="K1450" s="144"/>
      <c r="L1450" s="146"/>
      <c r="M1450" s="142"/>
      <c r="N1450" s="144"/>
      <c r="O1450" s="142"/>
      <c r="P1450" s="142"/>
      <c r="Q1450" s="142"/>
      <c r="R1450" s="129"/>
      <c r="S1450" s="143"/>
      <c r="T1450" s="144"/>
      <c r="U1450" s="129"/>
      <c r="V1450" s="129"/>
    </row>
    <row r="1451" spans="1:22" x14ac:dyDescent="0.2">
      <c r="A1451" s="144"/>
      <c r="B1451" s="145"/>
      <c r="C1451" s="129"/>
      <c r="D1451" s="129"/>
      <c r="E1451" s="129"/>
      <c r="F1451" s="129"/>
      <c r="G1451" s="144"/>
      <c r="H1451" s="129"/>
      <c r="I1451" s="144"/>
      <c r="J1451" s="144"/>
      <c r="K1451" s="144"/>
      <c r="L1451" s="146"/>
      <c r="M1451" s="142"/>
      <c r="N1451" s="144"/>
      <c r="O1451" s="142"/>
      <c r="P1451" s="142"/>
      <c r="Q1451" s="142"/>
      <c r="R1451" s="129"/>
      <c r="S1451" s="143"/>
      <c r="T1451" s="144"/>
      <c r="U1451" s="129"/>
      <c r="V1451" s="129"/>
    </row>
    <row r="1452" spans="1:22" x14ac:dyDescent="0.2">
      <c r="A1452" s="144"/>
      <c r="B1452" s="145"/>
      <c r="C1452" s="129"/>
      <c r="D1452" s="129"/>
      <c r="E1452" s="129"/>
      <c r="F1452" s="129"/>
      <c r="G1452" s="144"/>
      <c r="H1452" s="129"/>
      <c r="I1452" s="144"/>
      <c r="J1452" s="144"/>
      <c r="K1452" s="144"/>
      <c r="L1452" s="146"/>
      <c r="M1452" s="142"/>
      <c r="N1452" s="144"/>
      <c r="O1452" s="142"/>
      <c r="P1452" s="142"/>
      <c r="Q1452" s="142"/>
      <c r="R1452" s="129"/>
      <c r="S1452" s="143"/>
      <c r="T1452" s="144"/>
      <c r="U1452" s="129"/>
      <c r="V1452" s="129"/>
    </row>
    <row r="1453" spans="1:22" x14ac:dyDescent="0.2">
      <c r="A1453" s="144"/>
      <c r="B1453" s="145"/>
      <c r="C1453" s="129"/>
      <c r="D1453" s="129"/>
      <c r="E1453" s="129"/>
      <c r="F1453" s="129"/>
      <c r="G1453" s="144"/>
      <c r="H1453" s="129"/>
      <c r="I1453" s="144"/>
      <c r="J1453" s="144"/>
      <c r="K1453" s="144"/>
      <c r="L1453" s="146"/>
      <c r="M1453" s="142"/>
      <c r="N1453" s="144"/>
      <c r="O1453" s="142"/>
      <c r="P1453" s="142"/>
      <c r="Q1453" s="142"/>
      <c r="R1453" s="129"/>
      <c r="S1453" s="143"/>
      <c r="T1453" s="144"/>
      <c r="U1453" s="129"/>
      <c r="V1453" s="129"/>
    </row>
    <row r="1454" spans="1:22" x14ac:dyDescent="0.2">
      <c r="A1454" s="144"/>
      <c r="B1454" s="145"/>
      <c r="C1454" s="129"/>
      <c r="D1454" s="129"/>
      <c r="E1454" s="129"/>
      <c r="F1454" s="129"/>
      <c r="G1454" s="144"/>
      <c r="H1454" s="129"/>
      <c r="I1454" s="144"/>
      <c r="J1454" s="144"/>
      <c r="K1454" s="144"/>
      <c r="L1454" s="146"/>
      <c r="M1454" s="142"/>
      <c r="N1454" s="144"/>
      <c r="O1454" s="142"/>
      <c r="P1454" s="142"/>
      <c r="Q1454" s="142"/>
      <c r="R1454" s="129"/>
      <c r="S1454" s="143"/>
      <c r="T1454" s="144"/>
      <c r="U1454" s="129"/>
      <c r="V1454" s="129"/>
    </row>
    <row r="1455" spans="1:22" x14ac:dyDescent="0.2">
      <c r="A1455" s="144"/>
      <c r="B1455" s="145"/>
      <c r="C1455" s="129"/>
      <c r="D1455" s="129"/>
      <c r="E1455" s="129"/>
      <c r="F1455" s="129"/>
      <c r="G1455" s="144"/>
      <c r="H1455" s="129"/>
      <c r="I1455" s="144"/>
      <c r="J1455" s="144"/>
      <c r="K1455" s="144"/>
      <c r="L1455" s="146"/>
      <c r="M1455" s="142"/>
      <c r="N1455" s="144"/>
      <c r="O1455" s="142"/>
      <c r="P1455" s="142"/>
      <c r="Q1455" s="142"/>
      <c r="R1455" s="129"/>
      <c r="S1455" s="143"/>
      <c r="T1455" s="144"/>
      <c r="U1455" s="129"/>
      <c r="V1455" s="129"/>
    </row>
    <row r="1456" spans="1:22" x14ac:dyDescent="0.2">
      <c r="A1456" s="144"/>
      <c r="B1456" s="145"/>
      <c r="C1456" s="129"/>
      <c r="D1456" s="129"/>
      <c r="E1456" s="129"/>
      <c r="F1456" s="129"/>
      <c r="G1456" s="144"/>
      <c r="H1456" s="129"/>
      <c r="I1456" s="144"/>
      <c r="J1456" s="144"/>
      <c r="K1456" s="144"/>
      <c r="L1456" s="146"/>
      <c r="M1456" s="142"/>
      <c r="N1456" s="144"/>
      <c r="O1456" s="142"/>
      <c r="P1456" s="142"/>
      <c r="Q1456" s="142"/>
      <c r="R1456" s="129"/>
      <c r="S1456" s="143"/>
      <c r="T1456" s="144"/>
      <c r="U1456" s="129"/>
      <c r="V1456" s="129"/>
    </row>
    <row r="1457" spans="1:22" x14ac:dyDescent="0.2">
      <c r="A1457" s="144"/>
      <c r="B1457" s="145"/>
      <c r="C1457" s="129"/>
      <c r="D1457" s="129"/>
      <c r="E1457" s="129"/>
      <c r="F1457" s="129"/>
      <c r="G1457" s="144"/>
      <c r="H1457" s="129"/>
      <c r="I1457" s="144"/>
      <c r="J1457" s="144"/>
      <c r="K1457" s="144"/>
      <c r="L1457" s="146"/>
      <c r="M1457" s="142"/>
      <c r="N1457" s="144"/>
      <c r="O1457" s="142"/>
      <c r="P1457" s="142"/>
      <c r="Q1457" s="142"/>
      <c r="R1457" s="129"/>
      <c r="S1457" s="143"/>
      <c r="T1457" s="144"/>
      <c r="U1457" s="129"/>
      <c r="V1457" s="129"/>
    </row>
    <row r="1458" spans="1:22" x14ac:dyDescent="0.2">
      <c r="A1458" s="144"/>
      <c r="B1458" s="145"/>
      <c r="C1458" s="129"/>
      <c r="D1458" s="129"/>
      <c r="E1458" s="129"/>
      <c r="F1458" s="129"/>
      <c r="G1458" s="144"/>
      <c r="H1458" s="129"/>
      <c r="I1458" s="144"/>
      <c r="J1458" s="144"/>
      <c r="K1458" s="144"/>
      <c r="L1458" s="146"/>
      <c r="M1458" s="142"/>
      <c r="N1458" s="144"/>
      <c r="O1458" s="142"/>
      <c r="P1458" s="142"/>
      <c r="Q1458" s="142"/>
      <c r="R1458" s="129"/>
      <c r="S1458" s="143"/>
      <c r="T1458" s="144"/>
      <c r="U1458" s="129"/>
      <c r="V1458" s="129"/>
    </row>
    <row r="1459" spans="1:22" x14ac:dyDescent="0.2">
      <c r="A1459" s="144"/>
      <c r="B1459" s="145"/>
      <c r="C1459" s="129"/>
      <c r="D1459" s="129"/>
      <c r="E1459" s="129"/>
      <c r="F1459" s="129"/>
      <c r="G1459" s="144"/>
      <c r="H1459" s="129"/>
      <c r="I1459" s="144"/>
      <c r="J1459" s="144"/>
      <c r="K1459" s="144"/>
      <c r="L1459" s="146"/>
      <c r="M1459" s="142"/>
      <c r="N1459" s="144"/>
      <c r="O1459" s="142"/>
      <c r="P1459" s="142"/>
      <c r="Q1459" s="142"/>
      <c r="R1459" s="129"/>
      <c r="S1459" s="143"/>
      <c r="T1459" s="144"/>
      <c r="U1459" s="129"/>
      <c r="V1459" s="129"/>
    </row>
    <row r="1460" spans="1:22" x14ac:dyDescent="0.2">
      <c r="A1460" s="144"/>
      <c r="B1460" s="145"/>
      <c r="C1460" s="129"/>
      <c r="D1460" s="129"/>
      <c r="E1460" s="129"/>
      <c r="F1460" s="129"/>
      <c r="G1460" s="144"/>
      <c r="H1460" s="129"/>
      <c r="I1460" s="144"/>
      <c r="J1460" s="144"/>
      <c r="K1460" s="144"/>
      <c r="L1460" s="146"/>
      <c r="M1460" s="142"/>
      <c r="N1460" s="144"/>
      <c r="O1460" s="142"/>
      <c r="P1460" s="142"/>
      <c r="Q1460" s="142"/>
      <c r="R1460" s="129"/>
      <c r="S1460" s="143"/>
      <c r="T1460" s="144"/>
      <c r="U1460" s="129"/>
      <c r="V1460" s="129"/>
    </row>
    <row r="1461" spans="1:22" x14ac:dyDescent="0.2">
      <c r="A1461" s="144"/>
      <c r="B1461" s="145"/>
      <c r="C1461" s="129"/>
      <c r="D1461" s="129"/>
      <c r="E1461" s="129"/>
      <c r="F1461" s="129"/>
      <c r="G1461" s="144"/>
      <c r="H1461" s="129"/>
      <c r="I1461" s="144"/>
      <c r="J1461" s="144"/>
      <c r="K1461" s="144"/>
      <c r="L1461" s="146"/>
      <c r="M1461" s="142"/>
      <c r="N1461" s="144"/>
      <c r="O1461" s="142"/>
      <c r="P1461" s="142"/>
      <c r="Q1461" s="142"/>
      <c r="R1461" s="129"/>
      <c r="S1461" s="143"/>
      <c r="T1461" s="144"/>
      <c r="U1461" s="129"/>
      <c r="V1461" s="129"/>
    </row>
    <row r="1462" spans="1:22" x14ac:dyDescent="0.2">
      <c r="A1462" s="144"/>
      <c r="B1462" s="145"/>
      <c r="C1462" s="129"/>
      <c r="D1462" s="129"/>
      <c r="E1462" s="129"/>
      <c r="F1462" s="129"/>
      <c r="G1462" s="144"/>
      <c r="H1462" s="129"/>
      <c r="I1462" s="144"/>
      <c r="J1462" s="144"/>
      <c r="K1462" s="144"/>
      <c r="L1462" s="146"/>
      <c r="M1462" s="142"/>
      <c r="N1462" s="144"/>
      <c r="O1462" s="142"/>
      <c r="P1462" s="142"/>
      <c r="Q1462" s="142"/>
      <c r="R1462" s="129"/>
      <c r="S1462" s="143"/>
      <c r="T1462" s="144"/>
      <c r="U1462" s="129"/>
      <c r="V1462" s="129"/>
    </row>
    <row r="1463" spans="1:22" x14ac:dyDescent="0.2">
      <c r="A1463" s="144"/>
      <c r="B1463" s="145"/>
      <c r="C1463" s="129"/>
      <c r="D1463" s="129"/>
      <c r="E1463" s="129"/>
      <c r="F1463" s="129"/>
      <c r="G1463" s="144"/>
      <c r="H1463" s="129"/>
      <c r="I1463" s="144"/>
      <c r="J1463" s="144"/>
      <c r="K1463" s="144"/>
      <c r="L1463" s="146"/>
      <c r="M1463" s="142"/>
      <c r="N1463" s="144"/>
      <c r="O1463" s="142"/>
      <c r="P1463" s="142"/>
      <c r="Q1463" s="142"/>
      <c r="R1463" s="129"/>
      <c r="S1463" s="143"/>
      <c r="T1463" s="144"/>
      <c r="U1463" s="129"/>
      <c r="V1463" s="129"/>
    </row>
    <row r="1464" spans="1:22" x14ac:dyDescent="0.2">
      <c r="A1464" s="144"/>
      <c r="B1464" s="145"/>
      <c r="C1464" s="129"/>
      <c r="D1464" s="129"/>
      <c r="E1464" s="129"/>
      <c r="F1464" s="129"/>
      <c r="G1464" s="144"/>
      <c r="H1464" s="129"/>
      <c r="I1464" s="144"/>
      <c r="J1464" s="144"/>
      <c r="K1464" s="144"/>
      <c r="L1464" s="146"/>
      <c r="M1464" s="142"/>
      <c r="N1464" s="144"/>
      <c r="O1464" s="142"/>
      <c r="P1464" s="142"/>
      <c r="Q1464" s="142"/>
      <c r="R1464" s="129"/>
      <c r="S1464" s="143"/>
      <c r="T1464" s="144"/>
      <c r="U1464" s="129"/>
      <c r="V1464" s="129"/>
    </row>
    <row r="1465" spans="1:22" x14ac:dyDescent="0.2">
      <c r="A1465" s="144"/>
      <c r="B1465" s="145"/>
      <c r="C1465" s="129"/>
      <c r="D1465" s="129"/>
      <c r="E1465" s="129"/>
      <c r="F1465" s="129"/>
      <c r="G1465" s="144"/>
      <c r="H1465" s="129"/>
      <c r="I1465" s="144"/>
      <c r="J1465" s="144"/>
      <c r="K1465" s="144"/>
      <c r="L1465" s="146"/>
      <c r="M1465" s="142"/>
      <c r="N1465" s="144"/>
      <c r="O1465" s="142"/>
      <c r="P1465" s="142"/>
      <c r="Q1465" s="142"/>
      <c r="R1465" s="129"/>
      <c r="S1465" s="143"/>
      <c r="T1465" s="144"/>
      <c r="U1465" s="129"/>
      <c r="V1465" s="129"/>
    </row>
    <row r="1466" spans="1:22" x14ac:dyDescent="0.2">
      <c r="A1466" s="144"/>
      <c r="B1466" s="145"/>
      <c r="C1466" s="129"/>
      <c r="D1466" s="129"/>
      <c r="E1466" s="129"/>
      <c r="F1466" s="129"/>
      <c r="G1466" s="144"/>
      <c r="H1466" s="129"/>
      <c r="I1466" s="144"/>
      <c r="J1466" s="144"/>
      <c r="K1466" s="144"/>
      <c r="L1466" s="146"/>
      <c r="M1466" s="142"/>
      <c r="N1466" s="144"/>
      <c r="O1466" s="142"/>
      <c r="P1466" s="142"/>
      <c r="Q1466" s="142"/>
      <c r="R1466" s="129"/>
      <c r="S1466" s="143"/>
      <c r="T1466" s="144"/>
      <c r="U1466" s="129"/>
      <c r="V1466" s="129"/>
    </row>
    <row r="1467" spans="1:22" x14ac:dyDescent="0.2">
      <c r="A1467" s="144"/>
      <c r="B1467" s="145"/>
      <c r="C1467" s="129"/>
      <c r="D1467" s="129"/>
      <c r="E1467" s="129"/>
      <c r="F1467" s="129"/>
      <c r="G1467" s="144"/>
      <c r="H1467" s="129"/>
      <c r="I1467" s="144"/>
      <c r="J1467" s="144"/>
      <c r="K1467" s="144"/>
      <c r="L1467" s="146"/>
      <c r="M1467" s="142"/>
      <c r="N1467" s="144"/>
      <c r="O1467" s="142"/>
      <c r="P1467" s="142"/>
      <c r="Q1467" s="142"/>
      <c r="R1467" s="129"/>
      <c r="S1467" s="143"/>
      <c r="T1467" s="144"/>
      <c r="U1467" s="129"/>
      <c r="V1467" s="129"/>
    </row>
    <row r="1468" spans="1:22" x14ac:dyDescent="0.2">
      <c r="A1468" s="144"/>
      <c r="B1468" s="145"/>
      <c r="C1468" s="129"/>
      <c r="D1468" s="129"/>
      <c r="E1468" s="129"/>
      <c r="F1468" s="129"/>
      <c r="G1468" s="144"/>
      <c r="H1468" s="129"/>
      <c r="I1468" s="144"/>
      <c r="J1468" s="144"/>
      <c r="K1468" s="144"/>
      <c r="L1468" s="146"/>
      <c r="M1468" s="142"/>
      <c r="N1468" s="144"/>
      <c r="O1468" s="142"/>
      <c r="P1468" s="142"/>
      <c r="Q1468" s="142"/>
      <c r="R1468" s="129"/>
      <c r="S1468" s="143"/>
      <c r="T1468" s="144"/>
      <c r="U1468" s="129"/>
      <c r="V1468" s="129"/>
    </row>
    <row r="1469" spans="1:22" x14ac:dyDescent="0.2">
      <c r="A1469" s="144"/>
      <c r="B1469" s="145"/>
      <c r="C1469" s="129"/>
      <c r="D1469" s="129"/>
      <c r="E1469" s="129"/>
      <c r="F1469" s="129"/>
      <c r="G1469" s="144"/>
      <c r="H1469" s="129"/>
      <c r="I1469" s="144"/>
      <c r="J1469" s="144"/>
      <c r="K1469" s="144"/>
      <c r="L1469" s="146"/>
      <c r="M1469" s="142"/>
      <c r="N1469" s="144"/>
      <c r="O1469" s="142"/>
      <c r="P1469" s="142"/>
      <c r="Q1469" s="142"/>
      <c r="R1469" s="129"/>
      <c r="S1469" s="143"/>
      <c r="T1469" s="144"/>
      <c r="U1469" s="129"/>
      <c r="V1469" s="129"/>
    </row>
    <row r="1470" spans="1:22" x14ac:dyDescent="0.2">
      <c r="A1470" s="144"/>
      <c r="B1470" s="145"/>
      <c r="C1470" s="129"/>
      <c r="D1470" s="129"/>
      <c r="E1470" s="129"/>
      <c r="F1470" s="129"/>
      <c r="G1470" s="144"/>
      <c r="H1470" s="129"/>
      <c r="I1470" s="144"/>
      <c r="J1470" s="144"/>
      <c r="K1470" s="144"/>
      <c r="L1470" s="146"/>
      <c r="M1470" s="142"/>
      <c r="N1470" s="144"/>
      <c r="O1470" s="142"/>
      <c r="P1470" s="142"/>
      <c r="Q1470" s="142"/>
      <c r="R1470" s="129"/>
      <c r="S1470" s="143"/>
      <c r="T1470" s="144"/>
      <c r="U1470" s="129"/>
      <c r="V1470" s="129"/>
    </row>
    <row r="1471" spans="1:22" x14ac:dyDescent="0.2">
      <c r="A1471" s="144"/>
      <c r="B1471" s="145"/>
      <c r="C1471" s="129"/>
      <c r="D1471" s="129"/>
      <c r="E1471" s="129"/>
      <c r="F1471" s="129"/>
      <c r="G1471" s="144"/>
      <c r="H1471" s="129"/>
      <c r="I1471" s="144"/>
      <c r="J1471" s="144"/>
      <c r="K1471" s="144"/>
      <c r="L1471" s="146"/>
      <c r="M1471" s="142"/>
      <c r="N1471" s="144"/>
      <c r="O1471" s="142"/>
      <c r="P1471" s="142"/>
      <c r="Q1471" s="142"/>
      <c r="R1471" s="129"/>
      <c r="S1471" s="143"/>
      <c r="T1471" s="144"/>
      <c r="U1471" s="129"/>
      <c r="V1471" s="129"/>
    </row>
    <row r="1472" spans="1:22" x14ac:dyDescent="0.2">
      <c r="A1472" s="144"/>
      <c r="B1472" s="145"/>
      <c r="C1472" s="129"/>
      <c r="D1472" s="129"/>
      <c r="E1472" s="129"/>
      <c r="F1472" s="129"/>
      <c r="G1472" s="144"/>
      <c r="H1472" s="129"/>
      <c r="I1472" s="144"/>
      <c r="J1472" s="144"/>
      <c r="K1472" s="144"/>
      <c r="L1472" s="146"/>
      <c r="M1472" s="142"/>
      <c r="N1472" s="144"/>
      <c r="O1472" s="142"/>
      <c r="P1472" s="142"/>
      <c r="Q1472" s="142"/>
      <c r="R1472" s="129"/>
      <c r="S1472" s="143"/>
      <c r="T1472" s="144"/>
      <c r="U1472" s="129"/>
      <c r="V1472" s="129"/>
    </row>
    <row r="1473" spans="1:22" x14ac:dyDescent="0.2">
      <c r="A1473" s="144"/>
      <c r="B1473" s="145"/>
      <c r="C1473" s="129"/>
      <c r="D1473" s="129"/>
      <c r="E1473" s="129"/>
      <c r="F1473" s="129"/>
      <c r="G1473" s="144"/>
      <c r="H1473" s="129"/>
      <c r="I1473" s="144"/>
      <c r="J1473" s="144"/>
      <c r="K1473" s="144"/>
      <c r="L1473" s="146"/>
      <c r="M1473" s="142"/>
      <c r="N1473" s="144"/>
      <c r="O1473" s="142"/>
      <c r="P1473" s="142"/>
      <c r="Q1473" s="142"/>
      <c r="R1473" s="129"/>
      <c r="S1473" s="143"/>
      <c r="T1473" s="144"/>
      <c r="U1473" s="129"/>
      <c r="V1473" s="129"/>
    </row>
    <row r="1474" spans="1:22" x14ac:dyDescent="0.2">
      <c r="A1474" s="144"/>
      <c r="B1474" s="145"/>
      <c r="C1474" s="129"/>
      <c r="D1474" s="129"/>
      <c r="E1474" s="129"/>
      <c r="F1474" s="129"/>
      <c r="G1474" s="144"/>
      <c r="H1474" s="129"/>
      <c r="I1474" s="144"/>
      <c r="J1474" s="144"/>
      <c r="K1474" s="144"/>
      <c r="L1474" s="146"/>
      <c r="M1474" s="142"/>
      <c r="N1474" s="144"/>
      <c r="O1474" s="142"/>
      <c r="P1474" s="142"/>
      <c r="Q1474" s="142"/>
      <c r="R1474" s="129"/>
      <c r="S1474" s="143"/>
      <c r="T1474" s="144"/>
      <c r="U1474" s="129"/>
      <c r="V1474" s="129"/>
    </row>
    <row r="1475" spans="1:22" x14ac:dyDescent="0.2">
      <c r="A1475" s="144"/>
      <c r="B1475" s="145"/>
      <c r="C1475" s="129"/>
      <c r="D1475" s="129"/>
      <c r="E1475" s="129"/>
      <c r="F1475" s="129"/>
      <c r="G1475" s="144"/>
      <c r="H1475" s="129"/>
      <c r="I1475" s="144"/>
      <c r="J1475" s="144"/>
      <c r="K1475" s="144"/>
      <c r="L1475" s="146"/>
      <c r="M1475" s="142"/>
      <c r="N1475" s="144"/>
      <c r="O1475" s="142"/>
      <c r="P1475" s="142"/>
      <c r="Q1475" s="142"/>
      <c r="R1475" s="129"/>
      <c r="S1475" s="143"/>
      <c r="T1475" s="144"/>
      <c r="U1475" s="129"/>
      <c r="V1475" s="129"/>
    </row>
    <row r="1476" spans="1:22" x14ac:dyDescent="0.2">
      <c r="A1476" s="144"/>
      <c r="B1476" s="145"/>
      <c r="C1476" s="129"/>
      <c r="D1476" s="129"/>
      <c r="E1476" s="129"/>
      <c r="F1476" s="129"/>
      <c r="G1476" s="144"/>
      <c r="H1476" s="129"/>
      <c r="I1476" s="144"/>
      <c r="J1476" s="144"/>
      <c r="K1476" s="144"/>
      <c r="L1476" s="146"/>
      <c r="M1476" s="142"/>
      <c r="N1476" s="144"/>
      <c r="O1476" s="142"/>
      <c r="P1476" s="142"/>
      <c r="Q1476" s="142"/>
      <c r="R1476" s="129"/>
      <c r="S1476" s="143"/>
      <c r="T1476" s="144"/>
      <c r="U1476" s="129"/>
      <c r="V1476" s="129"/>
    </row>
    <row r="1477" spans="1:22" x14ac:dyDescent="0.2">
      <c r="A1477" s="144"/>
      <c r="B1477" s="145"/>
      <c r="C1477" s="129"/>
      <c r="D1477" s="129"/>
      <c r="E1477" s="129"/>
      <c r="F1477" s="129"/>
      <c r="G1477" s="144"/>
      <c r="H1477" s="129"/>
      <c r="I1477" s="144"/>
      <c r="J1477" s="144"/>
      <c r="K1477" s="144"/>
      <c r="L1477" s="146"/>
      <c r="M1477" s="142"/>
      <c r="N1477" s="144"/>
      <c r="O1477" s="142"/>
      <c r="P1477" s="142"/>
      <c r="Q1477" s="142"/>
      <c r="R1477" s="129"/>
      <c r="S1477" s="143"/>
      <c r="T1477" s="144"/>
      <c r="U1477" s="129"/>
      <c r="V1477" s="129"/>
    </row>
    <row r="1478" spans="1:22" x14ac:dyDescent="0.2">
      <c r="A1478" s="144"/>
      <c r="B1478" s="145"/>
      <c r="C1478" s="129"/>
      <c r="D1478" s="129"/>
      <c r="E1478" s="129"/>
      <c r="F1478" s="129"/>
      <c r="G1478" s="144"/>
      <c r="H1478" s="129"/>
      <c r="I1478" s="144"/>
      <c r="J1478" s="144"/>
      <c r="K1478" s="144"/>
      <c r="L1478" s="146"/>
      <c r="M1478" s="142"/>
      <c r="N1478" s="144"/>
      <c r="O1478" s="142"/>
      <c r="P1478" s="142"/>
      <c r="Q1478" s="142"/>
      <c r="R1478" s="129"/>
      <c r="S1478" s="143"/>
      <c r="T1478" s="144"/>
      <c r="U1478" s="129"/>
      <c r="V1478" s="129"/>
    </row>
    <row r="1479" spans="1:22" x14ac:dyDescent="0.2">
      <c r="A1479" s="144"/>
      <c r="B1479" s="145"/>
      <c r="C1479" s="129"/>
      <c r="D1479" s="129"/>
      <c r="E1479" s="129"/>
      <c r="F1479" s="129"/>
      <c r="G1479" s="144"/>
      <c r="H1479" s="129"/>
      <c r="I1479" s="144"/>
      <c r="J1479" s="144"/>
      <c r="K1479" s="144"/>
      <c r="L1479" s="146"/>
      <c r="M1479" s="142"/>
      <c r="N1479" s="144"/>
      <c r="O1479" s="142"/>
      <c r="P1479" s="142"/>
      <c r="Q1479" s="142"/>
      <c r="R1479" s="129"/>
      <c r="S1479" s="143"/>
      <c r="T1479" s="144"/>
      <c r="U1479" s="129"/>
      <c r="V1479" s="129"/>
    </row>
    <row r="1480" spans="1:22" x14ac:dyDescent="0.2">
      <c r="A1480" s="144"/>
      <c r="B1480" s="145"/>
      <c r="C1480" s="129"/>
      <c r="D1480" s="129"/>
      <c r="E1480" s="129"/>
      <c r="F1480" s="129"/>
      <c r="G1480" s="144"/>
      <c r="H1480" s="129"/>
      <c r="I1480" s="144"/>
      <c r="J1480" s="144"/>
      <c r="K1480" s="144"/>
      <c r="L1480" s="146"/>
      <c r="M1480" s="142"/>
      <c r="N1480" s="144"/>
      <c r="O1480" s="142"/>
      <c r="P1480" s="142"/>
      <c r="Q1480" s="142"/>
      <c r="R1480" s="129"/>
      <c r="S1480" s="143"/>
      <c r="T1480" s="144"/>
      <c r="U1480" s="129"/>
      <c r="V1480" s="129"/>
    </row>
    <row r="1481" spans="1:22" x14ac:dyDescent="0.2">
      <c r="A1481" s="144"/>
      <c r="B1481" s="145"/>
      <c r="C1481" s="129"/>
      <c r="D1481" s="129"/>
      <c r="E1481" s="129"/>
      <c r="F1481" s="129"/>
      <c r="G1481" s="144"/>
      <c r="H1481" s="129"/>
      <c r="I1481" s="144"/>
      <c r="J1481" s="144"/>
      <c r="K1481" s="144"/>
      <c r="L1481" s="146"/>
      <c r="M1481" s="142"/>
      <c r="N1481" s="144"/>
      <c r="O1481" s="142"/>
      <c r="P1481" s="142"/>
      <c r="Q1481" s="142"/>
      <c r="R1481" s="129"/>
      <c r="S1481" s="143"/>
      <c r="T1481" s="144"/>
      <c r="U1481" s="129"/>
      <c r="V1481" s="129"/>
    </row>
    <row r="1482" spans="1:22" x14ac:dyDescent="0.2">
      <c r="A1482" s="144"/>
      <c r="B1482" s="145"/>
      <c r="C1482" s="129"/>
      <c r="D1482" s="129"/>
      <c r="E1482" s="129"/>
      <c r="F1482" s="129"/>
      <c r="G1482" s="144"/>
      <c r="H1482" s="129"/>
      <c r="I1482" s="144"/>
      <c r="J1482" s="144"/>
      <c r="K1482" s="144"/>
      <c r="L1482" s="146"/>
      <c r="M1482" s="142"/>
      <c r="N1482" s="144"/>
      <c r="O1482" s="142"/>
      <c r="P1482" s="142"/>
      <c r="Q1482" s="142"/>
      <c r="R1482" s="129"/>
      <c r="S1482" s="143"/>
      <c r="T1482" s="144"/>
      <c r="U1482" s="129"/>
      <c r="V1482" s="129"/>
    </row>
    <row r="1483" spans="1:22" x14ac:dyDescent="0.2">
      <c r="A1483" s="144"/>
      <c r="B1483" s="145"/>
      <c r="C1483" s="129"/>
      <c r="D1483" s="129"/>
      <c r="E1483" s="129"/>
      <c r="F1483" s="129"/>
      <c r="G1483" s="144"/>
      <c r="H1483" s="129"/>
      <c r="I1483" s="144"/>
      <c r="J1483" s="144"/>
      <c r="K1483" s="144"/>
      <c r="L1483" s="146"/>
      <c r="M1483" s="142"/>
      <c r="N1483" s="144"/>
      <c r="O1483" s="142"/>
      <c r="P1483" s="142"/>
      <c r="Q1483" s="142"/>
      <c r="R1483" s="129"/>
      <c r="S1483" s="143"/>
      <c r="T1483" s="144"/>
      <c r="U1483" s="129"/>
      <c r="V1483" s="129"/>
    </row>
    <row r="1484" spans="1:22" x14ac:dyDescent="0.2">
      <c r="A1484" s="144"/>
      <c r="B1484" s="145"/>
      <c r="C1484" s="129"/>
      <c r="D1484" s="129"/>
      <c r="E1484" s="129"/>
      <c r="F1484" s="129"/>
      <c r="G1484" s="144"/>
      <c r="H1484" s="129"/>
      <c r="I1484" s="144"/>
      <c r="J1484" s="144"/>
      <c r="K1484" s="144"/>
      <c r="L1484" s="146"/>
      <c r="M1484" s="142"/>
      <c r="N1484" s="144"/>
      <c r="O1484" s="142"/>
      <c r="P1484" s="142"/>
      <c r="Q1484" s="142"/>
      <c r="R1484" s="129"/>
      <c r="S1484" s="143"/>
      <c r="T1484" s="144"/>
      <c r="U1484" s="129"/>
      <c r="V1484" s="129"/>
    </row>
    <row r="1485" spans="1:22" x14ac:dyDescent="0.2">
      <c r="A1485" s="144"/>
      <c r="B1485" s="145"/>
      <c r="C1485" s="129"/>
      <c r="D1485" s="129"/>
      <c r="E1485" s="129"/>
      <c r="F1485" s="129"/>
      <c r="G1485" s="144"/>
      <c r="H1485" s="129"/>
      <c r="I1485" s="144"/>
      <c r="J1485" s="144"/>
      <c r="K1485" s="144"/>
      <c r="L1485" s="146"/>
      <c r="M1485" s="142"/>
      <c r="N1485" s="144"/>
      <c r="O1485" s="142"/>
      <c r="P1485" s="142"/>
      <c r="Q1485" s="142"/>
      <c r="R1485" s="129"/>
      <c r="S1485" s="143"/>
      <c r="T1485" s="144"/>
      <c r="U1485" s="129"/>
      <c r="V1485" s="129"/>
    </row>
    <row r="1486" spans="1:22" x14ac:dyDescent="0.2">
      <c r="A1486" s="144"/>
      <c r="B1486" s="145"/>
      <c r="C1486" s="129"/>
      <c r="D1486" s="129"/>
      <c r="E1486" s="129"/>
      <c r="F1486" s="129"/>
      <c r="G1486" s="144"/>
      <c r="H1486" s="129"/>
      <c r="I1486" s="144"/>
      <c r="J1486" s="144"/>
      <c r="K1486" s="144"/>
      <c r="L1486" s="146"/>
      <c r="M1486" s="142"/>
      <c r="N1486" s="144"/>
      <c r="O1486" s="142"/>
      <c r="P1486" s="142"/>
      <c r="Q1486" s="142"/>
      <c r="R1486" s="129"/>
      <c r="S1486" s="143"/>
      <c r="T1486" s="144"/>
      <c r="U1486" s="129"/>
      <c r="V1486" s="129"/>
    </row>
    <row r="1487" spans="1:22" x14ac:dyDescent="0.2">
      <c r="A1487" s="144"/>
      <c r="B1487" s="145"/>
      <c r="C1487" s="129"/>
      <c r="D1487" s="129"/>
      <c r="E1487" s="129"/>
      <c r="F1487" s="129"/>
      <c r="G1487" s="144"/>
      <c r="H1487" s="129"/>
      <c r="I1487" s="144"/>
      <c r="J1487" s="144"/>
      <c r="K1487" s="144"/>
      <c r="L1487" s="146"/>
      <c r="M1487" s="142"/>
      <c r="N1487" s="144"/>
      <c r="O1487" s="142"/>
      <c r="P1487" s="142"/>
      <c r="Q1487" s="142"/>
      <c r="R1487" s="129"/>
      <c r="S1487" s="143"/>
      <c r="T1487" s="144"/>
      <c r="U1487" s="129"/>
      <c r="V1487" s="129"/>
    </row>
    <row r="1488" spans="1:22" x14ac:dyDescent="0.2">
      <c r="A1488" s="144"/>
      <c r="B1488" s="145"/>
      <c r="C1488" s="129"/>
      <c r="D1488" s="129"/>
      <c r="E1488" s="129"/>
      <c r="F1488" s="129"/>
      <c r="G1488" s="144"/>
      <c r="H1488" s="129"/>
      <c r="I1488" s="144"/>
      <c r="J1488" s="144"/>
      <c r="K1488" s="144"/>
      <c r="L1488" s="146"/>
      <c r="M1488" s="142"/>
      <c r="N1488" s="144"/>
      <c r="O1488" s="142"/>
      <c r="P1488" s="142"/>
      <c r="Q1488" s="142"/>
      <c r="R1488" s="129"/>
      <c r="S1488" s="143"/>
      <c r="T1488" s="144"/>
      <c r="U1488" s="129"/>
      <c r="V1488" s="129"/>
    </row>
    <row r="1489" spans="1:22" x14ac:dyDescent="0.2">
      <c r="A1489" s="144"/>
      <c r="B1489" s="145"/>
      <c r="C1489" s="129"/>
      <c r="D1489" s="129"/>
      <c r="E1489" s="129"/>
      <c r="F1489" s="129"/>
      <c r="G1489" s="144"/>
      <c r="H1489" s="129"/>
      <c r="I1489" s="144"/>
      <c r="J1489" s="144"/>
      <c r="K1489" s="144"/>
      <c r="L1489" s="146"/>
      <c r="M1489" s="142"/>
      <c r="N1489" s="144"/>
      <c r="O1489" s="142"/>
      <c r="P1489" s="142"/>
      <c r="Q1489" s="142"/>
      <c r="R1489" s="129"/>
      <c r="S1489" s="143"/>
      <c r="T1489" s="144"/>
      <c r="U1489" s="129"/>
      <c r="V1489" s="129"/>
    </row>
    <row r="1490" spans="1:22" x14ac:dyDescent="0.2">
      <c r="A1490" s="144"/>
      <c r="B1490" s="145"/>
      <c r="C1490" s="129"/>
      <c r="D1490" s="129"/>
      <c r="E1490" s="129"/>
      <c r="F1490" s="129"/>
      <c r="G1490" s="144"/>
      <c r="H1490" s="129"/>
      <c r="I1490" s="144"/>
      <c r="J1490" s="144"/>
      <c r="K1490" s="144"/>
      <c r="L1490" s="146"/>
      <c r="M1490" s="142"/>
      <c r="N1490" s="144"/>
      <c r="O1490" s="142"/>
      <c r="P1490" s="142"/>
      <c r="Q1490" s="142"/>
      <c r="R1490" s="129"/>
      <c r="S1490" s="143"/>
      <c r="T1490" s="144"/>
      <c r="U1490" s="129"/>
      <c r="V1490" s="129"/>
    </row>
    <row r="1491" spans="1:22" x14ac:dyDescent="0.2">
      <c r="A1491" s="144"/>
      <c r="B1491" s="145"/>
      <c r="C1491" s="129"/>
      <c r="D1491" s="129"/>
      <c r="E1491" s="129"/>
      <c r="F1491" s="129"/>
      <c r="G1491" s="144"/>
      <c r="H1491" s="129"/>
      <c r="I1491" s="144"/>
      <c r="J1491" s="144"/>
      <c r="K1491" s="144"/>
      <c r="L1491" s="146"/>
      <c r="M1491" s="142"/>
      <c r="N1491" s="144"/>
      <c r="O1491" s="142"/>
      <c r="P1491" s="142"/>
      <c r="Q1491" s="142"/>
      <c r="R1491" s="129"/>
      <c r="S1491" s="143"/>
      <c r="T1491" s="144"/>
      <c r="U1491" s="129"/>
      <c r="V1491" s="129"/>
    </row>
    <row r="1492" spans="1:22" x14ac:dyDescent="0.2">
      <c r="A1492" s="144"/>
      <c r="B1492" s="145"/>
      <c r="C1492" s="129"/>
      <c r="D1492" s="129"/>
      <c r="E1492" s="129"/>
      <c r="F1492" s="129"/>
      <c r="G1492" s="144"/>
      <c r="H1492" s="129"/>
      <c r="I1492" s="144"/>
      <c r="J1492" s="144"/>
      <c r="K1492" s="144"/>
      <c r="L1492" s="146"/>
      <c r="M1492" s="142"/>
      <c r="N1492" s="144"/>
      <c r="O1492" s="142"/>
      <c r="P1492" s="142"/>
      <c r="Q1492" s="142"/>
      <c r="R1492" s="129"/>
      <c r="S1492" s="143"/>
      <c r="T1492" s="144"/>
      <c r="U1492" s="129"/>
      <c r="V1492" s="129"/>
    </row>
    <row r="1493" spans="1:22" x14ac:dyDescent="0.2">
      <c r="A1493" s="144"/>
      <c r="B1493" s="145"/>
      <c r="C1493" s="129"/>
      <c r="D1493" s="129"/>
      <c r="E1493" s="129"/>
      <c r="F1493" s="129"/>
      <c r="G1493" s="144"/>
      <c r="H1493" s="129"/>
      <c r="I1493" s="144"/>
      <c r="J1493" s="144"/>
      <c r="K1493" s="144"/>
      <c r="L1493" s="146"/>
      <c r="M1493" s="142"/>
      <c r="N1493" s="144"/>
      <c r="O1493" s="142"/>
      <c r="P1493" s="142"/>
      <c r="Q1493" s="142"/>
      <c r="R1493" s="129"/>
      <c r="S1493" s="143"/>
      <c r="T1493" s="144"/>
      <c r="U1493" s="129"/>
      <c r="V1493" s="129"/>
    </row>
    <row r="1494" spans="1:22" x14ac:dyDescent="0.2">
      <c r="A1494" s="144"/>
      <c r="B1494" s="145"/>
      <c r="C1494" s="129"/>
      <c r="D1494" s="129"/>
      <c r="E1494" s="129"/>
      <c r="F1494" s="129"/>
      <c r="G1494" s="144"/>
      <c r="H1494" s="129"/>
      <c r="I1494" s="144"/>
      <c r="J1494" s="144"/>
      <c r="K1494" s="144"/>
      <c r="L1494" s="146"/>
      <c r="M1494" s="142"/>
      <c r="N1494" s="144"/>
      <c r="O1494" s="142"/>
      <c r="P1494" s="142"/>
      <c r="Q1494" s="142"/>
      <c r="R1494" s="129"/>
      <c r="S1494" s="143"/>
      <c r="T1494" s="144"/>
      <c r="U1494" s="129"/>
      <c r="V1494" s="129"/>
    </row>
    <row r="1495" spans="1:22" x14ac:dyDescent="0.2">
      <c r="A1495" s="144"/>
      <c r="B1495" s="145"/>
      <c r="C1495" s="129"/>
      <c r="D1495" s="129"/>
      <c r="E1495" s="129"/>
      <c r="F1495" s="129"/>
      <c r="G1495" s="144"/>
      <c r="H1495" s="129"/>
      <c r="I1495" s="144"/>
      <c r="J1495" s="144"/>
      <c r="K1495" s="144"/>
      <c r="L1495" s="146"/>
      <c r="M1495" s="142"/>
      <c r="N1495" s="144"/>
      <c r="O1495" s="142"/>
      <c r="P1495" s="142"/>
      <c r="Q1495" s="142"/>
      <c r="R1495" s="129"/>
      <c r="S1495" s="143"/>
      <c r="T1495" s="144"/>
      <c r="U1495" s="129"/>
      <c r="V1495" s="129"/>
    </row>
    <row r="1496" spans="1:22" x14ac:dyDescent="0.2">
      <c r="A1496" s="144"/>
      <c r="B1496" s="145"/>
      <c r="C1496" s="129"/>
      <c r="D1496" s="129"/>
      <c r="E1496" s="129"/>
      <c r="F1496" s="129"/>
      <c r="G1496" s="144"/>
      <c r="H1496" s="129"/>
      <c r="I1496" s="144"/>
      <c r="J1496" s="144"/>
      <c r="K1496" s="144"/>
      <c r="L1496" s="146"/>
      <c r="M1496" s="142"/>
      <c r="N1496" s="144"/>
      <c r="O1496" s="142"/>
      <c r="P1496" s="142"/>
      <c r="Q1496" s="142"/>
      <c r="R1496" s="129"/>
      <c r="S1496" s="143"/>
      <c r="T1496" s="144"/>
      <c r="U1496" s="129"/>
      <c r="V1496" s="129"/>
    </row>
    <row r="1497" spans="1:22" x14ac:dyDescent="0.2">
      <c r="A1497" s="144"/>
      <c r="B1497" s="145"/>
      <c r="C1497" s="129"/>
      <c r="D1497" s="129"/>
      <c r="E1497" s="129"/>
      <c r="F1497" s="129"/>
      <c r="G1497" s="144"/>
      <c r="H1497" s="129"/>
      <c r="I1497" s="144"/>
      <c r="J1497" s="144"/>
      <c r="K1497" s="144"/>
      <c r="L1497" s="146"/>
      <c r="M1497" s="142"/>
      <c r="N1497" s="144"/>
      <c r="O1497" s="142"/>
      <c r="P1497" s="142"/>
      <c r="Q1497" s="142"/>
      <c r="R1497" s="129"/>
      <c r="S1497" s="143"/>
      <c r="T1497" s="144"/>
      <c r="U1497" s="129"/>
      <c r="V1497" s="129"/>
    </row>
    <row r="1498" spans="1:22" x14ac:dyDescent="0.2">
      <c r="A1498" s="144"/>
      <c r="B1498" s="145"/>
      <c r="C1498" s="129"/>
      <c r="D1498" s="129"/>
      <c r="E1498" s="129"/>
      <c r="F1498" s="129"/>
      <c r="G1498" s="144"/>
      <c r="H1498" s="129"/>
      <c r="I1498" s="144"/>
      <c r="J1498" s="144"/>
      <c r="K1498" s="144"/>
      <c r="L1498" s="146"/>
      <c r="M1498" s="142"/>
      <c r="N1498" s="144"/>
      <c r="O1498" s="142"/>
      <c r="P1498" s="142"/>
      <c r="Q1498" s="142"/>
      <c r="R1498" s="129"/>
      <c r="S1498" s="143"/>
      <c r="T1498" s="144"/>
      <c r="U1498" s="129"/>
      <c r="V1498" s="129"/>
    </row>
    <row r="1499" spans="1:22" x14ac:dyDescent="0.2">
      <c r="A1499" s="144"/>
      <c r="B1499" s="145"/>
      <c r="C1499" s="129"/>
      <c r="D1499" s="129"/>
      <c r="E1499" s="129"/>
      <c r="F1499" s="129"/>
      <c r="G1499" s="144"/>
      <c r="H1499" s="129"/>
      <c r="I1499" s="144"/>
      <c r="J1499" s="144"/>
      <c r="K1499" s="144"/>
      <c r="L1499" s="146"/>
      <c r="M1499" s="142"/>
      <c r="N1499" s="144"/>
      <c r="O1499" s="142"/>
      <c r="P1499" s="142"/>
      <c r="Q1499" s="142"/>
      <c r="R1499" s="129"/>
      <c r="S1499" s="143"/>
      <c r="T1499" s="144"/>
      <c r="U1499" s="129"/>
      <c r="V1499" s="129"/>
    </row>
    <row r="1500" spans="1:22" x14ac:dyDescent="0.2">
      <c r="A1500" s="144"/>
      <c r="B1500" s="145"/>
      <c r="C1500" s="129"/>
      <c r="D1500" s="129"/>
      <c r="E1500" s="129"/>
      <c r="F1500" s="129"/>
      <c r="G1500" s="144"/>
      <c r="H1500" s="129"/>
      <c r="I1500" s="144"/>
      <c r="J1500" s="144"/>
      <c r="K1500" s="144"/>
      <c r="L1500" s="146"/>
      <c r="M1500" s="142"/>
      <c r="N1500" s="144"/>
      <c r="O1500" s="142"/>
      <c r="P1500" s="142"/>
      <c r="Q1500" s="142"/>
      <c r="R1500" s="129"/>
      <c r="S1500" s="143"/>
      <c r="T1500" s="144"/>
      <c r="U1500" s="129"/>
      <c r="V1500" s="129"/>
    </row>
    <row r="1501" spans="1:22" x14ac:dyDescent="0.2">
      <c r="A1501" s="144"/>
      <c r="B1501" s="145"/>
      <c r="C1501" s="129"/>
      <c r="D1501" s="129"/>
      <c r="E1501" s="129"/>
      <c r="F1501" s="129"/>
      <c r="G1501" s="144"/>
      <c r="H1501" s="129"/>
      <c r="I1501" s="144"/>
      <c r="J1501" s="144"/>
      <c r="K1501" s="144"/>
      <c r="L1501" s="146"/>
      <c r="M1501" s="142"/>
      <c r="N1501" s="144"/>
      <c r="O1501" s="142"/>
      <c r="P1501" s="142"/>
      <c r="Q1501" s="142"/>
      <c r="R1501" s="129"/>
      <c r="S1501" s="143"/>
      <c r="T1501" s="144"/>
      <c r="U1501" s="129"/>
      <c r="V1501" s="129"/>
    </row>
    <row r="1502" spans="1:22" x14ac:dyDescent="0.2">
      <c r="A1502" s="144"/>
      <c r="B1502" s="145"/>
      <c r="C1502" s="129"/>
      <c r="D1502" s="129"/>
      <c r="E1502" s="129"/>
      <c r="F1502" s="129"/>
      <c r="G1502" s="144"/>
      <c r="H1502" s="129"/>
      <c r="I1502" s="144"/>
      <c r="J1502" s="144"/>
      <c r="K1502" s="144"/>
      <c r="L1502" s="146"/>
      <c r="M1502" s="142"/>
      <c r="N1502" s="144"/>
      <c r="O1502" s="142"/>
      <c r="P1502" s="142"/>
      <c r="Q1502" s="142"/>
      <c r="R1502" s="129"/>
      <c r="S1502" s="143"/>
      <c r="T1502" s="144"/>
      <c r="U1502" s="129"/>
      <c r="V1502" s="129"/>
    </row>
    <row r="1503" spans="1:22" x14ac:dyDescent="0.2">
      <c r="A1503" s="144"/>
      <c r="B1503" s="145"/>
      <c r="C1503" s="129"/>
      <c r="D1503" s="129"/>
      <c r="E1503" s="129"/>
      <c r="F1503" s="129"/>
      <c r="G1503" s="144"/>
      <c r="H1503" s="129"/>
      <c r="I1503" s="144"/>
      <c r="J1503" s="144"/>
      <c r="K1503" s="144"/>
      <c r="L1503" s="146"/>
      <c r="M1503" s="142"/>
      <c r="N1503" s="144"/>
      <c r="O1503" s="142"/>
      <c r="P1503" s="142"/>
      <c r="Q1503" s="142"/>
      <c r="R1503" s="129"/>
      <c r="S1503" s="143"/>
      <c r="T1503" s="144"/>
      <c r="U1503" s="129"/>
      <c r="V1503" s="129"/>
    </row>
    <row r="1504" spans="1:22" x14ac:dyDescent="0.2">
      <c r="A1504" s="144"/>
      <c r="B1504" s="145"/>
      <c r="C1504" s="129"/>
      <c r="D1504" s="129"/>
      <c r="E1504" s="129"/>
      <c r="F1504" s="129"/>
      <c r="G1504" s="144"/>
      <c r="H1504" s="129"/>
      <c r="I1504" s="144"/>
      <c r="J1504" s="144"/>
      <c r="K1504" s="144"/>
      <c r="L1504" s="146"/>
      <c r="M1504" s="142"/>
      <c r="N1504" s="144"/>
      <c r="O1504" s="142"/>
      <c r="P1504" s="142"/>
      <c r="Q1504" s="142"/>
      <c r="R1504" s="129"/>
      <c r="S1504" s="143"/>
      <c r="T1504" s="144"/>
      <c r="U1504" s="129"/>
      <c r="V1504" s="129"/>
    </row>
    <row r="1505" spans="1:22" x14ac:dyDescent="0.2">
      <c r="A1505" s="144"/>
      <c r="B1505" s="145"/>
      <c r="C1505" s="129"/>
      <c r="D1505" s="129"/>
      <c r="E1505" s="129"/>
      <c r="F1505" s="129"/>
      <c r="G1505" s="144"/>
      <c r="H1505" s="129"/>
      <c r="I1505" s="144"/>
      <c r="J1505" s="144"/>
      <c r="K1505" s="144"/>
      <c r="L1505" s="146"/>
      <c r="M1505" s="142"/>
      <c r="N1505" s="144"/>
      <c r="O1505" s="142"/>
      <c r="P1505" s="142"/>
      <c r="Q1505" s="142"/>
      <c r="R1505" s="129"/>
      <c r="S1505" s="143"/>
      <c r="T1505" s="144"/>
      <c r="U1505" s="129"/>
      <c r="V1505" s="129"/>
    </row>
    <row r="1506" spans="1:22" x14ac:dyDescent="0.2">
      <c r="A1506" s="144"/>
      <c r="B1506" s="145"/>
      <c r="C1506" s="129"/>
      <c r="D1506" s="129"/>
      <c r="E1506" s="129"/>
      <c r="F1506" s="129"/>
      <c r="G1506" s="144"/>
      <c r="H1506" s="129"/>
      <c r="I1506" s="144"/>
      <c r="J1506" s="144"/>
      <c r="K1506" s="144"/>
      <c r="L1506" s="146"/>
      <c r="M1506" s="142"/>
      <c r="N1506" s="144"/>
      <c r="O1506" s="142"/>
      <c r="P1506" s="142"/>
      <c r="Q1506" s="142"/>
      <c r="R1506" s="129"/>
      <c r="S1506" s="143"/>
      <c r="T1506" s="144"/>
      <c r="U1506" s="129"/>
      <c r="V1506" s="129"/>
    </row>
    <row r="1507" spans="1:22" x14ac:dyDescent="0.2">
      <c r="A1507" s="144"/>
      <c r="B1507" s="145"/>
      <c r="C1507" s="129"/>
      <c r="D1507" s="129"/>
      <c r="E1507" s="129"/>
      <c r="F1507" s="129"/>
      <c r="G1507" s="144"/>
      <c r="H1507" s="129"/>
      <c r="I1507" s="144"/>
      <c r="J1507" s="144"/>
      <c r="K1507" s="144"/>
      <c r="L1507" s="146"/>
      <c r="M1507" s="142"/>
      <c r="N1507" s="144"/>
      <c r="O1507" s="142"/>
      <c r="P1507" s="142"/>
      <c r="Q1507" s="142"/>
      <c r="R1507" s="129"/>
      <c r="S1507" s="143"/>
      <c r="T1507" s="144"/>
      <c r="U1507" s="129"/>
      <c r="V1507" s="129"/>
    </row>
    <row r="1508" spans="1:22" x14ac:dyDescent="0.2">
      <c r="A1508" s="144"/>
      <c r="B1508" s="145"/>
      <c r="C1508" s="129"/>
      <c r="D1508" s="129"/>
      <c r="E1508" s="129"/>
      <c r="F1508" s="129"/>
      <c r="G1508" s="144"/>
      <c r="H1508" s="129"/>
      <c r="I1508" s="144"/>
      <c r="J1508" s="144"/>
      <c r="K1508" s="144"/>
      <c r="L1508" s="146"/>
      <c r="M1508" s="142"/>
      <c r="N1508" s="144"/>
      <c r="O1508" s="142"/>
      <c r="P1508" s="142"/>
      <c r="Q1508" s="142"/>
      <c r="R1508" s="129"/>
      <c r="S1508" s="143"/>
      <c r="T1508" s="144"/>
      <c r="U1508" s="129"/>
      <c r="V1508" s="129"/>
    </row>
    <row r="1509" spans="1:22" x14ac:dyDescent="0.2">
      <c r="A1509" s="144"/>
      <c r="B1509" s="145"/>
      <c r="C1509" s="129"/>
      <c r="D1509" s="129"/>
      <c r="E1509" s="129"/>
      <c r="F1509" s="129"/>
      <c r="G1509" s="144"/>
      <c r="H1509" s="129"/>
      <c r="I1509" s="144"/>
      <c r="J1509" s="144"/>
      <c r="K1509" s="144"/>
      <c r="L1509" s="146"/>
      <c r="M1509" s="142"/>
      <c r="N1509" s="144"/>
      <c r="O1509" s="142"/>
      <c r="P1509" s="142"/>
      <c r="Q1509" s="142"/>
      <c r="R1509" s="129"/>
      <c r="S1509" s="143"/>
      <c r="T1509" s="144"/>
      <c r="U1509" s="129"/>
      <c r="V1509" s="129"/>
    </row>
    <row r="1510" spans="1:22" x14ac:dyDescent="0.2">
      <c r="A1510" s="144"/>
      <c r="B1510" s="145"/>
      <c r="C1510" s="129"/>
      <c r="D1510" s="129"/>
      <c r="E1510" s="129"/>
      <c r="F1510" s="129"/>
      <c r="G1510" s="144"/>
      <c r="H1510" s="129"/>
      <c r="I1510" s="144"/>
      <c r="J1510" s="144"/>
      <c r="K1510" s="144"/>
      <c r="L1510" s="146"/>
      <c r="M1510" s="142"/>
      <c r="N1510" s="144"/>
      <c r="O1510" s="142"/>
      <c r="P1510" s="142"/>
      <c r="Q1510" s="142"/>
      <c r="R1510" s="129"/>
      <c r="S1510" s="143"/>
      <c r="T1510" s="144"/>
      <c r="U1510" s="129"/>
      <c r="V1510" s="129"/>
    </row>
    <row r="1511" spans="1:22" x14ac:dyDescent="0.2">
      <c r="A1511" s="144"/>
      <c r="B1511" s="145"/>
      <c r="C1511" s="129"/>
      <c r="D1511" s="129"/>
      <c r="E1511" s="129"/>
      <c r="F1511" s="129"/>
      <c r="G1511" s="144"/>
      <c r="H1511" s="129"/>
      <c r="I1511" s="144"/>
      <c r="J1511" s="144"/>
      <c r="K1511" s="144"/>
      <c r="L1511" s="146"/>
      <c r="M1511" s="142"/>
      <c r="N1511" s="144"/>
      <c r="O1511" s="142"/>
      <c r="P1511" s="142"/>
      <c r="Q1511" s="142"/>
      <c r="R1511" s="129"/>
      <c r="S1511" s="143"/>
      <c r="T1511" s="144"/>
      <c r="U1511" s="129"/>
      <c r="V1511" s="129"/>
    </row>
    <row r="1512" spans="1:22" x14ac:dyDescent="0.2">
      <c r="A1512" s="144"/>
      <c r="B1512" s="145"/>
      <c r="C1512" s="129"/>
      <c r="D1512" s="129"/>
      <c r="E1512" s="129"/>
      <c r="F1512" s="129"/>
      <c r="G1512" s="144"/>
      <c r="H1512" s="129"/>
      <c r="I1512" s="144"/>
      <c r="J1512" s="144"/>
      <c r="K1512" s="144"/>
      <c r="L1512" s="146"/>
      <c r="M1512" s="142"/>
      <c r="N1512" s="144"/>
      <c r="O1512" s="142"/>
      <c r="P1512" s="142"/>
      <c r="Q1512" s="142"/>
      <c r="R1512" s="129"/>
      <c r="S1512" s="143"/>
      <c r="T1512" s="144"/>
      <c r="U1512" s="129"/>
      <c r="V1512" s="129"/>
    </row>
    <row r="1513" spans="1:22" x14ac:dyDescent="0.2">
      <c r="A1513" s="144"/>
      <c r="B1513" s="145"/>
      <c r="C1513" s="129"/>
      <c r="D1513" s="129"/>
      <c r="E1513" s="129"/>
      <c r="F1513" s="129"/>
      <c r="G1513" s="144"/>
      <c r="H1513" s="129"/>
      <c r="I1513" s="144"/>
      <c r="J1513" s="144"/>
      <c r="K1513" s="144"/>
      <c r="L1513" s="146"/>
      <c r="M1513" s="142"/>
      <c r="N1513" s="144"/>
      <c r="O1513" s="142"/>
      <c r="P1513" s="142"/>
      <c r="Q1513" s="142"/>
      <c r="R1513" s="129"/>
      <c r="S1513" s="143"/>
      <c r="T1513" s="144"/>
      <c r="U1513" s="129"/>
      <c r="V1513" s="129"/>
    </row>
    <row r="1514" spans="1:22" x14ac:dyDescent="0.2">
      <c r="A1514" s="144"/>
      <c r="B1514" s="145"/>
      <c r="C1514" s="129"/>
      <c r="D1514" s="129"/>
      <c r="E1514" s="129"/>
      <c r="F1514" s="129"/>
      <c r="G1514" s="144"/>
      <c r="H1514" s="129"/>
      <c r="I1514" s="144"/>
      <c r="J1514" s="144"/>
      <c r="K1514" s="144"/>
      <c r="L1514" s="146"/>
      <c r="M1514" s="142"/>
      <c r="N1514" s="144"/>
      <c r="O1514" s="142"/>
      <c r="P1514" s="142"/>
      <c r="Q1514" s="142"/>
      <c r="R1514" s="129"/>
      <c r="S1514" s="143"/>
      <c r="T1514" s="144"/>
      <c r="U1514" s="129"/>
      <c r="V1514" s="129"/>
    </row>
    <row r="1515" spans="1:22" x14ac:dyDescent="0.2">
      <c r="A1515" s="144"/>
      <c r="B1515" s="145"/>
      <c r="C1515" s="129"/>
      <c r="D1515" s="129"/>
      <c r="E1515" s="129"/>
      <c r="F1515" s="129"/>
      <c r="G1515" s="144"/>
      <c r="H1515" s="129"/>
      <c r="I1515" s="144"/>
      <c r="J1515" s="144"/>
      <c r="K1515" s="144"/>
      <c r="L1515" s="146"/>
      <c r="M1515" s="142"/>
      <c r="N1515" s="144"/>
      <c r="O1515" s="142"/>
      <c r="P1515" s="142"/>
      <c r="Q1515" s="142"/>
      <c r="R1515" s="129"/>
      <c r="S1515" s="143"/>
      <c r="T1515" s="144"/>
      <c r="U1515" s="129"/>
      <c r="V1515" s="129"/>
    </row>
    <row r="1516" spans="1:22" x14ac:dyDescent="0.2">
      <c r="A1516" s="144"/>
      <c r="B1516" s="145"/>
      <c r="C1516" s="129"/>
      <c r="D1516" s="129"/>
      <c r="E1516" s="129"/>
      <c r="F1516" s="129"/>
      <c r="G1516" s="144"/>
      <c r="H1516" s="129"/>
      <c r="I1516" s="144"/>
      <c r="J1516" s="144"/>
      <c r="K1516" s="144"/>
      <c r="L1516" s="146"/>
      <c r="M1516" s="142"/>
      <c r="N1516" s="144"/>
      <c r="O1516" s="142"/>
      <c r="P1516" s="142"/>
      <c r="Q1516" s="142"/>
      <c r="R1516" s="129"/>
      <c r="S1516" s="143"/>
      <c r="T1516" s="144"/>
      <c r="U1516" s="129"/>
      <c r="V1516" s="129"/>
    </row>
    <row r="1517" spans="1:22" x14ac:dyDescent="0.2">
      <c r="A1517" s="144"/>
      <c r="B1517" s="145"/>
      <c r="C1517" s="129"/>
      <c r="D1517" s="129"/>
      <c r="E1517" s="129"/>
      <c r="F1517" s="129"/>
      <c r="G1517" s="144"/>
      <c r="H1517" s="129"/>
      <c r="I1517" s="144"/>
      <c r="J1517" s="144"/>
      <c r="K1517" s="144"/>
      <c r="L1517" s="146"/>
      <c r="M1517" s="142"/>
      <c r="N1517" s="144"/>
      <c r="O1517" s="142"/>
      <c r="P1517" s="142"/>
      <c r="Q1517" s="142"/>
      <c r="R1517" s="129"/>
      <c r="S1517" s="143"/>
      <c r="T1517" s="144"/>
      <c r="U1517" s="129"/>
      <c r="V1517" s="129"/>
    </row>
    <row r="1518" spans="1:22" x14ac:dyDescent="0.2">
      <c r="A1518" s="144"/>
      <c r="B1518" s="145"/>
      <c r="C1518" s="129"/>
      <c r="D1518" s="129"/>
      <c r="E1518" s="129"/>
      <c r="F1518" s="129"/>
      <c r="G1518" s="144"/>
      <c r="H1518" s="129"/>
      <c r="I1518" s="144"/>
      <c r="J1518" s="144"/>
      <c r="K1518" s="144"/>
      <c r="L1518" s="146"/>
      <c r="M1518" s="142"/>
      <c r="N1518" s="144"/>
      <c r="O1518" s="142"/>
      <c r="P1518" s="142"/>
      <c r="Q1518" s="142"/>
      <c r="R1518" s="129"/>
      <c r="S1518" s="143"/>
      <c r="T1518" s="144"/>
      <c r="U1518" s="129"/>
      <c r="V1518" s="129"/>
    </row>
    <row r="1519" spans="1:22" x14ac:dyDescent="0.2">
      <c r="A1519" s="144"/>
      <c r="B1519" s="145"/>
      <c r="C1519" s="129"/>
      <c r="D1519" s="129"/>
      <c r="E1519" s="129"/>
      <c r="F1519" s="129"/>
      <c r="G1519" s="144"/>
      <c r="H1519" s="129"/>
      <c r="I1519" s="144"/>
      <c r="J1519" s="144"/>
      <c r="K1519" s="144"/>
      <c r="L1519" s="146"/>
      <c r="M1519" s="142"/>
      <c r="N1519" s="144"/>
      <c r="O1519" s="142"/>
      <c r="P1519" s="142"/>
      <c r="Q1519" s="142"/>
      <c r="R1519" s="129"/>
      <c r="S1519" s="143"/>
      <c r="T1519" s="144"/>
      <c r="U1519" s="129"/>
      <c r="V1519" s="129"/>
    </row>
    <row r="1520" spans="1:22" x14ac:dyDescent="0.2">
      <c r="A1520" s="144"/>
      <c r="B1520" s="145"/>
      <c r="C1520" s="129"/>
      <c r="D1520" s="129"/>
      <c r="E1520" s="129"/>
      <c r="F1520" s="129"/>
      <c r="G1520" s="144"/>
      <c r="H1520" s="129"/>
      <c r="I1520" s="144"/>
      <c r="J1520" s="144"/>
      <c r="K1520" s="144"/>
      <c r="L1520" s="146"/>
      <c r="M1520" s="142"/>
      <c r="N1520" s="144"/>
      <c r="O1520" s="142"/>
      <c r="P1520" s="142"/>
      <c r="Q1520" s="142"/>
      <c r="R1520" s="129"/>
      <c r="S1520" s="143"/>
      <c r="T1520" s="144"/>
      <c r="U1520" s="129"/>
      <c r="V1520" s="129"/>
    </row>
    <row r="1521" spans="1:22" x14ac:dyDescent="0.2">
      <c r="A1521" s="144"/>
      <c r="B1521" s="145"/>
      <c r="C1521" s="129"/>
      <c r="D1521" s="129"/>
      <c r="E1521" s="129"/>
      <c r="F1521" s="129"/>
      <c r="G1521" s="144"/>
      <c r="H1521" s="129"/>
      <c r="I1521" s="144"/>
      <c r="J1521" s="144"/>
      <c r="K1521" s="144"/>
      <c r="L1521" s="146"/>
      <c r="M1521" s="142"/>
      <c r="N1521" s="144"/>
      <c r="O1521" s="142"/>
      <c r="P1521" s="142"/>
      <c r="Q1521" s="142"/>
      <c r="R1521" s="129"/>
      <c r="S1521" s="143"/>
      <c r="T1521" s="144"/>
      <c r="U1521" s="129"/>
      <c r="V1521" s="129"/>
    </row>
    <row r="1522" spans="1:22" x14ac:dyDescent="0.2">
      <c r="A1522" s="144"/>
      <c r="B1522" s="145"/>
      <c r="C1522" s="129"/>
      <c r="D1522" s="129"/>
      <c r="E1522" s="129"/>
      <c r="F1522" s="129"/>
      <c r="G1522" s="144"/>
      <c r="H1522" s="129"/>
      <c r="I1522" s="144"/>
      <c r="J1522" s="144"/>
      <c r="K1522" s="144"/>
      <c r="L1522" s="146"/>
      <c r="M1522" s="142"/>
      <c r="N1522" s="144"/>
      <c r="O1522" s="142"/>
      <c r="P1522" s="142"/>
      <c r="Q1522" s="142"/>
      <c r="R1522" s="129"/>
      <c r="S1522" s="143"/>
      <c r="T1522" s="144"/>
      <c r="U1522" s="129"/>
      <c r="V1522" s="129"/>
    </row>
    <row r="1523" spans="1:22" x14ac:dyDescent="0.2">
      <c r="A1523" s="144"/>
      <c r="B1523" s="145"/>
      <c r="C1523" s="129"/>
      <c r="D1523" s="129"/>
      <c r="E1523" s="129"/>
      <c r="F1523" s="129"/>
      <c r="G1523" s="144"/>
      <c r="H1523" s="129"/>
      <c r="I1523" s="144"/>
      <c r="J1523" s="144"/>
      <c r="K1523" s="144"/>
      <c r="L1523" s="146"/>
      <c r="M1523" s="142"/>
      <c r="N1523" s="144"/>
      <c r="O1523" s="142"/>
      <c r="P1523" s="142"/>
      <c r="Q1523" s="142"/>
      <c r="R1523" s="129"/>
      <c r="S1523" s="143"/>
      <c r="T1523" s="144"/>
      <c r="U1523" s="129"/>
      <c r="V1523" s="129"/>
    </row>
    <row r="1524" spans="1:22" x14ac:dyDescent="0.2">
      <c r="A1524" s="144"/>
      <c r="B1524" s="145"/>
      <c r="C1524" s="129"/>
      <c r="D1524" s="129"/>
      <c r="E1524" s="129"/>
      <c r="F1524" s="129"/>
      <c r="G1524" s="144"/>
      <c r="H1524" s="129"/>
      <c r="I1524" s="144"/>
      <c r="J1524" s="144"/>
      <c r="K1524" s="144"/>
      <c r="L1524" s="146"/>
      <c r="M1524" s="142"/>
      <c r="N1524" s="144"/>
      <c r="O1524" s="142"/>
      <c r="P1524" s="142"/>
      <c r="Q1524" s="142"/>
      <c r="R1524" s="129"/>
      <c r="S1524" s="143"/>
      <c r="T1524" s="144"/>
      <c r="U1524" s="129"/>
      <c r="V1524" s="129"/>
    </row>
    <row r="1525" spans="1:22" x14ac:dyDescent="0.2">
      <c r="A1525" s="144"/>
      <c r="B1525" s="145"/>
      <c r="C1525" s="129"/>
      <c r="D1525" s="129"/>
      <c r="E1525" s="129"/>
      <c r="F1525" s="129"/>
      <c r="G1525" s="144"/>
      <c r="H1525" s="129"/>
      <c r="I1525" s="144"/>
      <c r="J1525" s="144"/>
      <c r="K1525" s="144"/>
      <c r="L1525" s="146"/>
      <c r="M1525" s="142"/>
      <c r="N1525" s="144"/>
      <c r="O1525" s="142"/>
      <c r="P1525" s="142"/>
      <c r="Q1525" s="142"/>
      <c r="R1525" s="129"/>
      <c r="S1525" s="143"/>
      <c r="T1525" s="144"/>
      <c r="U1525" s="129"/>
      <c r="V1525" s="129"/>
    </row>
    <row r="1526" spans="1:22" x14ac:dyDescent="0.2">
      <c r="A1526" s="144"/>
      <c r="B1526" s="145"/>
      <c r="C1526" s="129"/>
      <c r="D1526" s="129"/>
      <c r="E1526" s="129"/>
      <c r="F1526" s="129"/>
      <c r="G1526" s="144"/>
      <c r="H1526" s="129"/>
      <c r="I1526" s="144"/>
      <c r="J1526" s="144"/>
      <c r="K1526" s="144"/>
      <c r="L1526" s="146"/>
      <c r="M1526" s="142"/>
      <c r="N1526" s="144"/>
      <c r="O1526" s="142"/>
      <c r="P1526" s="142"/>
      <c r="Q1526" s="142"/>
      <c r="R1526" s="129"/>
      <c r="S1526" s="143"/>
      <c r="T1526" s="144"/>
      <c r="U1526" s="129"/>
      <c r="V1526" s="129"/>
    </row>
    <row r="1527" spans="1:22" x14ac:dyDescent="0.2">
      <c r="A1527" s="144"/>
      <c r="B1527" s="145"/>
      <c r="C1527" s="129"/>
      <c r="D1527" s="129"/>
      <c r="E1527" s="129"/>
      <c r="F1527" s="129"/>
      <c r="G1527" s="144"/>
      <c r="H1527" s="129"/>
      <c r="I1527" s="144"/>
      <c r="J1527" s="144"/>
      <c r="K1527" s="144"/>
      <c r="L1527" s="146"/>
      <c r="M1527" s="142"/>
      <c r="N1527" s="144"/>
      <c r="O1527" s="142"/>
      <c r="P1527" s="142"/>
      <c r="Q1527" s="142"/>
      <c r="R1527" s="129"/>
      <c r="S1527" s="143"/>
      <c r="T1527" s="144"/>
      <c r="U1527" s="129"/>
      <c r="V1527" s="129"/>
    </row>
    <row r="1528" spans="1:22" x14ac:dyDescent="0.2">
      <c r="A1528" s="144"/>
      <c r="B1528" s="145"/>
      <c r="C1528" s="129"/>
      <c r="D1528" s="129"/>
      <c r="E1528" s="129"/>
      <c r="F1528" s="129"/>
      <c r="G1528" s="144"/>
      <c r="H1528" s="129"/>
      <c r="I1528" s="144"/>
      <c r="J1528" s="144"/>
      <c r="K1528" s="144"/>
      <c r="L1528" s="146"/>
      <c r="M1528" s="142"/>
      <c r="N1528" s="144"/>
      <c r="O1528" s="142"/>
      <c r="P1528" s="142"/>
      <c r="Q1528" s="142"/>
      <c r="R1528" s="129"/>
      <c r="S1528" s="143"/>
      <c r="T1528" s="144"/>
      <c r="U1528" s="129"/>
      <c r="V1528" s="129"/>
    </row>
    <row r="1529" spans="1:22" x14ac:dyDescent="0.2">
      <c r="A1529" s="144"/>
      <c r="B1529" s="145"/>
      <c r="C1529" s="129"/>
      <c r="D1529" s="129"/>
      <c r="E1529" s="129"/>
      <c r="F1529" s="129"/>
      <c r="G1529" s="144"/>
      <c r="H1529" s="129"/>
      <c r="I1529" s="144"/>
      <c r="J1529" s="144"/>
      <c r="K1529" s="144"/>
      <c r="L1529" s="146"/>
      <c r="M1529" s="142"/>
      <c r="N1529" s="144"/>
      <c r="O1529" s="142"/>
      <c r="P1529" s="142"/>
      <c r="Q1529" s="142"/>
      <c r="R1529" s="129"/>
      <c r="S1529" s="143"/>
      <c r="T1529" s="144"/>
      <c r="U1529" s="129"/>
      <c r="V1529" s="129"/>
    </row>
    <row r="1530" spans="1:22" x14ac:dyDescent="0.2">
      <c r="A1530" s="144"/>
      <c r="B1530" s="145"/>
      <c r="C1530" s="129"/>
      <c r="D1530" s="129"/>
      <c r="E1530" s="129"/>
      <c r="F1530" s="129"/>
      <c r="G1530" s="144"/>
      <c r="H1530" s="129"/>
      <c r="I1530" s="144"/>
      <c r="J1530" s="144"/>
      <c r="K1530" s="144"/>
      <c r="L1530" s="146"/>
      <c r="M1530" s="142"/>
      <c r="N1530" s="144"/>
      <c r="O1530" s="142"/>
      <c r="P1530" s="142"/>
      <c r="Q1530" s="142"/>
      <c r="R1530" s="129"/>
      <c r="S1530" s="143"/>
      <c r="T1530" s="144"/>
      <c r="U1530" s="129"/>
      <c r="V1530" s="129"/>
    </row>
    <row r="1531" spans="1:22" x14ac:dyDescent="0.2">
      <c r="A1531" s="144"/>
      <c r="B1531" s="145"/>
      <c r="C1531" s="129"/>
      <c r="D1531" s="129"/>
      <c r="E1531" s="129"/>
      <c r="F1531" s="129"/>
      <c r="G1531" s="144"/>
      <c r="H1531" s="129"/>
      <c r="I1531" s="144"/>
      <c r="J1531" s="144"/>
      <c r="K1531" s="144"/>
      <c r="L1531" s="146"/>
      <c r="M1531" s="142"/>
      <c r="N1531" s="144"/>
      <c r="O1531" s="142"/>
      <c r="P1531" s="142"/>
      <c r="Q1531" s="142"/>
      <c r="R1531" s="129"/>
      <c r="S1531" s="143"/>
      <c r="T1531" s="144"/>
      <c r="U1531" s="129"/>
      <c r="V1531" s="129"/>
    </row>
    <row r="1532" spans="1:22" x14ac:dyDescent="0.2">
      <c r="A1532" s="144"/>
      <c r="B1532" s="145"/>
      <c r="C1532" s="129"/>
      <c r="D1532" s="129"/>
      <c r="E1532" s="129"/>
      <c r="F1532" s="129"/>
      <c r="G1532" s="144"/>
      <c r="H1532" s="129"/>
      <c r="I1532" s="144"/>
      <c r="J1532" s="144"/>
      <c r="K1532" s="144"/>
      <c r="L1532" s="146"/>
      <c r="M1532" s="142"/>
      <c r="N1532" s="144"/>
      <c r="O1532" s="142"/>
      <c r="P1532" s="142"/>
      <c r="Q1532" s="142"/>
      <c r="R1532" s="129"/>
      <c r="S1532" s="143"/>
      <c r="T1532" s="144"/>
      <c r="U1532" s="129"/>
      <c r="V1532" s="129"/>
    </row>
    <row r="1533" spans="1:22" x14ac:dyDescent="0.2">
      <c r="A1533" s="144"/>
      <c r="B1533" s="145"/>
      <c r="C1533" s="129"/>
      <c r="D1533" s="129"/>
      <c r="E1533" s="129"/>
      <c r="F1533" s="129"/>
      <c r="G1533" s="144"/>
      <c r="H1533" s="129"/>
      <c r="I1533" s="144"/>
      <c r="J1533" s="144"/>
      <c r="K1533" s="144"/>
      <c r="L1533" s="146"/>
      <c r="M1533" s="142"/>
      <c r="N1533" s="144"/>
      <c r="O1533" s="142"/>
      <c r="P1533" s="142"/>
      <c r="Q1533" s="142"/>
      <c r="R1533" s="129"/>
      <c r="S1533" s="143"/>
      <c r="T1533" s="144"/>
      <c r="U1533" s="129"/>
      <c r="V1533" s="129"/>
    </row>
    <row r="1534" spans="1:22" x14ac:dyDescent="0.2">
      <c r="A1534" s="144"/>
      <c r="B1534" s="145"/>
      <c r="C1534" s="129"/>
      <c r="D1534" s="129"/>
      <c r="E1534" s="129"/>
      <c r="F1534" s="129"/>
      <c r="G1534" s="144"/>
      <c r="H1534" s="129"/>
      <c r="I1534" s="144"/>
      <c r="J1534" s="144"/>
      <c r="K1534" s="144"/>
      <c r="L1534" s="146"/>
      <c r="M1534" s="142"/>
      <c r="N1534" s="144"/>
      <c r="O1534" s="142"/>
      <c r="P1534" s="142"/>
      <c r="Q1534" s="142"/>
      <c r="R1534" s="129"/>
      <c r="S1534" s="143"/>
      <c r="T1534" s="144"/>
      <c r="U1534" s="129"/>
      <c r="V1534" s="129"/>
    </row>
    <row r="1535" spans="1:22" x14ac:dyDescent="0.2">
      <c r="A1535" s="144"/>
      <c r="B1535" s="145"/>
      <c r="C1535" s="129"/>
      <c r="D1535" s="129"/>
      <c r="E1535" s="129"/>
      <c r="F1535" s="129"/>
      <c r="G1535" s="144"/>
      <c r="H1535" s="129"/>
      <c r="I1535" s="144"/>
      <c r="J1535" s="144"/>
      <c r="K1535" s="144"/>
      <c r="L1535" s="146"/>
      <c r="M1535" s="142"/>
      <c r="N1535" s="144"/>
      <c r="O1535" s="142"/>
      <c r="P1535" s="142"/>
      <c r="Q1535" s="142"/>
      <c r="R1535" s="129"/>
      <c r="S1535" s="143"/>
      <c r="T1535" s="144"/>
      <c r="U1535" s="129"/>
      <c r="V1535" s="129"/>
    </row>
    <row r="1536" spans="1:22" x14ac:dyDescent="0.2">
      <c r="A1536" s="144"/>
      <c r="B1536" s="145"/>
      <c r="C1536" s="129"/>
      <c r="D1536" s="129"/>
      <c r="E1536" s="129"/>
      <c r="F1536" s="129"/>
      <c r="G1536" s="144"/>
      <c r="H1536" s="129"/>
      <c r="I1536" s="144"/>
      <c r="J1536" s="144"/>
      <c r="K1536" s="144"/>
      <c r="L1536" s="146"/>
      <c r="M1536" s="142"/>
      <c r="N1536" s="144"/>
      <c r="O1536" s="142"/>
      <c r="P1536" s="142"/>
      <c r="Q1536" s="142"/>
      <c r="R1536" s="129"/>
      <c r="S1536" s="143"/>
      <c r="T1536" s="144"/>
      <c r="U1536" s="129"/>
      <c r="V1536" s="129"/>
    </row>
    <row r="1537" spans="1:22" x14ac:dyDescent="0.2">
      <c r="A1537" s="144"/>
      <c r="B1537" s="145"/>
      <c r="C1537" s="129"/>
      <c r="D1537" s="129"/>
      <c r="E1537" s="129"/>
      <c r="F1537" s="129"/>
      <c r="G1537" s="144"/>
      <c r="H1537" s="129"/>
      <c r="I1537" s="144"/>
      <c r="J1537" s="144"/>
      <c r="K1537" s="144"/>
      <c r="L1537" s="146"/>
      <c r="M1537" s="142"/>
      <c r="N1537" s="144"/>
      <c r="O1537" s="142"/>
      <c r="P1537" s="142"/>
      <c r="Q1537" s="142"/>
      <c r="R1537" s="129"/>
      <c r="S1537" s="143"/>
      <c r="T1537" s="144"/>
      <c r="U1537" s="129"/>
      <c r="V1537" s="129"/>
    </row>
    <row r="1538" spans="1:22" x14ac:dyDescent="0.2">
      <c r="A1538" s="144"/>
      <c r="B1538" s="145"/>
      <c r="C1538" s="129"/>
      <c r="D1538" s="129"/>
      <c r="E1538" s="129"/>
      <c r="F1538" s="129"/>
      <c r="G1538" s="144"/>
      <c r="H1538" s="129"/>
      <c r="I1538" s="144"/>
      <c r="J1538" s="144"/>
      <c r="K1538" s="144"/>
      <c r="L1538" s="146"/>
      <c r="M1538" s="142"/>
      <c r="N1538" s="144"/>
      <c r="O1538" s="142"/>
      <c r="P1538" s="142"/>
      <c r="Q1538" s="142"/>
      <c r="R1538" s="129"/>
      <c r="S1538" s="143"/>
      <c r="T1538" s="144"/>
      <c r="U1538" s="129"/>
      <c r="V1538" s="129"/>
    </row>
    <row r="1539" spans="1:22" x14ac:dyDescent="0.2">
      <c r="A1539" s="144"/>
      <c r="B1539" s="145"/>
      <c r="C1539" s="129"/>
      <c r="D1539" s="129"/>
      <c r="E1539" s="129"/>
      <c r="F1539" s="129"/>
      <c r="G1539" s="144"/>
      <c r="H1539" s="129"/>
      <c r="I1539" s="144"/>
      <c r="J1539" s="144"/>
      <c r="K1539" s="144"/>
      <c r="L1539" s="146"/>
      <c r="M1539" s="142"/>
      <c r="N1539" s="144"/>
      <c r="O1539" s="142"/>
      <c r="P1539" s="142"/>
      <c r="Q1539" s="142"/>
      <c r="R1539" s="129"/>
      <c r="S1539" s="143"/>
      <c r="T1539" s="144"/>
      <c r="U1539" s="129"/>
      <c r="V1539" s="129"/>
    </row>
    <row r="1540" spans="1:22" x14ac:dyDescent="0.2">
      <c r="A1540" s="144"/>
      <c r="B1540" s="145"/>
      <c r="C1540" s="129"/>
      <c r="D1540" s="129"/>
      <c r="E1540" s="129"/>
      <c r="F1540" s="129"/>
      <c r="G1540" s="144"/>
      <c r="H1540" s="129"/>
      <c r="I1540" s="144"/>
      <c r="J1540" s="144"/>
      <c r="K1540" s="144"/>
      <c r="L1540" s="146"/>
      <c r="M1540" s="142"/>
      <c r="N1540" s="144"/>
      <c r="O1540" s="142"/>
      <c r="P1540" s="142"/>
      <c r="Q1540" s="142"/>
      <c r="R1540" s="129"/>
      <c r="S1540" s="143"/>
      <c r="T1540" s="144"/>
      <c r="U1540" s="129"/>
      <c r="V1540" s="129"/>
    </row>
    <row r="1541" spans="1:22" x14ac:dyDescent="0.2">
      <c r="A1541" s="144"/>
      <c r="B1541" s="145"/>
      <c r="C1541" s="129"/>
      <c r="D1541" s="129"/>
      <c r="E1541" s="129"/>
      <c r="F1541" s="129"/>
      <c r="G1541" s="144"/>
      <c r="H1541" s="129"/>
      <c r="I1541" s="144"/>
      <c r="J1541" s="144"/>
      <c r="K1541" s="144"/>
      <c r="L1541" s="146"/>
      <c r="M1541" s="142"/>
      <c r="N1541" s="144"/>
      <c r="O1541" s="142"/>
      <c r="P1541" s="142"/>
      <c r="Q1541" s="142"/>
      <c r="R1541" s="129"/>
      <c r="S1541" s="143"/>
      <c r="T1541" s="144"/>
      <c r="U1541" s="129"/>
      <c r="V1541" s="129"/>
    </row>
    <row r="1542" spans="1:22" x14ac:dyDescent="0.2">
      <c r="A1542" s="144"/>
      <c r="B1542" s="145"/>
      <c r="C1542" s="129"/>
      <c r="D1542" s="129"/>
      <c r="E1542" s="129"/>
      <c r="F1542" s="129"/>
      <c r="G1542" s="144"/>
      <c r="H1542" s="129"/>
      <c r="I1542" s="144"/>
      <c r="J1542" s="144"/>
      <c r="K1542" s="144"/>
      <c r="L1542" s="146"/>
      <c r="M1542" s="142"/>
      <c r="N1542" s="144"/>
      <c r="O1542" s="142"/>
      <c r="P1542" s="142"/>
      <c r="Q1542" s="142"/>
      <c r="R1542" s="129"/>
      <c r="S1542" s="143"/>
      <c r="T1542" s="144"/>
      <c r="U1542" s="129"/>
      <c r="V1542" s="129"/>
    </row>
    <row r="1543" spans="1:22" x14ac:dyDescent="0.2">
      <c r="A1543" s="144"/>
      <c r="B1543" s="145"/>
      <c r="C1543" s="129"/>
      <c r="D1543" s="129"/>
      <c r="E1543" s="129"/>
      <c r="F1543" s="129"/>
      <c r="G1543" s="144"/>
      <c r="H1543" s="129"/>
      <c r="I1543" s="144"/>
      <c r="J1543" s="144"/>
      <c r="K1543" s="144"/>
      <c r="L1543" s="146"/>
      <c r="M1543" s="142"/>
      <c r="N1543" s="144"/>
      <c r="O1543" s="142"/>
      <c r="P1543" s="142"/>
      <c r="Q1543" s="142"/>
      <c r="R1543" s="129"/>
      <c r="S1543" s="143"/>
      <c r="T1543" s="144"/>
      <c r="U1543" s="129"/>
      <c r="V1543" s="129"/>
    </row>
    <row r="1544" spans="1:22" x14ac:dyDescent="0.2">
      <c r="A1544" s="144"/>
      <c r="B1544" s="145"/>
      <c r="C1544" s="129"/>
      <c r="D1544" s="129"/>
      <c r="E1544" s="129"/>
      <c r="F1544" s="129"/>
      <c r="G1544" s="144"/>
      <c r="H1544" s="129"/>
      <c r="I1544" s="144"/>
      <c r="J1544" s="144"/>
      <c r="K1544" s="144"/>
      <c r="L1544" s="146"/>
      <c r="M1544" s="142"/>
      <c r="N1544" s="144"/>
      <c r="O1544" s="142"/>
      <c r="P1544" s="142"/>
      <c r="Q1544" s="142"/>
      <c r="R1544" s="129"/>
      <c r="S1544" s="143"/>
      <c r="T1544" s="144"/>
      <c r="U1544" s="129"/>
      <c r="V1544" s="129"/>
    </row>
    <row r="1545" spans="1:22" x14ac:dyDescent="0.2">
      <c r="A1545" s="144"/>
      <c r="B1545" s="145"/>
      <c r="C1545" s="129"/>
      <c r="D1545" s="129"/>
      <c r="E1545" s="129"/>
      <c r="F1545" s="129"/>
      <c r="G1545" s="144"/>
      <c r="H1545" s="129"/>
      <c r="I1545" s="144"/>
      <c r="J1545" s="144"/>
      <c r="K1545" s="144"/>
      <c r="L1545" s="146"/>
      <c r="M1545" s="142"/>
      <c r="N1545" s="144"/>
      <c r="O1545" s="142"/>
      <c r="P1545" s="142"/>
      <c r="Q1545" s="142"/>
      <c r="R1545" s="129"/>
      <c r="S1545" s="143"/>
      <c r="T1545" s="144"/>
      <c r="U1545" s="129"/>
      <c r="V1545" s="129"/>
    </row>
    <row r="1546" spans="1:22" x14ac:dyDescent="0.2">
      <c r="A1546" s="144"/>
      <c r="B1546" s="145"/>
      <c r="C1546" s="129"/>
      <c r="D1546" s="129"/>
      <c r="E1546" s="129"/>
      <c r="F1546" s="129"/>
      <c r="G1546" s="144"/>
      <c r="H1546" s="129"/>
      <c r="I1546" s="144"/>
      <c r="J1546" s="144"/>
      <c r="K1546" s="144"/>
      <c r="L1546" s="146"/>
      <c r="M1546" s="142"/>
      <c r="N1546" s="144"/>
      <c r="O1546" s="142"/>
      <c r="P1546" s="142"/>
      <c r="Q1546" s="142"/>
      <c r="R1546" s="129"/>
      <c r="S1546" s="143"/>
      <c r="T1546" s="144"/>
      <c r="U1546" s="129"/>
      <c r="V1546" s="129"/>
    </row>
    <row r="1547" spans="1:22" x14ac:dyDescent="0.2">
      <c r="A1547" s="144"/>
      <c r="B1547" s="145"/>
      <c r="C1547" s="129"/>
      <c r="D1547" s="129"/>
      <c r="E1547" s="129"/>
      <c r="F1547" s="129"/>
      <c r="G1547" s="144"/>
      <c r="H1547" s="129"/>
      <c r="I1547" s="144"/>
      <c r="J1547" s="144"/>
      <c r="K1547" s="144"/>
      <c r="L1547" s="146"/>
      <c r="M1547" s="142"/>
      <c r="N1547" s="144"/>
      <c r="O1547" s="142"/>
      <c r="P1547" s="142"/>
      <c r="Q1547" s="142"/>
      <c r="R1547" s="129"/>
      <c r="S1547" s="143"/>
      <c r="T1547" s="144"/>
      <c r="U1547" s="129"/>
      <c r="V1547" s="129"/>
    </row>
    <row r="1548" spans="1:22" x14ac:dyDescent="0.2">
      <c r="A1548" s="144"/>
      <c r="B1548" s="145"/>
      <c r="C1548" s="129"/>
      <c r="D1548" s="129"/>
      <c r="E1548" s="129"/>
      <c r="F1548" s="129"/>
      <c r="G1548" s="144"/>
      <c r="H1548" s="129"/>
      <c r="I1548" s="144"/>
      <c r="J1548" s="144"/>
      <c r="K1548" s="144"/>
      <c r="L1548" s="146"/>
      <c r="M1548" s="142"/>
      <c r="N1548" s="144"/>
      <c r="O1548" s="142"/>
      <c r="P1548" s="142"/>
      <c r="Q1548" s="142"/>
      <c r="R1548" s="129"/>
      <c r="S1548" s="143"/>
      <c r="T1548" s="144"/>
      <c r="U1548" s="129"/>
      <c r="V1548" s="129"/>
    </row>
    <row r="1549" spans="1:22" x14ac:dyDescent="0.2">
      <c r="A1549" s="144"/>
      <c r="B1549" s="145"/>
      <c r="C1549" s="129"/>
      <c r="D1549" s="129"/>
      <c r="E1549" s="129"/>
      <c r="F1549" s="129"/>
      <c r="G1549" s="144"/>
      <c r="H1549" s="129"/>
      <c r="I1549" s="144"/>
      <c r="J1549" s="144"/>
      <c r="K1549" s="144"/>
      <c r="L1549" s="146"/>
      <c r="M1549" s="142"/>
      <c r="N1549" s="144"/>
      <c r="O1549" s="142"/>
      <c r="P1549" s="142"/>
      <c r="Q1549" s="142"/>
      <c r="R1549" s="129"/>
      <c r="S1549" s="143"/>
      <c r="T1549" s="144"/>
      <c r="U1549" s="129"/>
      <c r="V1549" s="129"/>
    </row>
    <row r="1550" spans="1:22" x14ac:dyDescent="0.2">
      <c r="A1550" s="144"/>
      <c r="B1550" s="145"/>
      <c r="C1550" s="129"/>
      <c r="D1550" s="129"/>
      <c r="E1550" s="129"/>
      <c r="F1550" s="129"/>
      <c r="G1550" s="144"/>
      <c r="H1550" s="129"/>
      <c r="I1550" s="144"/>
      <c r="J1550" s="144"/>
      <c r="K1550" s="144"/>
      <c r="L1550" s="146"/>
      <c r="M1550" s="142"/>
      <c r="N1550" s="144"/>
      <c r="O1550" s="142"/>
      <c r="P1550" s="142"/>
      <c r="Q1550" s="142"/>
      <c r="R1550" s="129"/>
      <c r="S1550" s="143"/>
      <c r="T1550" s="144"/>
      <c r="U1550" s="129"/>
      <c r="V1550" s="129"/>
    </row>
    <row r="1551" spans="1:22" x14ac:dyDescent="0.2">
      <c r="A1551" s="144"/>
      <c r="B1551" s="145"/>
      <c r="C1551" s="129"/>
      <c r="D1551" s="129"/>
      <c r="E1551" s="129"/>
      <c r="F1551" s="129"/>
      <c r="G1551" s="144"/>
      <c r="H1551" s="129"/>
      <c r="I1551" s="144"/>
      <c r="J1551" s="144"/>
      <c r="K1551" s="144"/>
      <c r="L1551" s="146"/>
      <c r="M1551" s="142"/>
      <c r="N1551" s="144"/>
      <c r="O1551" s="142"/>
      <c r="P1551" s="142"/>
      <c r="Q1551" s="142"/>
      <c r="R1551" s="129"/>
      <c r="S1551" s="143"/>
      <c r="T1551" s="144"/>
      <c r="U1551" s="129"/>
      <c r="V1551" s="129"/>
    </row>
    <row r="1552" spans="1:22" x14ac:dyDescent="0.2">
      <c r="A1552" s="144"/>
      <c r="B1552" s="145"/>
      <c r="C1552" s="129"/>
      <c r="D1552" s="129"/>
      <c r="E1552" s="129"/>
      <c r="F1552" s="129"/>
      <c r="G1552" s="144"/>
      <c r="H1552" s="129"/>
      <c r="I1552" s="144"/>
      <c r="J1552" s="144"/>
      <c r="K1552" s="144"/>
      <c r="L1552" s="146"/>
      <c r="M1552" s="142"/>
      <c r="N1552" s="144"/>
      <c r="O1552" s="142"/>
      <c r="P1552" s="142"/>
      <c r="Q1552" s="142"/>
      <c r="R1552" s="129"/>
      <c r="S1552" s="143"/>
      <c r="T1552" s="144"/>
      <c r="U1552" s="129"/>
      <c r="V1552" s="129"/>
    </row>
    <row r="1553" spans="1:22" x14ac:dyDescent="0.2">
      <c r="A1553" s="144"/>
      <c r="B1553" s="145"/>
      <c r="C1553" s="129"/>
      <c r="D1553" s="129"/>
      <c r="E1553" s="129"/>
      <c r="F1553" s="129"/>
      <c r="G1553" s="144"/>
      <c r="H1553" s="129"/>
      <c r="I1553" s="144"/>
      <c r="J1553" s="144"/>
      <c r="K1553" s="144"/>
      <c r="L1553" s="146"/>
      <c r="M1553" s="142"/>
      <c r="N1553" s="144"/>
      <c r="O1553" s="142"/>
      <c r="P1553" s="142"/>
      <c r="Q1553" s="142"/>
      <c r="R1553" s="129"/>
      <c r="S1553" s="143"/>
      <c r="T1553" s="144"/>
      <c r="U1553" s="129"/>
      <c r="V1553" s="129"/>
    </row>
    <row r="1554" spans="1:22" x14ac:dyDescent="0.2">
      <c r="A1554" s="144"/>
      <c r="B1554" s="145"/>
      <c r="C1554" s="129"/>
      <c r="D1554" s="129"/>
      <c r="E1554" s="129"/>
      <c r="F1554" s="129"/>
      <c r="G1554" s="144"/>
      <c r="H1554" s="129"/>
      <c r="I1554" s="144"/>
      <c r="J1554" s="144"/>
      <c r="K1554" s="144"/>
      <c r="L1554" s="146"/>
      <c r="M1554" s="142"/>
      <c r="N1554" s="144"/>
      <c r="O1554" s="142"/>
      <c r="P1554" s="142"/>
      <c r="Q1554" s="142"/>
      <c r="R1554" s="129"/>
      <c r="S1554" s="143"/>
      <c r="T1554" s="144"/>
      <c r="U1554" s="129"/>
      <c r="V1554" s="129"/>
    </row>
    <row r="1555" spans="1:22" x14ac:dyDescent="0.2">
      <c r="A1555" s="144"/>
      <c r="B1555" s="145"/>
      <c r="C1555" s="129"/>
      <c r="D1555" s="129"/>
      <c r="E1555" s="129"/>
      <c r="F1555" s="129"/>
      <c r="G1555" s="144"/>
      <c r="H1555" s="129"/>
      <c r="I1555" s="144"/>
      <c r="J1555" s="144"/>
      <c r="K1555" s="144"/>
      <c r="L1555" s="146"/>
      <c r="M1555" s="142"/>
      <c r="N1555" s="144"/>
      <c r="O1555" s="142"/>
      <c r="P1555" s="142"/>
      <c r="Q1555" s="142"/>
      <c r="R1555" s="129"/>
      <c r="S1555" s="143"/>
      <c r="T1555" s="144"/>
      <c r="U1555" s="129"/>
      <c r="V1555" s="129"/>
    </row>
    <row r="1556" spans="1:22" x14ac:dyDescent="0.2">
      <c r="A1556" s="144"/>
      <c r="B1556" s="145"/>
      <c r="C1556" s="129"/>
      <c r="D1556" s="129"/>
      <c r="E1556" s="129"/>
      <c r="F1556" s="129"/>
      <c r="G1556" s="144"/>
      <c r="H1556" s="129"/>
      <c r="I1556" s="144"/>
      <c r="J1556" s="144"/>
      <c r="K1556" s="144"/>
      <c r="L1556" s="146"/>
      <c r="M1556" s="142"/>
      <c r="N1556" s="144"/>
      <c r="O1556" s="142"/>
      <c r="P1556" s="142"/>
      <c r="Q1556" s="142"/>
      <c r="R1556" s="129"/>
      <c r="S1556" s="143"/>
      <c r="T1556" s="144"/>
      <c r="U1556" s="129"/>
      <c r="V1556" s="129"/>
    </row>
    <row r="1557" spans="1:22" x14ac:dyDescent="0.2">
      <c r="A1557" s="144"/>
      <c r="B1557" s="145"/>
      <c r="C1557" s="129"/>
      <c r="D1557" s="129"/>
      <c r="E1557" s="129"/>
      <c r="F1557" s="129"/>
      <c r="G1557" s="144"/>
      <c r="H1557" s="129"/>
      <c r="I1557" s="144"/>
      <c r="J1557" s="144"/>
      <c r="K1557" s="144"/>
      <c r="L1557" s="146"/>
      <c r="M1557" s="142"/>
      <c r="N1557" s="144"/>
      <c r="O1557" s="142"/>
      <c r="P1557" s="142"/>
      <c r="Q1557" s="142"/>
      <c r="R1557" s="129"/>
      <c r="S1557" s="143"/>
      <c r="T1557" s="144"/>
      <c r="U1557" s="129"/>
      <c r="V1557" s="129"/>
    </row>
    <row r="1558" spans="1:22" x14ac:dyDescent="0.2">
      <c r="A1558" s="144"/>
      <c r="B1558" s="145"/>
      <c r="C1558" s="129"/>
      <c r="D1558" s="129"/>
      <c r="E1558" s="129"/>
      <c r="F1558" s="129"/>
      <c r="G1558" s="144"/>
      <c r="H1558" s="129"/>
      <c r="I1558" s="144"/>
      <c r="J1558" s="144"/>
      <c r="K1558" s="144"/>
      <c r="L1558" s="146"/>
      <c r="M1558" s="142"/>
      <c r="N1558" s="144"/>
      <c r="O1558" s="142"/>
      <c r="P1558" s="142"/>
      <c r="Q1558" s="142"/>
      <c r="R1558" s="129"/>
      <c r="S1558" s="143"/>
      <c r="T1558" s="144"/>
      <c r="U1558" s="129"/>
      <c r="V1558" s="129"/>
    </row>
    <row r="1559" spans="1:22" x14ac:dyDescent="0.2">
      <c r="A1559" s="144"/>
      <c r="B1559" s="145"/>
      <c r="C1559" s="129"/>
      <c r="D1559" s="129"/>
      <c r="E1559" s="129"/>
      <c r="F1559" s="129"/>
      <c r="G1559" s="144"/>
      <c r="H1559" s="129"/>
      <c r="I1559" s="144"/>
      <c r="J1559" s="144"/>
      <c r="K1559" s="144"/>
      <c r="L1559" s="146"/>
      <c r="M1559" s="142"/>
      <c r="N1559" s="144"/>
      <c r="O1559" s="142"/>
      <c r="P1559" s="142"/>
      <c r="Q1559" s="142"/>
      <c r="R1559" s="129"/>
      <c r="S1559" s="143"/>
      <c r="T1559" s="144"/>
      <c r="U1559" s="129"/>
      <c r="V1559" s="129"/>
    </row>
    <row r="1560" spans="1:22" x14ac:dyDescent="0.2">
      <c r="A1560" s="144"/>
      <c r="B1560" s="145"/>
      <c r="C1560" s="129"/>
      <c r="D1560" s="129"/>
      <c r="E1560" s="129"/>
      <c r="F1560" s="129"/>
      <c r="G1560" s="144"/>
      <c r="H1560" s="129"/>
      <c r="I1560" s="144"/>
      <c r="J1560" s="144"/>
      <c r="K1560" s="144"/>
      <c r="L1560" s="146"/>
      <c r="M1560" s="142"/>
      <c r="N1560" s="144"/>
      <c r="O1560" s="142"/>
      <c r="P1560" s="142"/>
      <c r="Q1560" s="142"/>
      <c r="R1560" s="129"/>
      <c r="S1560" s="143"/>
      <c r="T1560" s="144"/>
      <c r="U1560" s="129"/>
      <c r="V1560" s="129"/>
    </row>
    <row r="1561" spans="1:22" x14ac:dyDescent="0.2">
      <c r="A1561" s="144"/>
      <c r="B1561" s="145"/>
      <c r="C1561" s="129"/>
      <c r="D1561" s="129"/>
      <c r="E1561" s="129"/>
      <c r="F1561" s="129"/>
      <c r="G1561" s="144"/>
      <c r="H1561" s="129"/>
      <c r="I1561" s="144"/>
      <c r="J1561" s="144"/>
      <c r="K1561" s="144"/>
      <c r="L1561" s="146"/>
      <c r="M1561" s="142"/>
      <c r="N1561" s="144"/>
      <c r="O1561" s="142"/>
      <c r="P1561" s="142"/>
      <c r="Q1561" s="142"/>
      <c r="R1561" s="129"/>
      <c r="S1561" s="143"/>
      <c r="T1561" s="144"/>
      <c r="U1561" s="129"/>
      <c r="V1561" s="129"/>
    </row>
    <row r="1562" spans="1:22" x14ac:dyDescent="0.2">
      <c r="A1562" s="144"/>
      <c r="B1562" s="145"/>
      <c r="C1562" s="129"/>
      <c r="D1562" s="129"/>
      <c r="E1562" s="129"/>
      <c r="F1562" s="129"/>
      <c r="G1562" s="144"/>
      <c r="H1562" s="129"/>
      <c r="I1562" s="144"/>
      <c r="J1562" s="144"/>
      <c r="K1562" s="144"/>
      <c r="L1562" s="146"/>
      <c r="M1562" s="142"/>
      <c r="N1562" s="144"/>
      <c r="O1562" s="142"/>
      <c r="P1562" s="142"/>
      <c r="Q1562" s="142"/>
      <c r="R1562" s="129"/>
      <c r="S1562" s="143"/>
      <c r="T1562" s="144"/>
      <c r="U1562" s="129"/>
      <c r="V1562" s="129"/>
    </row>
    <row r="1563" spans="1:22" x14ac:dyDescent="0.2">
      <c r="A1563" s="144"/>
      <c r="B1563" s="145"/>
      <c r="C1563" s="129"/>
      <c r="D1563" s="129"/>
      <c r="E1563" s="129"/>
      <c r="F1563" s="129"/>
      <c r="G1563" s="144"/>
      <c r="H1563" s="129"/>
      <c r="I1563" s="144"/>
      <c r="J1563" s="144"/>
      <c r="K1563" s="144"/>
      <c r="L1563" s="146"/>
      <c r="M1563" s="142"/>
      <c r="N1563" s="144"/>
      <c r="O1563" s="142"/>
      <c r="P1563" s="142"/>
      <c r="Q1563" s="142"/>
      <c r="R1563" s="129"/>
      <c r="S1563" s="143"/>
      <c r="T1563" s="144"/>
      <c r="U1563" s="129"/>
      <c r="V1563" s="129"/>
    </row>
    <row r="1564" spans="1:22" x14ac:dyDescent="0.2">
      <c r="A1564" s="144"/>
      <c r="B1564" s="145"/>
      <c r="C1564" s="129"/>
      <c r="D1564" s="129"/>
      <c r="E1564" s="129"/>
      <c r="F1564" s="129"/>
      <c r="G1564" s="144"/>
      <c r="H1564" s="129"/>
      <c r="I1564" s="144"/>
      <c r="J1564" s="144"/>
      <c r="K1564" s="144"/>
      <c r="L1564" s="146"/>
      <c r="M1564" s="142"/>
      <c r="N1564" s="144"/>
      <c r="O1564" s="142"/>
      <c r="P1564" s="142"/>
      <c r="Q1564" s="142"/>
      <c r="R1564" s="129"/>
      <c r="S1564" s="143"/>
      <c r="T1564" s="144"/>
      <c r="U1564" s="129"/>
      <c r="V1564" s="129"/>
    </row>
    <row r="1565" spans="1:22" x14ac:dyDescent="0.2">
      <c r="A1565" s="144"/>
      <c r="B1565" s="145"/>
      <c r="C1565" s="129"/>
      <c r="D1565" s="129"/>
      <c r="E1565" s="129"/>
      <c r="F1565" s="129"/>
      <c r="G1565" s="144"/>
      <c r="H1565" s="129"/>
      <c r="I1565" s="144"/>
      <c r="J1565" s="144"/>
      <c r="K1565" s="144"/>
      <c r="L1565" s="146"/>
      <c r="M1565" s="142"/>
      <c r="N1565" s="144"/>
      <c r="O1565" s="142"/>
      <c r="P1565" s="142"/>
      <c r="Q1565" s="142"/>
      <c r="R1565" s="129"/>
      <c r="S1565" s="143"/>
      <c r="T1565" s="144"/>
      <c r="U1565" s="129"/>
      <c r="V1565" s="129"/>
    </row>
    <row r="1566" spans="1:22" x14ac:dyDescent="0.2">
      <c r="A1566" s="144"/>
      <c r="B1566" s="145"/>
      <c r="C1566" s="129"/>
      <c r="D1566" s="129"/>
      <c r="E1566" s="129"/>
      <c r="F1566" s="129"/>
      <c r="G1566" s="144"/>
      <c r="H1566" s="129"/>
      <c r="I1566" s="144"/>
      <c r="J1566" s="144"/>
      <c r="K1566" s="144"/>
      <c r="L1566" s="146"/>
      <c r="M1566" s="142"/>
      <c r="N1566" s="144"/>
      <c r="O1566" s="142"/>
      <c r="P1566" s="142"/>
      <c r="Q1566" s="142"/>
      <c r="R1566" s="129"/>
      <c r="S1566" s="143"/>
      <c r="T1566" s="144"/>
      <c r="U1566" s="129"/>
      <c r="V1566" s="129"/>
    </row>
    <row r="1567" spans="1:22" x14ac:dyDescent="0.2">
      <c r="A1567" s="144"/>
      <c r="B1567" s="145"/>
      <c r="C1567" s="129"/>
      <c r="D1567" s="129"/>
      <c r="E1567" s="129"/>
      <c r="F1567" s="129"/>
      <c r="G1567" s="144"/>
      <c r="H1567" s="129"/>
      <c r="I1567" s="144"/>
      <c r="J1567" s="144"/>
      <c r="K1567" s="144"/>
      <c r="L1567" s="146"/>
      <c r="M1567" s="142"/>
      <c r="N1567" s="144"/>
      <c r="O1567" s="142"/>
      <c r="P1567" s="142"/>
      <c r="Q1567" s="142"/>
      <c r="R1567" s="129"/>
      <c r="S1567" s="143"/>
      <c r="T1567" s="144"/>
      <c r="U1567" s="129"/>
      <c r="V1567" s="129"/>
    </row>
    <row r="1568" spans="1:22" x14ac:dyDescent="0.2">
      <c r="A1568" s="144"/>
      <c r="B1568" s="145"/>
      <c r="C1568" s="129"/>
      <c r="D1568" s="129"/>
      <c r="E1568" s="129"/>
      <c r="F1568" s="129"/>
      <c r="G1568" s="144"/>
      <c r="H1568" s="129"/>
      <c r="I1568" s="144"/>
      <c r="J1568" s="144"/>
      <c r="K1568" s="144"/>
      <c r="L1568" s="146"/>
      <c r="M1568" s="142"/>
      <c r="N1568" s="144"/>
      <c r="O1568" s="142"/>
      <c r="P1568" s="142"/>
      <c r="Q1568" s="142"/>
      <c r="R1568" s="129"/>
      <c r="S1568" s="143"/>
      <c r="T1568" s="144"/>
      <c r="U1568" s="129"/>
      <c r="V1568" s="129"/>
    </row>
    <row r="1569" spans="1:22" x14ac:dyDescent="0.2">
      <c r="A1569" s="144"/>
      <c r="B1569" s="145"/>
      <c r="C1569" s="129"/>
      <c r="D1569" s="129"/>
      <c r="E1569" s="129"/>
      <c r="F1569" s="129"/>
      <c r="G1569" s="144"/>
      <c r="H1569" s="129"/>
      <c r="I1569" s="144"/>
      <c r="J1569" s="144"/>
      <c r="K1569" s="144"/>
      <c r="L1569" s="146"/>
      <c r="M1569" s="142"/>
      <c r="N1569" s="144"/>
      <c r="O1569" s="142"/>
      <c r="P1569" s="142"/>
      <c r="Q1569" s="142"/>
      <c r="R1569" s="129"/>
      <c r="S1569" s="143"/>
      <c r="T1569" s="144"/>
      <c r="U1569" s="129"/>
      <c r="V1569" s="129"/>
    </row>
    <row r="1570" spans="1:22" x14ac:dyDescent="0.2">
      <c r="A1570" s="144"/>
      <c r="B1570" s="145"/>
      <c r="C1570" s="129"/>
      <c r="D1570" s="129"/>
      <c r="E1570" s="129"/>
      <c r="F1570" s="129"/>
      <c r="G1570" s="144"/>
      <c r="H1570" s="129"/>
      <c r="I1570" s="144"/>
      <c r="J1570" s="144"/>
      <c r="K1570" s="144"/>
      <c r="L1570" s="146"/>
      <c r="M1570" s="142"/>
      <c r="N1570" s="144"/>
      <c r="O1570" s="142"/>
      <c r="P1570" s="142"/>
      <c r="Q1570" s="142"/>
      <c r="R1570" s="129"/>
      <c r="S1570" s="143"/>
      <c r="T1570" s="144"/>
      <c r="U1570" s="129"/>
      <c r="V1570" s="129"/>
    </row>
    <row r="1571" spans="1:22" x14ac:dyDescent="0.2">
      <c r="A1571" s="144"/>
      <c r="B1571" s="145"/>
      <c r="C1571" s="129"/>
      <c r="D1571" s="129"/>
      <c r="E1571" s="129"/>
      <c r="F1571" s="129"/>
      <c r="G1571" s="144"/>
      <c r="H1571" s="129"/>
      <c r="I1571" s="144"/>
      <c r="J1571" s="144"/>
      <c r="K1571" s="144"/>
      <c r="L1571" s="146"/>
      <c r="M1571" s="142"/>
      <c r="N1571" s="144"/>
      <c r="O1571" s="142"/>
      <c r="P1571" s="142"/>
      <c r="Q1571" s="142"/>
      <c r="R1571" s="129"/>
      <c r="S1571" s="143"/>
      <c r="T1571" s="144"/>
      <c r="U1571" s="129"/>
      <c r="V1571" s="129"/>
    </row>
    <row r="1572" spans="1:22" x14ac:dyDescent="0.2">
      <c r="A1572" s="144"/>
      <c r="B1572" s="145"/>
      <c r="C1572" s="129"/>
      <c r="D1572" s="129"/>
      <c r="E1572" s="129"/>
      <c r="F1572" s="129"/>
      <c r="G1572" s="144"/>
      <c r="H1572" s="129"/>
      <c r="I1572" s="144"/>
      <c r="J1572" s="144"/>
      <c r="K1572" s="144"/>
      <c r="L1572" s="146"/>
      <c r="M1572" s="142"/>
      <c r="N1572" s="144"/>
      <c r="O1572" s="142"/>
      <c r="P1572" s="142"/>
      <c r="Q1572" s="142"/>
      <c r="R1572" s="129"/>
      <c r="S1572" s="143"/>
      <c r="T1572" s="144"/>
      <c r="U1572" s="129"/>
      <c r="V1572" s="129"/>
    </row>
    <row r="1573" spans="1:22" x14ac:dyDescent="0.2">
      <c r="A1573" s="144"/>
      <c r="B1573" s="145"/>
      <c r="C1573" s="129"/>
      <c r="D1573" s="129"/>
      <c r="E1573" s="129"/>
      <c r="F1573" s="129"/>
      <c r="G1573" s="144"/>
      <c r="H1573" s="129"/>
      <c r="I1573" s="144"/>
      <c r="J1573" s="144"/>
      <c r="K1573" s="144"/>
      <c r="L1573" s="146"/>
      <c r="M1573" s="142"/>
      <c r="N1573" s="144"/>
      <c r="O1573" s="142"/>
      <c r="P1573" s="142"/>
      <c r="Q1573" s="142"/>
      <c r="R1573" s="129"/>
      <c r="S1573" s="143"/>
      <c r="T1573" s="144"/>
      <c r="U1573" s="129"/>
      <c r="V1573" s="129"/>
    </row>
    <row r="1574" spans="1:22" x14ac:dyDescent="0.2">
      <c r="A1574" s="144"/>
      <c r="B1574" s="145"/>
      <c r="C1574" s="129"/>
      <c r="D1574" s="129"/>
      <c r="E1574" s="129"/>
      <c r="F1574" s="129"/>
      <c r="G1574" s="144"/>
      <c r="H1574" s="129"/>
      <c r="I1574" s="144"/>
      <c r="J1574" s="144"/>
      <c r="K1574" s="144"/>
      <c r="L1574" s="146"/>
      <c r="M1574" s="142"/>
      <c r="N1574" s="144"/>
      <c r="O1574" s="142"/>
      <c r="P1574" s="142"/>
      <c r="Q1574" s="142"/>
      <c r="R1574" s="129"/>
      <c r="S1574" s="143"/>
      <c r="T1574" s="144"/>
      <c r="U1574" s="129"/>
      <c r="V1574" s="129"/>
    </row>
    <row r="1575" spans="1:22" x14ac:dyDescent="0.2">
      <c r="A1575" s="144"/>
      <c r="B1575" s="145"/>
      <c r="C1575" s="129"/>
      <c r="D1575" s="129"/>
      <c r="E1575" s="129"/>
      <c r="F1575" s="129"/>
      <c r="G1575" s="144"/>
      <c r="H1575" s="129"/>
      <c r="I1575" s="144"/>
      <c r="J1575" s="144"/>
      <c r="K1575" s="144"/>
      <c r="L1575" s="146"/>
      <c r="M1575" s="142"/>
      <c r="N1575" s="144"/>
      <c r="O1575" s="142"/>
      <c r="P1575" s="142"/>
      <c r="Q1575" s="142"/>
      <c r="R1575" s="129"/>
      <c r="S1575" s="143"/>
      <c r="T1575" s="144"/>
      <c r="U1575" s="129"/>
      <c r="V1575" s="129"/>
    </row>
    <row r="1576" spans="1:22" x14ac:dyDescent="0.2">
      <c r="A1576" s="144"/>
      <c r="B1576" s="145"/>
      <c r="C1576" s="129"/>
      <c r="D1576" s="129"/>
      <c r="E1576" s="129"/>
      <c r="F1576" s="129"/>
      <c r="G1576" s="144"/>
      <c r="H1576" s="129"/>
      <c r="I1576" s="144"/>
      <c r="J1576" s="144"/>
      <c r="K1576" s="144"/>
      <c r="L1576" s="146"/>
      <c r="M1576" s="142"/>
      <c r="N1576" s="144"/>
      <c r="O1576" s="142"/>
      <c r="P1576" s="142"/>
      <c r="Q1576" s="142"/>
      <c r="R1576" s="129"/>
      <c r="S1576" s="143"/>
      <c r="T1576" s="144"/>
      <c r="U1576" s="129"/>
      <c r="V1576" s="129"/>
    </row>
    <row r="1577" spans="1:22" x14ac:dyDescent="0.2">
      <c r="A1577" s="144"/>
      <c r="B1577" s="145"/>
      <c r="C1577" s="129"/>
      <c r="D1577" s="129"/>
      <c r="E1577" s="129"/>
      <c r="F1577" s="129"/>
      <c r="G1577" s="144"/>
      <c r="H1577" s="129"/>
      <c r="I1577" s="144"/>
      <c r="J1577" s="144"/>
      <c r="K1577" s="144"/>
      <c r="L1577" s="146"/>
      <c r="M1577" s="142"/>
      <c r="N1577" s="144"/>
      <c r="O1577" s="142"/>
      <c r="P1577" s="142"/>
      <c r="Q1577" s="142"/>
      <c r="R1577" s="129"/>
      <c r="S1577" s="143"/>
      <c r="T1577" s="144"/>
      <c r="U1577" s="129"/>
      <c r="V1577" s="129"/>
    </row>
    <row r="1578" spans="1:22" x14ac:dyDescent="0.2">
      <c r="A1578" s="144"/>
      <c r="B1578" s="145"/>
      <c r="C1578" s="129"/>
      <c r="D1578" s="129"/>
      <c r="E1578" s="129"/>
      <c r="F1578" s="129"/>
      <c r="G1578" s="144"/>
      <c r="H1578" s="129"/>
      <c r="I1578" s="144"/>
      <c r="J1578" s="144"/>
      <c r="K1578" s="144"/>
      <c r="L1578" s="146"/>
      <c r="M1578" s="142"/>
      <c r="N1578" s="144"/>
      <c r="O1578" s="142"/>
      <c r="P1578" s="142"/>
      <c r="Q1578" s="142"/>
      <c r="R1578" s="129"/>
      <c r="S1578" s="143"/>
      <c r="T1578" s="144"/>
      <c r="U1578" s="129"/>
      <c r="V1578" s="129"/>
    </row>
    <row r="1579" spans="1:22" x14ac:dyDescent="0.2">
      <c r="A1579" s="144"/>
      <c r="B1579" s="145"/>
      <c r="C1579" s="129"/>
      <c r="D1579" s="129"/>
      <c r="E1579" s="129"/>
      <c r="F1579" s="129"/>
      <c r="G1579" s="144"/>
      <c r="H1579" s="129"/>
      <c r="I1579" s="144"/>
      <c r="J1579" s="144"/>
      <c r="K1579" s="144"/>
      <c r="L1579" s="146"/>
      <c r="M1579" s="142"/>
      <c r="N1579" s="144"/>
      <c r="O1579" s="142"/>
      <c r="P1579" s="142"/>
      <c r="Q1579" s="142"/>
      <c r="R1579" s="129"/>
      <c r="S1579" s="143"/>
      <c r="T1579" s="144"/>
      <c r="U1579" s="129"/>
      <c r="V1579" s="129"/>
    </row>
    <row r="1580" spans="1:22" x14ac:dyDescent="0.2">
      <c r="A1580" s="144"/>
      <c r="B1580" s="145"/>
      <c r="C1580" s="129"/>
      <c r="D1580" s="129"/>
      <c r="E1580" s="129"/>
      <c r="F1580" s="129"/>
      <c r="G1580" s="144"/>
      <c r="H1580" s="129"/>
      <c r="I1580" s="144"/>
      <c r="J1580" s="144"/>
      <c r="K1580" s="144"/>
      <c r="L1580" s="146"/>
      <c r="M1580" s="142"/>
      <c r="N1580" s="144"/>
      <c r="O1580" s="142"/>
      <c r="P1580" s="142"/>
      <c r="Q1580" s="142"/>
      <c r="R1580" s="129"/>
      <c r="S1580" s="143"/>
      <c r="T1580" s="144"/>
      <c r="U1580" s="129"/>
      <c r="V1580" s="129"/>
    </row>
    <row r="1581" spans="1:22" x14ac:dyDescent="0.2">
      <c r="A1581" s="144"/>
      <c r="B1581" s="145"/>
      <c r="C1581" s="129"/>
      <c r="D1581" s="129"/>
      <c r="E1581" s="129"/>
      <c r="F1581" s="129"/>
      <c r="G1581" s="144"/>
      <c r="H1581" s="129"/>
      <c r="I1581" s="144"/>
      <c r="J1581" s="144"/>
      <c r="K1581" s="144"/>
      <c r="L1581" s="146"/>
      <c r="M1581" s="142"/>
      <c r="N1581" s="144"/>
      <c r="O1581" s="142"/>
      <c r="P1581" s="142"/>
      <c r="Q1581" s="142"/>
      <c r="R1581" s="129"/>
      <c r="S1581" s="143"/>
      <c r="T1581" s="144"/>
      <c r="U1581" s="129"/>
      <c r="V1581" s="129"/>
    </row>
    <row r="1582" spans="1:22" x14ac:dyDescent="0.2">
      <c r="A1582" s="144"/>
      <c r="B1582" s="145"/>
      <c r="C1582" s="129"/>
      <c r="D1582" s="129"/>
      <c r="E1582" s="129"/>
      <c r="F1582" s="129"/>
      <c r="G1582" s="144"/>
      <c r="H1582" s="129"/>
      <c r="I1582" s="144"/>
      <c r="J1582" s="144"/>
      <c r="K1582" s="144"/>
      <c r="L1582" s="146"/>
      <c r="M1582" s="142"/>
      <c r="N1582" s="144"/>
      <c r="O1582" s="142"/>
      <c r="P1582" s="142"/>
      <c r="Q1582" s="142"/>
      <c r="R1582" s="129"/>
      <c r="S1582" s="143"/>
      <c r="T1582" s="144"/>
      <c r="U1582" s="129"/>
      <c r="V1582" s="129"/>
    </row>
    <row r="1583" spans="1:22" x14ac:dyDescent="0.2">
      <c r="A1583" s="144"/>
      <c r="B1583" s="145"/>
      <c r="C1583" s="129"/>
      <c r="D1583" s="129"/>
      <c r="E1583" s="129"/>
      <c r="F1583" s="129"/>
      <c r="G1583" s="144"/>
      <c r="H1583" s="129"/>
      <c r="I1583" s="144"/>
      <c r="J1583" s="144"/>
      <c r="K1583" s="144"/>
      <c r="L1583" s="146"/>
      <c r="M1583" s="142"/>
      <c r="N1583" s="144"/>
      <c r="O1583" s="142"/>
      <c r="P1583" s="142"/>
      <c r="Q1583" s="142"/>
      <c r="R1583" s="129"/>
      <c r="S1583" s="143"/>
      <c r="T1583" s="144"/>
      <c r="U1583" s="129"/>
      <c r="V1583" s="129"/>
    </row>
    <row r="1584" spans="1:22" x14ac:dyDescent="0.2">
      <c r="A1584" s="144"/>
      <c r="B1584" s="145"/>
      <c r="C1584" s="129"/>
      <c r="D1584" s="129"/>
      <c r="E1584" s="129"/>
      <c r="F1584" s="129"/>
      <c r="G1584" s="144"/>
      <c r="H1584" s="129"/>
      <c r="I1584" s="144"/>
      <c r="J1584" s="144"/>
      <c r="K1584" s="144"/>
      <c r="L1584" s="146"/>
      <c r="M1584" s="142"/>
      <c r="N1584" s="144"/>
      <c r="O1584" s="142"/>
      <c r="P1584" s="142"/>
      <c r="Q1584" s="142"/>
      <c r="R1584" s="129"/>
      <c r="S1584" s="143"/>
      <c r="T1584" s="144"/>
      <c r="U1584" s="129"/>
      <c r="V1584" s="129"/>
    </row>
    <row r="1585" spans="1:22" x14ac:dyDescent="0.2">
      <c r="A1585" s="144"/>
      <c r="B1585" s="145"/>
      <c r="C1585" s="129"/>
      <c r="D1585" s="129"/>
      <c r="E1585" s="129"/>
      <c r="F1585" s="129"/>
      <c r="G1585" s="144"/>
      <c r="H1585" s="129"/>
      <c r="I1585" s="144"/>
      <c r="J1585" s="144"/>
      <c r="K1585" s="144"/>
      <c r="L1585" s="146"/>
      <c r="M1585" s="142"/>
      <c r="N1585" s="144"/>
      <c r="O1585" s="142"/>
      <c r="P1585" s="142"/>
      <c r="Q1585" s="142"/>
      <c r="R1585" s="129"/>
      <c r="S1585" s="143"/>
      <c r="T1585" s="144"/>
      <c r="U1585" s="129"/>
      <c r="V1585" s="129"/>
    </row>
    <row r="1586" spans="1:22" x14ac:dyDescent="0.2">
      <c r="A1586" s="144"/>
      <c r="B1586" s="145"/>
      <c r="C1586" s="129"/>
      <c r="D1586" s="129"/>
      <c r="E1586" s="129"/>
      <c r="F1586" s="129"/>
      <c r="G1586" s="144"/>
      <c r="H1586" s="129"/>
      <c r="I1586" s="144"/>
      <c r="J1586" s="144"/>
      <c r="K1586" s="144"/>
      <c r="L1586" s="146"/>
      <c r="M1586" s="142"/>
      <c r="N1586" s="144"/>
      <c r="O1586" s="142"/>
      <c r="P1586" s="142"/>
      <c r="Q1586" s="142"/>
      <c r="R1586" s="129"/>
      <c r="S1586" s="143"/>
      <c r="T1586" s="144"/>
      <c r="U1586" s="129"/>
      <c r="V1586" s="129"/>
    </row>
    <row r="1587" spans="1:22" x14ac:dyDescent="0.2">
      <c r="A1587" s="144"/>
      <c r="B1587" s="145"/>
      <c r="C1587" s="129"/>
      <c r="D1587" s="129"/>
      <c r="E1587" s="129"/>
      <c r="F1587" s="129"/>
      <c r="G1587" s="144"/>
      <c r="H1587" s="129"/>
      <c r="I1587" s="144"/>
      <c r="J1587" s="144"/>
      <c r="K1587" s="144"/>
      <c r="L1587" s="146"/>
      <c r="M1587" s="142"/>
      <c r="N1587" s="144"/>
      <c r="O1587" s="142"/>
      <c r="P1587" s="142"/>
      <c r="Q1587" s="142"/>
      <c r="R1587" s="129"/>
      <c r="S1587" s="143"/>
      <c r="T1587" s="144"/>
      <c r="U1587" s="129"/>
      <c r="V1587" s="129"/>
    </row>
    <row r="1588" spans="1:22" x14ac:dyDescent="0.2">
      <c r="A1588" s="144"/>
      <c r="B1588" s="145"/>
      <c r="C1588" s="129"/>
      <c r="D1588" s="129"/>
      <c r="E1588" s="129"/>
      <c r="F1588" s="129"/>
      <c r="G1588" s="144"/>
      <c r="H1588" s="129"/>
      <c r="I1588" s="144"/>
      <c r="J1588" s="144"/>
      <c r="K1588" s="144"/>
      <c r="L1588" s="146"/>
      <c r="M1588" s="142"/>
      <c r="N1588" s="144"/>
      <c r="O1588" s="142"/>
      <c r="P1588" s="142"/>
      <c r="Q1588" s="142"/>
      <c r="R1588" s="129"/>
      <c r="S1588" s="143"/>
      <c r="T1588" s="144"/>
      <c r="U1588" s="129"/>
      <c r="V1588" s="129"/>
    </row>
    <row r="1589" spans="1:22" x14ac:dyDescent="0.2">
      <c r="A1589" s="144"/>
      <c r="B1589" s="145"/>
      <c r="C1589" s="129"/>
      <c r="D1589" s="129"/>
      <c r="E1589" s="129"/>
      <c r="F1589" s="129"/>
      <c r="G1589" s="144"/>
      <c r="H1589" s="129"/>
      <c r="I1589" s="144"/>
      <c r="J1589" s="144"/>
      <c r="K1589" s="144"/>
      <c r="L1589" s="146"/>
      <c r="M1589" s="142"/>
      <c r="N1589" s="144"/>
      <c r="O1589" s="142"/>
      <c r="P1589" s="142"/>
      <c r="Q1589" s="142"/>
      <c r="R1589" s="129"/>
      <c r="S1589" s="143"/>
      <c r="T1589" s="144"/>
      <c r="U1589" s="129"/>
      <c r="V1589" s="129"/>
    </row>
    <row r="1590" spans="1:22" x14ac:dyDescent="0.2">
      <c r="A1590" s="144"/>
      <c r="B1590" s="145"/>
      <c r="C1590" s="129"/>
      <c r="D1590" s="129"/>
      <c r="E1590" s="129"/>
      <c r="F1590" s="129"/>
      <c r="G1590" s="144"/>
      <c r="H1590" s="129"/>
      <c r="I1590" s="144"/>
      <c r="J1590" s="144"/>
      <c r="K1590" s="144"/>
      <c r="L1590" s="146"/>
      <c r="M1590" s="142"/>
      <c r="N1590" s="144"/>
      <c r="O1590" s="142"/>
      <c r="P1590" s="142"/>
      <c r="Q1590" s="142"/>
      <c r="R1590" s="129"/>
      <c r="S1590" s="143"/>
      <c r="T1590" s="144"/>
      <c r="U1590" s="129"/>
      <c r="V1590" s="129"/>
    </row>
    <row r="1591" spans="1:22" x14ac:dyDescent="0.2">
      <c r="A1591" s="144"/>
      <c r="B1591" s="145"/>
      <c r="C1591" s="129"/>
      <c r="D1591" s="129"/>
      <c r="E1591" s="129"/>
      <c r="F1591" s="129"/>
      <c r="G1591" s="144"/>
      <c r="H1591" s="129"/>
      <c r="I1591" s="144"/>
      <c r="J1591" s="144"/>
      <c r="K1591" s="144"/>
      <c r="L1591" s="146"/>
      <c r="M1591" s="142"/>
      <c r="N1591" s="144"/>
      <c r="O1591" s="142"/>
      <c r="P1591" s="142"/>
      <c r="Q1591" s="142"/>
      <c r="R1591" s="129"/>
      <c r="S1591" s="143"/>
      <c r="T1591" s="144"/>
      <c r="U1591" s="129"/>
      <c r="V1591" s="129"/>
    </row>
    <row r="1592" spans="1:22" x14ac:dyDescent="0.2">
      <c r="A1592" s="144"/>
      <c r="B1592" s="145"/>
      <c r="C1592" s="129"/>
      <c r="D1592" s="129"/>
      <c r="E1592" s="129"/>
      <c r="F1592" s="129"/>
      <c r="G1592" s="144"/>
      <c r="H1592" s="129"/>
      <c r="I1592" s="144"/>
      <c r="J1592" s="144"/>
      <c r="K1592" s="144"/>
      <c r="L1592" s="146"/>
      <c r="M1592" s="142"/>
      <c r="N1592" s="144"/>
      <c r="O1592" s="142"/>
      <c r="P1592" s="142"/>
      <c r="Q1592" s="142"/>
      <c r="R1592" s="129"/>
      <c r="S1592" s="143"/>
      <c r="T1592" s="144"/>
      <c r="U1592" s="129"/>
      <c r="V1592" s="129"/>
    </row>
    <row r="1593" spans="1:22" x14ac:dyDescent="0.2">
      <c r="A1593" s="144"/>
      <c r="B1593" s="145"/>
      <c r="C1593" s="129"/>
      <c r="D1593" s="129"/>
      <c r="E1593" s="129"/>
      <c r="F1593" s="129"/>
      <c r="G1593" s="144"/>
      <c r="H1593" s="129"/>
      <c r="I1593" s="144"/>
      <c r="J1593" s="144"/>
      <c r="K1593" s="144"/>
      <c r="L1593" s="146"/>
      <c r="M1593" s="142"/>
      <c r="N1593" s="144"/>
      <c r="O1593" s="142"/>
      <c r="P1593" s="142"/>
      <c r="Q1593" s="142"/>
      <c r="R1593" s="129"/>
      <c r="S1593" s="143"/>
      <c r="T1593" s="144"/>
      <c r="U1593" s="129"/>
      <c r="V1593" s="129"/>
    </row>
    <row r="1594" spans="1:22" x14ac:dyDescent="0.2">
      <c r="A1594" s="144"/>
      <c r="B1594" s="145"/>
      <c r="C1594" s="129"/>
      <c r="D1594" s="129"/>
      <c r="E1594" s="129"/>
      <c r="F1594" s="129"/>
      <c r="G1594" s="144"/>
      <c r="H1594" s="129"/>
      <c r="I1594" s="144"/>
      <c r="J1594" s="144"/>
      <c r="K1594" s="144"/>
      <c r="L1594" s="146"/>
      <c r="M1594" s="142"/>
      <c r="N1594" s="144"/>
      <c r="O1594" s="142"/>
      <c r="P1594" s="142"/>
      <c r="Q1594" s="142"/>
      <c r="R1594" s="129"/>
      <c r="S1594" s="143"/>
      <c r="T1594" s="144"/>
      <c r="U1594" s="129"/>
      <c r="V1594" s="129"/>
    </row>
    <row r="1595" spans="1:22" x14ac:dyDescent="0.2">
      <c r="A1595" s="144"/>
      <c r="B1595" s="145"/>
      <c r="C1595" s="129"/>
      <c r="D1595" s="129"/>
      <c r="E1595" s="129"/>
      <c r="F1595" s="129"/>
      <c r="G1595" s="144"/>
      <c r="H1595" s="129"/>
      <c r="I1595" s="144"/>
      <c r="J1595" s="144"/>
      <c r="K1595" s="144"/>
      <c r="L1595" s="146"/>
      <c r="M1595" s="142"/>
      <c r="N1595" s="144"/>
      <c r="O1595" s="142"/>
      <c r="P1595" s="142"/>
      <c r="Q1595" s="142"/>
      <c r="R1595" s="129"/>
      <c r="S1595" s="143"/>
      <c r="T1595" s="144"/>
      <c r="U1595" s="129"/>
      <c r="V1595" s="129"/>
    </row>
    <row r="1596" spans="1:22" x14ac:dyDescent="0.2">
      <c r="A1596" s="144"/>
      <c r="B1596" s="145"/>
      <c r="C1596" s="129"/>
      <c r="D1596" s="129"/>
      <c r="E1596" s="129"/>
      <c r="F1596" s="129"/>
      <c r="G1596" s="144"/>
      <c r="H1596" s="129"/>
      <c r="I1596" s="144"/>
      <c r="J1596" s="144"/>
      <c r="K1596" s="144"/>
      <c r="L1596" s="146"/>
      <c r="M1596" s="142"/>
      <c r="N1596" s="144"/>
      <c r="O1596" s="142"/>
      <c r="P1596" s="142"/>
      <c r="Q1596" s="142"/>
      <c r="R1596" s="129"/>
      <c r="S1596" s="143"/>
      <c r="T1596" s="144"/>
      <c r="U1596" s="129"/>
      <c r="V1596" s="129"/>
    </row>
    <row r="1597" spans="1:22" x14ac:dyDescent="0.2">
      <c r="A1597" s="144"/>
      <c r="B1597" s="145"/>
      <c r="C1597" s="129"/>
      <c r="D1597" s="129"/>
      <c r="E1597" s="129"/>
      <c r="F1597" s="129"/>
      <c r="G1597" s="144"/>
      <c r="H1597" s="129"/>
      <c r="I1597" s="144"/>
      <c r="J1597" s="144"/>
      <c r="K1597" s="144"/>
      <c r="L1597" s="146"/>
      <c r="M1597" s="142"/>
      <c r="N1597" s="144"/>
      <c r="O1597" s="142"/>
      <c r="P1597" s="142"/>
      <c r="Q1597" s="142"/>
      <c r="R1597" s="129"/>
      <c r="S1597" s="143"/>
      <c r="T1597" s="144"/>
      <c r="U1597" s="129"/>
      <c r="V1597" s="129"/>
    </row>
    <row r="1598" spans="1:22" x14ac:dyDescent="0.2">
      <c r="A1598" s="144"/>
      <c r="B1598" s="145"/>
      <c r="C1598" s="129"/>
      <c r="D1598" s="129"/>
      <c r="E1598" s="129"/>
      <c r="F1598" s="129"/>
      <c r="G1598" s="144"/>
      <c r="H1598" s="129"/>
      <c r="I1598" s="144"/>
      <c r="J1598" s="144"/>
      <c r="K1598" s="144"/>
      <c r="L1598" s="146"/>
      <c r="M1598" s="142"/>
      <c r="N1598" s="144"/>
      <c r="O1598" s="142"/>
      <c r="P1598" s="142"/>
      <c r="Q1598" s="142"/>
      <c r="R1598" s="129"/>
      <c r="S1598" s="143"/>
      <c r="T1598" s="144"/>
      <c r="U1598" s="129"/>
      <c r="V1598" s="129"/>
    </row>
    <row r="1599" spans="1:22" x14ac:dyDescent="0.2">
      <c r="A1599" s="144"/>
      <c r="B1599" s="145"/>
      <c r="C1599" s="129"/>
      <c r="D1599" s="129"/>
      <c r="E1599" s="129"/>
      <c r="F1599" s="129"/>
      <c r="G1599" s="144"/>
      <c r="H1599" s="129"/>
      <c r="I1599" s="144"/>
      <c r="J1599" s="144"/>
      <c r="K1599" s="144"/>
      <c r="L1599" s="146"/>
      <c r="M1599" s="142"/>
      <c r="N1599" s="144"/>
      <c r="O1599" s="142"/>
      <c r="P1599" s="142"/>
      <c r="Q1599" s="142"/>
      <c r="R1599" s="129"/>
      <c r="S1599" s="143"/>
      <c r="T1599" s="144"/>
      <c r="U1599" s="129"/>
      <c r="V1599" s="129"/>
    </row>
    <row r="1600" spans="1:22" x14ac:dyDescent="0.2">
      <c r="A1600" s="144"/>
      <c r="B1600" s="145"/>
      <c r="C1600" s="129"/>
      <c r="D1600" s="129"/>
      <c r="E1600" s="129"/>
      <c r="F1600" s="129"/>
      <c r="G1600" s="144"/>
      <c r="H1600" s="129"/>
      <c r="I1600" s="144"/>
      <c r="J1600" s="144"/>
      <c r="K1600" s="144"/>
      <c r="L1600" s="146"/>
      <c r="M1600" s="142"/>
      <c r="N1600" s="144"/>
      <c r="O1600" s="142"/>
      <c r="P1600" s="142"/>
      <c r="Q1600" s="142"/>
      <c r="R1600" s="129"/>
      <c r="S1600" s="143"/>
      <c r="T1600" s="144"/>
      <c r="U1600" s="129"/>
      <c r="V1600" s="129"/>
    </row>
    <row r="1601" spans="1:22" x14ac:dyDescent="0.2">
      <c r="A1601" s="144"/>
      <c r="B1601" s="145"/>
      <c r="C1601" s="129"/>
      <c r="D1601" s="129"/>
      <c r="E1601" s="129"/>
      <c r="F1601" s="129"/>
      <c r="G1601" s="144"/>
      <c r="H1601" s="129"/>
      <c r="I1601" s="144"/>
      <c r="J1601" s="144"/>
      <c r="K1601" s="144"/>
      <c r="L1601" s="146"/>
      <c r="M1601" s="142"/>
      <c r="N1601" s="144"/>
      <c r="O1601" s="142"/>
      <c r="P1601" s="142"/>
      <c r="Q1601" s="142"/>
      <c r="R1601" s="129"/>
      <c r="S1601" s="143"/>
      <c r="T1601" s="144"/>
      <c r="U1601" s="129"/>
      <c r="V1601" s="129"/>
    </row>
    <row r="1602" spans="1:22" x14ac:dyDescent="0.2">
      <c r="A1602" s="144"/>
      <c r="B1602" s="145"/>
      <c r="C1602" s="129"/>
      <c r="D1602" s="129"/>
      <c r="E1602" s="129"/>
      <c r="F1602" s="129"/>
      <c r="G1602" s="144"/>
      <c r="H1602" s="129"/>
      <c r="I1602" s="144"/>
      <c r="J1602" s="144"/>
      <c r="K1602" s="144"/>
      <c r="L1602" s="146"/>
      <c r="M1602" s="142"/>
      <c r="N1602" s="144"/>
      <c r="O1602" s="142"/>
      <c r="P1602" s="142"/>
      <c r="Q1602" s="142"/>
      <c r="R1602" s="129"/>
      <c r="S1602" s="143"/>
      <c r="T1602" s="144"/>
      <c r="U1602" s="129"/>
      <c r="V1602" s="129"/>
    </row>
    <row r="1603" spans="1:22" x14ac:dyDescent="0.2">
      <c r="A1603" s="144"/>
      <c r="B1603" s="145"/>
      <c r="C1603" s="129"/>
      <c r="D1603" s="129"/>
      <c r="E1603" s="129"/>
      <c r="F1603" s="129"/>
      <c r="G1603" s="144"/>
      <c r="H1603" s="129"/>
      <c r="I1603" s="144"/>
      <c r="J1603" s="144"/>
      <c r="K1603" s="144"/>
      <c r="L1603" s="146"/>
      <c r="M1603" s="142"/>
      <c r="N1603" s="144"/>
      <c r="O1603" s="142"/>
      <c r="P1603" s="142"/>
      <c r="Q1603" s="142"/>
      <c r="R1603" s="129"/>
      <c r="S1603" s="143"/>
      <c r="T1603" s="144"/>
      <c r="U1603" s="129"/>
      <c r="V1603" s="129"/>
    </row>
    <row r="1604" spans="1:22" x14ac:dyDescent="0.2">
      <c r="A1604" s="144"/>
      <c r="B1604" s="145"/>
      <c r="C1604" s="129"/>
      <c r="D1604" s="129"/>
      <c r="E1604" s="129"/>
      <c r="F1604" s="129"/>
      <c r="G1604" s="144"/>
      <c r="H1604" s="129"/>
      <c r="I1604" s="144"/>
      <c r="J1604" s="144"/>
      <c r="K1604" s="144"/>
      <c r="L1604" s="146"/>
      <c r="M1604" s="142"/>
      <c r="N1604" s="144"/>
      <c r="O1604" s="142"/>
      <c r="P1604" s="142"/>
      <c r="Q1604" s="142"/>
      <c r="R1604" s="129"/>
      <c r="S1604" s="143"/>
      <c r="T1604" s="144"/>
      <c r="U1604" s="129"/>
      <c r="V1604" s="129"/>
    </row>
    <row r="1605" spans="1:22" x14ac:dyDescent="0.2">
      <c r="A1605" s="144"/>
      <c r="B1605" s="145"/>
      <c r="C1605" s="129"/>
      <c r="D1605" s="129"/>
      <c r="E1605" s="129"/>
      <c r="F1605" s="129"/>
      <c r="G1605" s="144"/>
      <c r="H1605" s="129"/>
      <c r="I1605" s="144"/>
      <c r="J1605" s="144"/>
      <c r="K1605" s="144"/>
      <c r="L1605" s="146"/>
      <c r="M1605" s="142"/>
      <c r="N1605" s="144"/>
      <c r="O1605" s="142"/>
      <c r="P1605" s="142"/>
      <c r="Q1605" s="142"/>
      <c r="R1605" s="129"/>
      <c r="S1605" s="143"/>
      <c r="T1605" s="144"/>
      <c r="U1605" s="129"/>
      <c r="V1605" s="129"/>
    </row>
    <row r="1606" spans="1:22" x14ac:dyDescent="0.2">
      <c r="A1606" s="144"/>
      <c r="B1606" s="145"/>
      <c r="C1606" s="129"/>
      <c r="D1606" s="129"/>
      <c r="E1606" s="129"/>
      <c r="F1606" s="129"/>
      <c r="G1606" s="144"/>
      <c r="H1606" s="129"/>
      <c r="I1606" s="144"/>
      <c r="J1606" s="144"/>
      <c r="K1606" s="144"/>
      <c r="L1606" s="146"/>
      <c r="M1606" s="142"/>
      <c r="N1606" s="144"/>
      <c r="O1606" s="142"/>
      <c r="P1606" s="142"/>
      <c r="Q1606" s="142"/>
      <c r="R1606" s="129"/>
      <c r="S1606" s="143"/>
      <c r="T1606" s="144"/>
      <c r="U1606" s="129"/>
      <c r="V1606" s="129"/>
    </row>
    <row r="1607" spans="1:22" x14ac:dyDescent="0.2">
      <c r="A1607" s="144"/>
      <c r="B1607" s="145"/>
      <c r="C1607" s="129"/>
      <c r="D1607" s="129"/>
      <c r="E1607" s="129"/>
      <c r="F1607" s="129"/>
      <c r="G1607" s="144"/>
      <c r="H1607" s="129"/>
      <c r="I1607" s="144"/>
      <c r="J1607" s="144"/>
      <c r="K1607" s="144"/>
      <c r="L1607" s="146"/>
      <c r="M1607" s="142"/>
      <c r="N1607" s="144"/>
      <c r="O1607" s="142"/>
      <c r="P1607" s="142"/>
      <c r="Q1607" s="142"/>
      <c r="R1607" s="129"/>
      <c r="S1607" s="143"/>
      <c r="T1607" s="144"/>
      <c r="U1607" s="129"/>
      <c r="V1607" s="129"/>
    </row>
    <row r="1608" spans="1:22" x14ac:dyDescent="0.2">
      <c r="A1608" s="144"/>
      <c r="B1608" s="145"/>
      <c r="C1608" s="129"/>
      <c r="D1608" s="129"/>
      <c r="E1608" s="129"/>
      <c r="F1608" s="129"/>
      <c r="G1608" s="144"/>
      <c r="H1608" s="129"/>
      <c r="I1608" s="144"/>
      <c r="J1608" s="144"/>
      <c r="K1608" s="144"/>
      <c r="L1608" s="146"/>
      <c r="M1608" s="142"/>
      <c r="N1608" s="144"/>
      <c r="O1608" s="142"/>
      <c r="P1608" s="142"/>
      <c r="Q1608" s="142"/>
      <c r="R1608" s="129"/>
      <c r="S1608" s="143"/>
      <c r="T1608" s="144"/>
      <c r="U1608" s="129"/>
      <c r="V1608" s="129"/>
    </row>
    <row r="1609" spans="1:22" x14ac:dyDescent="0.2">
      <c r="A1609" s="144"/>
      <c r="B1609" s="145"/>
      <c r="C1609" s="129"/>
      <c r="D1609" s="129"/>
      <c r="E1609" s="129"/>
      <c r="F1609" s="129"/>
      <c r="G1609" s="144"/>
      <c r="H1609" s="129"/>
      <c r="I1609" s="144"/>
      <c r="J1609" s="144"/>
      <c r="K1609" s="144"/>
      <c r="L1609" s="146"/>
      <c r="M1609" s="142"/>
      <c r="N1609" s="144"/>
      <c r="O1609" s="142"/>
      <c r="P1609" s="142"/>
      <c r="Q1609" s="142"/>
      <c r="R1609" s="129"/>
      <c r="S1609" s="143"/>
      <c r="T1609" s="144"/>
      <c r="U1609" s="129"/>
      <c r="V1609" s="129"/>
    </row>
    <row r="1610" spans="1:22" x14ac:dyDescent="0.2">
      <c r="A1610" s="144"/>
      <c r="B1610" s="145"/>
      <c r="C1610" s="129"/>
      <c r="D1610" s="129"/>
      <c r="E1610" s="129"/>
      <c r="F1610" s="129"/>
      <c r="G1610" s="144"/>
      <c r="H1610" s="129"/>
      <c r="I1610" s="144"/>
      <c r="J1610" s="144"/>
      <c r="K1610" s="144"/>
      <c r="L1610" s="146"/>
      <c r="M1610" s="142"/>
      <c r="N1610" s="144"/>
      <c r="O1610" s="142"/>
      <c r="P1610" s="142"/>
      <c r="Q1610" s="142"/>
      <c r="R1610" s="129"/>
      <c r="S1610" s="143"/>
      <c r="T1610" s="144"/>
      <c r="U1610" s="129"/>
      <c r="V1610" s="129"/>
    </row>
    <row r="1611" spans="1:22" x14ac:dyDescent="0.2">
      <c r="A1611" s="144"/>
      <c r="B1611" s="145"/>
      <c r="C1611" s="129"/>
      <c r="D1611" s="129"/>
      <c r="E1611" s="129"/>
      <c r="F1611" s="129"/>
      <c r="G1611" s="144"/>
      <c r="H1611" s="129"/>
      <c r="I1611" s="144"/>
      <c r="J1611" s="144"/>
      <c r="K1611" s="144"/>
      <c r="L1611" s="146"/>
      <c r="M1611" s="142"/>
      <c r="N1611" s="144"/>
      <c r="O1611" s="142"/>
      <c r="P1611" s="142"/>
      <c r="Q1611" s="142"/>
      <c r="R1611" s="129"/>
      <c r="S1611" s="143"/>
      <c r="T1611" s="144"/>
      <c r="U1611" s="129"/>
      <c r="V1611" s="129"/>
    </row>
    <row r="1612" spans="1:22" x14ac:dyDescent="0.2">
      <c r="A1612" s="144"/>
      <c r="B1612" s="145"/>
      <c r="C1612" s="129"/>
      <c r="D1612" s="129"/>
      <c r="E1612" s="129"/>
      <c r="F1612" s="129"/>
      <c r="G1612" s="144"/>
      <c r="H1612" s="129"/>
      <c r="I1612" s="144"/>
      <c r="J1612" s="144"/>
      <c r="K1612" s="144"/>
      <c r="L1612" s="146"/>
      <c r="M1612" s="142"/>
      <c r="N1612" s="144"/>
      <c r="O1612" s="142"/>
      <c r="P1612" s="142"/>
      <c r="Q1612" s="142"/>
      <c r="R1612" s="129"/>
      <c r="S1612" s="143"/>
      <c r="T1612" s="144"/>
      <c r="U1612" s="129"/>
      <c r="V1612" s="129"/>
    </row>
    <row r="1613" spans="1:22" x14ac:dyDescent="0.2">
      <c r="A1613" s="144"/>
      <c r="B1613" s="145"/>
      <c r="C1613" s="129"/>
      <c r="D1613" s="129"/>
      <c r="E1613" s="129"/>
      <c r="F1613" s="129"/>
      <c r="G1613" s="144"/>
      <c r="H1613" s="129"/>
      <c r="I1613" s="144"/>
      <c r="J1613" s="144"/>
      <c r="K1613" s="144"/>
      <c r="L1613" s="146"/>
      <c r="M1613" s="142"/>
      <c r="N1613" s="144"/>
      <c r="O1613" s="142"/>
      <c r="P1613" s="142"/>
      <c r="Q1613" s="142"/>
      <c r="R1613" s="129"/>
      <c r="S1613" s="143"/>
      <c r="T1613" s="144"/>
      <c r="U1613" s="129"/>
      <c r="V1613" s="129"/>
    </row>
    <row r="1614" spans="1:22" x14ac:dyDescent="0.2">
      <c r="A1614" s="144"/>
      <c r="B1614" s="145"/>
      <c r="C1614" s="129"/>
      <c r="D1614" s="129"/>
      <c r="E1614" s="129"/>
      <c r="F1614" s="129"/>
      <c r="G1614" s="144"/>
      <c r="H1614" s="129"/>
      <c r="I1614" s="144"/>
      <c r="J1614" s="144"/>
      <c r="K1614" s="144"/>
      <c r="L1614" s="146"/>
      <c r="M1614" s="142"/>
      <c r="N1614" s="144"/>
      <c r="O1614" s="142"/>
      <c r="P1614" s="142"/>
      <c r="Q1614" s="142"/>
      <c r="R1614" s="129"/>
      <c r="S1614" s="143"/>
      <c r="T1614" s="144"/>
      <c r="U1614" s="129"/>
      <c r="V1614" s="129"/>
    </row>
    <row r="1615" spans="1:22" x14ac:dyDescent="0.2">
      <c r="A1615" s="144"/>
      <c r="B1615" s="145"/>
      <c r="C1615" s="129"/>
      <c r="D1615" s="129"/>
      <c r="E1615" s="129"/>
      <c r="F1615" s="129"/>
      <c r="G1615" s="144"/>
      <c r="H1615" s="129"/>
      <c r="I1615" s="144"/>
      <c r="J1615" s="144"/>
      <c r="K1615" s="144"/>
      <c r="L1615" s="146"/>
      <c r="M1615" s="142"/>
      <c r="N1615" s="144"/>
      <c r="O1615" s="142"/>
      <c r="P1615" s="142"/>
      <c r="Q1615" s="142"/>
      <c r="R1615" s="129"/>
      <c r="S1615" s="143"/>
      <c r="T1615" s="144"/>
      <c r="U1615" s="129"/>
      <c r="V1615" s="129"/>
    </row>
    <row r="1616" spans="1:22" x14ac:dyDescent="0.2">
      <c r="A1616" s="144"/>
      <c r="B1616" s="145"/>
      <c r="C1616" s="129"/>
      <c r="D1616" s="129"/>
      <c r="E1616" s="129"/>
      <c r="F1616" s="129"/>
      <c r="G1616" s="144"/>
      <c r="H1616" s="129"/>
      <c r="I1616" s="144"/>
      <c r="J1616" s="144"/>
      <c r="K1616" s="144"/>
      <c r="L1616" s="146"/>
      <c r="M1616" s="142"/>
      <c r="N1616" s="144"/>
      <c r="O1616" s="142"/>
      <c r="P1616" s="142"/>
      <c r="Q1616" s="142"/>
      <c r="R1616" s="129"/>
      <c r="S1616" s="143"/>
      <c r="T1616" s="144"/>
      <c r="U1616" s="129"/>
      <c r="V1616" s="129"/>
    </row>
    <row r="1617" spans="1:22" x14ac:dyDescent="0.2">
      <c r="A1617" s="144"/>
      <c r="B1617" s="145"/>
      <c r="C1617" s="129"/>
      <c r="D1617" s="129"/>
      <c r="E1617" s="129"/>
      <c r="F1617" s="129"/>
      <c r="G1617" s="144"/>
      <c r="H1617" s="129"/>
      <c r="I1617" s="144"/>
      <c r="J1617" s="144"/>
      <c r="K1617" s="144"/>
      <c r="L1617" s="146"/>
      <c r="M1617" s="142"/>
      <c r="N1617" s="144"/>
      <c r="O1617" s="142"/>
      <c r="P1617" s="142"/>
      <c r="Q1617" s="142"/>
      <c r="R1617" s="129"/>
      <c r="S1617" s="143"/>
      <c r="T1617" s="144"/>
      <c r="U1617" s="129"/>
      <c r="V1617" s="129"/>
    </row>
    <row r="1618" spans="1:22" x14ac:dyDescent="0.2">
      <c r="A1618" s="144"/>
      <c r="B1618" s="145"/>
      <c r="C1618" s="129"/>
      <c r="D1618" s="129"/>
      <c r="E1618" s="129"/>
      <c r="F1618" s="129"/>
      <c r="G1618" s="144"/>
      <c r="H1618" s="129"/>
      <c r="I1618" s="144"/>
      <c r="J1618" s="144"/>
      <c r="K1618" s="144"/>
      <c r="L1618" s="146"/>
      <c r="M1618" s="142"/>
      <c r="N1618" s="144"/>
      <c r="O1618" s="142"/>
      <c r="P1618" s="142"/>
      <c r="Q1618" s="142"/>
      <c r="R1618" s="129"/>
      <c r="S1618" s="143"/>
      <c r="T1618" s="144"/>
      <c r="U1618" s="129"/>
      <c r="V1618" s="129"/>
    </row>
    <row r="1619" spans="1:22" x14ac:dyDescent="0.2">
      <c r="A1619" s="144"/>
      <c r="B1619" s="145"/>
      <c r="C1619" s="129"/>
      <c r="D1619" s="129"/>
      <c r="E1619" s="129"/>
      <c r="F1619" s="129"/>
      <c r="G1619" s="144"/>
      <c r="H1619" s="129"/>
      <c r="I1619" s="144"/>
      <c r="J1619" s="144"/>
      <c r="K1619" s="144"/>
      <c r="L1619" s="146"/>
      <c r="M1619" s="142"/>
      <c r="N1619" s="144"/>
      <c r="O1619" s="142"/>
      <c r="P1619" s="142"/>
      <c r="Q1619" s="142"/>
      <c r="R1619" s="129"/>
      <c r="S1619" s="143"/>
      <c r="T1619" s="144"/>
      <c r="U1619" s="129"/>
      <c r="V1619" s="129"/>
    </row>
    <row r="1620" spans="1:22" x14ac:dyDescent="0.2">
      <c r="A1620" s="144"/>
      <c r="B1620" s="145"/>
      <c r="C1620" s="129"/>
      <c r="D1620" s="129"/>
      <c r="E1620" s="129"/>
      <c r="F1620" s="129"/>
      <c r="G1620" s="144"/>
      <c r="H1620" s="129"/>
      <c r="I1620" s="144"/>
      <c r="J1620" s="144"/>
      <c r="K1620" s="144"/>
      <c r="L1620" s="146"/>
      <c r="M1620" s="142"/>
      <c r="N1620" s="144"/>
      <c r="O1620" s="142"/>
      <c r="P1620" s="142"/>
      <c r="Q1620" s="142"/>
      <c r="R1620" s="129"/>
      <c r="S1620" s="143"/>
      <c r="T1620" s="144"/>
      <c r="U1620" s="129"/>
      <c r="V1620" s="129"/>
    </row>
    <row r="1621" spans="1:22" x14ac:dyDescent="0.2">
      <c r="A1621" s="144"/>
      <c r="B1621" s="145"/>
      <c r="C1621" s="129"/>
      <c r="D1621" s="129"/>
      <c r="E1621" s="129"/>
      <c r="F1621" s="129"/>
      <c r="G1621" s="144"/>
      <c r="H1621" s="129"/>
      <c r="I1621" s="144"/>
      <c r="J1621" s="144"/>
      <c r="K1621" s="144"/>
      <c r="L1621" s="146"/>
      <c r="M1621" s="142"/>
      <c r="N1621" s="144"/>
      <c r="O1621" s="142"/>
      <c r="P1621" s="142"/>
      <c r="Q1621" s="142"/>
      <c r="R1621" s="129"/>
      <c r="S1621" s="143"/>
      <c r="T1621" s="144"/>
      <c r="U1621" s="129"/>
      <c r="V1621" s="129"/>
    </row>
    <row r="1622" spans="1:22" x14ac:dyDescent="0.2">
      <c r="A1622" s="144"/>
      <c r="B1622" s="145"/>
      <c r="C1622" s="129"/>
      <c r="D1622" s="129"/>
      <c r="E1622" s="129"/>
      <c r="F1622" s="129"/>
      <c r="G1622" s="144"/>
      <c r="H1622" s="129"/>
      <c r="I1622" s="144"/>
      <c r="J1622" s="144"/>
      <c r="K1622" s="144"/>
      <c r="L1622" s="146"/>
      <c r="M1622" s="142"/>
      <c r="N1622" s="144"/>
      <c r="O1622" s="142"/>
      <c r="P1622" s="142"/>
      <c r="Q1622" s="142"/>
      <c r="R1622" s="129"/>
      <c r="S1622" s="143"/>
      <c r="T1622" s="144"/>
      <c r="U1622" s="129"/>
      <c r="V1622" s="129"/>
    </row>
    <row r="1623" spans="1:22" x14ac:dyDescent="0.2">
      <c r="A1623" s="144"/>
      <c r="B1623" s="145"/>
      <c r="C1623" s="129"/>
      <c r="D1623" s="129"/>
      <c r="E1623" s="129"/>
      <c r="F1623" s="129"/>
      <c r="G1623" s="144"/>
      <c r="H1623" s="129"/>
      <c r="I1623" s="144"/>
      <c r="J1623" s="144"/>
      <c r="K1623" s="144"/>
      <c r="L1623" s="146"/>
      <c r="M1623" s="142"/>
      <c r="N1623" s="144"/>
      <c r="O1623" s="142"/>
      <c r="P1623" s="142"/>
      <c r="Q1623" s="142"/>
      <c r="R1623" s="129"/>
      <c r="S1623" s="143"/>
      <c r="T1623" s="144"/>
      <c r="U1623" s="129"/>
      <c r="V1623" s="129"/>
    </row>
    <row r="1624" spans="1:22" x14ac:dyDescent="0.2">
      <c r="A1624" s="144"/>
      <c r="B1624" s="145"/>
      <c r="C1624" s="129"/>
      <c r="D1624" s="129"/>
      <c r="E1624" s="129"/>
      <c r="F1624" s="129"/>
      <c r="G1624" s="144"/>
      <c r="H1624" s="129"/>
      <c r="I1624" s="144"/>
      <c r="J1624" s="144"/>
      <c r="K1624" s="144"/>
      <c r="L1624" s="146"/>
      <c r="M1624" s="142"/>
      <c r="N1624" s="144"/>
      <c r="O1624" s="142"/>
      <c r="P1624" s="142"/>
      <c r="Q1624" s="142"/>
      <c r="R1624" s="129"/>
      <c r="S1624" s="143"/>
      <c r="T1624" s="144"/>
      <c r="U1624" s="129"/>
      <c r="V1624" s="129"/>
    </row>
    <row r="1625" spans="1:22" x14ac:dyDescent="0.2">
      <c r="A1625" s="144"/>
      <c r="B1625" s="145"/>
      <c r="C1625" s="129"/>
      <c r="D1625" s="129"/>
      <c r="E1625" s="129"/>
      <c r="F1625" s="129"/>
      <c r="G1625" s="144"/>
      <c r="H1625" s="129"/>
      <c r="I1625" s="144"/>
      <c r="J1625" s="144"/>
      <c r="K1625" s="144"/>
      <c r="L1625" s="146"/>
      <c r="M1625" s="142"/>
      <c r="N1625" s="144"/>
      <c r="O1625" s="142"/>
      <c r="P1625" s="142"/>
      <c r="Q1625" s="142"/>
      <c r="R1625" s="129"/>
      <c r="S1625" s="143"/>
      <c r="T1625" s="144"/>
      <c r="U1625" s="129"/>
      <c r="V1625" s="129"/>
    </row>
    <row r="1626" spans="1:22" x14ac:dyDescent="0.2">
      <c r="A1626" s="144"/>
      <c r="B1626" s="145"/>
      <c r="C1626" s="129"/>
      <c r="D1626" s="129"/>
      <c r="E1626" s="129"/>
      <c r="F1626" s="129"/>
      <c r="G1626" s="144"/>
      <c r="H1626" s="129"/>
      <c r="I1626" s="144"/>
      <c r="J1626" s="144"/>
      <c r="K1626" s="144"/>
      <c r="L1626" s="146"/>
      <c r="M1626" s="142"/>
      <c r="N1626" s="144"/>
      <c r="O1626" s="142"/>
      <c r="P1626" s="142"/>
      <c r="Q1626" s="142"/>
      <c r="R1626" s="129"/>
      <c r="S1626" s="143"/>
      <c r="T1626" s="144"/>
      <c r="U1626" s="129"/>
      <c r="V1626" s="129"/>
    </row>
    <row r="1627" spans="1:22" x14ac:dyDescent="0.2">
      <c r="A1627" s="144"/>
      <c r="B1627" s="145"/>
      <c r="C1627" s="129"/>
      <c r="D1627" s="129"/>
      <c r="E1627" s="129"/>
      <c r="F1627" s="129"/>
      <c r="G1627" s="144"/>
      <c r="H1627" s="129"/>
      <c r="I1627" s="144"/>
      <c r="J1627" s="144"/>
      <c r="K1627" s="144"/>
      <c r="L1627" s="146"/>
      <c r="M1627" s="142"/>
      <c r="N1627" s="144"/>
      <c r="O1627" s="142"/>
      <c r="P1627" s="142"/>
      <c r="Q1627" s="142"/>
      <c r="R1627" s="129"/>
      <c r="S1627" s="143"/>
      <c r="T1627" s="144"/>
      <c r="U1627" s="129"/>
      <c r="V1627" s="129"/>
    </row>
    <row r="1628" spans="1:22" x14ac:dyDescent="0.2">
      <c r="A1628" s="144"/>
      <c r="B1628" s="145"/>
      <c r="C1628" s="129"/>
      <c r="D1628" s="129"/>
      <c r="E1628" s="129"/>
      <c r="F1628" s="129"/>
      <c r="G1628" s="144"/>
      <c r="H1628" s="129"/>
      <c r="I1628" s="144"/>
      <c r="J1628" s="144"/>
      <c r="K1628" s="144"/>
      <c r="L1628" s="146"/>
      <c r="M1628" s="142"/>
      <c r="N1628" s="144"/>
      <c r="O1628" s="142"/>
      <c r="P1628" s="142"/>
      <c r="Q1628" s="142"/>
      <c r="R1628" s="129"/>
      <c r="S1628" s="143"/>
      <c r="T1628" s="144"/>
      <c r="U1628" s="129"/>
      <c r="V1628" s="129"/>
    </row>
    <row r="1629" spans="1:22" x14ac:dyDescent="0.2">
      <c r="A1629" s="144"/>
      <c r="B1629" s="145"/>
      <c r="C1629" s="129"/>
      <c r="D1629" s="129"/>
      <c r="E1629" s="129"/>
      <c r="F1629" s="129"/>
      <c r="G1629" s="144"/>
      <c r="H1629" s="129"/>
      <c r="I1629" s="144"/>
      <c r="J1629" s="144"/>
      <c r="K1629" s="144"/>
      <c r="L1629" s="146"/>
      <c r="M1629" s="142"/>
      <c r="N1629" s="144"/>
      <c r="O1629" s="142"/>
      <c r="P1629" s="142"/>
      <c r="Q1629" s="142"/>
      <c r="R1629" s="129"/>
      <c r="S1629" s="143"/>
      <c r="T1629" s="144"/>
      <c r="U1629" s="129"/>
      <c r="V1629" s="129"/>
    </row>
    <row r="1630" spans="1:22" x14ac:dyDescent="0.2">
      <c r="A1630" s="144"/>
      <c r="B1630" s="145"/>
      <c r="C1630" s="129"/>
      <c r="D1630" s="129"/>
      <c r="E1630" s="129"/>
      <c r="F1630" s="129"/>
      <c r="G1630" s="144"/>
      <c r="H1630" s="129"/>
      <c r="I1630" s="144"/>
      <c r="J1630" s="144"/>
      <c r="K1630" s="144"/>
      <c r="L1630" s="146"/>
      <c r="M1630" s="142"/>
      <c r="N1630" s="144"/>
      <c r="O1630" s="142"/>
      <c r="P1630" s="142"/>
      <c r="Q1630" s="142"/>
      <c r="R1630" s="129"/>
      <c r="S1630" s="143"/>
      <c r="T1630" s="144"/>
      <c r="U1630" s="129"/>
      <c r="V1630" s="129"/>
    </row>
    <row r="1631" spans="1:22" x14ac:dyDescent="0.2">
      <c r="A1631" s="144"/>
      <c r="B1631" s="145"/>
      <c r="C1631" s="129"/>
      <c r="D1631" s="129"/>
      <c r="E1631" s="129"/>
      <c r="F1631" s="129"/>
      <c r="G1631" s="144"/>
      <c r="H1631" s="129"/>
      <c r="I1631" s="144"/>
      <c r="J1631" s="144"/>
      <c r="K1631" s="144"/>
      <c r="L1631" s="146"/>
      <c r="M1631" s="142"/>
      <c r="N1631" s="144"/>
      <c r="O1631" s="142"/>
      <c r="P1631" s="142"/>
      <c r="Q1631" s="142"/>
      <c r="R1631" s="129"/>
      <c r="S1631" s="143"/>
      <c r="T1631" s="144"/>
      <c r="U1631" s="129"/>
      <c r="V1631" s="129"/>
    </row>
    <row r="1632" spans="1:22" x14ac:dyDescent="0.2">
      <c r="A1632" s="144"/>
      <c r="B1632" s="145"/>
      <c r="C1632" s="129"/>
      <c r="D1632" s="129"/>
      <c r="E1632" s="129"/>
      <c r="F1632" s="129"/>
      <c r="G1632" s="144"/>
      <c r="H1632" s="129"/>
      <c r="I1632" s="144"/>
      <c r="J1632" s="144"/>
      <c r="K1632" s="144"/>
      <c r="L1632" s="146"/>
      <c r="M1632" s="142"/>
      <c r="N1632" s="144"/>
      <c r="O1632" s="142"/>
      <c r="P1632" s="142"/>
      <c r="Q1632" s="142"/>
      <c r="R1632" s="129"/>
      <c r="S1632" s="143"/>
      <c r="T1632" s="144"/>
      <c r="U1632" s="129"/>
      <c r="V1632" s="129"/>
    </row>
    <row r="1633" spans="1:22" x14ac:dyDescent="0.2">
      <c r="A1633" s="144"/>
      <c r="B1633" s="145"/>
      <c r="C1633" s="129"/>
      <c r="D1633" s="129"/>
      <c r="E1633" s="129"/>
      <c r="F1633" s="129"/>
      <c r="G1633" s="144"/>
      <c r="H1633" s="129"/>
      <c r="I1633" s="144"/>
      <c r="J1633" s="144"/>
      <c r="K1633" s="144"/>
      <c r="L1633" s="146"/>
      <c r="M1633" s="142"/>
      <c r="N1633" s="144"/>
      <c r="O1633" s="142"/>
      <c r="P1633" s="142"/>
      <c r="Q1633" s="142"/>
      <c r="R1633" s="129"/>
      <c r="S1633" s="143"/>
      <c r="T1633" s="144"/>
      <c r="U1633" s="129"/>
      <c r="V1633" s="129"/>
    </row>
    <row r="1634" spans="1:22" x14ac:dyDescent="0.2">
      <c r="A1634" s="144"/>
      <c r="B1634" s="145"/>
      <c r="C1634" s="129"/>
      <c r="D1634" s="129"/>
      <c r="E1634" s="129"/>
      <c r="F1634" s="129"/>
      <c r="G1634" s="144"/>
      <c r="H1634" s="129"/>
      <c r="I1634" s="144"/>
      <c r="J1634" s="144"/>
      <c r="K1634" s="144"/>
      <c r="L1634" s="146"/>
      <c r="M1634" s="142"/>
      <c r="N1634" s="144"/>
      <c r="O1634" s="142"/>
      <c r="P1634" s="142"/>
      <c r="Q1634" s="142"/>
      <c r="R1634" s="129"/>
      <c r="S1634" s="143"/>
      <c r="T1634" s="144"/>
      <c r="U1634" s="129"/>
      <c r="V1634" s="129"/>
    </row>
    <row r="1635" spans="1:22" x14ac:dyDescent="0.2">
      <c r="A1635" s="144"/>
      <c r="B1635" s="145"/>
      <c r="C1635" s="129"/>
      <c r="D1635" s="129"/>
      <c r="E1635" s="129"/>
      <c r="F1635" s="129"/>
      <c r="G1635" s="144"/>
      <c r="H1635" s="129"/>
      <c r="I1635" s="144"/>
      <c r="J1635" s="144"/>
      <c r="K1635" s="144"/>
      <c r="L1635" s="146"/>
      <c r="M1635" s="142"/>
      <c r="N1635" s="144"/>
      <c r="O1635" s="142"/>
      <c r="P1635" s="142"/>
      <c r="Q1635" s="142"/>
      <c r="R1635" s="129"/>
      <c r="S1635" s="143"/>
      <c r="T1635" s="144"/>
      <c r="U1635" s="129"/>
      <c r="V1635" s="129"/>
    </row>
    <row r="1636" spans="1:22" x14ac:dyDescent="0.2">
      <c r="A1636" s="144"/>
      <c r="B1636" s="145"/>
      <c r="C1636" s="129"/>
      <c r="D1636" s="129"/>
      <c r="E1636" s="129"/>
      <c r="F1636" s="129"/>
      <c r="G1636" s="144"/>
      <c r="H1636" s="129"/>
      <c r="I1636" s="144"/>
      <c r="J1636" s="144"/>
      <c r="K1636" s="144"/>
      <c r="L1636" s="146"/>
      <c r="M1636" s="142"/>
      <c r="N1636" s="144"/>
      <c r="O1636" s="142"/>
      <c r="P1636" s="142"/>
      <c r="Q1636" s="142"/>
      <c r="R1636" s="129"/>
      <c r="S1636" s="143"/>
      <c r="T1636" s="144"/>
      <c r="U1636" s="129"/>
      <c r="V1636" s="129"/>
    </row>
    <row r="1637" spans="1:22" x14ac:dyDescent="0.2">
      <c r="A1637" s="144"/>
      <c r="B1637" s="145"/>
      <c r="C1637" s="129"/>
      <c r="D1637" s="129"/>
      <c r="E1637" s="129"/>
      <c r="F1637" s="129"/>
      <c r="G1637" s="144"/>
      <c r="H1637" s="129"/>
      <c r="I1637" s="144"/>
      <c r="J1637" s="144"/>
      <c r="K1637" s="144"/>
      <c r="L1637" s="146"/>
      <c r="M1637" s="142"/>
      <c r="N1637" s="144"/>
      <c r="O1637" s="142"/>
      <c r="P1637" s="142"/>
      <c r="Q1637" s="142"/>
      <c r="R1637" s="129"/>
      <c r="S1637" s="143"/>
      <c r="T1637" s="144"/>
      <c r="U1637" s="129"/>
      <c r="V1637" s="129"/>
    </row>
    <row r="1638" spans="1:22" x14ac:dyDescent="0.2">
      <c r="A1638" s="144"/>
      <c r="B1638" s="145"/>
      <c r="C1638" s="129"/>
      <c r="D1638" s="129"/>
      <c r="E1638" s="129"/>
      <c r="F1638" s="129"/>
      <c r="G1638" s="144"/>
      <c r="H1638" s="129"/>
      <c r="I1638" s="144"/>
      <c r="J1638" s="144"/>
      <c r="K1638" s="144"/>
      <c r="L1638" s="146"/>
      <c r="M1638" s="142"/>
      <c r="N1638" s="144"/>
      <c r="O1638" s="142"/>
      <c r="P1638" s="142"/>
      <c r="Q1638" s="142"/>
      <c r="R1638" s="129"/>
      <c r="S1638" s="143"/>
      <c r="T1638" s="144"/>
      <c r="U1638" s="129"/>
      <c r="V1638" s="129"/>
    </row>
    <row r="1639" spans="1:22" x14ac:dyDescent="0.2">
      <c r="A1639" s="144"/>
      <c r="B1639" s="145"/>
      <c r="C1639" s="129"/>
      <c r="D1639" s="129"/>
      <c r="E1639" s="129"/>
      <c r="F1639" s="129"/>
      <c r="G1639" s="144"/>
      <c r="H1639" s="129"/>
      <c r="I1639" s="144"/>
      <c r="J1639" s="144"/>
      <c r="K1639" s="144"/>
      <c r="L1639" s="146"/>
      <c r="M1639" s="142"/>
      <c r="N1639" s="144"/>
      <c r="O1639" s="142"/>
      <c r="P1639" s="142"/>
      <c r="Q1639" s="142"/>
      <c r="R1639" s="129"/>
      <c r="S1639" s="143"/>
      <c r="T1639" s="144"/>
      <c r="U1639" s="129"/>
      <c r="V1639" s="129"/>
    </row>
    <row r="1640" spans="1:22" x14ac:dyDescent="0.2">
      <c r="A1640" s="144"/>
      <c r="B1640" s="145"/>
      <c r="C1640" s="129"/>
      <c r="D1640" s="129"/>
      <c r="E1640" s="129"/>
      <c r="F1640" s="129"/>
      <c r="G1640" s="144"/>
      <c r="H1640" s="129"/>
      <c r="I1640" s="144"/>
      <c r="J1640" s="144"/>
      <c r="K1640" s="144"/>
      <c r="L1640" s="146"/>
      <c r="M1640" s="142"/>
      <c r="N1640" s="144"/>
      <c r="O1640" s="142"/>
      <c r="P1640" s="142"/>
      <c r="Q1640" s="142"/>
      <c r="R1640" s="129"/>
      <c r="S1640" s="143"/>
      <c r="T1640" s="144"/>
      <c r="U1640" s="129"/>
      <c r="V1640" s="129"/>
    </row>
    <row r="1641" spans="1:22" x14ac:dyDescent="0.2">
      <c r="A1641" s="144"/>
      <c r="B1641" s="145"/>
      <c r="C1641" s="129"/>
      <c r="D1641" s="129"/>
      <c r="E1641" s="129"/>
      <c r="F1641" s="129"/>
      <c r="G1641" s="144"/>
      <c r="H1641" s="129"/>
      <c r="I1641" s="144"/>
      <c r="J1641" s="144"/>
      <c r="K1641" s="144"/>
      <c r="L1641" s="146"/>
      <c r="M1641" s="142"/>
      <c r="N1641" s="144"/>
      <c r="O1641" s="142"/>
      <c r="P1641" s="142"/>
      <c r="Q1641" s="142"/>
      <c r="R1641" s="129"/>
      <c r="S1641" s="143"/>
      <c r="T1641" s="144"/>
      <c r="U1641" s="129"/>
      <c r="V1641" s="129"/>
    </row>
    <row r="1642" spans="1:22" x14ac:dyDescent="0.2">
      <c r="A1642" s="144"/>
      <c r="B1642" s="145"/>
      <c r="C1642" s="129"/>
      <c r="D1642" s="129"/>
      <c r="E1642" s="129"/>
      <c r="F1642" s="129"/>
      <c r="G1642" s="144"/>
      <c r="H1642" s="129"/>
      <c r="I1642" s="144"/>
      <c r="J1642" s="144"/>
      <c r="K1642" s="144"/>
      <c r="L1642" s="146"/>
      <c r="M1642" s="142"/>
      <c r="N1642" s="144"/>
      <c r="O1642" s="142"/>
      <c r="P1642" s="142"/>
      <c r="Q1642" s="142"/>
      <c r="R1642" s="129"/>
      <c r="S1642" s="143"/>
      <c r="T1642" s="144"/>
      <c r="U1642" s="129"/>
      <c r="V1642" s="129"/>
    </row>
    <row r="1643" spans="1:22" x14ac:dyDescent="0.2">
      <c r="A1643" s="144"/>
      <c r="B1643" s="145"/>
      <c r="C1643" s="129"/>
      <c r="D1643" s="129"/>
      <c r="E1643" s="129"/>
      <c r="F1643" s="129"/>
      <c r="G1643" s="144"/>
      <c r="H1643" s="129"/>
      <c r="I1643" s="144"/>
      <c r="J1643" s="144"/>
      <c r="K1643" s="144"/>
      <c r="L1643" s="146"/>
      <c r="M1643" s="142"/>
      <c r="N1643" s="144"/>
      <c r="O1643" s="142"/>
      <c r="P1643" s="142"/>
      <c r="Q1643" s="142"/>
      <c r="R1643" s="129"/>
      <c r="S1643" s="143"/>
      <c r="T1643" s="144"/>
      <c r="U1643" s="129"/>
      <c r="V1643" s="129"/>
    </row>
    <row r="1644" spans="1:22" x14ac:dyDescent="0.2">
      <c r="A1644" s="144"/>
      <c r="B1644" s="145"/>
      <c r="C1644" s="129"/>
      <c r="D1644" s="129"/>
      <c r="E1644" s="129"/>
      <c r="F1644" s="129"/>
      <c r="G1644" s="144"/>
      <c r="H1644" s="129"/>
      <c r="I1644" s="144"/>
      <c r="J1644" s="144"/>
      <c r="K1644" s="144"/>
      <c r="L1644" s="146"/>
      <c r="M1644" s="142"/>
      <c r="N1644" s="144"/>
      <c r="O1644" s="142"/>
      <c r="P1644" s="142"/>
      <c r="Q1644" s="142"/>
      <c r="R1644" s="129"/>
      <c r="S1644" s="143"/>
      <c r="T1644" s="144"/>
      <c r="U1644" s="129"/>
      <c r="V1644" s="129"/>
    </row>
    <row r="1645" spans="1:22" x14ac:dyDescent="0.2">
      <c r="A1645" s="144"/>
      <c r="B1645" s="145"/>
      <c r="C1645" s="129"/>
      <c r="D1645" s="129"/>
      <c r="E1645" s="129"/>
      <c r="F1645" s="129"/>
      <c r="G1645" s="144"/>
      <c r="H1645" s="129"/>
      <c r="I1645" s="144"/>
      <c r="J1645" s="144"/>
      <c r="K1645" s="144"/>
      <c r="L1645" s="146"/>
      <c r="M1645" s="142"/>
      <c r="N1645" s="144"/>
      <c r="O1645" s="142"/>
      <c r="P1645" s="142"/>
      <c r="Q1645" s="142"/>
      <c r="R1645" s="129"/>
      <c r="S1645" s="143"/>
      <c r="T1645" s="144"/>
      <c r="U1645" s="129"/>
      <c r="V1645" s="129"/>
    </row>
    <row r="1646" spans="1:22" x14ac:dyDescent="0.2">
      <c r="A1646" s="144"/>
      <c r="B1646" s="145"/>
      <c r="C1646" s="129"/>
      <c r="D1646" s="129"/>
      <c r="E1646" s="129"/>
      <c r="F1646" s="129"/>
      <c r="G1646" s="144"/>
      <c r="H1646" s="129"/>
      <c r="I1646" s="144"/>
      <c r="J1646" s="144"/>
      <c r="K1646" s="144"/>
      <c r="L1646" s="146"/>
      <c r="M1646" s="142"/>
      <c r="N1646" s="144"/>
      <c r="O1646" s="142"/>
      <c r="P1646" s="142"/>
      <c r="Q1646" s="142"/>
      <c r="R1646" s="129"/>
      <c r="S1646" s="143"/>
      <c r="T1646" s="144"/>
      <c r="U1646" s="129"/>
      <c r="V1646" s="129"/>
    </row>
    <row r="1647" spans="1:22" x14ac:dyDescent="0.2">
      <c r="A1647" s="144"/>
      <c r="B1647" s="145"/>
      <c r="C1647" s="129"/>
      <c r="D1647" s="129"/>
      <c r="E1647" s="129"/>
      <c r="F1647" s="129"/>
      <c r="G1647" s="144"/>
      <c r="H1647" s="129"/>
      <c r="I1647" s="144"/>
      <c r="J1647" s="144"/>
      <c r="K1647" s="144"/>
      <c r="L1647" s="146"/>
      <c r="M1647" s="142"/>
      <c r="N1647" s="144"/>
      <c r="O1647" s="142"/>
      <c r="P1647" s="142"/>
      <c r="Q1647" s="142"/>
      <c r="R1647" s="129"/>
      <c r="S1647" s="143"/>
      <c r="T1647" s="144"/>
      <c r="U1647" s="129"/>
      <c r="V1647" s="129"/>
    </row>
    <row r="1648" spans="1:22" x14ac:dyDescent="0.2">
      <c r="A1648" s="144"/>
      <c r="B1648" s="145"/>
      <c r="C1648" s="129"/>
      <c r="D1648" s="129"/>
      <c r="E1648" s="129"/>
      <c r="F1648" s="129"/>
      <c r="G1648" s="144"/>
      <c r="H1648" s="129"/>
      <c r="I1648" s="144"/>
      <c r="J1648" s="144"/>
      <c r="K1648" s="144"/>
      <c r="L1648" s="146"/>
      <c r="M1648" s="142"/>
      <c r="N1648" s="144"/>
      <c r="O1648" s="142"/>
      <c r="P1648" s="142"/>
      <c r="Q1648" s="142"/>
      <c r="R1648" s="129"/>
      <c r="S1648" s="143"/>
      <c r="T1648" s="144"/>
      <c r="U1648" s="129"/>
      <c r="V1648" s="129"/>
    </row>
    <row r="1649" spans="1:22" x14ac:dyDescent="0.2">
      <c r="A1649" s="144"/>
      <c r="B1649" s="145"/>
      <c r="C1649" s="129"/>
      <c r="D1649" s="129"/>
      <c r="E1649" s="129"/>
      <c r="F1649" s="129"/>
      <c r="G1649" s="144"/>
      <c r="H1649" s="129"/>
      <c r="I1649" s="144"/>
      <c r="J1649" s="144"/>
      <c r="K1649" s="144"/>
      <c r="L1649" s="146"/>
      <c r="M1649" s="142"/>
      <c r="N1649" s="144"/>
      <c r="O1649" s="142"/>
      <c r="P1649" s="142"/>
      <c r="Q1649" s="142"/>
      <c r="R1649" s="129"/>
      <c r="S1649" s="143"/>
      <c r="T1649" s="144"/>
      <c r="U1649" s="129"/>
      <c r="V1649" s="129"/>
    </row>
    <row r="1650" spans="1:22" x14ac:dyDescent="0.2">
      <c r="A1650" s="144"/>
      <c r="B1650" s="145"/>
      <c r="C1650" s="129"/>
      <c r="D1650" s="129"/>
      <c r="E1650" s="129"/>
      <c r="F1650" s="129"/>
      <c r="G1650" s="144"/>
      <c r="H1650" s="129"/>
      <c r="I1650" s="144"/>
      <c r="J1650" s="144"/>
      <c r="K1650" s="144"/>
      <c r="L1650" s="146"/>
      <c r="M1650" s="142"/>
      <c r="N1650" s="144"/>
      <c r="O1650" s="142"/>
      <c r="P1650" s="142"/>
      <c r="Q1650" s="142"/>
      <c r="R1650" s="129"/>
      <c r="S1650" s="143"/>
      <c r="T1650" s="144"/>
      <c r="U1650" s="129"/>
      <c r="V1650" s="129"/>
    </row>
    <row r="1651" spans="1:22" x14ac:dyDescent="0.2">
      <c r="A1651" s="144"/>
      <c r="B1651" s="145"/>
      <c r="C1651" s="129"/>
      <c r="D1651" s="129"/>
      <c r="E1651" s="129"/>
      <c r="F1651" s="129"/>
      <c r="G1651" s="144"/>
      <c r="H1651" s="129"/>
      <c r="I1651" s="144"/>
      <c r="J1651" s="144"/>
      <c r="K1651" s="144"/>
      <c r="L1651" s="146"/>
      <c r="M1651" s="142"/>
      <c r="N1651" s="144"/>
      <c r="O1651" s="142"/>
      <c r="P1651" s="142"/>
      <c r="Q1651" s="142"/>
      <c r="R1651" s="129"/>
      <c r="S1651" s="143"/>
      <c r="T1651" s="144"/>
      <c r="U1651" s="129"/>
      <c r="V1651" s="129"/>
    </row>
    <row r="1652" spans="1:22" x14ac:dyDescent="0.2">
      <c r="A1652" s="144"/>
      <c r="B1652" s="145"/>
      <c r="C1652" s="129"/>
      <c r="D1652" s="129"/>
      <c r="E1652" s="129"/>
      <c r="F1652" s="129"/>
      <c r="G1652" s="144"/>
      <c r="H1652" s="129"/>
      <c r="I1652" s="144"/>
      <c r="J1652" s="144"/>
      <c r="K1652" s="144"/>
      <c r="L1652" s="146"/>
      <c r="M1652" s="142"/>
      <c r="N1652" s="144"/>
      <c r="O1652" s="142"/>
      <c r="P1652" s="142"/>
      <c r="Q1652" s="142"/>
      <c r="R1652" s="129"/>
      <c r="S1652" s="143"/>
      <c r="T1652" s="144"/>
      <c r="U1652" s="129"/>
      <c r="V1652" s="129"/>
    </row>
    <row r="1653" spans="1:22" x14ac:dyDescent="0.2">
      <c r="A1653" s="144"/>
      <c r="B1653" s="145"/>
      <c r="C1653" s="129"/>
      <c r="D1653" s="129"/>
      <c r="E1653" s="129"/>
      <c r="F1653" s="129"/>
      <c r="G1653" s="144"/>
      <c r="H1653" s="129"/>
      <c r="I1653" s="144"/>
      <c r="J1653" s="144"/>
      <c r="K1653" s="144"/>
      <c r="L1653" s="146"/>
      <c r="M1653" s="142"/>
      <c r="N1653" s="144"/>
      <c r="O1653" s="142"/>
      <c r="P1653" s="142"/>
      <c r="Q1653" s="142"/>
      <c r="R1653" s="129"/>
      <c r="S1653" s="143"/>
      <c r="T1653" s="144"/>
      <c r="U1653" s="129"/>
      <c r="V1653" s="129"/>
    </row>
    <row r="1654" spans="1:22" x14ac:dyDescent="0.2">
      <c r="A1654" s="144"/>
      <c r="B1654" s="145"/>
      <c r="C1654" s="129"/>
      <c r="D1654" s="129"/>
      <c r="E1654" s="129"/>
      <c r="F1654" s="129"/>
      <c r="G1654" s="144"/>
      <c r="H1654" s="129"/>
      <c r="I1654" s="144"/>
      <c r="J1654" s="144"/>
      <c r="K1654" s="144"/>
      <c r="L1654" s="146"/>
      <c r="M1654" s="142"/>
      <c r="N1654" s="144"/>
      <c r="O1654" s="142"/>
      <c r="P1654" s="142"/>
      <c r="Q1654" s="142"/>
      <c r="R1654" s="129"/>
      <c r="S1654" s="143"/>
      <c r="T1654" s="144"/>
      <c r="U1654" s="129"/>
      <c r="V1654" s="129"/>
    </row>
    <row r="1655" spans="1:22" x14ac:dyDescent="0.2">
      <c r="A1655" s="144"/>
      <c r="B1655" s="145"/>
      <c r="C1655" s="129"/>
      <c r="D1655" s="129"/>
      <c r="E1655" s="129"/>
      <c r="F1655" s="129"/>
      <c r="G1655" s="144"/>
      <c r="H1655" s="129"/>
      <c r="I1655" s="144"/>
      <c r="J1655" s="144"/>
      <c r="K1655" s="144"/>
      <c r="L1655" s="146"/>
      <c r="M1655" s="142"/>
      <c r="N1655" s="144"/>
      <c r="O1655" s="142"/>
      <c r="P1655" s="142"/>
      <c r="Q1655" s="142"/>
      <c r="R1655" s="129"/>
      <c r="S1655" s="143"/>
      <c r="T1655" s="144"/>
      <c r="U1655" s="129"/>
      <c r="V1655" s="129"/>
    </row>
    <row r="1656" spans="1:22" x14ac:dyDescent="0.2">
      <c r="A1656" s="144"/>
      <c r="B1656" s="145"/>
      <c r="C1656" s="129"/>
      <c r="D1656" s="129"/>
      <c r="E1656" s="129"/>
      <c r="F1656" s="129"/>
      <c r="G1656" s="144"/>
      <c r="H1656" s="129"/>
      <c r="I1656" s="144"/>
      <c r="J1656" s="144"/>
      <c r="K1656" s="144"/>
      <c r="L1656" s="146"/>
      <c r="M1656" s="142"/>
      <c r="N1656" s="144"/>
      <c r="O1656" s="142"/>
      <c r="P1656" s="142"/>
      <c r="Q1656" s="142"/>
      <c r="R1656" s="129"/>
      <c r="S1656" s="143"/>
      <c r="T1656" s="144"/>
      <c r="U1656" s="129"/>
      <c r="V1656" s="129"/>
    </row>
    <row r="1657" spans="1:22" x14ac:dyDescent="0.2">
      <c r="A1657" s="144"/>
      <c r="B1657" s="145"/>
      <c r="C1657" s="129"/>
      <c r="D1657" s="129"/>
      <c r="E1657" s="129"/>
      <c r="F1657" s="129"/>
      <c r="G1657" s="144"/>
      <c r="H1657" s="129"/>
      <c r="I1657" s="144"/>
      <c r="J1657" s="144"/>
      <c r="K1657" s="144"/>
      <c r="L1657" s="146"/>
      <c r="M1657" s="142"/>
      <c r="N1657" s="144"/>
      <c r="O1657" s="142"/>
      <c r="P1657" s="142"/>
      <c r="Q1657" s="142"/>
      <c r="R1657" s="129"/>
      <c r="S1657" s="143"/>
      <c r="T1657" s="144"/>
      <c r="U1657" s="129"/>
      <c r="V1657" s="129"/>
    </row>
    <row r="1658" spans="1:22" x14ac:dyDescent="0.2">
      <c r="A1658" s="144"/>
      <c r="B1658" s="145"/>
      <c r="C1658" s="129"/>
      <c r="D1658" s="129"/>
      <c r="E1658" s="129"/>
      <c r="F1658" s="129"/>
      <c r="G1658" s="144"/>
      <c r="H1658" s="129"/>
      <c r="I1658" s="144"/>
      <c r="J1658" s="144"/>
      <c r="K1658" s="144"/>
      <c r="L1658" s="146"/>
      <c r="M1658" s="142"/>
      <c r="N1658" s="144"/>
      <c r="O1658" s="142"/>
      <c r="P1658" s="142"/>
      <c r="Q1658" s="142"/>
      <c r="R1658" s="129"/>
      <c r="S1658" s="143"/>
      <c r="T1658" s="144"/>
      <c r="U1658" s="129"/>
      <c r="V1658" s="129"/>
    </row>
    <row r="1659" spans="1:22" x14ac:dyDescent="0.2">
      <c r="A1659" s="144"/>
      <c r="B1659" s="145"/>
      <c r="C1659" s="129"/>
      <c r="D1659" s="129"/>
      <c r="E1659" s="129"/>
      <c r="F1659" s="129"/>
      <c r="G1659" s="144"/>
      <c r="H1659" s="129"/>
      <c r="I1659" s="144"/>
      <c r="J1659" s="144"/>
      <c r="K1659" s="144"/>
      <c r="L1659" s="146"/>
      <c r="M1659" s="142"/>
      <c r="N1659" s="144"/>
      <c r="O1659" s="142"/>
      <c r="P1659" s="142"/>
      <c r="Q1659" s="142"/>
      <c r="R1659" s="129"/>
      <c r="S1659" s="143"/>
      <c r="T1659" s="144"/>
      <c r="U1659" s="129"/>
      <c r="V1659" s="129"/>
    </row>
    <row r="1660" spans="1:22" x14ac:dyDescent="0.2">
      <c r="A1660" s="144"/>
      <c r="B1660" s="145"/>
      <c r="C1660" s="129"/>
      <c r="D1660" s="129"/>
      <c r="E1660" s="129"/>
      <c r="F1660" s="129"/>
      <c r="G1660" s="144"/>
      <c r="H1660" s="129"/>
      <c r="I1660" s="144"/>
      <c r="J1660" s="144"/>
      <c r="K1660" s="144"/>
      <c r="L1660" s="146"/>
      <c r="M1660" s="142"/>
      <c r="N1660" s="144"/>
      <c r="O1660" s="142"/>
      <c r="P1660" s="142"/>
      <c r="Q1660" s="142"/>
      <c r="R1660" s="129"/>
      <c r="S1660" s="143"/>
      <c r="T1660" s="144"/>
      <c r="U1660" s="129"/>
      <c r="V1660" s="129"/>
    </row>
    <row r="1661" spans="1:22" x14ac:dyDescent="0.2">
      <c r="A1661" s="144"/>
      <c r="B1661" s="145"/>
      <c r="C1661" s="129"/>
      <c r="D1661" s="129"/>
      <c r="E1661" s="129"/>
      <c r="F1661" s="129"/>
      <c r="G1661" s="144"/>
      <c r="H1661" s="129"/>
      <c r="I1661" s="144"/>
      <c r="J1661" s="144"/>
      <c r="K1661" s="144"/>
      <c r="L1661" s="146"/>
      <c r="M1661" s="142"/>
      <c r="N1661" s="144"/>
      <c r="O1661" s="142"/>
      <c r="P1661" s="142"/>
      <c r="Q1661" s="142"/>
      <c r="R1661" s="129"/>
      <c r="S1661" s="143"/>
      <c r="T1661" s="144"/>
      <c r="U1661" s="129"/>
      <c r="V1661" s="129"/>
    </row>
    <row r="1662" spans="1:22" x14ac:dyDescent="0.2">
      <c r="A1662" s="144"/>
      <c r="B1662" s="145"/>
      <c r="C1662" s="129"/>
      <c r="D1662" s="129"/>
      <c r="E1662" s="129"/>
      <c r="F1662" s="129"/>
      <c r="G1662" s="144"/>
      <c r="H1662" s="129"/>
      <c r="I1662" s="144"/>
      <c r="J1662" s="144"/>
      <c r="K1662" s="144"/>
      <c r="L1662" s="146"/>
      <c r="M1662" s="142"/>
      <c r="N1662" s="144"/>
      <c r="O1662" s="142"/>
      <c r="P1662" s="142"/>
      <c r="Q1662" s="142"/>
      <c r="R1662" s="129"/>
      <c r="S1662" s="143"/>
      <c r="T1662" s="144"/>
      <c r="U1662" s="129"/>
      <c r="V1662" s="129"/>
    </row>
    <row r="1663" spans="1:22" x14ac:dyDescent="0.2">
      <c r="A1663" s="144"/>
      <c r="B1663" s="145"/>
      <c r="C1663" s="129"/>
      <c r="D1663" s="129"/>
      <c r="E1663" s="129"/>
      <c r="F1663" s="129"/>
      <c r="G1663" s="144"/>
      <c r="H1663" s="129"/>
      <c r="I1663" s="144"/>
      <c r="J1663" s="144"/>
      <c r="K1663" s="144"/>
      <c r="L1663" s="146"/>
      <c r="M1663" s="142"/>
      <c r="N1663" s="144"/>
      <c r="O1663" s="142"/>
      <c r="P1663" s="142"/>
      <c r="Q1663" s="142"/>
      <c r="R1663" s="129"/>
      <c r="S1663" s="143"/>
      <c r="T1663" s="144"/>
      <c r="U1663" s="129"/>
      <c r="V1663" s="129"/>
    </row>
    <row r="1664" spans="1:22" x14ac:dyDescent="0.2">
      <c r="A1664" s="144"/>
      <c r="B1664" s="145"/>
      <c r="C1664" s="129"/>
      <c r="D1664" s="129"/>
      <c r="E1664" s="129"/>
      <c r="F1664" s="129"/>
      <c r="G1664" s="144"/>
      <c r="H1664" s="129"/>
      <c r="I1664" s="144"/>
      <c r="J1664" s="144"/>
      <c r="K1664" s="144"/>
      <c r="L1664" s="146"/>
      <c r="M1664" s="142"/>
      <c r="N1664" s="144"/>
      <c r="O1664" s="142"/>
      <c r="P1664" s="142"/>
      <c r="Q1664" s="142"/>
      <c r="R1664" s="129"/>
      <c r="S1664" s="143"/>
      <c r="T1664" s="144"/>
      <c r="U1664" s="129"/>
      <c r="V1664" s="129"/>
    </row>
    <row r="1665" spans="1:22" x14ac:dyDescent="0.2">
      <c r="A1665" s="144"/>
      <c r="B1665" s="145"/>
      <c r="C1665" s="129"/>
      <c r="D1665" s="129"/>
      <c r="E1665" s="129"/>
      <c r="F1665" s="129"/>
      <c r="G1665" s="144"/>
      <c r="H1665" s="129"/>
      <c r="I1665" s="144"/>
      <c r="J1665" s="144"/>
      <c r="K1665" s="144"/>
      <c r="L1665" s="146"/>
      <c r="M1665" s="142"/>
      <c r="N1665" s="144"/>
      <c r="O1665" s="142"/>
      <c r="P1665" s="142"/>
      <c r="Q1665" s="142"/>
      <c r="R1665" s="129"/>
      <c r="S1665" s="143"/>
      <c r="T1665" s="144"/>
      <c r="U1665" s="129"/>
      <c r="V1665" s="129"/>
    </row>
    <row r="1666" spans="1:22" x14ac:dyDescent="0.2">
      <c r="A1666" s="144"/>
      <c r="B1666" s="145"/>
      <c r="C1666" s="129"/>
      <c r="D1666" s="129"/>
      <c r="E1666" s="129"/>
      <c r="F1666" s="129"/>
      <c r="G1666" s="144"/>
      <c r="H1666" s="129"/>
      <c r="I1666" s="144"/>
      <c r="J1666" s="144"/>
      <c r="K1666" s="144"/>
      <c r="L1666" s="146"/>
      <c r="M1666" s="142"/>
      <c r="N1666" s="144"/>
      <c r="O1666" s="142"/>
      <c r="P1666" s="142"/>
      <c r="Q1666" s="142"/>
      <c r="R1666" s="129"/>
      <c r="S1666" s="143"/>
      <c r="T1666" s="144"/>
      <c r="U1666" s="129"/>
      <c r="V1666" s="129"/>
    </row>
    <row r="1667" spans="1:22" x14ac:dyDescent="0.2">
      <c r="A1667" s="144"/>
      <c r="B1667" s="145"/>
      <c r="C1667" s="129"/>
      <c r="D1667" s="129"/>
      <c r="E1667" s="129"/>
      <c r="F1667" s="129"/>
      <c r="G1667" s="144"/>
      <c r="H1667" s="129"/>
      <c r="I1667" s="144"/>
      <c r="J1667" s="144"/>
      <c r="K1667" s="144"/>
      <c r="L1667" s="146"/>
      <c r="M1667" s="142"/>
      <c r="N1667" s="144"/>
      <c r="O1667" s="142"/>
      <c r="P1667" s="142"/>
      <c r="Q1667" s="142"/>
      <c r="R1667" s="129"/>
      <c r="S1667" s="143"/>
      <c r="T1667" s="144"/>
      <c r="U1667" s="129"/>
      <c r="V1667" s="129"/>
    </row>
    <row r="1668" spans="1:22" x14ac:dyDescent="0.2">
      <c r="A1668" s="144"/>
      <c r="B1668" s="145"/>
      <c r="C1668" s="129"/>
      <c r="D1668" s="129"/>
      <c r="E1668" s="129"/>
      <c r="F1668" s="129"/>
      <c r="G1668" s="144"/>
      <c r="H1668" s="129"/>
      <c r="I1668" s="144"/>
      <c r="J1668" s="144"/>
      <c r="K1668" s="144"/>
      <c r="L1668" s="146"/>
      <c r="M1668" s="142"/>
      <c r="N1668" s="144"/>
      <c r="O1668" s="142"/>
      <c r="P1668" s="142"/>
      <c r="Q1668" s="142"/>
      <c r="R1668" s="129"/>
      <c r="S1668" s="143"/>
      <c r="T1668" s="144"/>
      <c r="U1668" s="129"/>
      <c r="V1668" s="129"/>
    </row>
    <row r="1669" spans="1:22" x14ac:dyDescent="0.2">
      <c r="A1669" s="144"/>
      <c r="B1669" s="145"/>
      <c r="C1669" s="129"/>
      <c r="D1669" s="129"/>
      <c r="E1669" s="129"/>
      <c r="F1669" s="129"/>
      <c r="G1669" s="144"/>
      <c r="H1669" s="129"/>
      <c r="I1669" s="144"/>
      <c r="J1669" s="144"/>
      <c r="K1669" s="144"/>
      <c r="L1669" s="146"/>
      <c r="M1669" s="142"/>
      <c r="N1669" s="144"/>
      <c r="O1669" s="142"/>
      <c r="P1669" s="142"/>
      <c r="Q1669" s="142"/>
      <c r="R1669" s="129"/>
      <c r="S1669" s="143"/>
      <c r="T1669" s="144"/>
      <c r="U1669" s="129"/>
      <c r="V1669" s="129"/>
    </row>
    <row r="1670" spans="1:22" x14ac:dyDescent="0.2">
      <c r="A1670" s="144"/>
      <c r="B1670" s="145"/>
      <c r="C1670" s="129"/>
      <c r="D1670" s="129"/>
      <c r="E1670" s="129"/>
      <c r="F1670" s="129"/>
      <c r="G1670" s="144"/>
      <c r="H1670" s="129"/>
      <c r="I1670" s="144"/>
      <c r="J1670" s="144"/>
      <c r="K1670" s="144"/>
      <c r="L1670" s="146"/>
      <c r="M1670" s="142"/>
      <c r="N1670" s="144"/>
      <c r="O1670" s="142"/>
      <c r="P1670" s="142"/>
      <c r="Q1670" s="142"/>
      <c r="R1670" s="129"/>
      <c r="S1670" s="143"/>
      <c r="T1670" s="144"/>
      <c r="U1670" s="129"/>
      <c r="V1670" s="129"/>
    </row>
    <row r="1671" spans="1:22" x14ac:dyDescent="0.2">
      <c r="A1671" s="144"/>
      <c r="B1671" s="145"/>
      <c r="C1671" s="129"/>
      <c r="D1671" s="129"/>
      <c r="E1671" s="129"/>
      <c r="F1671" s="129"/>
      <c r="G1671" s="144"/>
      <c r="H1671" s="129"/>
      <c r="I1671" s="144"/>
      <c r="J1671" s="144"/>
      <c r="K1671" s="144"/>
      <c r="L1671" s="146"/>
      <c r="M1671" s="142"/>
      <c r="N1671" s="144"/>
      <c r="O1671" s="142"/>
      <c r="P1671" s="142"/>
      <c r="Q1671" s="142"/>
      <c r="R1671" s="129"/>
      <c r="S1671" s="143"/>
      <c r="T1671" s="144"/>
      <c r="U1671" s="129"/>
      <c r="V1671" s="129"/>
    </row>
    <row r="1672" spans="1:22" x14ac:dyDescent="0.2">
      <c r="A1672" s="144"/>
      <c r="B1672" s="145"/>
      <c r="C1672" s="129"/>
      <c r="D1672" s="129"/>
      <c r="E1672" s="129"/>
      <c r="F1672" s="129"/>
      <c r="G1672" s="144"/>
      <c r="H1672" s="129"/>
      <c r="I1672" s="144"/>
      <c r="J1672" s="144"/>
      <c r="K1672" s="144"/>
      <c r="L1672" s="146"/>
      <c r="M1672" s="142"/>
      <c r="N1672" s="144"/>
      <c r="O1672" s="142"/>
      <c r="P1672" s="142"/>
      <c r="Q1672" s="142"/>
      <c r="R1672" s="129"/>
      <c r="S1672" s="143"/>
      <c r="T1672" s="144"/>
      <c r="U1672" s="129"/>
      <c r="V1672" s="129"/>
    </row>
    <row r="1673" spans="1:22" x14ac:dyDescent="0.2">
      <c r="A1673" s="144"/>
      <c r="B1673" s="145"/>
      <c r="C1673" s="129"/>
      <c r="D1673" s="129"/>
      <c r="E1673" s="129"/>
      <c r="F1673" s="129"/>
      <c r="G1673" s="144"/>
      <c r="H1673" s="129"/>
      <c r="I1673" s="144"/>
      <c r="J1673" s="144"/>
      <c r="K1673" s="144"/>
      <c r="L1673" s="146"/>
      <c r="M1673" s="142"/>
      <c r="N1673" s="144"/>
      <c r="O1673" s="142"/>
      <c r="P1673" s="142"/>
      <c r="Q1673" s="142"/>
      <c r="R1673" s="129"/>
      <c r="S1673" s="143"/>
      <c r="T1673" s="144"/>
      <c r="U1673" s="129"/>
      <c r="V1673" s="129"/>
    </row>
    <row r="1674" spans="1:22" x14ac:dyDescent="0.2">
      <c r="A1674" s="144"/>
      <c r="B1674" s="145"/>
      <c r="C1674" s="129"/>
      <c r="D1674" s="129"/>
      <c r="E1674" s="129"/>
      <c r="F1674" s="129"/>
      <c r="G1674" s="144"/>
      <c r="H1674" s="129"/>
      <c r="I1674" s="144"/>
      <c r="J1674" s="144"/>
      <c r="K1674" s="144"/>
      <c r="L1674" s="146"/>
      <c r="M1674" s="142"/>
      <c r="N1674" s="144"/>
      <c r="O1674" s="142"/>
      <c r="P1674" s="142"/>
      <c r="Q1674" s="142"/>
      <c r="R1674" s="129"/>
      <c r="S1674" s="143"/>
      <c r="T1674" s="144"/>
      <c r="U1674" s="129"/>
      <c r="V1674" s="129"/>
    </row>
    <row r="1675" spans="1:22" x14ac:dyDescent="0.2">
      <c r="A1675" s="144"/>
      <c r="B1675" s="145"/>
      <c r="C1675" s="129"/>
      <c r="D1675" s="129"/>
      <c r="E1675" s="129"/>
      <c r="F1675" s="129"/>
      <c r="G1675" s="144"/>
      <c r="H1675" s="129"/>
      <c r="I1675" s="144"/>
      <c r="J1675" s="144"/>
      <c r="K1675" s="144"/>
      <c r="L1675" s="146"/>
      <c r="M1675" s="142"/>
      <c r="N1675" s="144"/>
      <c r="O1675" s="142"/>
      <c r="P1675" s="142"/>
      <c r="Q1675" s="142"/>
      <c r="R1675" s="129"/>
      <c r="S1675" s="143"/>
      <c r="T1675" s="144"/>
      <c r="U1675" s="129"/>
      <c r="V1675" s="129"/>
    </row>
    <row r="1676" spans="1:22" x14ac:dyDescent="0.2">
      <c r="A1676" s="144"/>
      <c r="B1676" s="145"/>
      <c r="C1676" s="129"/>
      <c r="D1676" s="129"/>
      <c r="E1676" s="129"/>
      <c r="F1676" s="129"/>
      <c r="G1676" s="144"/>
      <c r="H1676" s="129"/>
      <c r="I1676" s="144"/>
      <c r="J1676" s="144"/>
      <c r="K1676" s="144"/>
      <c r="L1676" s="146"/>
      <c r="M1676" s="142"/>
      <c r="N1676" s="144"/>
      <c r="O1676" s="142"/>
      <c r="P1676" s="142"/>
      <c r="Q1676" s="142"/>
      <c r="R1676" s="129"/>
      <c r="S1676" s="143"/>
      <c r="T1676" s="144"/>
      <c r="U1676" s="129"/>
      <c r="V1676" s="129"/>
    </row>
    <row r="1677" spans="1:22" x14ac:dyDescent="0.2">
      <c r="A1677" s="144"/>
      <c r="B1677" s="145"/>
      <c r="C1677" s="129"/>
      <c r="D1677" s="129"/>
      <c r="E1677" s="129"/>
      <c r="F1677" s="129"/>
      <c r="G1677" s="144"/>
      <c r="H1677" s="129"/>
      <c r="I1677" s="144"/>
      <c r="J1677" s="144"/>
      <c r="K1677" s="144"/>
      <c r="L1677" s="146"/>
      <c r="M1677" s="142"/>
      <c r="N1677" s="144"/>
      <c r="O1677" s="142"/>
      <c r="P1677" s="142"/>
      <c r="Q1677" s="142"/>
      <c r="R1677" s="129"/>
      <c r="S1677" s="143"/>
      <c r="T1677" s="144"/>
      <c r="U1677" s="129"/>
      <c r="V1677" s="129"/>
    </row>
    <row r="1678" spans="1:22" x14ac:dyDescent="0.2">
      <c r="A1678" s="144"/>
      <c r="B1678" s="145"/>
      <c r="C1678" s="129"/>
      <c r="D1678" s="129"/>
      <c r="E1678" s="129"/>
      <c r="F1678" s="129"/>
      <c r="G1678" s="144"/>
      <c r="H1678" s="129"/>
      <c r="I1678" s="144"/>
      <c r="J1678" s="144"/>
      <c r="K1678" s="144"/>
      <c r="L1678" s="146"/>
      <c r="M1678" s="142"/>
      <c r="N1678" s="144"/>
      <c r="O1678" s="142"/>
      <c r="P1678" s="142"/>
      <c r="Q1678" s="142"/>
      <c r="R1678" s="129"/>
      <c r="S1678" s="143"/>
      <c r="T1678" s="144"/>
      <c r="U1678" s="129"/>
      <c r="V1678" s="129"/>
    </row>
    <row r="1679" spans="1:22" x14ac:dyDescent="0.2">
      <c r="A1679" s="144"/>
      <c r="B1679" s="145"/>
      <c r="C1679" s="129"/>
      <c r="D1679" s="129"/>
      <c r="E1679" s="129"/>
      <c r="F1679" s="129"/>
      <c r="G1679" s="144"/>
      <c r="H1679" s="129"/>
      <c r="I1679" s="144"/>
      <c r="J1679" s="144"/>
      <c r="K1679" s="144"/>
      <c r="L1679" s="146"/>
      <c r="M1679" s="142"/>
      <c r="N1679" s="144"/>
      <c r="O1679" s="142"/>
      <c r="P1679" s="142"/>
      <c r="Q1679" s="142"/>
      <c r="R1679" s="129"/>
      <c r="S1679" s="143"/>
      <c r="T1679" s="144"/>
      <c r="U1679" s="129"/>
      <c r="V1679" s="129"/>
    </row>
    <row r="1680" spans="1:22" x14ac:dyDescent="0.2">
      <c r="A1680" s="144"/>
      <c r="B1680" s="145"/>
      <c r="C1680" s="129"/>
      <c r="D1680" s="129"/>
      <c r="E1680" s="129"/>
      <c r="F1680" s="129"/>
      <c r="G1680" s="144"/>
      <c r="H1680" s="129"/>
      <c r="I1680" s="144"/>
      <c r="J1680" s="144"/>
      <c r="K1680" s="144"/>
      <c r="L1680" s="146"/>
      <c r="M1680" s="142"/>
      <c r="N1680" s="144"/>
      <c r="O1680" s="142"/>
      <c r="P1680" s="142"/>
      <c r="Q1680" s="142"/>
      <c r="R1680" s="129"/>
      <c r="S1680" s="143"/>
      <c r="T1680" s="144"/>
      <c r="U1680" s="129"/>
      <c r="V1680" s="129"/>
    </row>
    <row r="1681" spans="1:22" x14ac:dyDescent="0.2">
      <c r="A1681" s="144"/>
      <c r="B1681" s="145"/>
      <c r="C1681" s="129"/>
      <c r="D1681" s="129"/>
      <c r="E1681" s="129"/>
      <c r="F1681" s="129"/>
      <c r="G1681" s="144"/>
      <c r="H1681" s="129"/>
      <c r="I1681" s="144"/>
      <c r="J1681" s="144"/>
      <c r="K1681" s="144"/>
      <c r="L1681" s="146"/>
      <c r="M1681" s="142"/>
      <c r="N1681" s="144"/>
      <c r="O1681" s="142"/>
      <c r="P1681" s="142"/>
      <c r="Q1681" s="142"/>
      <c r="R1681" s="129"/>
      <c r="S1681" s="143"/>
      <c r="T1681" s="144"/>
      <c r="U1681" s="129"/>
      <c r="V1681" s="129"/>
    </row>
    <row r="1682" spans="1:22" x14ac:dyDescent="0.2">
      <c r="A1682" s="144"/>
      <c r="B1682" s="145"/>
      <c r="C1682" s="129"/>
      <c r="D1682" s="129"/>
      <c r="E1682" s="129"/>
      <c r="F1682" s="129"/>
      <c r="G1682" s="144"/>
      <c r="H1682" s="129"/>
      <c r="I1682" s="144"/>
      <c r="J1682" s="144"/>
      <c r="K1682" s="144"/>
      <c r="L1682" s="146"/>
      <c r="M1682" s="142"/>
      <c r="N1682" s="144"/>
      <c r="O1682" s="142"/>
      <c r="P1682" s="142"/>
      <c r="Q1682" s="142"/>
      <c r="R1682" s="129"/>
      <c r="S1682" s="143"/>
      <c r="T1682" s="144"/>
      <c r="U1682" s="129"/>
      <c r="V1682" s="129"/>
    </row>
    <row r="1683" spans="1:22" x14ac:dyDescent="0.2">
      <c r="A1683" s="144"/>
      <c r="B1683" s="145"/>
      <c r="C1683" s="129"/>
      <c r="D1683" s="129"/>
      <c r="E1683" s="129"/>
      <c r="F1683" s="129"/>
      <c r="G1683" s="144"/>
      <c r="H1683" s="129"/>
      <c r="I1683" s="144"/>
      <c r="J1683" s="144"/>
      <c r="K1683" s="144"/>
      <c r="L1683" s="146"/>
      <c r="M1683" s="142"/>
      <c r="N1683" s="144"/>
      <c r="O1683" s="142"/>
      <c r="P1683" s="142"/>
      <c r="Q1683" s="142"/>
      <c r="R1683" s="129"/>
      <c r="S1683" s="143"/>
      <c r="T1683" s="144"/>
      <c r="U1683" s="129"/>
      <c r="V1683" s="129"/>
    </row>
    <row r="1684" spans="1:22" x14ac:dyDescent="0.2">
      <c r="A1684" s="144"/>
      <c r="B1684" s="145"/>
      <c r="C1684" s="129"/>
      <c r="D1684" s="129"/>
      <c r="E1684" s="129"/>
      <c r="F1684" s="129"/>
      <c r="G1684" s="144"/>
      <c r="H1684" s="129"/>
      <c r="I1684" s="144"/>
      <c r="J1684" s="144"/>
      <c r="K1684" s="144"/>
      <c r="L1684" s="146"/>
      <c r="M1684" s="142"/>
      <c r="N1684" s="144"/>
      <c r="O1684" s="142"/>
      <c r="P1684" s="142"/>
      <c r="Q1684" s="142"/>
      <c r="R1684" s="129"/>
      <c r="S1684" s="143"/>
      <c r="T1684" s="144"/>
      <c r="U1684" s="129"/>
      <c r="V1684" s="129"/>
    </row>
    <row r="1685" spans="1:22" x14ac:dyDescent="0.2">
      <c r="A1685" s="144"/>
      <c r="B1685" s="145"/>
      <c r="C1685" s="129"/>
      <c r="D1685" s="129"/>
      <c r="E1685" s="129"/>
      <c r="F1685" s="129"/>
      <c r="G1685" s="144"/>
      <c r="H1685" s="129"/>
      <c r="I1685" s="144"/>
      <c r="J1685" s="144"/>
      <c r="K1685" s="144"/>
      <c r="L1685" s="146"/>
      <c r="M1685" s="142"/>
      <c r="N1685" s="144"/>
      <c r="O1685" s="142"/>
      <c r="P1685" s="142"/>
      <c r="Q1685" s="142"/>
      <c r="R1685" s="129"/>
      <c r="S1685" s="143"/>
      <c r="T1685" s="144"/>
      <c r="U1685" s="129"/>
      <c r="V1685" s="129"/>
    </row>
    <row r="1686" spans="1:22" x14ac:dyDescent="0.2">
      <c r="A1686" s="144"/>
      <c r="B1686" s="145"/>
      <c r="C1686" s="129"/>
      <c r="D1686" s="129"/>
      <c r="E1686" s="129"/>
      <c r="F1686" s="129"/>
      <c r="G1686" s="144"/>
      <c r="H1686" s="129"/>
      <c r="I1686" s="144"/>
      <c r="J1686" s="144"/>
      <c r="K1686" s="144"/>
      <c r="L1686" s="146"/>
      <c r="M1686" s="142"/>
      <c r="N1686" s="144"/>
      <c r="O1686" s="142"/>
      <c r="P1686" s="142"/>
      <c r="Q1686" s="142"/>
      <c r="R1686" s="129"/>
      <c r="S1686" s="143"/>
      <c r="T1686" s="144"/>
      <c r="U1686" s="129"/>
      <c r="V1686" s="129"/>
    </row>
    <row r="1687" spans="1:22" x14ac:dyDescent="0.2">
      <c r="A1687" s="144"/>
      <c r="B1687" s="145"/>
      <c r="C1687" s="129"/>
      <c r="D1687" s="129"/>
      <c r="E1687" s="129"/>
      <c r="F1687" s="129"/>
      <c r="G1687" s="144"/>
      <c r="H1687" s="129"/>
      <c r="I1687" s="144"/>
      <c r="J1687" s="144"/>
      <c r="K1687" s="144"/>
      <c r="L1687" s="146"/>
      <c r="M1687" s="142"/>
      <c r="N1687" s="144"/>
      <c r="O1687" s="142"/>
      <c r="P1687" s="142"/>
      <c r="Q1687" s="142"/>
      <c r="R1687" s="129"/>
      <c r="S1687" s="143"/>
      <c r="T1687" s="144"/>
      <c r="U1687" s="129"/>
      <c r="V1687" s="129"/>
    </row>
    <row r="1688" spans="1:22" x14ac:dyDescent="0.2">
      <c r="A1688" s="144"/>
      <c r="B1688" s="145"/>
      <c r="C1688" s="129"/>
      <c r="D1688" s="129"/>
      <c r="E1688" s="129"/>
      <c r="F1688" s="129"/>
      <c r="G1688" s="144"/>
      <c r="H1688" s="129"/>
      <c r="I1688" s="144"/>
      <c r="J1688" s="144"/>
      <c r="K1688" s="144"/>
      <c r="L1688" s="146"/>
      <c r="M1688" s="142"/>
      <c r="N1688" s="144"/>
      <c r="O1688" s="142"/>
      <c r="P1688" s="142"/>
      <c r="Q1688" s="142"/>
      <c r="R1688" s="129"/>
      <c r="S1688" s="143"/>
      <c r="T1688" s="144"/>
      <c r="U1688" s="129"/>
      <c r="V1688" s="129"/>
    </row>
    <row r="1689" spans="1:22" x14ac:dyDescent="0.2">
      <c r="A1689" s="144"/>
      <c r="B1689" s="145"/>
      <c r="C1689" s="129"/>
      <c r="D1689" s="129"/>
      <c r="E1689" s="129"/>
      <c r="F1689" s="129"/>
      <c r="G1689" s="144"/>
      <c r="H1689" s="129"/>
      <c r="I1689" s="144"/>
      <c r="J1689" s="144"/>
      <c r="K1689" s="144"/>
      <c r="L1689" s="146"/>
      <c r="M1689" s="142"/>
      <c r="N1689" s="144"/>
      <c r="O1689" s="142"/>
      <c r="P1689" s="142"/>
      <c r="Q1689" s="142"/>
      <c r="R1689" s="129"/>
      <c r="S1689" s="143"/>
      <c r="T1689" s="144"/>
      <c r="U1689" s="129"/>
      <c r="V1689" s="129"/>
    </row>
    <row r="1690" spans="1:22" x14ac:dyDescent="0.2">
      <c r="A1690" s="144"/>
      <c r="B1690" s="145"/>
      <c r="C1690" s="129"/>
      <c r="D1690" s="129"/>
      <c r="E1690" s="129"/>
      <c r="F1690" s="129"/>
      <c r="G1690" s="144"/>
      <c r="H1690" s="129"/>
      <c r="I1690" s="144"/>
      <c r="J1690" s="144"/>
      <c r="K1690" s="144"/>
      <c r="L1690" s="146"/>
      <c r="M1690" s="142"/>
      <c r="N1690" s="144"/>
      <c r="O1690" s="142"/>
      <c r="P1690" s="142"/>
      <c r="Q1690" s="142"/>
      <c r="R1690" s="129"/>
      <c r="S1690" s="143"/>
      <c r="T1690" s="144"/>
      <c r="U1690" s="129"/>
      <c r="V1690" s="129"/>
    </row>
    <row r="1691" spans="1:22" x14ac:dyDescent="0.2">
      <c r="A1691" s="144"/>
      <c r="B1691" s="145"/>
      <c r="C1691" s="129"/>
      <c r="D1691" s="129"/>
      <c r="E1691" s="129"/>
      <c r="F1691" s="129"/>
      <c r="G1691" s="144"/>
      <c r="H1691" s="129"/>
      <c r="I1691" s="144"/>
      <c r="J1691" s="144"/>
      <c r="K1691" s="144"/>
      <c r="L1691" s="146"/>
      <c r="M1691" s="142"/>
      <c r="N1691" s="144"/>
      <c r="O1691" s="142"/>
      <c r="P1691" s="142"/>
      <c r="Q1691" s="142"/>
      <c r="R1691" s="129"/>
      <c r="S1691" s="143"/>
      <c r="T1691" s="144"/>
      <c r="U1691" s="129"/>
      <c r="V1691" s="129"/>
    </row>
    <row r="1692" spans="1:22" x14ac:dyDescent="0.2">
      <c r="A1692" s="144"/>
      <c r="B1692" s="145"/>
      <c r="C1692" s="129"/>
      <c r="D1692" s="129"/>
      <c r="E1692" s="129"/>
      <c r="F1692" s="129"/>
      <c r="G1692" s="144"/>
      <c r="H1692" s="129"/>
      <c r="I1692" s="144"/>
      <c r="J1692" s="144"/>
      <c r="K1692" s="144"/>
      <c r="L1692" s="146"/>
      <c r="M1692" s="142"/>
      <c r="N1692" s="144"/>
      <c r="O1692" s="142"/>
      <c r="P1692" s="142"/>
      <c r="Q1692" s="142"/>
      <c r="R1692" s="129"/>
      <c r="S1692" s="143"/>
      <c r="T1692" s="144"/>
      <c r="U1692" s="129"/>
      <c r="V1692" s="129"/>
    </row>
    <row r="1693" spans="1:22" x14ac:dyDescent="0.2">
      <c r="A1693" s="144"/>
      <c r="B1693" s="145"/>
      <c r="C1693" s="129"/>
      <c r="D1693" s="129"/>
      <c r="E1693" s="129"/>
      <c r="F1693" s="129"/>
      <c r="G1693" s="144"/>
      <c r="H1693" s="129"/>
      <c r="I1693" s="144"/>
      <c r="J1693" s="144"/>
      <c r="K1693" s="144"/>
      <c r="L1693" s="146"/>
      <c r="M1693" s="142"/>
      <c r="N1693" s="144"/>
      <c r="O1693" s="142"/>
      <c r="P1693" s="142"/>
      <c r="Q1693" s="142"/>
      <c r="R1693" s="129"/>
      <c r="S1693" s="143"/>
      <c r="T1693" s="144"/>
      <c r="U1693" s="129"/>
      <c r="V1693" s="129"/>
    </row>
    <row r="1694" spans="1:22" x14ac:dyDescent="0.2">
      <c r="A1694" s="144"/>
      <c r="B1694" s="145"/>
      <c r="C1694" s="129"/>
      <c r="D1694" s="129"/>
      <c r="E1694" s="129"/>
      <c r="F1694" s="129"/>
      <c r="G1694" s="144"/>
      <c r="H1694" s="129"/>
      <c r="I1694" s="144"/>
      <c r="J1694" s="144"/>
      <c r="K1694" s="144"/>
      <c r="L1694" s="146"/>
      <c r="M1694" s="142"/>
      <c r="N1694" s="144"/>
      <c r="O1694" s="142"/>
      <c r="P1694" s="142"/>
      <c r="Q1694" s="142"/>
      <c r="R1694" s="129"/>
      <c r="S1694" s="143"/>
      <c r="T1694" s="144"/>
      <c r="U1694" s="129"/>
      <c r="V1694" s="129"/>
    </row>
    <row r="1695" spans="1:22" x14ac:dyDescent="0.2">
      <c r="A1695" s="144"/>
      <c r="B1695" s="145"/>
      <c r="C1695" s="129"/>
      <c r="D1695" s="129"/>
      <c r="E1695" s="129"/>
      <c r="F1695" s="129"/>
      <c r="G1695" s="144"/>
      <c r="H1695" s="129"/>
      <c r="I1695" s="144"/>
      <c r="J1695" s="144"/>
      <c r="K1695" s="144"/>
      <c r="L1695" s="146"/>
      <c r="M1695" s="142"/>
      <c r="N1695" s="144"/>
      <c r="O1695" s="142"/>
      <c r="P1695" s="142"/>
      <c r="Q1695" s="142"/>
      <c r="R1695" s="129"/>
      <c r="S1695" s="143"/>
      <c r="T1695" s="144"/>
      <c r="U1695" s="129"/>
      <c r="V1695" s="129"/>
    </row>
    <row r="1696" spans="1:22" x14ac:dyDescent="0.2">
      <c r="A1696" s="144"/>
      <c r="B1696" s="145"/>
      <c r="C1696" s="129"/>
      <c r="D1696" s="129"/>
      <c r="E1696" s="129"/>
      <c r="F1696" s="129"/>
      <c r="G1696" s="144"/>
      <c r="H1696" s="129"/>
      <c r="I1696" s="144"/>
      <c r="J1696" s="144"/>
      <c r="K1696" s="144"/>
      <c r="L1696" s="146"/>
      <c r="M1696" s="142"/>
      <c r="N1696" s="144"/>
      <c r="O1696" s="142"/>
      <c r="P1696" s="142"/>
      <c r="Q1696" s="142"/>
      <c r="R1696" s="129"/>
      <c r="S1696" s="143"/>
      <c r="T1696" s="144"/>
      <c r="U1696" s="129"/>
      <c r="V1696" s="129"/>
    </row>
    <row r="1697" spans="1:22" x14ac:dyDescent="0.2">
      <c r="A1697" s="144"/>
      <c r="B1697" s="145"/>
      <c r="C1697" s="129"/>
      <c r="D1697" s="129"/>
      <c r="E1697" s="129"/>
      <c r="F1697" s="129"/>
      <c r="G1697" s="144"/>
      <c r="H1697" s="129"/>
      <c r="I1697" s="144"/>
      <c r="J1697" s="144"/>
      <c r="K1697" s="144"/>
      <c r="L1697" s="146"/>
      <c r="M1697" s="142"/>
      <c r="N1697" s="144"/>
      <c r="O1697" s="142"/>
      <c r="P1697" s="142"/>
      <c r="Q1697" s="142"/>
      <c r="R1697" s="129"/>
      <c r="S1697" s="143"/>
      <c r="T1697" s="144"/>
      <c r="U1697" s="129"/>
      <c r="V1697" s="129"/>
    </row>
    <row r="1698" spans="1:22" x14ac:dyDescent="0.2">
      <c r="A1698" s="144"/>
      <c r="B1698" s="145"/>
      <c r="C1698" s="129"/>
      <c r="D1698" s="129"/>
      <c r="E1698" s="129"/>
      <c r="F1698" s="129"/>
      <c r="G1698" s="144"/>
      <c r="H1698" s="129"/>
      <c r="I1698" s="144"/>
      <c r="J1698" s="144"/>
      <c r="K1698" s="144"/>
      <c r="L1698" s="146"/>
      <c r="M1698" s="142"/>
      <c r="N1698" s="144"/>
      <c r="O1698" s="142"/>
      <c r="P1698" s="142"/>
      <c r="Q1698" s="142"/>
      <c r="R1698" s="129"/>
      <c r="S1698" s="143"/>
      <c r="T1698" s="144"/>
      <c r="U1698" s="129"/>
      <c r="V1698" s="129"/>
    </row>
    <row r="1699" spans="1:22" x14ac:dyDescent="0.2">
      <c r="A1699" s="144"/>
      <c r="B1699" s="145"/>
      <c r="C1699" s="129"/>
      <c r="D1699" s="129"/>
      <c r="E1699" s="129"/>
      <c r="F1699" s="129"/>
      <c r="G1699" s="144"/>
      <c r="H1699" s="129"/>
      <c r="I1699" s="144"/>
      <c r="J1699" s="144"/>
      <c r="K1699" s="144"/>
      <c r="L1699" s="146"/>
      <c r="M1699" s="142"/>
      <c r="N1699" s="144"/>
      <c r="O1699" s="142"/>
      <c r="P1699" s="142"/>
      <c r="Q1699" s="142"/>
      <c r="R1699" s="129"/>
      <c r="S1699" s="143"/>
      <c r="T1699" s="144"/>
      <c r="U1699" s="129"/>
      <c r="V1699" s="129"/>
    </row>
    <row r="1700" spans="1:22" x14ac:dyDescent="0.2">
      <c r="A1700" s="144"/>
      <c r="B1700" s="145"/>
      <c r="C1700" s="129"/>
      <c r="D1700" s="129"/>
      <c r="E1700" s="129"/>
      <c r="F1700" s="129"/>
      <c r="G1700" s="144"/>
      <c r="H1700" s="129"/>
      <c r="I1700" s="144"/>
      <c r="J1700" s="144"/>
      <c r="K1700" s="144"/>
      <c r="L1700" s="146"/>
      <c r="M1700" s="142"/>
      <c r="N1700" s="144"/>
      <c r="O1700" s="142"/>
      <c r="P1700" s="142"/>
      <c r="Q1700" s="142"/>
      <c r="R1700" s="129"/>
      <c r="S1700" s="143"/>
      <c r="T1700" s="144"/>
      <c r="U1700" s="129"/>
      <c r="V1700" s="129"/>
    </row>
    <row r="1701" spans="1:22" x14ac:dyDescent="0.2">
      <c r="A1701" s="144"/>
      <c r="B1701" s="145"/>
      <c r="C1701" s="129"/>
      <c r="D1701" s="129"/>
      <c r="E1701" s="129"/>
      <c r="F1701" s="129"/>
      <c r="G1701" s="144"/>
      <c r="H1701" s="129"/>
      <c r="I1701" s="144"/>
      <c r="J1701" s="144"/>
      <c r="K1701" s="144"/>
      <c r="L1701" s="146"/>
      <c r="M1701" s="142"/>
      <c r="N1701" s="144"/>
      <c r="O1701" s="142"/>
      <c r="P1701" s="142"/>
      <c r="Q1701" s="142"/>
      <c r="R1701" s="129"/>
      <c r="S1701" s="143"/>
      <c r="T1701" s="144"/>
      <c r="U1701" s="129"/>
      <c r="V1701" s="129"/>
    </row>
    <row r="1702" spans="1:22" x14ac:dyDescent="0.2">
      <c r="A1702" s="144"/>
      <c r="B1702" s="145"/>
      <c r="C1702" s="129"/>
      <c r="D1702" s="129"/>
      <c r="E1702" s="129"/>
      <c r="F1702" s="129"/>
      <c r="G1702" s="144"/>
      <c r="H1702" s="129"/>
      <c r="I1702" s="144"/>
      <c r="J1702" s="144"/>
      <c r="K1702" s="144"/>
      <c r="L1702" s="146"/>
      <c r="M1702" s="142"/>
      <c r="N1702" s="144"/>
      <c r="O1702" s="142"/>
      <c r="P1702" s="142"/>
      <c r="Q1702" s="142"/>
      <c r="R1702" s="129"/>
      <c r="S1702" s="143"/>
      <c r="T1702" s="144"/>
      <c r="U1702" s="129"/>
      <c r="V1702" s="129"/>
    </row>
    <row r="1703" spans="1:22" x14ac:dyDescent="0.2">
      <c r="A1703" s="144"/>
      <c r="B1703" s="145"/>
      <c r="C1703" s="129"/>
      <c r="D1703" s="129"/>
      <c r="E1703" s="129"/>
      <c r="F1703" s="129"/>
      <c r="G1703" s="144"/>
      <c r="H1703" s="129"/>
      <c r="I1703" s="144"/>
      <c r="J1703" s="144"/>
      <c r="K1703" s="144"/>
      <c r="L1703" s="146"/>
      <c r="M1703" s="142"/>
      <c r="N1703" s="144"/>
      <c r="O1703" s="142"/>
      <c r="P1703" s="142"/>
      <c r="Q1703" s="142"/>
      <c r="R1703" s="129"/>
      <c r="S1703" s="143"/>
      <c r="T1703" s="144"/>
      <c r="U1703" s="129"/>
      <c r="V1703" s="129"/>
    </row>
    <row r="1704" spans="1:22" x14ac:dyDescent="0.2">
      <c r="A1704" s="144"/>
      <c r="B1704" s="145"/>
      <c r="C1704" s="129"/>
      <c r="D1704" s="129"/>
      <c r="E1704" s="129"/>
      <c r="F1704" s="129"/>
      <c r="G1704" s="144"/>
      <c r="H1704" s="129"/>
      <c r="I1704" s="144"/>
      <c r="J1704" s="144"/>
      <c r="K1704" s="144"/>
      <c r="L1704" s="146"/>
      <c r="M1704" s="142"/>
      <c r="N1704" s="144"/>
      <c r="O1704" s="142"/>
      <c r="P1704" s="142"/>
      <c r="Q1704" s="142"/>
      <c r="R1704" s="129"/>
      <c r="S1704" s="143"/>
      <c r="T1704" s="144"/>
      <c r="U1704" s="129"/>
      <c r="V1704" s="129"/>
    </row>
    <row r="1705" spans="1:22" x14ac:dyDescent="0.2">
      <c r="A1705" s="144"/>
      <c r="B1705" s="145"/>
      <c r="C1705" s="129"/>
      <c r="D1705" s="129"/>
      <c r="E1705" s="129"/>
      <c r="F1705" s="129"/>
      <c r="G1705" s="144"/>
      <c r="H1705" s="129"/>
      <c r="I1705" s="144"/>
      <c r="J1705" s="144"/>
      <c r="K1705" s="144"/>
      <c r="L1705" s="146"/>
      <c r="M1705" s="142"/>
      <c r="N1705" s="144"/>
      <c r="O1705" s="142"/>
      <c r="P1705" s="142"/>
      <c r="Q1705" s="142"/>
      <c r="R1705" s="129"/>
      <c r="S1705" s="143"/>
      <c r="T1705" s="144"/>
      <c r="U1705" s="129"/>
      <c r="V1705" s="129"/>
    </row>
    <row r="1706" spans="1:22" x14ac:dyDescent="0.2">
      <c r="A1706" s="144"/>
      <c r="B1706" s="145"/>
      <c r="C1706" s="129"/>
      <c r="D1706" s="129"/>
      <c r="E1706" s="129"/>
      <c r="F1706" s="129"/>
      <c r="G1706" s="144"/>
      <c r="H1706" s="129"/>
      <c r="I1706" s="144"/>
      <c r="J1706" s="144"/>
      <c r="K1706" s="144"/>
      <c r="L1706" s="146"/>
      <c r="M1706" s="142"/>
      <c r="N1706" s="144"/>
      <c r="O1706" s="142"/>
      <c r="P1706" s="142"/>
      <c r="Q1706" s="142"/>
      <c r="R1706" s="129"/>
      <c r="S1706" s="143"/>
      <c r="T1706" s="144"/>
      <c r="U1706" s="129"/>
      <c r="V1706" s="129"/>
    </row>
    <row r="1707" spans="1:22" x14ac:dyDescent="0.2">
      <c r="A1707" s="144"/>
      <c r="B1707" s="145"/>
      <c r="C1707" s="129"/>
      <c r="D1707" s="129"/>
      <c r="E1707" s="129"/>
      <c r="F1707" s="129"/>
      <c r="G1707" s="144"/>
      <c r="H1707" s="129"/>
      <c r="I1707" s="144"/>
      <c r="J1707" s="144"/>
      <c r="K1707" s="144"/>
      <c r="L1707" s="146"/>
      <c r="M1707" s="142"/>
      <c r="N1707" s="144"/>
      <c r="O1707" s="142"/>
      <c r="P1707" s="142"/>
      <c r="Q1707" s="142"/>
      <c r="R1707" s="129"/>
      <c r="S1707" s="143"/>
      <c r="T1707" s="144"/>
      <c r="U1707" s="129"/>
      <c r="V1707" s="129"/>
    </row>
    <row r="1708" spans="1:22" x14ac:dyDescent="0.2">
      <c r="A1708" s="144"/>
      <c r="B1708" s="145"/>
      <c r="C1708" s="129"/>
      <c r="D1708" s="129"/>
      <c r="E1708" s="129"/>
      <c r="F1708" s="129"/>
      <c r="G1708" s="144"/>
      <c r="H1708" s="129"/>
      <c r="I1708" s="144"/>
      <c r="J1708" s="144"/>
      <c r="K1708" s="144"/>
      <c r="L1708" s="146"/>
      <c r="M1708" s="142"/>
      <c r="N1708" s="144"/>
      <c r="O1708" s="142"/>
      <c r="P1708" s="142"/>
      <c r="Q1708" s="142"/>
      <c r="R1708" s="129"/>
      <c r="S1708" s="143"/>
      <c r="T1708" s="144"/>
      <c r="U1708" s="129"/>
      <c r="V1708" s="129"/>
    </row>
    <row r="1709" spans="1:22" x14ac:dyDescent="0.2">
      <c r="A1709" s="144"/>
      <c r="B1709" s="145"/>
      <c r="C1709" s="129"/>
      <c r="D1709" s="129"/>
      <c r="E1709" s="129"/>
      <c r="F1709" s="129"/>
      <c r="G1709" s="144"/>
      <c r="H1709" s="129"/>
      <c r="I1709" s="144"/>
      <c r="J1709" s="144"/>
      <c r="K1709" s="144"/>
      <c r="L1709" s="146"/>
      <c r="M1709" s="142"/>
      <c r="N1709" s="144"/>
      <c r="O1709" s="142"/>
      <c r="P1709" s="142"/>
      <c r="Q1709" s="142"/>
      <c r="R1709" s="129"/>
      <c r="S1709" s="143"/>
      <c r="T1709" s="144"/>
      <c r="U1709" s="129"/>
      <c r="V1709" s="129"/>
    </row>
    <row r="1710" spans="1:22" x14ac:dyDescent="0.2">
      <c r="A1710" s="144"/>
      <c r="B1710" s="145"/>
      <c r="C1710" s="129"/>
      <c r="D1710" s="129"/>
      <c r="E1710" s="129"/>
      <c r="F1710" s="129"/>
      <c r="G1710" s="144"/>
      <c r="H1710" s="129"/>
      <c r="I1710" s="144"/>
      <c r="J1710" s="144"/>
      <c r="K1710" s="144"/>
      <c r="L1710" s="146"/>
      <c r="M1710" s="142"/>
      <c r="N1710" s="144"/>
      <c r="O1710" s="142"/>
      <c r="P1710" s="142"/>
      <c r="Q1710" s="142"/>
      <c r="R1710" s="129"/>
      <c r="S1710" s="143"/>
      <c r="T1710" s="144"/>
      <c r="U1710" s="129"/>
      <c r="V1710" s="129"/>
    </row>
    <row r="1711" spans="1:22" x14ac:dyDescent="0.2">
      <c r="A1711" s="144"/>
      <c r="B1711" s="145"/>
      <c r="C1711" s="129"/>
      <c r="D1711" s="129"/>
      <c r="E1711" s="129"/>
      <c r="F1711" s="129"/>
      <c r="G1711" s="144"/>
      <c r="H1711" s="129"/>
      <c r="I1711" s="144"/>
      <c r="J1711" s="144"/>
      <c r="K1711" s="144"/>
      <c r="L1711" s="146"/>
      <c r="M1711" s="142"/>
      <c r="N1711" s="144"/>
      <c r="O1711" s="142"/>
      <c r="P1711" s="142"/>
      <c r="Q1711" s="142"/>
      <c r="R1711" s="129"/>
      <c r="S1711" s="143"/>
      <c r="T1711" s="144"/>
      <c r="U1711" s="129"/>
      <c r="V1711" s="129"/>
    </row>
    <row r="1712" spans="1:22" x14ac:dyDescent="0.2">
      <c r="A1712" s="144"/>
      <c r="B1712" s="145"/>
      <c r="C1712" s="129"/>
      <c r="D1712" s="129"/>
      <c r="E1712" s="129"/>
      <c r="F1712" s="129"/>
      <c r="G1712" s="144"/>
      <c r="H1712" s="129"/>
      <c r="I1712" s="144"/>
      <c r="J1712" s="144"/>
      <c r="K1712" s="144"/>
      <c r="L1712" s="146"/>
      <c r="M1712" s="142"/>
      <c r="N1712" s="144"/>
      <c r="O1712" s="142"/>
      <c r="P1712" s="142"/>
      <c r="Q1712" s="142"/>
      <c r="R1712" s="129"/>
      <c r="S1712" s="143"/>
      <c r="T1712" s="144"/>
      <c r="U1712" s="129"/>
      <c r="V1712" s="129"/>
    </row>
    <row r="1713" spans="1:22" x14ac:dyDescent="0.2">
      <c r="A1713" s="144"/>
      <c r="B1713" s="145"/>
      <c r="C1713" s="129"/>
      <c r="D1713" s="129"/>
      <c r="E1713" s="129"/>
      <c r="F1713" s="129"/>
      <c r="G1713" s="144"/>
      <c r="H1713" s="129"/>
      <c r="I1713" s="144"/>
      <c r="J1713" s="144"/>
      <c r="K1713" s="144"/>
      <c r="L1713" s="146"/>
      <c r="M1713" s="142"/>
      <c r="N1713" s="144"/>
      <c r="O1713" s="142"/>
      <c r="P1713" s="142"/>
      <c r="Q1713" s="142"/>
      <c r="R1713" s="129"/>
      <c r="S1713" s="143"/>
      <c r="T1713" s="144"/>
      <c r="U1713" s="129"/>
      <c r="V1713" s="129"/>
    </row>
    <row r="1714" spans="1:22" x14ac:dyDescent="0.2">
      <c r="A1714" s="144"/>
      <c r="B1714" s="145"/>
      <c r="C1714" s="129"/>
      <c r="D1714" s="129"/>
      <c r="E1714" s="129"/>
      <c r="F1714" s="129"/>
      <c r="G1714" s="144"/>
      <c r="H1714" s="129"/>
      <c r="I1714" s="144"/>
      <c r="J1714" s="144"/>
      <c r="K1714" s="144"/>
      <c r="L1714" s="146"/>
      <c r="M1714" s="142"/>
      <c r="N1714" s="144"/>
      <c r="O1714" s="142"/>
      <c r="P1714" s="142"/>
      <c r="Q1714" s="142"/>
      <c r="R1714" s="129"/>
      <c r="S1714" s="143"/>
      <c r="T1714" s="144"/>
      <c r="U1714" s="129"/>
      <c r="V1714" s="129"/>
    </row>
    <row r="1715" spans="1:22" x14ac:dyDescent="0.2">
      <c r="A1715" s="144"/>
      <c r="B1715" s="145"/>
      <c r="C1715" s="129"/>
      <c r="D1715" s="129"/>
      <c r="E1715" s="129"/>
      <c r="F1715" s="129"/>
      <c r="G1715" s="144"/>
      <c r="H1715" s="129"/>
      <c r="I1715" s="144"/>
      <c r="J1715" s="144"/>
      <c r="K1715" s="144"/>
      <c r="L1715" s="146"/>
      <c r="M1715" s="142"/>
      <c r="N1715" s="144"/>
      <c r="O1715" s="142"/>
      <c r="P1715" s="142"/>
      <c r="Q1715" s="142"/>
      <c r="R1715" s="129"/>
      <c r="S1715" s="143"/>
      <c r="T1715" s="144"/>
      <c r="U1715" s="129"/>
      <c r="V1715" s="129"/>
    </row>
    <row r="1716" spans="1:22" x14ac:dyDescent="0.2">
      <c r="A1716" s="144"/>
      <c r="B1716" s="145"/>
      <c r="C1716" s="129"/>
      <c r="D1716" s="129"/>
      <c r="E1716" s="129"/>
      <c r="F1716" s="129"/>
      <c r="G1716" s="144"/>
      <c r="H1716" s="129"/>
      <c r="I1716" s="144"/>
      <c r="J1716" s="144"/>
      <c r="K1716" s="144"/>
      <c r="L1716" s="146"/>
      <c r="M1716" s="142"/>
      <c r="N1716" s="144"/>
      <c r="O1716" s="142"/>
      <c r="P1716" s="142"/>
      <c r="Q1716" s="142"/>
      <c r="R1716" s="129"/>
      <c r="S1716" s="143"/>
      <c r="T1716" s="144"/>
      <c r="U1716" s="129"/>
      <c r="V1716" s="129"/>
    </row>
    <row r="1717" spans="1:22" x14ac:dyDescent="0.2">
      <c r="A1717" s="144"/>
      <c r="B1717" s="145"/>
      <c r="C1717" s="129"/>
      <c r="D1717" s="129"/>
      <c r="E1717" s="129"/>
      <c r="F1717" s="129"/>
      <c r="G1717" s="144"/>
      <c r="H1717" s="129"/>
      <c r="I1717" s="144"/>
      <c r="J1717" s="144"/>
      <c r="K1717" s="144"/>
      <c r="L1717" s="146"/>
      <c r="M1717" s="142"/>
      <c r="N1717" s="144"/>
      <c r="O1717" s="142"/>
      <c r="P1717" s="142"/>
      <c r="Q1717" s="142"/>
      <c r="R1717" s="129"/>
      <c r="S1717" s="143"/>
      <c r="T1717" s="144"/>
      <c r="U1717" s="129"/>
      <c r="V1717" s="129"/>
    </row>
    <row r="1718" spans="1:22" x14ac:dyDescent="0.2">
      <c r="A1718" s="144"/>
      <c r="B1718" s="145"/>
      <c r="C1718" s="129"/>
      <c r="D1718" s="129"/>
      <c r="E1718" s="129"/>
      <c r="F1718" s="129"/>
      <c r="G1718" s="144"/>
      <c r="H1718" s="129"/>
      <c r="I1718" s="144"/>
      <c r="J1718" s="144"/>
      <c r="K1718" s="144"/>
      <c r="L1718" s="146"/>
      <c r="M1718" s="142"/>
      <c r="N1718" s="144"/>
      <c r="O1718" s="142"/>
      <c r="P1718" s="142"/>
      <c r="Q1718" s="142"/>
      <c r="R1718" s="129"/>
      <c r="S1718" s="143"/>
      <c r="T1718" s="144"/>
      <c r="U1718" s="129"/>
      <c r="V1718" s="129"/>
    </row>
    <row r="1719" spans="1:22" x14ac:dyDescent="0.2">
      <c r="A1719" s="144"/>
      <c r="B1719" s="145"/>
      <c r="C1719" s="129"/>
      <c r="D1719" s="129"/>
      <c r="E1719" s="129"/>
      <c r="F1719" s="129"/>
      <c r="G1719" s="144"/>
      <c r="H1719" s="129"/>
      <c r="I1719" s="144"/>
      <c r="J1719" s="144"/>
      <c r="K1719" s="144"/>
      <c r="L1719" s="146"/>
      <c r="M1719" s="142"/>
      <c r="N1719" s="144"/>
      <c r="O1719" s="142"/>
      <c r="P1719" s="142"/>
      <c r="Q1719" s="142"/>
      <c r="R1719" s="129"/>
      <c r="S1719" s="143"/>
      <c r="T1719" s="144"/>
      <c r="U1719" s="129"/>
      <c r="V1719" s="129"/>
    </row>
    <row r="1720" spans="1:22" x14ac:dyDescent="0.2">
      <c r="A1720" s="144"/>
      <c r="B1720" s="145"/>
      <c r="C1720" s="129"/>
      <c r="D1720" s="129"/>
      <c r="E1720" s="129"/>
      <c r="F1720" s="129"/>
      <c r="G1720" s="144"/>
      <c r="H1720" s="129"/>
      <c r="I1720" s="144"/>
      <c r="J1720" s="144"/>
      <c r="K1720" s="144"/>
      <c r="L1720" s="146"/>
      <c r="M1720" s="142"/>
      <c r="N1720" s="144"/>
      <c r="O1720" s="142"/>
      <c r="P1720" s="142"/>
      <c r="Q1720" s="142"/>
      <c r="R1720" s="129"/>
      <c r="S1720" s="143"/>
      <c r="T1720" s="144"/>
      <c r="U1720" s="129"/>
      <c r="V1720" s="129"/>
    </row>
    <row r="1721" spans="1:22" x14ac:dyDescent="0.2">
      <c r="A1721" s="144"/>
      <c r="B1721" s="145"/>
      <c r="C1721" s="129"/>
      <c r="D1721" s="129"/>
      <c r="E1721" s="129"/>
      <c r="F1721" s="129"/>
      <c r="G1721" s="144"/>
      <c r="H1721" s="129"/>
      <c r="I1721" s="144"/>
      <c r="J1721" s="144"/>
      <c r="K1721" s="144"/>
      <c r="L1721" s="146"/>
      <c r="M1721" s="142"/>
      <c r="N1721" s="144"/>
      <c r="O1721" s="142"/>
      <c r="P1721" s="142"/>
      <c r="Q1721" s="142"/>
      <c r="R1721" s="129"/>
      <c r="S1721" s="143"/>
      <c r="T1721" s="144"/>
      <c r="U1721" s="129"/>
      <c r="V1721" s="129"/>
    </row>
    <row r="1722" spans="1:22" x14ac:dyDescent="0.2">
      <c r="A1722" s="144"/>
      <c r="B1722" s="145"/>
      <c r="C1722" s="129"/>
      <c r="D1722" s="129"/>
      <c r="E1722" s="129"/>
      <c r="F1722" s="129"/>
      <c r="G1722" s="144"/>
      <c r="H1722" s="129"/>
      <c r="I1722" s="144"/>
      <c r="J1722" s="144"/>
      <c r="K1722" s="144"/>
      <c r="L1722" s="146"/>
      <c r="M1722" s="142"/>
      <c r="N1722" s="144"/>
      <c r="O1722" s="142"/>
      <c r="P1722" s="142"/>
      <c r="Q1722" s="142"/>
      <c r="R1722" s="129"/>
      <c r="S1722" s="143"/>
      <c r="T1722" s="144"/>
      <c r="U1722" s="129"/>
      <c r="V1722" s="129"/>
    </row>
    <row r="1723" spans="1:22" x14ac:dyDescent="0.2">
      <c r="A1723" s="144"/>
      <c r="B1723" s="145"/>
      <c r="C1723" s="129"/>
      <c r="D1723" s="129"/>
      <c r="E1723" s="129"/>
      <c r="F1723" s="129"/>
      <c r="G1723" s="144"/>
      <c r="H1723" s="129"/>
      <c r="I1723" s="144"/>
      <c r="J1723" s="144"/>
      <c r="K1723" s="144"/>
      <c r="L1723" s="146"/>
      <c r="M1723" s="142"/>
      <c r="N1723" s="144"/>
      <c r="O1723" s="142"/>
      <c r="P1723" s="142"/>
      <c r="Q1723" s="142"/>
      <c r="R1723" s="129"/>
      <c r="S1723" s="143"/>
      <c r="T1723" s="144"/>
      <c r="U1723" s="129"/>
      <c r="V1723" s="129"/>
    </row>
    <row r="1724" spans="1:22" x14ac:dyDescent="0.2">
      <c r="A1724" s="144"/>
      <c r="B1724" s="145"/>
      <c r="C1724" s="129"/>
      <c r="D1724" s="129"/>
      <c r="E1724" s="129"/>
      <c r="F1724" s="129"/>
      <c r="G1724" s="144"/>
      <c r="H1724" s="129"/>
      <c r="I1724" s="144"/>
      <c r="J1724" s="144"/>
      <c r="K1724" s="144"/>
      <c r="L1724" s="146"/>
      <c r="M1724" s="142"/>
      <c r="N1724" s="144"/>
      <c r="O1724" s="142"/>
      <c r="P1724" s="142"/>
      <c r="Q1724" s="142"/>
      <c r="R1724" s="129"/>
      <c r="S1724" s="143"/>
      <c r="T1724" s="144"/>
      <c r="U1724" s="129"/>
      <c r="V1724" s="129"/>
    </row>
    <row r="1725" spans="1:22" x14ac:dyDescent="0.2">
      <c r="A1725" s="144"/>
      <c r="B1725" s="145"/>
      <c r="C1725" s="129"/>
      <c r="D1725" s="129"/>
      <c r="E1725" s="129"/>
      <c r="F1725" s="129"/>
      <c r="G1725" s="144"/>
      <c r="H1725" s="129"/>
      <c r="I1725" s="144"/>
      <c r="J1725" s="144"/>
      <c r="K1725" s="144"/>
      <c r="L1725" s="146"/>
      <c r="M1725" s="142"/>
      <c r="N1725" s="144"/>
      <c r="O1725" s="142"/>
      <c r="P1725" s="142"/>
      <c r="Q1725" s="142"/>
      <c r="R1725" s="129"/>
      <c r="S1725" s="143"/>
      <c r="T1725" s="144"/>
      <c r="U1725" s="129"/>
      <c r="V1725" s="129"/>
    </row>
    <row r="1726" spans="1:22" x14ac:dyDescent="0.2">
      <c r="A1726" s="144"/>
      <c r="B1726" s="145"/>
      <c r="C1726" s="129"/>
      <c r="D1726" s="129"/>
      <c r="E1726" s="129"/>
      <c r="F1726" s="129"/>
      <c r="G1726" s="144"/>
      <c r="H1726" s="129"/>
      <c r="I1726" s="144"/>
      <c r="J1726" s="144"/>
      <c r="K1726" s="144"/>
      <c r="L1726" s="146"/>
      <c r="M1726" s="142"/>
      <c r="N1726" s="144"/>
      <c r="O1726" s="142"/>
      <c r="P1726" s="142"/>
      <c r="Q1726" s="142"/>
      <c r="R1726" s="129"/>
      <c r="S1726" s="143"/>
      <c r="T1726" s="144"/>
      <c r="U1726" s="129"/>
      <c r="V1726" s="129"/>
    </row>
    <row r="1727" spans="1:22" x14ac:dyDescent="0.2">
      <c r="A1727" s="144"/>
      <c r="B1727" s="145"/>
      <c r="C1727" s="129"/>
      <c r="D1727" s="129"/>
      <c r="E1727" s="129"/>
      <c r="F1727" s="129"/>
      <c r="G1727" s="144"/>
      <c r="H1727" s="129"/>
      <c r="I1727" s="144"/>
      <c r="J1727" s="144"/>
      <c r="K1727" s="144"/>
      <c r="L1727" s="146"/>
      <c r="M1727" s="142"/>
      <c r="N1727" s="144"/>
      <c r="O1727" s="142"/>
      <c r="P1727" s="142"/>
      <c r="Q1727" s="142"/>
      <c r="R1727" s="129"/>
      <c r="S1727" s="143"/>
      <c r="T1727" s="144"/>
      <c r="U1727" s="129"/>
      <c r="V1727" s="129"/>
    </row>
    <row r="1728" spans="1:22" x14ac:dyDescent="0.2">
      <c r="A1728" s="144"/>
      <c r="B1728" s="145"/>
      <c r="C1728" s="129"/>
      <c r="D1728" s="129"/>
      <c r="E1728" s="129"/>
      <c r="F1728" s="129"/>
      <c r="G1728" s="144"/>
      <c r="H1728" s="129"/>
      <c r="I1728" s="144"/>
      <c r="J1728" s="144"/>
      <c r="K1728" s="144"/>
      <c r="L1728" s="146"/>
      <c r="M1728" s="142"/>
      <c r="N1728" s="144"/>
      <c r="O1728" s="142"/>
      <c r="P1728" s="142"/>
      <c r="Q1728" s="142"/>
      <c r="R1728" s="129"/>
      <c r="S1728" s="143"/>
      <c r="T1728" s="144"/>
      <c r="U1728" s="129"/>
      <c r="V1728" s="129"/>
    </row>
    <row r="1729" spans="1:22" x14ac:dyDescent="0.2">
      <c r="A1729" s="144"/>
      <c r="B1729" s="145"/>
      <c r="C1729" s="129"/>
      <c r="D1729" s="129"/>
      <c r="E1729" s="129"/>
      <c r="F1729" s="129"/>
      <c r="G1729" s="144"/>
      <c r="H1729" s="129"/>
      <c r="I1729" s="144"/>
      <c r="J1729" s="144"/>
      <c r="K1729" s="144"/>
      <c r="L1729" s="146"/>
      <c r="M1729" s="142"/>
      <c r="N1729" s="144"/>
      <c r="O1729" s="142"/>
      <c r="P1729" s="142"/>
      <c r="Q1729" s="142"/>
      <c r="R1729" s="129"/>
      <c r="S1729" s="143"/>
      <c r="T1729" s="144"/>
      <c r="U1729" s="129"/>
      <c r="V1729" s="129"/>
    </row>
    <row r="1730" spans="1:22" x14ac:dyDescent="0.2">
      <c r="A1730" s="144"/>
      <c r="B1730" s="145"/>
      <c r="C1730" s="129"/>
      <c r="D1730" s="129"/>
      <c r="E1730" s="129"/>
      <c r="F1730" s="129"/>
      <c r="G1730" s="144"/>
      <c r="H1730" s="129"/>
      <c r="I1730" s="144"/>
      <c r="J1730" s="144"/>
      <c r="K1730" s="144"/>
      <c r="L1730" s="146"/>
      <c r="M1730" s="142"/>
      <c r="N1730" s="144"/>
      <c r="O1730" s="142"/>
      <c r="P1730" s="142"/>
      <c r="Q1730" s="142"/>
      <c r="R1730" s="129"/>
      <c r="S1730" s="143"/>
      <c r="T1730" s="144"/>
      <c r="U1730" s="129"/>
      <c r="V1730" s="129"/>
    </row>
    <row r="1731" spans="1:22" x14ac:dyDescent="0.2">
      <c r="A1731" s="144"/>
      <c r="B1731" s="145"/>
      <c r="C1731" s="129"/>
      <c r="D1731" s="129"/>
      <c r="E1731" s="129"/>
      <c r="F1731" s="129"/>
      <c r="G1731" s="144"/>
      <c r="H1731" s="129"/>
      <c r="I1731" s="144"/>
      <c r="J1731" s="144"/>
      <c r="K1731" s="144"/>
      <c r="L1731" s="146"/>
      <c r="M1731" s="142"/>
      <c r="N1731" s="144"/>
      <c r="O1731" s="142"/>
      <c r="P1731" s="142"/>
      <c r="Q1731" s="142"/>
      <c r="R1731" s="129"/>
      <c r="S1731" s="143"/>
      <c r="T1731" s="144"/>
      <c r="U1731" s="129"/>
      <c r="V1731" s="129"/>
    </row>
    <row r="1732" spans="1:22" x14ac:dyDescent="0.2">
      <c r="A1732" s="144"/>
      <c r="B1732" s="145"/>
      <c r="C1732" s="129"/>
      <c r="D1732" s="129"/>
      <c r="E1732" s="129"/>
      <c r="F1732" s="129"/>
      <c r="G1732" s="144"/>
      <c r="H1732" s="129"/>
      <c r="I1732" s="144"/>
      <c r="J1732" s="144"/>
      <c r="K1732" s="144"/>
      <c r="L1732" s="146"/>
      <c r="M1732" s="142"/>
      <c r="N1732" s="144"/>
      <c r="O1732" s="142"/>
      <c r="P1732" s="142"/>
      <c r="Q1732" s="142"/>
      <c r="R1732" s="129"/>
      <c r="S1732" s="143"/>
      <c r="T1732" s="144"/>
      <c r="U1732" s="129"/>
      <c r="V1732" s="129"/>
    </row>
    <row r="1733" spans="1:22" x14ac:dyDescent="0.2">
      <c r="A1733" s="144"/>
      <c r="B1733" s="145"/>
      <c r="C1733" s="129"/>
      <c r="D1733" s="129"/>
      <c r="E1733" s="129"/>
      <c r="F1733" s="129"/>
      <c r="G1733" s="144"/>
      <c r="H1733" s="129"/>
      <c r="I1733" s="144"/>
      <c r="J1733" s="144"/>
      <c r="K1733" s="144"/>
      <c r="L1733" s="146"/>
      <c r="M1733" s="142"/>
      <c r="N1733" s="144"/>
      <c r="O1733" s="142"/>
      <c r="P1733" s="142"/>
      <c r="Q1733" s="142"/>
      <c r="R1733" s="129"/>
      <c r="S1733" s="143"/>
      <c r="T1733" s="144"/>
      <c r="U1733" s="129"/>
      <c r="V1733" s="129"/>
    </row>
    <row r="1734" spans="1:22" x14ac:dyDescent="0.2">
      <c r="A1734" s="144"/>
      <c r="B1734" s="145"/>
      <c r="C1734" s="129"/>
      <c r="D1734" s="129"/>
      <c r="E1734" s="129"/>
      <c r="F1734" s="129"/>
      <c r="G1734" s="144"/>
      <c r="H1734" s="129"/>
      <c r="I1734" s="144"/>
      <c r="J1734" s="144"/>
      <c r="K1734" s="144"/>
      <c r="L1734" s="146"/>
      <c r="M1734" s="142"/>
      <c r="N1734" s="144"/>
      <c r="O1734" s="142"/>
      <c r="P1734" s="142"/>
      <c r="Q1734" s="142"/>
      <c r="R1734" s="129"/>
      <c r="S1734" s="143"/>
      <c r="T1734" s="144"/>
      <c r="U1734" s="129"/>
      <c r="V1734" s="129"/>
    </row>
    <row r="1735" spans="1:22" x14ac:dyDescent="0.2">
      <c r="A1735" s="144"/>
      <c r="B1735" s="145"/>
      <c r="C1735" s="129"/>
      <c r="D1735" s="129"/>
      <c r="E1735" s="129"/>
      <c r="F1735" s="129"/>
      <c r="G1735" s="144"/>
      <c r="H1735" s="129"/>
      <c r="I1735" s="144"/>
      <c r="J1735" s="144"/>
      <c r="K1735" s="144"/>
      <c r="L1735" s="146"/>
      <c r="M1735" s="142"/>
      <c r="N1735" s="144"/>
      <c r="O1735" s="142"/>
      <c r="P1735" s="142"/>
      <c r="Q1735" s="142"/>
      <c r="R1735" s="129"/>
      <c r="S1735" s="143"/>
      <c r="T1735" s="144"/>
      <c r="U1735" s="129"/>
      <c r="V1735" s="129"/>
    </row>
    <row r="1736" spans="1:22" x14ac:dyDescent="0.2">
      <c r="A1736" s="144"/>
      <c r="B1736" s="145"/>
      <c r="C1736" s="129"/>
      <c r="D1736" s="129"/>
      <c r="E1736" s="129"/>
      <c r="F1736" s="129"/>
      <c r="G1736" s="144"/>
      <c r="H1736" s="129"/>
      <c r="I1736" s="144"/>
      <c r="J1736" s="144"/>
      <c r="K1736" s="144"/>
      <c r="L1736" s="146"/>
      <c r="M1736" s="142"/>
      <c r="N1736" s="144"/>
      <c r="O1736" s="142"/>
      <c r="P1736" s="142"/>
      <c r="Q1736" s="142"/>
      <c r="R1736" s="129"/>
      <c r="S1736" s="143"/>
      <c r="T1736" s="144"/>
      <c r="U1736" s="129"/>
      <c r="V1736" s="129"/>
    </row>
    <row r="1737" spans="1:22" x14ac:dyDescent="0.2">
      <c r="A1737" s="144"/>
      <c r="B1737" s="145"/>
      <c r="C1737" s="129"/>
      <c r="D1737" s="129"/>
      <c r="E1737" s="129"/>
      <c r="F1737" s="129"/>
      <c r="G1737" s="144"/>
      <c r="H1737" s="129"/>
      <c r="I1737" s="144"/>
      <c r="J1737" s="144"/>
      <c r="K1737" s="144"/>
      <c r="L1737" s="146"/>
      <c r="M1737" s="142"/>
      <c r="N1737" s="144"/>
      <c r="O1737" s="142"/>
      <c r="P1737" s="142"/>
      <c r="Q1737" s="142"/>
      <c r="R1737" s="129"/>
      <c r="S1737" s="143"/>
      <c r="T1737" s="144"/>
      <c r="U1737" s="129"/>
      <c r="V1737" s="129"/>
    </row>
    <row r="1738" spans="1:22" x14ac:dyDescent="0.2">
      <c r="A1738" s="144"/>
      <c r="B1738" s="145"/>
      <c r="C1738" s="129"/>
      <c r="D1738" s="129"/>
      <c r="E1738" s="129"/>
      <c r="F1738" s="129"/>
      <c r="G1738" s="144"/>
      <c r="H1738" s="129"/>
      <c r="I1738" s="144"/>
      <c r="J1738" s="144"/>
      <c r="K1738" s="144"/>
      <c r="L1738" s="146"/>
      <c r="M1738" s="142"/>
      <c r="N1738" s="144"/>
      <c r="O1738" s="142"/>
      <c r="P1738" s="142"/>
      <c r="Q1738" s="142"/>
      <c r="R1738" s="129"/>
      <c r="S1738" s="143"/>
      <c r="T1738" s="144"/>
      <c r="U1738" s="129"/>
      <c r="V1738" s="129"/>
    </row>
    <row r="1739" spans="1:22" x14ac:dyDescent="0.2">
      <c r="A1739" s="144"/>
      <c r="B1739" s="145"/>
      <c r="C1739" s="129"/>
      <c r="D1739" s="129"/>
      <c r="E1739" s="129"/>
      <c r="F1739" s="129"/>
      <c r="G1739" s="144"/>
      <c r="H1739" s="129"/>
      <c r="I1739" s="144"/>
      <c r="J1739" s="144"/>
      <c r="K1739" s="144"/>
      <c r="L1739" s="146"/>
      <c r="M1739" s="142"/>
      <c r="N1739" s="144"/>
      <c r="O1739" s="142"/>
      <c r="P1739" s="142"/>
      <c r="Q1739" s="142"/>
      <c r="R1739" s="129"/>
      <c r="S1739" s="143"/>
      <c r="T1739" s="144"/>
      <c r="U1739" s="129"/>
      <c r="V1739" s="129"/>
    </row>
    <row r="1740" spans="1:22" x14ac:dyDescent="0.2">
      <c r="A1740" s="144"/>
      <c r="B1740" s="145"/>
      <c r="C1740" s="129"/>
      <c r="D1740" s="129"/>
      <c r="E1740" s="129"/>
      <c r="F1740" s="129"/>
      <c r="G1740" s="144"/>
      <c r="H1740" s="129"/>
      <c r="I1740" s="144"/>
      <c r="J1740" s="144"/>
      <c r="K1740" s="144"/>
      <c r="L1740" s="146"/>
      <c r="M1740" s="142"/>
      <c r="N1740" s="144"/>
      <c r="O1740" s="142"/>
      <c r="P1740" s="142"/>
      <c r="Q1740" s="142"/>
      <c r="R1740" s="129"/>
      <c r="S1740" s="143"/>
      <c r="T1740" s="144"/>
      <c r="U1740" s="129"/>
      <c r="V1740" s="129"/>
    </row>
    <row r="1741" spans="1:22" x14ac:dyDescent="0.2">
      <c r="A1741" s="144"/>
      <c r="B1741" s="145"/>
      <c r="C1741" s="129"/>
      <c r="D1741" s="129"/>
      <c r="E1741" s="129"/>
      <c r="F1741" s="129"/>
      <c r="G1741" s="144"/>
      <c r="H1741" s="129"/>
      <c r="I1741" s="144"/>
      <c r="J1741" s="144"/>
      <c r="K1741" s="144"/>
      <c r="L1741" s="146"/>
      <c r="M1741" s="142"/>
      <c r="N1741" s="144"/>
      <c r="O1741" s="142"/>
      <c r="P1741" s="142"/>
      <c r="Q1741" s="142"/>
      <c r="R1741" s="129"/>
      <c r="S1741" s="143"/>
      <c r="T1741" s="144"/>
      <c r="U1741" s="129"/>
      <c r="V1741" s="129"/>
    </row>
    <row r="1742" spans="1:22" x14ac:dyDescent="0.2">
      <c r="A1742" s="144"/>
      <c r="B1742" s="145"/>
      <c r="C1742" s="129"/>
      <c r="D1742" s="129"/>
      <c r="E1742" s="129"/>
      <c r="F1742" s="129"/>
      <c r="G1742" s="144"/>
      <c r="H1742" s="129"/>
      <c r="I1742" s="144"/>
      <c r="J1742" s="144"/>
      <c r="K1742" s="144"/>
      <c r="L1742" s="146"/>
      <c r="M1742" s="142"/>
      <c r="N1742" s="144"/>
      <c r="O1742" s="142"/>
      <c r="P1742" s="142"/>
      <c r="Q1742" s="142"/>
      <c r="R1742" s="129"/>
      <c r="S1742" s="143"/>
      <c r="T1742" s="144"/>
      <c r="U1742" s="129"/>
      <c r="V1742" s="129"/>
    </row>
    <row r="1743" spans="1:22" x14ac:dyDescent="0.2">
      <c r="A1743" s="144"/>
      <c r="B1743" s="145"/>
      <c r="C1743" s="129"/>
      <c r="D1743" s="129"/>
      <c r="E1743" s="129"/>
      <c r="F1743" s="129"/>
      <c r="G1743" s="144"/>
      <c r="H1743" s="129"/>
      <c r="I1743" s="144"/>
      <c r="J1743" s="144"/>
      <c r="K1743" s="144"/>
      <c r="L1743" s="146"/>
      <c r="M1743" s="142"/>
      <c r="N1743" s="144"/>
      <c r="O1743" s="142"/>
      <c r="P1743" s="142"/>
      <c r="Q1743" s="142"/>
      <c r="R1743" s="129"/>
      <c r="S1743" s="143"/>
      <c r="T1743" s="144"/>
      <c r="U1743" s="129"/>
      <c r="V1743" s="129"/>
    </row>
    <row r="1744" spans="1:22" x14ac:dyDescent="0.2">
      <c r="A1744" s="144"/>
      <c r="B1744" s="145"/>
      <c r="C1744" s="129"/>
      <c r="D1744" s="129"/>
      <c r="E1744" s="129"/>
      <c r="F1744" s="129"/>
      <c r="G1744" s="144"/>
      <c r="H1744" s="129"/>
      <c r="I1744" s="144"/>
      <c r="J1744" s="144"/>
      <c r="K1744" s="144"/>
      <c r="L1744" s="146"/>
      <c r="M1744" s="142"/>
      <c r="N1744" s="144"/>
      <c r="O1744" s="142"/>
      <c r="P1744" s="142"/>
      <c r="Q1744" s="142"/>
      <c r="R1744" s="129"/>
      <c r="S1744" s="143"/>
      <c r="T1744" s="144"/>
      <c r="U1744" s="129"/>
      <c r="V1744" s="129"/>
    </row>
    <row r="1745" spans="1:22" x14ac:dyDescent="0.2">
      <c r="A1745" s="144"/>
      <c r="B1745" s="145"/>
      <c r="C1745" s="129"/>
      <c r="D1745" s="129"/>
      <c r="E1745" s="129"/>
      <c r="F1745" s="129"/>
      <c r="G1745" s="144"/>
      <c r="H1745" s="129"/>
      <c r="I1745" s="144"/>
      <c r="J1745" s="144"/>
      <c r="K1745" s="144"/>
      <c r="L1745" s="146"/>
      <c r="M1745" s="142"/>
      <c r="N1745" s="144"/>
      <c r="O1745" s="142"/>
      <c r="P1745" s="142"/>
      <c r="Q1745" s="142"/>
      <c r="R1745" s="129"/>
      <c r="S1745" s="143"/>
      <c r="T1745" s="144"/>
      <c r="U1745" s="129"/>
      <c r="V1745" s="129"/>
    </row>
    <row r="1746" spans="1:22" x14ac:dyDescent="0.2">
      <c r="A1746" s="144"/>
      <c r="B1746" s="145"/>
      <c r="C1746" s="129"/>
      <c r="D1746" s="129"/>
      <c r="E1746" s="129"/>
      <c r="F1746" s="129"/>
      <c r="G1746" s="144"/>
      <c r="H1746" s="129"/>
      <c r="I1746" s="144"/>
      <c r="J1746" s="144"/>
      <c r="K1746" s="144"/>
      <c r="L1746" s="146"/>
      <c r="M1746" s="142"/>
      <c r="N1746" s="144"/>
      <c r="O1746" s="142"/>
      <c r="P1746" s="142"/>
      <c r="Q1746" s="142"/>
      <c r="R1746" s="129"/>
      <c r="S1746" s="143"/>
      <c r="T1746" s="144"/>
      <c r="U1746" s="129"/>
      <c r="V1746" s="129"/>
    </row>
    <row r="1747" spans="1:22" x14ac:dyDescent="0.2">
      <c r="A1747" s="144"/>
      <c r="B1747" s="145"/>
      <c r="C1747" s="129"/>
      <c r="D1747" s="129"/>
      <c r="E1747" s="129"/>
      <c r="F1747" s="129"/>
      <c r="G1747" s="144"/>
      <c r="H1747" s="129"/>
      <c r="I1747" s="144"/>
      <c r="J1747" s="144"/>
      <c r="K1747" s="144"/>
      <c r="L1747" s="146"/>
      <c r="M1747" s="142"/>
      <c r="N1747" s="144"/>
      <c r="O1747" s="142"/>
      <c r="P1747" s="142"/>
      <c r="Q1747" s="142"/>
      <c r="R1747" s="129"/>
      <c r="S1747" s="143"/>
      <c r="T1747" s="144"/>
      <c r="U1747" s="129"/>
      <c r="V1747" s="129"/>
    </row>
    <row r="1748" spans="1:22" x14ac:dyDescent="0.2">
      <c r="A1748" s="144"/>
      <c r="B1748" s="145"/>
      <c r="C1748" s="129"/>
      <c r="D1748" s="129"/>
      <c r="E1748" s="129"/>
      <c r="F1748" s="129"/>
      <c r="G1748" s="144"/>
      <c r="H1748" s="129"/>
      <c r="I1748" s="144"/>
      <c r="J1748" s="144"/>
      <c r="K1748" s="144"/>
      <c r="L1748" s="146"/>
      <c r="M1748" s="142"/>
      <c r="N1748" s="144"/>
      <c r="O1748" s="142"/>
      <c r="P1748" s="142"/>
      <c r="Q1748" s="142"/>
      <c r="R1748" s="129"/>
      <c r="S1748" s="143"/>
      <c r="T1748" s="144"/>
      <c r="U1748" s="129"/>
      <c r="V1748" s="129"/>
    </row>
    <row r="1749" spans="1:22" x14ac:dyDescent="0.2">
      <c r="A1749" s="144"/>
      <c r="B1749" s="145"/>
      <c r="C1749" s="129"/>
      <c r="D1749" s="129"/>
      <c r="E1749" s="129"/>
      <c r="F1749" s="129"/>
      <c r="G1749" s="144"/>
      <c r="H1749" s="129"/>
      <c r="I1749" s="144"/>
      <c r="J1749" s="144"/>
      <c r="K1749" s="144"/>
      <c r="L1749" s="146"/>
      <c r="M1749" s="142"/>
      <c r="N1749" s="144"/>
      <c r="O1749" s="142"/>
      <c r="P1749" s="142"/>
      <c r="Q1749" s="142"/>
      <c r="R1749" s="129"/>
      <c r="S1749" s="143"/>
      <c r="T1749" s="144"/>
      <c r="U1749" s="129"/>
      <c r="V1749" s="129"/>
    </row>
    <row r="1750" spans="1:22" x14ac:dyDescent="0.2">
      <c r="A1750" s="144"/>
      <c r="B1750" s="145"/>
      <c r="C1750" s="129"/>
      <c r="D1750" s="129"/>
      <c r="E1750" s="129"/>
      <c r="F1750" s="129"/>
      <c r="G1750" s="144"/>
      <c r="H1750" s="129"/>
      <c r="I1750" s="144"/>
      <c r="J1750" s="144"/>
      <c r="K1750" s="144"/>
      <c r="L1750" s="146"/>
      <c r="M1750" s="142"/>
      <c r="N1750" s="144"/>
      <c r="O1750" s="142"/>
      <c r="P1750" s="142"/>
      <c r="Q1750" s="142"/>
      <c r="R1750" s="129"/>
      <c r="S1750" s="143"/>
      <c r="T1750" s="144"/>
      <c r="U1750" s="129"/>
      <c r="V1750" s="129"/>
    </row>
    <row r="1751" spans="1:22" x14ac:dyDescent="0.2">
      <c r="A1751" s="144"/>
      <c r="B1751" s="145"/>
      <c r="C1751" s="129"/>
      <c r="D1751" s="129"/>
      <c r="E1751" s="129"/>
      <c r="F1751" s="129"/>
      <c r="G1751" s="144"/>
      <c r="H1751" s="129"/>
      <c r="I1751" s="144"/>
      <c r="J1751" s="144"/>
      <c r="K1751" s="144"/>
      <c r="L1751" s="146"/>
      <c r="M1751" s="142"/>
      <c r="N1751" s="144"/>
      <c r="O1751" s="142"/>
      <c r="P1751" s="142"/>
      <c r="Q1751" s="142"/>
      <c r="R1751" s="129"/>
      <c r="S1751" s="143"/>
      <c r="T1751" s="144"/>
      <c r="U1751" s="129"/>
      <c r="V1751" s="129"/>
    </row>
    <row r="1752" spans="1:22" x14ac:dyDescent="0.2">
      <c r="A1752" s="144"/>
      <c r="B1752" s="145"/>
      <c r="C1752" s="129"/>
      <c r="D1752" s="129"/>
      <c r="E1752" s="129"/>
      <c r="F1752" s="129"/>
      <c r="G1752" s="144"/>
      <c r="H1752" s="129"/>
      <c r="I1752" s="144"/>
      <c r="J1752" s="144"/>
      <c r="K1752" s="144"/>
      <c r="L1752" s="146"/>
      <c r="M1752" s="142"/>
      <c r="N1752" s="144"/>
      <c r="O1752" s="142"/>
      <c r="P1752" s="142"/>
      <c r="Q1752" s="142"/>
      <c r="R1752" s="129"/>
      <c r="S1752" s="143"/>
      <c r="T1752" s="144"/>
      <c r="U1752" s="129"/>
      <c r="V1752" s="129"/>
    </row>
    <row r="1753" spans="1:22" x14ac:dyDescent="0.2">
      <c r="A1753" s="144"/>
      <c r="B1753" s="145"/>
      <c r="C1753" s="129"/>
      <c r="D1753" s="129"/>
      <c r="E1753" s="129"/>
      <c r="F1753" s="129"/>
      <c r="G1753" s="144"/>
      <c r="H1753" s="129"/>
      <c r="I1753" s="144"/>
      <c r="J1753" s="144"/>
      <c r="K1753" s="144"/>
      <c r="L1753" s="146"/>
      <c r="M1753" s="142"/>
      <c r="N1753" s="144"/>
      <c r="O1753" s="142"/>
      <c r="P1753" s="142"/>
      <c r="Q1753" s="142"/>
      <c r="R1753" s="129"/>
      <c r="S1753" s="143"/>
      <c r="T1753" s="144"/>
      <c r="U1753" s="129"/>
      <c r="V1753" s="129"/>
    </row>
    <row r="1754" spans="1:22" x14ac:dyDescent="0.2">
      <c r="A1754" s="144"/>
      <c r="B1754" s="145"/>
      <c r="C1754" s="129"/>
      <c r="D1754" s="129"/>
      <c r="E1754" s="129"/>
      <c r="F1754" s="129"/>
      <c r="G1754" s="144"/>
      <c r="H1754" s="129"/>
      <c r="I1754" s="144"/>
      <c r="J1754" s="144"/>
      <c r="K1754" s="144"/>
      <c r="L1754" s="146"/>
      <c r="M1754" s="142"/>
      <c r="N1754" s="144"/>
      <c r="O1754" s="142"/>
      <c r="P1754" s="142"/>
      <c r="Q1754" s="142"/>
      <c r="R1754" s="129"/>
      <c r="S1754" s="143"/>
      <c r="T1754" s="144"/>
      <c r="U1754" s="129"/>
      <c r="V1754" s="129"/>
    </row>
    <row r="1755" spans="1:22" x14ac:dyDescent="0.2">
      <c r="A1755" s="144"/>
      <c r="B1755" s="145"/>
      <c r="C1755" s="129"/>
      <c r="D1755" s="129"/>
      <c r="E1755" s="129"/>
      <c r="F1755" s="129"/>
      <c r="G1755" s="144"/>
      <c r="H1755" s="129"/>
      <c r="I1755" s="144"/>
      <c r="J1755" s="144"/>
      <c r="K1755" s="144"/>
      <c r="L1755" s="146"/>
      <c r="M1755" s="142"/>
      <c r="N1755" s="144"/>
      <c r="O1755" s="142"/>
      <c r="P1755" s="142"/>
      <c r="Q1755" s="142"/>
      <c r="R1755" s="129"/>
      <c r="S1755" s="143"/>
      <c r="T1755" s="144"/>
      <c r="U1755" s="129"/>
      <c r="V1755" s="129"/>
    </row>
    <row r="1756" spans="1:22" x14ac:dyDescent="0.2">
      <c r="A1756" s="144"/>
      <c r="B1756" s="145"/>
      <c r="C1756" s="129"/>
      <c r="D1756" s="129"/>
      <c r="E1756" s="129"/>
      <c r="F1756" s="129"/>
      <c r="G1756" s="144"/>
      <c r="H1756" s="129"/>
      <c r="I1756" s="144"/>
      <c r="J1756" s="144"/>
      <c r="K1756" s="144"/>
      <c r="L1756" s="146"/>
      <c r="M1756" s="142"/>
      <c r="N1756" s="144"/>
      <c r="O1756" s="142"/>
      <c r="P1756" s="142"/>
      <c r="Q1756" s="142"/>
      <c r="R1756" s="129"/>
      <c r="S1756" s="143"/>
      <c r="T1756" s="144"/>
      <c r="U1756" s="129"/>
      <c r="V1756" s="129"/>
    </row>
    <row r="1757" spans="1:22" x14ac:dyDescent="0.2">
      <c r="A1757" s="144"/>
      <c r="B1757" s="145"/>
      <c r="C1757" s="129"/>
      <c r="D1757" s="129"/>
      <c r="E1757" s="129"/>
      <c r="F1757" s="129"/>
      <c r="G1757" s="144"/>
      <c r="H1757" s="129"/>
      <c r="I1757" s="144"/>
      <c r="J1757" s="144"/>
      <c r="K1757" s="144"/>
      <c r="L1757" s="146"/>
      <c r="M1757" s="142"/>
      <c r="N1757" s="144"/>
      <c r="O1757" s="142"/>
      <c r="P1757" s="142"/>
      <c r="Q1757" s="142"/>
      <c r="R1757" s="129"/>
      <c r="S1757" s="143"/>
      <c r="T1757" s="144"/>
      <c r="U1757" s="129"/>
      <c r="V1757" s="129"/>
    </row>
    <row r="1758" spans="1:22" x14ac:dyDescent="0.2">
      <c r="A1758" s="144"/>
      <c r="B1758" s="145"/>
      <c r="C1758" s="129"/>
      <c r="D1758" s="129"/>
      <c r="E1758" s="129"/>
      <c r="F1758" s="129"/>
      <c r="G1758" s="144"/>
      <c r="H1758" s="129"/>
      <c r="I1758" s="144"/>
      <c r="J1758" s="144"/>
      <c r="K1758" s="144"/>
      <c r="L1758" s="146"/>
      <c r="M1758" s="142"/>
      <c r="N1758" s="144"/>
      <c r="O1758" s="142"/>
      <c r="P1758" s="142"/>
      <c r="Q1758" s="142"/>
      <c r="R1758" s="129"/>
      <c r="S1758" s="143"/>
      <c r="T1758" s="144"/>
      <c r="U1758" s="129"/>
      <c r="V1758" s="129"/>
    </row>
    <row r="1759" spans="1:22" x14ac:dyDescent="0.2">
      <c r="A1759" s="144"/>
      <c r="B1759" s="145"/>
      <c r="C1759" s="129"/>
      <c r="D1759" s="129"/>
      <c r="E1759" s="129"/>
      <c r="F1759" s="129"/>
      <c r="G1759" s="144"/>
      <c r="H1759" s="129"/>
      <c r="I1759" s="144"/>
      <c r="J1759" s="144"/>
      <c r="K1759" s="144"/>
      <c r="L1759" s="146"/>
      <c r="M1759" s="142"/>
      <c r="N1759" s="144"/>
      <c r="O1759" s="142"/>
      <c r="P1759" s="142"/>
      <c r="Q1759" s="142"/>
      <c r="R1759" s="129"/>
      <c r="S1759" s="143"/>
      <c r="T1759" s="144"/>
      <c r="U1759" s="129"/>
      <c r="V1759" s="129"/>
    </row>
    <row r="1760" spans="1:22" x14ac:dyDescent="0.2">
      <c r="A1760" s="144"/>
      <c r="B1760" s="145"/>
      <c r="C1760" s="129"/>
      <c r="D1760" s="129"/>
      <c r="E1760" s="129"/>
      <c r="F1760" s="129"/>
      <c r="G1760" s="144"/>
      <c r="H1760" s="129"/>
      <c r="I1760" s="144"/>
      <c r="J1760" s="144"/>
      <c r="K1760" s="144"/>
      <c r="L1760" s="146"/>
      <c r="M1760" s="142"/>
      <c r="N1760" s="144"/>
      <c r="O1760" s="142"/>
      <c r="P1760" s="142"/>
      <c r="Q1760" s="142"/>
      <c r="R1760" s="129"/>
      <c r="S1760" s="143"/>
      <c r="T1760" s="144"/>
      <c r="U1760" s="129"/>
      <c r="V1760" s="129"/>
    </row>
    <row r="1761" spans="1:22" x14ac:dyDescent="0.2">
      <c r="A1761" s="144"/>
      <c r="B1761" s="145"/>
      <c r="C1761" s="129"/>
      <c r="D1761" s="129"/>
      <c r="E1761" s="129"/>
      <c r="F1761" s="129"/>
      <c r="G1761" s="144"/>
      <c r="H1761" s="129"/>
      <c r="I1761" s="144"/>
      <c r="J1761" s="144"/>
      <c r="K1761" s="144"/>
      <c r="L1761" s="146"/>
      <c r="M1761" s="142"/>
      <c r="N1761" s="144"/>
      <c r="O1761" s="142"/>
      <c r="P1761" s="142"/>
      <c r="Q1761" s="142"/>
      <c r="R1761" s="129"/>
      <c r="S1761" s="143"/>
      <c r="T1761" s="144"/>
      <c r="U1761" s="129"/>
      <c r="V1761" s="129"/>
    </row>
    <row r="1762" spans="1:22" x14ac:dyDescent="0.2">
      <c r="A1762" s="144"/>
      <c r="B1762" s="145"/>
      <c r="C1762" s="129"/>
      <c r="D1762" s="129"/>
      <c r="E1762" s="129"/>
      <c r="F1762" s="129"/>
      <c r="G1762" s="144"/>
      <c r="H1762" s="129"/>
      <c r="I1762" s="144"/>
      <c r="J1762" s="144"/>
      <c r="K1762" s="144"/>
      <c r="L1762" s="146"/>
      <c r="M1762" s="142"/>
      <c r="N1762" s="144"/>
      <c r="O1762" s="142"/>
      <c r="P1762" s="142"/>
      <c r="Q1762" s="142"/>
      <c r="R1762" s="129"/>
      <c r="S1762" s="143"/>
      <c r="T1762" s="144"/>
      <c r="U1762" s="129"/>
      <c r="V1762" s="129"/>
    </row>
    <row r="1763" spans="1:22" x14ac:dyDescent="0.2">
      <c r="A1763" s="144"/>
      <c r="B1763" s="145"/>
      <c r="C1763" s="129"/>
      <c r="D1763" s="129"/>
      <c r="E1763" s="129"/>
      <c r="F1763" s="129"/>
      <c r="G1763" s="144"/>
      <c r="H1763" s="129"/>
      <c r="I1763" s="144"/>
      <c r="J1763" s="144"/>
      <c r="K1763" s="144"/>
      <c r="L1763" s="146"/>
      <c r="M1763" s="142"/>
      <c r="N1763" s="144"/>
      <c r="O1763" s="142"/>
      <c r="P1763" s="142"/>
      <c r="Q1763" s="142"/>
      <c r="R1763" s="129"/>
      <c r="S1763" s="143"/>
      <c r="T1763" s="144"/>
      <c r="U1763" s="129"/>
      <c r="V1763" s="129"/>
    </row>
    <row r="1764" spans="1:22" x14ac:dyDescent="0.2">
      <c r="A1764" s="144"/>
      <c r="B1764" s="145"/>
      <c r="C1764" s="129"/>
      <c r="D1764" s="129"/>
      <c r="E1764" s="129"/>
      <c r="F1764" s="129"/>
      <c r="G1764" s="144"/>
      <c r="H1764" s="129"/>
      <c r="I1764" s="144"/>
      <c r="J1764" s="144"/>
      <c r="K1764" s="144"/>
      <c r="L1764" s="146"/>
      <c r="M1764" s="142"/>
      <c r="N1764" s="144"/>
      <c r="O1764" s="142"/>
      <c r="P1764" s="142"/>
      <c r="Q1764" s="142"/>
      <c r="R1764" s="129"/>
      <c r="S1764" s="143"/>
      <c r="T1764" s="144"/>
      <c r="U1764" s="129"/>
      <c r="V1764" s="129"/>
    </row>
    <row r="1765" spans="1:22" x14ac:dyDescent="0.2">
      <c r="A1765" s="144"/>
      <c r="B1765" s="145"/>
      <c r="C1765" s="129"/>
      <c r="D1765" s="129"/>
      <c r="E1765" s="129"/>
      <c r="F1765" s="129"/>
      <c r="G1765" s="144"/>
      <c r="H1765" s="129"/>
      <c r="I1765" s="144"/>
      <c r="J1765" s="144"/>
      <c r="K1765" s="144"/>
      <c r="L1765" s="146"/>
      <c r="M1765" s="142"/>
      <c r="N1765" s="144"/>
      <c r="O1765" s="142"/>
      <c r="P1765" s="142"/>
      <c r="Q1765" s="142"/>
      <c r="R1765" s="129"/>
      <c r="S1765" s="143"/>
      <c r="T1765" s="144"/>
      <c r="U1765" s="129"/>
      <c r="V1765" s="129"/>
    </row>
    <row r="1766" spans="1:22" x14ac:dyDescent="0.2">
      <c r="A1766" s="144"/>
      <c r="B1766" s="145"/>
      <c r="C1766" s="129"/>
      <c r="D1766" s="129"/>
      <c r="E1766" s="129"/>
      <c r="F1766" s="129"/>
      <c r="G1766" s="144"/>
      <c r="H1766" s="129"/>
      <c r="I1766" s="144"/>
      <c r="J1766" s="144"/>
      <c r="K1766" s="144"/>
      <c r="L1766" s="146"/>
      <c r="M1766" s="142"/>
      <c r="N1766" s="144"/>
      <c r="O1766" s="142"/>
      <c r="P1766" s="142"/>
      <c r="Q1766" s="142"/>
      <c r="R1766" s="129"/>
      <c r="S1766" s="143"/>
      <c r="T1766" s="144"/>
      <c r="U1766" s="129"/>
      <c r="V1766" s="129"/>
    </row>
    <row r="1767" spans="1:22" x14ac:dyDescent="0.2">
      <c r="A1767" s="144"/>
      <c r="B1767" s="145"/>
      <c r="C1767" s="129"/>
      <c r="D1767" s="129"/>
      <c r="E1767" s="129"/>
      <c r="F1767" s="129"/>
      <c r="G1767" s="144"/>
      <c r="H1767" s="129"/>
      <c r="I1767" s="144"/>
      <c r="J1767" s="144"/>
      <c r="K1767" s="144"/>
      <c r="L1767" s="146"/>
      <c r="M1767" s="142"/>
      <c r="N1767" s="144"/>
      <c r="O1767" s="142"/>
      <c r="P1767" s="142"/>
      <c r="Q1767" s="142"/>
      <c r="R1767" s="129"/>
      <c r="S1767" s="143"/>
      <c r="T1767" s="144"/>
      <c r="U1767" s="129"/>
      <c r="V1767" s="129"/>
    </row>
    <row r="1768" spans="1:22" x14ac:dyDescent="0.2">
      <c r="A1768" s="144"/>
      <c r="B1768" s="145"/>
      <c r="C1768" s="129"/>
      <c r="D1768" s="129"/>
      <c r="E1768" s="129"/>
      <c r="F1768" s="129"/>
      <c r="G1768" s="144"/>
      <c r="H1768" s="129"/>
      <c r="I1768" s="144"/>
      <c r="J1768" s="144"/>
      <c r="K1768" s="144"/>
      <c r="L1768" s="146"/>
      <c r="M1768" s="142"/>
      <c r="N1768" s="144"/>
      <c r="O1768" s="142"/>
      <c r="P1768" s="142"/>
      <c r="Q1768" s="142"/>
      <c r="R1768" s="129"/>
      <c r="S1768" s="143"/>
      <c r="T1768" s="144"/>
      <c r="U1768" s="129"/>
      <c r="V1768" s="129"/>
    </row>
    <row r="1769" spans="1:22" x14ac:dyDescent="0.2">
      <c r="A1769" s="144"/>
      <c r="B1769" s="145"/>
      <c r="C1769" s="129"/>
      <c r="D1769" s="129"/>
      <c r="E1769" s="129"/>
      <c r="F1769" s="129"/>
      <c r="G1769" s="144"/>
      <c r="H1769" s="129"/>
      <c r="I1769" s="144"/>
      <c r="J1769" s="144"/>
      <c r="K1769" s="144"/>
      <c r="L1769" s="146"/>
      <c r="M1769" s="142"/>
      <c r="N1769" s="144"/>
      <c r="O1769" s="142"/>
      <c r="P1769" s="142"/>
      <c r="Q1769" s="142"/>
      <c r="R1769" s="129"/>
      <c r="S1769" s="143"/>
      <c r="T1769" s="144"/>
      <c r="U1769" s="129"/>
      <c r="V1769" s="129"/>
    </row>
    <row r="1770" spans="1:22" x14ac:dyDescent="0.2">
      <c r="A1770" s="144"/>
      <c r="B1770" s="145"/>
      <c r="C1770" s="129"/>
      <c r="D1770" s="129"/>
      <c r="E1770" s="129"/>
      <c r="F1770" s="129"/>
      <c r="G1770" s="144"/>
      <c r="H1770" s="129"/>
      <c r="I1770" s="144"/>
      <c r="J1770" s="144"/>
      <c r="K1770" s="144"/>
      <c r="L1770" s="146"/>
      <c r="M1770" s="142"/>
      <c r="N1770" s="144"/>
      <c r="O1770" s="142"/>
      <c r="P1770" s="142"/>
      <c r="Q1770" s="142"/>
      <c r="R1770" s="129"/>
      <c r="S1770" s="143"/>
      <c r="T1770" s="144"/>
      <c r="U1770" s="129"/>
      <c r="V1770" s="129"/>
    </row>
    <row r="1771" spans="1:22" x14ac:dyDescent="0.2">
      <c r="A1771" s="144"/>
      <c r="B1771" s="145"/>
      <c r="C1771" s="129"/>
      <c r="D1771" s="129"/>
      <c r="E1771" s="129"/>
      <c r="F1771" s="129"/>
      <c r="G1771" s="144"/>
      <c r="H1771" s="129"/>
      <c r="I1771" s="144"/>
      <c r="J1771" s="144"/>
      <c r="K1771" s="144"/>
      <c r="L1771" s="146"/>
      <c r="M1771" s="142"/>
      <c r="N1771" s="144"/>
      <c r="O1771" s="142"/>
      <c r="P1771" s="142"/>
      <c r="Q1771" s="142"/>
      <c r="R1771" s="129"/>
      <c r="S1771" s="143"/>
      <c r="T1771" s="144"/>
      <c r="U1771" s="129"/>
      <c r="V1771" s="129"/>
    </row>
    <row r="1772" spans="1:22" x14ac:dyDescent="0.2">
      <c r="A1772" s="144"/>
      <c r="B1772" s="145"/>
      <c r="C1772" s="129"/>
      <c r="D1772" s="129"/>
      <c r="E1772" s="129"/>
      <c r="F1772" s="129"/>
      <c r="G1772" s="144"/>
      <c r="H1772" s="129"/>
      <c r="I1772" s="144"/>
      <c r="J1772" s="144"/>
      <c r="K1772" s="144"/>
      <c r="L1772" s="146"/>
      <c r="M1772" s="142"/>
      <c r="N1772" s="144"/>
      <c r="O1772" s="142"/>
      <c r="P1772" s="142"/>
      <c r="Q1772" s="142"/>
      <c r="R1772" s="129"/>
      <c r="S1772" s="143"/>
      <c r="T1772" s="144"/>
      <c r="U1772" s="129"/>
      <c r="V1772" s="129"/>
    </row>
    <row r="1773" spans="1:22" x14ac:dyDescent="0.2">
      <c r="A1773" s="144"/>
      <c r="B1773" s="145"/>
      <c r="C1773" s="129"/>
      <c r="D1773" s="129"/>
      <c r="E1773" s="129"/>
      <c r="F1773" s="129"/>
      <c r="G1773" s="144"/>
      <c r="H1773" s="129"/>
      <c r="I1773" s="144"/>
      <c r="J1773" s="144"/>
      <c r="K1773" s="144"/>
      <c r="L1773" s="146"/>
      <c r="M1773" s="142"/>
      <c r="N1773" s="144"/>
      <c r="O1773" s="142"/>
      <c r="P1773" s="142"/>
      <c r="Q1773" s="142"/>
      <c r="R1773" s="129"/>
      <c r="S1773" s="143"/>
      <c r="T1773" s="144"/>
      <c r="U1773" s="129"/>
      <c r="V1773" s="129"/>
    </row>
    <row r="1774" spans="1:22" x14ac:dyDescent="0.2">
      <c r="A1774" s="144"/>
      <c r="B1774" s="145"/>
      <c r="C1774" s="129"/>
      <c r="D1774" s="129"/>
      <c r="E1774" s="129"/>
      <c r="F1774" s="129"/>
      <c r="G1774" s="144"/>
      <c r="H1774" s="129"/>
      <c r="I1774" s="144"/>
      <c r="J1774" s="144"/>
      <c r="K1774" s="144"/>
      <c r="L1774" s="146"/>
      <c r="M1774" s="142"/>
      <c r="N1774" s="144"/>
      <c r="O1774" s="142"/>
      <c r="P1774" s="142"/>
      <c r="Q1774" s="142"/>
      <c r="R1774" s="129"/>
      <c r="S1774" s="143"/>
      <c r="T1774" s="144"/>
      <c r="U1774" s="129"/>
      <c r="V1774" s="129"/>
    </row>
    <row r="1775" spans="1:22" x14ac:dyDescent="0.2">
      <c r="A1775" s="144"/>
      <c r="B1775" s="145"/>
      <c r="C1775" s="129"/>
      <c r="D1775" s="129"/>
      <c r="E1775" s="129"/>
      <c r="F1775" s="129"/>
      <c r="G1775" s="144"/>
      <c r="H1775" s="129"/>
      <c r="I1775" s="144"/>
      <c r="J1775" s="144"/>
      <c r="K1775" s="144"/>
      <c r="L1775" s="146"/>
      <c r="M1775" s="142"/>
      <c r="N1775" s="144"/>
      <c r="O1775" s="142"/>
      <c r="P1775" s="142"/>
      <c r="Q1775" s="142"/>
      <c r="R1775" s="129"/>
      <c r="S1775" s="143"/>
      <c r="T1775" s="144"/>
      <c r="U1775" s="129"/>
      <c r="V1775" s="129"/>
    </row>
    <row r="1776" spans="1:22" x14ac:dyDescent="0.2">
      <c r="A1776" s="144"/>
      <c r="B1776" s="145"/>
      <c r="C1776" s="129"/>
      <c r="D1776" s="129"/>
      <c r="E1776" s="129"/>
      <c r="F1776" s="129"/>
      <c r="G1776" s="144"/>
      <c r="H1776" s="129"/>
      <c r="I1776" s="144"/>
      <c r="J1776" s="144"/>
      <c r="K1776" s="144"/>
      <c r="L1776" s="146"/>
      <c r="M1776" s="142"/>
      <c r="N1776" s="144"/>
      <c r="O1776" s="142"/>
      <c r="P1776" s="142"/>
      <c r="Q1776" s="142"/>
      <c r="R1776" s="129"/>
      <c r="S1776" s="143"/>
      <c r="T1776" s="144"/>
      <c r="U1776" s="129"/>
      <c r="V1776" s="129"/>
    </row>
    <row r="1777" spans="1:22" x14ac:dyDescent="0.2">
      <c r="A1777" s="144"/>
      <c r="B1777" s="145"/>
      <c r="C1777" s="129"/>
      <c r="D1777" s="129"/>
      <c r="E1777" s="129"/>
      <c r="F1777" s="129"/>
      <c r="G1777" s="144"/>
      <c r="H1777" s="129"/>
      <c r="I1777" s="144"/>
      <c r="J1777" s="144"/>
      <c r="K1777" s="144"/>
      <c r="L1777" s="146"/>
      <c r="M1777" s="142"/>
      <c r="N1777" s="144"/>
      <c r="O1777" s="142"/>
      <c r="P1777" s="142"/>
      <c r="Q1777" s="142"/>
      <c r="R1777" s="129"/>
      <c r="S1777" s="143"/>
      <c r="T1777" s="144"/>
      <c r="U1777" s="129"/>
      <c r="V1777" s="129"/>
    </row>
    <row r="1778" spans="1:22" x14ac:dyDescent="0.2">
      <c r="A1778" s="144"/>
      <c r="B1778" s="145"/>
      <c r="C1778" s="129"/>
      <c r="D1778" s="129"/>
      <c r="E1778" s="129"/>
      <c r="F1778" s="129"/>
      <c r="G1778" s="144"/>
      <c r="H1778" s="129"/>
      <c r="I1778" s="144"/>
      <c r="J1778" s="144"/>
      <c r="K1778" s="144"/>
      <c r="L1778" s="146"/>
      <c r="M1778" s="142"/>
      <c r="N1778" s="144"/>
      <c r="O1778" s="142"/>
      <c r="P1778" s="142"/>
      <c r="Q1778" s="142"/>
      <c r="R1778" s="129"/>
      <c r="S1778" s="143"/>
      <c r="T1778" s="144"/>
      <c r="U1778" s="129"/>
      <c r="V1778" s="129"/>
    </row>
    <row r="1779" spans="1:22" x14ac:dyDescent="0.2">
      <c r="A1779" s="144"/>
      <c r="B1779" s="145"/>
      <c r="C1779" s="129"/>
      <c r="D1779" s="129"/>
      <c r="E1779" s="129"/>
      <c r="F1779" s="129"/>
      <c r="G1779" s="144"/>
      <c r="H1779" s="129"/>
      <c r="I1779" s="144"/>
      <c r="J1779" s="144"/>
      <c r="K1779" s="144"/>
      <c r="L1779" s="146"/>
      <c r="M1779" s="142"/>
      <c r="N1779" s="144"/>
      <c r="O1779" s="142"/>
      <c r="P1779" s="142"/>
      <c r="Q1779" s="142"/>
      <c r="R1779" s="129"/>
      <c r="S1779" s="143"/>
      <c r="T1779" s="144"/>
      <c r="U1779" s="129"/>
      <c r="V1779" s="129"/>
    </row>
    <row r="1780" spans="1:22" x14ac:dyDescent="0.2">
      <c r="A1780" s="144"/>
      <c r="B1780" s="145"/>
      <c r="C1780" s="129"/>
      <c r="D1780" s="129"/>
      <c r="E1780" s="129"/>
      <c r="F1780" s="129"/>
      <c r="G1780" s="144"/>
      <c r="H1780" s="129"/>
      <c r="I1780" s="144"/>
      <c r="J1780" s="144"/>
      <c r="K1780" s="144"/>
      <c r="L1780" s="146"/>
      <c r="M1780" s="142"/>
      <c r="N1780" s="144"/>
      <c r="O1780" s="142"/>
      <c r="P1780" s="142"/>
      <c r="Q1780" s="142"/>
      <c r="R1780" s="129"/>
      <c r="S1780" s="143"/>
      <c r="T1780" s="144"/>
      <c r="U1780" s="129"/>
      <c r="V1780" s="129"/>
    </row>
    <row r="1781" spans="1:22" x14ac:dyDescent="0.2">
      <c r="A1781" s="144"/>
      <c r="B1781" s="145"/>
      <c r="C1781" s="129"/>
      <c r="D1781" s="129"/>
      <c r="E1781" s="129"/>
      <c r="F1781" s="129"/>
      <c r="G1781" s="144"/>
      <c r="H1781" s="129"/>
      <c r="I1781" s="144"/>
      <c r="J1781" s="144"/>
      <c r="K1781" s="144"/>
      <c r="L1781" s="146"/>
      <c r="M1781" s="142"/>
      <c r="N1781" s="144"/>
      <c r="O1781" s="142"/>
      <c r="P1781" s="142"/>
      <c r="Q1781" s="142"/>
      <c r="R1781" s="129"/>
      <c r="S1781" s="143"/>
      <c r="T1781" s="144"/>
      <c r="U1781" s="129"/>
      <c r="V1781" s="129"/>
    </row>
    <row r="1782" spans="1:22" x14ac:dyDescent="0.2">
      <c r="A1782" s="144"/>
      <c r="B1782" s="145"/>
      <c r="C1782" s="129"/>
      <c r="D1782" s="129"/>
      <c r="E1782" s="129"/>
      <c r="F1782" s="129"/>
      <c r="G1782" s="144"/>
      <c r="H1782" s="129"/>
      <c r="I1782" s="144"/>
      <c r="J1782" s="144"/>
      <c r="K1782" s="144"/>
      <c r="L1782" s="146"/>
      <c r="M1782" s="142"/>
      <c r="N1782" s="144"/>
      <c r="O1782" s="142"/>
      <c r="P1782" s="142"/>
      <c r="Q1782" s="142"/>
      <c r="R1782" s="129"/>
      <c r="S1782" s="143"/>
      <c r="T1782" s="144"/>
      <c r="U1782" s="129"/>
      <c r="V1782" s="129"/>
    </row>
    <row r="1783" spans="1:22" x14ac:dyDescent="0.2">
      <c r="A1783" s="144"/>
      <c r="B1783" s="145"/>
      <c r="C1783" s="129"/>
      <c r="D1783" s="129"/>
      <c r="E1783" s="129"/>
      <c r="F1783" s="129"/>
      <c r="G1783" s="144"/>
      <c r="H1783" s="129"/>
      <c r="I1783" s="144"/>
      <c r="J1783" s="144"/>
      <c r="K1783" s="144"/>
      <c r="L1783" s="146"/>
      <c r="M1783" s="142"/>
      <c r="N1783" s="144"/>
      <c r="O1783" s="142"/>
      <c r="P1783" s="142"/>
      <c r="Q1783" s="142"/>
      <c r="R1783" s="129"/>
      <c r="S1783" s="143"/>
      <c r="T1783" s="144"/>
      <c r="U1783" s="129"/>
      <c r="V1783" s="129"/>
    </row>
    <row r="1784" spans="1:22" x14ac:dyDescent="0.2">
      <c r="A1784" s="144"/>
      <c r="B1784" s="145"/>
      <c r="C1784" s="129"/>
      <c r="D1784" s="129"/>
      <c r="E1784" s="129"/>
      <c r="F1784" s="129"/>
      <c r="G1784" s="144"/>
      <c r="H1784" s="129"/>
      <c r="I1784" s="144"/>
      <c r="J1784" s="144"/>
      <c r="K1784" s="144"/>
      <c r="L1784" s="146"/>
      <c r="M1784" s="142"/>
      <c r="N1784" s="144"/>
      <c r="O1784" s="142"/>
      <c r="P1784" s="142"/>
      <c r="Q1784" s="142"/>
      <c r="R1784" s="129"/>
      <c r="S1784" s="143"/>
      <c r="T1784" s="144"/>
      <c r="U1784" s="129"/>
      <c r="V1784" s="129"/>
    </row>
    <row r="1785" spans="1:22" x14ac:dyDescent="0.2">
      <c r="A1785" s="144"/>
      <c r="B1785" s="145"/>
      <c r="C1785" s="129"/>
      <c r="D1785" s="129"/>
      <c r="E1785" s="129"/>
      <c r="F1785" s="129"/>
      <c r="G1785" s="144"/>
      <c r="H1785" s="129"/>
      <c r="I1785" s="144"/>
      <c r="J1785" s="144"/>
      <c r="K1785" s="144"/>
      <c r="L1785" s="146"/>
      <c r="M1785" s="142"/>
      <c r="N1785" s="144"/>
      <c r="O1785" s="142"/>
      <c r="P1785" s="142"/>
      <c r="Q1785" s="142"/>
      <c r="R1785" s="129"/>
      <c r="S1785" s="143"/>
      <c r="T1785" s="144"/>
      <c r="U1785" s="129"/>
      <c r="V1785" s="129"/>
    </row>
    <row r="1786" spans="1:22" x14ac:dyDescent="0.2">
      <c r="A1786" s="144"/>
      <c r="B1786" s="145"/>
      <c r="C1786" s="129"/>
      <c r="D1786" s="129"/>
      <c r="E1786" s="129"/>
      <c r="F1786" s="129"/>
      <c r="G1786" s="144"/>
      <c r="H1786" s="129"/>
      <c r="I1786" s="144"/>
      <c r="J1786" s="144"/>
      <c r="K1786" s="144"/>
      <c r="L1786" s="146"/>
      <c r="M1786" s="142"/>
      <c r="N1786" s="144"/>
      <c r="O1786" s="142"/>
      <c r="P1786" s="142"/>
      <c r="Q1786" s="142"/>
      <c r="R1786" s="129"/>
      <c r="S1786" s="143"/>
      <c r="T1786" s="144"/>
      <c r="U1786" s="129"/>
      <c r="V1786" s="129"/>
    </row>
    <row r="1787" spans="1:22" x14ac:dyDescent="0.2">
      <c r="A1787" s="144"/>
      <c r="B1787" s="145"/>
      <c r="C1787" s="129"/>
      <c r="D1787" s="129"/>
      <c r="E1787" s="129"/>
      <c r="F1787" s="129"/>
      <c r="G1787" s="144"/>
      <c r="H1787" s="129"/>
      <c r="I1787" s="144"/>
      <c r="J1787" s="144"/>
      <c r="K1787" s="144"/>
      <c r="L1787" s="146"/>
      <c r="M1787" s="142"/>
      <c r="N1787" s="144"/>
      <c r="O1787" s="142"/>
      <c r="P1787" s="142"/>
      <c r="Q1787" s="142"/>
      <c r="R1787" s="129"/>
      <c r="S1787" s="143"/>
      <c r="T1787" s="144"/>
      <c r="U1787" s="129"/>
      <c r="V1787" s="129"/>
    </row>
    <row r="1788" spans="1:22" x14ac:dyDescent="0.2">
      <c r="A1788" s="144"/>
      <c r="B1788" s="145"/>
      <c r="C1788" s="129"/>
      <c r="D1788" s="129"/>
      <c r="E1788" s="129"/>
      <c r="F1788" s="129"/>
      <c r="G1788" s="144"/>
      <c r="H1788" s="129"/>
      <c r="I1788" s="144"/>
      <c r="J1788" s="144"/>
      <c r="K1788" s="144"/>
      <c r="L1788" s="146"/>
      <c r="M1788" s="142"/>
      <c r="N1788" s="144"/>
      <c r="O1788" s="142"/>
      <c r="P1788" s="142"/>
      <c r="Q1788" s="142"/>
      <c r="R1788" s="129"/>
      <c r="S1788" s="143"/>
      <c r="T1788" s="144"/>
      <c r="U1788" s="129"/>
      <c r="V1788" s="129"/>
    </row>
    <row r="1789" spans="1:22" x14ac:dyDescent="0.2">
      <c r="A1789" s="144"/>
      <c r="B1789" s="145"/>
      <c r="C1789" s="129"/>
      <c r="D1789" s="129"/>
      <c r="E1789" s="129"/>
      <c r="F1789" s="129"/>
      <c r="G1789" s="144"/>
      <c r="H1789" s="129"/>
      <c r="I1789" s="144"/>
      <c r="J1789" s="144"/>
      <c r="K1789" s="144"/>
      <c r="L1789" s="146"/>
      <c r="M1789" s="142"/>
      <c r="N1789" s="144"/>
      <c r="O1789" s="142"/>
      <c r="P1789" s="142"/>
      <c r="Q1789" s="142"/>
      <c r="R1789" s="129"/>
      <c r="S1789" s="143"/>
      <c r="T1789" s="144"/>
      <c r="U1789" s="129"/>
      <c r="V1789" s="129"/>
    </row>
    <row r="1790" spans="1:22" x14ac:dyDescent="0.2">
      <c r="A1790" s="144"/>
      <c r="B1790" s="145"/>
      <c r="C1790" s="129"/>
      <c r="D1790" s="129"/>
      <c r="E1790" s="129"/>
      <c r="F1790" s="129"/>
      <c r="G1790" s="144"/>
      <c r="H1790" s="129"/>
      <c r="I1790" s="144"/>
      <c r="J1790" s="144"/>
      <c r="K1790" s="144"/>
      <c r="L1790" s="146"/>
      <c r="M1790" s="142"/>
      <c r="N1790" s="144"/>
      <c r="O1790" s="142"/>
      <c r="P1790" s="142"/>
      <c r="Q1790" s="142"/>
      <c r="R1790" s="129"/>
      <c r="S1790" s="143"/>
      <c r="T1790" s="144"/>
      <c r="U1790" s="129"/>
      <c r="V1790" s="129"/>
    </row>
    <row r="1791" spans="1:22" x14ac:dyDescent="0.2">
      <c r="A1791" s="144"/>
      <c r="B1791" s="145"/>
      <c r="C1791" s="129"/>
      <c r="D1791" s="129"/>
      <c r="E1791" s="129"/>
      <c r="F1791" s="129"/>
      <c r="G1791" s="144"/>
      <c r="H1791" s="129"/>
      <c r="I1791" s="144"/>
      <c r="J1791" s="144"/>
      <c r="K1791" s="144"/>
      <c r="L1791" s="146"/>
      <c r="M1791" s="142"/>
      <c r="N1791" s="144"/>
      <c r="O1791" s="142"/>
      <c r="P1791" s="142"/>
      <c r="Q1791" s="142"/>
      <c r="R1791" s="129"/>
      <c r="S1791" s="143"/>
      <c r="T1791" s="144"/>
      <c r="U1791" s="129"/>
      <c r="V1791" s="129"/>
    </row>
    <row r="1792" spans="1:22" x14ac:dyDescent="0.2">
      <c r="A1792" s="144"/>
      <c r="B1792" s="145"/>
      <c r="C1792" s="129"/>
      <c r="D1792" s="129"/>
      <c r="E1792" s="129"/>
      <c r="F1792" s="129"/>
      <c r="G1792" s="144"/>
      <c r="H1792" s="129"/>
      <c r="I1792" s="144"/>
      <c r="J1792" s="144"/>
      <c r="K1792" s="144"/>
      <c r="L1792" s="146"/>
      <c r="M1792" s="142"/>
      <c r="N1792" s="144"/>
      <c r="O1792" s="142"/>
      <c r="P1792" s="142"/>
      <c r="Q1792" s="142"/>
      <c r="R1792" s="129"/>
      <c r="S1792" s="143"/>
      <c r="T1792" s="144"/>
      <c r="U1792" s="129"/>
      <c r="V1792" s="129"/>
    </row>
    <row r="1793" spans="1:22" x14ac:dyDescent="0.2">
      <c r="A1793" s="144"/>
      <c r="B1793" s="145"/>
      <c r="C1793" s="129"/>
      <c r="D1793" s="129"/>
      <c r="E1793" s="129"/>
      <c r="F1793" s="129"/>
      <c r="G1793" s="144"/>
      <c r="H1793" s="129"/>
      <c r="I1793" s="144"/>
      <c r="J1793" s="144"/>
      <c r="K1793" s="144"/>
      <c r="L1793" s="146"/>
      <c r="M1793" s="142"/>
      <c r="N1793" s="144"/>
      <c r="O1793" s="142"/>
      <c r="P1793" s="142"/>
      <c r="Q1793" s="142"/>
      <c r="R1793" s="129"/>
      <c r="S1793" s="143"/>
      <c r="T1793" s="144"/>
      <c r="U1793" s="129"/>
      <c r="V1793" s="129"/>
    </row>
    <row r="1794" spans="1:22" x14ac:dyDescent="0.2">
      <c r="A1794" s="144"/>
      <c r="B1794" s="145"/>
      <c r="C1794" s="129"/>
      <c r="D1794" s="129"/>
      <c r="E1794" s="129"/>
      <c r="F1794" s="129"/>
      <c r="G1794" s="144"/>
      <c r="H1794" s="129"/>
      <c r="I1794" s="144"/>
      <c r="J1794" s="144"/>
      <c r="K1794" s="144"/>
      <c r="L1794" s="146"/>
      <c r="M1794" s="142"/>
      <c r="N1794" s="144"/>
      <c r="O1794" s="142"/>
      <c r="P1794" s="142"/>
      <c r="Q1794" s="142"/>
      <c r="R1794" s="129"/>
      <c r="S1794" s="143"/>
      <c r="T1794" s="144"/>
      <c r="U1794" s="129"/>
      <c r="V1794" s="129"/>
    </row>
    <row r="1795" spans="1:22" x14ac:dyDescent="0.2">
      <c r="A1795" s="144"/>
      <c r="B1795" s="145"/>
      <c r="C1795" s="129"/>
      <c r="D1795" s="129"/>
      <c r="E1795" s="129"/>
      <c r="F1795" s="129"/>
      <c r="G1795" s="144"/>
      <c r="H1795" s="129"/>
      <c r="I1795" s="144"/>
      <c r="J1795" s="144"/>
      <c r="K1795" s="144"/>
      <c r="L1795" s="146"/>
      <c r="M1795" s="142"/>
      <c r="N1795" s="144"/>
      <c r="O1795" s="142"/>
      <c r="P1795" s="142"/>
      <c r="Q1795" s="142"/>
      <c r="R1795" s="129"/>
      <c r="S1795" s="143"/>
      <c r="T1795" s="144"/>
      <c r="U1795" s="129"/>
      <c r="V1795" s="129"/>
    </row>
    <row r="1796" spans="1:22" x14ac:dyDescent="0.2">
      <c r="A1796" s="144"/>
      <c r="B1796" s="145"/>
      <c r="C1796" s="129"/>
      <c r="D1796" s="129"/>
      <c r="E1796" s="129"/>
      <c r="F1796" s="129"/>
      <c r="G1796" s="144"/>
      <c r="H1796" s="129"/>
      <c r="I1796" s="144"/>
      <c r="J1796" s="144"/>
      <c r="K1796" s="144"/>
      <c r="L1796" s="146"/>
      <c r="M1796" s="142"/>
      <c r="N1796" s="144"/>
      <c r="O1796" s="142"/>
      <c r="P1796" s="142"/>
      <c r="Q1796" s="142"/>
      <c r="R1796" s="129"/>
      <c r="S1796" s="143"/>
      <c r="T1796" s="144"/>
      <c r="U1796" s="129"/>
      <c r="V1796" s="129"/>
    </row>
    <row r="1797" spans="1:22" x14ac:dyDescent="0.2">
      <c r="A1797" s="144"/>
      <c r="B1797" s="145"/>
      <c r="C1797" s="129"/>
      <c r="D1797" s="129"/>
      <c r="E1797" s="129"/>
      <c r="F1797" s="129"/>
      <c r="G1797" s="144"/>
      <c r="H1797" s="129"/>
      <c r="I1797" s="144"/>
      <c r="J1797" s="144"/>
      <c r="K1797" s="144"/>
      <c r="L1797" s="146"/>
      <c r="M1797" s="142"/>
      <c r="N1797" s="144"/>
      <c r="O1797" s="142"/>
      <c r="P1797" s="142"/>
      <c r="Q1797" s="142"/>
      <c r="R1797" s="129"/>
      <c r="S1797" s="143"/>
      <c r="T1797" s="144"/>
      <c r="U1797" s="129"/>
      <c r="V1797" s="129"/>
    </row>
    <row r="1798" spans="1:22" x14ac:dyDescent="0.2">
      <c r="A1798" s="144"/>
      <c r="B1798" s="145"/>
      <c r="C1798" s="129"/>
      <c r="D1798" s="129"/>
      <c r="E1798" s="129"/>
      <c r="F1798" s="129"/>
      <c r="G1798" s="144"/>
      <c r="H1798" s="129"/>
      <c r="I1798" s="144"/>
      <c r="J1798" s="144"/>
      <c r="K1798" s="144"/>
      <c r="L1798" s="146"/>
      <c r="M1798" s="142"/>
      <c r="N1798" s="144"/>
      <c r="O1798" s="142"/>
      <c r="P1798" s="142"/>
      <c r="Q1798" s="142"/>
      <c r="R1798" s="129"/>
      <c r="S1798" s="143"/>
      <c r="T1798" s="144"/>
      <c r="U1798" s="129"/>
      <c r="V1798" s="129"/>
    </row>
    <row r="1799" spans="1:22" x14ac:dyDescent="0.2">
      <c r="A1799" s="144"/>
      <c r="B1799" s="145"/>
      <c r="C1799" s="129"/>
      <c r="D1799" s="129"/>
      <c r="E1799" s="129"/>
      <c r="F1799" s="129"/>
      <c r="G1799" s="144"/>
      <c r="H1799" s="129"/>
      <c r="I1799" s="144"/>
      <c r="J1799" s="144"/>
      <c r="K1799" s="144"/>
      <c r="L1799" s="146"/>
      <c r="M1799" s="142"/>
      <c r="N1799" s="144"/>
      <c r="O1799" s="142"/>
      <c r="P1799" s="142"/>
      <c r="Q1799" s="142"/>
      <c r="R1799" s="129"/>
      <c r="S1799" s="143"/>
      <c r="T1799" s="144"/>
      <c r="U1799" s="129"/>
      <c r="V1799" s="129"/>
    </row>
    <row r="1800" spans="1:22" x14ac:dyDescent="0.2">
      <c r="A1800" s="144"/>
      <c r="B1800" s="145"/>
      <c r="C1800" s="129"/>
      <c r="D1800" s="129"/>
      <c r="E1800" s="129"/>
      <c r="F1800" s="129"/>
      <c r="G1800" s="144"/>
      <c r="H1800" s="129"/>
      <c r="I1800" s="144"/>
      <c r="J1800" s="144"/>
      <c r="K1800" s="144"/>
      <c r="L1800" s="146"/>
      <c r="M1800" s="142"/>
      <c r="N1800" s="144"/>
      <c r="O1800" s="142"/>
      <c r="P1800" s="142"/>
      <c r="Q1800" s="142"/>
      <c r="R1800" s="129"/>
      <c r="S1800" s="143"/>
      <c r="T1800" s="144"/>
      <c r="U1800" s="129"/>
      <c r="V1800" s="129"/>
    </row>
    <row r="1801" spans="1:22" x14ac:dyDescent="0.2">
      <c r="A1801" s="144"/>
      <c r="B1801" s="145"/>
      <c r="C1801" s="129"/>
      <c r="D1801" s="129"/>
      <c r="E1801" s="129"/>
      <c r="F1801" s="129"/>
      <c r="G1801" s="144"/>
      <c r="H1801" s="129"/>
      <c r="I1801" s="144"/>
      <c r="J1801" s="144"/>
      <c r="K1801" s="144"/>
      <c r="L1801" s="146"/>
      <c r="M1801" s="142"/>
      <c r="N1801" s="144"/>
      <c r="O1801" s="142"/>
      <c r="P1801" s="142"/>
      <c r="Q1801" s="142"/>
      <c r="R1801" s="129"/>
      <c r="S1801" s="143"/>
      <c r="T1801" s="144"/>
      <c r="U1801" s="129"/>
      <c r="V1801" s="129"/>
    </row>
    <row r="1802" spans="1:22" x14ac:dyDescent="0.2">
      <c r="A1802" s="144"/>
      <c r="B1802" s="145"/>
      <c r="C1802" s="129"/>
      <c r="D1802" s="129"/>
      <c r="E1802" s="129"/>
      <c r="F1802" s="129"/>
      <c r="G1802" s="144"/>
      <c r="H1802" s="129"/>
      <c r="I1802" s="144"/>
      <c r="J1802" s="144"/>
      <c r="K1802" s="144"/>
      <c r="L1802" s="146"/>
      <c r="M1802" s="142"/>
      <c r="N1802" s="144"/>
      <c r="O1802" s="142"/>
      <c r="P1802" s="142"/>
      <c r="Q1802" s="142"/>
      <c r="R1802" s="129"/>
      <c r="S1802" s="143"/>
      <c r="T1802" s="144"/>
      <c r="U1802" s="129"/>
      <c r="V1802" s="129"/>
    </row>
    <row r="1803" spans="1:22" x14ac:dyDescent="0.2">
      <c r="A1803" s="144"/>
      <c r="B1803" s="145"/>
      <c r="C1803" s="129"/>
      <c r="D1803" s="129"/>
      <c r="E1803" s="129"/>
      <c r="F1803" s="129"/>
      <c r="G1803" s="144"/>
      <c r="H1803" s="129"/>
      <c r="I1803" s="144"/>
      <c r="J1803" s="144"/>
      <c r="K1803" s="144"/>
      <c r="L1803" s="146"/>
      <c r="M1803" s="142"/>
      <c r="N1803" s="144"/>
      <c r="O1803" s="142"/>
      <c r="P1803" s="142"/>
      <c r="Q1803" s="142"/>
      <c r="R1803" s="129"/>
      <c r="S1803" s="143"/>
      <c r="T1803" s="144"/>
      <c r="U1803" s="129"/>
      <c r="V1803" s="129"/>
    </row>
    <row r="1804" spans="1:22" x14ac:dyDescent="0.2">
      <c r="A1804" s="144"/>
      <c r="B1804" s="145"/>
      <c r="C1804" s="129"/>
      <c r="D1804" s="129"/>
      <c r="E1804" s="129"/>
      <c r="F1804" s="129"/>
      <c r="G1804" s="144"/>
      <c r="H1804" s="129"/>
      <c r="I1804" s="144"/>
      <c r="J1804" s="144"/>
      <c r="K1804" s="144"/>
      <c r="L1804" s="146"/>
      <c r="M1804" s="142"/>
      <c r="N1804" s="144"/>
      <c r="O1804" s="142"/>
      <c r="P1804" s="142"/>
      <c r="Q1804" s="142"/>
      <c r="R1804" s="129"/>
      <c r="S1804" s="143"/>
      <c r="T1804" s="144"/>
      <c r="U1804" s="129"/>
      <c r="V1804" s="129"/>
    </row>
    <row r="1805" spans="1:22" x14ac:dyDescent="0.2">
      <c r="A1805" s="144"/>
      <c r="B1805" s="145"/>
      <c r="C1805" s="129"/>
      <c r="D1805" s="129"/>
      <c r="E1805" s="129"/>
      <c r="F1805" s="129"/>
      <c r="G1805" s="144"/>
      <c r="H1805" s="129"/>
      <c r="I1805" s="144"/>
      <c r="J1805" s="144"/>
      <c r="K1805" s="144"/>
      <c r="L1805" s="146"/>
      <c r="M1805" s="142"/>
      <c r="N1805" s="144"/>
      <c r="O1805" s="142"/>
      <c r="P1805" s="142"/>
      <c r="Q1805" s="142"/>
      <c r="R1805" s="129"/>
      <c r="S1805" s="143"/>
      <c r="T1805" s="144"/>
      <c r="U1805" s="129"/>
      <c r="V1805" s="129"/>
    </row>
    <row r="1806" spans="1:22" x14ac:dyDescent="0.2">
      <c r="A1806" s="144"/>
      <c r="B1806" s="145"/>
      <c r="C1806" s="129"/>
      <c r="D1806" s="129"/>
      <c r="E1806" s="129"/>
      <c r="F1806" s="129"/>
      <c r="G1806" s="144"/>
      <c r="H1806" s="129"/>
      <c r="I1806" s="144"/>
      <c r="J1806" s="144"/>
      <c r="K1806" s="144"/>
      <c r="L1806" s="146"/>
      <c r="M1806" s="142"/>
      <c r="N1806" s="144"/>
      <c r="O1806" s="142"/>
      <c r="P1806" s="142"/>
      <c r="Q1806" s="142"/>
      <c r="R1806" s="129"/>
      <c r="S1806" s="143"/>
      <c r="T1806" s="144"/>
      <c r="U1806" s="129"/>
      <c r="V1806" s="129"/>
    </row>
    <row r="1807" spans="1:22" x14ac:dyDescent="0.2">
      <c r="A1807" s="144"/>
      <c r="B1807" s="145"/>
      <c r="C1807" s="129"/>
      <c r="D1807" s="129"/>
      <c r="E1807" s="129"/>
      <c r="F1807" s="129"/>
      <c r="G1807" s="144"/>
      <c r="H1807" s="129"/>
      <c r="I1807" s="144"/>
      <c r="J1807" s="144"/>
      <c r="K1807" s="144"/>
      <c r="L1807" s="146"/>
      <c r="M1807" s="142"/>
      <c r="N1807" s="144"/>
      <c r="O1807" s="142"/>
      <c r="P1807" s="142"/>
      <c r="Q1807" s="142"/>
      <c r="R1807" s="129"/>
      <c r="S1807" s="143"/>
      <c r="T1807" s="144"/>
      <c r="U1807" s="129"/>
      <c r="V1807" s="129"/>
    </row>
    <row r="1808" spans="1:22" x14ac:dyDescent="0.2">
      <c r="A1808" s="144"/>
      <c r="B1808" s="145"/>
      <c r="C1808" s="129"/>
      <c r="D1808" s="129"/>
      <c r="E1808" s="129"/>
      <c r="F1808" s="129"/>
      <c r="G1808" s="144"/>
      <c r="H1808" s="129"/>
      <c r="I1808" s="144"/>
      <c r="J1808" s="144"/>
      <c r="K1808" s="144"/>
      <c r="L1808" s="146"/>
      <c r="M1808" s="142"/>
      <c r="N1808" s="144"/>
      <c r="O1808" s="142"/>
      <c r="P1808" s="142"/>
      <c r="Q1808" s="142"/>
      <c r="R1808" s="129"/>
      <c r="S1808" s="143"/>
      <c r="T1808" s="144"/>
      <c r="U1808" s="129"/>
      <c r="V1808" s="129"/>
    </row>
    <row r="1809" spans="1:22" x14ac:dyDescent="0.2">
      <c r="A1809" s="144"/>
      <c r="B1809" s="145"/>
      <c r="C1809" s="129"/>
      <c r="D1809" s="129"/>
      <c r="E1809" s="129"/>
      <c r="F1809" s="129"/>
      <c r="G1809" s="144"/>
      <c r="H1809" s="129"/>
      <c r="I1809" s="144"/>
      <c r="J1809" s="144"/>
      <c r="K1809" s="144"/>
      <c r="L1809" s="146"/>
      <c r="M1809" s="142"/>
      <c r="N1809" s="144"/>
      <c r="O1809" s="142"/>
      <c r="P1809" s="142"/>
      <c r="Q1809" s="142"/>
      <c r="R1809" s="129"/>
      <c r="S1809" s="143"/>
      <c r="T1809" s="144"/>
      <c r="U1809" s="129"/>
      <c r="V1809" s="129"/>
    </row>
    <row r="1810" spans="1:22" x14ac:dyDescent="0.2">
      <c r="A1810" s="144"/>
      <c r="B1810" s="145"/>
      <c r="C1810" s="129"/>
      <c r="D1810" s="129"/>
      <c r="E1810" s="129"/>
      <c r="F1810" s="129"/>
      <c r="G1810" s="144"/>
      <c r="H1810" s="129"/>
      <c r="I1810" s="144"/>
      <c r="J1810" s="144"/>
      <c r="K1810" s="144"/>
      <c r="L1810" s="146"/>
      <c r="M1810" s="142"/>
      <c r="N1810" s="144"/>
      <c r="O1810" s="142"/>
      <c r="P1810" s="142"/>
      <c r="Q1810" s="142"/>
      <c r="R1810" s="129"/>
      <c r="S1810" s="143"/>
      <c r="T1810" s="144"/>
      <c r="U1810" s="129"/>
      <c r="V1810" s="129"/>
    </row>
    <row r="1811" spans="1:22" x14ac:dyDescent="0.2">
      <c r="A1811" s="144"/>
      <c r="B1811" s="145"/>
      <c r="C1811" s="129"/>
      <c r="D1811" s="129"/>
      <c r="E1811" s="129"/>
      <c r="F1811" s="129"/>
      <c r="G1811" s="144"/>
      <c r="H1811" s="129"/>
      <c r="I1811" s="144"/>
      <c r="J1811" s="144"/>
      <c r="K1811" s="144"/>
      <c r="L1811" s="146"/>
      <c r="M1811" s="142"/>
      <c r="N1811" s="144"/>
      <c r="O1811" s="142"/>
      <c r="P1811" s="142"/>
      <c r="Q1811" s="142"/>
      <c r="R1811" s="129"/>
      <c r="S1811" s="143"/>
      <c r="T1811" s="144"/>
      <c r="U1811" s="129"/>
      <c r="V1811" s="129"/>
    </row>
    <row r="1812" spans="1:22" x14ac:dyDescent="0.2">
      <c r="A1812" s="144"/>
      <c r="B1812" s="145"/>
      <c r="C1812" s="129"/>
      <c r="D1812" s="129"/>
      <c r="E1812" s="129"/>
      <c r="F1812" s="129"/>
      <c r="G1812" s="144"/>
      <c r="H1812" s="129"/>
      <c r="I1812" s="144"/>
      <c r="J1812" s="144"/>
      <c r="K1812" s="144"/>
      <c r="L1812" s="146"/>
      <c r="M1812" s="142"/>
      <c r="N1812" s="144"/>
      <c r="O1812" s="142"/>
      <c r="P1812" s="142"/>
      <c r="Q1812" s="142"/>
      <c r="R1812" s="129"/>
      <c r="S1812" s="143"/>
      <c r="T1812" s="144"/>
      <c r="U1812" s="129"/>
      <c r="V1812" s="129"/>
    </row>
    <row r="1813" spans="1:22" x14ac:dyDescent="0.2">
      <c r="A1813" s="144"/>
      <c r="B1813" s="145"/>
      <c r="C1813" s="129"/>
      <c r="D1813" s="129"/>
      <c r="E1813" s="129"/>
      <c r="F1813" s="129"/>
      <c r="G1813" s="144"/>
      <c r="H1813" s="129"/>
      <c r="I1813" s="144"/>
      <c r="J1813" s="144"/>
      <c r="K1813" s="144"/>
      <c r="L1813" s="146"/>
      <c r="M1813" s="142"/>
      <c r="N1813" s="144"/>
      <c r="O1813" s="142"/>
      <c r="P1813" s="142"/>
      <c r="Q1813" s="142"/>
      <c r="R1813" s="129"/>
      <c r="S1813" s="143"/>
      <c r="T1813" s="144"/>
      <c r="U1813" s="129"/>
      <c r="V1813" s="129"/>
    </row>
    <row r="1814" spans="1:22" x14ac:dyDescent="0.2">
      <c r="A1814" s="144"/>
      <c r="B1814" s="145"/>
      <c r="C1814" s="129"/>
      <c r="D1814" s="129"/>
      <c r="E1814" s="129"/>
      <c r="F1814" s="129"/>
      <c r="G1814" s="144"/>
      <c r="H1814" s="129"/>
      <c r="I1814" s="144"/>
      <c r="J1814" s="144"/>
      <c r="K1814" s="144"/>
      <c r="L1814" s="146"/>
      <c r="M1814" s="142"/>
      <c r="N1814" s="144"/>
      <c r="O1814" s="142"/>
      <c r="P1814" s="142"/>
      <c r="Q1814" s="142"/>
      <c r="R1814" s="129"/>
      <c r="S1814" s="143"/>
      <c r="T1814" s="144"/>
      <c r="U1814" s="129"/>
      <c r="V1814" s="129"/>
    </row>
    <row r="1815" spans="1:22" x14ac:dyDescent="0.2">
      <c r="A1815" s="144"/>
      <c r="B1815" s="145"/>
      <c r="C1815" s="129"/>
      <c r="D1815" s="129"/>
      <c r="E1815" s="129"/>
      <c r="F1815" s="129"/>
      <c r="G1815" s="144"/>
      <c r="H1815" s="129"/>
      <c r="I1815" s="144"/>
      <c r="J1815" s="144"/>
      <c r="K1815" s="144"/>
      <c r="L1815" s="146"/>
      <c r="M1815" s="142"/>
      <c r="N1815" s="144"/>
      <c r="O1815" s="142"/>
      <c r="P1815" s="142"/>
      <c r="Q1815" s="142"/>
      <c r="R1815" s="129"/>
      <c r="S1815" s="143"/>
      <c r="T1815" s="144"/>
      <c r="U1815" s="129"/>
      <c r="V1815" s="129"/>
    </row>
    <row r="1816" spans="1:22" x14ac:dyDescent="0.2">
      <c r="A1816" s="144"/>
      <c r="B1816" s="145"/>
      <c r="C1816" s="129"/>
      <c r="D1816" s="129"/>
      <c r="E1816" s="129"/>
      <c r="F1816" s="129"/>
      <c r="G1816" s="144"/>
      <c r="H1816" s="129"/>
      <c r="I1816" s="144"/>
      <c r="J1816" s="144"/>
      <c r="K1816" s="144"/>
      <c r="L1816" s="146"/>
      <c r="M1816" s="142"/>
      <c r="N1816" s="144"/>
      <c r="O1816" s="142"/>
      <c r="P1816" s="142"/>
      <c r="Q1816" s="142"/>
      <c r="R1816" s="129"/>
      <c r="S1816" s="143"/>
      <c r="T1816" s="144"/>
      <c r="U1816" s="129"/>
      <c r="V1816" s="129"/>
    </row>
    <row r="1817" spans="1:22" x14ac:dyDescent="0.2">
      <c r="A1817" s="144"/>
      <c r="B1817" s="145"/>
      <c r="C1817" s="129"/>
      <c r="D1817" s="129"/>
      <c r="E1817" s="129"/>
      <c r="F1817" s="129"/>
      <c r="G1817" s="144"/>
      <c r="H1817" s="129"/>
      <c r="I1817" s="144"/>
      <c r="J1817" s="144"/>
      <c r="K1817" s="144"/>
      <c r="L1817" s="146"/>
      <c r="M1817" s="142"/>
      <c r="N1817" s="144"/>
      <c r="O1817" s="142"/>
      <c r="P1817" s="142"/>
      <c r="Q1817" s="142"/>
      <c r="R1817" s="129"/>
      <c r="S1817" s="143"/>
      <c r="T1817" s="144"/>
      <c r="U1817" s="129"/>
      <c r="V1817" s="129"/>
    </row>
    <row r="1818" spans="1:22" x14ac:dyDescent="0.2">
      <c r="A1818" s="144"/>
      <c r="B1818" s="145"/>
      <c r="C1818" s="129"/>
      <c r="D1818" s="129"/>
      <c r="E1818" s="129"/>
      <c r="F1818" s="129"/>
      <c r="G1818" s="144"/>
      <c r="H1818" s="129"/>
      <c r="I1818" s="144"/>
      <c r="J1818" s="144"/>
      <c r="K1818" s="144"/>
      <c r="L1818" s="146"/>
      <c r="M1818" s="142"/>
      <c r="N1818" s="144"/>
      <c r="O1818" s="142"/>
      <c r="P1818" s="142"/>
      <c r="Q1818" s="142"/>
      <c r="R1818" s="129"/>
      <c r="S1818" s="143"/>
      <c r="T1818" s="144"/>
      <c r="U1818" s="129"/>
      <c r="V1818" s="129"/>
    </row>
    <row r="1819" spans="1:22" x14ac:dyDescent="0.2">
      <c r="A1819" s="144"/>
      <c r="B1819" s="145"/>
      <c r="C1819" s="129"/>
      <c r="D1819" s="129"/>
      <c r="E1819" s="129"/>
      <c r="F1819" s="129"/>
      <c r="G1819" s="144"/>
      <c r="H1819" s="129"/>
      <c r="I1819" s="144"/>
      <c r="J1819" s="144"/>
      <c r="K1819" s="144"/>
      <c r="L1819" s="146"/>
      <c r="M1819" s="142"/>
      <c r="N1819" s="144"/>
      <c r="O1819" s="142"/>
      <c r="P1819" s="142"/>
      <c r="Q1819" s="142"/>
      <c r="R1819" s="129"/>
      <c r="S1819" s="143"/>
      <c r="T1819" s="144"/>
      <c r="U1819" s="129"/>
      <c r="V1819" s="129"/>
    </row>
    <row r="1820" spans="1:22" x14ac:dyDescent="0.2">
      <c r="A1820" s="144"/>
      <c r="B1820" s="145"/>
      <c r="C1820" s="129"/>
      <c r="D1820" s="129"/>
      <c r="E1820" s="129"/>
      <c r="F1820" s="129"/>
      <c r="G1820" s="144"/>
      <c r="H1820" s="129"/>
      <c r="I1820" s="144"/>
      <c r="J1820" s="144"/>
      <c r="K1820" s="144"/>
      <c r="L1820" s="146"/>
      <c r="M1820" s="142"/>
      <c r="N1820" s="144"/>
      <c r="O1820" s="142"/>
      <c r="P1820" s="142"/>
      <c r="Q1820" s="142"/>
      <c r="R1820" s="129"/>
      <c r="S1820" s="143"/>
      <c r="T1820" s="144"/>
      <c r="U1820" s="129"/>
      <c r="V1820" s="129"/>
    </row>
    <row r="1821" spans="1:22" x14ac:dyDescent="0.2">
      <c r="A1821" s="144"/>
      <c r="B1821" s="145"/>
      <c r="C1821" s="129"/>
      <c r="D1821" s="129"/>
      <c r="E1821" s="129"/>
      <c r="F1821" s="129"/>
      <c r="G1821" s="144"/>
      <c r="H1821" s="129"/>
      <c r="I1821" s="144"/>
      <c r="J1821" s="144"/>
      <c r="K1821" s="144"/>
      <c r="L1821" s="146"/>
      <c r="M1821" s="142"/>
      <c r="N1821" s="144"/>
      <c r="O1821" s="142"/>
      <c r="P1821" s="142"/>
      <c r="Q1821" s="142"/>
      <c r="R1821" s="129"/>
      <c r="S1821" s="143"/>
      <c r="T1821" s="144"/>
      <c r="U1821" s="129"/>
      <c r="V1821" s="129"/>
    </row>
    <row r="1822" spans="1:22" x14ac:dyDescent="0.2">
      <c r="A1822" s="144"/>
      <c r="B1822" s="145"/>
      <c r="C1822" s="129"/>
      <c r="D1822" s="129"/>
      <c r="E1822" s="129"/>
      <c r="F1822" s="129"/>
      <c r="G1822" s="144"/>
      <c r="H1822" s="129"/>
      <c r="I1822" s="144"/>
      <c r="J1822" s="144"/>
      <c r="K1822" s="144"/>
      <c r="L1822" s="146"/>
      <c r="M1822" s="142"/>
      <c r="N1822" s="144"/>
      <c r="O1822" s="142"/>
      <c r="P1822" s="142"/>
      <c r="Q1822" s="142"/>
      <c r="R1822" s="129"/>
      <c r="S1822" s="143"/>
      <c r="T1822" s="144"/>
      <c r="U1822" s="129"/>
      <c r="V1822" s="129"/>
    </row>
    <row r="1823" spans="1:22" x14ac:dyDescent="0.2">
      <c r="A1823" s="144"/>
      <c r="B1823" s="145"/>
      <c r="C1823" s="129"/>
      <c r="D1823" s="129"/>
      <c r="E1823" s="129"/>
      <c r="F1823" s="129"/>
      <c r="G1823" s="144"/>
      <c r="H1823" s="129"/>
      <c r="I1823" s="144"/>
      <c r="J1823" s="144"/>
      <c r="K1823" s="144"/>
      <c r="L1823" s="146"/>
      <c r="M1823" s="142"/>
      <c r="N1823" s="144"/>
      <c r="O1823" s="142"/>
      <c r="P1823" s="142"/>
      <c r="Q1823" s="142"/>
      <c r="R1823" s="129"/>
      <c r="S1823" s="143"/>
      <c r="T1823" s="144"/>
      <c r="U1823" s="129"/>
      <c r="V1823" s="129"/>
    </row>
    <row r="1824" spans="1:22" x14ac:dyDescent="0.2">
      <c r="A1824" s="144"/>
      <c r="B1824" s="145"/>
      <c r="C1824" s="129"/>
      <c r="D1824" s="129"/>
      <c r="E1824" s="129"/>
      <c r="F1824" s="129"/>
      <c r="G1824" s="144"/>
      <c r="H1824" s="129"/>
      <c r="I1824" s="144"/>
      <c r="J1824" s="144"/>
      <c r="K1824" s="144"/>
      <c r="L1824" s="146"/>
      <c r="M1824" s="142"/>
      <c r="N1824" s="144"/>
      <c r="O1824" s="142"/>
      <c r="P1824" s="142"/>
      <c r="Q1824" s="142"/>
      <c r="R1824" s="129"/>
      <c r="S1824" s="143"/>
      <c r="T1824" s="144"/>
      <c r="U1824" s="129"/>
      <c r="V1824" s="129"/>
    </row>
    <row r="1825" spans="1:22" x14ac:dyDescent="0.2">
      <c r="A1825" s="144"/>
      <c r="B1825" s="145"/>
      <c r="C1825" s="129"/>
      <c r="D1825" s="129"/>
      <c r="E1825" s="129"/>
      <c r="F1825" s="129"/>
      <c r="G1825" s="144"/>
      <c r="H1825" s="129"/>
      <c r="I1825" s="144"/>
      <c r="J1825" s="144"/>
      <c r="K1825" s="144"/>
      <c r="L1825" s="146"/>
      <c r="M1825" s="142"/>
      <c r="N1825" s="144"/>
      <c r="O1825" s="142"/>
      <c r="P1825" s="142"/>
      <c r="Q1825" s="142"/>
      <c r="R1825" s="129"/>
      <c r="S1825" s="143"/>
      <c r="T1825" s="144"/>
      <c r="U1825" s="129"/>
      <c r="V1825" s="129"/>
    </row>
    <row r="1826" spans="1:22" x14ac:dyDescent="0.2">
      <c r="A1826" s="144"/>
      <c r="B1826" s="145"/>
      <c r="C1826" s="129"/>
      <c r="D1826" s="129"/>
      <c r="E1826" s="129"/>
      <c r="F1826" s="129"/>
      <c r="G1826" s="144"/>
      <c r="H1826" s="129"/>
      <c r="I1826" s="144"/>
      <c r="J1826" s="144"/>
      <c r="K1826" s="144"/>
      <c r="L1826" s="146"/>
      <c r="M1826" s="142"/>
      <c r="N1826" s="144"/>
      <c r="O1826" s="142"/>
      <c r="P1826" s="142"/>
      <c r="Q1826" s="142"/>
      <c r="R1826" s="129"/>
      <c r="S1826" s="143"/>
      <c r="T1826" s="144"/>
      <c r="U1826" s="129"/>
      <c r="V1826" s="129"/>
    </row>
    <row r="1827" spans="1:22" x14ac:dyDescent="0.2">
      <c r="A1827" s="144"/>
      <c r="B1827" s="145"/>
      <c r="C1827" s="129"/>
      <c r="D1827" s="129"/>
      <c r="E1827" s="129"/>
      <c r="F1827" s="129"/>
      <c r="G1827" s="144"/>
      <c r="H1827" s="129"/>
      <c r="I1827" s="144"/>
      <c r="J1827" s="144"/>
      <c r="K1827" s="144"/>
      <c r="L1827" s="146"/>
      <c r="M1827" s="142"/>
      <c r="N1827" s="144"/>
      <c r="O1827" s="142"/>
      <c r="P1827" s="142"/>
      <c r="Q1827" s="142"/>
      <c r="R1827" s="129"/>
      <c r="S1827" s="143"/>
      <c r="T1827" s="144"/>
      <c r="U1827" s="129"/>
      <c r="V1827" s="129"/>
    </row>
    <row r="1828" spans="1:22" x14ac:dyDescent="0.2">
      <c r="A1828" s="144"/>
      <c r="B1828" s="145"/>
      <c r="C1828" s="129"/>
      <c r="D1828" s="129"/>
      <c r="E1828" s="129"/>
      <c r="F1828" s="129"/>
      <c r="G1828" s="144"/>
      <c r="H1828" s="129"/>
      <c r="I1828" s="144"/>
      <c r="J1828" s="144"/>
      <c r="K1828" s="144"/>
      <c r="L1828" s="146"/>
      <c r="M1828" s="142"/>
      <c r="N1828" s="144"/>
      <c r="O1828" s="142"/>
      <c r="P1828" s="142"/>
      <c r="Q1828" s="142"/>
      <c r="R1828" s="129"/>
      <c r="S1828" s="143"/>
      <c r="T1828" s="144"/>
      <c r="U1828" s="129"/>
      <c r="V1828" s="129"/>
    </row>
    <row r="1829" spans="1:22" x14ac:dyDescent="0.2">
      <c r="A1829" s="144"/>
      <c r="B1829" s="145"/>
      <c r="C1829" s="129"/>
      <c r="D1829" s="129"/>
      <c r="E1829" s="129"/>
      <c r="F1829" s="129"/>
      <c r="G1829" s="144"/>
      <c r="H1829" s="129"/>
      <c r="I1829" s="144"/>
      <c r="J1829" s="144"/>
      <c r="K1829" s="144"/>
      <c r="L1829" s="146"/>
      <c r="M1829" s="142"/>
      <c r="N1829" s="144"/>
      <c r="O1829" s="142"/>
      <c r="P1829" s="142"/>
      <c r="Q1829" s="142"/>
      <c r="R1829" s="129"/>
      <c r="S1829" s="143"/>
      <c r="T1829" s="144"/>
      <c r="U1829" s="129"/>
      <c r="V1829" s="129"/>
    </row>
    <row r="1830" spans="1:22" x14ac:dyDescent="0.2">
      <c r="A1830" s="144"/>
      <c r="B1830" s="145"/>
      <c r="C1830" s="129"/>
      <c r="D1830" s="129"/>
      <c r="E1830" s="129"/>
      <c r="F1830" s="129"/>
      <c r="G1830" s="144"/>
      <c r="H1830" s="129"/>
      <c r="I1830" s="144"/>
      <c r="J1830" s="144"/>
      <c r="K1830" s="144"/>
      <c r="L1830" s="146"/>
      <c r="M1830" s="142"/>
      <c r="N1830" s="144"/>
      <c r="O1830" s="142"/>
      <c r="P1830" s="142"/>
      <c r="Q1830" s="142"/>
      <c r="R1830" s="129"/>
      <c r="S1830" s="143"/>
      <c r="T1830" s="144"/>
      <c r="U1830" s="129"/>
      <c r="V1830" s="129"/>
    </row>
    <row r="1831" spans="1:22" x14ac:dyDescent="0.2">
      <c r="A1831" s="144"/>
      <c r="B1831" s="145"/>
      <c r="C1831" s="129"/>
      <c r="D1831" s="129"/>
      <c r="E1831" s="129"/>
      <c r="F1831" s="129"/>
      <c r="G1831" s="144"/>
      <c r="H1831" s="129"/>
      <c r="I1831" s="144"/>
      <c r="J1831" s="144"/>
      <c r="K1831" s="144"/>
      <c r="L1831" s="146"/>
      <c r="M1831" s="142"/>
      <c r="N1831" s="144"/>
      <c r="O1831" s="142"/>
      <c r="P1831" s="142"/>
      <c r="Q1831" s="142"/>
      <c r="R1831" s="129"/>
      <c r="S1831" s="143"/>
      <c r="T1831" s="144"/>
      <c r="U1831" s="129"/>
      <c r="V1831" s="129"/>
    </row>
    <row r="1832" spans="1:22" x14ac:dyDescent="0.2">
      <c r="A1832" s="144"/>
      <c r="B1832" s="145"/>
      <c r="C1832" s="129"/>
      <c r="D1832" s="129"/>
      <c r="E1832" s="129"/>
      <c r="F1832" s="129"/>
      <c r="G1832" s="144"/>
      <c r="H1832" s="129"/>
      <c r="I1832" s="144"/>
      <c r="J1832" s="144"/>
      <c r="K1832" s="144"/>
      <c r="L1832" s="146"/>
      <c r="M1832" s="142"/>
      <c r="N1832" s="144"/>
      <c r="O1832" s="142"/>
      <c r="P1832" s="142"/>
      <c r="Q1832" s="142"/>
      <c r="R1832" s="129"/>
      <c r="S1832" s="143"/>
      <c r="T1832" s="144"/>
      <c r="U1832" s="129"/>
      <c r="V1832" s="129"/>
    </row>
    <row r="1833" spans="1:22" x14ac:dyDescent="0.2">
      <c r="A1833" s="144"/>
      <c r="B1833" s="145"/>
      <c r="C1833" s="129"/>
      <c r="D1833" s="129"/>
      <c r="E1833" s="129"/>
      <c r="F1833" s="129"/>
      <c r="G1833" s="144"/>
      <c r="H1833" s="129"/>
      <c r="I1833" s="144"/>
      <c r="J1833" s="144"/>
      <c r="K1833" s="144"/>
      <c r="L1833" s="146"/>
      <c r="M1833" s="142"/>
      <c r="N1833" s="144"/>
      <c r="O1833" s="142"/>
      <c r="P1833" s="142"/>
      <c r="Q1833" s="142"/>
      <c r="R1833" s="129"/>
      <c r="S1833" s="143"/>
      <c r="T1833" s="144"/>
      <c r="U1833" s="129"/>
      <c r="V1833" s="129"/>
    </row>
    <row r="1834" spans="1:22" x14ac:dyDescent="0.2">
      <c r="A1834" s="144"/>
      <c r="B1834" s="145"/>
      <c r="C1834" s="129"/>
      <c r="D1834" s="129"/>
      <c r="E1834" s="129"/>
      <c r="F1834" s="129"/>
      <c r="G1834" s="144"/>
      <c r="H1834" s="129"/>
      <c r="I1834" s="144"/>
      <c r="J1834" s="144"/>
      <c r="K1834" s="144"/>
      <c r="L1834" s="146"/>
      <c r="M1834" s="142"/>
      <c r="N1834" s="144"/>
      <c r="O1834" s="142"/>
      <c r="P1834" s="142"/>
      <c r="Q1834" s="142"/>
      <c r="R1834" s="129"/>
      <c r="S1834" s="143"/>
      <c r="T1834" s="144"/>
      <c r="U1834" s="129"/>
      <c r="V1834" s="129"/>
    </row>
    <row r="1835" spans="1:22" x14ac:dyDescent="0.2">
      <c r="A1835" s="144"/>
      <c r="B1835" s="145"/>
      <c r="C1835" s="129"/>
      <c r="D1835" s="129"/>
      <c r="E1835" s="129"/>
      <c r="F1835" s="129"/>
      <c r="G1835" s="144"/>
      <c r="H1835" s="129"/>
      <c r="I1835" s="144"/>
      <c r="J1835" s="144"/>
      <c r="K1835" s="144"/>
      <c r="L1835" s="146"/>
      <c r="M1835" s="142"/>
      <c r="N1835" s="144"/>
      <c r="O1835" s="142"/>
      <c r="P1835" s="142"/>
      <c r="Q1835" s="142"/>
      <c r="R1835" s="129"/>
      <c r="S1835" s="143"/>
      <c r="T1835" s="144"/>
      <c r="U1835" s="129"/>
      <c r="V1835" s="129"/>
    </row>
    <row r="1836" spans="1:22" x14ac:dyDescent="0.2">
      <c r="A1836" s="144"/>
      <c r="B1836" s="145"/>
      <c r="C1836" s="129"/>
      <c r="D1836" s="129"/>
      <c r="E1836" s="129"/>
      <c r="F1836" s="129"/>
      <c r="G1836" s="144"/>
      <c r="H1836" s="129"/>
      <c r="I1836" s="144"/>
      <c r="J1836" s="144"/>
      <c r="K1836" s="144"/>
      <c r="L1836" s="146"/>
      <c r="M1836" s="142"/>
      <c r="N1836" s="144"/>
      <c r="O1836" s="142"/>
      <c r="P1836" s="142"/>
      <c r="Q1836" s="142"/>
      <c r="R1836" s="129"/>
      <c r="S1836" s="143"/>
      <c r="T1836" s="144"/>
      <c r="U1836" s="129"/>
      <c r="V1836" s="129"/>
    </row>
    <row r="1837" spans="1:22" x14ac:dyDescent="0.2">
      <c r="A1837" s="144"/>
      <c r="B1837" s="145"/>
      <c r="C1837" s="129"/>
      <c r="D1837" s="129"/>
      <c r="E1837" s="129"/>
      <c r="F1837" s="129"/>
      <c r="G1837" s="144"/>
      <c r="H1837" s="129"/>
      <c r="I1837" s="144"/>
      <c r="J1837" s="144"/>
      <c r="K1837" s="144"/>
      <c r="L1837" s="146"/>
      <c r="M1837" s="142"/>
      <c r="N1837" s="144"/>
      <c r="O1837" s="142"/>
      <c r="P1837" s="142"/>
      <c r="Q1837" s="142"/>
      <c r="R1837" s="129"/>
      <c r="S1837" s="143"/>
      <c r="T1837" s="144"/>
      <c r="U1837" s="129"/>
      <c r="V1837" s="129"/>
    </row>
    <row r="1838" spans="1:22" x14ac:dyDescent="0.2">
      <c r="A1838" s="144"/>
      <c r="B1838" s="145"/>
      <c r="C1838" s="129"/>
      <c r="D1838" s="129"/>
      <c r="E1838" s="129"/>
      <c r="F1838" s="129"/>
      <c r="G1838" s="144"/>
      <c r="H1838" s="129"/>
      <c r="I1838" s="144"/>
      <c r="J1838" s="144"/>
      <c r="K1838" s="144"/>
      <c r="L1838" s="146"/>
      <c r="M1838" s="142"/>
      <c r="N1838" s="144"/>
      <c r="O1838" s="142"/>
      <c r="P1838" s="142"/>
      <c r="Q1838" s="142"/>
      <c r="R1838" s="129"/>
      <c r="S1838" s="143"/>
      <c r="T1838" s="144"/>
      <c r="U1838" s="129"/>
      <c r="V1838" s="129"/>
    </row>
    <row r="1839" spans="1:22" x14ac:dyDescent="0.2">
      <c r="A1839" s="144"/>
      <c r="B1839" s="145"/>
      <c r="C1839" s="129"/>
      <c r="D1839" s="129"/>
      <c r="E1839" s="129"/>
      <c r="F1839" s="129"/>
      <c r="G1839" s="144"/>
      <c r="H1839" s="129"/>
      <c r="I1839" s="144"/>
      <c r="J1839" s="144"/>
      <c r="K1839" s="144"/>
      <c r="L1839" s="146"/>
      <c r="M1839" s="142"/>
      <c r="N1839" s="144"/>
      <c r="O1839" s="142"/>
      <c r="P1839" s="142"/>
      <c r="Q1839" s="142"/>
      <c r="R1839" s="129"/>
      <c r="S1839" s="143"/>
      <c r="T1839" s="144"/>
      <c r="U1839" s="129"/>
      <c r="V1839" s="129"/>
    </row>
    <row r="1840" spans="1:22" x14ac:dyDescent="0.2">
      <c r="A1840" s="144"/>
      <c r="B1840" s="145"/>
      <c r="C1840" s="129"/>
      <c r="D1840" s="129"/>
      <c r="E1840" s="129"/>
      <c r="F1840" s="129"/>
      <c r="G1840" s="144"/>
      <c r="H1840" s="129"/>
      <c r="I1840" s="144"/>
      <c r="J1840" s="144"/>
      <c r="K1840" s="144"/>
      <c r="L1840" s="146"/>
      <c r="M1840" s="142"/>
      <c r="N1840" s="144"/>
      <c r="O1840" s="142"/>
      <c r="P1840" s="142"/>
      <c r="Q1840" s="142"/>
      <c r="R1840" s="129"/>
      <c r="S1840" s="143"/>
      <c r="T1840" s="144"/>
      <c r="U1840" s="129"/>
      <c r="V1840" s="129"/>
    </row>
    <row r="1841" spans="1:22" x14ac:dyDescent="0.2">
      <c r="A1841" s="144"/>
      <c r="B1841" s="145"/>
      <c r="C1841" s="129"/>
      <c r="D1841" s="129"/>
      <c r="E1841" s="129"/>
      <c r="F1841" s="129"/>
      <c r="G1841" s="144"/>
      <c r="H1841" s="129"/>
      <c r="I1841" s="144"/>
      <c r="J1841" s="144"/>
      <c r="K1841" s="144"/>
      <c r="L1841" s="146"/>
      <c r="M1841" s="142"/>
      <c r="N1841" s="144"/>
      <c r="O1841" s="142"/>
      <c r="P1841" s="142"/>
      <c r="Q1841" s="142"/>
      <c r="R1841" s="129"/>
      <c r="S1841" s="143"/>
      <c r="T1841" s="144"/>
      <c r="U1841" s="129"/>
      <c r="V1841" s="129"/>
    </row>
    <row r="1842" spans="1:22" x14ac:dyDescent="0.2">
      <c r="A1842" s="144"/>
      <c r="B1842" s="145"/>
      <c r="C1842" s="129"/>
      <c r="D1842" s="129"/>
      <c r="E1842" s="129"/>
      <c r="F1842" s="129"/>
      <c r="G1842" s="144"/>
      <c r="H1842" s="129"/>
      <c r="I1842" s="144"/>
      <c r="J1842" s="144"/>
      <c r="K1842" s="144"/>
      <c r="L1842" s="146"/>
      <c r="M1842" s="142"/>
      <c r="N1842" s="144"/>
      <c r="O1842" s="142"/>
      <c r="P1842" s="142"/>
      <c r="Q1842" s="142"/>
      <c r="R1842" s="129"/>
      <c r="S1842" s="143"/>
      <c r="T1842" s="144"/>
      <c r="U1842" s="129"/>
      <c r="V1842" s="129"/>
    </row>
    <row r="1843" spans="1:22" x14ac:dyDescent="0.2">
      <c r="A1843" s="144"/>
      <c r="B1843" s="145"/>
      <c r="C1843" s="129"/>
      <c r="D1843" s="129"/>
      <c r="E1843" s="129"/>
      <c r="F1843" s="129"/>
      <c r="G1843" s="144"/>
      <c r="H1843" s="129"/>
      <c r="I1843" s="144"/>
      <c r="J1843" s="144"/>
      <c r="K1843" s="144"/>
      <c r="L1843" s="146"/>
      <c r="M1843" s="142"/>
      <c r="N1843" s="144"/>
      <c r="O1843" s="142"/>
      <c r="P1843" s="142"/>
      <c r="Q1843" s="142"/>
      <c r="R1843" s="129"/>
      <c r="S1843" s="143"/>
      <c r="T1843" s="144"/>
      <c r="U1843" s="129"/>
      <c r="V1843" s="129"/>
    </row>
    <row r="1844" spans="1:22" x14ac:dyDescent="0.2">
      <c r="A1844" s="144"/>
      <c r="B1844" s="145"/>
      <c r="C1844" s="129"/>
      <c r="D1844" s="129"/>
      <c r="E1844" s="129"/>
      <c r="F1844" s="129"/>
      <c r="G1844" s="144"/>
      <c r="H1844" s="129"/>
      <c r="I1844" s="144"/>
      <c r="J1844" s="144"/>
      <c r="K1844" s="144"/>
      <c r="L1844" s="146"/>
      <c r="M1844" s="142"/>
      <c r="N1844" s="144"/>
      <c r="O1844" s="142"/>
      <c r="P1844" s="142"/>
      <c r="Q1844" s="142"/>
      <c r="R1844" s="129"/>
      <c r="S1844" s="143"/>
      <c r="T1844" s="144"/>
      <c r="U1844" s="129"/>
      <c r="V1844" s="129"/>
    </row>
    <row r="1845" spans="1:22" x14ac:dyDescent="0.2">
      <c r="A1845" s="144"/>
      <c r="B1845" s="145"/>
      <c r="C1845" s="129"/>
      <c r="D1845" s="129"/>
      <c r="E1845" s="129"/>
      <c r="F1845" s="129"/>
      <c r="G1845" s="144"/>
      <c r="H1845" s="129"/>
      <c r="I1845" s="144"/>
      <c r="J1845" s="144"/>
      <c r="K1845" s="144"/>
      <c r="L1845" s="146"/>
      <c r="M1845" s="142"/>
      <c r="N1845" s="144"/>
      <c r="O1845" s="142"/>
      <c r="P1845" s="142"/>
      <c r="Q1845" s="142"/>
      <c r="R1845" s="129"/>
      <c r="S1845" s="143"/>
      <c r="T1845" s="144"/>
      <c r="U1845" s="129"/>
      <c r="V1845" s="129"/>
    </row>
    <row r="1846" spans="1:22" x14ac:dyDescent="0.2">
      <c r="A1846" s="144"/>
      <c r="B1846" s="145"/>
      <c r="C1846" s="129"/>
      <c r="D1846" s="129"/>
      <c r="E1846" s="129"/>
      <c r="F1846" s="129"/>
      <c r="G1846" s="144"/>
      <c r="H1846" s="129"/>
      <c r="I1846" s="144"/>
      <c r="J1846" s="144"/>
      <c r="K1846" s="144"/>
      <c r="L1846" s="146"/>
      <c r="M1846" s="142"/>
      <c r="N1846" s="144"/>
      <c r="O1846" s="142"/>
      <c r="P1846" s="142"/>
      <c r="Q1846" s="142"/>
      <c r="R1846" s="129"/>
      <c r="S1846" s="143"/>
      <c r="T1846" s="144"/>
      <c r="U1846" s="129"/>
      <c r="V1846" s="129"/>
    </row>
    <row r="1847" spans="1:22" x14ac:dyDescent="0.2">
      <c r="A1847" s="144"/>
      <c r="B1847" s="145"/>
      <c r="C1847" s="129"/>
      <c r="D1847" s="129"/>
      <c r="E1847" s="129"/>
      <c r="F1847" s="129"/>
      <c r="G1847" s="144"/>
      <c r="H1847" s="129"/>
      <c r="I1847" s="144"/>
      <c r="J1847" s="144"/>
      <c r="K1847" s="144"/>
      <c r="L1847" s="146"/>
      <c r="M1847" s="142"/>
      <c r="N1847" s="144"/>
      <c r="O1847" s="142"/>
      <c r="P1847" s="142"/>
      <c r="Q1847" s="142"/>
      <c r="R1847" s="129"/>
      <c r="S1847" s="143"/>
      <c r="T1847" s="144"/>
      <c r="U1847" s="129"/>
      <c r="V1847" s="129"/>
    </row>
    <row r="1848" spans="1:22" x14ac:dyDescent="0.2">
      <c r="A1848" s="144"/>
      <c r="B1848" s="145"/>
      <c r="C1848" s="129"/>
      <c r="D1848" s="129"/>
      <c r="E1848" s="129"/>
      <c r="F1848" s="129"/>
      <c r="G1848" s="144"/>
      <c r="H1848" s="129"/>
      <c r="I1848" s="144"/>
      <c r="J1848" s="144"/>
      <c r="K1848" s="144"/>
      <c r="L1848" s="146"/>
      <c r="M1848" s="142"/>
      <c r="N1848" s="144"/>
      <c r="O1848" s="142"/>
      <c r="P1848" s="142"/>
      <c r="Q1848" s="142"/>
      <c r="R1848" s="129"/>
      <c r="S1848" s="143"/>
      <c r="T1848" s="144"/>
      <c r="U1848" s="129"/>
      <c r="V1848" s="129"/>
    </row>
    <row r="1849" spans="1:22" x14ac:dyDescent="0.2">
      <c r="A1849" s="144"/>
      <c r="B1849" s="145"/>
      <c r="C1849" s="129"/>
      <c r="D1849" s="129"/>
      <c r="E1849" s="129"/>
      <c r="F1849" s="129"/>
      <c r="G1849" s="144"/>
      <c r="H1849" s="129"/>
      <c r="I1849" s="144"/>
      <c r="J1849" s="144"/>
      <c r="K1849" s="144"/>
      <c r="L1849" s="146"/>
      <c r="M1849" s="142"/>
      <c r="N1849" s="144"/>
      <c r="O1849" s="142"/>
      <c r="P1849" s="142"/>
      <c r="Q1849" s="142"/>
      <c r="R1849" s="129"/>
      <c r="S1849" s="143"/>
      <c r="T1849" s="144"/>
      <c r="U1849" s="129"/>
      <c r="V1849" s="129"/>
    </row>
    <row r="1850" spans="1:22" x14ac:dyDescent="0.2">
      <c r="A1850" s="144"/>
      <c r="B1850" s="145"/>
      <c r="C1850" s="129"/>
      <c r="D1850" s="129"/>
      <c r="E1850" s="129"/>
      <c r="F1850" s="129"/>
      <c r="G1850" s="144"/>
      <c r="H1850" s="129"/>
      <c r="I1850" s="144"/>
      <c r="J1850" s="144"/>
      <c r="K1850" s="144"/>
      <c r="L1850" s="146"/>
      <c r="M1850" s="142"/>
      <c r="N1850" s="144"/>
      <c r="O1850" s="142"/>
      <c r="P1850" s="142"/>
      <c r="Q1850" s="142"/>
      <c r="R1850" s="129"/>
      <c r="S1850" s="143"/>
      <c r="T1850" s="144"/>
      <c r="U1850" s="129"/>
      <c r="V1850" s="129"/>
    </row>
    <row r="1851" spans="1:22" x14ac:dyDescent="0.2">
      <c r="A1851" s="144"/>
      <c r="B1851" s="145"/>
      <c r="C1851" s="129"/>
      <c r="D1851" s="129"/>
      <c r="E1851" s="129"/>
      <c r="F1851" s="129"/>
      <c r="G1851" s="144"/>
      <c r="H1851" s="129"/>
      <c r="I1851" s="144"/>
      <c r="J1851" s="144"/>
      <c r="K1851" s="144"/>
      <c r="L1851" s="146"/>
      <c r="M1851" s="142"/>
      <c r="N1851" s="144"/>
      <c r="O1851" s="142"/>
      <c r="P1851" s="142"/>
      <c r="Q1851" s="142"/>
      <c r="R1851" s="129"/>
      <c r="S1851" s="143"/>
      <c r="T1851" s="144"/>
      <c r="U1851" s="129"/>
      <c r="V1851" s="129"/>
    </row>
    <row r="1852" spans="1:22" x14ac:dyDescent="0.2">
      <c r="A1852" s="144"/>
      <c r="B1852" s="145"/>
      <c r="C1852" s="129"/>
      <c r="D1852" s="129"/>
      <c r="E1852" s="129"/>
      <c r="F1852" s="129"/>
      <c r="G1852" s="144"/>
      <c r="H1852" s="129"/>
      <c r="I1852" s="144"/>
      <c r="J1852" s="144"/>
      <c r="K1852" s="144"/>
      <c r="L1852" s="146"/>
      <c r="M1852" s="142"/>
      <c r="N1852" s="144"/>
      <c r="O1852" s="142"/>
      <c r="P1852" s="142"/>
      <c r="Q1852" s="142"/>
      <c r="R1852" s="129"/>
      <c r="S1852" s="143"/>
      <c r="T1852" s="144"/>
      <c r="U1852" s="129"/>
      <c r="V1852" s="129"/>
    </row>
    <row r="1853" spans="1:22" x14ac:dyDescent="0.2">
      <c r="A1853" s="144"/>
      <c r="B1853" s="145"/>
      <c r="C1853" s="129"/>
      <c r="D1853" s="129"/>
      <c r="E1853" s="129"/>
      <c r="F1853" s="129"/>
      <c r="G1853" s="144"/>
      <c r="H1853" s="129"/>
      <c r="I1853" s="144"/>
      <c r="J1853" s="144"/>
      <c r="K1853" s="144"/>
      <c r="L1853" s="146"/>
      <c r="M1853" s="142"/>
      <c r="N1853" s="144"/>
      <c r="O1853" s="142"/>
      <c r="P1853" s="142"/>
      <c r="Q1853" s="142"/>
      <c r="R1853" s="129"/>
      <c r="S1853" s="143"/>
      <c r="T1853" s="144"/>
      <c r="U1853" s="129"/>
      <c r="V1853" s="129"/>
    </row>
    <row r="1854" spans="1:22" x14ac:dyDescent="0.2">
      <c r="A1854" s="144"/>
      <c r="B1854" s="145"/>
      <c r="C1854" s="129"/>
      <c r="D1854" s="129"/>
      <c r="E1854" s="129"/>
      <c r="F1854" s="129"/>
      <c r="G1854" s="144"/>
      <c r="H1854" s="129"/>
      <c r="I1854" s="144"/>
      <c r="J1854" s="144"/>
      <c r="K1854" s="144"/>
      <c r="L1854" s="146"/>
      <c r="M1854" s="142"/>
      <c r="N1854" s="144"/>
      <c r="O1854" s="142"/>
      <c r="P1854" s="142"/>
      <c r="Q1854" s="142"/>
      <c r="R1854" s="129"/>
      <c r="S1854" s="143"/>
      <c r="T1854" s="144"/>
      <c r="U1854" s="129"/>
      <c r="V1854" s="129"/>
    </row>
    <row r="1855" spans="1:22" x14ac:dyDescent="0.2">
      <c r="A1855" s="144"/>
      <c r="B1855" s="145"/>
      <c r="C1855" s="129"/>
      <c r="D1855" s="129"/>
      <c r="E1855" s="129"/>
      <c r="F1855" s="129"/>
      <c r="G1855" s="144"/>
      <c r="H1855" s="129"/>
      <c r="I1855" s="144"/>
      <c r="J1855" s="144"/>
      <c r="K1855" s="144"/>
      <c r="L1855" s="146"/>
      <c r="M1855" s="142"/>
      <c r="N1855" s="144"/>
      <c r="O1855" s="142"/>
      <c r="P1855" s="142"/>
      <c r="Q1855" s="142"/>
      <c r="R1855" s="129"/>
      <c r="S1855" s="143"/>
      <c r="T1855" s="144"/>
      <c r="U1855" s="129"/>
      <c r="V1855" s="129"/>
    </row>
    <row r="1856" spans="1:22" x14ac:dyDescent="0.2">
      <c r="A1856" s="144"/>
      <c r="B1856" s="145"/>
      <c r="C1856" s="129"/>
      <c r="D1856" s="129"/>
      <c r="E1856" s="129"/>
      <c r="F1856" s="129"/>
      <c r="G1856" s="144"/>
      <c r="H1856" s="129"/>
      <c r="I1856" s="144"/>
      <c r="J1856" s="144"/>
      <c r="K1856" s="144"/>
      <c r="L1856" s="146"/>
      <c r="M1856" s="142"/>
      <c r="N1856" s="144"/>
      <c r="O1856" s="142"/>
      <c r="P1856" s="142"/>
      <c r="Q1856" s="142"/>
      <c r="R1856" s="129"/>
      <c r="S1856" s="143"/>
      <c r="T1856" s="144"/>
      <c r="U1856" s="129"/>
      <c r="V1856" s="129"/>
    </row>
    <row r="1857" spans="1:22" x14ac:dyDescent="0.2">
      <c r="A1857" s="144"/>
      <c r="B1857" s="145"/>
      <c r="C1857" s="129"/>
      <c r="D1857" s="129"/>
      <c r="E1857" s="129"/>
      <c r="F1857" s="129"/>
      <c r="G1857" s="144"/>
      <c r="H1857" s="129"/>
      <c r="I1857" s="144"/>
      <c r="J1857" s="144"/>
      <c r="K1857" s="144"/>
      <c r="L1857" s="146"/>
      <c r="M1857" s="142"/>
      <c r="N1857" s="144"/>
      <c r="O1857" s="142"/>
      <c r="P1857" s="142"/>
      <c r="Q1857" s="142"/>
      <c r="R1857" s="129"/>
      <c r="S1857" s="143"/>
      <c r="T1857" s="144"/>
      <c r="U1857" s="129"/>
      <c r="V1857" s="129"/>
    </row>
    <row r="1858" spans="1:22" x14ac:dyDescent="0.2">
      <c r="A1858" s="144"/>
      <c r="B1858" s="145"/>
      <c r="C1858" s="129"/>
      <c r="D1858" s="129"/>
      <c r="E1858" s="129"/>
      <c r="F1858" s="129"/>
      <c r="G1858" s="144"/>
      <c r="H1858" s="129"/>
      <c r="I1858" s="144"/>
      <c r="J1858" s="144"/>
      <c r="K1858" s="144"/>
      <c r="L1858" s="146"/>
      <c r="M1858" s="142"/>
      <c r="N1858" s="144"/>
      <c r="O1858" s="142"/>
      <c r="P1858" s="142"/>
      <c r="Q1858" s="142"/>
      <c r="R1858" s="129"/>
      <c r="S1858" s="143"/>
      <c r="T1858" s="144"/>
      <c r="U1858" s="129"/>
      <c r="V1858" s="129"/>
    </row>
    <row r="1859" spans="1:22" x14ac:dyDescent="0.2">
      <c r="A1859" s="144"/>
      <c r="B1859" s="145"/>
      <c r="C1859" s="129"/>
      <c r="D1859" s="129"/>
      <c r="E1859" s="129"/>
      <c r="F1859" s="129"/>
      <c r="G1859" s="144"/>
      <c r="H1859" s="129"/>
      <c r="I1859" s="144"/>
      <c r="J1859" s="144"/>
      <c r="K1859" s="144"/>
      <c r="L1859" s="146"/>
      <c r="M1859" s="142"/>
      <c r="N1859" s="144"/>
      <c r="O1859" s="142"/>
      <c r="P1859" s="142"/>
      <c r="Q1859" s="142"/>
      <c r="R1859" s="129"/>
      <c r="S1859" s="143"/>
      <c r="T1859" s="144"/>
      <c r="U1859" s="129"/>
      <c r="V1859" s="129"/>
    </row>
    <row r="1860" spans="1:22" x14ac:dyDescent="0.2">
      <c r="A1860" s="144"/>
      <c r="B1860" s="145"/>
      <c r="C1860" s="129"/>
      <c r="D1860" s="129"/>
      <c r="E1860" s="129"/>
      <c r="F1860" s="129"/>
      <c r="G1860" s="144"/>
      <c r="H1860" s="129"/>
      <c r="I1860" s="144"/>
      <c r="J1860" s="144"/>
      <c r="K1860" s="144"/>
      <c r="L1860" s="146"/>
      <c r="M1860" s="142"/>
      <c r="N1860" s="144"/>
      <c r="O1860" s="142"/>
      <c r="P1860" s="142"/>
      <c r="Q1860" s="142"/>
      <c r="R1860" s="129"/>
      <c r="S1860" s="143"/>
      <c r="T1860" s="144"/>
      <c r="U1860" s="129"/>
      <c r="V1860" s="129"/>
    </row>
    <row r="1861" spans="1:22" x14ac:dyDescent="0.2">
      <c r="A1861" s="144"/>
      <c r="B1861" s="145"/>
      <c r="C1861" s="129"/>
      <c r="D1861" s="129"/>
      <c r="E1861" s="129"/>
      <c r="F1861" s="129"/>
      <c r="G1861" s="144"/>
      <c r="H1861" s="129"/>
      <c r="I1861" s="144"/>
      <c r="J1861" s="144"/>
      <c r="K1861" s="144"/>
      <c r="L1861" s="146"/>
      <c r="M1861" s="142"/>
      <c r="N1861" s="144"/>
      <c r="O1861" s="142"/>
      <c r="P1861" s="142"/>
      <c r="Q1861" s="142"/>
      <c r="R1861" s="129"/>
      <c r="S1861" s="143"/>
      <c r="T1861" s="144"/>
      <c r="U1861" s="129"/>
      <c r="V1861" s="129"/>
    </row>
    <row r="1862" spans="1:22" x14ac:dyDescent="0.2">
      <c r="A1862" s="144"/>
      <c r="B1862" s="145"/>
      <c r="C1862" s="129"/>
      <c r="D1862" s="129"/>
      <c r="E1862" s="129"/>
      <c r="F1862" s="129"/>
      <c r="G1862" s="144"/>
      <c r="H1862" s="129"/>
      <c r="I1862" s="144"/>
      <c r="J1862" s="144"/>
      <c r="K1862" s="144"/>
      <c r="L1862" s="146"/>
      <c r="M1862" s="142"/>
      <c r="N1862" s="144"/>
      <c r="O1862" s="142"/>
      <c r="P1862" s="142"/>
      <c r="Q1862" s="142"/>
      <c r="R1862" s="129"/>
      <c r="S1862" s="143"/>
      <c r="T1862" s="144"/>
      <c r="U1862" s="129"/>
      <c r="V1862" s="129"/>
    </row>
    <row r="1863" spans="1:22" x14ac:dyDescent="0.2">
      <c r="A1863" s="144"/>
      <c r="B1863" s="145"/>
      <c r="C1863" s="129"/>
      <c r="D1863" s="129"/>
      <c r="E1863" s="129"/>
      <c r="F1863" s="129"/>
      <c r="G1863" s="144"/>
      <c r="H1863" s="129"/>
      <c r="I1863" s="144"/>
      <c r="J1863" s="144"/>
      <c r="K1863" s="144"/>
      <c r="L1863" s="146"/>
      <c r="M1863" s="142"/>
      <c r="N1863" s="144"/>
      <c r="O1863" s="142"/>
      <c r="P1863" s="142"/>
      <c r="Q1863" s="142"/>
      <c r="R1863" s="129"/>
      <c r="S1863" s="143"/>
      <c r="T1863" s="144"/>
      <c r="U1863" s="129"/>
      <c r="V1863" s="129"/>
    </row>
    <row r="1864" spans="1:22" x14ac:dyDescent="0.2">
      <c r="A1864" s="144"/>
      <c r="B1864" s="145"/>
      <c r="C1864" s="129"/>
      <c r="D1864" s="129"/>
      <c r="E1864" s="129"/>
      <c r="F1864" s="129"/>
      <c r="G1864" s="144"/>
      <c r="H1864" s="129"/>
      <c r="I1864" s="144"/>
      <c r="J1864" s="144"/>
      <c r="K1864" s="144"/>
      <c r="L1864" s="146"/>
      <c r="M1864" s="142"/>
      <c r="N1864" s="144"/>
      <c r="O1864" s="142"/>
      <c r="P1864" s="142"/>
      <c r="Q1864" s="142"/>
      <c r="R1864" s="129"/>
      <c r="S1864" s="143"/>
      <c r="T1864" s="144"/>
      <c r="U1864" s="129"/>
      <c r="V1864" s="129"/>
    </row>
    <row r="1865" spans="1:22" x14ac:dyDescent="0.2">
      <c r="A1865" s="144"/>
      <c r="B1865" s="145"/>
      <c r="C1865" s="129"/>
      <c r="D1865" s="129"/>
      <c r="E1865" s="129"/>
      <c r="F1865" s="129"/>
      <c r="G1865" s="144"/>
      <c r="H1865" s="129"/>
      <c r="I1865" s="144"/>
      <c r="J1865" s="144"/>
      <c r="K1865" s="144"/>
      <c r="L1865" s="146"/>
      <c r="M1865" s="142"/>
      <c r="N1865" s="144"/>
      <c r="O1865" s="142"/>
      <c r="P1865" s="142"/>
      <c r="Q1865" s="142"/>
      <c r="R1865" s="129"/>
      <c r="S1865" s="143"/>
      <c r="T1865" s="144"/>
      <c r="U1865" s="129"/>
      <c r="V1865" s="129"/>
    </row>
    <row r="1866" spans="1:22" x14ac:dyDescent="0.2">
      <c r="A1866" s="144"/>
      <c r="B1866" s="145"/>
      <c r="C1866" s="129"/>
      <c r="D1866" s="129"/>
      <c r="E1866" s="129"/>
      <c r="F1866" s="129"/>
      <c r="G1866" s="144"/>
      <c r="H1866" s="129"/>
      <c r="I1866" s="144"/>
      <c r="J1866" s="144"/>
      <c r="K1866" s="144"/>
      <c r="L1866" s="146"/>
      <c r="M1866" s="142"/>
      <c r="N1866" s="144"/>
      <c r="O1866" s="142"/>
      <c r="P1866" s="142"/>
      <c r="Q1866" s="142"/>
      <c r="R1866" s="129"/>
      <c r="S1866" s="143"/>
      <c r="T1866" s="144"/>
      <c r="U1866" s="129"/>
      <c r="V1866" s="129"/>
    </row>
    <row r="1867" spans="1:22" x14ac:dyDescent="0.2">
      <c r="A1867" s="144"/>
      <c r="B1867" s="145"/>
      <c r="C1867" s="129"/>
      <c r="D1867" s="129"/>
      <c r="E1867" s="129"/>
      <c r="F1867" s="129"/>
      <c r="G1867" s="144"/>
      <c r="H1867" s="129"/>
      <c r="I1867" s="144"/>
      <c r="J1867" s="144"/>
      <c r="K1867" s="144"/>
      <c r="L1867" s="146"/>
      <c r="M1867" s="142"/>
      <c r="N1867" s="144"/>
      <c r="O1867" s="142"/>
      <c r="P1867" s="142"/>
      <c r="Q1867" s="142"/>
      <c r="R1867" s="129"/>
      <c r="S1867" s="143"/>
      <c r="T1867" s="144"/>
      <c r="U1867" s="129"/>
      <c r="V1867" s="129"/>
    </row>
    <row r="1868" spans="1:22" x14ac:dyDescent="0.2">
      <c r="A1868" s="144"/>
      <c r="B1868" s="145"/>
      <c r="C1868" s="129"/>
      <c r="D1868" s="129"/>
      <c r="E1868" s="129"/>
      <c r="F1868" s="129"/>
      <c r="G1868" s="144"/>
      <c r="H1868" s="129"/>
      <c r="I1868" s="144"/>
      <c r="J1868" s="144"/>
      <c r="K1868" s="144"/>
      <c r="L1868" s="146"/>
      <c r="M1868" s="142"/>
      <c r="N1868" s="144"/>
      <c r="O1868" s="142"/>
      <c r="P1868" s="142"/>
      <c r="Q1868" s="142"/>
      <c r="R1868" s="129"/>
      <c r="S1868" s="143"/>
      <c r="T1868" s="144"/>
      <c r="U1868" s="129"/>
      <c r="V1868" s="129"/>
    </row>
    <row r="1869" spans="1:22" x14ac:dyDescent="0.2">
      <c r="A1869" s="144"/>
      <c r="B1869" s="145"/>
      <c r="C1869" s="129"/>
      <c r="D1869" s="129"/>
      <c r="E1869" s="129"/>
      <c r="F1869" s="129"/>
      <c r="G1869" s="144"/>
      <c r="H1869" s="129"/>
      <c r="I1869" s="144"/>
      <c r="J1869" s="144"/>
      <c r="K1869" s="144"/>
      <c r="L1869" s="146"/>
      <c r="M1869" s="142"/>
      <c r="N1869" s="144"/>
      <c r="O1869" s="142"/>
      <c r="P1869" s="142"/>
      <c r="Q1869" s="142"/>
      <c r="R1869" s="129"/>
      <c r="S1869" s="143"/>
      <c r="T1869" s="144"/>
      <c r="U1869" s="129"/>
      <c r="V1869" s="129"/>
    </row>
    <row r="1870" spans="1:22" x14ac:dyDescent="0.2">
      <c r="A1870" s="144"/>
      <c r="B1870" s="145"/>
      <c r="C1870" s="129"/>
      <c r="D1870" s="129"/>
      <c r="E1870" s="129"/>
      <c r="F1870" s="129"/>
      <c r="G1870" s="144"/>
      <c r="H1870" s="129"/>
      <c r="I1870" s="144"/>
      <c r="J1870" s="144"/>
      <c r="K1870" s="144"/>
      <c r="L1870" s="146"/>
      <c r="M1870" s="142"/>
      <c r="N1870" s="144"/>
      <c r="O1870" s="142"/>
      <c r="P1870" s="142"/>
      <c r="Q1870" s="142"/>
      <c r="R1870" s="129"/>
      <c r="S1870" s="143"/>
      <c r="T1870" s="144"/>
      <c r="U1870" s="129"/>
      <c r="V1870" s="129"/>
    </row>
    <row r="1871" spans="1:22" x14ac:dyDescent="0.2">
      <c r="A1871" s="144"/>
      <c r="B1871" s="145"/>
      <c r="C1871" s="129"/>
      <c r="D1871" s="129"/>
      <c r="E1871" s="129"/>
      <c r="F1871" s="129"/>
      <c r="G1871" s="144"/>
      <c r="H1871" s="129"/>
      <c r="I1871" s="144"/>
      <c r="J1871" s="144"/>
      <c r="K1871" s="144"/>
      <c r="L1871" s="146"/>
      <c r="M1871" s="142"/>
      <c r="N1871" s="144"/>
      <c r="O1871" s="142"/>
      <c r="P1871" s="142"/>
      <c r="Q1871" s="142"/>
      <c r="R1871" s="129"/>
      <c r="S1871" s="143"/>
      <c r="T1871" s="144"/>
      <c r="U1871" s="129"/>
      <c r="V1871" s="129"/>
    </row>
    <row r="1872" spans="1:22" x14ac:dyDescent="0.2">
      <c r="A1872" s="144"/>
      <c r="B1872" s="145"/>
      <c r="C1872" s="129"/>
      <c r="D1872" s="129"/>
      <c r="E1872" s="129"/>
      <c r="F1872" s="129"/>
      <c r="G1872" s="144"/>
      <c r="H1872" s="129"/>
      <c r="I1872" s="144"/>
      <c r="J1872" s="144"/>
      <c r="K1872" s="144"/>
      <c r="L1872" s="146"/>
      <c r="M1872" s="142"/>
      <c r="N1872" s="144"/>
      <c r="O1872" s="142"/>
      <c r="P1872" s="142"/>
      <c r="Q1872" s="142"/>
      <c r="R1872" s="129"/>
      <c r="S1872" s="143"/>
      <c r="T1872" s="144"/>
      <c r="U1872" s="129"/>
      <c r="V1872" s="129"/>
    </row>
    <row r="1873" spans="1:22" x14ac:dyDescent="0.2">
      <c r="A1873" s="144"/>
      <c r="B1873" s="145"/>
      <c r="C1873" s="129"/>
      <c r="D1873" s="129"/>
      <c r="E1873" s="129"/>
      <c r="F1873" s="129"/>
      <c r="G1873" s="144"/>
      <c r="H1873" s="129"/>
      <c r="I1873" s="144"/>
      <c r="J1873" s="144"/>
      <c r="K1873" s="144"/>
      <c r="L1873" s="146"/>
      <c r="M1873" s="142"/>
      <c r="N1873" s="144"/>
      <c r="O1873" s="142"/>
      <c r="P1873" s="142"/>
      <c r="Q1873" s="142"/>
      <c r="R1873" s="129"/>
      <c r="S1873" s="143"/>
      <c r="T1873" s="144"/>
      <c r="U1873" s="129"/>
      <c r="V1873" s="129"/>
    </row>
    <row r="1874" spans="1:22" x14ac:dyDescent="0.2">
      <c r="A1874" s="144"/>
      <c r="B1874" s="145"/>
      <c r="C1874" s="129"/>
      <c r="D1874" s="129"/>
      <c r="E1874" s="129"/>
      <c r="F1874" s="129"/>
      <c r="G1874" s="144"/>
      <c r="H1874" s="129"/>
      <c r="I1874" s="144"/>
      <c r="J1874" s="144"/>
      <c r="K1874" s="144"/>
      <c r="L1874" s="146"/>
      <c r="M1874" s="142"/>
      <c r="N1874" s="144"/>
      <c r="O1874" s="142"/>
      <c r="P1874" s="142"/>
      <c r="Q1874" s="142"/>
      <c r="R1874" s="129"/>
      <c r="S1874" s="143"/>
      <c r="T1874" s="144"/>
      <c r="U1874" s="129"/>
      <c r="V1874" s="129"/>
    </row>
    <row r="1875" spans="1:22" x14ac:dyDescent="0.2">
      <c r="A1875" s="144"/>
      <c r="B1875" s="145"/>
      <c r="C1875" s="129"/>
      <c r="D1875" s="129"/>
      <c r="E1875" s="129"/>
      <c r="F1875" s="129"/>
      <c r="G1875" s="144"/>
      <c r="H1875" s="129"/>
      <c r="I1875" s="144"/>
      <c r="J1875" s="144"/>
      <c r="K1875" s="144"/>
      <c r="L1875" s="146"/>
      <c r="M1875" s="142"/>
      <c r="N1875" s="144"/>
      <c r="O1875" s="142"/>
      <c r="P1875" s="142"/>
      <c r="Q1875" s="142"/>
      <c r="R1875" s="129"/>
      <c r="S1875" s="143"/>
      <c r="T1875" s="144"/>
      <c r="U1875" s="129"/>
      <c r="V1875" s="129"/>
    </row>
    <row r="1876" spans="1:22" x14ac:dyDescent="0.2">
      <c r="A1876" s="144"/>
      <c r="B1876" s="145"/>
      <c r="C1876" s="129"/>
      <c r="D1876" s="129"/>
      <c r="E1876" s="129"/>
      <c r="F1876" s="129"/>
      <c r="G1876" s="144"/>
      <c r="H1876" s="129"/>
      <c r="I1876" s="144"/>
      <c r="J1876" s="144"/>
      <c r="K1876" s="144"/>
      <c r="L1876" s="146"/>
      <c r="M1876" s="142"/>
      <c r="N1876" s="144"/>
      <c r="O1876" s="142"/>
      <c r="P1876" s="142"/>
      <c r="Q1876" s="142"/>
      <c r="R1876" s="129"/>
      <c r="S1876" s="143"/>
      <c r="T1876" s="144"/>
      <c r="U1876" s="129"/>
      <c r="V1876" s="129"/>
    </row>
    <row r="1877" spans="1:22" x14ac:dyDescent="0.2">
      <c r="A1877" s="144"/>
      <c r="B1877" s="145"/>
      <c r="C1877" s="129"/>
      <c r="D1877" s="129"/>
      <c r="E1877" s="129"/>
      <c r="F1877" s="129"/>
      <c r="G1877" s="144"/>
      <c r="H1877" s="129"/>
      <c r="I1877" s="144"/>
      <c r="J1877" s="144"/>
      <c r="K1877" s="144"/>
      <c r="L1877" s="146"/>
      <c r="M1877" s="142"/>
      <c r="N1877" s="144"/>
      <c r="O1877" s="142"/>
      <c r="P1877" s="142"/>
      <c r="Q1877" s="142"/>
      <c r="R1877" s="129"/>
      <c r="S1877" s="143"/>
      <c r="T1877" s="144"/>
      <c r="U1877" s="129"/>
      <c r="V1877" s="129"/>
    </row>
    <row r="1878" spans="1:22" x14ac:dyDescent="0.2">
      <c r="A1878" s="144"/>
      <c r="B1878" s="145"/>
      <c r="C1878" s="129"/>
      <c r="D1878" s="129"/>
      <c r="E1878" s="129"/>
      <c r="F1878" s="129"/>
      <c r="G1878" s="144"/>
      <c r="H1878" s="129"/>
      <c r="I1878" s="144"/>
      <c r="J1878" s="144"/>
      <c r="K1878" s="144"/>
      <c r="L1878" s="146"/>
      <c r="M1878" s="142"/>
      <c r="N1878" s="144"/>
      <c r="O1878" s="142"/>
      <c r="P1878" s="142"/>
      <c r="Q1878" s="142"/>
      <c r="R1878" s="129"/>
      <c r="S1878" s="143"/>
      <c r="T1878" s="144"/>
      <c r="U1878" s="129"/>
      <c r="V1878" s="129"/>
    </row>
    <row r="1879" spans="1:22" x14ac:dyDescent="0.2">
      <c r="A1879" s="144"/>
      <c r="B1879" s="145"/>
      <c r="C1879" s="129"/>
      <c r="D1879" s="129"/>
      <c r="E1879" s="129"/>
      <c r="F1879" s="129"/>
      <c r="G1879" s="144"/>
      <c r="H1879" s="129"/>
      <c r="I1879" s="144"/>
      <c r="J1879" s="144"/>
      <c r="K1879" s="144"/>
      <c r="L1879" s="146"/>
      <c r="M1879" s="142"/>
      <c r="N1879" s="144"/>
      <c r="O1879" s="142"/>
      <c r="P1879" s="142"/>
      <c r="Q1879" s="142"/>
      <c r="R1879" s="129"/>
      <c r="S1879" s="143"/>
      <c r="T1879" s="144"/>
      <c r="U1879" s="129"/>
      <c r="V1879" s="129"/>
    </row>
    <row r="1880" spans="1:22" x14ac:dyDescent="0.2">
      <c r="A1880" s="144"/>
      <c r="B1880" s="145"/>
      <c r="C1880" s="129"/>
      <c r="D1880" s="129"/>
      <c r="E1880" s="129"/>
      <c r="F1880" s="129"/>
      <c r="G1880" s="144"/>
      <c r="H1880" s="129"/>
      <c r="I1880" s="144"/>
      <c r="J1880" s="144"/>
      <c r="K1880" s="144"/>
      <c r="L1880" s="146"/>
      <c r="M1880" s="142"/>
      <c r="N1880" s="144"/>
      <c r="O1880" s="142"/>
      <c r="P1880" s="142"/>
      <c r="Q1880" s="142"/>
      <c r="R1880" s="129"/>
      <c r="S1880" s="143"/>
      <c r="T1880" s="144"/>
      <c r="U1880" s="129"/>
      <c r="V1880" s="129"/>
    </row>
    <row r="1881" spans="1:22" x14ac:dyDescent="0.2">
      <c r="A1881" s="144"/>
      <c r="B1881" s="145"/>
      <c r="C1881" s="129"/>
      <c r="D1881" s="129"/>
      <c r="E1881" s="129"/>
      <c r="F1881" s="129"/>
      <c r="G1881" s="144"/>
      <c r="H1881" s="129"/>
      <c r="I1881" s="144"/>
      <c r="J1881" s="144"/>
      <c r="K1881" s="144"/>
      <c r="L1881" s="146"/>
      <c r="M1881" s="142"/>
      <c r="N1881" s="144"/>
      <c r="O1881" s="142"/>
      <c r="P1881" s="142"/>
      <c r="Q1881" s="142"/>
      <c r="R1881" s="129"/>
      <c r="S1881" s="143"/>
      <c r="T1881" s="144"/>
      <c r="U1881" s="129"/>
      <c r="V1881" s="129"/>
    </row>
    <row r="1882" spans="1:22" x14ac:dyDescent="0.2">
      <c r="A1882" s="144"/>
      <c r="B1882" s="145"/>
      <c r="C1882" s="129"/>
      <c r="D1882" s="129"/>
      <c r="E1882" s="129"/>
      <c r="F1882" s="129"/>
      <c r="G1882" s="144"/>
      <c r="H1882" s="129"/>
      <c r="I1882" s="144"/>
      <c r="J1882" s="144"/>
      <c r="K1882" s="144"/>
      <c r="L1882" s="146"/>
      <c r="M1882" s="142"/>
      <c r="N1882" s="144"/>
      <c r="O1882" s="142"/>
      <c r="P1882" s="142"/>
      <c r="Q1882" s="142"/>
      <c r="R1882" s="129"/>
      <c r="S1882" s="143"/>
      <c r="T1882" s="144"/>
      <c r="U1882" s="129"/>
      <c r="V1882" s="129"/>
    </row>
    <row r="1883" spans="1:22" x14ac:dyDescent="0.2">
      <c r="A1883" s="144"/>
      <c r="B1883" s="145"/>
      <c r="C1883" s="129"/>
      <c r="D1883" s="129"/>
      <c r="E1883" s="129"/>
      <c r="F1883" s="129"/>
      <c r="G1883" s="144"/>
      <c r="H1883" s="129"/>
      <c r="I1883" s="144"/>
      <c r="J1883" s="144"/>
      <c r="K1883" s="144"/>
      <c r="L1883" s="146"/>
      <c r="M1883" s="142"/>
      <c r="N1883" s="144"/>
      <c r="O1883" s="142"/>
      <c r="P1883" s="142"/>
      <c r="Q1883" s="142"/>
      <c r="R1883" s="129"/>
      <c r="S1883" s="143"/>
      <c r="T1883" s="144"/>
      <c r="U1883" s="129"/>
      <c r="V1883" s="129"/>
    </row>
    <row r="1884" spans="1:22" x14ac:dyDescent="0.2">
      <c r="A1884" s="144"/>
      <c r="B1884" s="145"/>
      <c r="C1884" s="129"/>
      <c r="D1884" s="129"/>
      <c r="E1884" s="129"/>
      <c r="F1884" s="129"/>
      <c r="G1884" s="144"/>
      <c r="H1884" s="129"/>
      <c r="I1884" s="144"/>
      <c r="J1884" s="144"/>
      <c r="K1884" s="144"/>
      <c r="L1884" s="146"/>
      <c r="M1884" s="142"/>
      <c r="N1884" s="144"/>
      <c r="O1884" s="142"/>
      <c r="P1884" s="142"/>
      <c r="Q1884" s="142"/>
      <c r="R1884" s="129"/>
      <c r="S1884" s="143"/>
      <c r="T1884" s="144"/>
      <c r="U1884" s="129"/>
      <c r="V1884" s="129"/>
    </row>
    <row r="1885" spans="1:22" x14ac:dyDescent="0.2">
      <c r="A1885" s="144"/>
      <c r="B1885" s="145"/>
      <c r="C1885" s="129"/>
      <c r="D1885" s="129"/>
      <c r="E1885" s="129"/>
      <c r="F1885" s="129"/>
      <c r="G1885" s="144"/>
      <c r="H1885" s="129"/>
      <c r="I1885" s="144"/>
      <c r="J1885" s="144"/>
      <c r="K1885" s="144"/>
      <c r="L1885" s="146"/>
      <c r="M1885" s="142"/>
      <c r="N1885" s="144"/>
      <c r="O1885" s="142"/>
      <c r="P1885" s="142"/>
      <c r="Q1885" s="142"/>
      <c r="R1885" s="129"/>
      <c r="S1885" s="143"/>
      <c r="T1885" s="144"/>
      <c r="U1885" s="129"/>
      <c r="V1885" s="129"/>
    </row>
    <row r="1886" spans="1:22" x14ac:dyDescent="0.2">
      <c r="A1886" s="144"/>
      <c r="B1886" s="145"/>
      <c r="C1886" s="129"/>
      <c r="D1886" s="129"/>
      <c r="E1886" s="129"/>
      <c r="F1886" s="129"/>
      <c r="G1886" s="144"/>
      <c r="H1886" s="129"/>
      <c r="I1886" s="144"/>
      <c r="J1886" s="144"/>
      <c r="K1886" s="144"/>
      <c r="L1886" s="146"/>
      <c r="M1886" s="142"/>
      <c r="N1886" s="144"/>
      <c r="O1886" s="142"/>
      <c r="P1886" s="142"/>
      <c r="Q1886" s="142"/>
      <c r="R1886" s="129"/>
      <c r="S1886" s="143"/>
      <c r="T1886" s="144"/>
      <c r="U1886" s="129"/>
      <c r="V1886" s="129"/>
    </row>
    <row r="1887" spans="1:22" x14ac:dyDescent="0.2">
      <c r="A1887" s="144"/>
      <c r="B1887" s="145"/>
      <c r="C1887" s="129"/>
      <c r="D1887" s="129"/>
      <c r="E1887" s="129"/>
      <c r="F1887" s="129"/>
      <c r="G1887" s="144"/>
      <c r="H1887" s="129"/>
      <c r="I1887" s="144"/>
      <c r="J1887" s="144"/>
      <c r="K1887" s="144"/>
      <c r="L1887" s="146"/>
      <c r="M1887" s="142"/>
      <c r="N1887" s="144"/>
      <c r="O1887" s="142"/>
      <c r="P1887" s="142"/>
      <c r="Q1887" s="142"/>
      <c r="R1887" s="129"/>
      <c r="S1887" s="143"/>
      <c r="T1887" s="144"/>
      <c r="U1887" s="129"/>
      <c r="V1887" s="129"/>
    </row>
    <row r="1888" spans="1:22" x14ac:dyDescent="0.2">
      <c r="A1888" s="144"/>
      <c r="B1888" s="145"/>
      <c r="C1888" s="129"/>
      <c r="D1888" s="129"/>
      <c r="E1888" s="129"/>
      <c r="F1888" s="129"/>
      <c r="G1888" s="144"/>
      <c r="H1888" s="129"/>
      <c r="I1888" s="144"/>
      <c r="J1888" s="144"/>
      <c r="K1888" s="144"/>
      <c r="L1888" s="146"/>
      <c r="M1888" s="142"/>
      <c r="N1888" s="144"/>
      <c r="O1888" s="142"/>
      <c r="P1888" s="142"/>
      <c r="Q1888" s="142"/>
      <c r="R1888" s="129"/>
      <c r="S1888" s="143"/>
      <c r="T1888" s="144"/>
      <c r="U1888" s="129"/>
      <c r="V1888" s="129"/>
    </row>
    <row r="1889" spans="1:22" x14ac:dyDescent="0.2">
      <c r="A1889" s="144"/>
      <c r="B1889" s="145"/>
      <c r="C1889" s="129"/>
      <c r="D1889" s="129"/>
      <c r="E1889" s="129"/>
      <c r="F1889" s="129"/>
      <c r="G1889" s="144"/>
      <c r="H1889" s="129"/>
      <c r="I1889" s="144"/>
      <c r="J1889" s="144"/>
      <c r="K1889" s="144"/>
      <c r="L1889" s="146"/>
      <c r="M1889" s="142"/>
      <c r="N1889" s="144"/>
      <c r="O1889" s="142"/>
      <c r="P1889" s="142"/>
      <c r="Q1889" s="142"/>
      <c r="R1889" s="129"/>
      <c r="S1889" s="143"/>
      <c r="T1889" s="144"/>
      <c r="U1889" s="129"/>
      <c r="V1889" s="129"/>
    </row>
    <row r="1890" spans="1:22" x14ac:dyDescent="0.2">
      <c r="A1890" s="144"/>
      <c r="B1890" s="145"/>
      <c r="C1890" s="129"/>
      <c r="D1890" s="129"/>
      <c r="E1890" s="129"/>
      <c r="F1890" s="129"/>
      <c r="G1890" s="144"/>
      <c r="H1890" s="129"/>
      <c r="I1890" s="144"/>
      <c r="J1890" s="144"/>
      <c r="K1890" s="144"/>
      <c r="L1890" s="146"/>
      <c r="M1890" s="142"/>
      <c r="N1890" s="144"/>
      <c r="O1890" s="142"/>
      <c r="P1890" s="142"/>
      <c r="Q1890" s="142"/>
      <c r="R1890" s="129"/>
      <c r="S1890" s="143"/>
      <c r="T1890" s="144"/>
      <c r="U1890" s="129"/>
      <c r="V1890" s="129"/>
    </row>
    <row r="1891" spans="1:22" x14ac:dyDescent="0.2">
      <c r="A1891" s="144"/>
      <c r="B1891" s="145"/>
      <c r="C1891" s="129"/>
      <c r="D1891" s="129"/>
      <c r="E1891" s="129"/>
      <c r="F1891" s="129"/>
      <c r="G1891" s="144"/>
      <c r="H1891" s="129"/>
      <c r="I1891" s="144"/>
      <c r="J1891" s="144"/>
      <c r="K1891" s="144"/>
      <c r="L1891" s="146"/>
      <c r="M1891" s="142"/>
      <c r="N1891" s="144"/>
      <c r="O1891" s="142"/>
      <c r="P1891" s="142"/>
      <c r="Q1891" s="142"/>
      <c r="R1891" s="129"/>
      <c r="S1891" s="143"/>
      <c r="T1891" s="144"/>
      <c r="U1891" s="129"/>
      <c r="V1891" s="129"/>
    </row>
    <row r="1892" spans="1:22" x14ac:dyDescent="0.2">
      <c r="A1892" s="144"/>
      <c r="B1892" s="145"/>
      <c r="C1892" s="129"/>
      <c r="D1892" s="129"/>
      <c r="E1892" s="129"/>
      <c r="F1892" s="129"/>
      <c r="G1892" s="144"/>
      <c r="H1892" s="129"/>
      <c r="I1892" s="144"/>
      <c r="J1892" s="144"/>
      <c r="K1892" s="144"/>
      <c r="L1892" s="146"/>
      <c r="M1892" s="142"/>
      <c r="N1892" s="144"/>
      <c r="O1892" s="142"/>
      <c r="P1892" s="142"/>
      <c r="Q1892" s="142"/>
      <c r="R1892" s="129"/>
      <c r="S1892" s="143"/>
      <c r="T1892" s="144"/>
      <c r="U1892" s="129"/>
      <c r="V1892" s="129"/>
    </row>
    <row r="1893" spans="1:22" x14ac:dyDescent="0.2">
      <c r="A1893" s="144"/>
      <c r="B1893" s="145"/>
      <c r="C1893" s="129"/>
      <c r="D1893" s="129"/>
      <c r="E1893" s="129"/>
      <c r="F1893" s="129"/>
      <c r="G1893" s="144"/>
      <c r="H1893" s="129"/>
      <c r="I1893" s="144"/>
      <c r="J1893" s="144"/>
      <c r="K1893" s="144"/>
      <c r="L1893" s="146"/>
      <c r="M1893" s="142"/>
      <c r="N1893" s="144"/>
      <c r="O1893" s="142"/>
      <c r="P1893" s="142"/>
      <c r="Q1893" s="142"/>
      <c r="R1893" s="129"/>
      <c r="S1893" s="143"/>
      <c r="T1893" s="144"/>
      <c r="U1893" s="129"/>
      <c r="V1893" s="129"/>
    </row>
    <row r="1894" spans="1:22" x14ac:dyDescent="0.2">
      <c r="A1894" s="144"/>
      <c r="B1894" s="145"/>
      <c r="C1894" s="129"/>
      <c r="D1894" s="129"/>
      <c r="E1894" s="129"/>
      <c r="F1894" s="129"/>
      <c r="G1894" s="144"/>
      <c r="H1894" s="129"/>
      <c r="I1894" s="144"/>
      <c r="J1894" s="144"/>
      <c r="K1894" s="144"/>
      <c r="L1894" s="146"/>
      <c r="M1894" s="142"/>
      <c r="N1894" s="144"/>
      <c r="O1894" s="142"/>
      <c r="P1894" s="142"/>
      <c r="Q1894" s="142"/>
      <c r="R1894" s="129"/>
      <c r="S1894" s="143"/>
      <c r="T1894" s="144"/>
      <c r="U1894" s="129"/>
      <c r="V1894" s="129"/>
    </row>
    <row r="1895" spans="1:22" x14ac:dyDescent="0.2">
      <c r="A1895" s="144"/>
      <c r="B1895" s="145"/>
      <c r="C1895" s="129"/>
      <c r="D1895" s="129"/>
      <c r="E1895" s="129"/>
      <c r="F1895" s="129"/>
      <c r="G1895" s="144"/>
      <c r="H1895" s="129"/>
      <c r="I1895" s="144"/>
      <c r="J1895" s="144"/>
      <c r="K1895" s="144"/>
      <c r="L1895" s="146"/>
      <c r="M1895" s="142"/>
      <c r="N1895" s="144"/>
      <c r="O1895" s="142"/>
      <c r="P1895" s="142"/>
      <c r="Q1895" s="142"/>
      <c r="R1895" s="129"/>
      <c r="S1895" s="143"/>
      <c r="T1895" s="144"/>
      <c r="U1895" s="129"/>
      <c r="V1895" s="129"/>
    </row>
    <row r="1896" spans="1:22" x14ac:dyDescent="0.2">
      <c r="A1896" s="144"/>
      <c r="B1896" s="145"/>
      <c r="C1896" s="129"/>
      <c r="D1896" s="129"/>
      <c r="E1896" s="129"/>
      <c r="F1896" s="129"/>
      <c r="G1896" s="144"/>
      <c r="H1896" s="129"/>
      <c r="I1896" s="144"/>
      <c r="J1896" s="144"/>
      <c r="K1896" s="144"/>
      <c r="L1896" s="146"/>
      <c r="M1896" s="142"/>
      <c r="N1896" s="144"/>
      <c r="O1896" s="142"/>
      <c r="P1896" s="142"/>
      <c r="Q1896" s="142"/>
      <c r="R1896" s="129"/>
      <c r="S1896" s="143"/>
      <c r="T1896" s="144"/>
      <c r="U1896" s="129"/>
      <c r="V1896" s="129"/>
    </row>
    <row r="1897" spans="1:22" x14ac:dyDescent="0.2">
      <c r="A1897" s="144"/>
      <c r="B1897" s="145"/>
      <c r="C1897" s="129"/>
      <c r="D1897" s="129"/>
      <c r="E1897" s="129"/>
      <c r="F1897" s="129"/>
      <c r="G1897" s="144"/>
      <c r="H1897" s="129"/>
      <c r="I1897" s="144"/>
      <c r="J1897" s="144"/>
      <c r="K1897" s="144"/>
      <c r="L1897" s="146"/>
      <c r="M1897" s="142"/>
      <c r="N1897" s="144"/>
      <c r="O1897" s="142"/>
      <c r="P1897" s="142"/>
      <c r="Q1897" s="142"/>
      <c r="R1897" s="129"/>
      <c r="S1897" s="143"/>
      <c r="T1897" s="144"/>
      <c r="U1897" s="129"/>
      <c r="V1897" s="129"/>
    </row>
    <row r="1898" spans="1:22" x14ac:dyDescent="0.2">
      <c r="A1898" s="144"/>
      <c r="B1898" s="145"/>
      <c r="C1898" s="129"/>
      <c r="D1898" s="129"/>
      <c r="E1898" s="129"/>
      <c r="F1898" s="129"/>
      <c r="G1898" s="144"/>
      <c r="H1898" s="129"/>
      <c r="I1898" s="144"/>
      <c r="J1898" s="144"/>
      <c r="K1898" s="144"/>
      <c r="L1898" s="146"/>
      <c r="M1898" s="142"/>
      <c r="N1898" s="144"/>
      <c r="O1898" s="142"/>
      <c r="P1898" s="142"/>
      <c r="Q1898" s="142"/>
      <c r="R1898" s="129"/>
      <c r="S1898" s="143"/>
      <c r="T1898" s="144"/>
      <c r="U1898" s="129"/>
      <c r="V1898" s="129"/>
    </row>
    <row r="1899" spans="1:22" x14ac:dyDescent="0.2">
      <c r="A1899" s="144"/>
      <c r="B1899" s="145"/>
      <c r="C1899" s="129"/>
      <c r="D1899" s="129"/>
      <c r="E1899" s="129"/>
      <c r="F1899" s="129"/>
      <c r="G1899" s="144"/>
      <c r="H1899" s="129"/>
      <c r="I1899" s="144"/>
      <c r="J1899" s="144"/>
      <c r="K1899" s="144"/>
      <c r="L1899" s="146"/>
      <c r="M1899" s="142"/>
      <c r="N1899" s="144"/>
      <c r="O1899" s="142"/>
      <c r="P1899" s="142"/>
      <c r="Q1899" s="142"/>
      <c r="R1899" s="129"/>
      <c r="S1899" s="143"/>
      <c r="T1899" s="144"/>
      <c r="U1899" s="129"/>
      <c r="V1899" s="129"/>
    </row>
    <row r="1900" spans="1:22" x14ac:dyDescent="0.2">
      <c r="A1900" s="144"/>
      <c r="B1900" s="145"/>
      <c r="C1900" s="129"/>
      <c r="D1900" s="129"/>
      <c r="E1900" s="129"/>
      <c r="F1900" s="129"/>
      <c r="G1900" s="144"/>
      <c r="H1900" s="129"/>
      <c r="I1900" s="144"/>
      <c r="J1900" s="144"/>
      <c r="K1900" s="144"/>
      <c r="L1900" s="146"/>
      <c r="M1900" s="142"/>
      <c r="N1900" s="144"/>
      <c r="O1900" s="142"/>
      <c r="P1900" s="142"/>
      <c r="Q1900" s="142"/>
      <c r="R1900" s="129"/>
      <c r="S1900" s="143"/>
      <c r="T1900" s="144"/>
      <c r="U1900" s="129"/>
      <c r="V1900" s="129"/>
    </row>
    <row r="1901" spans="1:22" x14ac:dyDescent="0.2">
      <c r="A1901" s="144"/>
      <c r="B1901" s="145"/>
      <c r="C1901" s="129"/>
      <c r="D1901" s="129"/>
      <c r="E1901" s="129"/>
      <c r="F1901" s="129"/>
      <c r="G1901" s="144"/>
      <c r="H1901" s="129"/>
      <c r="I1901" s="144"/>
      <c r="J1901" s="144"/>
      <c r="K1901" s="144"/>
      <c r="L1901" s="146"/>
      <c r="M1901" s="142"/>
      <c r="N1901" s="144"/>
      <c r="O1901" s="142"/>
      <c r="P1901" s="142"/>
      <c r="Q1901" s="142"/>
      <c r="R1901" s="129"/>
      <c r="S1901" s="143"/>
      <c r="T1901" s="144"/>
      <c r="U1901" s="129"/>
      <c r="V1901" s="129"/>
    </row>
    <row r="1902" spans="1:22" x14ac:dyDescent="0.2">
      <c r="A1902" s="144"/>
      <c r="B1902" s="145"/>
      <c r="C1902" s="129"/>
      <c r="D1902" s="129"/>
      <c r="E1902" s="129"/>
      <c r="F1902" s="129"/>
      <c r="G1902" s="144"/>
      <c r="H1902" s="129"/>
      <c r="I1902" s="144"/>
      <c r="J1902" s="144"/>
      <c r="K1902" s="144"/>
      <c r="L1902" s="146"/>
      <c r="M1902" s="142"/>
      <c r="N1902" s="144"/>
      <c r="O1902" s="142"/>
      <c r="P1902" s="142"/>
      <c r="Q1902" s="142"/>
      <c r="R1902" s="129"/>
      <c r="S1902" s="143"/>
      <c r="T1902" s="144"/>
      <c r="U1902" s="129"/>
      <c r="V1902" s="129"/>
    </row>
    <row r="1903" spans="1:22" x14ac:dyDescent="0.2">
      <c r="A1903" s="144"/>
      <c r="B1903" s="145"/>
      <c r="C1903" s="129"/>
      <c r="D1903" s="129"/>
      <c r="E1903" s="129"/>
      <c r="F1903" s="129"/>
      <c r="G1903" s="144"/>
      <c r="H1903" s="129"/>
      <c r="I1903" s="144"/>
      <c r="J1903" s="144"/>
      <c r="K1903" s="144"/>
      <c r="L1903" s="146"/>
      <c r="M1903" s="142"/>
      <c r="N1903" s="144"/>
      <c r="O1903" s="142"/>
      <c r="P1903" s="142"/>
      <c r="Q1903" s="142"/>
      <c r="R1903" s="129"/>
      <c r="S1903" s="143"/>
      <c r="T1903" s="144"/>
      <c r="U1903" s="129"/>
      <c r="V1903" s="129"/>
    </row>
    <row r="1904" spans="1:22" x14ac:dyDescent="0.2">
      <c r="A1904" s="144"/>
      <c r="B1904" s="145"/>
      <c r="C1904" s="129"/>
      <c r="D1904" s="129"/>
      <c r="E1904" s="129"/>
      <c r="F1904" s="129"/>
      <c r="G1904" s="144"/>
      <c r="H1904" s="129"/>
      <c r="I1904" s="144"/>
      <c r="J1904" s="144"/>
      <c r="K1904" s="144"/>
      <c r="L1904" s="146"/>
      <c r="M1904" s="142"/>
      <c r="N1904" s="144"/>
      <c r="O1904" s="142"/>
      <c r="P1904" s="142"/>
      <c r="Q1904" s="142"/>
      <c r="R1904" s="129"/>
      <c r="S1904" s="143"/>
      <c r="T1904" s="144"/>
      <c r="U1904" s="129"/>
      <c r="V1904" s="129"/>
    </row>
    <row r="1905" spans="1:22" x14ac:dyDescent="0.2">
      <c r="A1905" s="144"/>
      <c r="B1905" s="145"/>
      <c r="C1905" s="129"/>
      <c r="D1905" s="129"/>
      <c r="E1905" s="129"/>
      <c r="F1905" s="129"/>
      <c r="G1905" s="144"/>
      <c r="H1905" s="129"/>
      <c r="I1905" s="144"/>
      <c r="J1905" s="144"/>
      <c r="K1905" s="144"/>
      <c r="L1905" s="146"/>
      <c r="M1905" s="142"/>
      <c r="N1905" s="144"/>
      <c r="O1905" s="142"/>
      <c r="P1905" s="142"/>
      <c r="Q1905" s="142"/>
      <c r="R1905" s="129"/>
      <c r="S1905" s="143"/>
      <c r="T1905" s="144"/>
      <c r="U1905" s="129"/>
      <c r="V1905" s="129"/>
    </row>
    <row r="1906" spans="1:22" x14ac:dyDescent="0.2">
      <c r="A1906" s="144"/>
      <c r="B1906" s="145"/>
      <c r="C1906" s="129"/>
      <c r="D1906" s="129"/>
      <c r="E1906" s="129"/>
      <c r="F1906" s="129"/>
      <c r="G1906" s="144"/>
      <c r="H1906" s="129"/>
      <c r="I1906" s="144"/>
      <c r="J1906" s="144"/>
      <c r="K1906" s="144"/>
      <c r="L1906" s="146"/>
      <c r="M1906" s="142"/>
      <c r="N1906" s="144"/>
      <c r="O1906" s="142"/>
      <c r="P1906" s="142"/>
      <c r="Q1906" s="142"/>
      <c r="R1906" s="129"/>
      <c r="S1906" s="143"/>
      <c r="T1906" s="144"/>
      <c r="U1906" s="129"/>
      <c r="V1906" s="129"/>
    </row>
    <row r="1907" spans="1:22" x14ac:dyDescent="0.2">
      <c r="A1907" s="144"/>
      <c r="B1907" s="145"/>
      <c r="C1907" s="129"/>
      <c r="D1907" s="129"/>
      <c r="E1907" s="129"/>
      <c r="F1907" s="129"/>
      <c r="G1907" s="144"/>
      <c r="H1907" s="129"/>
      <c r="I1907" s="144"/>
      <c r="J1907" s="144"/>
      <c r="K1907" s="144"/>
      <c r="L1907" s="146"/>
      <c r="M1907" s="142"/>
      <c r="N1907" s="144"/>
      <c r="O1907" s="142"/>
      <c r="P1907" s="142"/>
      <c r="Q1907" s="142"/>
      <c r="R1907" s="129"/>
      <c r="S1907" s="143"/>
      <c r="T1907" s="144"/>
      <c r="U1907" s="129"/>
      <c r="V1907" s="129"/>
    </row>
    <row r="1908" spans="1:22" x14ac:dyDescent="0.2">
      <c r="A1908" s="144"/>
      <c r="B1908" s="145"/>
      <c r="C1908" s="129"/>
      <c r="D1908" s="129"/>
      <c r="E1908" s="129"/>
      <c r="F1908" s="129"/>
      <c r="G1908" s="144"/>
      <c r="H1908" s="129"/>
      <c r="I1908" s="144"/>
      <c r="J1908" s="144"/>
      <c r="K1908" s="144"/>
      <c r="L1908" s="146"/>
      <c r="M1908" s="142"/>
      <c r="N1908" s="144"/>
      <c r="O1908" s="142"/>
      <c r="P1908" s="142"/>
      <c r="Q1908" s="142"/>
      <c r="R1908" s="129"/>
      <c r="S1908" s="143"/>
      <c r="T1908" s="144"/>
      <c r="U1908" s="129"/>
      <c r="V1908" s="129"/>
    </row>
    <row r="1909" spans="1:22" x14ac:dyDescent="0.2">
      <c r="A1909" s="144"/>
      <c r="B1909" s="145"/>
      <c r="C1909" s="129"/>
      <c r="D1909" s="129"/>
      <c r="E1909" s="129"/>
      <c r="F1909" s="129"/>
      <c r="G1909" s="144"/>
      <c r="H1909" s="129"/>
      <c r="I1909" s="144"/>
      <c r="J1909" s="144"/>
      <c r="K1909" s="144"/>
      <c r="L1909" s="146"/>
      <c r="M1909" s="142"/>
      <c r="N1909" s="144"/>
      <c r="O1909" s="142"/>
      <c r="P1909" s="142"/>
      <c r="Q1909" s="142"/>
      <c r="R1909" s="129"/>
      <c r="S1909" s="143"/>
      <c r="T1909" s="144"/>
      <c r="U1909" s="129"/>
      <c r="V1909" s="129"/>
    </row>
    <row r="1910" spans="1:22" x14ac:dyDescent="0.2">
      <c r="A1910" s="144"/>
      <c r="B1910" s="145"/>
      <c r="C1910" s="129"/>
      <c r="D1910" s="129"/>
      <c r="E1910" s="129"/>
      <c r="F1910" s="129"/>
      <c r="G1910" s="144"/>
      <c r="H1910" s="129"/>
      <c r="I1910" s="144"/>
      <c r="J1910" s="144"/>
      <c r="K1910" s="144"/>
      <c r="L1910" s="146"/>
      <c r="M1910" s="142"/>
      <c r="N1910" s="144"/>
      <c r="O1910" s="142"/>
      <c r="P1910" s="142"/>
      <c r="Q1910" s="142"/>
      <c r="R1910" s="129"/>
      <c r="S1910" s="143"/>
      <c r="T1910" s="144"/>
      <c r="U1910" s="129"/>
      <c r="V1910" s="129"/>
    </row>
    <row r="1911" spans="1:22" x14ac:dyDescent="0.2">
      <c r="A1911" s="144"/>
      <c r="B1911" s="145"/>
      <c r="C1911" s="129"/>
      <c r="D1911" s="129"/>
      <c r="E1911" s="129"/>
      <c r="F1911" s="129"/>
      <c r="G1911" s="144"/>
      <c r="H1911" s="129"/>
      <c r="I1911" s="144"/>
      <c r="J1911" s="144"/>
      <c r="K1911" s="144"/>
      <c r="L1911" s="146"/>
      <c r="M1911" s="142"/>
      <c r="N1911" s="144"/>
      <c r="O1911" s="142"/>
      <c r="P1911" s="142"/>
      <c r="Q1911" s="142"/>
      <c r="R1911" s="129"/>
      <c r="S1911" s="143"/>
      <c r="T1911" s="144"/>
      <c r="U1911" s="129"/>
      <c r="V1911" s="129"/>
    </row>
    <row r="1912" spans="1:22" x14ac:dyDescent="0.2">
      <c r="A1912" s="144"/>
      <c r="B1912" s="145"/>
      <c r="C1912" s="129"/>
      <c r="D1912" s="129"/>
      <c r="E1912" s="129"/>
      <c r="F1912" s="129"/>
      <c r="G1912" s="144"/>
      <c r="H1912" s="129"/>
      <c r="I1912" s="144"/>
      <c r="J1912" s="144"/>
      <c r="K1912" s="144"/>
      <c r="L1912" s="146"/>
      <c r="M1912" s="142"/>
      <c r="N1912" s="144"/>
      <c r="O1912" s="142"/>
      <c r="P1912" s="142"/>
      <c r="Q1912" s="142"/>
      <c r="R1912" s="129"/>
      <c r="S1912" s="143"/>
      <c r="T1912" s="144"/>
      <c r="U1912" s="129"/>
      <c r="V1912" s="129"/>
    </row>
    <row r="1913" spans="1:22" x14ac:dyDescent="0.2">
      <c r="A1913" s="144"/>
      <c r="B1913" s="145"/>
      <c r="C1913" s="129"/>
      <c r="D1913" s="129"/>
      <c r="E1913" s="129"/>
      <c r="F1913" s="129"/>
      <c r="G1913" s="144"/>
      <c r="H1913" s="129"/>
      <c r="I1913" s="144"/>
      <c r="J1913" s="144"/>
      <c r="K1913" s="144"/>
      <c r="L1913" s="146"/>
      <c r="M1913" s="142"/>
      <c r="N1913" s="144"/>
      <c r="O1913" s="142"/>
      <c r="P1913" s="142"/>
      <c r="Q1913" s="142"/>
      <c r="R1913" s="129"/>
      <c r="S1913" s="143"/>
      <c r="T1913" s="144"/>
      <c r="U1913" s="129"/>
      <c r="V1913" s="129"/>
    </row>
    <row r="1914" spans="1:22" x14ac:dyDescent="0.2">
      <c r="A1914" s="144"/>
      <c r="B1914" s="145"/>
      <c r="C1914" s="129"/>
      <c r="D1914" s="129"/>
      <c r="E1914" s="129"/>
      <c r="F1914" s="129"/>
      <c r="G1914" s="144"/>
      <c r="H1914" s="129"/>
      <c r="I1914" s="144"/>
      <c r="J1914" s="144"/>
      <c r="K1914" s="144"/>
      <c r="L1914" s="146"/>
      <c r="M1914" s="142"/>
      <c r="N1914" s="144"/>
      <c r="O1914" s="142"/>
      <c r="P1914" s="142"/>
      <c r="Q1914" s="142"/>
      <c r="R1914" s="129"/>
      <c r="S1914" s="143"/>
      <c r="T1914" s="144"/>
      <c r="U1914" s="129"/>
      <c r="V1914" s="129"/>
    </row>
    <row r="1915" spans="1:22" x14ac:dyDescent="0.2">
      <c r="A1915" s="144"/>
      <c r="B1915" s="145"/>
      <c r="C1915" s="129"/>
      <c r="D1915" s="129"/>
      <c r="E1915" s="129"/>
      <c r="F1915" s="129"/>
      <c r="G1915" s="144"/>
      <c r="H1915" s="129"/>
      <c r="I1915" s="144"/>
      <c r="J1915" s="144"/>
      <c r="K1915" s="144"/>
      <c r="L1915" s="146"/>
      <c r="M1915" s="142"/>
      <c r="N1915" s="144"/>
      <c r="O1915" s="142"/>
      <c r="P1915" s="142"/>
      <c r="Q1915" s="142"/>
      <c r="R1915" s="129"/>
      <c r="S1915" s="143"/>
      <c r="T1915" s="144"/>
      <c r="U1915" s="129"/>
      <c r="V1915" s="129"/>
    </row>
    <row r="1916" spans="1:22" x14ac:dyDescent="0.2">
      <c r="A1916" s="144"/>
      <c r="B1916" s="145"/>
      <c r="C1916" s="129"/>
      <c r="D1916" s="129"/>
      <c r="E1916" s="129"/>
      <c r="F1916" s="129"/>
      <c r="G1916" s="144"/>
      <c r="H1916" s="129"/>
      <c r="I1916" s="144"/>
      <c r="J1916" s="144"/>
      <c r="K1916" s="144"/>
      <c r="L1916" s="146"/>
      <c r="M1916" s="142"/>
      <c r="N1916" s="144"/>
      <c r="O1916" s="142"/>
      <c r="P1916" s="142"/>
      <c r="Q1916" s="142"/>
      <c r="R1916" s="129"/>
      <c r="S1916" s="143"/>
      <c r="T1916" s="144"/>
      <c r="U1916" s="129"/>
      <c r="V1916" s="129"/>
    </row>
    <row r="1917" spans="1:22" x14ac:dyDescent="0.2">
      <c r="A1917" s="144"/>
      <c r="B1917" s="145"/>
      <c r="C1917" s="129"/>
      <c r="D1917" s="129"/>
      <c r="E1917" s="129"/>
      <c r="F1917" s="129"/>
      <c r="G1917" s="144"/>
      <c r="H1917" s="129"/>
      <c r="I1917" s="144"/>
      <c r="J1917" s="144"/>
      <c r="K1917" s="144"/>
      <c r="L1917" s="146"/>
      <c r="M1917" s="142"/>
      <c r="N1917" s="144"/>
      <c r="O1917" s="142"/>
      <c r="P1917" s="142"/>
      <c r="Q1917" s="142"/>
      <c r="R1917" s="129"/>
      <c r="S1917" s="143"/>
      <c r="T1917" s="144"/>
      <c r="U1917" s="129"/>
      <c r="V1917" s="129"/>
    </row>
    <row r="1918" spans="1:22" x14ac:dyDescent="0.2">
      <c r="A1918" s="144"/>
      <c r="B1918" s="145"/>
      <c r="C1918" s="129"/>
      <c r="D1918" s="129"/>
      <c r="E1918" s="129"/>
      <c r="F1918" s="129"/>
      <c r="G1918" s="144"/>
      <c r="H1918" s="129"/>
      <c r="I1918" s="144"/>
      <c r="J1918" s="144"/>
      <c r="K1918" s="144"/>
      <c r="L1918" s="146"/>
      <c r="M1918" s="142"/>
      <c r="N1918" s="144"/>
      <c r="O1918" s="142"/>
      <c r="P1918" s="142"/>
      <c r="Q1918" s="142"/>
      <c r="R1918" s="129"/>
      <c r="S1918" s="143"/>
      <c r="T1918" s="144"/>
      <c r="U1918" s="129"/>
      <c r="V1918" s="129"/>
    </row>
    <row r="1919" spans="1:22" x14ac:dyDescent="0.2">
      <c r="A1919" s="144"/>
      <c r="B1919" s="145"/>
      <c r="C1919" s="129"/>
      <c r="D1919" s="129"/>
      <c r="E1919" s="129"/>
      <c r="F1919" s="129"/>
      <c r="G1919" s="144"/>
      <c r="H1919" s="129"/>
      <c r="I1919" s="144"/>
      <c r="J1919" s="144"/>
      <c r="K1919" s="144"/>
      <c r="L1919" s="146"/>
      <c r="M1919" s="142"/>
      <c r="N1919" s="144"/>
      <c r="O1919" s="142"/>
      <c r="P1919" s="142"/>
      <c r="Q1919" s="142"/>
      <c r="R1919" s="129"/>
      <c r="S1919" s="143"/>
      <c r="T1919" s="144"/>
      <c r="U1919" s="129"/>
      <c r="V1919" s="129"/>
    </row>
    <row r="1920" spans="1:22" x14ac:dyDescent="0.2">
      <c r="A1920" s="144"/>
      <c r="B1920" s="145"/>
      <c r="C1920" s="129"/>
      <c r="D1920" s="129"/>
      <c r="E1920" s="129"/>
      <c r="F1920" s="129"/>
      <c r="G1920" s="144"/>
      <c r="H1920" s="129"/>
      <c r="I1920" s="144"/>
      <c r="J1920" s="144"/>
      <c r="K1920" s="144"/>
      <c r="L1920" s="146"/>
      <c r="M1920" s="142"/>
      <c r="N1920" s="144"/>
      <c r="O1920" s="142"/>
      <c r="P1920" s="142"/>
      <c r="Q1920" s="142"/>
      <c r="R1920" s="129"/>
      <c r="S1920" s="143"/>
      <c r="T1920" s="144"/>
      <c r="U1920" s="129"/>
      <c r="V1920" s="129"/>
    </row>
    <row r="1921" spans="1:22" x14ac:dyDescent="0.2">
      <c r="A1921" s="144"/>
      <c r="B1921" s="145"/>
      <c r="C1921" s="129"/>
      <c r="D1921" s="129"/>
      <c r="E1921" s="129"/>
      <c r="F1921" s="129"/>
      <c r="G1921" s="144"/>
      <c r="H1921" s="129"/>
      <c r="I1921" s="144"/>
      <c r="J1921" s="144"/>
      <c r="K1921" s="144"/>
      <c r="L1921" s="146"/>
      <c r="M1921" s="142"/>
      <c r="N1921" s="144"/>
      <c r="O1921" s="142"/>
      <c r="P1921" s="142"/>
      <c r="Q1921" s="142"/>
      <c r="R1921" s="129"/>
      <c r="S1921" s="143"/>
      <c r="T1921" s="144"/>
      <c r="U1921" s="129"/>
      <c r="V1921" s="129"/>
    </row>
    <row r="1922" spans="1:22" x14ac:dyDescent="0.2">
      <c r="A1922" s="144"/>
      <c r="B1922" s="145"/>
      <c r="C1922" s="129"/>
      <c r="D1922" s="129"/>
      <c r="E1922" s="129"/>
      <c r="F1922" s="129"/>
      <c r="G1922" s="144"/>
      <c r="H1922" s="129"/>
      <c r="I1922" s="144"/>
      <c r="J1922" s="144"/>
      <c r="K1922" s="144"/>
      <c r="L1922" s="146"/>
      <c r="M1922" s="142"/>
      <c r="N1922" s="144"/>
      <c r="O1922" s="142"/>
      <c r="P1922" s="142"/>
      <c r="Q1922" s="142"/>
      <c r="R1922" s="129"/>
      <c r="S1922" s="143"/>
      <c r="T1922" s="144"/>
      <c r="U1922" s="129"/>
      <c r="V1922" s="129"/>
    </row>
    <row r="1923" spans="1:22" x14ac:dyDescent="0.2">
      <c r="A1923" s="144"/>
      <c r="B1923" s="145"/>
      <c r="C1923" s="129"/>
      <c r="D1923" s="129"/>
      <c r="E1923" s="129"/>
      <c r="F1923" s="129"/>
      <c r="G1923" s="144"/>
      <c r="H1923" s="129"/>
      <c r="I1923" s="144"/>
      <c r="J1923" s="144"/>
      <c r="K1923" s="144"/>
      <c r="L1923" s="146"/>
      <c r="M1923" s="142"/>
      <c r="N1923" s="144"/>
      <c r="O1923" s="142"/>
      <c r="P1923" s="142"/>
      <c r="Q1923" s="142"/>
      <c r="R1923" s="129"/>
      <c r="S1923" s="143"/>
      <c r="T1923" s="144"/>
      <c r="U1923" s="129"/>
      <c r="V1923" s="129"/>
    </row>
    <row r="1924" spans="1:22" x14ac:dyDescent="0.2">
      <c r="A1924" s="144"/>
      <c r="B1924" s="145"/>
      <c r="C1924" s="129"/>
      <c r="D1924" s="129"/>
      <c r="E1924" s="129"/>
      <c r="F1924" s="129"/>
      <c r="G1924" s="144"/>
      <c r="H1924" s="129"/>
      <c r="I1924" s="144"/>
      <c r="J1924" s="144"/>
      <c r="K1924" s="144"/>
      <c r="L1924" s="146"/>
      <c r="M1924" s="142"/>
      <c r="N1924" s="144"/>
      <c r="O1924" s="142"/>
      <c r="P1924" s="142"/>
      <c r="Q1924" s="142"/>
      <c r="R1924" s="129"/>
      <c r="S1924" s="143"/>
      <c r="T1924" s="144"/>
      <c r="U1924" s="129"/>
      <c r="V1924" s="129"/>
    </row>
    <row r="1925" spans="1:22" x14ac:dyDescent="0.2">
      <c r="A1925" s="144"/>
      <c r="B1925" s="145"/>
      <c r="C1925" s="129"/>
      <c r="D1925" s="129"/>
      <c r="E1925" s="129"/>
      <c r="F1925" s="129"/>
      <c r="G1925" s="144"/>
      <c r="H1925" s="129"/>
      <c r="I1925" s="144"/>
      <c r="J1925" s="144"/>
      <c r="K1925" s="144"/>
      <c r="L1925" s="146"/>
      <c r="M1925" s="142"/>
      <c r="N1925" s="144"/>
      <c r="O1925" s="142"/>
      <c r="P1925" s="142"/>
      <c r="Q1925" s="142"/>
      <c r="R1925" s="129"/>
      <c r="S1925" s="143"/>
      <c r="T1925" s="144"/>
      <c r="U1925" s="129"/>
      <c r="V1925" s="129"/>
    </row>
    <row r="1926" spans="1:22" x14ac:dyDescent="0.2">
      <c r="A1926" s="144"/>
      <c r="B1926" s="145"/>
      <c r="C1926" s="129"/>
      <c r="D1926" s="129"/>
      <c r="E1926" s="129"/>
      <c r="F1926" s="129"/>
      <c r="G1926" s="144"/>
      <c r="H1926" s="129"/>
      <c r="I1926" s="144"/>
      <c r="J1926" s="144"/>
      <c r="K1926" s="144"/>
      <c r="L1926" s="146"/>
      <c r="M1926" s="142"/>
      <c r="N1926" s="144"/>
      <c r="O1926" s="142"/>
      <c r="P1926" s="142"/>
      <c r="Q1926" s="142"/>
      <c r="R1926" s="129"/>
      <c r="S1926" s="143"/>
      <c r="T1926" s="144"/>
      <c r="U1926" s="129"/>
      <c r="V1926" s="129"/>
    </row>
    <row r="1927" spans="1:22" x14ac:dyDescent="0.2">
      <c r="A1927" s="144"/>
      <c r="B1927" s="145"/>
      <c r="C1927" s="129"/>
      <c r="D1927" s="129"/>
      <c r="E1927" s="129"/>
      <c r="F1927" s="129"/>
      <c r="G1927" s="144"/>
      <c r="H1927" s="129"/>
      <c r="I1927" s="144"/>
      <c r="J1927" s="144"/>
      <c r="K1927" s="144"/>
      <c r="L1927" s="146"/>
      <c r="M1927" s="142"/>
      <c r="N1927" s="144"/>
      <c r="O1927" s="142"/>
      <c r="P1927" s="142"/>
      <c r="Q1927" s="142"/>
      <c r="R1927" s="129"/>
      <c r="S1927" s="143"/>
      <c r="T1927" s="144"/>
      <c r="U1927" s="129"/>
      <c r="V1927" s="129"/>
    </row>
    <row r="1928" spans="1:22" x14ac:dyDescent="0.2">
      <c r="A1928" s="144"/>
      <c r="B1928" s="145"/>
      <c r="C1928" s="129"/>
      <c r="D1928" s="129"/>
      <c r="E1928" s="129"/>
      <c r="F1928" s="129"/>
      <c r="G1928" s="144"/>
      <c r="H1928" s="129"/>
      <c r="I1928" s="144"/>
      <c r="J1928" s="144"/>
      <c r="K1928" s="144"/>
      <c r="L1928" s="146"/>
      <c r="M1928" s="142"/>
      <c r="N1928" s="144"/>
      <c r="O1928" s="142"/>
      <c r="P1928" s="142"/>
      <c r="Q1928" s="142"/>
      <c r="R1928" s="129"/>
      <c r="S1928" s="143"/>
      <c r="T1928" s="144"/>
      <c r="U1928" s="129"/>
      <c r="V1928" s="129"/>
    </row>
    <row r="1929" spans="1:22" x14ac:dyDescent="0.2">
      <c r="A1929" s="144"/>
      <c r="B1929" s="145"/>
      <c r="C1929" s="129"/>
      <c r="D1929" s="129"/>
      <c r="E1929" s="129"/>
      <c r="F1929" s="129"/>
      <c r="G1929" s="144"/>
      <c r="H1929" s="129"/>
      <c r="I1929" s="144"/>
      <c r="J1929" s="144"/>
      <c r="K1929" s="144"/>
      <c r="L1929" s="146"/>
      <c r="M1929" s="142"/>
      <c r="N1929" s="144"/>
      <c r="O1929" s="142"/>
      <c r="P1929" s="142"/>
      <c r="Q1929" s="142"/>
      <c r="R1929" s="129"/>
      <c r="S1929" s="143"/>
      <c r="T1929" s="144"/>
      <c r="U1929" s="129"/>
      <c r="V1929" s="129"/>
    </row>
    <row r="1930" spans="1:22" x14ac:dyDescent="0.2">
      <c r="A1930" s="144"/>
      <c r="B1930" s="145"/>
      <c r="C1930" s="129"/>
      <c r="D1930" s="129"/>
      <c r="E1930" s="129"/>
      <c r="F1930" s="129"/>
      <c r="G1930" s="144"/>
      <c r="H1930" s="129"/>
      <c r="I1930" s="144"/>
      <c r="J1930" s="144"/>
      <c r="K1930" s="144"/>
      <c r="L1930" s="146"/>
      <c r="M1930" s="142"/>
      <c r="N1930" s="144"/>
      <c r="O1930" s="142"/>
      <c r="P1930" s="142"/>
      <c r="Q1930" s="142"/>
      <c r="R1930" s="129"/>
      <c r="S1930" s="143"/>
      <c r="T1930" s="144"/>
      <c r="U1930" s="129"/>
      <c r="V1930" s="129"/>
    </row>
    <row r="1931" spans="1:22" x14ac:dyDescent="0.2">
      <c r="A1931" s="144"/>
      <c r="B1931" s="145"/>
      <c r="C1931" s="129"/>
      <c r="D1931" s="129"/>
      <c r="E1931" s="129"/>
      <c r="F1931" s="129"/>
      <c r="G1931" s="144"/>
      <c r="H1931" s="129"/>
      <c r="I1931" s="144"/>
      <c r="J1931" s="144"/>
      <c r="K1931" s="144"/>
      <c r="L1931" s="146"/>
      <c r="M1931" s="142"/>
      <c r="N1931" s="144"/>
      <c r="O1931" s="142"/>
      <c r="P1931" s="142"/>
      <c r="Q1931" s="142"/>
      <c r="R1931" s="129"/>
      <c r="S1931" s="143"/>
      <c r="T1931" s="144"/>
      <c r="U1931" s="129"/>
      <c r="V1931" s="129"/>
    </row>
    <row r="1932" spans="1:22" x14ac:dyDescent="0.2">
      <c r="A1932" s="144"/>
      <c r="B1932" s="145"/>
      <c r="C1932" s="129"/>
      <c r="D1932" s="129"/>
      <c r="E1932" s="129"/>
      <c r="F1932" s="129"/>
      <c r="G1932" s="144"/>
      <c r="H1932" s="129"/>
      <c r="I1932" s="144"/>
      <c r="J1932" s="144"/>
      <c r="K1932" s="144"/>
      <c r="L1932" s="146"/>
      <c r="M1932" s="142"/>
      <c r="N1932" s="144"/>
      <c r="O1932" s="142"/>
      <c r="P1932" s="142"/>
      <c r="Q1932" s="142"/>
      <c r="R1932" s="129"/>
      <c r="S1932" s="143"/>
      <c r="T1932" s="144"/>
      <c r="U1932" s="129"/>
      <c r="V1932" s="129"/>
    </row>
    <row r="1933" spans="1:22" x14ac:dyDescent="0.2">
      <c r="A1933" s="144"/>
      <c r="B1933" s="145"/>
      <c r="C1933" s="129"/>
      <c r="D1933" s="129"/>
      <c r="E1933" s="129"/>
      <c r="F1933" s="129"/>
      <c r="G1933" s="144"/>
      <c r="H1933" s="129"/>
      <c r="I1933" s="144"/>
      <c r="J1933" s="144"/>
      <c r="K1933" s="144"/>
      <c r="L1933" s="146"/>
      <c r="M1933" s="142"/>
      <c r="N1933" s="144"/>
      <c r="O1933" s="142"/>
      <c r="P1933" s="142"/>
      <c r="Q1933" s="142"/>
      <c r="R1933" s="129"/>
      <c r="S1933" s="143"/>
      <c r="T1933" s="144"/>
      <c r="U1933" s="129"/>
      <c r="V1933" s="129"/>
    </row>
    <row r="1934" spans="1:22" x14ac:dyDescent="0.2">
      <c r="A1934" s="144"/>
      <c r="B1934" s="145"/>
      <c r="C1934" s="129"/>
      <c r="D1934" s="129"/>
      <c r="E1934" s="129"/>
      <c r="F1934" s="129"/>
      <c r="G1934" s="144"/>
      <c r="H1934" s="129"/>
      <c r="I1934" s="144"/>
      <c r="J1934" s="144"/>
      <c r="K1934" s="144"/>
      <c r="L1934" s="146"/>
      <c r="M1934" s="142"/>
      <c r="N1934" s="144"/>
      <c r="O1934" s="142"/>
      <c r="P1934" s="142"/>
      <c r="Q1934" s="142"/>
      <c r="R1934" s="129"/>
      <c r="S1934" s="143"/>
      <c r="T1934" s="144"/>
      <c r="U1934" s="129"/>
      <c r="V1934" s="129"/>
    </row>
    <row r="1935" spans="1:22" x14ac:dyDescent="0.2">
      <c r="A1935" s="144"/>
      <c r="B1935" s="145"/>
      <c r="C1935" s="129"/>
      <c r="D1935" s="129"/>
      <c r="E1935" s="129"/>
      <c r="F1935" s="129"/>
      <c r="G1935" s="144"/>
      <c r="H1935" s="129"/>
      <c r="I1935" s="144"/>
      <c r="J1935" s="144"/>
      <c r="K1935" s="144"/>
      <c r="L1935" s="146"/>
      <c r="M1935" s="142"/>
      <c r="N1935" s="144"/>
      <c r="O1935" s="142"/>
      <c r="P1935" s="142"/>
      <c r="Q1935" s="142"/>
      <c r="R1935" s="129"/>
      <c r="S1935" s="143"/>
      <c r="T1935" s="144"/>
      <c r="U1935" s="129"/>
      <c r="V1935" s="129"/>
    </row>
    <row r="1936" spans="1:22" x14ac:dyDescent="0.2">
      <c r="A1936" s="144"/>
      <c r="B1936" s="145"/>
      <c r="C1936" s="129"/>
      <c r="D1936" s="129"/>
      <c r="E1936" s="129"/>
      <c r="F1936" s="129"/>
      <c r="G1936" s="144"/>
      <c r="H1936" s="129"/>
      <c r="I1936" s="144"/>
      <c r="J1936" s="144"/>
      <c r="K1936" s="144"/>
      <c r="L1936" s="146"/>
      <c r="M1936" s="142"/>
      <c r="N1936" s="144"/>
      <c r="O1936" s="142"/>
      <c r="P1936" s="142"/>
      <c r="Q1936" s="142"/>
      <c r="R1936" s="129"/>
      <c r="S1936" s="143"/>
      <c r="T1936" s="144"/>
      <c r="U1936" s="129"/>
      <c r="V1936" s="129"/>
    </row>
    <row r="1937" spans="1:22" x14ac:dyDescent="0.2">
      <c r="A1937" s="144"/>
      <c r="B1937" s="145"/>
      <c r="C1937" s="129"/>
      <c r="D1937" s="129"/>
      <c r="E1937" s="129"/>
      <c r="F1937" s="129"/>
      <c r="G1937" s="144"/>
      <c r="H1937" s="129"/>
      <c r="I1937" s="144"/>
      <c r="J1937" s="144"/>
      <c r="K1937" s="144"/>
      <c r="L1937" s="146"/>
      <c r="M1937" s="142"/>
      <c r="N1937" s="144"/>
      <c r="O1937" s="142"/>
      <c r="P1937" s="142"/>
      <c r="Q1937" s="142"/>
      <c r="R1937" s="129"/>
      <c r="S1937" s="143"/>
      <c r="T1937" s="144"/>
      <c r="U1937" s="129"/>
      <c r="V1937" s="129"/>
    </row>
    <row r="1938" spans="1:22" x14ac:dyDescent="0.2">
      <c r="A1938" s="144"/>
      <c r="B1938" s="145"/>
      <c r="C1938" s="129"/>
      <c r="D1938" s="129"/>
      <c r="E1938" s="129"/>
      <c r="F1938" s="129"/>
      <c r="G1938" s="144"/>
      <c r="H1938" s="129"/>
      <c r="I1938" s="144"/>
      <c r="J1938" s="144"/>
      <c r="K1938" s="144"/>
      <c r="L1938" s="146"/>
      <c r="M1938" s="142"/>
      <c r="N1938" s="144"/>
      <c r="O1938" s="142"/>
      <c r="P1938" s="142"/>
      <c r="Q1938" s="142"/>
      <c r="R1938" s="129"/>
      <c r="S1938" s="143"/>
      <c r="T1938" s="144"/>
      <c r="U1938" s="129"/>
      <c r="V1938" s="129"/>
    </row>
    <row r="1939" spans="1:22" x14ac:dyDescent="0.2">
      <c r="A1939" s="144"/>
      <c r="B1939" s="145"/>
      <c r="C1939" s="129"/>
      <c r="D1939" s="129"/>
      <c r="E1939" s="129"/>
      <c r="F1939" s="129"/>
      <c r="G1939" s="144"/>
      <c r="H1939" s="129"/>
      <c r="I1939" s="144"/>
      <c r="J1939" s="144"/>
      <c r="K1939" s="144"/>
      <c r="L1939" s="146"/>
      <c r="M1939" s="142"/>
      <c r="N1939" s="144"/>
      <c r="O1939" s="142"/>
      <c r="P1939" s="142"/>
      <c r="Q1939" s="142"/>
      <c r="R1939" s="129"/>
      <c r="S1939" s="143"/>
      <c r="T1939" s="144"/>
      <c r="U1939" s="129"/>
      <c r="V1939" s="129"/>
    </row>
    <row r="1940" spans="1:22" x14ac:dyDescent="0.2">
      <c r="A1940" s="144"/>
      <c r="B1940" s="145"/>
      <c r="C1940" s="129"/>
      <c r="D1940" s="129"/>
      <c r="E1940" s="129"/>
      <c r="F1940" s="129"/>
      <c r="G1940" s="144"/>
      <c r="H1940" s="129"/>
      <c r="I1940" s="144"/>
      <c r="J1940" s="144"/>
      <c r="K1940" s="144"/>
      <c r="L1940" s="146"/>
      <c r="M1940" s="142"/>
      <c r="N1940" s="144"/>
      <c r="O1940" s="142"/>
      <c r="P1940" s="142"/>
      <c r="Q1940" s="142"/>
      <c r="R1940" s="129"/>
      <c r="S1940" s="143"/>
      <c r="T1940" s="144"/>
      <c r="U1940" s="129"/>
      <c r="V1940" s="129"/>
    </row>
    <row r="1941" spans="1:22" x14ac:dyDescent="0.2">
      <c r="A1941" s="144"/>
      <c r="B1941" s="145"/>
      <c r="C1941" s="129"/>
      <c r="D1941" s="129"/>
      <c r="E1941" s="129"/>
      <c r="F1941" s="129"/>
      <c r="G1941" s="144"/>
      <c r="H1941" s="129"/>
      <c r="I1941" s="144"/>
      <c r="J1941" s="144"/>
      <c r="K1941" s="144"/>
      <c r="L1941" s="146"/>
      <c r="M1941" s="142"/>
      <c r="N1941" s="144"/>
      <c r="O1941" s="142"/>
      <c r="P1941" s="142"/>
      <c r="Q1941" s="142"/>
      <c r="R1941" s="129"/>
      <c r="S1941" s="143"/>
      <c r="T1941" s="144"/>
      <c r="U1941" s="129"/>
      <c r="V1941" s="129"/>
    </row>
    <row r="1942" spans="1:22" x14ac:dyDescent="0.2">
      <c r="A1942" s="144"/>
      <c r="B1942" s="145"/>
      <c r="C1942" s="129"/>
      <c r="D1942" s="129"/>
      <c r="E1942" s="129"/>
      <c r="F1942" s="129"/>
      <c r="G1942" s="144"/>
      <c r="H1942" s="129"/>
      <c r="I1942" s="144"/>
      <c r="J1942" s="144"/>
      <c r="K1942" s="144"/>
      <c r="L1942" s="146"/>
      <c r="M1942" s="142"/>
      <c r="N1942" s="144"/>
      <c r="O1942" s="142"/>
      <c r="P1942" s="142"/>
      <c r="Q1942" s="142"/>
      <c r="R1942" s="129"/>
      <c r="S1942" s="143"/>
      <c r="T1942" s="144"/>
      <c r="U1942" s="129"/>
      <c r="V1942" s="129"/>
    </row>
    <row r="1943" spans="1:22" x14ac:dyDescent="0.2">
      <c r="A1943" s="144"/>
      <c r="B1943" s="145"/>
      <c r="C1943" s="129"/>
      <c r="D1943" s="129"/>
      <c r="E1943" s="129"/>
      <c r="F1943" s="129"/>
      <c r="G1943" s="144"/>
      <c r="H1943" s="129"/>
      <c r="I1943" s="144"/>
      <c r="J1943" s="144"/>
      <c r="K1943" s="144"/>
      <c r="L1943" s="146"/>
      <c r="M1943" s="142"/>
      <c r="N1943" s="144"/>
      <c r="O1943" s="142"/>
      <c r="P1943" s="142"/>
      <c r="Q1943" s="142"/>
      <c r="R1943" s="129"/>
      <c r="S1943" s="143"/>
      <c r="T1943" s="144"/>
      <c r="U1943" s="129"/>
      <c r="V1943" s="129"/>
    </row>
    <row r="1944" spans="1:22" x14ac:dyDescent="0.2">
      <c r="A1944" s="144"/>
      <c r="B1944" s="145"/>
      <c r="C1944" s="129"/>
      <c r="D1944" s="129"/>
      <c r="E1944" s="129"/>
      <c r="F1944" s="129"/>
      <c r="G1944" s="144"/>
      <c r="H1944" s="129"/>
      <c r="I1944" s="144"/>
      <c r="J1944" s="144"/>
      <c r="K1944" s="144"/>
      <c r="L1944" s="146"/>
      <c r="M1944" s="142"/>
      <c r="N1944" s="144"/>
      <c r="O1944" s="142"/>
      <c r="P1944" s="142"/>
      <c r="Q1944" s="142"/>
      <c r="R1944" s="129"/>
      <c r="S1944" s="143"/>
      <c r="T1944" s="144"/>
      <c r="U1944" s="129"/>
      <c r="V1944" s="129"/>
    </row>
    <row r="1945" spans="1:22" x14ac:dyDescent="0.2">
      <c r="A1945" s="144"/>
      <c r="B1945" s="145"/>
      <c r="C1945" s="129"/>
      <c r="D1945" s="129"/>
      <c r="E1945" s="129"/>
      <c r="F1945" s="129"/>
      <c r="G1945" s="144"/>
      <c r="H1945" s="129"/>
      <c r="I1945" s="144"/>
      <c r="J1945" s="144"/>
      <c r="K1945" s="144"/>
      <c r="L1945" s="146"/>
      <c r="M1945" s="142"/>
      <c r="N1945" s="144"/>
      <c r="O1945" s="142"/>
      <c r="P1945" s="142"/>
      <c r="Q1945" s="142"/>
      <c r="R1945" s="129"/>
      <c r="S1945" s="143"/>
      <c r="T1945" s="144"/>
      <c r="U1945" s="129"/>
      <c r="V1945" s="129"/>
    </row>
    <row r="1946" spans="1:22" x14ac:dyDescent="0.2">
      <c r="A1946" s="144"/>
      <c r="B1946" s="145"/>
      <c r="C1946" s="129"/>
      <c r="D1946" s="129"/>
      <c r="E1946" s="129"/>
      <c r="F1946" s="129"/>
      <c r="G1946" s="144"/>
      <c r="H1946" s="129"/>
      <c r="I1946" s="144"/>
      <c r="J1946" s="144"/>
      <c r="K1946" s="144"/>
      <c r="L1946" s="146"/>
      <c r="M1946" s="142"/>
      <c r="N1946" s="144"/>
      <c r="O1946" s="142"/>
      <c r="P1946" s="142"/>
      <c r="Q1946" s="142"/>
      <c r="R1946" s="129"/>
      <c r="S1946" s="143"/>
      <c r="T1946" s="144"/>
      <c r="U1946" s="129"/>
      <c r="V1946" s="129"/>
    </row>
    <row r="1947" spans="1:22" x14ac:dyDescent="0.2">
      <c r="A1947" s="144"/>
      <c r="B1947" s="145"/>
      <c r="C1947" s="129"/>
      <c r="D1947" s="129"/>
      <c r="E1947" s="129"/>
      <c r="F1947" s="129"/>
      <c r="G1947" s="144"/>
      <c r="H1947" s="129"/>
      <c r="I1947" s="144"/>
      <c r="J1947" s="144"/>
      <c r="K1947" s="144"/>
      <c r="L1947" s="146"/>
      <c r="M1947" s="142"/>
      <c r="N1947" s="144"/>
      <c r="O1947" s="142"/>
      <c r="P1947" s="142"/>
      <c r="Q1947" s="142"/>
      <c r="R1947" s="129"/>
      <c r="S1947" s="143"/>
      <c r="T1947" s="144"/>
      <c r="U1947" s="129"/>
      <c r="V1947" s="129"/>
    </row>
    <row r="1948" spans="1:22" x14ac:dyDescent="0.2">
      <c r="A1948" s="144"/>
      <c r="B1948" s="145"/>
      <c r="C1948" s="129"/>
      <c r="D1948" s="129"/>
      <c r="E1948" s="129"/>
      <c r="F1948" s="129"/>
      <c r="G1948" s="144"/>
      <c r="H1948" s="129"/>
      <c r="I1948" s="144"/>
      <c r="J1948" s="144"/>
      <c r="K1948" s="144"/>
      <c r="L1948" s="146"/>
      <c r="M1948" s="142"/>
      <c r="N1948" s="144"/>
      <c r="O1948" s="142"/>
      <c r="P1948" s="142"/>
      <c r="Q1948" s="142"/>
      <c r="R1948" s="129"/>
      <c r="S1948" s="143"/>
      <c r="T1948" s="144"/>
      <c r="U1948" s="129"/>
      <c r="V1948" s="129"/>
    </row>
    <row r="1949" spans="1:22" x14ac:dyDescent="0.2">
      <c r="A1949" s="144"/>
      <c r="B1949" s="145"/>
      <c r="C1949" s="129"/>
      <c r="D1949" s="129"/>
      <c r="E1949" s="129"/>
      <c r="F1949" s="129"/>
      <c r="G1949" s="144"/>
      <c r="H1949" s="129"/>
      <c r="I1949" s="144"/>
      <c r="J1949" s="144"/>
      <c r="K1949" s="144"/>
      <c r="L1949" s="146"/>
      <c r="M1949" s="142"/>
      <c r="N1949" s="144"/>
      <c r="O1949" s="142"/>
      <c r="P1949" s="142"/>
      <c r="Q1949" s="142"/>
      <c r="R1949" s="129"/>
      <c r="S1949" s="143"/>
      <c r="T1949" s="144"/>
      <c r="U1949" s="129"/>
      <c r="V1949" s="129"/>
    </row>
    <row r="1950" spans="1:22" x14ac:dyDescent="0.2">
      <c r="A1950" s="144"/>
      <c r="B1950" s="145"/>
      <c r="C1950" s="129"/>
      <c r="D1950" s="129"/>
      <c r="E1950" s="129"/>
      <c r="F1950" s="129"/>
      <c r="G1950" s="144"/>
      <c r="H1950" s="129"/>
      <c r="I1950" s="144"/>
      <c r="J1950" s="144"/>
      <c r="K1950" s="144"/>
      <c r="L1950" s="146"/>
      <c r="M1950" s="142"/>
      <c r="N1950" s="144"/>
      <c r="O1950" s="142"/>
      <c r="P1950" s="142"/>
      <c r="Q1950" s="142"/>
      <c r="R1950" s="129"/>
      <c r="S1950" s="143"/>
      <c r="T1950" s="144"/>
      <c r="U1950" s="129"/>
      <c r="V1950" s="129"/>
    </row>
    <row r="1951" spans="1:22" x14ac:dyDescent="0.2">
      <c r="A1951" s="144"/>
      <c r="B1951" s="145"/>
      <c r="C1951" s="129"/>
      <c r="D1951" s="129"/>
      <c r="E1951" s="129"/>
      <c r="F1951" s="129"/>
      <c r="G1951" s="144"/>
      <c r="H1951" s="129"/>
      <c r="I1951" s="144"/>
      <c r="J1951" s="144"/>
      <c r="K1951" s="144"/>
      <c r="L1951" s="146"/>
      <c r="M1951" s="142"/>
      <c r="N1951" s="144"/>
      <c r="O1951" s="142"/>
      <c r="P1951" s="142"/>
      <c r="Q1951" s="142"/>
      <c r="R1951" s="129"/>
      <c r="S1951" s="143"/>
      <c r="T1951" s="144"/>
      <c r="U1951" s="129"/>
      <c r="V1951" s="129"/>
    </row>
    <row r="1952" spans="1:22" x14ac:dyDescent="0.2">
      <c r="A1952" s="144"/>
      <c r="B1952" s="145"/>
      <c r="C1952" s="129"/>
      <c r="D1952" s="129"/>
      <c r="E1952" s="129"/>
      <c r="F1952" s="129"/>
      <c r="G1952" s="144"/>
      <c r="H1952" s="129"/>
      <c r="I1952" s="144"/>
      <c r="J1952" s="144"/>
      <c r="K1952" s="144"/>
      <c r="L1952" s="146"/>
      <c r="M1952" s="142"/>
      <c r="N1952" s="144"/>
      <c r="O1952" s="142"/>
      <c r="P1952" s="142"/>
      <c r="Q1952" s="142"/>
      <c r="R1952" s="129"/>
      <c r="S1952" s="143"/>
      <c r="T1952" s="144"/>
      <c r="U1952" s="129"/>
      <c r="V1952" s="129"/>
    </row>
    <row r="1953" spans="1:22" x14ac:dyDescent="0.2">
      <c r="A1953" s="144"/>
      <c r="B1953" s="145"/>
      <c r="C1953" s="129"/>
      <c r="D1953" s="129"/>
      <c r="E1953" s="129"/>
      <c r="F1953" s="129"/>
      <c r="G1953" s="144"/>
      <c r="H1953" s="129"/>
      <c r="I1953" s="144"/>
      <c r="J1953" s="144"/>
      <c r="K1953" s="144"/>
      <c r="L1953" s="146"/>
      <c r="M1953" s="142"/>
      <c r="N1953" s="144"/>
      <c r="O1953" s="142"/>
      <c r="P1953" s="142"/>
      <c r="Q1953" s="142"/>
      <c r="R1953" s="129"/>
      <c r="S1953" s="143"/>
      <c r="T1953" s="144"/>
      <c r="U1953" s="129"/>
      <c r="V1953" s="129"/>
    </row>
    <row r="1954" spans="1:22" x14ac:dyDescent="0.2">
      <c r="A1954" s="144"/>
      <c r="B1954" s="145"/>
      <c r="C1954" s="129"/>
      <c r="D1954" s="129"/>
      <c r="E1954" s="129"/>
      <c r="F1954" s="129"/>
      <c r="G1954" s="144"/>
      <c r="H1954" s="129"/>
      <c r="I1954" s="144"/>
      <c r="J1954" s="144"/>
      <c r="K1954" s="144"/>
      <c r="L1954" s="146"/>
      <c r="M1954" s="142"/>
      <c r="N1954" s="144"/>
      <c r="O1954" s="142"/>
      <c r="P1954" s="142"/>
      <c r="Q1954" s="142"/>
      <c r="R1954" s="129"/>
      <c r="S1954" s="143"/>
      <c r="T1954" s="144"/>
      <c r="U1954" s="129"/>
      <c r="V1954" s="129"/>
    </row>
    <row r="1955" spans="1:22" x14ac:dyDescent="0.2">
      <c r="A1955" s="144"/>
      <c r="B1955" s="145"/>
      <c r="C1955" s="129"/>
      <c r="D1955" s="129"/>
      <c r="E1955" s="129"/>
      <c r="F1955" s="129"/>
      <c r="G1955" s="144"/>
      <c r="H1955" s="129"/>
      <c r="I1955" s="144"/>
      <c r="J1955" s="144"/>
      <c r="K1955" s="144"/>
      <c r="L1955" s="146"/>
      <c r="M1955" s="142"/>
      <c r="N1955" s="144"/>
      <c r="O1955" s="142"/>
      <c r="P1955" s="142"/>
      <c r="Q1955" s="142"/>
      <c r="R1955" s="129"/>
      <c r="S1955" s="143"/>
      <c r="T1955" s="144"/>
      <c r="U1955" s="129"/>
      <c r="V1955" s="129"/>
    </row>
    <row r="1956" spans="1:22" x14ac:dyDescent="0.2">
      <c r="A1956" s="144"/>
      <c r="B1956" s="145"/>
      <c r="C1956" s="129"/>
      <c r="D1956" s="129"/>
      <c r="E1956" s="129"/>
      <c r="F1956" s="129"/>
      <c r="G1956" s="144"/>
      <c r="H1956" s="129"/>
      <c r="I1956" s="144"/>
      <c r="J1956" s="144"/>
      <c r="K1956" s="144"/>
      <c r="L1956" s="146"/>
      <c r="M1956" s="142"/>
      <c r="N1956" s="144"/>
      <c r="O1956" s="142"/>
      <c r="P1956" s="142"/>
      <c r="Q1956" s="142"/>
      <c r="R1956" s="129"/>
      <c r="S1956" s="143"/>
      <c r="T1956" s="144"/>
      <c r="U1956" s="129"/>
      <c r="V1956" s="129"/>
    </row>
    <row r="1957" spans="1:22" x14ac:dyDescent="0.2">
      <c r="A1957" s="144"/>
      <c r="B1957" s="145"/>
      <c r="C1957" s="129"/>
      <c r="D1957" s="129"/>
      <c r="E1957" s="129"/>
      <c r="F1957" s="129"/>
      <c r="G1957" s="144"/>
      <c r="H1957" s="129"/>
      <c r="I1957" s="144"/>
      <c r="J1957" s="144"/>
      <c r="K1957" s="144"/>
      <c r="L1957" s="146"/>
      <c r="M1957" s="142"/>
      <c r="N1957" s="144"/>
      <c r="O1957" s="142"/>
      <c r="P1957" s="142"/>
      <c r="Q1957" s="142"/>
      <c r="R1957" s="129"/>
      <c r="S1957" s="143"/>
      <c r="T1957" s="144"/>
      <c r="U1957" s="129"/>
      <c r="V1957" s="129"/>
    </row>
    <row r="1958" spans="1:22" x14ac:dyDescent="0.2">
      <c r="A1958" s="144"/>
      <c r="B1958" s="145"/>
      <c r="C1958" s="129"/>
      <c r="D1958" s="129"/>
      <c r="E1958" s="129"/>
      <c r="F1958" s="129"/>
      <c r="G1958" s="144"/>
      <c r="H1958" s="129"/>
      <c r="I1958" s="144"/>
      <c r="J1958" s="144"/>
      <c r="K1958" s="144"/>
      <c r="L1958" s="146"/>
      <c r="M1958" s="142"/>
      <c r="N1958" s="144"/>
      <c r="O1958" s="142"/>
      <c r="P1958" s="142"/>
      <c r="Q1958" s="142"/>
      <c r="R1958" s="129"/>
      <c r="S1958" s="143"/>
      <c r="T1958" s="144"/>
      <c r="U1958" s="129"/>
      <c r="V1958" s="129"/>
    </row>
    <row r="1959" spans="1:22" x14ac:dyDescent="0.2">
      <c r="A1959" s="144"/>
      <c r="B1959" s="145"/>
      <c r="C1959" s="129"/>
      <c r="D1959" s="129"/>
      <c r="E1959" s="129"/>
      <c r="F1959" s="129"/>
      <c r="G1959" s="144"/>
      <c r="H1959" s="129"/>
      <c r="I1959" s="144"/>
      <c r="J1959" s="144"/>
      <c r="K1959" s="144"/>
      <c r="L1959" s="146"/>
      <c r="M1959" s="142"/>
      <c r="N1959" s="144"/>
      <c r="O1959" s="142"/>
      <c r="P1959" s="142"/>
      <c r="Q1959" s="142"/>
      <c r="R1959" s="129"/>
      <c r="S1959" s="143"/>
      <c r="T1959" s="144"/>
      <c r="U1959" s="129"/>
      <c r="V1959" s="129"/>
    </row>
    <row r="1960" spans="1:22" x14ac:dyDescent="0.2">
      <c r="A1960" s="144"/>
      <c r="B1960" s="145"/>
      <c r="C1960" s="129"/>
      <c r="D1960" s="129"/>
      <c r="E1960" s="129"/>
      <c r="F1960" s="129"/>
      <c r="G1960" s="144"/>
      <c r="H1960" s="129"/>
      <c r="I1960" s="144"/>
      <c r="J1960" s="144"/>
      <c r="K1960" s="144"/>
      <c r="L1960" s="146"/>
      <c r="M1960" s="142"/>
      <c r="N1960" s="144"/>
      <c r="O1960" s="142"/>
      <c r="P1960" s="142"/>
      <c r="Q1960" s="142"/>
      <c r="R1960" s="129"/>
      <c r="S1960" s="143"/>
      <c r="T1960" s="144"/>
      <c r="U1960" s="129"/>
      <c r="V1960" s="129"/>
    </row>
    <row r="1961" spans="1:22" x14ac:dyDescent="0.2">
      <c r="A1961" s="144"/>
      <c r="B1961" s="145"/>
      <c r="C1961" s="129"/>
      <c r="D1961" s="129"/>
      <c r="E1961" s="129"/>
      <c r="F1961" s="129"/>
      <c r="G1961" s="144"/>
      <c r="H1961" s="129"/>
      <c r="I1961" s="144"/>
      <c r="J1961" s="144"/>
      <c r="K1961" s="144"/>
      <c r="L1961" s="146"/>
      <c r="M1961" s="142"/>
      <c r="N1961" s="144"/>
      <c r="O1961" s="142"/>
      <c r="P1961" s="142"/>
      <c r="Q1961" s="142"/>
      <c r="R1961" s="129"/>
      <c r="S1961" s="143"/>
      <c r="T1961" s="144"/>
      <c r="U1961" s="129"/>
      <c r="V1961" s="129"/>
    </row>
    <row r="1962" spans="1:22" x14ac:dyDescent="0.2">
      <c r="A1962" s="144"/>
      <c r="B1962" s="145"/>
      <c r="C1962" s="129"/>
      <c r="D1962" s="129"/>
      <c r="E1962" s="129"/>
      <c r="F1962" s="129"/>
      <c r="G1962" s="144"/>
      <c r="H1962" s="129"/>
      <c r="I1962" s="144"/>
      <c r="J1962" s="144"/>
      <c r="K1962" s="144"/>
      <c r="L1962" s="146"/>
      <c r="M1962" s="142"/>
      <c r="N1962" s="144"/>
      <c r="O1962" s="142"/>
      <c r="P1962" s="142"/>
      <c r="Q1962" s="142"/>
      <c r="R1962" s="129"/>
      <c r="S1962" s="143"/>
      <c r="T1962" s="144"/>
      <c r="U1962" s="129"/>
      <c r="V1962" s="129"/>
    </row>
    <row r="1963" spans="1:22" x14ac:dyDescent="0.2">
      <c r="A1963" s="144"/>
      <c r="B1963" s="145"/>
      <c r="C1963" s="129"/>
      <c r="D1963" s="129"/>
      <c r="E1963" s="129"/>
      <c r="F1963" s="129"/>
      <c r="G1963" s="144"/>
      <c r="H1963" s="129"/>
      <c r="I1963" s="144"/>
      <c r="J1963" s="144"/>
      <c r="K1963" s="144"/>
      <c r="L1963" s="146"/>
      <c r="M1963" s="142"/>
      <c r="N1963" s="144"/>
      <c r="O1963" s="142"/>
      <c r="P1963" s="142"/>
      <c r="Q1963" s="142"/>
      <c r="R1963" s="129"/>
      <c r="S1963" s="143"/>
      <c r="T1963" s="144"/>
      <c r="U1963" s="129"/>
      <c r="V1963" s="129"/>
    </row>
    <row r="1964" spans="1:22" x14ac:dyDescent="0.2">
      <c r="A1964" s="144"/>
      <c r="B1964" s="145"/>
      <c r="C1964" s="129"/>
      <c r="D1964" s="129"/>
      <c r="E1964" s="129"/>
      <c r="F1964" s="129"/>
      <c r="G1964" s="144"/>
      <c r="H1964" s="129"/>
      <c r="I1964" s="144"/>
      <c r="J1964" s="144"/>
      <c r="K1964" s="144"/>
      <c r="L1964" s="146"/>
      <c r="M1964" s="142"/>
      <c r="N1964" s="144"/>
      <c r="O1964" s="142"/>
      <c r="P1964" s="142"/>
      <c r="Q1964" s="142"/>
      <c r="R1964" s="129"/>
      <c r="S1964" s="143"/>
      <c r="T1964" s="144"/>
      <c r="U1964" s="129"/>
      <c r="V1964" s="129"/>
    </row>
    <row r="1965" spans="1:22" x14ac:dyDescent="0.2">
      <c r="A1965" s="144"/>
      <c r="B1965" s="145"/>
      <c r="C1965" s="129"/>
      <c r="D1965" s="129"/>
      <c r="E1965" s="129"/>
      <c r="F1965" s="129"/>
      <c r="G1965" s="144"/>
      <c r="H1965" s="129"/>
      <c r="I1965" s="144"/>
      <c r="J1965" s="144"/>
      <c r="K1965" s="144"/>
      <c r="L1965" s="146"/>
      <c r="M1965" s="142"/>
      <c r="N1965" s="144"/>
      <c r="O1965" s="142"/>
      <c r="P1965" s="142"/>
      <c r="Q1965" s="142"/>
      <c r="R1965" s="129"/>
      <c r="S1965" s="143"/>
      <c r="T1965" s="144"/>
      <c r="U1965" s="129"/>
      <c r="V1965" s="129"/>
    </row>
    <row r="1966" spans="1:22" x14ac:dyDescent="0.2">
      <c r="A1966" s="144"/>
      <c r="B1966" s="145"/>
      <c r="C1966" s="129"/>
      <c r="D1966" s="129"/>
      <c r="E1966" s="129"/>
      <c r="F1966" s="129"/>
      <c r="G1966" s="144"/>
      <c r="H1966" s="129"/>
      <c r="I1966" s="144"/>
      <c r="J1966" s="144"/>
      <c r="K1966" s="144"/>
      <c r="L1966" s="146"/>
      <c r="M1966" s="142"/>
      <c r="N1966" s="144"/>
      <c r="O1966" s="142"/>
      <c r="P1966" s="142"/>
      <c r="Q1966" s="142"/>
      <c r="R1966" s="129"/>
      <c r="S1966" s="143"/>
      <c r="T1966" s="144"/>
      <c r="U1966" s="129"/>
      <c r="V1966" s="129"/>
    </row>
    <row r="1967" spans="1:22" x14ac:dyDescent="0.2">
      <c r="A1967" s="144"/>
      <c r="B1967" s="145"/>
      <c r="C1967" s="129"/>
      <c r="D1967" s="129"/>
      <c r="E1967" s="129"/>
      <c r="F1967" s="129"/>
      <c r="G1967" s="144"/>
      <c r="H1967" s="129"/>
      <c r="I1967" s="144"/>
      <c r="J1967" s="144"/>
      <c r="K1967" s="144"/>
      <c r="L1967" s="146"/>
      <c r="M1967" s="142"/>
      <c r="N1967" s="144"/>
      <c r="O1967" s="142"/>
      <c r="P1967" s="142"/>
      <c r="Q1967" s="142"/>
      <c r="R1967" s="129"/>
      <c r="S1967" s="143"/>
      <c r="T1967" s="144"/>
      <c r="U1967" s="129"/>
      <c r="V1967" s="129"/>
    </row>
    <row r="1968" spans="1:22" x14ac:dyDescent="0.2">
      <c r="A1968" s="144"/>
      <c r="B1968" s="145"/>
      <c r="C1968" s="129"/>
      <c r="D1968" s="129"/>
      <c r="E1968" s="129"/>
      <c r="F1968" s="129"/>
      <c r="G1968" s="144"/>
      <c r="H1968" s="129"/>
      <c r="I1968" s="144"/>
      <c r="J1968" s="144"/>
      <c r="K1968" s="144"/>
      <c r="L1968" s="146"/>
      <c r="M1968" s="142"/>
      <c r="N1968" s="144"/>
      <c r="O1968" s="142"/>
      <c r="P1968" s="142"/>
      <c r="Q1968" s="142"/>
      <c r="R1968" s="129"/>
      <c r="S1968" s="143"/>
      <c r="T1968" s="144"/>
      <c r="U1968" s="129"/>
      <c r="V1968" s="129"/>
    </row>
    <row r="1969" spans="1:22" x14ac:dyDescent="0.2">
      <c r="A1969" s="144"/>
      <c r="B1969" s="145"/>
      <c r="C1969" s="129"/>
      <c r="D1969" s="129"/>
      <c r="E1969" s="129"/>
      <c r="F1969" s="129"/>
      <c r="G1969" s="144"/>
      <c r="H1969" s="129"/>
      <c r="I1969" s="144"/>
      <c r="J1969" s="144"/>
      <c r="K1969" s="144"/>
      <c r="L1969" s="146"/>
      <c r="M1969" s="142"/>
      <c r="N1969" s="144"/>
      <c r="O1969" s="142"/>
      <c r="P1969" s="142"/>
      <c r="Q1969" s="142"/>
      <c r="R1969" s="129"/>
      <c r="S1969" s="143"/>
      <c r="T1969" s="144"/>
      <c r="U1969" s="129"/>
      <c r="V1969" s="129"/>
    </row>
    <row r="1970" spans="1:22" x14ac:dyDescent="0.2">
      <c r="A1970" s="144"/>
      <c r="B1970" s="145"/>
      <c r="C1970" s="129"/>
      <c r="D1970" s="129"/>
      <c r="E1970" s="129"/>
      <c r="F1970" s="129"/>
      <c r="G1970" s="144"/>
      <c r="H1970" s="129"/>
      <c r="I1970" s="144"/>
      <c r="J1970" s="144"/>
      <c r="K1970" s="144"/>
      <c r="L1970" s="146"/>
      <c r="M1970" s="142"/>
      <c r="N1970" s="144"/>
      <c r="O1970" s="142"/>
      <c r="P1970" s="142"/>
      <c r="Q1970" s="142"/>
      <c r="R1970" s="129"/>
      <c r="S1970" s="143"/>
      <c r="T1970" s="144"/>
      <c r="U1970" s="129"/>
      <c r="V1970" s="129"/>
    </row>
    <row r="1971" spans="1:22" x14ac:dyDescent="0.2">
      <c r="A1971" s="144"/>
      <c r="B1971" s="145"/>
      <c r="C1971" s="129"/>
      <c r="D1971" s="129"/>
      <c r="E1971" s="129"/>
      <c r="F1971" s="129"/>
      <c r="G1971" s="144"/>
      <c r="H1971" s="129"/>
      <c r="I1971" s="144"/>
      <c r="J1971" s="144"/>
      <c r="K1971" s="144"/>
      <c r="L1971" s="146"/>
      <c r="M1971" s="142"/>
      <c r="N1971" s="144"/>
      <c r="O1971" s="142"/>
      <c r="P1971" s="142"/>
      <c r="Q1971" s="142"/>
      <c r="R1971" s="129"/>
      <c r="S1971" s="143"/>
      <c r="T1971" s="144"/>
      <c r="U1971" s="129"/>
      <c r="V1971" s="129"/>
    </row>
    <row r="1972" spans="1:22" x14ac:dyDescent="0.2">
      <c r="A1972" s="144"/>
      <c r="B1972" s="145"/>
      <c r="C1972" s="129"/>
      <c r="D1972" s="129"/>
      <c r="E1972" s="129"/>
      <c r="F1972" s="129"/>
      <c r="G1972" s="144"/>
      <c r="H1972" s="129"/>
      <c r="I1972" s="144"/>
      <c r="J1972" s="144"/>
      <c r="K1972" s="144"/>
      <c r="L1972" s="146"/>
      <c r="M1972" s="142"/>
      <c r="N1972" s="144"/>
      <c r="O1972" s="142"/>
      <c r="P1972" s="142"/>
      <c r="Q1972" s="142"/>
      <c r="R1972" s="129"/>
      <c r="S1972" s="143"/>
      <c r="T1972" s="144"/>
      <c r="U1972" s="129"/>
      <c r="V1972" s="129"/>
    </row>
    <row r="1973" spans="1:22" x14ac:dyDescent="0.2">
      <c r="A1973" s="144"/>
      <c r="B1973" s="145"/>
      <c r="C1973" s="129"/>
      <c r="D1973" s="129"/>
      <c r="E1973" s="129"/>
      <c r="F1973" s="129"/>
      <c r="G1973" s="144"/>
      <c r="H1973" s="129"/>
      <c r="I1973" s="144"/>
      <c r="J1973" s="144"/>
      <c r="K1973" s="144"/>
      <c r="L1973" s="146"/>
      <c r="M1973" s="142"/>
      <c r="N1973" s="144"/>
      <c r="O1973" s="142"/>
      <c r="P1973" s="142"/>
      <c r="Q1973" s="142"/>
      <c r="R1973" s="129"/>
      <c r="S1973" s="143"/>
      <c r="T1973" s="144"/>
      <c r="U1973" s="129"/>
      <c r="V1973" s="129"/>
    </row>
    <row r="1974" spans="1:22" x14ac:dyDescent="0.2">
      <c r="A1974" s="144"/>
      <c r="B1974" s="145"/>
      <c r="C1974" s="129"/>
      <c r="D1974" s="129"/>
      <c r="E1974" s="129"/>
      <c r="F1974" s="129"/>
      <c r="G1974" s="144"/>
      <c r="H1974" s="129"/>
      <c r="I1974" s="144"/>
      <c r="J1974" s="144"/>
      <c r="K1974" s="144"/>
      <c r="L1974" s="146"/>
      <c r="M1974" s="142"/>
      <c r="N1974" s="144"/>
      <c r="O1974" s="142"/>
      <c r="P1974" s="142"/>
      <c r="Q1974" s="142"/>
      <c r="R1974" s="129"/>
      <c r="S1974" s="143"/>
      <c r="T1974" s="144"/>
      <c r="U1974" s="129"/>
      <c r="V1974" s="129"/>
    </row>
    <row r="1975" spans="1:22" x14ac:dyDescent="0.2">
      <c r="A1975" s="144"/>
      <c r="B1975" s="145"/>
      <c r="C1975" s="129"/>
      <c r="D1975" s="129"/>
      <c r="E1975" s="129"/>
      <c r="F1975" s="129"/>
      <c r="G1975" s="144"/>
      <c r="H1975" s="129"/>
      <c r="I1975" s="144"/>
      <c r="J1975" s="144"/>
      <c r="K1975" s="144"/>
      <c r="L1975" s="146"/>
      <c r="M1975" s="142"/>
      <c r="N1975" s="144"/>
      <c r="O1975" s="142"/>
      <c r="P1975" s="142"/>
      <c r="Q1975" s="142"/>
      <c r="R1975" s="129"/>
      <c r="S1975" s="143"/>
      <c r="T1975" s="144"/>
      <c r="U1975" s="129"/>
      <c r="V1975" s="129"/>
    </row>
    <row r="1976" spans="1:22" x14ac:dyDescent="0.2">
      <c r="A1976" s="144"/>
      <c r="B1976" s="145"/>
      <c r="C1976" s="129"/>
      <c r="D1976" s="129"/>
      <c r="E1976" s="129"/>
      <c r="F1976" s="129"/>
      <c r="G1976" s="144"/>
      <c r="H1976" s="129"/>
      <c r="I1976" s="144"/>
      <c r="J1976" s="144"/>
      <c r="K1976" s="144"/>
      <c r="L1976" s="146"/>
      <c r="M1976" s="142"/>
      <c r="N1976" s="144"/>
      <c r="O1976" s="142"/>
      <c r="P1976" s="142"/>
      <c r="Q1976" s="142"/>
      <c r="R1976" s="129"/>
      <c r="S1976" s="143"/>
      <c r="T1976" s="144"/>
      <c r="U1976" s="129"/>
      <c r="V1976" s="129"/>
    </row>
    <row r="1977" spans="1:22" x14ac:dyDescent="0.2">
      <c r="A1977" s="144"/>
      <c r="B1977" s="145"/>
      <c r="C1977" s="129"/>
      <c r="D1977" s="129"/>
      <c r="E1977" s="129"/>
      <c r="F1977" s="129"/>
      <c r="G1977" s="144"/>
      <c r="H1977" s="129"/>
      <c r="I1977" s="144"/>
      <c r="J1977" s="144"/>
      <c r="K1977" s="144"/>
      <c r="L1977" s="146"/>
      <c r="M1977" s="142"/>
      <c r="N1977" s="144"/>
      <c r="O1977" s="142"/>
      <c r="P1977" s="142"/>
      <c r="Q1977" s="142"/>
      <c r="R1977" s="129"/>
      <c r="S1977" s="143"/>
      <c r="T1977" s="144"/>
      <c r="U1977" s="129"/>
      <c r="V1977" s="129"/>
    </row>
    <row r="1978" spans="1:22" x14ac:dyDescent="0.2">
      <c r="A1978" s="144"/>
      <c r="B1978" s="145"/>
      <c r="C1978" s="129"/>
      <c r="D1978" s="129"/>
      <c r="E1978" s="129"/>
      <c r="F1978" s="129"/>
      <c r="G1978" s="144"/>
      <c r="H1978" s="129"/>
      <c r="I1978" s="144"/>
      <c r="J1978" s="144"/>
      <c r="K1978" s="144"/>
      <c r="L1978" s="146"/>
      <c r="M1978" s="142"/>
      <c r="N1978" s="144"/>
      <c r="O1978" s="142"/>
      <c r="P1978" s="142"/>
      <c r="Q1978" s="142"/>
      <c r="R1978" s="129"/>
      <c r="S1978" s="143"/>
      <c r="T1978" s="144"/>
      <c r="U1978" s="129"/>
      <c r="V1978" s="129"/>
    </row>
    <row r="1979" spans="1:22" x14ac:dyDescent="0.2">
      <c r="A1979" s="144"/>
      <c r="B1979" s="145"/>
      <c r="C1979" s="129"/>
      <c r="D1979" s="129"/>
      <c r="E1979" s="129"/>
      <c r="F1979" s="129"/>
      <c r="G1979" s="144"/>
      <c r="H1979" s="129"/>
      <c r="I1979" s="144"/>
      <c r="J1979" s="144"/>
      <c r="K1979" s="144"/>
      <c r="L1979" s="146"/>
      <c r="M1979" s="142"/>
      <c r="N1979" s="144"/>
      <c r="O1979" s="142"/>
      <c r="P1979" s="142"/>
      <c r="Q1979" s="142"/>
      <c r="R1979" s="129"/>
      <c r="S1979" s="143"/>
      <c r="T1979" s="144"/>
      <c r="U1979" s="129"/>
      <c r="V1979" s="129"/>
    </row>
    <row r="1980" spans="1:22" x14ac:dyDescent="0.2">
      <c r="A1980" s="144"/>
      <c r="B1980" s="145"/>
      <c r="C1980" s="129"/>
      <c r="D1980" s="129"/>
      <c r="E1980" s="129"/>
      <c r="F1980" s="129"/>
      <c r="G1980" s="144"/>
      <c r="H1980" s="129"/>
      <c r="I1980" s="144"/>
      <c r="J1980" s="144"/>
      <c r="K1980" s="144"/>
      <c r="L1980" s="146"/>
      <c r="M1980" s="142"/>
      <c r="N1980" s="144"/>
      <c r="O1980" s="142"/>
      <c r="P1980" s="142"/>
      <c r="Q1980" s="142"/>
      <c r="R1980" s="129"/>
      <c r="S1980" s="143"/>
      <c r="T1980" s="144"/>
      <c r="U1980" s="129"/>
      <c r="V1980" s="129"/>
    </row>
    <row r="1981" spans="1:22" x14ac:dyDescent="0.2">
      <c r="A1981" s="144"/>
      <c r="B1981" s="145"/>
      <c r="C1981" s="129"/>
      <c r="D1981" s="129"/>
      <c r="E1981" s="129"/>
      <c r="F1981" s="129"/>
      <c r="G1981" s="144"/>
      <c r="H1981" s="129"/>
      <c r="I1981" s="144"/>
      <c r="J1981" s="144"/>
      <c r="K1981" s="144"/>
      <c r="L1981" s="146"/>
      <c r="M1981" s="142"/>
      <c r="N1981" s="144"/>
      <c r="O1981" s="142"/>
      <c r="P1981" s="142"/>
      <c r="Q1981" s="142"/>
      <c r="R1981" s="129"/>
      <c r="S1981" s="143"/>
      <c r="T1981" s="144"/>
      <c r="U1981" s="129"/>
      <c r="V1981" s="129"/>
    </row>
    <row r="1982" spans="1:22" x14ac:dyDescent="0.2">
      <c r="A1982" s="144"/>
      <c r="B1982" s="145"/>
      <c r="C1982" s="129"/>
      <c r="D1982" s="129"/>
      <c r="E1982" s="129"/>
      <c r="F1982" s="129"/>
      <c r="G1982" s="144"/>
      <c r="H1982" s="129"/>
      <c r="I1982" s="144"/>
      <c r="J1982" s="144"/>
      <c r="K1982" s="144"/>
      <c r="L1982" s="146"/>
      <c r="M1982" s="142"/>
      <c r="N1982" s="144"/>
      <c r="O1982" s="142"/>
      <c r="P1982" s="142"/>
      <c r="Q1982" s="142"/>
      <c r="R1982" s="129"/>
      <c r="S1982" s="143"/>
      <c r="T1982" s="144"/>
      <c r="U1982" s="129"/>
      <c r="V1982" s="129"/>
    </row>
    <row r="1983" spans="1:22" x14ac:dyDescent="0.2">
      <c r="A1983" s="144"/>
      <c r="B1983" s="145"/>
      <c r="C1983" s="129"/>
      <c r="D1983" s="129"/>
      <c r="E1983" s="129"/>
      <c r="F1983" s="129"/>
      <c r="G1983" s="144"/>
      <c r="H1983" s="129"/>
      <c r="I1983" s="144"/>
      <c r="J1983" s="144"/>
      <c r="K1983" s="144"/>
      <c r="L1983" s="146"/>
      <c r="M1983" s="142"/>
      <c r="N1983" s="144"/>
      <c r="O1983" s="142"/>
      <c r="P1983" s="142"/>
      <c r="Q1983" s="142"/>
      <c r="R1983" s="129"/>
      <c r="S1983" s="143"/>
      <c r="T1983" s="144"/>
      <c r="U1983" s="129"/>
      <c r="V1983" s="129"/>
    </row>
    <row r="1984" spans="1:22" x14ac:dyDescent="0.2">
      <c r="A1984" s="144"/>
      <c r="B1984" s="145"/>
      <c r="C1984" s="129"/>
      <c r="D1984" s="129"/>
      <c r="E1984" s="129"/>
      <c r="F1984" s="129"/>
      <c r="G1984" s="144"/>
      <c r="H1984" s="129"/>
      <c r="I1984" s="144"/>
      <c r="J1984" s="144"/>
      <c r="K1984" s="144"/>
      <c r="L1984" s="146"/>
      <c r="M1984" s="142"/>
      <c r="N1984" s="144"/>
      <c r="O1984" s="142"/>
      <c r="P1984" s="142"/>
      <c r="Q1984" s="142"/>
      <c r="R1984" s="129"/>
      <c r="S1984" s="143"/>
      <c r="T1984" s="144"/>
      <c r="U1984" s="129"/>
      <c r="V1984" s="129"/>
    </row>
    <row r="1985" spans="1:22" x14ac:dyDescent="0.2">
      <c r="A1985" s="144"/>
      <c r="B1985" s="145"/>
      <c r="C1985" s="129"/>
      <c r="D1985" s="129"/>
      <c r="E1985" s="129"/>
      <c r="F1985" s="129"/>
      <c r="G1985" s="144"/>
      <c r="H1985" s="129"/>
      <c r="I1985" s="144"/>
      <c r="J1985" s="144"/>
      <c r="K1985" s="144"/>
      <c r="L1985" s="146"/>
      <c r="M1985" s="142"/>
      <c r="N1985" s="144"/>
      <c r="O1985" s="142"/>
      <c r="P1985" s="142"/>
      <c r="Q1985" s="142"/>
      <c r="R1985" s="129"/>
      <c r="S1985" s="143"/>
      <c r="T1985" s="144"/>
      <c r="U1985" s="129"/>
      <c r="V1985" s="129"/>
    </row>
    <row r="1986" spans="1:22" x14ac:dyDescent="0.2">
      <c r="A1986" s="144"/>
      <c r="B1986" s="145"/>
      <c r="C1986" s="129"/>
      <c r="D1986" s="129"/>
      <c r="E1986" s="129"/>
      <c r="F1986" s="129"/>
      <c r="G1986" s="144"/>
      <c r="H1986" s="129"/>
      <c r="I1986" s="144"/>
      <c r="J1986" s="144"/>
      <c r="K1986" s="144"/>
      <c r="L1986" s="146"/>
      <c r="M1986" s="142"/>
      <c r="N1986" s="144"/>
      <c r="O1986" s="142"/>
      <c r="P1986" s="142"/>
      <c r="Q1986" s="142"/>
      <c r="R1986" s="129"/>
      <c r="S1986" s="143"/>
      <c r="T1986" s="144"/>
      <c r="U1986" s="129"/>
      <c r="V1986" s="129"/>
    </row>
    <row r="1987" spans="1:22" x14ac:dyDescent="0.2">
      <c r="A1987" s="144"/>
      <c r="B1987" s="145"/>
      <c r="C1987" s="129"/>
      <c r="D1987" s="129"/>
      <c r="E1987" s="129"/>
      <c r="F1987" s="129"/>
      <c r="G1987" s="144"/>
      <c r="H1987" s="129"/>
      <c r="I1987" s="144"/>
      <c r="J1987" s="144"/>
      <c r="K1987" s="144"/>
      <c r="L1987" s="146"/>
      <c r="M1987" s="142"/>
      <c r="N1987" s="144"/>
      <c r="O1987" s="142"/>
      <c r="P1987" s="142"/>
      <c r="Q1987" s="142"/>
      <c r="R1987" s="129"/>
      <c r="S1987" s="143"/>
      <c r="T1987" s="144"/>
      <c r="U1987" s="129"/>
      <c r="V1987" s="129"/>
    </row>
    <row r="1988" spans="1:22" x14ac:dyDescent="0.2">
      <c r="A1988" s="144"/>
      <c r="B1988" s="145"/>
      <c r="C1988" s="129"/>
      <c r="D1988" s="129"/>
      <c r="E1988" s="129"/>
      <c r="F1988" s="129"/>
      <c r="G1988" s="144"/>
      <c r="H1988" s="129"/>
      <c r="I1988" s="144"/>
      <c r="J1988" s="144"/>
      <c r="K1988" s="144"/>
      <c r="L1988" s="146"/>
      <c r="M1988" s="142"/>
      <c r="N1988" s="144"/>
      <c r="O1988" s="142"/>
      <c r="P1988" s="142"/>
      <c r="Q1988" s="142"/>
      <c r="R1988" s="129"/>
      <c r="S1988" s="143"/>
      <c r="T1988" s="144"/>
      <c r="U1988" s="129"/>
      <c r="V1988" s="129"/>
    </row>
    <row r="1989" spans="1:22" x14ac:dyDescent="0.2">
      <c r="A1989" s="144"/>
      <c r="B1989" s="145"/>
      <c r="C1989" s="129"/>
      <c r="D1989" s="129"/>
      <c r="E1989" s="129"/>
      <c r="F1989" s="129"/>
      <c r="G1989" s="144"/>
      <c r="H1989" s="129"/>
      <c r="I1989" s="144"/>
      <c r="J1989" s="144"/>
      <c r="K1989" s="144"/>
      <c r="L1989" s="146"/>
      <c r="M1989" s="142"/>
      <c r="N1989" s="144"/>
      <c r="O1989" s="142"/>
      <c r="P1989" s="142"/>
      <c r="Q1989" s="142"/>
      <c r="R1989" s="129"/>
      <c r="S1989" s="143"/>
      <c r="T1989" s="144"/>
      <c r="U1989" s="129"/>
      <c r="V1989" s="129"/>
    </row>
    <row r="1990" spans="1:22" x14ac:dyDescent="0.2">
      <c r="A1990" s="144"/>
      <c r="B1990" s="145"/>
      <c r="C1990" s="129"/>
      <c r="D1990" s="129"/>
      <c r="E1990" s="129"/>
      <c r="F1990" s="129"/>
      <c r="G1990" s="144"/>
      <c r="H1990" s="129"/>
      <c r="I1990" s="144"/>
      <c r="J1990" s="144"/>
      <c r="K1990" s="144"/>
      <c r="L1990" s="146"/>
      <c r="M1990" s="142"/>
      <c r="N1990" s="144"/>
      <c r="O1990" s="142"/>
      <c r="P1990" s="142"/>
      <c r="Q1990" s="142"/>
      <c r="R1990" s="129"/>
      <c r="S1990" s="143"/>
      <c r="T1990" s="144"/>
      <c r="U1990" s="129"/>
      <c r="V1990" s="129"/>
    </row>
    <row r="1991" spans="1:22" x14ac:dyDescent="0.2">
      <c r="A1991" s="144"/>
      <c r="B1991" s="145"/>
      <c r="C1991" s="129"/>
      <c r="D1991" s="129"/>
      <c r="E1991" s="129"/>
      <c r="F1991" s="129"/>
      <c r="G1991" s="144"/>
      <c r="H1991" s="129"/>
      <c r="I1991" s="144"/>
      <c r="J1991" s="144"/>
      <c r="K1991" s="144"/>
      <c r="L1991" s="146"/>
      <c r="M1991" s="142"/>
      <c r="N1991" s="144"/>
      <c r="O1991" s="142"/>
      <c r="P1991" s="142"/>
      <c r="Q1991" s="142"/>
      <c r="R1991" s="129"/>
      <c r="S1991" s="143"/>
      <c r="T1991" s="144"/>
      <c r="U1991" s="129"/>
      <c r="V1991" s="129"/>
    </row>
    <row r="1992" spans="1:22" x14ac:dyDescent="0.2">
      <c r="A1992" s="144"/>
      <c r="B1992" s="145"/>
      <c r="C1992" s="129"/>
      <c r="D1992" s="129"/>
      <c r="E1992" s="129"/>
      <c r="F1992" s="129"/>
      <c r="G1992" s="144"/>
      <c r="H1992" s="129"/>
      <c r="I1992" s="144"/>
      <c r="J1992" s="144"/>
      <c r="K1992" s="144"/>
      <c r="L1992" s="146"/>
      <c r="M1992" s="142"/>
      <c r="N1992" s="144"/>
      <c r="O1992" s="142"/>
      <c r="P1992" s="142"/>
      <c r="Q1992" s="142"/>
      <c r="R1992" s="129"/>
      <c r="S1992" s="143"/>
      <c r="T1992" s="144"/>
      <c r="U1992" s="129"/>
      <c r="V1992" s="129"/>
    </row>
    <row r="1993" spans="1:22" x14ac:dyDescent="0.2">
      <c r="A1993" s="144"/>
      <c r="B1993" s="145"/>
      <c r="C1993" s="129"/>
      <c r="D1993" s="129"/>
      <c r="E1993" s="129"/>
      <c r="F1993" s="129"/>
      <c r="G1993" s="144"/>
      <c r="H1993" s="129"/>
      <c r="I1993" s="144"/>
      <c r="J1993" s="144"/>
      <c r="K1993" s="144"/>
      <c r="L1993" s="146"/>
      <c r="M1993" s="142"/>
      <c r="N1993" s="144"/>
      <c r="O1993" s="142"/>
      <c r="P1993" s="142"/>
      <c r="Q1993" s="142"/>
      <c r="R1993" s="129"/>
      <c r="S1993" s="143"/>
      <c r="T1993" s="144"/>
      <c r="U1993" s="129"/>
      <c r="V1993" s="129"/>
    </row>
    <row r="1994" spans="1:22" x14ac:dyDescent="0.2">
      <c r="A1994" s="144"/>
      <c r="B1994" s="145"/>
      <c r="C1994" s="129"/>
      <c r="D1994" s="129"/>
      <c r="E1994" s="129"/>
      <c r="F1994" s="129"/>
      <c r="G1994" s="144"/>
      <c r="H1994" s="129"/>
      <c r="I1994" s="144"/>
      <c r="J1994" s="144"/>
      <c r="K1994" s="144"/>
      <c r="L1994" s="146"/>
      <c r="M1994" s="142"/>
      <c r="N1994" s="144"/>
      <c r="O1994" s="142"/>
      <c r="P1994" s="142"/>
      <c r="Q1994" s="142"/>
      <c r="R1994" s="129"/>
      <c r="S1994" s="143"/>
      <c r="T1994" s="144"/>
      <c r="U1994" s="129"/>
      <c r="V1994" s="129"/>
    </row>
    <row r="1995" spans="1:22" x14ac:dyDescent="0.2">
      <c r="A1995" s="144"/>
      <c r="B1995" s="145"/>
      <c r="C1995" s="129"/>
      <c r="D1995" s="129"/>
      <c r="E1995" s="129"/>
      <c r="F1995" s="129"/>
      <c r="G1995" s="144"/>
      <c r="H1995" s="129"/>
      <c r="I1995" s="144"/>
      <c r="J1995" s="144"/>
      <c r="K1995" s="144"/>
      <c r="L1995" s="146"/>
      <c r="M1995" s="142"/>
      <c r="N1995" s="144"/>
      <c r="O1995" s="142"/>
      <c r="P1995" s="142"/>
      <c r="Q1995" s="142"/>
      <c r="R1995" s="129"/>
      <c r="S1995" s="143"/>
      <c r="T1995" s="144"/>
      <c r="U1995" s="129"/>
      <c r="V1995" s="129"/>
    </row>
    <row r="1996" spans="1:22" x14ac:dyDescent="0.2">
      <c r="A1996" s="144"/>
      <c r="B1996" s="145"/>
      <c r="C1996" s="129"/>
      <c r="D1996" s="129"/>
      <c r="E1996" s="129"/>
      <c r="F1996" s="129"/>
      <c r="G1996" s="144"/>
      <c r="H1996" s="129"/>
      <c r="I1996" s="144"/>
      <c r="J1996" s="144"/>
      <c r="K1996" s="144"/>
      <c r="L1996" s="146"/>
      <c r="M1996" s="142"/>
      <c r="N1996" s="144"/>
      <c r="O1996" s="142"/>
      <c r="P1996" s="142"/>
      <c r="Q1996" s="142"/>
      <c r="R1996" s="129"/>
      <c r="S1996" s="143"/>
      <c r="T1996" s="144"/>
      <c r="U1996" s="129"/>
      <c r="V1996" s="129"/>
    </row>
    <row r="1997" spans="1:22" x14ac:dyDescent="0.2">
      <c r="A1997" s="144"/>
      <c r="B1997" s="145"/>
      <c r="C1997" s="129"/>
      <c r="D1997" s="129"/>
      <c r="E1997" s="129"/>
      <c r="F1997" s="129"/>
      <c r="G1997" s="144"/>
      <c r="H1997" s="129"/>
      <c r="I1997" s="144"/>
      <c r="J1997" s="144"/>
      <c r="K1997" s="144"/>
      <c r="L1997" s="146"/>
      <c r="M1997" s="142"/>
      <c r="N1997" s="144"/>
      <c r="O1997" s="142"/>
      <c r="P1997" s="142"/>
      <c r="Q1997" s="142"/>
      <c r="R1997" s="129"/>
      <c r="S1997" s="143"/>
      <c r="T1997" s="144"/>
      <c r="U1997" s="129"/>
      <c r="V1997" s="129"/>
    </row>
    <row r="1998" spans="1:22" x14ac:dyDescent="0.2">
      <c r="A1998" s="144"/>
      <c r="B1998" s="145"/>
      <c r="C1998" s="129"/>
      <c r="D1998" s="129"/>
      <c r="E1998" s="129"/>
      <c r="F1998" s="129"/>
      <c r="G1998" s="144"/>
      <c r="H1998" s="129"/>
      <c r="I1998" s="144"/>
      <c r="J1998" s="144"/>
      <c r="K1998" s="144"/>
      <c r="L1998" s="146"/>
      <c r="M1998" s="142"/>
      <c r="N1998" s="144"/>
      <c r="O1998" s="142"/>
      <c r="P1998" s="142"/>
      <c r="Q1998" s="142"/>
      <c r="R1998" s="129"/>
      <c r="S1998" s="143"/>
      <c r="T1998" s="144"/>
      <c r="U1998" s="129"/>
      <c r="V1998" s="129"/>
    </row>
    <row r="1999" spans="1:22" x14ac:dyDescent="0.2">
      <c r="A1999" s="144"/>
      <c r="B1999" s="145"/>
      <c r="C1999" s="129"/>
      <c r="D1999" s="129"/>
      <c r="E1999" s="129"/>
      <c r="F1999" s="129"/>
      <c r="G1999" s="144"/>
      <c r="H1999" s="129"/>
      <c r="I1999" s="144"/>
      <c r="J1999" s="144"/>
      <c r="K1999" s="144"/>
      <c r="L1999" s="146"/>
      <c r="M1999" s="142"/>
      <c r="N1999" s="144"/>
      <c r="O1999" s="142"/>
      <c r="P1999" s="142"/>
      <c r="Q1999" s="142"/>
      <c r="R1999" s="129"/>
      <c r="S1999" s="143"/>
      <c r="T1999" s="144"/>
      <c r="U1999" s="129"/>
      <c r="V1999" s="129"/>
    </row>
    <row r="2000" spans="1:22" x14ac:dyDescent="0.2">
      <c r="A2000" s="144"/>
      <c r="B2000" s="145"/>
      <c r="C2000" s="129"/>
      <c r="D2000" s="129"/>
      <c r="E2000" s="129"/>
      <c r="F2000" s="129"/>
      <c r="G2000" s="144"/>
      <c r="H2000" s="129"/>
      <c r="I2000" s="144"/>
      <c r="J2000" s="144"/>
      <c r="K2000" s="144"/>
      <c r="L2000" s="146"/>
      <c r="M2000" s="142"/>
      <c r="N2000" s="144"/>
      <c r="O2000" s="142"/>
      <c r="P2000" s="142"/>
      <c r="Q2000" s="142"/>
      <c r="R2000" s="129"/>
      <c r="S2000" s="143"/>
      <c r="T2000" s="144"/>
      <c r="U2000" s="129"/>
      <c r="V2000" s="129"/>
    </row>
    <row r="2001" spans="1:22" x14ac:dyDescent="0.2">
      <c r="A2001" s="144"/>
      <c r="B2001" s="145"/>
      <c r="C2001" s="129"/>
      <c r="D2001" s="129"/>
      <c r="E2001" s="129"/>
      <c r="F2001" s="129"/>
      <c r="G2001" s="144"/>
      <c r="H2001" s="129"/>
      <c r="I2001" s="144"/>
      <c r="J2001" s="144"/>
      <c r="K2001" s="144"/>
      <c r="L2001" s="146"/>
      <c r="M2001" s="142"/>
      <c r="N2001" s="144"/>
      <c r="O2001" s="142"/>
      <c r="P2001" s="142"/>
      <c r="Q2001" s="142"/>
      <c r="R2001" s="129"/>
      <c r="S2001" s="143"/>
      <c r="T2001" s="144"/>
      <c r="U2001" s="129"/>
      <c r="V2001" s="129"/>
    </row>
    <row r="2002" spans="1:22" x14ac:dyDescent="0.2">
      <c r="A2002" s="144"/>
      <c r="B2002" s="145"/>
      <c r="C2002" s="129"/>
      <c r="D2002" s="129"/>
      <c r="E2002" s="129"/>
      <c r="F2002" s="129"/>
      <c r="G2002" s="144"/>
      <c r="H2002" s="129"/>
      <c r="I2002" s="144"/>
      <c r="J2002" s="144"/>
      <c r="K2002" s="144"/>
      <c r="L2002" s="146"/>
      <c r="M2002" s="142"/>
      <c r="N2002" s="144"/>
      <c r="O2002" s="142"/>
      <c r="P2002" s="142"/>
      <c r="Q2002" s="142"/>
      <c r="R2002" s="129"/>
      <c r="S2002" s="143"/>
      <c r="T2002" s="144"/>
      <c r="U2002" s="129"/>
      <c r="V2002" s="129"/>
    </row>
    <row r="2003" spans="1:22" x14ac:dyDescent="0.2">
      <c r="A2003" s="144"/>
      <c r="B2003" s="145"/>
      <c r="C2003" s="129"/>
      <c r="D2003" s="129"/>
      <c r="E2003" s="129"/>
      <c r="F2003" s="129"/>
      <c r="G2003" s="144"/>
      <c r="H2003" s="129"/>
      <c r="I2003" s="144"/>
      <c r="J2003" s="144"/>
      <c r="K2003" s="144"/>
      <c r="L2003" s="146"/>
      <c r="M2003" s="142"/>
      <c r="N2003" s="144"/>
      <c r="O2003" s="142"/>
      <c r="P2003" s="142"/>
      <c r="Q2003" s="142"/>
      <c r="R2003" s="129"/>
      <c r="S2003" s="143"/>
      <c r="T2003" s="144"/>
      <c r="U2003" s="129"/>
      <c r="V2003" s="129"/>
    </row>
    <row r="2004" spans="1:22" x14ac:dyDescent="0.2">
      <c r="A2004" s="144"/>
      <c r="B2004" s="145"/>
      <c r="C2004" s="129"/>
      <c r="D2004" s="129"/>
      <c r="E2004" s="129"/>
      <c r="F2004" s="129"/>
      <c r="G2004" s="144"/>
      <c r="H2004" s="129"/>
      <c r="I2004" s="144"/>
      <c r="J2004" s="144"/>
      <c r="K2004" s="144"/>
      <c r="L2004" s="146"/>
      <c r="M2004" s="142"/>
      <c r="N2004" s="144"/>
      <c r="O2004" s="142"/>
      <c r="P2004" s="142"/>
      <c r="Q2004" s="142"/>
      <c r="R2004" s="129"/>
      <c r="S2004" s="143"/>
      <c r="T2004" s="144"/>
      <c r="U2004" s="129"/>
      <c r="V2004" s="129"/>
    </row>
    <row r="2005" spans="1:22" x14ac:dyDescent="0.2">
      <c r="A2005" s="144"/>
      <c r="B2005" s="145"/>
      <c r="C2005" s="129"/>
      <c r="D2005" s="129"/>
      <c r="E2005" s="129"/>
      <c r="F2005" s="129"/>
      <c r="G2005" s="144"/>
      <c r="H2005" s="129"/>
      <c r="I2005" s="144"/>
      <c r="J2005" s="144"/>
      <c r="K2005" s="144"/>
      <c r="L2005" s="146"/>
      <c r="M2005" s="142"/>
      <c r="N2005" s="144"/>
      <c r="O2005" s="142"/>
      <c r="P2005" s="142"/>
      <c r="Q2005" s="142"/>
      <c r="R2005" s="129"/>
      <c r="S2005" s="143"/>
      <c r="T2005" s="144"/>
      <c r="U2005" s="129"/>
      <c r="V2005" s="129"/>
    </row>
    <row r="2006" spans="1:22" x14ac:dyDescent="0.2">
      <c r="A2006" s="144"/>
      <c r="B2006" s="145"/>
      <c r="C2006" s="129"/>
      <c r="D2006" s="129"/>
      <c r="E2006" s="129"/>
      <c r="F2006" s="129"/>
      <c r="G2006" s="144"/>
      <c r="H2006" s="129"/>
      <c r="I2006" s="144"/>
      <c r="J2006" s="144"/>
      <c r="K2006" s="144"/>
      <c r="L2006" s="146"/>
      <c r="M2006" s="142"/>
      <c r="N2006" s="144"/>
      <c r="O2006" s="142"/>
      <c r="P2006" s="142"/>
      <c r="Q2006" s="142"/>
      <c r="R2006" s="129"/>
      <c r="S2006" s="143"/>
      <c r="T2006" s="144"/>
      <c r="U2006" s="129"/>
      <c r="V2006" s="129"/>
    </row>
    <row r="2007" spans="1:22" x14ac:dyDescent="0.2">
      <c r="A2007" s="144"/>
      <c r="B2007" s="145"/>
      <c r="C2007" s="129"/>
      <c r="D2007" s="129"/>
      <c r="E2007" s="129"/>
      <c r="F2007" s="129"/>
      <c r="G2007" s="144"/>
      <c r="H2007" s="129"/>
      <c r="I2007" s="144"/>
      <c r="J2007" s="144"/>
      <c r="K2007" s="144"/>
      <c r="L2007" s="146"/>
      <c r="M2007" s="142"/>
      <c r="N2007" s="144"/>
      <c r="O2007" s="142"/>
      <c r="P2007" s="142"/>
      <c r="Q2007" s="142"/>
      <c r="R2007" s="129"/>
      <c r="S2007" s="143"/>
      <c r="T2007" s="144"/>
      <c r="U2007" s="129"/>
      <c r="V2007" s="129"/>
    </row>
    <row r="2008" spans="1:22" x14ac:dyDescent="0.2">
      <c r="A2008" s="144"/>
      <c r="B2008" s="145"/>
      <c r="C2008" s="129"/>
      <c r="D2008" s="129"/>
      <c r="E2008" s="129"/>
      <c r="F2008" s="129"/>
      <c r="G2008" s="144"/>
      <c r="H2008" s="129"/>
      <c r="I2008" s="144"/>
      <c r="J2008" s="144"/>
      <c r="K2008" s="144"/>
      <c r="L2008" s="146"/>
      <c r="M2008" s="142"/>
      <c r="N2008" s="144"/>
      <c r="O2008" s="142"/>
      <c r="P2008" s="142"/>
      <c r="Q2008" s="142"/>
      <c r="R2008" s="129"/>
      <c r="S2008" s="143"/>
      <c r="T2008" s="144"/>
      <c r="U2008" s="129"/>
      <c r="V2008" s="129"/>
    </row>
    <row r="2009" spans="1:22" x14ac:dyDescent="0.2">
      <c r="A2009" s="144"/>
      <c r="B2009" s="145"/>
      <c r="C2009" s="129"/>
      <c r="D2009" s="129"/>
      <c r="E2009" s="129"/>
      <c r="F2009" s="129"/>
      <c r="G2009" s="144"/>
      <c r="H2009" s="129"/>
      <c r="I2009" s="144"/>
      <c r="J2009" s="144"/>
      <c r="K2009" s="144"/>
      <c r="L2009" s="146"/>
      <c r="M2009" s="142"/>
      <c r="N2009" s="144"/>
      <c r="O2009" s="142"/>
      <c r="P2009" s="142"/>
      <c r="Q2009" s="142"/>
      <c r="R2009" s="129"/>
      <c r="S2009" s="143"/>
      <c r="T2009" s="144"/>
      <c r="U2009" s="129"/>
      <c r="V2009" s="129"/>
    </row>
    <row r="2010" spans="1:22" x14ac:dyDescent="0.2">
      <c r="A2010" s="144"/>
      <c r="B2010" s="145"/>
      <c r="C2010" s="129"/>
      <c r="D2010" s="129"/>
      <c r="E2010" s="129"/>
      <c r="F2010" s="129"/>
      <c r="G2010" s="144"/>
      <c r="H2010" s="129"/>
      <c r="I2010" s="144"/>
      <c r="J2010" s="144"/>
      <c r="K2010" s="144"/>
      <c r="L2010" s="146"/>
      <c r="M2010" s="142"/>
      <c r="N2010" s="144"/>
      <c r="O2010" s="142"/>
      <c r="P2010" s="142"/>
      <c r="Q2010" s="142"/>
      <c r="R2010" s="129"/>
      <c r="S2010" s="143"/>
      <c r="T2010" s="144"/>
      <c r="U2010" s="129"/>
      <c r="V2010" s="129"/>
    </row>
    <row r="2011" spans="1:22" x14ac:dyDescent="0.2">
      <c r="A2011" s="144"/>
      <c r="B2011" s="145"/>
      <c r="C2011" s="129"/>
      <c r="D2011" s="129"/>
      <c r="E2011" s="129"/>
      <c r="F2011" s="129"/>
      <c r="G2011" s="144"/>
      <c r="H2011" s="129"/>
      <c r="I2011" s="144"/>
      <c r="J2011" s="144"/>
      <c r="K2011" s="144"/>
      <c r="L2011" s="146"/>
      <c r="M2011" s="142"/>
      <c r="N2011" s="144"/>
      <c r="O2011" s="142"/>
      <c r="P2011" s="142"/>
      <c r="Q2011" s="142"/>
      <c r="R2011" s="129"/>
      <c r="S2011" s="143"/>
      <c r="T2011" s="144"/>
      <c r="U2011" s="129"/>
      <c r="V2011" s="129"/>
    </row>
    <row r="2012" spans="1:22" x14ac:dyDescent="0.2">
      <c r="A2012" s="144"/>
      <c r="B2012" s="145"/>
      <c r="C2012" s="129"/>
      <c r="D2012" s="129"/>
      <c r="E2012" s="129"/>
      <c r="F2012" s="129"/>
      <c r="G2012" s="144"/>
      <c r="H2012" s="129"/>
      <c r="I2012" s="144"/>
      <c r="J2012" s="144"/>
      <c r="K2012" s="144"/>
      <c r="L2012" s="146"/>
      <c r="M2012" s="142"/>
      <c r="N2012" s="144"/>
      <c r="O2012" s="142"/>
      <c r="P2012" s="142"/>
      <c r="Q2012" s="142"/>
      <c r="R2012" s="129"/>
      <c r="S2012" s="143"/>
      <c r="T2012" s="144"/>
      <c r="U2012" s="129"/>
      <c r="V2012" s="129"/>
    </row>
    <row r="2013" spans="1:22" x14ac:dyDescent="0.2">
      <c r="A2013" s="144"/>
      <c r="B2013" s="145"/>
      <c r="C2013" s="129"/>
      <c r="D2013" s="129"/>
      <c r="E2013" s="129"/>
      <c r="F2013" s="129"/>
      <c r="G2013" s="144"/>
      <c r="H2013" s="129"/>
      <c r="I2013" s="144"/>
      <c r="J2013" s="144"/>
      <c r="K2013" s="144"/>
      <c r="L2013" s="146"/>
      <c r="M2013" s="142"/>
      <c r="N2013" s="144"/>
      <c r="O2013" s="142"/>
      <c r="P2013" s="142"/>
      <c r="Q2013" s="142"/>
      <c r="R2013" s="129"/>
      <c r="S2013" s="143"/>
      <c r="T2013" s="144"/>
      <c r="U2013" s="129"/>
      <c r="V2013" s="129"/>
    </row>
    <row r="2014" spans="1:22" x14ac:dyDescent="0.2">
      <c r="A2014" s="144"/>
      <c r="B2014" s="145"/>
      <c r="C2014" s="129"/>
      <c r="D2014" s="129"/>
      <c r="E2014" s="129"/>
      <c r="F2014" s="129"/>
      <c r="G2014" s="144"/>
      <c r="H2014" s="129"/>
      <c r="I2014" s="144"/>
      <c r="J2014" s="144"/>
      <c r="K2014" s="144"/>
      <c r="L2014" s="146"/>
      <c r="M2014" s="142"/>
      <c r="N2014" s="144"/>
      <c r="O2014" s="142"/>
      <c r="P2014" s="142"/>
      <c r="Q2014" s="142"/>
      <c r="R2014" s="129"/>
      <c r="S2014" s="143"/>
      <c r="T2014" s="144"/>
      <c r="U2014" s="129"/>
      <c r="V2014" s="129"/>
    </row>
    <row r="2015" spans="1:22" x14ac:dyDescent="0.2">
      <c r="A2015" s="144"/>
      <c r="B2015" s="145"/>
      <c r="C2015" s="129"/>
      <c r="D2015" s="129"/>
      <c r="E2015" s="129"/>
      <c r="F2015" s="129"/>
      <c r="G2015" s="144"/>
      <c r="H2015" s="129"/>
      <c r="I2015" s="144"/>
      <c r="J2015" s="144"/>
      <c r="K2015" s="144"/>
      <c r="L2015" s="146"/>
      <c r="M2015" s="142"/>
      <c r="N2015" s="144"/>
      <c r="O2015" s="142"/>
      <c r="P2015" s="142"/>
      <c r="Q2015" s="142"/>
      <c r="R2015" s="129"/>
      <c r="S2015" s="143"/>
      <c r="T2015" s="144"/>
      <c r="U2015" s="129"/>
      <c r="V2015" s="129"/>
    </row>
    <row r="2016" spans="1:22" x14ac:dyDescent="0.2">
      <c r="A2016" s="144"/>
      <c r="B2016" s="145"/>
      <c r="C2016" s="129"/>
      <c r="D2016" s="129"/>
      <c r="E2016" s="129"/>
      <c r="F2016" s="129"/>
      <c r="G2016" s="144"/>
      <c r="H2016" s="129"/>
      <c r="I2016" s="144"/>
      <c r="J2016" s="144"/>
      <c r="K2016" s="144"/>
      <c r="L2016" s="146"/>
      <c r="M2016" s="142"/>
      <c r="N2016" s="144"/>
      <c r="O2016" s="142"/>
      <c r="P2016" s="142"/>
      <c r="Q2016" s="142"/>
      <c r="R2016" s="129"/>
      <c r="S2016" s="143"/>
      <c r="T2016" s="144"/>
      <c r="U2016" s="129"/>
      <c r="V2016" s="129"/>
    </row>
    <row r="2017" spans="1:22" x14ac:dyDescent="0.2">
      <c r="A2017" s="144"/>
      <c r="B2017" s="145"/>
      <c r="C2017" s="129"/>
      <c r="D2017" s="129"/>
      <c r="E2017" s="129"/>
      <c r="F2017" s="129"/>
      <c r="G2017" s="144"/>
      <c r="H2017" s="129"/>
      <c r="I2017" s="144"/>
      <c r="J2017" s="144"/>
      <c r="K2017" s="144"/>
      <c r="L2017" s="146"/>
      <c r="M2017" s="142"/>
      <c r="N2017" s="144"/>
      <c r="O2017" s="142"/>
      <c r="P2017" s="142"/>
      <c r="Q2017" s="142"/>
      <c r="R2017" s="129"/>
      <c r="S2017" s="143"/>
      <c r="T2017" s="144"/>
      <c r="U2017" s="129"/>
      <c r="V2017" s="129"/>
    </row>
    <row r="2018" spans="1:22" x14ac:dyDescent="0.2">
      <c r="A2018" s="144"/>
      <c r="B2018" s="145"/>
      <c r="C2018" s="129"/>
      <c r="D2018" s="129"/>
      <c r="E2018" s="129"/>
      <c r="F2018" s="129"/>
      <c r="G2018" s="144"/>
      <c r="H2018" s="129"/>
      <c r="I2018" s="144"/>
      <c r="J2018" s="144"/>
      <c r="K2018" s="144"/>
      <c r="L2018" s="146"/>
      <c r="M2018" s="142"/>
      <c r="N2018" s="144"/>
      <c r="O2018" s="142"/>
      <c r="P2018" s="142"/>
      <c r="Q2018" s="142"/>
      <c r="R2018" s="129"/>
      <c r="S2018" s="143"/>
      <c r="T2018" s="144"/>
      <c r="U2018" s="129"/>
      <c r="V2018" s="129"/>
    </row>
    <row r="2019" spans="1:22" x14ac:dyDescent="0.2">
      <c r="A2019" s="144"/>
      <c r="B2019" s="145"/>
      <c r="C2019" s="129"/>
      <c r="D2019" s="129"/>
      <c r="E2019" s="129"/>
      <c r="F2019" s="129"/>
      <c r="G2019" s="144"/>
      <c r="H2019" s="129"/>
      <c r="I2019" s="144"/>
      <c r="J2019" s="144"/>
      <c r="K2019" s="144"/>
      <c r="L2019" s="146"/>
      <c r="M2019" s="142"/>
      <c r="N2019" s="144"/>
      <c r="O2019" s="142"/>
      <c r="P2019" s="142"/>
      <c r="Q2019" s="142"/>
      <c r="R2019" s="129"/>
      <c r="S2019" s="143"/>
      <c r="T2019" s="144"/>
      <c r="U2019" s="129"/>
      <c r="V2019" s="129"/>
    </row>
    <row r="2020" spans="1:22" x14ac:dyDescent="0.2">
      <c r="A2020" s="144"/>
      <c r="B2020" s="145"/>
      <c r="C2020" s="129"/>
      <c r="D2020" s="129"/>
      <c r="E2020" s="129"/>
      <c r="F2020" s="129"/>
      <c r="G2020" s="144"/>
      <c r="H2020" s="129"/>
      <c r="I2020" s="144"/>
      <c r="J2020" s="144"/>
      <c r="K2020" s="144"/>
      <c r="L2020" s="146"/>
      <c r="M2020" s="142"/>
      <c r="N2020" s="144"/>
      <c r="O2020" s="142"/>
      <c r="P2020" s="142"/>
      <c r="Q2020" s="142"/>
      <c r="R2020" s="129"/>
      <c r="S2020" s="143"/>
      <c r="T2020" s="144"/>
      <c r="U2020" s="129"/>
      <c r="V2020" s="129"/>
    </row>
    <row r="2021" spans="1:22" x14ac:dyDescent="0.2">
      <c r="A2021" s="144"/>
      <c r="B2021" s="145"/>
      <c r="C2021" s="129"/>
      <c r="D2021" s="129"/>
      <c r="E2021" s="129"/>
      <c r="F2021" s="129"/>
      <c r="G2021" s="144"/>
      <c r="H2021" s="129"/>
      <c r="I2021" s="144"/>
      <c r="J2021" s="144"/>
      <c r="K2021" s="144"/>
      <c r="L2021" s="146"/>
      <c r="M2021" s="142"/>
      <c r="N2021" s="144"/>
      <c r="O2021" s="142"/>
      <c r="P2021" s="142"/>
      <c r="Q2021" s="142"/>
      <c r="R2021" s="129"/>
      <c r="S2021" s="143"/>
      <c r="T2021" s="144"/>
      <c r="U2021" s="129"/>
      <c r="V2021" s="129"/>
    </row>
    <row r="2022" spans="1:22" x14ac:dyDescent="0.2">
      <c r="A2022" s="144"/>
      <c r="B2022" s="145"/>
      <c r="C2022" s="129"/>
      <c r="D2022" s="129"/>
      <c r="E2022" s="129"/>
      <c r="F2022" s="129"/>
      <c r="G2022" s="144"/>
      <c r="H2022" s="129"/>
      <c r="I2022" s="144"/>
      <c r="J2022" s="144"/>
      <c r="K2022" s="144"/>
      <c r="L2022" s="146"/>
      <c r="M2022" s="142"/>
      <c r="N2022" s="144"/>
      <c r="O2022" s="142"/>
      <c r="P2022" s="142"/>
      <c r="Q2022" s="142"/>
      <c r="R2022" s="129"/>
      <c r="S2022" s="143"/>
      <c r="T2022" s="144"/>
      <c r="U2022" s="129"/>
      <c r="V2022" s="129"/>
    </row>
    <row r="2023" spans="1:22" x14ac:dyDescent="0.2">
      <c r="A2023" s="144"/>
      <c r="B2023" s="145"/>
      <c r="C2023" s="129"/>
      <c r="D2023" s="129"/>
      <c r="E2023" s="129"/>
      <c r="F2023" s="129"/>
      <c r="G2023" s="144"/>
      <c r="H2023" s="129"/>
      <c r="I2023" s="144"/>
      <c r="J2023" s="144"/>
      <c r="K2023" s="144"/>
      <c r="L2023" s="146"/>
      <c r="M2023" s="142"/>
      <c r="N2023" s="144"/>
      <c r="O2023" s="142"/>
      <c r="P2023" s="142"/>
      <c r="Q2023" s="142"/>
      <c r="R2023" s="129"/>
      <c r="S2023" s="143"/>
      <c r="T2023" s="144"/>
      <c r="U2023" s="129"/>
      <c r="V2023" s="129"/>
    </row>
    <row r="2024" spans="1:22" x14ac:dyDescent="0.2">
      <c r="A2024" s="144"/>
      <c r="B2024" s="145"/>
      <c r="C2024" s="129"/>
      <c r="D2024" s="129"/>
      <c r="E2024" s="129"/>
      <c r="F2024" s="129"/>
      <c r="G2024" s="144"/>
      <c r="H2024" s="129"/>
      <c r="I2024" s="144"/>
      <c r="J2024" s="144"/>
      <c r="K2024" s="144"/>
      <c r="L2024" s="146"/>
      <c r="M2024" s="142"/>
      <c r="N2024" s="144"/>
      <c r="O2024" s="142"/>
      <c r="P2024" s="142"/>
      <c r="Q2024" s="142"/>
      <c r="R2024" s="129"/>
      <c r="S2024" s="143"/>
      <c r="T2024" s="144"/>
      <c r="U2024" s="129"/>
      <c r="V2024" s="129"/>
    </row>
    <row r="2025" spans="1:22" x14ac:dyDescent="0.2">
      <c r="A2025" s="144"/>
      <c r="B2025" s="145"/>
      <c r="C2025" s="129"/>
      <c r="D2025" s="129"/>
      <c r="E2025" s="129"/>
      <c r="F2025" s="129"/>
      <c r="G2025" s="144"/>
      <c r="H2025" s="129"/>
      <c r="I2025" s="144"/>
      <c r="J2025" s="144"/>
      <c r="K2025" s="144"/>
      <c r="L2025" s="146"/>
      <c r="M2025" s="142"/>
      <c r="N2025" s="144"/>
      <c r="O2025" s="142"/>
      <c r="P2025" s="142"/>
      <c r="Q2025" s="142"/>
      <c r="R2025" s="129"/>
      <c r="S2025" s="143"/>
      <c r="T2025" s="144"/>
      <c r="U2025" s="129"/>
      <c r="V2025" s="129"/>
    </row>
    <row r="2026" spans="1:22" x14ac:dyDescent="0.2">
      <c r="A2026" s="144"/>
      <c r="B2026" s="145"/>
      <c r="C2026" s="129"/>
      <c r="D2026" s="129"/>
      <c r="E2026" s="129"/>
      <c r="F2026" s="129"/>
      <c r="G2026" s="144"/>
      <c r="H2026" s="129"/>
      <c r="I2026" s="144"/>
      <c r="J2026" s="144"/>
      <c r="K2026" s="144"/>
      <c r="L2026" s="146"/>
      <c r="M2026" s="142"/>
      <c r="N2026" s="144"/>
      <c r="O2026" s="142"/>
      <c r="P2026" s="142"/>
      <c r="Q2026" s="142"/>
      <c r="R2026" s="129"/>
      <c r="S2026" s="143"/>
      <c r="T2026" s="144"/>
      <c r="U2026" s="129"/>
      <c r="V2026" s="129"/>
    </row>
    <row r="2027" spans="1:22" x14ac:dyDescent="0.2">
      <c r="A2027" s="144"/>
      <c r="B2027" s="145"/>
      <c r="C2027" s="129"/>
      <c r="D2027" s="129"/>
      <c r="E2027" s="129"/>
      <c r="F2027" s="129"/>
      <c r="G2027" s="144"/>
      <c r="H2027" s="129"/>
      <c r="I2027" s="144"/>
      <c r="J2027" s="144"/>
      <c r="K2027" s="144"/>
      <c r="L2027" s="146"/>
      <c r="M2027" s="142"/>
      <c r="N2027" s="144"/>
      <c r="O2027" s="142"/>
      <c r="P2027" s="142"/>
      <c r="Q2027" s="142"/>
      <c r="R2027" s="129"/>
      <c r="S2027" s="143"/>
      <c r="T2027" s="144"/>
      <c r="U2027" s="129"/>
      <c r="V2027" s="129"/>
    </row>
    <row r="2028" spans="1:22" x14ac:dyDescent="0.2">
      <c r="A2028" s="144"/>
      <c r="B2028" s="145"/>
      <c r="C2028" s="129"/>
      <c r="D2028" s="129"/>
      <c r="E2028" s="129"/>
      <c r="F2028" s="129"/>
      <c r="G2028" s="144"/>
      <c r="H2028" s="129"/>
      <c r="I2028" s="144"/>
      <c r="J2028" s="144"/>
      <c r="K2028" s="144"/>
      <c r="L2028" s="146"/>
      <c r="M2028" s="142"/>
      <c r="N2028" s="144"/>
      <c r="O2028" s="142"/>
      <c r="P2028" s="142"/>
      <c r="Q2028" s="142"/>
      <c r="R2028" s="129"/>
      <c r="S2028" s="143"/>
      <c r="T2028" s="144"/>
      <c r="U2028" s="129"/>
      <c r="V2028" s="129"/>
    </row>
    <row r="2029" spans="1:22" x14ac:dyDescent="0.2">
      <c r="A2029" s="144"/>
      <c r="B2029" s="145"/>
      <c r="C2029" s="129"/>
      <c r="D2029" s="129"/>
      <c r="E2029" s="129"/>
      <c r="F2029" s="129"/>
      <c r="G2029" s="144"/>
      <c r="H2029" s="129"/>
      <c r="I2029" s="144"/>
      <c r="J2029" s="144"/>
      <c r="K2029" s="144"/>
      <c r="L2029" s="146"/>
      <c r="M2029" s="142"/>
      <c r="N2029" s="144"/>
      <c r="O2029" s="142"/>
      <c r="P2029" s="142"/>
      <c r="Q2029" s="142"/>
      <c r="R2029" s="129"/>
      <c r="S2029" s="143"/>
      <c r="T2029" s="144"/>
      <c r="U2029" s="129"/>
      <c r="V2029" s="129"/>
    </row>
    <row r="2030" spans="1:22" x14ac:dyDescent="0.2">
      <c r="A2030" s="144"/>
      <c r="B2030" s="145"/>
      <c r="C2030" s="129"/>
      <c r="D2030" s="129"/>
      <c r="E2030" s="129"/>
      <c r="F2030" s="129"/>
      <c r="G2030" s="144"/>
      <c r="H2030" s="129"/>
      <c r="I2030" s="144"/>
      <c r="J2030" s="144"/>
      <c r="K2030" s="144"/>
      <c r="L2030" s="146"/>
      <c r="M2030" s="142"/>
      <c r="N2030" s="144"/>
      <c r="O2030" s="142"/>
      <c r="P2030" s="142"/>
      <c r="Q2030" s="142"/>
      <c r="R2030" s="129"/>
      <c r="S2030" s="143"/>
      <c r="T2030" s="144"/>
      <c r="U2030" s="129"/>
      <c r="V2030" s="129"/>
    </row>
    <row r="2031" spans="1:22" x14ac:dyDescent="0.2">
      <c r="A2031" s="144"/>
      <c r="B2031" s="145"/>
      <c r="C2031" s="129"/>
      <c r="D2031" s="129"/>
      <c r="E2031" s="129"/>
      <c r="F2031" s="129"/>
      <c r="G2031" s="144"/>
      <c r="H2031" s="129"/>
      <c r="I2031" s="144"/>
      <c r="J2031" s="144"/>
      <c r="K2031" s="144"/>
      <c r="L2031" s="146"/>
      <c r="M2031" s="142"/>
      <c r="N2031" s="144"/>
      <c r="O2031" s="142"/>
      <c r="P2031" s="142"/>
      <c r="Q2031" s="142"/>
      <c r="R2031" s="129"/>
      <c r="S2031" s="143"/>
      <c r="T2031" s="144"/>
      <c r="U2031" s="129"/>
      <c r="V2031" s="129"/>
    </row>
    <row r="2032" spans="1:22" x14ac:dyDescent="0.2">
      <c r="A2032" s="144"/>
      <c r="B2032" s="145"/>
      <c r="C2032" s="129"/>
      <c r="D2032" s="129"/>
      <c r="E2032" s="129"/>
      <c r="F2032" s="129"/>
      <c r="G2032" s="144"/>
      <c r="H2032" s="129"/>
      <c r="I2032" s="144"/>
      <c r="J2032" s="144"/>
      <c r="K2032" s="144"/>
      <c r="L2032" s="146"/>
      <c r="M2032" s="142"/>
      <c r="N2032" s="144"/>
      <c r="O2032" s="142"/>
      <c r="P2032" s="142"/>
      <c r="Q2032" s="142"/>
      <c r="R2032" s="129"/>
      <c r="S2032" s="143"/>
      <c r="T2032" s="144"/>
      <c r="U2032" s="129"/>
      <c r="V2032" s="129"/>
    </row>
    <row r="2033" spans="1:22" x14ac:dyDescent="0.2">
      <c r="A2033" s="144"/>
      <c r="B2033" s="145"/>
      <c r="C2033" s="129"/>
      <c r="D2033" s="129"/>
      <c r="E2033" s="129"/>
      <c r="F2033" s="129"/>
      <c r="G2033" s="144"/>
      <c r="H2033" s="129"/>
      <c r="I2033" s="144"/>
      <c r="J2033" s="144"/>
      <c r="K2033" s="144"/>
      <c r="L2033" s="146"/>
      <c r="M2033" s="142"/>
      <c r="N2033" s="144"/>
      <c r="O2033" s="142"/>
      <c r="P2033" s="142"/>
      <c r="Q2033" s="142"/>
      <c r="R2033" s="129"/>
      <c r="S2033" s="143"/>
      <c r="T2033" s="144"/>
      <c r="U2033" s="129"/>
      <c r="V2033" s="129"/>
    </row>
    <row r="2034" spans="1:22" x14ac:dyDescent="0.2">
      <c r="A2034" s="144"/>
      <c r="B2034" s="145"/>
      <c r="C2034" s="129"/>
      <c r="D2034" s="129"/>
      <c r="E2034" s="129"/>
      <c r="F2034" s="129"/>
      <c r="G2034" s="144"/>
      <c r="H2034" s="129"/>
      <c r="I2034" s="144"/>
      <c r="J2034" s="144"/>
      <c r="K2034" s="144"/>
      <c r="L2034" s="146"/>
      <c r="M2034" s="142"/>
      <c r="N2034" s="144"/>
      <c r="O2034" s="142"/>
      <c r="P2034" s="142"/>
      <c r="Q2034" s="142"/>
      <c r="R2034" s="129"/>
      <c r="S2034" s="143"/>
      <c r="T2034" s="144"/>
      <c r="U2034" s="129"/>
      <c r="V2034" s="129"/>
    </row>
    <row r="2035" spans="1:22" x14ac:dyDescent="0.2">
      <c r="A2035" s="144"/>
      <c r="B2035" s="145"/>
      <c r="C2035" s="129"/>
      <c r="D2035" s="129"/>
      <c r="E2035" s="129"/>
      <c r="F2035" s="129"/>
      <c r="G2035" s="144"/>
      <c r="H2035" s="129"/>
      <c r="I2035" s="144"/>
      <c r="J2035" s="144"/>
      <c r="K2035" s="144"/>
      <c r="L2035" s="146"/>
      <c r="M2035" s="142"/>
      <c r="N2035" s="144"/>
      <c r="O2035" s="142"/>
      <c r="P2035" s="142"/>
      <c r="Q2035" s="142"/>
      <c r="R2035" s="129"/>
      <c r="S2035" s="143"/>
      <c r="T2035" s="144"/>
      <c r="U2035" s="129"/>
      <c r="V2035" s="129"/>
    </row>
    <row r="2036" spans="1:22" x14ac:dyDescent="0.2">
      <c r="A2036" s="144"/>
      <c r="B2036" s="145"/>
      <c r="C2036" s="129"/>
      <c r="D2036" s="129"/>
      <c r="E2036" s="129"/>
      <c r="F2036" s="129"/>
      <c r="G2036" s="144"/>
      <c r="H2036" s="129"/>
      <c r="I2036" s="144"/>
      <c r="J2036" s="144"/>
      <c r="K2036" s="144"/>
      <c r="L2036" s="146"/>
      <c r="M2036" s="142"/>
      <c r="N2036" s="144"/>
      <c r="O2036" s="142"/>
      <c r="P2036" s="142"/>
      <c r="Q2036" s="142"/>
      <c r="R2036" s="129"/>
      <c r="S2036" s="143"/>
      <c r="T2036" s="144"/>
      <c r="U2036" s="129"/>
      <c r="V2036" s="129"/>
    </row>
    <row r="2037" spans="1:22" x14ac:dyDescent="0.2">
      <c r="A2037" s="144"/>
      <c r="B2037" s="145"/>
      <c r="C2037" s="129"/>
      <c r="D2037" s="129"/>
      <c r="E2037" s="129"/>
      <c r="F2037" s="129"/>
      <c r="G2037" s="144"/>
      <c r="H2037" s="129"/>
      <c r="I2037" s="144"/>
      <c r="J2037" s="144"/>
      <c r="K2037" s="144"/>
      <c r="L2037" s="146"/>
      <c r="M2037" s="142"/>
      <c r="N2037" s="144"/>
      <c r="O2037" s="142"/>
      <c r="P2037" s="142"/>
      <c r="Q2037" s="142"/>
      <c r="R2037" s="129"/>
      <c r="S2037" s="143"/>
      <c r="T2037" s="144"/>
      <c r="U2037" s="129"/>
      <c r="V2037" s="129"/>
    </row>
    <row r="2038" spans="1:22" x14ac:dyDescent="0.2">
      <c r="A2038" s="144"/>
      <c r="B2038" s="145"/>
      <c r="C2038" s="129"/>
      <c r="D2038" s="129"/>
      <c r="E2038" s="129"/>
      <c r="F2038" s="129"/>
      <c r="G2038" s="144"/>
      <c r="H2038" s="129"/>
      <c r="I2038" s="144"/>
      <c r="J2038" s="144"/>
      <c r="K2038" s="144"/>
      <c r="L2038" s="146"/>
      <c r="M2038" s="142"/>
      <c r="N2038" s="144"/>
      <c r="O2038" s="142"/>
      <c r="P2038" s="142"/>
      <c r="Q2038" s="142"/>
      <c r="R2038" s="129"/>
      <c r="S2038" s="143"/>
      <c r="T2038" s="144"/>
      <c r="U2038" s="129"/>
      <c r="V2038" s="129"/>
    </row>
    <row r="2039" spans="1:22" x14ac:dyDescent="0.2">
      <c r="A2039" s="144"/>
      <c r="B2039" s="145"/>
      <c r="C2039" s="129"/>
      <c r="D2039" s="129"/>
      <c r="E2039" s="129"/>
      <c r="F2039" s="129"/>
      <c r="G2039" s="144"/>
      <c r="H2039" s="129"/>
      <c r="I2039" s="144"/>
      <c r="J2039" s="144"/>
      <c r="K2039" s="144"/>
      <c r="L2039" s="146"/>
      <c r="M2039" s="142"/>
      <c r="N2039" s="144"/>
      <c r="O2039" s="142"/>
      <c r="P2039" s="142"/>
      <c r="Q2039" s="142"/>
      <c r="R2039" s="129"/>
      <c r="S2039" s="143"/>
      <c r="T2039" s="144"/>
      <c r="U2039" s="129"/>
      <c r="V2039" s="129"/>
    </row>
    <row r="2040" spans="1:22" x14ac:dyDescent="0.2">
      <c r="A2040" s="144"/>
      <c r="B2040" s="145"/>
      <c r="C2040" s="129"/>
      <c r="D2040" s="129"/>
      <c r="E2040" s="129"/>
      <c r="F2040" s="129"/>
      <c r="G2040" s="144"/>
      <c r="H2040" s="129"/>
      <c r="I2040" s="144"/>
      <c r="J2040" s="144"/>
      <c r="K2040" s="144"/>
      <c r="L2040" s="146"/>
      <c r="M2040" s="142"/>
      <c r="N2040" s="144"/>
      <c r="O2040" s="142"/>
      <c r="P2040" s="142"/>
      <c r="Q2040" s="142"/>
      <c r="R2040" s="129"/>
      <c r="S2040" s="143"/>
      <c r="T2040" s="144"/>
      <c r="U2040" s="129"/>
      <c r="V2040" s="129"/>
    </row>
    <row r="2041" spans="1:22" x14ac:dyDescent="0.2">
      <c r="A2041" s="144"/>
      <c r="B2041" s="145"/>
      <c r="C2041" s="129"/>
      <c r="D2041" s="129"/>
      <c r="E2041" s="129"/>
      <c r="F2041" s="129"/>
      <c r="G2041" s="144"/>
      <c r="H2041" s="129"/>
      <c r="I2041" s="144"/>
      <c r="J2041" s="144"/>
      <c r="K2041" s="144"/>
      <c r="L2041" s="146"/>
      <c r="M2041" s="142"/>
      <c r="N2041" s="144"/>
      <c r="O2041" s="142"/>
      <c r="P2041" s="142"/>
      <c r="Q2041" s="142"/>
      <c r="R2041" s="129"/>
      <c r="S2041" s="143"/>
      <c r="T2041" s="144"/>
      <c r="U2041" s="129"/>
      <c r="V2041" s="129"/>
    </row>
    <row r="2042" spans="1:22" x14ac:dyDescent="0.2">
      <c r="A2042" s="144"/>
      <c r="B2042" s="145"/>
      <c r="C2042" s="129"/>
      <c r="D2042" s="129"/>
      <c r="E2042" s="129"/>
      <c r="F2042" s="129"/>
      <c r="G2042" s="144"/>
      <c r="H2042" s="129"/>
      <c r="I2042" s="144"/>
      <c r="J2042" s="144"/>
      <c r="K2042" s="144"/>
      <c r="L2042" s="146"/>
      <c r="M2042" s="142"/>
      <c r="N2042" s="144"/>
      <c r="O2042" s="142"/>
      <c r="P2042" s="142"/>
      <c r="Q2042" s="142"/>
      <c r="R2042" s="129"/>
      <c r="S2042" s="143"/>
      <c r="T2042" s="144"/>
      <c r="U2042" s="129"/>
      <c r="V2042" s="129"/>
    </row>
    <row r="2043" spans="1:22" x14ac:dyDescent="0.2">
      <c r="A2043" s="144"/>
      <c r="B2043" s="145"/>
      <c r="C2043" s="129"/>
      <c r="D2043" s="129"/>
      <c r="E2043" s="129"/>
      <c r="F2043" s="129"/>
      <c r="G2043" s="144"/>
      <c r="H2043" s="129"/>
      <c r="I2043" s="144"/>
      <c r="J2043" s="144"/>
      <c r="K2043" s="144"/>
      <c r="L2043" s="146"/>
      <c r="M2043" s="142"/>
      <c r="N2043" s="144"/>
      <c r="O2043" s="142"/>
      <c r="P2043" s="142"/>
      <c r="Q2043" s="142"/>
      <c r="R2043" s="129"/>
      <c r="S2043" s="143"/>
      <c r="T2043" s="144"/>
      <c r="U2043" s="129"/>
      <c r="V2043" s="129"/>
    </row>
    <row r="2044" spans="1:22" x14ac:dyDescent="0.2">
      <c r="A2044" s="144"/>
      <c r="B2044" s="145"/>
      <c r="C2044" s="129"/>
      <c r="D2044" s="129"/>
      <c r="E2044" s="129"/>
      <c r="F2044" s="129"/>
      <c r="G2044" s="144"/>
      <c r="H2044" s="129"/>
      <c r="I2044" s="144"/>
      <c r="J2044" s="144"/>
      <c r="K2044" s="144"/>
      <c r="L2044" s="146"/>
      <c r="M2044" s="142"/>
      <c r="N2044" s="144"/>
      <c r="O2044" s="142"/>
      <c r="P2044" s="142"/>
      <c r="Q2044" s="142"/>
      <c r="R2044" s="129"/>
      <c r="S2044" s="143"/>
      <c r="T2044" s="144"/>
      <c r="U2044" s="129"/>
      <c r="V2044" s="129"/>
    </row>
    <row r="2045" spans="1:22" x14ac:dyDescent="0.2">
      <c r="A2045" s="144"/>
      <c r="B2045" s="145"/>
      <c r="C2045" s="129"/>
      <c r="D2045" s="129"/>
      <c r="E2045" s="129"/>
      <c r="F2045" s="129"/>
      <c r="G2045" s="144"/>
      <c r="H2045" s="129"/>
      <c r="I2045" s="144"/>
      <c r="J2045" s="144"/>
      <c r="K2045" s="144"/>
      <c r="L2045" s="146"/>
      <c r="M2045" s="142"/>
      <c r="N2045" s="144"/>
      <c r="O2045" s="142"/>
      <c r="P2045" s="142"/>
      <c r="Q2045" s="142"/>
      <c r="R2045" s="129"/>
      <c r="S2045" s="143"/>
      <c r="T2045" s="144"/>
      <c r="U2045" s="129"/>
      <c r="V2045" s="129"/>
    </row>
    <row r="2046" spans="1:22" x14ac:dyDescent="0.2">
      <c r="A2046" s="144"/>
      <c r="B2046" s="145"/>
      <c r="C2046" s="129"/>
      <c r="D2046" s="129"/>
      <c r="E2046" s="129"/>
      <c r="F2046" s="129"/>
      <c r="G2046" s="144"/>
      <c r="H2046" s="129"/>
      <c r="I2046" s="144"/>
      <c r="J2046" s="144"/>
      <c r="K2046" s="144"/>
      <c r="L2046" s="146"/>
      <c r="M2046" s="142"/>
      <c r="N2046" s="144"/>
      <c r="O2046" s="142"/>
      <c r="P2046" s="142"/>
      <c r="Q2046" s="142"/>
      <c r="R2046" s="129"/>
      <c r="S2046" s="143"/>
      <c r="T2046" s="144"/>
      <c r="U2046" s="129"/>
      <c r="V2046" s="129"/>
    </row>
    <row r="2047" spans="1:22" x14ac:dyDescent="0.2">
      <c r="A2047" s="144"/>
      <c r="B2047" s="145"/>
      <c r="C2047" s="129"/>
      <c r="D2047" s="129"/>
      <c r="E2047" s="129"/>
      <c r="F2047" s="129"/>
      <c r="G2047" s="144"/>
      <c r="H2047" s="129"/>
      <c r="I2047" s="144"/>
      <c r="J2047" s="144"/>
      <c r="K2047" s="144"/>
      <c r="L2047" s="146"/>
      <c r="M2047" s="142"/>
      <c r="N2047" s="144"/>
      <c r="O2047" s="142"/>
      <c r="P2047" s="142"/>
      <c r="Q2047" s="142"/>
      <c r="R2047" s="129"/>
      <c r="S2047" s="143"/>
      <c r="T2047" s="144"/>
      <c r="U2047" s="129"/>
      <c r="V2047" s="129"/>
    </row>
    <row r="2048" spans="1:22" x14ac:dyDescent="0.2">
      <c r="A2048" s="144"/>
      <c r="B2048" s="145"/>
      <c r="C2048" s="129"/>
      <c r="D2048" s="129"/>
      <c r="E2048" s="129"/>
      <c r="F2048" s="129"/>
      <c r="G2048" s="144"/>
      <c r="H2048" s="129"/>
      <c r="I2048" s="144"/>
      <c r="J2048" s="144"/>
      <c r="K2048" s="144"/>
      <c r="L2048" s="146"/>
      <c r="M2048" s="142"/>
      <c r="N2048" s="144"/>
      <c r="O2048" s="142"/>
      <c r="P2048" s="142"/>
      <c r="Q2048" s="142"/>
      <c r="R2048" s="129"/>
      <c r="S2048" s="143"/>
      <c r="T2048" s="144"/>
      <c r="U2048" s="129"/>
      <c r="V2048" s="129"/>
    </row>
    <row r="2049" spans="1:22" x14ac:dyDescent="0.2">
      <c r="A2049" s="144"/>
      <c r="B2049" s="145"/>
      <c r="C2049" s="129"/>
      <c r="D2049" s="129"/>
      <c r="E2049" s="129"/>
      <c r="F2049" s="129"/>
      <c r="G2049" s="144"/>
      <c r="H2049" s="129"/>
      <c r="I2049" s="144"/>
      <c r="J2049" s="144"/>
      <c r="K2049" s="144"/>
      <c r="L2049" s="146"/>
      <c r="M2049" s="142"/>
      <c r="N2049" s="144"/>
      <c r="O2049" s="142"/>
      <c r="P2049" s="142"/>
      <c r="Q2049" s="142"/>
      <c r="R2049" s="129"/>
      <c r="S2049" s="143"/>
      <c r="T2049" s="144"/>
      <c r="U2049" s="129"/>
      <c r="V2049" s="129"/>
    </row>
    <row r="2050" spans="1:22" x14ac:dyDescent="0.2">
      <c r="A2050" s="144"/>
      <c r="B2050" s="145"/>
      <c r="C2050" s="129"/>
      <c r="D2050" s="129"/>
      <c r="E2050" s="129"/>
      <c r="F2050" s="129"/>
      <c r="G2050" s="144"/>
      <c r="H2050" s="129"/>
      <c r="I2050" s="144"/>
      <c r="J2050" s="144"/>
      <c r="K2050" s="144"/>
      <c r="L2050" s="146"/>
      <c r="M2050" s="142"/>
      <c r="N2050" s="144"/>
      <c r="O2050" s="142"/>
      <c r="P2050" s="142"/>
      <c r="Q2050" s="142"/>
      <c r="R2050" s="129"/>
      <c r="S2050" s="143"/>
      <c r="T2050" s="144"/>
      <c r="U2050" s="129"/>
      <c r="V2050" s="129"/>
    </row>
    <row r="2051" spans="1:22" x14ac:dyDescent="0.2">
      <c r="A2051" s="144"/>
      <c r="B2051" s="145"/>
      <c r="C2051" s="129"/>
      <c r="D2051" s="129"/>
      <c r="E2051" s="129"/>
      <c r="F2051" s="129"/>
      <c r="G2051" s="144"/>
      <c r="H2051" s="129"/>
      <c r="I2051" s="144"/>
      <c r="J2051" s="144"/>
      <c r="K2051" s="144"/>
      <c r="L2051" s="146"/>
      <c r="M2051" s="142"/>
      <c r="N2051" s="144"/>
      <c r="O2051" s="142"/>
      <c r="P2051" s="142"/>
      <c r="Q2051" s="142"/>
      <c r="R2051" s="129"/>
      <c r="S2051" s="143"/>
      <c r="T2051" s="144"/>
      <c r="U2051" s="129"/>
      <c r="V2051" s="129"/>
    </row>
    <row r="2052" spans="1:22" x14ac:dyDescent="0.2">
      <c r="A2052" s="144"/>
      <c r="B2052" s="145"/>
      <c r="C2052" s="129"/>
      <c r="D2052" s="129"/>
      <c r="E2052" s="129"/>
      <c r="F2052" s="129"/>
      <c r="G2052" s="144"/>
      <c r="H2052" s="129"/>
      <c r="I2052" s="144"/>
      <c r="J2052" s="144"/>
      <c r="K2052" s="144"/>
      <c r="L2052" s="146"/>
      <c r="M2052" s="142"/>
      <c r="N2052" s="144"/>
      <c r="O2052" s="142"/>
      <c r="P2052" s="142"/>
      <c r="Q2052" s="142"/>
      <c r="R2052" s="129"/>
      <c r="S2052" s="143"/>
      <c r="T2052" s="144"/>
      <c r="U2052" s="129"/>
      <c r="V2052" s="129"/>
    </row>
    <row r="2053" spans="1:22" x14ac:dyDescent="0.2">
      <c r="A2053" s="144"/>
      <c r="B2053" s="145"/>
      <c r="C2053" s="129"/>
      <c r="D2053" s="129"/>
      <c r="E2053" s="129"/>
      <c r="F2053" s="129"/>
      <c r="G2053" s="144"/>
      <c r="H2053" s="129"/>
      <c r="I2053" s="144"/>
      <c r="J2053" s="144"/>
      <c r="K2053" s="144"/>
      <c r="L2053" s="146"/>
      <c r="M2053" s="142"/>
      <c r="N2053" s="144"/>
      <c r="O2053" s="142"/>
      <c r="P2053" s="142"/>
      <c r="Q2053" s="142"/>
      <c r="R2053" s="129"/>
      <c r="S2053" s="143"/>
      <c r="T2053" s="144"/>
      <c r="U2053" s="129"/>
      <c r="V2053" s="129"/>
    </row>
    <row r="2054" spans="1:22" x14ac:dyDescent="0.2">
      <c r="A2054" s="144"/>
      <c r="B2054" s="145"/>
      <c r="C2054" s="129"/>
      <c r="D2054" s="129"/>
      <c r="E2054" s="129"/>
      <c r="F2054" s="129"/>
      <c r="G2054" s="144"/>
      <c r="H2054" s="129"/>
      <c r="I2054" s="144"/>
      <c r="J2054" s="144"/>
      <c r="K2054" s="144"/>
      <c r="L2054" s="146"/>
      <c r="M2054" s="142"/>
      <c r="N2054" s="144"/>
      <c r="O2054" s="142"/>
      <c r="P2054" s="142"/>
      <c r="Q2054" s="142"/>
      <c r="R2054" s="129"/>
      <c r="S2054" s="143"/>
      <c r="T2054" s="144"/>
      <c r="U2054" s="129"/>
      <c r="V2054" s="129"/>
    </row>
    <row r="2055" spans="1:22" x14ac:dyDescent="0.2">
      <c r="A2055" s="144"/>
      <c r="B2055" s="145"/>
      <c r="C2055" s="129"/>
      <c r="D2055" s="129"/>
      <c r="E2055" s="129"/>
      <c r="F2055" s="129"/>
      <c r="G2055" s="144"/>
      <c r="H2055" s="129"/>
      <c r="I2055" s="144"/>
      <c r="J2055" s="144"/>
      <c r="K2055" s="144"/>
      <c r="L2055" s="146"/>
      <c r="M2055" s="142"/>
      <c r="N2055" s="144"/>
      <c r="O2055" s="142"/>
      <c r="P2055" s="142"/>
      <c r="Q2055" s="142"/>
      <c r="R2055" s="129"/>
      <c r="S2055" s="143"/>
      <c r="T2055" s="144"/>
      <c r="U2055" s="129"/>
      <c r="V2055" s="129"/>
    </row>
    <row r="2056" spans="1:22" x14ac:dyDescent="0.2">
      <c r="A2056" s="144"/>
      <c r="B2056" s="145"/>
      <c r="C2056" s="129"/>
      <c r="D2056" s="129"/>
      <c r="E2056" s="129"/>
      <c r="F2056" s="129"/>
      <c r="G2056" s="144"/>
      <c r="H2056" s="129"/>
      <c r="I2056" s="144"/>
      <c r="J2056" s="144"/>
      <c r="K2056" s="144"/>
      <c r="L2056" s="146"/>
      <c r="M2056" s="142"/>
      <c r="N2056" s="144"/>
      <c r="O2056" s="142"/>
      <c r="P2056" s="142"/>
      <c r="Q2056" s="142"/>
      <c r="R2056" s="129"/>
      <c r="S2056" s="143"/>
      <c r="T2056" s="144"/>
      <c r="U2056" s="129"/>
      <c r="V2056" s="129"/>
    </row>
    <row r="2057" spans="1:22" x14ac:dyDescent="0.2">
      <c r="A2057" s="144"/>
      <c r="B2057" s="145"/>
      <c r="C2057" s="129"/>
      <c r="D2057" s="129"/>
      <c r="E2057" s="129"/>
      <c r="F2057" s="129"/>
      <c r="G2057" s="144"/>
      <c r="H2057" s="129"/>
      <c r="I2057" s="144"/>
      <c r="J2057" s="144"/>
      <c r="K2057" s="144"/>
      <c r="L2057" s="146"/>
      <c r="M2057" s="142"/>
      <c r="N2057" s="144"/>
      <c r="O2057" s="142"/>
      <c r="P2057" s="142"/>
      <c r="Q2057" s="142"/>
      <c r="R2057" s="129"/>
      <c r="S2057" s="143"/>
      <c r="T2057" s="144"/>
      <c r="U2057" s="129"/>
      <c r="V2057" s="129"/>
    </row>
    <row r="2058" spans="1:22" x14ac:dyDescent="0.2">
      <c r="A2058" s="144"/>
      <c r="B2058" s="145"/>
      <c r="C2058" s="129"/>
      <c r="D2058" s="129"/>
      <c r="E2058" s="129"/>
      <c r="F2058" s="129"/>
      <c r="G2058" s="144"/>
      <c r="H2058" s="129"/>
      <c r="I2058" s="144"/>
      <c r="J2058" s="144"/>
      <c r="K2058" s="144"/>
      <c r="L2058" s="146"/>
      <c r="M2058" s="142"/>
      <c r="N2058" s="144"/>
      <c r="O2058" s="142"/>
      <c r="P2058" s="142"/>
      <c r="Q2058" s="142"/>
      <c r="R2058" s="129"/>
      <c r="S2058" s="143"/>
      <c r="T2058" s="144"/>
      <c r="U2058" s="129"/>
      <c r="V2058" s="129"/>
    </row>
    <row r="2059" spans="1:22" x14ac:dyDescent="0.2">
      <c r="A2059" s="144"/>
      <c r="B2059" s="145"/>
      <c r="C2059" s="129"/>
      <c r="D2059" s="129"/>
      <c r="E2059" s="129"/>
      <c r="F2059" s="129"/>
      <c r="G2059" s="144"/>
      <c r="H2059" s="129"/>
      <c r="I2059" s="144"/>
      <c r="J2059" s="144"/>
      <c r="K2059" s="144"/>
      <c r="L2059" s="146"/>
      <c r="M2059" s="142"/>
      <c r="N2059" s="144"/>
      <c r="O2059" s="142"/>
      <c r="P2059" s="142"/>
      <c r="Q2059" s="142"/>
      <c r="R2059" s="129"/>
      <c r="S2059" s="143"/>
      <c r="T2059" s="144"/>
      <c r="U2059" s="129"/>
      <c r="V2059" s="129"/>
    </row>
    <row r="2060" spans="1:22" x14ac:dyDescent="0.2">
      <c r="A2060" s="144"/>
      <c r="B2060" s="145"/>
      <c r="C2060" s="129"/>
      <c r="D2060" s="129"/>
      <c r="E2060" s="129"/>
      <c r="F2060" s="129"/>
      <c r="G2060" s="144"/>
      <c r="H2060" s="129"/>
      <c r="I2060" s="144"/>
      <c r="J2060" s="144"/>
      <c r="K2060" s="144"/>
      <c r="L2060" s="146"/>
      <c r="M2060" s="142"/>
      <c r="N2060" s="144"/>
      <c r="O2060" s="142"/>
      <c r="P2060" s="142"/>
      <c r="Q2060" s="142"/>
      <c r="R2060" s="129"/>
      <c r="S2060" s="143"/>
      <c r="T2060" s="144"/>
      <c r="U2060" s="129"/>
      <c r="V2060" s="129"/>
    </row>
    <row r="2061" spans="1:22" x14ac:dyDescent="0.2">
      <c r="A2061" s="144"/>
      <c r="B2061" s="145"/>
      <c r="C2061" s="129"/>
      <c r="D2061" s="129"/>
      <c r="E2061" s="129"/>
      <c r="F2061" s="129"/>
      <c r="G2061" s="144"/>
      <c r="H2061" s="129"/>
      <c r="I2061" s="144"/>
      <c r="J2061" s="144"/>
      <c r="K2061" s="144"/>
      <c r="L2061" s="146"/>
      <c r="M2061" s="142"/>
      <c r="N2061" s="144"/>
      <c r="O2061" s="142"/>
      <c r="P2061" s="142"/>
      <c r="Q2061" s="142"/>
      <c r="R2061" s="129"/>
      <c r="S2061" s="143"/>
      <c r="T2061" s="144"/>
      <c r="U2061" s="129"/>
      <c r="V2061" s="129"/>
    </row>
    <row r="2062" spans="1:22" x14ac:dyDescent="0.2">
      <c r="A2062" s="144"/>
      <c r="B2062" s="145"/>
      <c r="C2062" s="129"/>
      <c r="D2062" s="129"/>
      <c r="E2062" s="129"/>
      <c r="F2062" s="129"/>
      <c r="G2062" s="144"/>
      <c r="H2062" s="129"/>
      <c r="I2062" s="144"/>
      <c r="J2062" s="144"/>
      <c r="K2062" s="144"/>
      <c r="L2062" s="146"/>
      <c r="M2062" s="142"/>
      <c r="N2062" s="144"/>
      <c r="O2062" s="142"/>
      <c r="P2062" s="142"/>
      <c r="Q2062" s="142"/>
      <c r="R2062" s="129"/>
      <c r="S2062" s="143"/>
      <c r="T2062" s="144"/>
      <c r="U2062" s="129"/>
      <c r="V2062" s="129"/>
    </row>
    <row r="2063" spans="1:22" x14ac:dyDescent="0.2">
      <c r="A2063" s="144"/>
      <c r="B2063" s="145"/>
      <c r="C2063" s="129"/>
      <c r="D2063" s="129"/>
      <c r="E2063" s="129"/>
      <c r="F2063" s="129"/>
      <c r="G2063" s="144"/>
      <c r="H2063" s="129"/>
      <c r="I2063" s="144"/>
      <c r="J2063" s="144"/>
      <c r="K2063" s="144"/>
      <c r="L2063" s="146"/>
      <c r="M2063" s="142"/>
      <c r="N2063" s="144"/>
      <c r="O2063" s="142"/>
      <c r="P2063" s="142"/>
      <c r="Q2063" s="142"/>
      <c r="R2063" s="129"/>
      <c r="S2063" s="143"/>
      <c r="T2063" s="144"/>
      <c r="U2063" s="129"/>
      <c r="V2063" s="129"/>
    </row>
    <row r="2064" spans="1:22" x14ac:dyDescent="0.2">
      <c r="A2064" s="144"/>
      <c r="B2064" s="145"/>
      <c r="C2064" s="129"/>
      <c r="D2064" s="129"/>
      <c r="E2064" s="129"/>
      <c r="F2064" s="129"/>
      <c r="G2064" s="144"/>
      <c r="H2064" s="129"/>
      <c r="I2064" s="144"/>
      <c r="J2064" s="144"/>
      <c r="K2064" s="144"/>
      <c r="L2064" s="146"/>
      <c r="M2064" s="142"/>
      <c r="N2064" s="144"/>
      <c r="O2064" s="142"/>
      <c r="P2064" s="142"/>
      <c r="Q2064" s="142"/>
      <c r="R2064" s="129"/>
      <c r="S2064" s="143"/>
      <c r="T2064" s="144"/>
      <c r="U2064" s="129"/>
      <c r="V2064" s="129"/>
    </row>
    <row r="2065" spans="1:22" x14ac:dyDescent="0.2">
      <c r="A2065" s="144"/>
      <c r="B2065" s="145"/>
      <c r="C2065" s="129"/>
      <c r="D2065" s="129"/>
      <c r="E2065" s="129"/>
      <c r="F2065" s="129"/>
      <c r="G2065" s="144"/>
      <c r="H2065" s="129"/>
      <c r="I2065" s="144"/>
      <c r="J2065" s="144"/>
      <c r="K2065" s="144"/>
      <c r="L2065" s="146"/>
      <c r="M2065" s="142"/>
      <c r="N2065" s="144"/>
      <c r="O2065" s="142"/>
      <c r="P2065" s="142"/>
      <c r="Q2065" s="142"/>
      <c r="R2065" s="129"/>
      <c r="S2065" s="143"/>
      <c r="T2065" s="144"/>
      <c r="U2065" s="129"/>
      <c r="V2065" s="129"/>
    </row>
    <row r="2066" spans="1:22" x14ac:dyDescent="0.2">
      <c r="A2066" s="144"/>
      <c r="B2066" s="145"/>
      <c r="C2066" s="129"/>
      <c r="D2066" s="129"/>
      <c r="E2066" s="129"/>
      <c r="F2066" s="129"/>
      <c r="G2066" s="144"/>
      <c r="H2066" s="129"/>
      <c r="I2066" s="144"/>
      <c r="J2066" s="144"/>
      <c r="K2066" s="144"/>
      <c r="L2066" s="146"/>
      <c r="M2066" s="142"/>
      <c r="N2066" s="144"/>
      <c r="O2066" s="142"/>
      <c r="P2066" s="142"/>
      <c r="Q2066" s="142"/>
      <c r="R2066" s="129"/>
      <c r="S2066" s="143"/>
      <c r="T2066" s="144"/>
      <c r="U2066" s="129"/>
      <c r="V2066" s="129"/>
    </row>
    <row r="2067" spans="1:22" x14ac:dyDescent="0.2">
      <c r="A2067" s="144"/>
      <c r="B2067" s="145"/>
      <c r="C2067" s="129"/>
      <c r="D2067" s="129"/>
      <c r="E2067" s="129"/>
      <c r="F2067" s="129"/>
      <c r="G2067" s="144"/>
      <c r="H2067" s="129"/>
      <c r="I2067" s="144"/>
      <c r="J2067" s="144"/>
      <c r="K2067" s="144"/>
      <c r="L2067" s="146"/>
      <c r="M2067" s="142"/>
      <c r="N2067" s="144"/>
      <c r="O2067" s="142"/>
      <c r="P2067" s="142"/>
      <c r="Q2067" s="142"/>
      <c r="R2067" s="129"/>
      <c r="S2067" s="143"/>
      <c r="T2067" s="144"/>
      <c r="U2067" s="129"/>
      <c r="V2067" s="129"/>
    </row>
    <row r="2068" spans="1:22" x14ac:dyDescent="0.2">
      <c r="A2068" s="144"/>
      <c r="B2068" s="145"/>
      <c r="C2068" s="129"/>
      <c r="D2068" s="129"/>
      <c r="E2068" s="129"/>
      <c r="F2068" s="129"/>
      <c r="G2068" s="144"/>
      <c r="H2068" s="129"/>
      <c r="I2068" s="144"/>
      <c r="J2068" s="144"/>
      <c r="K2068" s="144"/>
      <c r="L2068" s="146"/>
      <c r="M2068" s="142"/>
      <c r="N2068" s="144"/>
      <c r="O2068" s="142"/>
      <c r="P2068" s="142"/>
      <c r="Q2068" s="142"/>
      <c r="R2068" s="129"/>
      <c r="S2068" s="143"/>
      <c r="T2068" s="144"/>
      <c r="U2068" s="129"/>
      <c r="V2068" s="129"/>
    </row>
    <row r="2069" spans="1:22" x14ac:dyDescent="0.2">
      <c r="A2069" s="144"/>
      <c r="B2069" s="145"/>
      <c r="C2069" s="129"/>
      <c r="D2069" s="129"/>
      <c r="E2069" s="129"/>
      <c r="F2069" s="129"/>
      <c r="G2069" s="144"/>
      <c r="H2069" s="129"/>
      <c r="I2069" s="144"/>
      <c r="J2069" s="144"/>
      <c r="K2069" s="144"/>
      <c r="L2069" s="146"/>
      <c r="M2069" s="142"/>
      <c r="N2069" s="144"/>
      <c r="O2069" s="142"/>
      <c r="P2069" s="142"/>
      <c r="Q2069" s="142"/>
      <c r="R2069" s="129"/>
      <c r="S2069" s="143"/>
      <c r="T2069" s="144"/>
      <c r="U2069" s="129"/>
      <c r="V2069" s="129"/>
    </row>
    <row r="2070" spans="1:22" x14ac:dyDescent="0.2">
      <c r="A2070" s="144"/>
      <c r="B2070" s="145"/>
      <c r="C2070" s="129"/>
      <c r="D2070" s="129"/>
      <c r="E2070" s="129"/>
      <c r="F2070" s="129"/>
      <c r="G2070" s="144"/>
      <c r="H2070" s="129"/>
      <c r="I2070" s="144"/>
      <c r="J2070" s="144"/>
      <c r="K2070" s="144"/>
      <c r="L2070" s="146"/>
      <c r="M2070" s="142"/>
      <c r="N2070" s="144"/>
      <c r="O2070" s="142"/>
      <c r="P2070" s="142"/>
      <c r="Q2070" s="142"/>
      <c r="R2070" s="129"/>
      <c r="S2070" s="143"/>
      <c r="T2070" s="144"/>
      <c r="U2070" s="129"/>
      <c r="V2070" s="129"/>
    </row>
    <row r="2071" spans="1:22" x14ac:dyDescent="0.2">
      <c r="A2071" s="144"/>
      <c r="B2071" s="145"/>
      <c r="C2071" s="129"/>
      <c r="D2071" s="129"/>
      <c r="E2071" s="129"/>
      <c r="F2071" s="129"/>
      <c r="G2071" s="144"/>
      <c r="H2071" s="129"/>
      <c r="I2071" s="144"/>
      <c r="J2071" s="144"/>
      <c r="K2071" s="144"/>
      <c r="L2071" s="146"/>
      <c r="M2071" s="142"/>
      <c r="N2071" s="144"/>
      <c r="O2071" s="142"/>
      <c r="P2071" s="142"/>
      <c r="Q2071" s="142"/>
      <c r="R2071" s="129"/>
      <c r="S2071" s="143"/>
      <c r="T2071" s="144"/>
      <c r="U2071" s="129"/>
      <c r="V2071" s="129"/>
    </row>
    <row r="2072" spans="1:22" x14ac:dyDescent="0.2">
      <c r="A2072" s="144"/>
      <c r="B2072" s="145"/>
      <c r="C2072" s="129"/>
      <c r="D2072" s="129"/>
      <c r="E2072" s="129"/>
      <c r="F2072" s="129"/>
      <c r="G2072" s="144"/>
      <c r="H2072" s="129"/>
      <c r="I2072" s="144"/>
      <c r="J2072" s="144"/>
      <c r="K2072" s="144"/>
      <c r="L2072" s="146"/>
      <c r="M2072" s="142"/>
      <c r="N2072" s="144"/>
      <c r="O2072" s="142"/>
      <c r="P2072" s="142"/>
      <c r="Q2072" s="142"/>
      <c r="R2072" s="129"/>
      <c r="S2072" s="143"/>
      <c r="T2072" s="144"/>
      <c r="U2072" s="129"/>
      <c r="V2072" s="129"/>
    </row>
    <row r="2073" spans="1:22" x14ac:dyDescent="0.2">
      <c r="A2073" s="144"/>
      <c r="B2073" s="145"/>
      <c r="C2073" s="129"/>
      <c r="D2073" s="129"/>
      <c r="E2073" s="129"/>
      <c r="F2073" s="129"/>
      <c r="G2073" s="144"/>
      <c r="H2073" s="129"/>
      <c r="I2073" s="144"/>
      <c r="J2073" s="144"/>
      <c r="K2073" s="144"/>
      <c r="L2073" s="146"/>
      <c r="M2073" s="142"/>
      <c r="N2073" s="144"/>
      <c r="O2073" s="142"/>
      <c r="P2073" s="142"/>
      <c r="Q2073" s="142"/>
      <c r="R2073" s="129"/>
      <c r="S2073" s="143"/>
      <c r="T2073" s="144"/>
      <c r="U2073" s="129"/>
      <c r="V2073" s="129"/>
    </row>
    <row r="2074" spans="1:22" x14ac:dyDescent="0.2">
      <c r="A2074" s="144"/>
      <c r="B2074" s="145"/>
      <c r="C2074" s="129"/>
      <c r="D2074" s="129"/>
      <c r="E2074" s="129"/>
      <c r="F2074" s="129"/>
      <c r="G2074" s="144"/>
      <c r="H2074" s="129"/>
      <c r="I2074" s="144"/>
      <c r="J2074" s="144"/>
      <c r="K2074" s="144"/>
      <c r="L2074" s="146"/>
      <c r="M2074" s="142"/>
      <c r="N2074" s="144"/>
      <c r="O2074" s="142"/>
      <c r="P2074" s="142"/>
      <c r="Q2074" s="142"/>
      <c r="R2074" s="129"/>
      <c r="S2074" s="143"/>
      <c r="T2074" s="144"/>
      <c r="U2074" s="129"/>
      <c r="V2074" s="129"/>
    </row>
    <row r="2075" spans="1:22" x14ac:dyDescent="0.2">
      <c r="A2075" s="144"/>
      <c r="B2075" s="145"/>
      <c r="C2075" s="129"/>
      <c r="D2075" s="129"/>
      <c r="E2075" s="129"/>
      <c r="F2075" s="129"/>
      <c r="G2075" s="144"/>
      <c r="H2075" s="129"/>
      <c r="I2075" s="144"/>
      <c r="J2075" s="144"/>
      <c r="K2075" s="144"/>
      <c r="L2075" s="146"/>
      <c r="M2075" s="142"/>
      <c r="N2075" s="144"/>
      <c r="O2075" s="142"/>
      <c r="P2075" s="142"/>
      <c r="Q2075" s="142"/>
      <c r="R2075" s="129"/>
      <c r="S2075" s="143"/>
      <c r="T2075" s="144"/>
      <c r="U2075" s="129"/>
      <c r="V2075" s="129"/>
    </row>
    <row r="2076" spans="1:22" x14ac:dyDescent="0.2">
      <c r="A2076" s="144"/>
      <c r="B2076" s="145"/>
      <c r="C2076" s="129"/>
      <c r="D2076" s="129"/>
      <c r="E2076" s="129"/>
      <c r="F2076" s="129"/>
      <c r="G2076" s="144"/>
      <c r="H2076" s="129"/>
      <c r="I2076" s="144"/>
      <c r="J2076" s="144"/>
      <c r="K2076" s="144"/>
      <c r="L2076" s="146"/>
      <c r="M2076" s="142"/>
      <c r="N2076" s="144"/>
      <c r="O2076" s="142"/>
      <c r="P2076" s="142"/>
      <c r="Q2076" s="142"/>
      <c r="R2076" s="129"/>
      <c r="S2076" s="143"/>
      <c r="T2076" s="144"/>
      <c r="U2076" s="129"/>
      <c r="V2076" s="129"/>
    </row>
    <row r="2077" spans="1:22" x14ac:dyDescent="0.2">
      <c r="A2077" s="144"/>
      <c r="B2077" s="145"/>
      <c r="C2077" s="129"/>
      <c r="D2077" s="129"/>
      <c r="E2077" s="129"/>
      <c r="F2077" s="129"/>
      <c r="G2077" s="144"/>
      <c r="H2077" s="129"/>
      <c r="I2077" s="144"/>
      <c r="J2077" s="144"/>
      <c r="K2077" s="144"/>
      <c r="L2077" s="146"/>
      <c r="M2077" s="142"/>
      <c r="N2077" s="144"/>
      <c r="O2077" s="142"/>
      <c r="P2077" s="142"/>
      <c r="Q2077" s="142"/>
      <c r="R2077" s="129"/>
      <c r="S2077" s="143"/>
      <c r="T2077" s="144"/>
      <c r="U2077" s="129"/>
      <c r="V2077" s="129"/>
    </row>
    <row r="2078" spans="1:22" x14ac:dyDescent="0.2">
      <c r="A2078" s="144"/>
      <c r="B2078" s="145"/>
      <c r="C2078" s="129"/>
      <c r="D2078" s="129"/>
      <c r="E2078" s="129"/>
      <c r="F2078" s="129"/>
      <c r="G2078" s="144"/>
      <c r="H2078" s="129"/>
      <c r="I2078" s="144"/>
      <c r="J2078" s="144"/>
      <c r="K2078" s="144"/>
      <c r="L2078" s="146"/>
      <c r="M2078" s="142"/>
      <c r="N2078" s="144"/>
      <c r="O2078" s="142"/>
      <c r="P2078" s="142"/>
      <c r="Q2078" s="142"/>
      <c r="R2078" s="129"/>
      <c r="S2078" s="143"/>
      <c r="T2078" s="144"/>
      <c r="U2078" s="129"/>
      <c r="V2078" s="129"/>
    </row>
    <row r="2079" spans="1:22" x14ac:dyDescent="0.2">
      <c r="A2079" s="144"/>
      <c r="B2079" s="145"/>
      <c r="C2079" s="129"/>
      <c r="D2079" s="129"/>
      <c r="E2079" s="129"/>
      <c r="F2079" s="129"/>
      <c r="G2079" s="144"/>
      <c r="H2079" s="129"/>
      <c r="I2079" s="144"/>
      <c r="J2079" s="144"/>
      <c r="K2079" s="144"/>
      <c r="L2079" s="146"/>
      <c r="M2079" s="142"/>
      <c r="N2079" s="144"/>
      <c r="O2079" s="142"/>
      <c r="P2079" s="142"/>
      <c r="Q2079" s="142"/>
      <c r="R2079" s="129"/>
      <c r="S2079" s="143"/>
      <c r="T2079" s="144"/>
      <c r="U2079" s="129"/>
      <c r="V2079" s="129"/>
    </row>
    <row r="2080" spans="1:22" x14ac:dyDescent="0.2">
      <c r="A2080" s="144"/>
      <c r="B2080" s="145"/>
      <c r="C2080" s="129"/>
      <c r="D2080" s="129"/>
      <c r="E2080" s="129"/>
      <c r="F2080" s="129"/>
      <c r="G2080" s="144"/>
      <c r="H2080" s="129"/>
      <c r="I2080" s="144"/>
      <c r="J2080" s="144"/>
      <c r="K2080" s="144"/>
      <c r="L2080" s="146"/>
      <c r="M2080" s="142"/>
      <c r="N2080" s="144"/>
      <c r="O2080" s="142"/>
      <c r="P2080" s="142"/>
      <c r="Q2080" s="142"/>
      <c r="R2080" s="129"/>
      <c r="S2080" s="143"/>
      <c r="T2080" s="144"/>
      <c r="U2080" s="129"/>
      <c r="V2080" s="129"/>
    </row>
    <row r="2081" spans="1:22" x14ac:dyDescent="0.2">
      <c r="A2081" s="144"/>
      <c r="B2081" s="145"/>
      <c r="C2081" s="129"/>
      <c r="D2081" s="129"/>
      <c r="E2081" s="129"/>
      <c r="F2081" s="129"/>
      <c r="G2081" s="144"/>
      <c r="H2081" s="129"/>
      <c r="I2081" s="144"/>
      <c r="J2081" s="144"/>
      <c r="K2081" s="144"/>
      <c r="L2081" s="146"/>
      <c r="M2081" s="142"/>
      <c r="N2081" s="144"/>
      <c r="O2081" s="142"/>
      <c r="P2081" s="142"/>
      <c r="Q2081" s="142"/>
      <c r="R2081" s="129"/>
      <c r="S2081" s="143"/>
      <c r="T2081" s="144"/>
      <c r="U2081" s="129"/>
      <c r="V2081" s="129"/>
    </row>
    <row r="2082" spans="1:22" x14ac:dyDescent="0.2">
      <c r="A2082" s="144"/>
      <c r="B2082" s="145"/>
      <c r="C2082" s="129"/>
      <c r="D2082" s="129"/>
      <c r="E2082" s="129"/>
      <c r="F2082" s="129"/>
      <c r="G2082" s="144"/>
      <c r="H2082" s="129"/>
      <c r="I2082" s="144"/>
      <c r="J2082" s="144"/>
      <c r="K2082" s="144"/>
      <c r="L2082" s="146"/>
      <c r="M2082" s="142"/>
      <c r="N2082" s="144"/>
      <c r="O2082" s="142"/>
      <c r="P2082" s="142"/>
      <c r="Q2082" s="142"/>
      <c r="R2082" s="129"/>
      <c r="S2082" s="143"/>
      <c r="T2082" s="144"/>
      <c r="U2082" s="129"/>
      <c r="V2082" s="129"/>
    </row>
    <row r="2083" spans="1:22" x14ac:dyDescent="0.2">
      <c r="A2083" s="144"/>
      <c r="B2083" s="145"/>
      <c r="C2083" s="129"/>
      <c r="D2083" s="129"/>
      <c r="E2083" s="129"/>
      <c r="F2083" s="129"/>
      <c r="G2083" s="144"/>
      <c r="H2083" s="129"/>
      <c r="I2083" s="144"/>
      <c r="J2083" s="144"/>
      <c r="K2083" s="144"/>
      <c r="L2083" s="146"/>
      <c r="M2083" s="142"/>
      <c r="N2083" s="144"/>
      <c r="O2083" s="142"/>
      <c r="P2083" s="142"/>
      <c r="Q2083" s="142"/>
      <c r="R2083" s="129"/>
      <c r="S2083" s="143"/>
      <c r="T2083" s="144"/>
      <c r="U2083" s="129"/>
      <c r="V2083" s="129"/>
    </row>
    <row r="2084" spans="1:22" x14ac:dyDescent="0.2">
      <c r="A2084" s="144"/>
      <c r="B2084" s="145"/>
      <c r="C2084" s="129"/>
      <c r="D2084" s="129"/>
      <c r="E2084" s="129"/>
      <c r="F2084" s="129"/>
      <c r="G2084" s="144"/>
      <c r="H2084" s="129"/>
      <c r="I2084" s="144"/>
      <c r="J2084" s="144"/>
      <c r="K2084" s="144"/>
      <c r="L2084" s="146"/>
      <c r="M2084" s="142"/>
      <c r="N2084" s="144"/>
      <c r="O2084" s="142"/>
      <c r="P2084" s="142"/>
      <c r="Q2084" s="142"/>
      <c r="R2084" s="129"/>
      <c r="S2084" s="143"/>
      <c r="T2084" s="144"/>
      <c r="U2084" s="129"/>
      <c r="V2084" s="129"/>
    </row>
    <row r="2085" spans="1:22" x14ac:dyDescent="0.2">
      <c r="A2085" s="144"/>
      <c r="B2085" s="145"/>
      <c r="C2085" s="129"/>
      <c r="D2085" s="129"/>
      <c r="E2085" s="129"/>
      <c r="F2085" s="129"/>
      <c r="G2085" s="144"/>
      <c r="H2085" s="129"/>
      <c r="I2085" s="144"/>
      <c r="J2085" s="144"/>
      <c r="K2085" s="144"/>
      <c r="L2085" s="146"/>
      <c r="M2085" s="142"/>
      <c r="N2085" s="144"/>
      <c r="O2085" s="142"/>
      <c r="P2085" s="142"/>
      <c r="Q2085" s="142"/>
      <c r="R2085" s="129"/>
      <c r="S2085" s="143"/>
      <c r="T2085" s="144"/>
      <c r="U2085" s="129"/>
      <c r="V2085" s="129"/>
    </row>
    <row r="2086" spans="1:22" x14ac:dyDescent="0.2">
      <c r="A2086" s="144"/>
      <c r="B2086" s="145"/>
      <c r="C2086" s="129"/>
      <c r="D2086" s="129"/>
      <c r="E2086" s="129"/>
      <c r="F2086" s="129"/>
      <c r="G2086" s="144"/>
      <c r="H2086" s="129"/>
      <c r="I2086" s="144"/>
      <c r="J2086" s="144"/>
      <c r="K2086" s="144"/>
      <c r="L2086" s="146"/>
      <c r="M2086" s="142"/>
      <c r="N2086" s="144"/>
      <c r="O2086" s="142"/>
      <c r="P2086" s="142"/>
      <c r="Q2086" s="142"/>
      <c r="R2086" s="129"/>
      <c r="S2086" s="143"/>
      <c r="T2086" s="144"/>
      <c r="U2086" s="129"/>
      <c r="V2086" s="129"/>
    </row>
    <row r="2087" spans="1:22" x14ac:dyDescent="0.2">
      <c r="A2087" s="144"/>
      <c r="B2087" s="145"/>
      <c r="C2087" s="129"/>
      <c r="D2087" s="129"/>
      <c r="E2087" s="129"/>
      <c r="F2087" s="129"/>
      <c r="G2087" s="144"/>
      <c r="H2087" s="129"/>
      <c r="I2087" s="144"/>
      <c r="J2087" s="144"/>
      <c r="K2087" s="144"/>
      <c r="L2087" s="146"/>
      <c r="M2087" s="142"/>
      <c r="N2087" s="144"/>
      <c r="O2087" s="142"/>
      <c r="P2087" s="142"/>
      <c r="Q2087" s="142"/>
      <c r="R2087" s="129"/>
      <c r="S2087" s="143"/>
      <c r="T2087" s="144"/>
      <c r="U2087" s="129"/>
      <c r="V2087" s="129"/>
    </row>
    <row r="2088" spans="1:22" x14ac:dyDescent="0.2">
      <c r="A2088" s="144"/>
      <c r="B2088" s="145"/>
      <c r="C2088" s="129"/>
      <c r="D2088" s="129"/>
      <c r="E2088" s="129"/>
      <c r="F2088" s="129"/>
      <c r="G2088" s="144"/>
      <c r="H2088" s="129"/>
      <c r="I2088" s="144"/>
      <c r="J2088" s="144"/>
      <c r="K2088" s="144"/>
      <c r="L2088" s="146"/>
      <c r="M2088" s="142"/>
      <c r="N2088" s="144"/>
      <c r="O2088" s="142"/>
      <c r="P2088" s="142"/>
      <c r="Q2088" s="142"/>
      <c r="R2088" s="129"/>
      <c r="S2088" s="143"/>
      <c r="T2088" s="144"/>
      <c r="U2088" s="129"/>
      <c r="V2088" s="129"/>
    </row>
    <row r="2089" spans="1:22" x14ac:dyDescent="0.2">
      <c r="A2089" s="144"/>
      <c r="B2089" s="145"/>
      <c r="C2089" s="129"/>
      <c r="D2089" s="129"/>
      <c r="E2089" s="129"/>
      <c r="F2089" s="129"/>
      <c r="G2089" s="144"/>
      <c r="H2089" s="129"/>
      <c r="I2089" s="144"/>
      <c r="J2089" s="144"/>
      <c r="K2089" s="144"/>
      <c r="L2089" s="146"/>
      <c r="M2089" s="142"/>
      <c r="N2089" s="144"/>
      <c r="O2089" s="142"/>
      <c r="P2089" s="142"/>
      <c r="Q2089" s="142"/>
      <c r="R2089" s="129"/>
      <c r="S2089" s="143"/>
      <c r="T2089" s="144"/>
      <c r="U2089" s="129"/>
      <c r="V2089" s="129"/>
    </row>
    <row r="2090" spans="1:22" x14ac:dyDescent="0.2">
      <c r="A2090" s="144"/>
      <c r="B2090" s="145"/>
      <c r="C2090" s="129"/>
      <c r="D2090" s="129"/>
      <c r="E2090" s="129"/>
      <c r="F2090" s="129"/>
      <c r="G2090" s="144"/>
      <c r="H2090" s="129"/>
      <c r="I2090" s="144"/>
      <c r="J2090" s="144"/>
      <c r="K2090" s="144"/>
      <c r="L2090" s="146"/>
      <c r="M2090" s="142"/>
      <c r="N2090" s="144"/>
      <c r="O2090" s="142"/>
      <c r="P2090" s="142"/>
      <c r="Q2090" s="142"/>
      <c r="R2090" s="129"/>
      <c r="S2090" s="143"/>
      <c r="T2090" s="144"/>
      <c r="U2090" s="129"/>
      <c r="V2090" s="129"/>
    </row>
    <row r="2091" spans="1:22" x14ac:dyDescent="0.2">
      <c r="A2091" s="144"/>
      <c r="B2091" s="145"/>
      <c r="C2091" s="129"/>
      <c r="D2091" s="129"/>
      <c r="E2091" s="129"/>
      <c r="F2091" s="129"/>
      <c r="G2091" s="144"/>
      <c r="H2091" s="129"/>
      <c r="I2091" s="144"/>
      <c r="J2091" s="144"/>
      <c r="K2091" s="144"/>
      <c r="L2091" s="146"/>
      <c r="M2091" s="142"/>
      <c r="N2091" s="144"/>
      <c r="O2091" s="142"/>
      <c r="P2091" s="142"/>
      <c r="Q2091" s="142"/>
      <c r="R2091" s="129"/>
      <c r="S2091" s="143"/>
      <c r="T2091" s="144"/>
      <c r="U2091" s="129"/>
      <c r="V2091" s="129"/>
    </row>
    <row r="2092" spans="1:22" x14ac:dyDescent="0.2">
      <c r="A2092" s="144"/>
      <c r="B2092" s="145"/>
      <c r="C2092" s="129"/>
      <c r="D2092" s="129"/>
      <c r="E2092" s="129"/>
      <c r="F2092" s="129"/>
      <c r="G2092" s="144"/>
      <c r="H2092" s="129"/>
      <c r="I2092" s="144"/>
      <c r="J2092" s="144"/>
      <c r="K2092" s="144"/>
      <c r="L2092" s="146"/>
      <c r="M2092" s="142"/>
      <c r="N2092" s="144"/>
      <c r="O2092" s="142"/>
      <c r="P2092" s="142"/>
      <c r="Q2092" s="142"/>
      <c r="R2092" s="129"/>
      <c r="S2092" s="143"/>
      <c r="T2092" s="144"/>
      <c r="U2092" s="129"/>
      <c r="V2092" s="129"/>
    </row>
    <row r="2093" spans="1:22" x14ac:dyDescent="0.2">
      <c r="A2093" s="144"/>
      <c r="B2093" s="145"/>
      <c r="C2093" s="129"/>
      <c r="D2093" s="129"/>
      <c r="E2093" s="129"/>
      <c r="F2093" s="129"/>
      <c r="G2093" s="144"/>
      <c r="H2093" s="129"/>
      <c r="I2093" s="144"/>
      <c r="J2093" s="144"/>
      <c r="K2093" s="144"/>
      <c r="L2093" s="146"/>
      <c r="M2093" s="142"/>
      <c r="N2093" s="144"/>
      <c r="O2093" s="142"/>
      <c r="P2093" s="142"/>
      <c r="Q2093" s="142"/>
      <c r="R2093" s="129"/>
      <c r="S2093" s="143"/>
      <c r="T2093" s="144"/>
      <c r="U2093" s="129"/>
      <c r="V2093" s="129"/>
    </row>
    <row r="2094" spans="1:22" x14ac:dyDescent="0.2">
      <c r="A2094" s="144"/>
      <c r="B2094" s="145"/>
      <c r="C2094" s="129"/>
      <c r="D2094" s="129"/>
      <c r="E2094" s="129"/>
      <c r="F2094" s="129"/>
      <c r="G2094" s="144"/>
      <c r="H2094" s="129"/>
      <c r="I2094" s="144"/>
      <c r="J2094" s="144"/>
      <c r="K2094" s="144"/>
      <c r="L2094" s="146"/>
      <c r="M2094" s="142"/>
      <c r="N2094" s="144"/>
      <c r="O2094" s="142"/>
      <c r="P2094" s="142"/>
      <c r="Q2094" s="142"/>
      <c r="R2094" s="129"/>
      <c r="S2094" s="143"/>
      <c r="T2094" s="144"/>
      <c r="U2094" s="129"/>
      <c r="V2094" s="129"/>
    </row>
    <row r="2095" spans="1:22" x14ac:dyDescent="0.2">
      <c r="A2095" s="144"/>
      <c r="B2095" s="145"/>
      <c r="C2095" s="129"/>
      <c r="D2095" s="129"/>
      <c r="E2095" s="129"/>
      <c r="F2095" s="129"/>
      <c r="G2095" s="144"/>
      <c r="H2095" s="129"/>
      <c r="I2095" s="144"/>
      <c r="J2095" s="144"/>
      <c r="K2095" s="144"/>
      <c r="L2095" s="146"/>
      <c r="M2095" s="142"/>
      <c r="N2095" s="144"/>
      <c r="O2095" s="142"/>
      <c r="P2095" s="142"/>
      <c r="Q2095" s="142"/>
      <c r="R2095" s="129"/>
      <c r="S2095" s="143"/>
      <c r="T2095" s="144"/>
      <c r="U2095" s="129"/>
      <c r="V2095" s="129"/>
    </row>
    <row r="2096" spans="1:22" x14ac:dyDescent="0.2">
      <c r="A2096" s="144"/>
      <c r="B2096" s="145"/>
      <c r="C2096" s="129"/>
      <c r="D2096" s="129"/>
      <c r="E2096" s="129"/>
      <c r="F2096" s="129"/>
      <c r="G2096" s="144"/>
      <c r="H2096" s="129"/>
      <c r="I2096" s="144"/>
      <c r="J2096" s="144"/>
      <c r="K2096" s="144"/>
      <c r="L2096" s="146"/>
      <c r="M2096" s="142"/>
      <c r="N2096" s="144"/>
      <c r="O2096" s="142"/>
      <c r="P2096" s="142"/>
      <c r="Q2096" s="142"/>
      <c r="R2096" s="129"/>
      <c r="S2096" s="143"/>
      <c r="T2096" s="144"/>
      <c r="U2096" s="129"/>
      <c r="V2096" s="129"/>
    </row>
    <row r="2097" spans="1:22" x14ac:dyDescent="0.2">
      <c r="A2097" s="144"/>
      <c r="B2097" s="145"/>
      <c r="C2097" s="129"/>
      <c r="D2097" s="129"/>
      <c r="E2097" s="129"/>
      <c r="F2097" s="129"/>
      <c r="G2097" s="144"/>
      <c r="H2097" s="129"/>
      <c r="I2097" s="144"/>
      <c r="J2097" s="144"/>
      <c r="K2097" s="144"/>
      <c r="L2097" s="146"/>
      <c r="M2097" s="142"/>
      <c r="N2097" s="144"/>
      <c r="O2097" s="142"/>
      <c r="P2097" s="142"/>
      <c r="Q2097" s="142"/>
      <c r="R2097" s="129"/>
      <c r="S2097" s="143"/>
      <c r="T2097" s="144"/>
      <c r="U2097" s="129"/>
      <c r="V2097" s="129"/>
    </row>
    <row r="2098" spans="1:22" x14ac:dyDescent="0.2">
      <c r="A2098" s="144"/>
      <c r="B2098" s="145"/>
      <c r="C2098" s="129"/>
      <c r="D2098" s="129"/>
      <c r="E2098" s="129"/>
      <c r="F2098" s="129"/>
      <c r="G2098" s="144"/>
      <c r="H2098" s="129"/>
      <c r="I2098" s="144"/>
      <c r="J2098" s="144"/>
      <c r="K2098" s="144"/>
      <c r="L2098" s="146"/>
      <c r="M2098" s="142"/>
      <c r="N2098" s="144"/>
      <c r="O2098" s="142"/>
      <c r="P2098" s="142"/>
      <c r="Q2098" s="142"/>
      <c r="R2098" s="129"/>
      <c r="S2098" s="143"/>
      <c r="T2098" s="144"/>
      <c r="U2098" s="129"/>
      <c r="V2098" s="129"/>
    </row>
    <row r="2099" spans="1:22" x14ac:dyDescent="0.2">
      <c r="A2099" s="144"/>
      <c r="B2099" s="145"/>
      <c r="C2099" s="129"/>
      <c r="D2099" s="129"/>
      <c r="E2099" s="129"/>
      <c r="F2099" s="129"/>
      <c r="G2099" s="144"/>
      <c r="H2099" s="129"/>
      <c r="I2099" s="144"/>
      <c r="J2099" s="144"/>
      <c r="K2099" s="144"/>
      <c r="L2099" s="146"/>
      <c r="M2099" s="142"/>
      <c r="N2099" s="144"/>
      <c r="O2099" s="142"/>
      <c r="P2099" s="142"/>
      <c r="Q2099" s="142"/>
      <c r="R2099" s="129"/>
      <c r="S2099" s="143"/>
      <c r="T2099" s="144"/>
      <c r="U2099" s="129"/>
      <c r="V2099" s="129"/>
    </row>
    <row r="2100" spans="1:22" x14ac:dyDescent="0.2">
      <c r="A2100" s="144"/>
      <c r="B2100" s="145"/>
      <c r="C2100" s="129"/>
      <c r="D2100" s="129"/>
      <c r="E2100" s="129"/>
      <c r="F2100" s="129"/>
      <c r="G2100" s="144"/>
      <c r="H2100" s="129"/>
      <c r="I2100" s="144"/>
      <c r="J2100" s="144"/>
      <c r="K2100" s="144"/>
      <c r="L2100" s="146"/>
      <c r="M2100" s="142"/>
      <c r="N2100" s="144"/>
      <c r="O2100" s="142"/>
      <c r="P2100" s="142"/>
      <c r="Q2100" s="142"/>
      <c r="R2100" s="129"/>
      <c r="S2100" s="143"/>
      <c r="T2100" s="144"/>
      <c r="U2100" s="129"/>
      <c r="V2100" s="129"/>
    </row>
    <row r="2101" spans="1:22" x14ac:dyDescent="0.2">
      <c r="A2101" s="144"/>
      <c r="B2101" s="145"/>
      <c r="C2101" s="129"/>
      <c r="D2101" s="129"/>
      <c r="E2101" s="129"/>
      <c r="F2101" s="129"/>
      <c r="G2101" s="144"/>
      <c r="H2101" s="129"/>
      <c r="I2101" s="144"/>
      <c r="J2101" s="144"/>
      <c r="K2101" s="144"/>
      <c r="L2101" s="146"/>
      <c r="M2101" s="142"/>
      <c r="N2101" s="144"/>
      <c r="O2101" s="142"/>
      <c r="P2101" s="142"/>
      <c r="Q2101" s="142"/>
      <c r="R2101" s="129"/>
      <c r="S2101" s="143"/>
      <c r="T2101" s="144"/>
      <c r="U2101" s="129"/>
      <c r="V2101" s="129"/>
    </row>
    <row r="2102" spans="1:22" x14ac:dyDescent="0.2">
      <c r="A2102" s="144"/>
      <c r="B2102" s="145"/>
      <c r="C2102" s="129"/>
      <c r="D2102" s="129"/>
      <c r="E2102" s="129"/>
      <c r="F2102" s="129"/>
      <c r="G2102" s="144"/>
      <c r="H2102" s="129"/>
      <c r="I2102" s="144"/>
      <c r="J2102" s="144"/>
      <c r="K2102" s="144"/>
      <c r="L2102" s="146"/>
      <c r="M2102" s="142"/>
      <c r="N2102" s="144"/>
      <c r="O2102" s="142"/>
      <c r="P2102" s="142"/>
      <c r="Q2102" s="142"/>
      <c r="R2102" s="129"/>
      <c r="S2102" s="143"/>
      <c r="T2102" s="144"/>
      <c r="U2102" s="129"/>
      <c r="V2102" s="129"/>
    </row>
    <row r="2103" spans="1:22" x14ac:dyDescent="0.2">
      <c r="A2103" s="144"/>
      <c r="B2103" s="145"/>
      <c r="C2103" s="129"/>
      <c r="D2103" s="129"/>
      <c r="E2103" s="129"/>
      <c r="F2103" s="129"/>
      <c r="G2103" s="144"/>
      <c r="H2103" s="129"/>
      <c r="I2103" s="144"/>
      <c r="J2103" s="144"/>
      <c r="K2103" s="144"/>
      <c r="L2103" s="146"/>
      <c r="M2103" s="142"/>
      <c r="N2103" s="144"/>
      <c r="O2103" s="142"/>
      <c r="P2103" s="142"/>
      <c r="Q2103" s="142"/>
      <c r="R2103" s="129"/>
      <c r="S2103" s="143"/>
      <c r="T2103" s="144"/>
      <c r="U2103" s="129"/>
      <c r="V2103" s="129"/>
    </row>
    <row r="2104" spans="1:22" x14ac:dyDescent="0.2">
      <c r="A2104" s="144"/>
      <c r="B2104" s="145"/>
      <c r="C2104" s="129"/>
      <c r="D2104" s="129"/>
      <c r="E2104" s="129"/>
      <c r="F2104" s="129"/>
      <c r="G2104" s="144"/>
      <c r="H2104" s="129"/>
      <c r="I2104" s="144"/>
      <c r="J2104" s="144"/>
      <c r="K2104" s="144"/>
      <c r="L2104" s="146"/>
      <c r="M2104" s="142"/>
      <c r="N2104" s="144"/>
      <c r="O2104" s="142"/>
      <c r="P2104" s="142"/>
      <c r="Q2104" s="142"/>
      <c r="R2104" s="129"/>
      <c r="S2104" s="143"/>
      <c r="T2104" s="144"/>
      <c r="U2104" s="129"/>
      <c r="V2104" s="129"/>
    </row>
    <row r="2105" spans="1:22" x14ac:dyDescent="0.2">
      <c r="A2105" s="144"/>
      <c r="B2105" s="145"/>
      <c r="C2105" s="129"/>
      <c r="D2105" s="129"/>
      <c r="E2105" s="129"/>
      <c r="F2105" s="129"/>
      <c r="G2105" s="144"/>
      <c r="H2105" s="129"/>
      <c r="I2105" s="144"/>
      <c r="J2105" s="144"/>
      <c r="K2105" s="144"/>
      <c r="L2105" s="146"/>
      <c r="M2105" s="142"/>
      <c r="N2105" s="144"/>
      <c r="O2105" s="142"/>
      <c r="P2105" s="142"/>
      <c r="Q2105" s="142"/>
      <c r="R2105" s="129"/>
      <c r="S2105" s="143"/>
      <c r="T2105" s="144"/>
      <c r="U2105" s="129"/>
      <c r="V2105" s="129"/>
    </row>
    <row r="2106" spans="1:22" x14ac:dyDescent="0.2">
      <c r="A2106" s="144"/>
      <c r="B2106" s="145"/>
      <c r="C2106" s="129"/>
      <c r="D2106" s="129"/>
      <c r="E2106" s="129"/>
      <c r="F2106" s="129"/>
      <c r="G2106" s="144"/>
      <c r="H2106" s="129"/>
      <c r="I2106" s="144"/>
      <c r="J2106" s="144"/>
      <c r="K2106" s="144"/>
      <c r="L2106" s="146"/>
      <c r="M2106" s="142"/>
      <c r="N2106" s="144"/>
      <c r="O2106" s="142"/>
      <c r="P2106" s="142"/>
      <c r="Q2106" s="142"/>
      <c r="R2106" s="129"/>
      <c r="S2106" s="143"/>
      <c r="T2106" s="144"/>
      <c r="U2106" s="129"/>
      <c r="V2106" s="129"/>
    </row>
    <row r="2107" spans="1:22" x14ac:dyDescent="0.2">
      <c r="A2107" s="144"/>
      <c r="B2107" s="145"/>
      <c r="C2107" s="129"/>
      <c r="D2107" s="129"/>
      <c r="E2107" s="129"/>
      <c r="F2107" s="129"/>
      <c r="G2107" s="144"/>
      <c r="H2107" s="129"/>
      <c r="I2107" s="144"/>
      <c r="J2107" s="144"/>
      <c r="K2107" s="144"/>
      <c r="L2107" s="146"/>
      <c r="M2107" s="142"/>
      <c r="N2107" s="144"/>
      <c r="O2107" s="142"/>
      <c r="P2107" s="142"/>
      <c r="Q2107" s="142"/>
      <c r="R2107" s="129"/>
      <c r="S2107" s="143"/>
      <c r="T2107" s="144"/>
      <c r="U2107" s="129"/>
      <c r="V2107" s="129"/>
    </row>
    <row r="2108" spans="1:22" x14ac:dyDescent="0.2">
      <c r="A2108" s="144"/>
      <c r="B2108" s="145"/>
      <c r="C2108" s="129"/>
      <c r="D2108" s="129"/>
      <c r="E2108" s="129"/>
      <c r="F2108" s="129"/>
      <c r="G2108" s="144"/>
      <c r="H2108" s="129"/>
      <c r="I2108" s="144"/>
      <c r="J2108" s="144"/>
      <c r="K2108" s="144"/>
      <c r="L2108" s="146"/>
      <c r="M2108" s="142"/>
      <c r="N2108" s="144"/>
      <c r="O2108" s="142"/>
      <c r="P2108" s="142"/>
      <c r="Q2108" s="142"/>
      <c r="R2108" s="129"/>
      <c r="S2108" s="143"/>
      <c r="T2108" s="144"/>
      <c r="U2108" s="129"/>
      <c r="V2108" s="129"/>
    </row>
    <row r="2109" spans="1:22" x14ac:dyDescent="0.2">
      <c r="A2109" s="144"/>
      <c r="B2109" s="145"/>
      <c r="C2109" s="129"/>
      <c r="D2109" s="129"/>
      <c r="E2109" s="129"/>
      <c r="F2109" s="129"/>
      <c r="G2109" s="144"/>
      <c r="H2109" s="129"/>
      <c r="I2109" s="144"/>
      <c r="J2109" s="144"/>
      <c r="K2109" s="144"/>
      <c r="L2109" s="146"/>
      <c r="M2109" s="142"/>
      <c r="N2109" s="144"/>
      <c r="O2109" s="142"/>
      <c r="P2109" s="142"/>
      <c r="Q2109" s="142"/>
      <c r="R2109" s="129"/>
      <c r="S2109" s="143"/>
      <c r="T2109" s="144"/>
      <c r="U2109" s="129"/>
      <c r="V2109" s="129"/>
    </row>
    <row r="2110" spans="1:22" x14ac:dyDescent="0.2">
      <c r="A2110" s="144"/>
      <c r="B2110" s="145"/>
      <c r="C2110" s="129"/>
      <c r="D2110" s="129"/>
      <c r="E2110" s="129"/>
      <c r="F2110" s="129"/>
      <c r="G2110" s="144"/>
      <c r="H2110" s="129"/>
      <c r="I2110" s="144"/>
      <c r="J2110" s="144"/>
      <c r="K2110" s="144"/>
      <c r="L2110" s="146"/>
      <c r="M2110" s="142"/>
      <c r="N2110" s="144"/>
      <c r="O2110" s="142"/>
      <c r="P2110" s="142"/>
      <c r="Q2110" s="142"/>
      <c r="R2110" s="129"/>
      <c r="S2110" s="143"/>
      <c r="T2110" s="144"/>
      <c r="U2110" s="129"/>
      <c r="V2110" s="129"/>
    </row>
    <row r="2111" spans="1:22" x14ac:dyDescent="0.2">
      <c r="A2111" s="144"/>
      <c r="B2111" s="145"/>
      <c r="C2111" s="129"/>
      <c r="D2111" s="129"/>
      <c r="E2111" s="129"/>
      <c r="F2111" s="129"/>
      <c r="G2111" s="144"/>
      <c r="H2111" s="129"/>
      <c r="I2111" s="144"/>
      <c r="J2111" s="144"/>
      <c r="K2111" s="144"/>
      <c r="L2111" s="146"/>
      <c r="M2111" s="142"/>
      <c r="N2111" s="144"/>
      <c r="O2111" s="142"/>
      <c r="P2111" s="142"/>
      <c r="Q2111" s="142"/>
      <c r="R2111" s="129"/>
      <c r="S2111" s="143"/>
      <c r="T2111" s="144"/>
      <c r="U2111" s="129"/>
      <c r="V2111" s="129"/>
    </row>
    <row r="2112" spans="1:22" x14ac:dyDescent="0.2">
      <c r="A2112" s="144"/>
      <c r="B2112" s="145"/>
      <c r="C2112" s="129"/>
      <c r="D2112" s="129"/>
      <c r="E2112" s="129"/>
      <c r="F2112" s="129"/>
      <c r="G2112" s="144"/>
      <c r="H2112" s="129"/>
      <c r="I2112" s="144"/>
      <c r="J2112" s="144"/>
      <c r="K2112" s="144"/>
      <c r="L2112" s="146"/>
      <c r="M2112" s="142"/>
      <c r="N2112" s="144"/>
      <c r="O2112" s="142"/>
      <c r="P2112" s="142"/>
      <c r="Q2112" s="142"/>
      <c r="R2112" s="129"/>
      <c r="S2112" s="143"/>
      <c r="T2112" s="144"/>
      <c r="U2112" s="129"/>
      <c r="V2112" s="129"/>
    </row>
    <row r="2113" spans="1:22" x14ac:dyDescent="0.2">
      <c r="A2113" s="144"/>
      <c r="B2113" s="145"/>
      <c r="C2113" s="129"/>
      <c r="D2113" s="129"/>
      <c r="E2113" s="129"/>
      <c r="F2113" s="129"/>
      <c r="G2113" s="144"/>
      <c r="H2113" s="129"/>
      <c r="I2113" s="144"/>
      <c r="J2113" s="144"/>
      <c r="K2113" s="144"/>
      <c r="L2113" s="146"/>
      <c r="M2113" s="142"/>
      <c r="N2113" s="144"/>
      <c r="O2113" s="142"/>
      <c r="P2113" s="142"/>
      <c r="Q2113" s="142"/>
      <c r="R2113" s="129"/>
      <c r="S2113" s="143"/>
      <c r="T2113" s="144"/>
      <c r="U2113" s="129"/>
      <c r="V2113" s="129"/>
    </row>
    <row r="2114" spans="1:22" x14ac:dyDescent="0.2">
      <c r="A2114" s="144"/>
      <c r="B2114" s="145"/>
      <c r="C2114" s="129"/>
      <c r="D2114" s="129"/>
      <c r="E2114" s="129"/>
      <c r="F2114" s="129"/>
      <c r="G2114" s="144"/>
      <c r="H2114" s="129"/>
      <c r="I2114" s="144"/>
      <c r="J2114" s="144"/>
      <c r="K2114" s="144"/>
      <c r="L2114" s="146"/>
      <c r="M2114" s="142"/>
      <c r="N2114" s="144"/>
      <c r="O2114" s="142"/>
      <c r="P2114" s="142"/>
      <c r="Q2114" s="142"/>
      <c r="R2114" s="129"/>
      <c r="S2114" s="143"/>
      <c r="T2114" s="144"/>
      <c r="U2114" s="129"/>
      <c r="V2114" s="129"/>
    </row>
    <row r="2115" spans="1:22" x14ac:dyDescent="0.2">
      <c r="A2115" s="144"/>
      <c r="B2115" s="145"/>
      <c r="C2115" s="129"/>
      <c r="D2115" s="129"/>
      <c r="E2115" s="129"/>
      <c r="F2115" s="129"/>
      <c r="G2115" s="144"/>
      <c r="H2115" s="129"/>
      <c r="I2115" s="144"/>
      <c r="J2115" s="144"/>
      <c r="K2115" s="144"/>
      <c r="L2115" s="146"/>
      <c r="M2115" s="142"/>
      <c r="N2115" s="144"/>
      <c r="O2115" s="142"/>
      <c r="P2115" s="142"/>
      <c r="Q2115" s="142"/>
      <c r="R2115" s="129"/>
      <c r="S2115" s="143"/>
      <c r="T2115" s="144"/>
      <c r="U2115" s="129"/>
      <c r="V2115" s="129"/>
    </row>
    <row r="2116" spans="1:22" x14ac:dyDescent="0.2">
      <c r="A2116" s="144"/>
      <c r="B2116" s="145"/>
      <c r="C2116" s="129"/>
      <c r="D2116" s="129"/>
      <c r="E2116" s="129"/>
      <c r="F2116" s="129"/>
      <c r="G2116" s="144"/>
      <c r="H2116" s="129"/>
      <c r="I2116" s="144"/>
      <c r="J2116" s="144"/>
      <c r="K2116" s="144"/>
      <c r="L2116" s="146"/>
      <c r="M2116" s="142"/>
      <c r="N2116" s="144"/>
      <c r="O2116" s="142"/>
      <c r="P2116" s="142"/>
      <c r="Q2116" s="142"/>
      <c r="R2116" s="129"/>
      <c r="S2116" s="143"/>
      <c r="T2116" s="144"/>
      <c r="U2116" s="129"/>
      <c r="V2116" s="129"/>
    </row>
    <row r="2117" spans="1:22" x14ac:dyDescent="0.2">
      <c r="A2117" s="144"/>
      <c r="B2117" s="145"/>
      <c r="C2117" s="129"/>
      <c r="D2117" s="129"/>
      <c r="E2117" s="129"/>
      <c r="F2117" s="129"/>
      <c r="G2117" s="144"/>
      <c r="H2117" s="129"/>
      <c r="I2117" s="144"/>
      <c r="J2117" s="144"/>
      <c r="K2117" s="144"/>
      <c r="L2117" s="146"/>
      <c r="M2117" s="142"/>
      <c r="N2117" s="144"/>
      <c r="O2117" s="142"/>
      <c r="P2117" s="142"/>
      <c r="Q2117" s="142"/>
      <c r="R2117" s="129"/>
      <c r="S2117" s="143"/>
      <c r="T2117" s="144"/>
      <c r="U2117" s="129"/>
      <c r="V2117" s="129"/>
    </row>
    <row r="2118" spans="1:22" x14ac:dyDescent="0.2">
      <c r="A2118" s="144"/>
      <c r="B2118" s="145"/>
      <c r="C2118" s="129"/>
      <c r="D2118" s="129"/>
      <c r="E2118" s="129"/>
      <c r="F2118" s="129"/>
      <c r="G2118" s="144"/>
      <c r="H2118" s="129"/>
      <c r="I2118" s="144"/>
      <c r="J2118" s="144"/>
      <c r="K2118" s="144"/>
      <c r="L2118" s="146"/>
      <c r="M2118" s="142"/>
      <c r="N2118" s="144"/>
      <c r="O2118" s="142"/>
      <c r="P2118" s="142"/>
      <c r="Q2118" s="142"/>
      <c r="R2118" s="129"/>
      <c r="S2118" s="143"/>
      <c r="T2118" s="144"/>
      <c r="U2118" s="129"/>
      <c r="V2118" s="129"/>
    </row>
    <row r="2119" spans="1:22" x14ac:dyDescent="0.2">
      <c r="A2119" s="144"/>
      <c r="B2119" s="145"/>
      <c r="C2119" s="129"/>
      <c r="D2119" s="129"/>
      <c r="E2119" s="129"/>
      <c r="F2119" s="129"/>
      <c r="G2119" s="144"/>
      <c r="H2119" s="129"/>
      <c r="I2119" s="144"/>
      <c r="J2119" s="144"/>
      <c r="K2119" s="144"/>
      <c r="L2119" s="146"/>
      <c r="M2119" s="142"/>
      <c r="N2119" s="144"/>
      <c r="O2119" s="142"/>
      <c r="P2119" s="142"/>
      <c r="Q2119" s="142"/>
      <c r="R2119" s="129"/>
      <c r="S2119" s="143"/>
      <c r="T2119" s="144"/>
      <c r="U2119" s="129"/>
      <c r="V2119" s="129"/>
    </row>
    <row r="2120" spans="1:22" x14ac:dyDescent="0.2">
      <c r="A2120" s="144"/>
      <c r="B2120" s="145"/>
      <c r="C2120" s="129"/>
      <c r="D2120" s="129"/>
      <c r="E2120" s="129"/>
      <c r="F2120" s="129"/>
      <c r="G2120" s="144"/>
      <c r="H2120" s="129"/>
      <c r="I2120" s="144"/>
      <c r="J2120" s="144"/>
      <c r="K2120" s="144"/>
      <c r="L2120" s="146"/>
      <c r="M2120" s="142"/>
      <c r="N2120" s="144"/>
      <c r="O2120" s="142"/>
      <c r="P2120" s="142"/>
      <c r="Q2120" s="142"/>
      <c r="R2120" s="129"/>
      <c r="S2120" s="143"/>
      <c r="T2120" s="144"/>
      <c r="U2120" s="129"/>
      <c r="V2120" s="129"/>
    </row>
    <row r="2121" spans="1:22" x14ac:dyDescent="0.2">
      <c r="A2121" s="144"/>
      <c r="B2121" s="145"/>
      <c r="C2121" s="129"/>
      <c r="D2121" s="129"/>
      <c r="E2121" s="129"/>
      <c r="F2121" s="129"/>
      <c r="G2121" s="144"/>
      <c r="H2121" s="129"/>
      <c r="I2121" s="144"/>
      <c r="J2121" s="144"/>
      <c r="K2121" s="144"/>
      <c r="L2121" s="146"/>
      <c r="M2121" s="142"/>
      <c r="N2121" s="144"/>
      <c r="O2121" s="142"/>
      <c r="P2121" s="142"/>
      <c r="Q2121" s="142"/>
      <c r="R2121" s="129"/>
      <c r="S2121" s="143"/>
      <c r="T2121" s="144"/>
      <c r="U2121" s="129"/>
      <c r="V2121" s="129"/>
    </row>
    <row r="2122" spans="1:22" x14ac:dyDescent="0.2">
      <c r="A2122" s="144"/>
      <c r="B2122" s="145"/>
      <c r="C2122" s="129"/>
      <c r="D2122" s="129"/>
      <c r="E2122" s="129"/>
      <c r="F2122" s="129"/>
      <c r="G2122" s="144"/>
      <c r="H2122" s="129"/>
      <c r="I2122" s="144"/>
      <c r="J2122" s="144"/>
      <c r="K2122" s="144"/>
      <c r="L2122" s="146"/>
      <c r="M2122" s="142"/>
      <c r="N2122" s="144"/>
      <c r="O2122" s="142"/>
      <c r="P2122" s="142"/>
      <c r="Q2122" s="142"/>
      <c r="R2122" s="129"/>
      <c r="S2122" s="143"/>
      <c r="T2122" s="144"/>
      <c r="U2122" s="129"/>
      <c r="V2122" s="129"/>
    </row>
    <row r="2123" spans="1:22" x14ac:dyDescent="0.2">
      <c r="A2123" s="144"/>
      <c r="B2123" s="145"/>
      <c r="C2123" s="129"/>
      <c r="D2123" s="129"/>
      <c r="E2123" s="129"/>
      <c r="F2123" s="129"/>
      <c r="G2123" s="144"/>
      <c r="H2123" s="129"/>
      <c r="I2123" s="144"/>
      <c r="J2123" s="144"/>
      <c r="K2123" s="144"/>
      <c r="L2123" s="146"/>
      <c r="M2123" s="142"/>
      <c r="N2123" s="144"/>
      <c r="O2123" s="142"/>
      <c r="P2123" s="142"/>
      <c r="Q2123" s="142"/>
      <c r="R2123" s="129"/>
      <c r="S2123" s="143"/>
      <c r="T2123" s="144"/>
      <c r="U2123" s="129"/>
      <c r="V2123" s="129"/>
    </row>
    <row r="2124" spans="1:22" x14ac:dyDescent="0.2">
      <c r="A2124" s="144"/>
      <c r="B2124" s="145"/>
      <c r="C2124" s="129"/>
      <c r="D2124" s="129"/>
      <c r="E2124" s="129"/>
      <c r="F2124" s="129"/>
      <c r="G2124" s="144"/>
      <c r="H2124" s="129"/>
      <c r="I2124" s="144"/>
      <c r="J2124" s="144"/>
      <c r="K2124" s="144"/>
      <c r="L2124" s="146"/>
      <c r="M2124" s="142"/>
      <c r="N2124" s="144"/>
      <c r="O2124" s="142"/>
      <c r="P2124" s="142"/>
      <c r="Q2124" s="142"/>
      <c r="R2124" s="129"/>
      <c r="S2124" s="143"/>
      <c r="T2124" s="144"/>
      <c r="U2124" s="129"/>
      <c r="V2124" s="129"/>
    </row>
    <row r="2125" spans="1:22" x14ac:dyDescent="0.2">
      <c r="A2125" s="144"/>
      <c r="B2125" s="145"/>
      <c r="C2125" s="129"/>
      <c r="D2125" s="129"/>
      <c r="E2125" s="129"/>
      <c r="F2125" s="129"/>
      <c r="G2125" s="144"/>
      <c r="H2125" s="129"/>
      <c r="I2125" s="144"/>
      <c r="J2125" s="144"/>
      <c r="K2125" s="144"/>
      <c r="L2125" s="146"/>
      <c r="M2125" s="142"/>
      <c r="N2125" s="144"/>
      <c r="O2125" s="142"/>
      <c r="P2125" s="142"/>
      <c r="Q2125" s="142"/>
      <c r="R2125" s="129"/>
      <c r="S2125" s="143"/>
      <c r="T2125" s="144"/>
      <c r="U2125" s="129"/>
      <c r="V2125" s="129"/>
    </row>
    <row r="2126" spans="1:22" x14ac:dyDescent="0.2">
      <c r="A2126" s="144"/>
      <c r="B2126" s="145"/>
      <c r="C2126" s="129"/>
      <c r="D2126" s="129"/>
      <c r="E2126" s="129"/>
      <c r="F2126" s="129"/>
      <c r="G2126" s="144"/>
      <c r="H2126" s="129"/>
      <c r="I2126" s="144"/>
      <c r="J2126" s="144"/>
      <c r="K2126" s="144"/>
      <c r="L2126" s="146"/>
      <c r="M2126" s="142"/>
      <c r="N2126" s="144"/>
      <c r="O2126" s="142"/>
      <c r="P2126" s="142"/>
      <c r="Q2126" s="142"/>
      <c r="R2126" s="129"/>
      <c r="S2126" s="143"/>
      <c r="T2126" s="144"/>
      <c r="U2126" s="129"/>
      <c r="V2126" s="129"/>
    </row>
    <row r="2127" spans="1:22" x14ac:dyDescent="0.2">
      <c r="A2127" s="144"/>
      <c r="B2127" s="145"/>
      <c r="C2127" s="129"/>
      <c r="D2127" s="129"/>
      <c r="E2127" s="129"/>
      <c r="F2127" s="129"/>
      <c r="G2127" s="144"/>
      <c r="H2127" s="129"/>
      <c r="I2127" s="144"/>
      <c r="J2127" s="144"/>
      <c r="K2127" s="144"/>
      <c r="L2127" s="146"/>
      <c r="M2127" s="142"/>
      <c r="N2127" s="144"/>
      <c r="O2127" s="142"/>
      <c r="P2127" s="142"/>
      <c r="Q2127" s="142"/>
      <c r="R2127" s="129"/>
      <c r="S2127" s="143"/>
      <c r="T2127" s="144"/>
      <c r="U2127" s="129"/>
      <c r="V2127" s="129"/>
    </row>
    <row r="2128" spans="1:22" x14ac:dyDescent="0.2">
      <c r="A2128" s="144"/>
      <c r="B2128" s="145"/>
      <c r="C2128" s="129"/>
      <c r="D2128" s="129"/>
      <c r="E2128" s="129"/>
      <c r="F2128" s="129"/>
      <c r="G2128" s="144"/>
      <c r="H2128" s="129"/>
      <c r="I2128" s="144"/>
      <c r="J2128" s="144"/>
      <c r="K2128" s="144"/>
      <c r="L2128" s="146"/>
      <c r="M2128" s="142"/>
      <c r="N2128" s="144"/>
      <c r="O2128" s="142"/>
      <c r="P2128" s="142"/>
      <c r="Q2128" s="142"/>
      <c r="R2128" s="129"/>
      <c r="S2128" s="143"/>
      <c r="T2128" s="144"/>
      <c r="U2128" s="129"/>
      <c r="V2128" s="129"/>
    </row>
    <row r="2129" spans="1:22" x14ac:dyDescent="0.2">
      <c r="A2129" s="144"/>
      <c r="B2129" s="145"/>
      <c r="C2129" s="129"/>
      <c r="D2129" s="129"/>
      <c r="E2129" s="129"/>
      <c r="F2129" s="129"/>
      <c r="G2129" s="144"/>
      <c r="H2129" s="129"/>
      <c r="I2129" s="144"/>
      <c r="J2129" s="144"/>
      <c r="K2129" s="144"/>
      <c r="L2129" s="146"/>
      <c r="M2129" s="142"/>
      <c r="N2129" s="144"/>
      <c r="O2129" s="142"/>
      <c r="P2129" s="142"/>
      <c r="Q2129" s="142"/>
      <c r="R2129" s="129"/>
      <c r="S2129" s="143"/>
      <c r="T2129" s="144"/>
      <c r="U2129" s="129"/>
      <c r="V2129" s="129"/>
    </row>
    <row r="2130" spans="1:22" x14ac:dyDescent="0.2">
      <c r="A2130" s="144"/>
      <c r="B2130" s="145"/>
      <c r="C2130" s="129"/>
      <c r="D2130" s="129"/>
      <c r="E2130" s="129"/>
      <c r="F2130" s="129"/>
      <c r="G2130" s="144"/>
      <c r="H2130" s="129"/>
      <c r="I2130" s="144"/>
      <c r="J2130" s="144"/>
      <c r="K2130" s="144"/>
      <c r="L2130" s="146"/>
      <c r="M2130" s="142"/>
      <c r="N2130" s="144"/>
      <c r="O2130" s="142"/>
      <c r="P2130" s="142"/>
      <c r="Q2130" s="142"/>
      <c r="R2130" s="129"/>
      <c r="S2130" s="143"/>
      <c r="T2130" s="144"/>
      <c r="U2130" s="129"/>
      <c r="V2130" s="129"/>
    </row>
    <row r="2131" spans="1:22" x14ac:dyDescent="0.2">
      <c r="A2131" s="144"/>
      <c r="B2131" s="145"/>
      <c r="C2131" s="129"/>
      <c r="D2131" s="129"/>
      <c r="E2131" s="129"/>
      <c r="F2131" s="129"/>
      <c r="G2131" s="144"/>
      <c r="H2131" s="129"/>
      <c r="I2131" s="144"/>
      <c r="J2131" s="144"/>
      <c r="K2131" s="144"/>
      <c r="L2131" s="146"/>
      <c r="M2131" s="142"/>
      <c r="N2131" s="144"/>
      <c r="O2131" s="142"/>
      <c r="P2131" s="142"/>
      <c r="Q2131" s="142"/>
      <c r="R2131" s="129"/>
      <c r="S2131" s="143"/>
      <c r="T2131" s="144"/>
      <c r="U2131" s="129"/>
      <c r="V2131" s="129"/>
    </row>
    <row r="2132" spans="1:22" x14ac:dyDescent="0.2">
      <c r="A2132" s="144"/>
      <c r="B2132" s="145"/>
      <c r="C2132" s="129"/>
      <c r="D2132" s="129"/>
      <c r="E2132" s="129"/>
      <c r="F2132" s="129"/>
      <c r="G2132" s="144"/>
      <c r="H2132" s="129"/>
      <c r="I2132" s="144"/>
      <c r="J2132" s="144"/>
      <c r="K2132" s="144"/>
      <c r="L2132" s="146"/>
      <c r="M2132" s="142"/>
      <c r="N2132" s="144"/>
      <c r="O2132" s="142"/>
      <c r="P2132" s="142"/>
      <c r="Q2132" s="142"/>
      <c r="R2132" s="129"/>
      <c r="S2132" s="143"/>
      <c r="T2132" s="144"/>
      <c r="U2132" s="129"/>
      <c r="V2132" s="129"/>
    </row>
    <row r="2133" spans="1:22" x14ac:dyDescent="0.2">
      <c r="A2133" s="144"/>
      <c r="B2133" s="145"/>
      <c r="C2133" s="129"/>
      <c r="D2133" s="129"/>
      <c r="E2133" s="129"/>
      <c r="F2133" s="129"/>
      <c r="G2133" s="144"/>
      <c r="H2133" s="129"/>
      <c r="I2133" s="144"/>
      <c r="J2133" s="144"/>
      <c r="K2133" s="144"/>
      <c r="L2133" s="146"/>
      <c r="M2133" s="142"/>
      <c r="N2133" s="144"/>
      <c r="O2133" s="142"/>
      <c r="P2133" s="142"/>
      <c r="Q2133" s="142"/>
      <c r="R2133" s="129"/>
      <c r="S2133" s="143"/>
      <c r="T2133" s="144"/>
      <c r="U2133" s="129"/>
      <c r="V2133" s="129"/>
    </row>
    <row r="2134" spans="1:22" x14ac:dyDescent="0.2">
      <c r="A2134" s="144"/>
      <c r="B2134" s="145"/>
      <c r="C2134" s="129"/>
      <c r="D2134" s="129"/>
      <c r="E2134" s="129"/>
      <c r="F2134" s="129"/>
      <c r="G2134" s="144"/>
      <c r="H2134" s="129"/>
      <c r="I2134" s="144"/>
      <c r="J2134" s="144"/>
      <c r="K2134" s="144"/>
      <c r="L2134" s="146"/>
      <c r="M2134" s="142"/>
      <c r="N2134" s="144"/>
      <c r="O2134" s="142"/>
      <c r="P2134" s="142"/>
      <c r="Q2134" s="142"/>
      <c r="R2134" s="129"/>
      <c r="S2134" s="143"/>
      <c r="T2134" s="144"/>
      <c r="U2134" s="129"/>
      <c r="V2134" s="129"/>
    </row>
    <row r="2135" spans="1:22" x14ac:dyDescent="0.2">
      <c r="A2135" s="144"/>
      <c r="B2135" s="145"/>
      <c r="C2135" s="129"/>
      <c r="D2135" s="129"/>
      <c r="E2135" s="129"/>
      <c r="F2135" s="129"/>
      <c r="G2135" s="144"/>
      <c r="H2135" s="129"/>
      <c r="I2135" s="144"/>
      <c r="J2135" s="144"/>
      <c r="K2135" s="144"/>
      <c r="L2135" s="146"/>
      <c r="M2135" s="142"/>
      <c r="N2135" s="144"/>
      <c r="O2135" s="142"/>
      <c r="P2135" s="142"/>
      <c r="Q2135" s="142"/>
      <c r="R2135" s="129"/>
      <c r="S2135" s="143"/>
      <c r="T2135" s="144"/>
      <c r="U2135" s="129"/>
      <c r="V2135" s="129"/>
    </row>
    <row r="2136" spans="1:22" x14ac:dyDescent="0.2">
      <c r="A2136" s="144"/>
      <c r="B2136" s="145"/>
      <c r="C2136" s="129"/>
      <c r="D2136" s="129"/>
      <c r="E2136" s="129"/>
      <c r="F2136" s="129"/>
      <c r="G2136" s="144"/>
      <c r="H2136" s="129"/>
      <c r="I2136" s="144"/>
      <c r="J2136" s="144"/>
      <c r="K2136" s="144"/>
      <c r="L2136" s="146"/>
      <c r="M2136" s="142"/>
      <c r="N2136" s="144"/>
      <c r="O2136" s="142"/>
      <c r="P2136" s="142"/>
      <c r="Q2136" s="142"/>
      <c r="R2136" s="129"/>
      <c r="S2136" s="143"/>
      <c r="T2136" s="144"/>
      <c r="U2136" s="129"/>
      <c r="V2136" s="129"/>
    </row>
    <row r="2137" spans="1:22" x14ac:dyDescent="0.2">
      <c r="A2137" s="144"/>
      <c r="B2137" s="145"/>
      <c r="C2137" s="129"/>
      <c r="D2137" s="129"/>
      <c r="E2137" s="129"/>
      <c r="F2137" s="129"/>
      <c r="G2137" s="144"/>
      <c r="H2137" s="129"/>
      <c r="I2137" s="144"/>
      <c r="J2137" s="144"/>
      <c r="K2137" s="144"/>
      <c r="L2137" s="146"/>
      <c r="M2137" s="142"/>
      <c r="N2137" s="144"/>
      <c r="O2137" s="142"/>
      <c r="P2137" s="142"/>
      <c r="Q2137" s="142"/>
      <c r="R2137" s="129"/>
      <c r="S2137" s="143"/>
      <c r="T2137" s="144"/>
      <c r="U2137" s="129"/>
      <c r="V2137" s="129"/>
    </row>
    <row r="2138" spans="1:22" x14ac:dyDescent="0.2">
      <c r="A2138" s="144"/>
      <c r="B2138" s="145"/>
      <c r="C2138" s="129"/>
      <c r="D2138" s="129"/>
      <c r="E2138" s="129"/>
      <c r="F2138" s="129"/>
      <c r="G2138" s="144"/>
      <c r="H2138" s="129"/>
      <c r="I2138" s="144"/>
      <c r="J2138" s="144"/>
      <c r="K2138" s="144"/>
      <c r="L2138" s="146"/>
      <c r="M2138" s="142"/>
      <c r="N2138" s="144"/>
      <c r="O2138" s="142"/>
      <c r="P2138" s="142"/>
      <c r="Q2138" s="142"/>
      <c r="R2138" s="129"/>
      <c r="S2138" s="143"/>
      <c r="T2138" s="144"/>
      <c r="U2138" s="129"/>
      <c r="V2138" s="129"/>
    </row>
    <row r="2139" spans="1:22" x14ac:dyDescent="0.2">
      <c r="A2139" s="144"/>
      <c r="B2139" s="145"/>
      <c r="C2139" s="129"/>
      <c r="D2139" s="129"/>
      <c r="E2139" s="129"/>
      <c r="F2139" s="129"/>
      <c r="G2139" s="144"/>
      <c r="H2139" s="129"/>
      <c r="I2139" s="144"/>
      <c r="J2139" s="144"/>
      <c r="K2139" s="144"/>
      <c r="L2139" s="146"/>
      <c r="M2139" s="142"/>
      <c r="N2139" s="144"/>
      <c r="O2139" s="142"/>
      <c r="P2139" s="142"/>
      <c r="Q2139" s="142"/>
      <c r="R2139" s="129"/>
      <c r="S2139" s="143"/>
      <c r="T2139" s="144"/>
      <c r="U2139" s="129"/>
      <c r="V2139" s="129"/>
    </row>
    <row r="2140" spans="1:22" x14ac:dyDescent="0.2">
      <c r="A2140" s="144"/>
      <c r="B2140" s="145"/>
      <c r="C2140" s="129"/>
      <c r="D2140" s="129"/>
      <c r="E2140" s="129"/>
      <c r="F2140" s="129"/>
      <c r="G2140" s="144"/>
      <c r="H2140" s="129"/>
      <c r="I2140" s="144"/>
      <c r="J2140" s="144"/>
      <c r="K2140" s="144"/>
      <c r="L2140" s="146"/>
      <c r="M2140" s="142"/>
      <c r="N2140" s="144"/>
      <c r="O2140" s="142"/>
      <c r="P2140" s="142"/>
      <c r="Q2140" s="142"/>
      <c r="R2140" s="129"/>
      <c r="S2140" s="143"/>
      <c r="T2140" s="144"/>
      <c r="U2140" s="129"/>
      <c r="V2140" s="129"/>
    </row>
    <row r="2141" spans="1:22" x14ac:dyDescent="0.2">
      <c r="A2141" s="144"/>
      <c r="B2141" s="145"/>
      <c r="C2141" s="129"/>
      <c r="D2141" s="129"/>
      <c r="E2141" s="129"/>
      <c r="F2141" s="129"/>
      <c r="G2141" s="144"/>
      <c r="H2141" s="129"/>
      <c r="I2141" s="144"/>
      <c r="J2141" s="144"/>
      <c r="K2141" s="144"/>
      <c r="L2141" s="146"/>
      <c r="M2141" s="142"/>
      <c r="N2141" s="144"/>
      <c r="O2141" s="142"/>
      <c r="P2141" s="142"/>
      <c r="Q2141" s="142"/>
      <c r="R2141" s="129"/>
      <c r="S2141" s="143"/>
      <c r="T2141" s="144"/>
      <c r="U2141" s="129"/>
      <c r="V2141" s="129"/>
    </row>
    <row r="2142" spans="1:22" x14ac:dyDescent="0.2">
      <c r="A2142" s="144"/>
      <c r="B2142" s="145"/>
      <c r="C2142" s="129"/>
      <c r="D2142" s="129"/>
      <c r="E2142" s="129"/>
      <c r="F2142" s="129"/>
      <c r="G2142" s="144"/>
      <c r="H2142" s="129"/>
      <c r="I2142" s="144"/>
      <c r="J2142" s="144"/>
      <c r="K2142" s="144"/>
      <c r="L2142" s="146"/>
      <c r="M2142" s="142"/>
      <c r="N2142" s="144"/>
      <c r="O2142" s="142"/>
      <c r="P2142" s="142"/>
      <c r="Q2142" s="142"/>
      <c r="R2142" s="129"/>
      <c r="S2142" s="143"/>
      <c r="T2142" s="144"/>
      <c r="U2142" s="129"/>
      <c r="V2142" s="129"/>
    </row>
    <row r="2143" spans="1:22" x14ac:dyDescent="0.2">
      <c r="A2143" s="144"/>
      <c r="B2143" s="145"/>
      <c r="C2143" s="129"/>
      <c r="D2143" s="129"/>
      <c r="E2143" s="129"/>
      <c r="F2143" s="129"/>
      <c r="G2143" s="144"/>
      <c r="H2143" s="129"/>
      <c r="I2143" s="144"/>
      <c r="J2143" s="144"/>
      <c r="K2143" s="144"/>
      <c r="L2143" s="146"/>
      <c r="M2143" s="142"/>
      <c r="N2143" s="144"/>
      <c r="O2143" s="142"/>
      <c r="P2143" s="142"/>
      <c r="Q2143" s="142"/>
      <c r="R2143" s="129"/>
      <c r="S2143" s="143"/>
      <c r="T2143" s="144"/>
      <c r="U2143" s="129"/>
      <c r="V2143" s="129"/>
    </row>
    <row r="2144" spans="1:22" x14ac:dyDescent="0.2">
      <c r="A2144" s="144"/>
      <c r="B2144" s="145"/>
      <c r="C2144" s="129"/>
      <c r="D2144" s="129"/>
      <c r="E2144" s="129"/>
      <c r="F2144" s="129"/>
      <c r="G2144" s="144"/>
      <c r="H2144" s="129"/>
      <c r="I2144" s="144"/>
      <c r="J2144" s="144"/>
      <c r="K2144" s="144"/>
      <c r="L2144" s="146"/>
      <c r="M2144" s="142"/>
      <c r="N2144" s="144"/>
      <c r="O2144" s="142"/>
      <c r="P2144" s="142"/>
      <c r="Q2144" s="142"/>
      <c r="R2144" s="129"/>
      <c r="S2144" s="143"/>
      <c r="T2144" s="144"/>
      <c r="U2144" s="129"/>
      <c r="V2144" s="129"/>
    </row>
    <row r="2145" spans="1:22" x14ac:dyDescent="0.2">
      <c r="A2145" s="144"/>
      <c r="B2145" s="145"/>
      <c r="C2145" s="129"/>
      <c r="D2145" s="129"/>
      <c r="E2145" s="129"/>
      <c r="F2145" s="129"/>
      <c r="G2145" s="144"/>
      <c r="H2145" s="129"/>
      <c r="I2145" s="144"/>
      <c r="J2145" s="144"/>
      <c r="K2145" s="144"/>
      <c r="L2145" s="146"/>
      <c r="M2145" s="142"/>
      <c r="N2145" s="144"/>
      <c r="O2145" s="142"/>
      <c r="P2145" s="142"/>
      <c r="Q2145" s="142"/>
      <c r="R2145" s="129"/>
      <c r="S2145" s="143"/>
      <c r="T2145" s="144"/>
      <c r="U2145" s="129"/>
      <c r="V2145" s="129"/>
    </row>
    <row r="2146" spans="1:22" x14ac:dyDescent="0.2">
      <c r="A2146" s="144"/>
      <c r="B2146" s="145"/>
      <c r="C2146" s="129"/>
      <c r="D2146" s="129"/>
      <c r="E2146" s="129"/>
      <c r="F2146" s="129"/>
      <c r="G2146" s="144"/>
      <c r="H2146" s="129"/>
      <c r="I2146" s="144"/>
      <c r="J2146" s="144"/>
      <c r="K2146" s="144"/>
      <c r="L2146" s="146"/>
      <c r="M2146" s="142"/>
      <c r="N2146" s="144"/>
      <c r="O2146" s="142"/>
      <c r="P2146" s="142"/>
      <c r="Q2146" s="142"/>
      <c r="R2146" s="129"/>
      <c r="S2146" s="143"/>
      <c r="T2146" s="144"/>
      <c r="U2146" s="129"/>
      <c r="V2146" s="129"/>
    </row>
    <row r="2147" spans="1:22" x14ac:dyDescent="0.2">
      <c r="A2147" s="144"/>
      <c r="B2147" s="145"/>
      <c r="C2147" s="129"/>
      <c r="D2147" s="129"/>
      <c r="E2147" s="129"/>
      <c r="F2147" s="129"/>
      <c r="G2147" s="144"/>
      <c r="H2147" s="129"/>
      <c r="I2147" s="144"/>
      <c r="J2147" s="144"/>
      <c r="K2147" s="144"/>
      <c r="L2147" s="146"/>
      <c r="M2147" s="142"/>
      <c r="N2147" s="144"/>
      <c r="O2147" s="142"/>
      <c r="P2147" s="142"/>
      <c r="Q2147" s="142"/>
      <c r="R2147" s="129"/>
      <c r="S2147" s="143"/>
      <c r="T2147" s="144"/>
      <c r="U2147" s="129"/>
      <c r="V2147" s="129"/>
    </row>
    <row r="2148" spans="1:22" x14ac:dyDescent="0.2">
      <c r="A2148" s="144"/>
      <c r="B2148" s="145"/>
      <c r="C2148" s="129"/>
      <c r="D2148" s="129"/>
      <c r="E2148" s="129"/>
      <c r="F2148" s="129"/>
      <c r="G2148" s="144"/>
      <c r="H2148" s="129"/>
      <c r="I2148" s="144"/>
      <c r="J2148" s="144"/>
      <c r="K2148" s="144"/>
      <c r="L2148" s="146"/>
      <c r="M2148" s="142"/>
      <c r="N2148" s="144"/>
      <c r="O2148" s="142"/>
      <c r="P2148" s="142"/>
      <c r="Q2148" s="142"/>
      <c r="R2148" s="129"/>
      <c r="S2148" s="143"/>
      <c r="T2148" s="144"/>
      <c r="U2148" s="129"/>
      <c r="V2148" s="129"/>
    </row>
    <row r="2149" spans="1:22" x14ac:dyDescent="0.2">
      <c r="A2149" s="144"/>
      <c r="B2149" s="145"/>
      <c r="C2149" s="129"/>
      <c r="D2149" s="129"/>
      <c r="E2149" s="129"/>
      <c r="F2149" s="129"/>
      <c r="G2149" s="144"/>
      <c r="H2149" s="129"/>
      <c r="I2149" s="144"/>
      <c r="J2149" s="144"/>
      <c r="K2149" s="144"/>
      <c r="L2149" s="146"/>
      <c r="M2149" s="142"/>
      <c r="N2149" s="144"/>
      <c r="O2149" s="142"/>
      <c r="P2149" s="142"/>
      <c r="Q2149" s="142"/>
      <c r="R2149" s="129"/>
      <c r="S2149" s="143"/>
      <c r="T2149" s="144"/>
      <c r="U2149" s="129"/>
      <c r="V2149" s="129"/>
    </row>
    <row r="2150" spans="1:22" x14ac:dyDescent="0.2">
      <c r="A2150" s="144"/>
      <c r="B2150" s="145"/>
      <c r="C2150" s="129"/>
      <c r="D2150" s="129"/>
      <c r="E2150" s="129"/>
      <c r="F2150" s="129"/>
      <c r="G2150" s="144"/>
      <c r="H2150" s="129"/>
      <c r="I2150" s="144"/>
      <c r="J2150" s="144"/>
      <c r="K2150" s="144"/>
      <c r="L2150" s="146"/>
      <c r="M2150" s="142"/>
      <c r="N2150" s="144"/>
      <c r="O2150" s="142"/>
      <c r="P2150" s="142"/>
      <c r="Q2150" s="142"/>
      <c r="R2150" s="129"/>
      <c r="S2150" s="143"/>
      <c r="T2150" s="144"/>
      <c r="U2150" s="129"/>
      <c r="V2150" s="129"/>
    </row>
    <row r="2151" spans="1:22" x14ac:dyDescent="0.2">
      <c r="A2151" s="144"/>
      <c r="B2151" s="145"/>
      <c r="C2151" s="129"/>
      <c r="D2151" s="129"/>
      <c r="E2151" s="129"/>
      <c r="F2151" s="129"/>
      <c r="G2151" s="144"/>
      <c r="H2151" s="129"/>
      <c r="I2151" s="144"/>
      <c r="J2151" s="144"/>
      <c r="K2151" s="144"/>
      <c r="L2151" s="146"/>
      <c r="M2151" s="142"/>
      <c r="N2151" s="144"/>
      <c r="O2151" s="142"/>
      <c r="P2151" s="142"/>
      <c r="Q2151" s="142"/>
      <c r="R2151" s="129"/>
      <c r="S2151" s="143"/>
      <c r="T2151" s="144"/>
      <c r="U2151" s="129"/>
      <c r="V2151" s="129"/>
    </row>
    <row r="2152" spans="1:22" x14ac:dyDescent="0.2">
      <c r="A2152" s="144"/>
      <c r="B2152" s="145"/>
      <c r="C2152" s="129"/>
      <c r="D2152" s="129"/>
      <c r="E2152" s="129"/>
      <c r="F2152" s="129"/>
      <c r="G2152" s="144"/>
      <c r="H2152" s="129"/>
      <c r="I2152" s="144"/>
      <c r="J2152" s="144"/>
      <c r="K2152" s="144"/>
      <c r="L2152" s="146"/>
      <c r="M2152" s="142"/>
      <c r="N2152" s="144"/>
      <c r="O2152" s="142"/>
      <c r="P2152" s="142"/>
      <c r="Q2152" s="142"/>
      <c r="R2152" s="129"/>
      <c r="S2152" s="143"/>
      <c r="T2152" s="144"/>
      <c r="U2152" s="129"/>
      <c r="V2152" s="129"/>
    </row>
    <row r="2153" spans="1:22" x14ac:dyDescent="0.2">
      <c r="A2153" s="144"/>
      <c r="B2153" s="145"/>
      <c r="C2153" s="129"/>
      <c r="D2153" s="129"/>
      <c r="E2153" s="129"/>
      <c r="F2153" s="129"/>
      <c r="G2153" s="144"/>
      <c r="H2153" s="129"/>
      <c r="I2153" s="144"/>
      <c r="J2153" s="144"/>
      <c r="K2153" s="144"/>
      <c r="L2153" s="146"/>
      <c r="M2153" s="142"/>
      <c r="N2153" s="144"/>
      <c r="O2153" s="142"/>
      <c r="P2153" s="142"/>
      <c r="Q2153" s="142"/>
      <c r="R2153" s="129"/>
      <c r="S2153" s="143"/>
      <c r="T2153" s="144"/>
      <c r="U2153" s="129"/>
      <c r="V2153" s="129"/>
    </row>
    <row r="2154" spans="1:22" x14ac:dyDescent="0.2">
      <c r="A2154" s="144"/>
      <c r="B2154" s="145"/>
      <c r="C2154" s="129"/>
      <c r="D2154" s="129"/>
      <c r="E2154" s="129"/>
      <c r="F2154" s="129"/>
      <c r="G2154" s="144"/>
      <c r="H2154" s="129"/>
      <c r="I2154" s="144"/>
      <c r="J2154" s="144"/>
      <c r="K2154" s="144"/>
      <c r="L2154" s="146"/>
      <c r="M2154" s="142"/>
      <c r="N2154" s="144"/>
      <c r="O2154" s="142"/>
      <c r="P2154" s="142"/>
      <c r="Q2154" s="142"/>
      <c r="R2154" s="129"/>
      <c r="S2154" s="143"/>
      <c r="T2154" s="144"/>
      <c r="U2154" s="129"/>
      <c r="V2154" s="129"/>
    </row>
    <row r="2155" spans="1:22" x14ac:dyDescent="0.2">
      <c r="A2155" s="144"/>
      <c r="B2155" s="145"/>
      <c r="C2155" s="129"/>
      <c r="D2155" s="129"/>
      <c r="E2155" s="129"/>
      <c r="F2155" s="129"/>
      <c r="G2155" s="144"/>
      <c r="H2155" s="129"/>
      <c r="I2155" s="144"/>
      <c r="J2155" s="144"/>
      <c r="K2155" s="144"/>
      <c r="L2155" s="146"/>
      <c r="M2155" s="142"/>
      <c r="N2155" s="144"/>
      <c r="O2155" s="142"/>
      <c r="P2155" s="142"/>
      <c r="Q2155" s="142"/>
      <c r="R2155" s="129"/>
      <c r="S2155" s="143"/>
      <c r="T2155" s="144"/>
      <c r="U2155" s="129"/>
      <c r="V2155" s="129"/>
    </row>
    <row r="2156" spans="1:22" x14ac:dyDescent="0.2">
      <c r="A2156" s="144"/>
      <c r="B2156" s="145"/>
      <c r="C2156" s="129"/>
      <c r="D2156" s="129"/>
      <c r="E2156" s="129"/>
      <c r="F2156" s="129"/>
      <c r="G2156" s="144"/>
      <c r="H2156" s="129"/>
      <c r="I2156" s="144"/>
      <c r="J2156" s="144"/>
      <c r="K2156" s="144"/>
      <c r="L2156" s="146"/>
      <c r="M2156" s="142"/>
      <c r="N2156" s="144"/>
      <c r="O2156" s="142"/>
      <c r="P2156" s="142"/>
      <c r="Q2156" s="142"/>
      <c r="R2156" s="129"/>
      <c r="S2156" s="143"/>
      <c r="T2156" s="144"/>
      <c r="U2156" s="129"/>
      <c r="V2156" s="129"/>
    </row>
    <row r="2157" spans="1:22" x14ac:dyDescent="0.2">
      <c r="A2157" s="144"/>
      <c r="B2157" s="145"/>
      <c r="C2157" s="129"/>
      <c r="D2157" s="129"/>
      <c r="E2157" s="129"/>
      <c r="F2157" s="129"/>
      <c r="G2157" s="144"/>
      <c r="H2157" s="129"/>
      <c r="I2157" s="144"/>
      <c r="J2157" s="144"/>
      <c r="K2157" s="144"/>
      <c r="L2157" s="146"/>
      <c r="M2157" s="142"/>
      <c r="N2157" s="144"/>
      <c r="O2157" s="142"/>
      <c r="P2157" s="142"/>
      <c r="Q2157" s="142"/>
      <c r="R2157" s="129"/>
      <c r="S2157" s="143"/>
      <c r="T2157" s="144"/>
      <c r="U2157" s="129"/>
      <c r="V2157" s="129"/>
    </row>
    <row r="2158" spans="1:22" x14ac:dyDescent="0.2">
      <c r="A2158" s="144"/>
      <c r="B2158" s="145"/>
      <c r="C2158" s="129"/>
      <c r="D2158" s="129"/>
      <c r="E2158" s="129"/>
      <c r="F2158" s="129"/>
      <c r="G2158" s="144"/>
      <c r="H2158" s="129"/>
      <c r="I2158" s="144"/>
      <c r="J2158" s="144"/>
      <c r="K2158" s="144"/>
      <c r="L2158" s="146"/>
      <c r="M2158" s="142"/>
      <c r="N2158" s="144"/>
      <c r="O2158" s="142"/>
      <c r="P2158" s="142"/>
      <c r="Q2158" s="142"/>
      <c r="R2158" s="129"/>
      <c r="S2158" s="143"/>
      <c r="T2158" s="144"/>
      <c r="U2158" s="129"/>
      <c r="V2158" s="129"/>
    </row>
    <row r="2159" spans="1:22" x14ac:dyDescent="0.2">
      <c r="A2159" s="144"/>
      <c r="B2159" s="145"/>
      <c r="C2159" s="129"/>
      <c r="D2159" s="129"/>
      <c r="E2159" s="129"/>
      <c r="F2159" s="129"/>
      <c r="G2159" s="144"/>
      <c r="H2159" s="129"/>
      <c r="I2159" s="144"/>
      <c r="J2159" s="144"/>
      <c r="K2159" s="144"/>
      <c r="L2159" s="146"/>
      <c r="M2159" s="142"/>
      <c r="N2159" s="144"/>
      <c r="O2159" s="142"/>
      <c r="P2159" s="142"/>
      <c r="Q2159" s="142"/>
      <c r="R2159" s="129"/>
      <c r="S2159" s="143"/>
      <c r="T2159" s="144"/>
      <c r="U2159" s="129"/>
      <c r="V2159" s="129"/>
    </row>
    <row r="2160" spans="1:22" x14ac:dyDescent="0.2">
      <c r="A2160" s="144"/>
      <c r="B2160" s="145"/>
      <c r="C2160" s="129"/>
      <c r="D2160" s="129"/>
      <c r="E2160" s="129"/>
      <c r="F2160" s="129"/>
      <c r="G2160" s="144"/>
      <c r="H2160" s="129"/>
      <c r="I2160" s="144"/>
      <c r="J2160" s="144"/>
      <c r="K2160" s="144"/>
      <c r="L2160" s="146"/>
      <c r="M2160" s="142"/>
      <c r="N2160" s="144"/>
      <c r="O2160" s="142"/>
      <c r="P2160" s="142"/>
      <c r="Q2160" s="142"/>
      <c r="R2160" s="129"/>
      <c r="S2160" s="143"/>
      <c r="T2160" s="144"/>
      <c r="U2160" s="129"/>
      <c r="V2160" s="129"/>
    </row>
    <row r="2161" spans="1:22" x14ac:dyDescent="0.2">
      <c r="A2161" s="144"/>
      <c r="B2161" s="145"/>
      <c r="C2161" s="129"/>
      <c r="D2161" s="129"/>
      <c r="E2161" s="129"/>
      <c r="F2161" s="129"/>
      <c r="G2161" s="144"/>
      <c r="H2161" s="129"/>
      <c r="I2161" s="144"/>
      <c r="J2161" s="144"/>
      <c r="K2161" s="144"/>
      <c r="L2161" s="146"/>
      <c r="M2161" s="142"/>
      <c r="N2161" s="144"/>
      <c r="O2161" s="142"/>
      <c r="P2161" s="142"/>
      <c r="Q2161" s="142"/>
      <c r="R2161" s="129"/>
      <c r="S2161" s="143"/>
      <c r="T2161" s="144"/>
      <c r="U2161" s="129"/>
      <c r="V2161" s="129"/>
    </row>
    <row r="2162" spans="1:22" x14ac:dyDescent="0.2">
      <c r="A2162" s="144"/>
      <c r="B2162" s="145"/>
      <c r="C2162" s="129"/>
      <c r="D2162" s="129"/>
      <c r="E2162" s="129"/>
      <c r="F2162" s="129"/>
      <c r="G2162" s="144"/>
      <c r="H2162" s="129"/>
      <c r="I2162" s="144"/>
      <c r="J2162" s="144"/>
      <c r="K2162" s="144"/>
      <c r="L2162" s="146"/>
      <c r="M2162" s="142"/>
      <c r="N2162" s="144"/>
      <c r="O2162" s="142"/>
      <c r="P2162" s="142"/>
      <c r="Q2162" s="142"/>
      <c r="R2162" s="129"/>
      <c r="S2162" s="143"/>
      <c r="T2162" s="144"/>
      <c r="U2162" s="129"/>
      <c r="V2162" s="129"/>
    </row>
    <row r="2163" spans="1:22" x14ac:dyDescent="0.2">
      <c r="A2163" s="144"/>
      <c r="B2163" s="145"/>
      <c r="C2163" s="129"/>
      <c r="D2163" s="129"/>
      <c r="E2163" s="129"/>
      <c r="F2163" s="129"/>
      <c r="G2163" s="144"/>
      <c r="H2163" s="129"/>
      <c r="I2163" s="144"/>
      <c r="J2163" s="144"/>
      <c r="K2163" s="144"/>
      <c r="L2163" s="146"/>
      <c r="M2163" s="142"/>
      <c r="N2163" s="144"/>
      <c r="O2163" s="142"/>
      <c r="P2163" s="142"/>
      <c r="Q2163" s="142"/>
      <c r="R2163" s="129"/>
      <c r="S2163" s="143"/>
      <c r="T2163" s="144"/>
      <c r="U2163" s="129"/>
      <c r="V2163" s="129"/>
    </row>
    <row r="2164" spans="1:22" x14ac:dyDescent="0.2">
      <c r="A2164" s="144"/>
      <c r="B2164" s="145"/>
      <c r="C2164" s="129"/>
      <c r="D2164" s="129"/>
      <c r="E2164" s="129"/>
      <c r="F2164" s="129"/>
      <c r="G2164" s="144"/>
      <c r="H2164" s="129"/>
      <c r="I2164" s="144"/>
      <c r="J2164" s="144"/>
      <c r="K2164" s="144"/>
      <c r="L2164" s="146"/>
      <c r="M2164" s="142"/>
      <c r="N2164" s="144"/>
      <c r="O2164" s="142"/>
      <c r="P2164" s="142"/>
      <c r="Q2164" s="142"/>
      <c r="R2164" s="129"/>
      <c r="S2164" s="143"/>
      <c r="T2164" s="144"/>
      <c r="U2164" s="129"/>
      <c r="V2164" s="129"/>
    </row>
    <row r="2165" spans="1:22" x14ac:dyDescent="0.2">
      <c r="A2165" s="144"/>
      <c r="B2165" s="145"/>
      <c r="C2165" s="129"/>
      <c r="D2165" s="129"/>
      <c r="E2165" s="129"/>
      <c r="F2165" s="129"/>
      <c r="G2165" s="144"/>
      <c r="H2165" s="129"/>
      <c r="I2165" s="144"/>
      <c r="J2165" s="144"/>
      <c r="K2165" s="144"/>
      <c r="L2165" s="146"/>
      <c r="M2165" s="142"/>
      <c r="N2165" s="144"/>
      <c r="O2165" s="142"/>
      <c r="P2165" s="142"/>
      <c r="Q2165" s="142"/>
      <c r="R2165" s="129"/>
      <c r="S2165" s="143"/>
      <c r="T2165" s="144"/>
      <c r="U2165" s="129"/>
      <c r="V2165" s="129"/>
    </row>
    <row r="2166" spans="1:22" x14ac:dyDescent="0.2">
      <c r="A2166" s="144"/>
      <c r="B2166" s="145"/>
      <c r="C2166" s="129"/>
      <c r="D2166" s="129"/>
      <c r="E2166" s="129"/>
      <c r="F2166" s="129"/>
      <c r="G2166" s="144"/>
      <c r="H2166" s="129"/>
      <c r="I2166" s="144"/>
      <c r="J2166" s="144"/>
      <c r="K2166" s="144"/>
      <c r="L2166" s="146"/>
      <c r="M2166" s="142"/>
      <c r="N2166" s="144"/>
      <c r="O2166" s="142"/>
      <c r="P2166" s="142"/>
      <c r="Q2166" s="142"/>
      <c r="R2166" s="129"/>
      <c r="S2166" s="143"/>
      <c r="T2166" s="144"/>
      <c r="U2166" s="129"/>
      <c r="V2166" s="129"/>
    </row>
    <row r="2167" spans="1:22" x14ac:dyDescent="0.2">
      <c r="A2167" s="144"/>
      <c r="B2167" s="145"/>
      <c r="C2167" s="129"/>
      <c r="D2167" s="129"/>
      <c r="E2167" s="129"/>
      <c r="F2167" s="129"/>
      <c r="G2167" s="144"/>
      <c r="H2167" s="129"/>
      <c r="I2167" s="144"/>
      <c r="J2167" s="144"/>
      <c r="K2167" s="144"/>
      <c r="L2167" s="146"/>
      <c r="M2167" s="142"/>
      <c r="N2167" s="144"/>
      <c r="O2167" s="142"/>
      <c r="P2167" s="142"/>
      <c r="Q2167" s="142"/>
      <c r="R2167" s="129"/>
      <c r="S2167" s="143"/>
      <c r="T2167" s="144"/>
      <c r="U2167" s="129"/>
      <c r="V2167" s="129"/>
    </row>
    <row r="2168" spans="1:22" x14ac:dyDescent="0.2">
      <c r="A2168" s="144"/>
      <c r="B2168" s="145"/>
      <c r="C2168" s="129"/>
      <c r="D2168" s="129"/>
      <c r="E2168" s="129"/>
      <c r="F2168" s="129"/>
      <c r="G2168" s="144"/>
      <c r="H2168" s="129"/>
      <c r="I2168" s="144"/>
      <c r="J2168" s="144"/>
      <c r="K2168" s="144"/>
      <c r="L2168" s="146"/>
      <c r="M2168" s="142"/>
      <c r="N2168" s="144"/>
      <c r="O2168" s="142"/>
      <c r="P2168" s="142"/>
      <c r="Q2168" s="142"/>
      <c r="R2168" s="129"/>
      <c r="S2168" s="143"/>
      <c r="T2168" s="144"/>
      <c r="U2168" s="129"/>
      <c r="V2168" s="129"/>
    </row>
    <row r="2169" spans="1:22" x14ac:dyDescent="0.2">
      <c r="A2169" s="144"/>
      <c r="B2169" s="145"/>
      <c r="C2169" s="129"/>
      <c r="D2169" s="129"/>
      <c r="E2169" s="129"/>
      <c r="F2169" s="129"/>
      <c r="G2169" s="144"/>
      <c r="H2169" s="129"/>
      <c r="I2169" s="144"/>
      <c r="J2169" s="144"/>
      <c r="K2169" s="144"/>
      <c r="L2169" s="146"/>
      <c r="M2169" s="142"/>
      <c r="N2169" s="144"/>
      <c r="O2169" s="142"/>
      <c r="P2169" s="142"/>
      <c r="Q2169" s="142"/>
      <c r="R2169" s="129"/>
      <c r="S2169" s="143"/>
      <c r="T2169" s="144"/>
      <c r="U2169" s="129"/>
      <c r="V2169" s="129"/>
    </row>
    <row r="2170" spans="1:22" x14ac:dyDescent="0.2">
      <c r="A2170" s="144"/>
      <c r="B2170" s="145"/>
      <c r="C2170" s="129"/>
      <c r="D2170" s="129"/>
      <c r="E2170" s="129"/>
      <c r="F2170" s="129"/>
      <c r="G2170" s="144"/>
      <c r="H2170" s="129"/>
      <c r="I2170" s="144"/>
      <c r="J2170" s="144"/>
      <c r="K2170" s="144"/>
      <c r="L2170" s="146"/>
      <c r="M2170" s="142"/>
      <c r="N2170" s="144"/>
      <c r="O2170" s="142"/>
      <c r="P2170" s="142"/>
      <c r="Q2170" s="142"/>
      <c r="R2170" s="129"/>
      <c r="S2170" s="143"/>
      <c r="T2170" s="144"/>
      <c r="U2170" s="129"/>
      <c r="V2170" s="129"/>
    </row>
    <row r="2171" spans="1:22" x14ac:dyDescent="0.2">
      <c r="A2171" s="144"/>
      <c r="B2171" s="145"/>
      <c r="C2171" s="129"/>
      <c r="D2171" s="129"/>
      <c r="E2171" s="129"/>
      <c r="F2171" s="129"/>
      <c r="G2171" s="144"/>
      <c r="H2171" s="129"/>
      <c r="I2171" s="144"/>
      <c r="J2171" s="144"/>
      <c r="K2171" s="144"/>
      <c r="L2171" s="146"/>
      <c r="M2171" s="142"/>
      <c r="N2171" s="144"/>
      <c r="O2171" s="142"/>
      <c r="P2171" s="142"/>
      <c r="Q2171" s="142"/>
      <c r="R2171" s="129"/>
      <c r="S2171" s="143"/>
      <c r="T2171" s="144"/>
      <c r="U2171" s="129"/>
      <c r="V2171" s="129"/>
    </row>
    <row r="2172" spans="1:22" x14ac:dyDescent="0.2">
      <c r="A2172" s="144"/>
      <c r="B2172" s="145"/>
      <c r="C2172" s="129"/>
      <c r="D2172" s="129"/>
      <c r="E2172" s="129"/>
      <c r="F2172" s="129"/>
      <c r="G2172" s="144"/>
      <c r="H2172" s="129"/>
      <c r="I2172" s="144"/>
      <c r="J2172" s="144"/>
      <c r="K2172" s="144"/>
      <c r="L2172" s="146"/>
      <c r="M2172" s="142"/>
      <c r="N2172" s="144"/>
      <c r="O2172" s="142"/>
      <c r="P2172" s="142"/>
      <c r="Q2172" s="142"/>
      <c r="R2172" s="129"/>
      <c r="S2172" s="143"/>
      <c r="T2172" s="144"/>
      <c r="U2172" s="129"/>
      <c r="V2172" s="129"/>
    </row>
    <row r="2173" spans="1:22" x14ac:dyDescent="0.2">
      <c r="A2173" s="144"/>
      <c r="B2173" s="145"/>
      <c r="C2173" s="129"/>
      <c r="D2173" s="129"/>
      <c r="E2173" s="129"/>
      <c r="F2173" s="129"/>
      <c r="G2173" s="144"/>
      <c r="H2173" s="129"/>
      <c r="I2173" s="144"/>
      <c r="J2173" s="144"/>
      <c r="K2173" s="144"/>
      <c r="L2173" s="146"/>
      <c r="M2173" s="142"/>
      <c r="N2173" s="144"/>
      <c r="O2173" s="142"/>
      <c r="P2173" s="142"/>
      <c r="Q2173" s="142"/>
      <c r="R2173" s="129"/>
      <c r="S2173" s="143"/>
      <c r="T2173" s="144"/>
      <c r="U2173" s="129"/>
      <c r="V2173" s="129"/>
    </row>
    <row r="2174" spans="1:22" x14ac:dyDescent="0.2">
      <c r="A2174" s="144"/>
      <c r="B2174" s="145"/>
      <c r="C2174" s="129"/>
      <c r="D2174" s="129"/>
      <c r="E2174" s="129"/>
      <c r="F2174" s="129"/>
      <c r="G2174" s="144"/>
      <c r="H2174" s="129"/>
      <c r="I2174" s="144"/>
      <c r="J2174" s="144"/>
      <c r="K2174" s="144"/>
      <c r="L2174" s="146"/>
      <c r="M2174" s="142"/>
      <c r="N2174" s="144"/>
      <c r="O2174" s="142"/>
      <c r="P2174" s="142"/>
      <c r="Q2174" s="142"/>
      <c r="R2174" s="129"/>
      <c r="S2174" s="143"/>
      <c r="T2174" s="144"/>
      <c r="U2174" s="129"/>
      <c r="V2174" s="129"/>
    </row>
    <row r="2175" spans="1:22" x14ac:dyDescent="0.2">
      <c r="A2175" s="144"/>
      <c r="B2175" s="145"/>
      <c r="C2175" s="129"/>
      <c r="D2175" s="129"/>
      <c r="E2175" s="129"/>
      <c r="F2175" s="129"/>
      <c r="G2175" s="144"/>
      <c r="H2175" s="129"/>
      <c r="I2175" s="144"/>
      <c r="J2175" s="144"/>
      <c r="K2175" s="144"/>
      <c r="L2175" s="146"/>
      <c r="M2175" s="142"/>
      <c r="N2175" s="144"/>
      <c r="O2175" s="142"/>
      <c r="P2175" s="142"/>
      <c r="Q2175" s="142"/>
      <c r="R2175" s="129"/>
      <c r="S2175" s="143"/>
      <c r="T2175" s="144"/>
      <c r="U2175" s="129"/>
      <c r="V2175" s="129"/>
    </row>
    <row r="2176" spans="1:22" x14ac:dyDescent="0.2">
      <c r="A2176" s="144"/>
      <c r="B2176" s="145"/>
      <c r="C2176" s="129"/>
      <c r="D2176" s="129"/>
      <c r="E2176" s="129"/>
      <c r="F2176" s="129"/>
      <c r="G2176" s="144"/>
      <c r="H2176" s="129"/>
      <c r="I2176" s="144"/>
      <c r="J2176" s="144"/>
      <c r="K2176" s="144"/>
      <c r="L2176" s="146"/>
      <c r="M2176" s="142"/>
      <c r="N2176" s="144"/>
      <c r="O2176" s="142"/>
      <c r="P2176" s="142"/>
      <c r="Q2176" s="142"/>
      <c r="R2176" s="129"/>
      <c r="S2176" s="143"/>
      <c r="T2176" s="144"/>
      <c r="U2176" s="129"/>
      <c r="V2176" s="129"/>
    </row>
    <row r="2177" spans="1:22" x14ac:dyDescent="0.2">
      <c r="A2177" s="144"/>
      <c r="B2177" s="145"/>
      <c r="C2177" s="129"/>
      <c r="D2177" s="129"/>
      <c r="E2177" s="129"/>
      <c r="F2177" s="129"/>
      <c r="G2177" s="144"/>
      <c r="H2177" s="129"/>
      <c r="I2177" s="144"/>
      <c r="J2177" s="144"/>
      <c r="K2177" s="144"/>
      <c r="L2177" s="146"/>
      <c r="M2177" s="142"/>
      <c r="N2177" s="144"/>
      <c r="O2177" s="142"/>
      <c r="P2177" s="142"/>
      <c r="Q2177" s="142"/>
      <c r="R2177" s="129"/>
      <c r="S2177" s="143"/>
      <c r="T2177" s="144"/>
      <c r="U2177" s="129"/>
      <c r="V2177" s="129"/>
    </row>
    <row r="2178" spans="1:22" x14ac:dyDescent="0.2">
      <c r="A2178" s="144"/>
      <c r="B2178" s="145"/>
      <c r="C2178" s="129"/>
      <c r="D2178" s="129"/>
      <c r="E2178" s="129"/>
      <c r="F2178" s="129"/>
      <c r="G2178" s="144"/>
      <c r="H2178" s="129"/>
      <c r="I2178" s="144"/>
      <c r="J2178" s="144"/>
      <c r="K2178" s="144"/>
      <c r="L2178" s="146"/>
      <c r="M2178" s="142"/>
      <c r="N2178" s="144"/>
      <c r="O2178" s="142"/>
      <c r="P2178" s="142"/>
      <c r="Q2178" s="142"/>
      <c r="R2178" s="129"/>
      <c r="S2178" s="143"/>
      <c r="T2178" s="144"/>
      <c r="U2178" s="129"/>
      <c r="V2178" s="129"/>
    </row>
    <row r="2179" spans="1:22" x14ac:dyDescent="0.2">
      <c r="A2179" s="144"/>
      <c r="B2179" s="145"/>
      <c r="C2179" s="129"/>
      <c r="D2179" s="129"/>
      <c r="E2179" s="129"/>
      <c r="F2179" s="129"/>
      <c r="G2179" s="144"/>
      <c r="H2179" s="129"/>
      <c r="I2179" s="144"/>
      <c r="J2179" s="144"/>
      <c r="K2179" s="144"/>
      <c r="L2179" s="146"/>
      <c r="M2179" s="142"/>
      <c r="N2179" s="144"/>
      <c r="O2179" s="142"/>
      <c r="P2179" s="142"/>
      <c r="Q2179" s="142"/>
      <c r="R2179" s="129"/>
      <c r="S2179" s="143"/>
      <c r="T2179" s="144"/>
      <c r="U2179" s="129"/>
      <c r="V2179" s="129"/>
    </row>
    <row r="2180" spans="1:22" x14ac:dyDescent="0.2">
      <c r="A2180" s="144"/>
      <c r="B2180" s="145"/>
      <c r="C2180" s="129"/>
      <c r="D2180" s="129"/>
      <c r="E2180" s="129"/>
      <c r="F2180" s="129"/>
      <c r="G2180" s="144"/>
      <c r="H2180" s="129"/>
      <c r="I2180" s="144"/>
      <c r="J2180" s="144"/>
      <c r="K2180" s="144"/>
      <c r="L2180" s="146"/>
      <c r="M2180" s="142"/>
      <c r="N2180" s="144"/>
      <c r="O2180" s="142"/>
      <c r="P2180" s="142"/>
      <c r="Q2180" s="142"/>
      <c r="R2180" s="129"/>
      <c r="S2180" s="143"/>
      <c r="T2180" s="144"/>
      <c r="U2180" s="129"/>
      <c r="V2180" s="129"/>
    </row>
    <row r="2181" spans="1:22" x14ac:dyDescent="0.2">
      <c r="A2181" s="144"/>
      <c r="B2181" s="145"/>
      <c r="C2181" s="129"/>
      <c r="D2181" s="129"/>
      <c r="E2181" s="129"/>
      <c r="F2181" s="129"/>
      <c r="G2181" s="144"/>
      <c r="H2181" s="129"/>
      <c r="I2181" s="144"/>
      <c r="J2181" s="144"/>
      <c r="K2181" s="144"/>
      <c r="L2181" s="146"/>
      <c r="M2181" s="142"/>
      <c r="N2181" s="144"/>
      <c r="O2181" s="142"/>
      <c r="P2181" s="142"/>
      <c r="Q2181" s="142"/>
      <c r="R2181" s="129"/>
      <c r="S2181" s="143"/>
      <c r="T2181" s="144"/>
      <c r="U2181" s="129"/>
      <c r="V2181" s="129"/>
    </row>
    <row r="2182" spans="1:22" x14ac:dyDescent="0.2">
      <c r="A2182" s="144"/>
      <c r="B2182" s="145"/>
      <c r="C2182" s="129"/>
      <c r="D2182" s="129"/>
      <c r="E2182" s="129"/>
      <c r="F2182" s="129"/>
      <c r="G2182" s="144"/>
      <c r="H2182" s="129"/>
      <c r="I2182" s="144"/>
      <c r="J2182" s="144"/>
      <c r="K2182" s="144"/>
      <c r="L2182" s="146"/>
      <c r="M2182" s="142"/>
      <c r="N2182" s="144"/>
      <c r="O2182" s="142"/>
      <c r="P2182" s="142"/>
      <c r="Q2182" s="142"/>
      <c r="R2182" s="129"/>
      <c r="S2182" s="143"/>
      <c r="T2182" s="144"/>
      <c r="U2182" s="129"/>
      <c r="V2182" s="129"/>
    </row>
    <row r="2183" spans="1:22" x14ac:dyDescent="0.2">
      <c r="A2183" s="144"/>
      <c r="B2183" s="145"/>
      <c r="C2183" s="129"/>
      <c r="D2183" s="129"/>
      <c r="E2183" s="129"/>
      <c r="F2183" s="129"/>
      <c r="G2183" s="144"/>
      <c r="H2183" s="129"/>
      <c r="I2183" s="144"/>
      <c r="J2183" s="144"/>
      <c r="K2183" s="144"/>
      <c r="L2183" s="146"/>
      <c r="M2183" s="142"/>
      <c r="N2183" s="144"/>
      <c r="O2183" s="142"/>
      <c r="P2183" s="142"/>
      <c r="Q2183" s="142"/>
      <c r="R2183" s="129"/>
      <c r="S2183" s="143"/>
      <c r="T2183" s="144"/>
      <c r="U2183" s="129"/>
      <c r="V2183" s="129"/>
    </row>
    <row r="2184" spans="1:22" x14ac:dyDescent="0.2">
      <c r="A2184" s="144"/>
      <c r="B2184" s="145"/>
      <c r="C2184" s="129"/>
      <c r="D2184" s="129"/>
      <c r="E2184" s="129"/>
      <c r="F2184" s="129"/>
      <c r="G2184" s="144"/>
      <c r="H2184" s="129"/>
      <c r="I2184" s="144"/>
      <c r="J2184" s="144"/>
      <c r="K2184" s="144"/>
      <c r="L2184" s="146"/>
      <c r="M2184" s="142"/>
      <c r="N2184" s="144"/>
      <c r="O2184" s="142"/>
      <c r="P2184" s="142"/>
      <c r="Q2184" s="142"/>
      <c r="R2184" s="129"/>
      <c r="S2184" s="143"/>
      <c r="T2184" s="144"/>
      <c r="U2184" s="129"/>
      <c r="V2184" s="129"/>
    </row>
    <row r="2185" spans="1:22" x14ac:dyDescent="0.2">
      <c r="A2185" s="144"/>
      <c r="B2185" s="145"/>
      <c r="C2185" s="129"/>
      <c r="D2185" s="129"/>
      <c r="E2185" s="129"/>
      <c r="F2185" s="129"/>
      <c r="G2185" s="144"/>
      <c r="H2185" s="129"/>
      <c r="I2185" s="144"/>
      <c r="J2185" s="144"/>
      <c r="K2185" s="144"/>
      <c r="L2185" s="146"/>
      <c r="M2185" s="142"/>
      <c r="N2185" s="144"/>
      <c r="O2185" s="142"/>
      <c r="P2185" s="142"/>
      <c r="Q2185" s="142"/>
      <c r="R2185" s="129"/>
      <c r="S2185" s="143"/>
      <c r="T2185" s="144"/>
      <c r="U2185" s="129"/>
      <c r="V2185" s="129"/>
    </row>
    <row r="2186" spans="1:22" x14ac:dyDescent="0.2">
      <c r="A2186" s="144"/>
      <c r="B2186" s="145"/>
      <c r="C2186" s="129"/>
      <c r="D2186" s="129"/>
      <c r="E2186" s="129"/>
      <c r="F2186" s="129"/>
      <c r="G2186" s="144"/>
      <c r="H2186" s="129"/>
      <c r="I2186" s="144"/>
      <c r="J2186" s="144"/>
      <c r="K2186" s="144"/>
      <c r="L2186" s="146"/>
      <c r="M2186" s="142"/>
      <c r="N2186" s="144"/>
      <c r="O2186" s="142"/>
      <c r="P2186" s="142"/>
      <c r="Q2186" s="142"/>
      <c r="R2186" s="129"/>
      <c r="S2186" s="143"/>
      <c r="T2186" s="144"/>
      <c r="U2186" s="129"/>
      <c r="V2186" s="129"/>
    </row>
    <row r="2187" spans="1:22" x14ac:dyDescent="0.2">
      <c r="A2187" s="144"/>
      <c r="B2187" s="145"/>
      <c r="C2187" s="129"/>
      <c r="D2187" s="129"/>
      <c r="E2187" s="129"/>
      <c r="F2187" s="129"/>
      <c r="G2187" s="144"/>
      <c r="H2187" s="129"/>
      <c r="I2187" s="144"/>
      <c r="J2187" s="144"/>
      <c r="K2187" s="144"/>
      <c r="L2187" s="146"/>
      <c r="M2187" s="142"/>
      <c r="N2187" s="144"/>
      <c r="O2187" s="142"/>
      <c r="P2187" s="142"/>
      <c r="Q2187" s="142"/>
      <c r="R2187" s="129"/>
      <c r="S2187" s="143"/>
      <c r="T2187" s="144"/>
      <c r="U2187" s="129"/>
      <c r="V2187" s="129"/>
    </row>
    <row r="2188" spans="1:22" x14ac:dyDescent="0.2">
      <c r="A2188" s="144"/>
      <c r="B2188" s="145"/>
      <c r="C2188" s="129"/>
      <c r="D2188" s="129"/>
      <c r="E2188" s="129"/>
      <c r="F2188" s="129"/>
      <c r="G2188" s="144"/>
      <c r="H2188" s="129"/>
      <c r="I2188" s="144"/>
      <c r="J2188" s="144"/>
      <c r="K2188" s="144"/>
      <c r="L2188" s="146"/>
      <c r="M2188" s="142"/>
      <c r="N2188" s="144"/>
      <c r="O2188" s="142"/>
      <c r="P2188" s="142"/>
      <c r="Q2188" s="142"/>
      <c r="R2188" s="129"/>
      <c r="S2188" s="143"/>
      <c r="T2188" s="144"/>
      <c r="U2188" s="129"/>
      <c r="V2188" s="129"/>
    </row>
    <row r="2189" spans="1:22" x14ac:dyDescent="0.2">
      <c r="A2189" s="144"/>
      <c r="B2189" s="145"/>
      <c r="C2189" s="129"/>
      <c r="D2189" s="129"/>
      <c r="E2189" s="129"/>
      <c r="F2189" s="129"/>
      <c r="G2189" s="144"/>
      <c r="H2189" s="129"/>
      <c r="I2189" s="144"/>
      <c r="J2189" s="144"/>
      <c r="K2189" s="144"/>
      <c r="L2189" s="146"/>
      <c r="M2189" s="142"/>
      <c r="N2189" s="144"/>
      <c r="O2189" s="142"/>
      <c r="P2189" s="142"/>
      <c r="Q2189" s="142"/>
      <c r="R2189" s="129"/>
      <c r="S2189" s="143"/>
      <c r="T2189" s="144"/>
      <c r="U2189" s="129"/>
      <c r="V2189" s="129"/>
    </row>
    <row r="2190" spans="1:22" x14ac:dyDescent="0.2">
      <c r="A2190" s="144"/>
      <c r="B2190" s="145"/>
      <c r="C2190" s="129"/>
      <c r="D2190" s="129"/>
      <c r="E2190" s="129"/>
      <c r="F2190" s="129"/>
      <c r="G2190" s="144"/>
      <c r="H2190" s="129"/>
      <c r="I2190" s="144"/>
      <c r="J2190" s="144"/>
      <c r="K2190" s="144"/>
      <c r="L2190" s="146"/>
      <c r="M2190" s="142"/>
      <c r="N2190" s="144"/>
      <c r="O2190" s="142"/>
      <c r="P2190" s="142"/>
      <c r="Q2190" s="142"/>
      <c r="R2190" s="129"/>
      <c r="S2190" s="143"/>
      <c r="T2190" s="144"/>
      <c r="U2190" s="129"/>
      <c r="V2190" s="129"/>
    </row>
    <row r="2191" spans="1:22" x14ac:dyDescent="0.2">
      <c r="A2191" s="144"/>
      <c r="B2191" s="145"/>
      <c r="C2191" s="129"/>
      <c r="D2191" s="129"/>
      <c r="E2191" s="129"/>
      <c r="F2191" s="129"/>
      <c r="G2191" s="144"/>
      <c r="H2191" s="129"/>
      <c r="I2191" s="144"/>
      <c r="J2191" s="144"/>
      <c r="K2191" s="144"/>
      <c r="L2191" s="146"/>
      <c r="M2191" s="142"/>
      <c r="N2191" s="144"/>
      <c r="O2191" s="142"/>
      <c r="P2191" s="142"/>
      <c r="Q2191" s="142"/>
      <c r="R2191" s="129"/>
      <c r="S2191" s="143"/>
      <c r="T2191" s="144"/>
      <c r="U2191" s="129"/>
      <c r="V2191" s="129"/>
    </row>
    <row r="2192" spans="1:22" x14ac:dyDescent="0.2">
      <c r="A2192" s="144"/>
      <c r="B2192" s="145"/>
      <c r="C2192" s="129"/>
      <c r="D2192" s="129"/>
      <c r="E2192" s="129"/>
      <c r="F2192" s="129"/>
      <c r="G2192" s="144"/>
      <c r="H2192" s="129"/>
      <c r="I2192" s="144"/>
      <c r="J2192" s="144"/>
      <c r="K2192" s="144"/>
      <c r="L2192" s="146"/>
      <c r="M2192" s="142"/>
      <c r="N2192" s="144"/>
      <c r="O2192" s="142"/>
      <c r="P2192" s="142"/>
      <c r="Q2192" s="142"/>
      <c r="R2192" s="129"/>
      <c r="S2192" s="143"/>
      <c r="T2192" s="144"/>
      <c r="U2192" s="129"/>
      <c r="V2192" s="129"/>
    </row>
    <row r="2193" spans="1:22" x14ac:dyDescent="0.2">
      <c r="A2193" s="144"/>
      <c r="B2193" s="145"/>
      <c r="C2193" s="129"/>
      <c r="D2193" s="129"/>
      <c r="E2193" s="129"/>
      <c r="F2193" s="129"/>
      <c r="G2193" s="144"/>
      <c r="H2193" s="129"/>
      <c r="I2193" s="144"/>
      <c r="J2193" s="144"/>
      <c r="K2193" s="144"/>
      <c r="L2193" s="146"/>
      <c r="M2193" s="142"/>
      <c r="N2193" s="144"/>
      <c r="O2193" s="142"/>
      <c r="P2193" s="142"/>
      <c r="Q2193" s="142"/>
      <c r="R2193" s="129"/>
      <c r="S2193" s="143"/>
      <c r="T2193" s="144"/>
      <c r="U2193" s="129"/>
      <c r="V2193" s="129"/>
    </row>
    <row r="2194" spans="1:22" x14ac:dyDescent="0.2">
      <c r="A2194" s="144"/>
      <c r="B2194" s="145"/>
      <c r="C2194" s="129"/>
      <c r="D2194" s="129"/>
      <c r="E2194" s="129"/>
      <c r="F2194" s="129"/>
      <c r="G2194" s="144"/>
      <c r="H2194" s="129"/>
      <c r="I2194" s="144"/>
      <c r="J2194" s="144"/>
      <c r="K2194" s="144"/>
      <c r="L2194" s="146"/>
      <c r="M2194" s="142"/>
      <c r="N2194" s="144"/>
      <c r="O2194" s="142"/>
      <c r="P2194" s="142"/>
      <c r="Q2194" s="142"/>
      <c r="R2194" s="129"/>
      <c r="S2194" s="143"/>
      <c r="T2194" s="144"/>
      <c r="U2194" s="129"/>
      <c r="V2194" s="129"/>
    </row>
    <row r="2195" spans="1:22" x14ac:dyDescent="0.2">
      <c r="A2195" s="144"/>
      <c r="B2195" s="145"/>
      <c r="C2195" s="129"/>
      <c r="D2195" s="129"/>
      <c r="E2195" s="129"/>
      <c r="F2195" s="129"/>
      <c r="G2195" s="144"/>
      <c r="H2195" s="129"/>
      <c r="I2195" s="144"/>
      <c r="J2195" s="144"/>
      <c r="K2195" s="144"/>
      <c r="L2195" s="146"/>
      <c r="M2195" s="142"/>
      <c r="N2195" s="144"/>
      <c r="O2195" s="142"/>
      <c r="P2195" s="142"/>
      <c r="Q2195" s="142"/>
      <c r="R2195" s="129"/>
      <c r="S2195" s="143"/>
      <c r="T2195" s="144"/>
      <c r="U2195" s="129"/>
      <c r="V2195" s="129"/>
    </row>
    <row r="2196" spans="1:22" x14ac:dyDescent="0.2">
      <c r="A2196" s="144"/>
      <c r="B2196" s="145"/>
      <c r="C2196" s="129"/>
      <c r="D2196" s="129"/>
      <c r="E2196" s="129"/>
      <c r="F2196" s="129"/>
      <c r="G2196" s="144"/>
      <c r="H2196" s="129"/>
      <c r="I2196" s="144"/>
      <c r="J2196" s="144"/>
      <c r="K2196" s="144"/>
      <c r="L2196" s="146"/>
      <c r="M2196" s="142"/>
      <c r="N2196" s="144"/>
      <c r="O2196" s="142"/>
      <c r="P2196" s="142"/>
      <c r="Q2196" s="142"/>
      <c r="R2196" s="129"/>
      <c r="S2196" s="143"/>
      <c r="T2196" s="144"/>
      <c r="U2196" s="129"/>
      <c r="V2196" s="129"/>
    </row>
    <row r="2197" spans="1:22" x14ac:dyDescent="0.2">
      <c r="A2197" s="144"/>
      <c r="B2197" s="145"/>
      <c r="C2197" s="129"/>
      <c r="D2197" s="129"/>
      <c r="E2197" s="129"/>
      <c r="F2197" s="129"/>
      <c r="G2197" s="144"/>
      <c r="H2197" s="129"/>
      <c r="I2197" s="144"/>
      <c r="J2197" s="144"/>
      <c r="K2197" s="144"/>
      <c r="L2197" s="146"/>
      <c r="M2197" s="142"/>
      <c r="N2197" s="144"/>
      <c r="O2197" s="142"/>
      <c r="P2197" s="142"/>
      <c r="Q2197" s="142"/>
      <c r="R2197" s="129"/>
      <c r="S2197" s="143"/>
      <c r="T2197" s="144"/>
      <c r="U2197" s="129"/>
      <c r="V2197" s="129"/>
    </row>
    <row r="2198" spans="1:22" x14ac:dyDescent="0.2">
      <c r="A2198" s="144"/>
      <c r="B2198" s="145"/>
      <c r="C2198" s="129"/>
      <c r="D2198" s="129"/>
      <c r="E2198" s="129"/>
      <c r="F2198" s="129"/>
      <c r="G2198" s="144"/>
      <c r="H2198" s="129"/>
      <c r="I2198" s="144"/>
      <c r="J2198" s="144"/>
      <c r="K2198" s="144"/>
      <c r="L2198" s="146"/>
      <c r="M2198" s="142"/>
      <c r="N2198" s="144"/>
      <c r="O2198" s="142"/>
      <c r="P2198" s="142"/>
      <c r="Q2198" s="142"/>
      <c r="R2198" s="129"/>
      <c r="S2198" s="143"/>
      <c r="T2198" s="144"/>
      <c r="U2198" s="129"/>
      <c r="V2198" s="129"/>
    </row>
    <row r="2199" spans="1:22" x14ac:dyDescent="0.2">
      <c r="A2199" s="144"/>
      <c r="B2199" s="145"/>
      <c r="C2199" s="129"/>
      <c r="D2199" s="129"/>
      <c r="E2199" s="129"/>
      <c r="F2199" s="129"/>
      <c r="G2199" s="144"/>
      <c r="H2199" s="129"/>
      <c r="I2199" s="144"/>
      <c r="J2199" s="144"/>
      <c r="K2199" s="144"/>
      <c r="L2199" s="146"/>
      <c r="M2199" s="142"/>
      <c r="N2199" s="144"/>
      <c r="O2199" s="142"/>
      <c r="P2199" s="142"/>
      <c r="Q2199" s="142"/>
      <c r="R2199" s="129"/>
      <c r="S2199" s="143"/>
      <c r="T2199" s="144"/>
      <c r="U2199" s="129"/>
      <c r="V2199" s="129"/>
    </row>
    <row r="2200" spans="1:22" x14ac:dyDescent="0.2">
      <c r="A2200" s="144"/>
      <c r="B2200" s="145"/>
      <c r="C2200" s="129"/>
      <c r="D2200" s="129"/>
      <c r="E2200" s="129"/>
      <c r="F2200" s="129"/>
      <c r="G2200" s="144"/>
      <c r="H2200" s="129"/>
      <c r="I2200" s="144"/>
      <c r="J2200" s="144"/>
      <c r="K2200" s="144"/>
      <c r="L2200" s="146"/>
      <c r="M2200" s="142"/>
      <c r="N2200" s="144"/>
      <c r="O2200" s="142"/>
      <c r="P2200" s="142"/>
      <c r="Q2200" s="142"/>
      <c r="R2200" s="129"/>
      <c r="S2200" s="143"/>
      <c r="T2200" s="144"/>
      <c r="U2200" s="129"/>
      <c r="V2200" s="129"/>
    </row>
    <row r="2201" spans="1:22" x14ac:dyDescent="0.2">
      <c r="A2201" s="144"/>
      <c r="B2201" s="145"/>
      <c r="C2201" s="129"/>
      <c r="D2201" s="129"/>
      <c r="E2201" s="129"/>
      <c r="F2201" s="129"/>
      <c r="G2201" s="144"/>
      <c r="H2201" s="129"/>
      <c r="I2201" s="144"/>
      <c r="J2201" s="144"/>
      <c r="K2201" s="144"/>
      <c r="L2201" s="146"/>
      <c r="M2201" s="142"/>
      <c r="N2201" s="144"/>
      <c r="O2201" s="142"/>
      <c r="P2201" s="142"/>
      <c r="Q2201" s="142"/>
      <c r="R2201" s="129"/>
      <c r="S2201" s="143"/>
      <c r="T2201" s="144"/>
      <c r="U2201" s="129"/>
      <c r="V2201" s="129"/>
    </row>
    <row r="2202" spans="1:22" x14ac:dyDescent="0.2">
      <c r="A2202" s="144"/>
      <c r="B2202" s="145"/>
      <c r="C2202" s="129"/>
      <c r="D2202" s="129"/>
      <c r="E2202" s="129"/>
      <c r="F2202" s="129"/>
      <c r="G2202" s="144"/>
      <c r="H2202" s="129"/>
      <c r="I2202" s="144"/>
      <c r="J2202" s="144"/>
      <c r="K2202" s="144"/>
      <c r="L2202" s="146"/>
      <c r="M2202" s="142"/>
      <c r="N2202" s="144"/>
      <c r="O2202" s="142"/>
      <c r="P2202" s="142"/>
      <c r="Q2202" s="142"/>
      <c r="R2202" s="129"/>
      <c r="S2202" s="143"/>
      <c r="T2202" s="144"/>
      <c r="U2202" s="129"/>
      <c r="V2202" s="129"/>
    </row>
    <row r="2203" spans="1:22" x14ac:dyDescent="0.2">
      <c r="A2203" s="144"/>
      <c r="B2203" s="145"/>
      <c r="C2203" s="129"/>
      <c r="D2203" s="129"/>
      <c r="E2203" s="129"/>
      <c r="F2203" s="129"/>
      <c r="G2203" s="144"/>
      <c r="H2203" s="129"/>
      <c r="I2203" s="144"/>
      <c r="J2203" s="144"/>
      <c r="K2203" s="144"/>
      <c r="L2203" s="146"/>
      <c r="M2203" s="142"/>
      <c r="N2203" s="144"/>
      <c r="O2203" s="142"/>
      <c r="P2203" s="142"/>
      <c r="Q2203" s="142"/>
      <c r="R2203" s="129"/>
      <c r="S2203" s="143"/>
      <c r="T2203" s="144"/>
      <c r="U2203" s="129"/>
      <c r="V2203" s="129"/>
    </row>
    <row r="2204" spans="1:22" x14ac:dyDescent="0.2">
      <c r="A2204" s="144"/>
      <c r="B2204" s="145"/>
      <c r="C2204" s="129"/>
      <c r="D2204" s="129"/>
      <c r="E2204" s="129"/>
      <c r="F2204" s="129"/>
      <c r="G2204" s="144"/>
      <c r="H2204" s="129"/>
      <c r="I2204" s="144"/>
      <c r="J2204" s="144"/>
      <c r="K2204" s="144"/>
      <c r="L2204" s="146"/>
      <c r="M2204" s="142"/>
      <c r="N2204" s="144"/>
      <c r="O2204" s="142"/>
      <c r="P2204" s="142"/>
      <c r="Q2204" s="142"/>
      <c r="R2204" s="129"/>
      <c r="S2204" s="143"/>
      <c r="T2204" s="144"/>
      <c r="U2204" s="129"/>
      <c r="V2204" s="129"/>
    </row>
    <row r="2205" spans="1:22" x14ac:dyDescent="0.2">
      <c r="A2205" s="144"/>
      <c r="B2205" s="145"/>
      <c r="C2205" s="129"/>
      <c r="D2205" s="129"/>
      <c r="E2205" s="129"/>
      <c r="F2205" s="129"/>
      <c r="G2205" s="144"/>
      <c r="H2205" s="129"/>
      <c r="I2205" s="144"/>
      <c r="J2205" s="144"/>
      <c r="K2205" s="144"/>
      <c r="L2205" s="146"/>
      <c r="M2205" s="142"/>
      <c r="N2205" s="144"/>
      <c r="O2205" s="142"/>
      <c r="P2205" s="142"/>
      <c r="Q2205" s="142"/>
      <c r="R2205" s="129"/>
      <c r="S2205" s="143"/>
      <c r="T2205" s="144"/>
      <c r="U2205" s="129"/>
      <c r="V2205" s="129"/>
    </row>
    <row r="2206" spans="1:22" x14ac:dyDescent="0.2">
      <c r="A2206" s="144"/>
      <c r="B2206" s="145"/>
      <c r="C2206" s="129"/>
      <c r="D2206" s="129"/>
      <c r="E2206" s="129"/>
      <c r="F2206" s="129"/>
      <c r="G2206" s="144"/>
      <c r="H2206" s="129"/>
      <c r="I2206" s="144"/>
      <c r="J2206" s="144"/>
      <c r="K2206" s="144"/>
      <c r="L2206" s="146"/>
      <c r="M2206" s="142"/>
      <c r="N2206" s="144"/>
      <c r="O2206" s="142"/>
      <c r="P2206" s="142"/>
      <c r="Q2206" s="142"/>
      <c r="R2206" s="129"/>
      <c r="S2206" s="143"/>
      <c r="T2206" s="144"/>
      <c r="U2206" s="129"/>
      <c r="V2206" s="129"/>
    </row>
    <row r="2207" spans="1:22" x14ac:dyDescent="0.2">
      <c r="A2207" s="144"/>
      <c r="B2207" s="145"/>
      <c r="C2207" s="129"/>
      <c r="D2207" s="129"/>
      <c r="E2207" s="129"/>
      <c r="F2207" s="129"/>
      <c r="G2207" s="144"/>
      <c r="H2207" s="129"/>
      <c r="I2207" s="144"/>
      <c r="J2207" s="144"/>
      <c r="K2207" s="144"/>
      <c r="L2207" s="146"/>
      <c r="M2207" s="142"/>
      <c r="N2207" s="144"/>
      <c r="O2207" s="142"/>
      <c r="P2207" s="142"/>
      <c r="Q2207" s="142"/>
      <c r="R2207" s="129"/>
      <c r="S2207" s="143"/>
      <c r="T2207" s="144"/>
      <c r="U2207" s="129"/>
      <c r="V2207" s="129"/>
    </row>
    <row r="2208" spans="1:22" x14ac:dyDescent="0.2">
      <c r="A2208" s="144"/>
      <c r="B2208" s="145"/>
      <c r="C2208" s="129"/>
      <c r="D2208" s="129"/>
      <c r="E2208" s="129"/>
      <c r="F2208" s="129"/>
      <c r="G2208" s="144"/>
      <c r="H2208" s="129"/>
      <c r="I2208" s="144"/>
      <c r="J2208" s="144"/>
      <c r="K2208" s="144"/>
      <c r="L2208" s="146"/>
      <c r="M2208" s="142"/>
      <c r="N2208" s="144"/>
      <c r="O2208" s="142"/>
      <c r="P2208" s="142"/>
      <c r="Q2208" s="142"/>
      <c r="R2208" s="129"/>
      <c r="S2208" s="143"/>
      <c r="T2208" s="144"/>
      <c r="U2208" s="129"/>
      <c r="V2208" s="129"/>
    </row>
    <row r="2209" spans="1:22" x14ac:dyDescent="0.2">
      <c r="A2209" s="144"/>
      <c r="B2209" s="145"/>
      <c r="C2209" s="129"/>
      <c r="D2209" s="129"/>
      <c r="E2209" s="129"/>
      <c r="F2209" s="129"/>
      <c r="G2209" s="144"/>
      <c r="H2209" s="129"/>
      <c r="I2209" s="144"/>
      <c r="J2209" s="144"/>
      <c r="K2209" s="144"/>
      <c r="L2209" s="146"/>
      <c r="M2209" s="142"/>
      <c r="N2209" s="144"/>
      <c r="O2209" s="142"/>
      <c r="P2209" s="142"/>
      <c r="Q2209" s="142"/>
      <c r="R2209" s="129"/>
      <c r="S2209" s="143"/>
      <c r="T2209" s="144"/>
      <c r="U2209" s="129"/>
      <c r="V2209" s="129"/>
    </row>
    <row r="2210" spans="1:22" x14ac:dyDescent="0.2">
      <c r="A2210" s="144"/>
      <c r="B2210" s="145"/>
      <c r="C2210" s="129"/>
      <c r="D2210" s="129"/>
      <c r="E2210" s="129"/>
      <c r="F2210" s="129"/>
      <c r="G2210" s="144"/>
      <c r="H2210" s="129"/>
      <c r="I2210" s="144"/>
      <c r="J2210" s="144"/>
      <c r="K2210" s="144"/>
      <c r="L2210" s="146"/>
      <c r="M2210" s="142"/>
      <c r="N2210" s="144"/>
      <c r="O2210" s="142"/>
      <c r="P2210" s="142"/>
      <c r="Q2210" s="142"/>
      <c r="R2210" s="129"/>
      <c r="S2210" s="143"/>
      <c r="T2210" s="144"/>
      <c r="U2210" s="129"/>
      <c r="V2210" s="129"/>
    </row>
    <row r="2211" spans="1:22" x14ac:dyDescent="0.2">
      <c r="A2211" s="144"/>
      <c r="B2211" s="145"/>
      <c r="C2211" s="129"/>
      <c r="D2211" s="129"/>
      <c r="E2211" s="129"/>
      <c r="F2211" s="129"/>
      <c r="G2211" s="144"/>
      <c r="H2211" s="129"/>
      <c r="I2211" s="144"/>
      <c r="J2211" s="144"/>
      <c r="K2211" s="144"/>
      <c r="L2211" s="146"/>
      <c r="M2211" s="142"/>
      <c r="N2211" s="144"/>
      <c r="O2211" s="142"/>
      <c r="P2211" s="142"/>
      <c r="Q2211" s="142"/>
      <c r="R2211" s="129"/>
      <c r="S2211" s="143"/>
      <c r="T2211" s="144"/>
      <c r="U2211" s="129"/>
      <c r="V2211" s="129"/>
    </row>
    <row r="2212" spans="1:22" x14ac:dyDescent="0.2">
      <c r="A2212" s="144"/>
      <c r="B2212" s="145"/>
      <c r="C2212" s="129"/>
      <c r="D2212" s="129"/>
      <c r="E2212" s="129"/>
      <c r="F2212" s="129"/>
      <c r="G2212" s="144"/>
      <c r="H2212" s="129"/>
      <c r="I2212" s="144"/>
      <c r="J2212" s="144"/>
      <c r="K2212" s="144"/>
      <c r="L2212" s="146"/>
      <c r="M2212" s="142"/>
      <c r="N2212" s="144"/>
      <c r="O2212" s="142"/>
      <c r="P2212" s="142"/>
      <c r="Q2212" s="142"/>
      <c r="R2212" s="129"/>
      <c r="S2212" s="143"/>
      <c r="T2212" s="144"/>
      <c r="U2212" s="129"/>
      <c r="V2212" s="129"/>
    </row>
    <row r="2213" spans="1:22" x14ac:dyDescent="0.2">
      <c r="A2213" s="144"/>
      <c r="B2213" s="145"/>
      <c r="C2213" s="129"/>
      <c r="D2213" s="129"/>
      <c r="E2213" s="129"/>
      <c r="F2213" s="129"/>
      <c r="G2213" s="144"/>
      <c r="H2213" s="129"/>
      <c r="I2213" s="144"/>
      <c r="J2213" s="144"/>
      <c r="K2213" s="144"/>
      <c r="L2213" s="146"/>
      <c r="M2213" s="142"/>
      <c r="N2213" s="144"/>
      <c r="O2213" s="142"/>
      <c r="P2213" s="142"/>
      <c r="Q2213" s="142"/>
      <c r="R2213" s="129"/>
      <c r="S2213" s="143"/>
      <c r="T2213" s="144"/>
      <c r="U2213" s="129"/>
      <c r="V2213" s="129"/>
    </row>
    <row r="2214" spans="1:22" x14ac:dyDescent="0.2">
      <c r="A2214" s="144"/>
      <c r="B2214" s="145"/>
      <c r="C2214" s="129"/>
      <c r="D2214" s="129"/>
      <c r="E2214" s="129"/>
      <c r="F2214" s="129"/>
      <c r="G2214" s="144"/>
      <c r="H2214" s="129"/>
      <c r="I2214" s="144"/>
      <c r="J2214" s="144"/>
      <c r="K2214" s="144"/>
      <c r="L2214" s="146"/>
      <c r="M2214" s="142"/>
      <c r="N2214" s="144"/>
      <c r="O2214" s="142"/>
      <c r="P2214" s="142"/>
      <c r="Q2214" s="142"/>
      <c r="R2214" s="129"/>
      <c r="S2214" s="143"/>
      <c r="T2214" s="144"/>
      <c r="U2214" s="129"/>
      <c r="V2214" s="129"/>
    </row>
    <row r="2215" spans="1:22" x14ac:dyDescent="0.2">
      <c r="A2215" s="144"/>
      <c r="B2215" s="145"/>
      <c r="C2215" s="129"/>
      <c r="D2215" s="129"/>
      <c r="E2215" s="129"/>
      <c r="F2215" s="129"/>
      <c r="G2215" s="144"/>
      <c r="H2215" s="129"/>
      <c r="I2215" s="144"/>
      <c r="J2215" s="144"/>
      <c r="K2215" s="144"/>
      <c r="L2215" s="146"/>
      <c r="M2215" s="142"/>
      <c r="N2215" s="144"/>
      <c r="O2215" s="142"/>
      <c r="P2215" s="142"/>
      <c r="Q2215" s="142"/>
      <c r="R2215" s="129"/>
      <c r="S2215" s="143"/>
      <c r="T2215" s="144"/>
      <c r="U2215" s="129"/>
      <c r="V2215" s="129"/>
    </row>
    <row r="2216" spans="1:22" x14ac:dyDescent="0.2">
      <c r="A2216" s="144"/>
      <c r="B2216" s="145"/>
      <c r="C2216" s="129"/>
      <c r="D2216" s="129"/>
      <c r="E2216" s="129"/>
      <c r="F2216" s="129"/>
      <c r="G2216" s="144"/>
      <c r="H2216" s="129"/>
      <c r="I2216" s="144"/>
      <c r="J2216" s="144"/>
      <c r="K2216" s="144"/>
      <c r="L2216" s="146"/>
      <c r="M2216" s="142"/>
      <c r="N2216" s="144"/>
      <c r="O2216" s="142"/>
      <c r="P2216" s="142"/>
      <c r="Q2216" s="142"/>
      <c r="R2216" s="129"/>
      <c r="S2216" s="143"/>
      <c r="T2216" s="144"/>
      <c r="U2216" s="129"/>
      <c r="V2216" s="129"/>
    </row>
    <row r="2217" spans="1:22" x14ac:dyDescent="0.2">
      <c r="A2217" s="144"/>
      <c r="B2217" s="145"/>
      <c r="C2217" s="129"/>
      <c r="D2217" s="129"/>
      <c r="E2217" s="129"/>
      <c r="F2217" s="129"/>
      <c r="G2217" s="144"/>
      <c r="H2217" s="129"/>
      <c r="I2217" s="144"/>
      <c r="J2217" s="144"/>
      <c r="K2217" s="144"/>
      <c r="L2217" s="146"/>
      <c r="M2217" s="142"/>
      <c r="N2217" s="144"/>
      <c r="O2217" s="142"/>
      <c r="P2217" s="142"/>
      <c r="Q2217" s="142"/>
      <c r="R2217" s="129"/>
      <c r="S2217" s="143"/>
      <c r="T2217" s="144"/>
      <c r="U2217" s="129"/>
      <c r="V2217" s="129"/>
    </row>
    <row r="2218" spans="1:22" x14ac:dyDescent="0.2">
      <c r="A2218" s="144"/>
      <c r="B2218" s="145"/>
      <c r="C2218" s="129"/>
      <c r="D2218" s="129"/>
      <c r="E2218" s="129"/>
      <c r="F2218" s="129"/>
      <c r="G2218" s="144"/>
      <c r="H2218" s="129"/>
      <c r="I2218" s="144"/>
      <c r="J2218" s="144"/>
      <c r="K2218" s="144"/>
      <c r="L2218" s="146"/>
      <c r="M2218" s="142"/>
      <c r="N2218" s="144"/>
      <c r="O2218" s="142"/>
      <c r="P2218" s="142"/>
      <c r="Q2218" s="142"/>
      <c r="R2218" s="129"/>
      <c r="S2218" s="143"/>
      <c r="T2218" s="144"/>
      <c r="U2218" s="129"/>
      <c r="V2218" s="129"/>
    </row>
    <row r="2219" spans="1:22" x14ac:dyDescent="0.2">
      <c r="A2219" s="144"/>
      <c r="B2219" s="145"/>
      <c r="C2219" s="129"/>
      <c r="D2219" s="129"/>
      <c r="E2219" s="129"/>
      <c r="F2219" s="129"/>
      <c r="G2219" s="144"/>
      <c r="H2219" s="129"/>
      <c r="I2219" s="144"/>
      <c r="J2219" s="144"/>
      <c r="K2219" s="144"/>
      <c r="L2219" s="146"/>
      <c r="M2219" s="142"/>
      <c r="N2219" s="144"/>
      <c r="O2219" s="142"/>
      <c r="P2219" s="142"/>
      <c r="Q2219" s="142"/>
      <c r="R2219" s="129"/>
      <c r="S2219" s="143"/>
      <c r="T2219" s="144"/>
      <c r="U2219" s="129"/>
      <c r="V2219" s="129"/>
    </row>
    <row r="2220" spans="1:22" x14ac:dyDescent="0.2">
      <c r="A2220" s="144"/>
      <c r="B2220" s="145"/>
      <c r="C2220" s="129"/>
      <c r="D2220" s="129"/>
      <c r="E2220" s="129"/>
      <c r="F2220" s="129"/>
      <c r="G2220" s="144"/>
      <c r="H2220" s="129"/>
      <c r="I2220" s="144"/>
      <c r="J2220" s="144"/>
      <c r="K2220" s="144"/>
      <c r="L2220" s="146"/>
      <c r="M2220" s="142"/>
      <c r="N2220" s="144"/>
      <c r="O2220" s="142"/>
      <c r="P2220" s="142"/>
      <c r="Q2220" s="142"/>
      <c r="R2220" s="129"/>
      <c r="S2220" s="143"/>
      <c r="T2220" s="144"/>
      <c r="U2220" s="129"/>
      <c r="V2220" s="129"/>
    </row>
    <row r="2221" spans="1:22" x14ac:dyDescent="0.2">
      <c r="A2221" s="144"/>
      <c r="B2221" s="145"/>
      <c r="C2221" s="129"/>
      <c r="D2221" s="129"/>
      <c r="E2221" s="129"/>
      <c r="F2221" s="129"/>
      <c r="G2221" s="144"/>
      <c r="H2221" s="129"/>
      <c r="I2221" s="144"/>
      <c r="J2221" s="144"/>
      <c r="K2221" s="144"/>
      <c r="L2221" s="146"/>
      <c r="M2221" s="142"/>
      <c r="N2221" s="144"/>
      <c r="O2221" s="142"/>
      <c r="P2221" s="142"/>
      <c r="Q2221" s="142"/>
      <c r="R2221" s="129"/>
      <c r="S2221" s="143"/>
      <c r="T2221" s="144"/>
      <c r="U2221" s="129"/>
      <c r="V2221" s="129"/>
    </row>
    <row r="2222" spans="1:22" x14ac:dyDescent="0.2">
      <c r="A2222" s="144"/>
      <c r="B2222" s="145"/>
      <c r="C2222" s="129"/>
      <c r="D2222" s="129"/>
      <c r="E2222" s="129"/>
      <c r="F2222" s="129"/>
      <c r="G2222" s="144"/>
      <c r="H2222" s="129"/>
      <c r="I2222" s="144"/>
      <c r="J2222" s="144"/>
      <c r="K2222" s="144"/>
      <c r="L2222" s="146"/>
      <c r="M2222" s="142"/>
      <c r="N2222" s="144"/>
      <c r="O2222" s="142"/>
      <c r="P2222" s="142"/>
      <c r="Q2222" s="142"/>
      <c r="R2222" s="129"/>
      <c r="S2222" s="143"/>
      <c r="T2222" s="144"/>
      <c r="U2222" s="129"/>
      <c r="V2222" s="129"/>
    </row>
    <row r="2223" spans="1:22" x14ac:dyDescent="0.2">
      <c r="A2223" s="144"/>
      <c r="B2223" s="145"/>
      <c r="C2223" s="129"/>
      <c r="D2223" s="129"/>
      <c r="E2223" s="129"/>
      <c r="F2223" s="129"/>
      <c r="G2223" s="144"/>
      <c r="H2223" s="129"/>
      <c r="I2223" s="144"/>
      <c r="J2223" s="144"/>
      <c r="K2223" s="144"/>
      <c r="L2223" s="146"/>
      <c r="M2223" s="142"/>
      <c r="N2223" s="144"/>
      <c r="O2223" s="142"/>
      <c r="P2223" s="142"/>
      <c r="Q2223" s="142"/>
      <c r="R2223" s="129"/>
      <c r="S2223" s="143"/>
      <c r="T2223" s="144"/>
      <c r="U2223" s="129"/>
      <c r="V2223" s="129"/>
    </row>
    <row r="2224" spans="1:22" x14ac:dyDescent="0.2">
      <c r="A2224" s="144"/>
      <c r="B2224" s="145"/>
      <c r="C2224" s="129"/>
      <c r="D2224" s="129"/>
      <c r="E2224" s="129"/>
      <c r="F2224" s="129"/>
      <c r="G2224" s="144"/>
      <c r="H2224" s="129"/>
      <c r="I2224" s="144"/>
      <c r="J2224" s="144"/>
      <c r="K2224" s="144"/>
      <c r="L2224" s="146"/>
      <c r="M2224" s="142"/>
      <c r="N2224" s="144"/>
      <c r="O2224" s="142"/>
      <c r="P2224" s="142"/>
      <c r="Q2224" s="142"/>
      <c r="R2224" s="129"/>
      <c r="S2224" s="143"/>
      <c r="T2224" s="144"/>
      <c r="U2224" s="129"/>
      <c r="V2224" s="129"/>
    </row>
    <row r="2225" spans="1:22" x14ac:dyDescent="0.2">
      <c r="A2225" s="144"/>
      <c r="B2225" s="145"/>
      <c r="C2225" s="129"/>
      <c r="D2225" s="129"/>
      <c r="E2225" s="129"/>
      <c r="F2225" s="129"/>
      <c r="G2225" s="144"/>
      <c r="H2225" s="129"/>
      <c r="I2225" s="144"/>
      <c r="J2225" s="144"/>
      <c r="K2225" s="144"/>
      <c r="L2225" s="146"/>
      <c r="M2225" s="142"/>
      <c r="N2225" s="144"/>
      <c r="O2225" s="142"/>
      <c r="P2225" s="142"/>
      <c r="Q2225" s="142"/>
      <c r="R2225" s="129"/>
      <c r="S2225" s="143"/>
      <c r="T2225" s="144"/>
      <c r="U2225" s="129"/>
      <c r="V2225" s="129"/>
    </row>
    <row r="2226" spans="1:22" x14ac:dyDescent="0.2">
      <c r="A2226" s="144"/>
      <c r="B2226" s="145"/>
      <c r="C2226" s="129"/>
      <c r="D2226" s="129"/>
      <c r="E2226" s="129"/>
      <c r="F2226" s="129"/>
      <c r="G2226" s="144"/>
      <c r="H2226" s="129"/>
      <c r="I2226" s="144"/>
      <c r="J2226" s="144"/>
      <c r="K2226" s="144"/>
      <c r="L2226" s="146"/>
      <c r="M2226" s="142"/>
      <c r="N2226" s="144"/>
      <c r="O2226" s="142"/>
      <c r="P2226" s="142"/>
      <c r="Q2226" s="142"/>
      <c r="R2226" s="129"/>
      <c r="S2226" s="143"/>
      <c r="T2226" s="144"/>
      <c r="U2226" s="129"/>
      <c r="V2226" s="129"/>
    </row>
    <row r="2227" spans="1:22" x14ac:dyDescent="0.2">
      <c r="A2227" s="144"/>
      <c r="B2227" s="145"/>
      <c r="C2227" s="129"/>
      <c r="D2227" s="129"/>
      <c r="E2227" s="129"/>
      <c r="F2227" s="129"/>
      <c r="G2227" s="144"/>
      <c r="H2227" s="129"/>
      <c r="I2227" s="144"/>
      <c r="J2227" s="144"/>
      <c r="K2227" s="144"/>
      <c r="L2227" s="146"/>
      <c r="M2227" s="142"/>
      <c r="N2227" s="144"/>
      <c r="O2227" s="142"/>
      <c r="P2227" s="142"/>
      <c r="Q2227" s="142"/>
      <c r="R2227" s="129"/>
      <c r="S2227" s="143"/>
      <c r="T2227" s="144"/>
      <c r="U2227" s="129"/>
      <c r="V2227" s="129"/>
    </row>
    <row r="2228" spans="1:22" x14ac:dyDescent="0.2">
      <c r="A2228" s="144"/>
      <c r="B2228" s="145"/>
      <c r="C2228" s="129"/>
      <c r="D2228" s="129"/>
      <c r="E2228" s="129"/>
      <c r="F2228" s="129"/>
      <c r="G2228" s="144"/>
      <c r="H2228" s="129"/>
      <c r="I2228" s="144"/>
      <c r="J2228" s="144"/>
      <c r="K2228" s="144"/>
      <c r="L2228" s="146"/>
      <c r="M2228" s="142"/>
      <c r="N2228" s="144"/>
      <c r="O2228" s="142"/>
      <c r="P2228" s="142"/>
      <c r="Q2228" s="142"/>
      <c r="R2228" s="129"/>
      <c r="S2228" s="143"/>
      <c r="T2228" s="144"/>
      <c r="U2228" s="129"/>
      <c r="V2228" s="129"/>
    </row>
    <row r="2229" spans="1:22" x14ac:dyDescent="0.2">
      <c r="A2229" s="144"/>
      <c r="B2229" s="145"/>
      <c r="C2229" s="129"/>
      <c r="D2229" s="129"/>
      <c r="E2229" s="129"/>
      <c r="F2229" s="129"/>
      <c r="G2229" s="144"/>
      <c r="H2229" s="129"/>
      <c r="I2229" s="144"/>
      <c r="J2229" s="144"/>
      <c r="K2229" s="144"/>
      <c r="L2229" s="146"/>
      <c r="M2229" s="142"/>
      <c r="N2229" s="144"/>
      <c r="O2229" s="142"/>
      <c r="P2229" s="142"/>
      <c r="Q2229" s="142"/>
      <c r="R2229" s="129"/>
      <c r="S2229" s="143"/>
      <c r="T2229" s="144"/>
      <c r="U2229" s="129"/>
      <c r="V2229" s="129"/>
    </row>
    <row r="2230" spans="1:22" x14ac:dyDescent="0.2">
      <c r="A2230" s="144"/>
      <c r="B2230" s="145"/>
      <c r="C2230" s="129"/>
      <c r="D2230" s="129"/>
      <c r="E2230" s="129"/>
      <c r="F2230" s="129"/>
      <c r="G2230" s="144"/>
      <c r="H2230" s="129"/>
      <c r="I2230" s="144"/>
      <c r="J2230" s="144"/>
      <c r="K2230" s="144"/>
      <c r="L2230" s="146"/>
      <c r="M2230" s="142"/>
      <c r="N2230" s="144"/>
      <c r="O2230" s="142"/>
      <c r="P2230" s="142"/>
      <c r="Q2230" s="142"/>
      <c r="R2230" s="129"/>
      <c r="S2230" s="143"/>
      <c r="T2230" s="144"/>
      <c r="U2230" s="129"/>
      <c r="V2230" s="129"/>
    </row>
    <row r="2231" spans="1:22" x14ac:dyDescent="0.2">
      <c r="A2231" s="144"/>
      <c r="B2231" s="145"/>
      <c r="C2231" s="129"/>
      <c r="D2231" s="129"/>
      <c r="E2231" s="129"/>
      <c r="F2231" s="129"/>
      <c r="G2231" s="144"/>
      <c r="H2231" s="129"/>
      <c r="I2231" s="144"/>
      <c r="J2231" s="144"/>
      <c r="K2231" s="144"/>
      <c r="L2231" s="146"/>
      <c r="M2231" s="142"/>
      <c r="N2231" s="144"/>
      <c r="O2231" s="142"/>
      <c r="P2231" s="142"/>
      <c r="Q2231" s="142"/>
      <c r="R2231" s="129"/>
      <c r="S2231" s="143"/>
      <c r="T2231" s="144"/>
      <c r="U2231" s="129"/>
      <c r="V2231" s="129"/>
    </row>
    <row r="2232" spans="1:22" x14ac:dyDescent="0.2">
      <c r="A2232" s="144"/>
      <c r="B2232" s="145"/>
      <c r="C2232" s="129"/>
      <c r="D2232" s="129"/>
      <c r="E2232" s="129"/>
      <c r="F2232" s="129"/>
      <c r="G2232" s="144"/>
      <c r="H2232" s="129"/>
      <c r="I2232" s="144"/>
      <c r="J2232" s="144"/>
      <c r="K2232" s="144"/>
      <c r="L2232" s="146"/>
      <c r="M2232" s="142"/>
      <c r="N2232" s="144"/>
      <c r="O2232" s="142"/>
      <c r="P2232" s="142"/>
      <c r="Q2232" s="142"/>
      <c r="R2232" s="129"/>
      <c r="S2232" s="143"/>
      <c r="T2232" s="144"/>
      <c r="U2232" s="129"/>
      <c r="V2232" s="129"/>
    </row>
    <row r="2233" spans="1:22" x14ac:dyDescent="0.2">
      <c r="A2233" s="144"/>
      <c r="B2233" s="145"/>
      <c r="C2233" s="129"/>
      <c r="D2233" s="129"/>
      <c r="E2233" s="129"/>
      <c r="F2233" s="129"/>
      <c r="G2233" s="144"/>
      <c r="H2233" s="129"/>
      <c r="I2233" s="144"/>
      <c r="J2233" s="144"/>
      <c r="K2233" s="144"/>
      <c r="L2233" s="146"/>
      <c r="M2233" s="142"/>
      <c r="N2233" s="144"/>
      <c r="O2233" s="142"/>
      <c r="P2233" s="142"/>
      <c r="Q2233" s="142"/>
      <c r="R2233" s="129"/>
      <c r="S2233" s="143"/>
      <c r="T2233" s="144"/>
      <c r="U2233" s="129"/>
      <c r="V2233" s="129"/>
    </row>
    <row r="2234" spans="1:22" x14ac:dyDescent="0.2">
      <c r="A2234" s="144"/>
      <c r="B2234" s="145"/>
      <c r="C2234" s="129"/>
      <c r="D2234" s="129"/>
      <c r="E2234" s="129"/>
      <c r="F2234" s="129"/>
      <c r="G2234" s="144"/>
      <c r="H2234" s="129"/>
      <c r="I2234" s="144"/>
      <c r="J2234" s="144"/>
      <c r="K2234" s="144"/>
      <c r="L2234" s="146"/>
      <c r="M2234" s="142"/>
      <c r="N2234" s="144"/>
      <c r="O2234" s="142"/>
      <c r="P2234" s="142"/>
      <c r="Q2234" s="142"/>
      <c r="R2234" s="129"/>
      <c r="S2234" s="143"/>
      <c r="T2234" s="144"/>
      <c r="U2234" s="129"/>
      <c r="V2234" s="129"/>
    </row>
    <row r="2235" spans="1:22" x14ac:dyDescent="0.2">
      <c r="A2235" s="144"/>
      <c r="B2235" s="145"/>
      <c r="C2235" s="129"/>
      <c r="D2235" s="129"/>
      <c r="E2235" s="129"/>
      <c r="F2235" s="129"/>
      <c r="G2235" s="144"/>
      <c r="H2235" s="129"/>
      <c r="I2235" s="144"/>
      <c r="J2235" s="144"/>
      <c r="K2235" s="144"/>
      <c r="L2235" s="146"/>
      <c r="M2235" s="142"/>
      <c r="N2235" s="144"/>
      <c r="O2235" s="142"/>
      <c r="P2235" s="142"/>
      <c r="Q2235" s="142"/>
      <c r="R2235" s="129"/>
      <c r="S2235" s="143"/>
      <c r="T2235" s="144"/>
      <c r="U2235" s="129"/>
      <c r="V2235" s="129"/>
    </row>
    <row r="2236" spans="1:22" x14ac:dyDescent="0.2">
      <c r="A2236" s="144"/>
      <c r="B2236" s="145"/>
      <c r="C2236" s="129"/>
      <c r="D2236" s="129"/>
      <c r="E2236" s="129"/>
      <c r="F2236" s="129"/>
      <c r="G2236" s="144"/>
      <c r="H2236" s="129"/>
      <c r="I2236" s="144"/>
      <c r="J2236" s="144"/>
      <c r="K2236" s="144"/>
      <c r="L2236" s="146"/>
      <c r="M2236" s="142"/>
      <c r="N2236" s="144"/>
      <c r="O2236" s="142"/>
      <c r="P2236" s="142"/>
      <c r="Q2236" s="142"/>
      <c r="R2236" s="129"/>
      <c r="S2236" s="143"/>
      <c r="T2236" s="144"/>
      <c r="U2236" s="129"/>
      <c r="V2236" s="129"/>
    </row>
    <row r="2237" spans="1:22" x14ac:dyDescent="0.2">
      <c r="A2237" s="144"/>
      <c r="B2237" s="145"/>
      <c r="C2237" s="129"/>
      <c r="D2237" s="129"/>
      <c r="E2237" s="129"/>
      <c r="F2237" s="129"/>
      <c r="G2237" s="144"/>
      <c r="H2237" s="129"/>
      <c r="I2237" s="144"/>
      <c r="J2237" s="144"/>
      <c r="K2237" s="144"/>
      <c r="L2237" s="146"/>
      <c r="M2237" s="142"/>
      <c r="N2237" s="144"/>
      <c r="O2237" s="142"/>
      <c r="P2237" s="142"/>
      <c r="Q2237" s="142"/>
      <c r="R2237" s="129"/>
      <c r="S2237" s="143"/>
      <c r="T2237" s="144"/>
      <c r="U2237" s="129"/>
      <c r="V2237" s="129"/>
    </row>
    <row r="2238" spans="1:22" x14ac:dyDescent="0.2">
      <c r="A2238" s="144"/>
      <c r="B2238" s="145"/>
      <c r="C2238" s="129"/>
      <c r="D2238" s="129"/>
      <c r="E2238" s="129"/>
      <c r="F2238" s="129"/>
      <c r="G2238" s="144"/>
      <c r="H2238" s="129"/>
      <c r="I2238" s="144"/>
      <c r="J2238" s="144"/>
      <c r="K2238" s="144"/>
      <c r="L2238" s="146"/>
      <c r="M2238" s="142"/>
      <c r="N2238" s="144"/>
      <c r="O2238" s="142"/>
      <c r="P2238" s="142"/>
      <c r="Q2238" s="142"/>
      <c r="R2238" s="129"/>
      <c r="S2238" s="143"/>
      <c r="T2238" s="144"/>
      <c r="U2238" s="129"/>
      <c r="V2238" s="129"/>
    </row>
    <row r="2239" spans="1:22" x14ac:dyDescent="0.2">
      <c r="A2239" s="144"/>
      <c r="B2239" s="145"/>
      <c r="C2239" s="129"/>
      <c r="D2239" s="129"/>
      <c r="E2239" s="129"/>
      <c r="F2239" s="129"/>
      <c r="G2239" s="144"/>
      <c r="H2239" s="129"/>
      <c r="I2239" s="144"/>
      <c r="J2239" s="144"/>
      <c r="K2239" s="144"/>
      <c r="L2239" s="146"/>
      <c r="M2239" s="142"/>
      <c r="N2239" s="144"/>
      <c r="O2239" s="142"/>
      <c r="P2239" s="142"/>
      <c r="Q2239" s="142"/>
      <c r="R2239" s="129"/>
      <c r="S2239" s="143"/>
      <c r="T2239" s="144"/>
      <c r="U2239" s="129"/>
      <c r="V2239" s="129"/>
    </row>
    <row r="2240" spans="1:22" x14ac:dyDescent="0.2">
      <c r="A2240" s="144"/>
      <c r="B2240" s="145"/>
      <c r="C2240" s="129"/>
      <c r="D2240" s="129"/>
      <c r="E2240" s="129"/>
      <c r="F2240" s="129"/>
      <c r="G2240" s="144"/>
      <c r="H2240" s="129"/>
      <c r="I2240" s="144"/>
      <c r="J2240" s="144"/>
      <c r="K2240" s="144"/>
      <c r="L2240" s="146"/>
      <c r="M2240" s="142"/>
      <c r="N2240" s="144"/>
      <c r="O2240" s="142"/>
      <c r="P2240" s="142"/>
      <c r="Q2240" s="142"/>
      <c r="R2240" s="129"/>
      <c r="S2240" s="143"/>
      <c r="T2240" s="144"/>
      <c r="U2240" s="129"/>
      <c r="V2240" s="129"/>
    </row>
    <row r="2241" spans="1:22" x14ac:dyDescent="0.2">
      <c r="A2241" s="144"/>
      <c r="B2241" s="145"/>
      <c r="C2241" s="129"/>
      <c r="D2241" s="129"/>
      <c r="E2241" s="129"/>
      <c r="F2241" s="129"/>
      <c r="G2241" s="144"/>
      <c r="H2241" s="129"/>
      <c r="I2241" s="144"/>
      <c r="J2241" s="144"/>
      <c r="K2241" s="144"/>
      <c r="L2241" s="146"/>
      <c r="M2241" s="142"/>
      <c r="N2241" s="144"/>
      <c r="O2241" s="142"/>
      <c r="P2241" s="142"/>
      <c r="Q2241" s="142"/>
      <c r="R2241" s="129"/>
      <c r="S2241" s="143"/>
      <c r="T2241" s="144"/>
      <c r="U2241" s="129"/>
      <c r="V2241" s="129"/>
    </row>
    <row r="2242" spans="1:22" x14ac:dyDescent="0.2">
      <c r="A2242" s="144"/>
      <c r="B2242" s="145"/>
      <c r="C2242" s="129"/>
      <c r="D2242" s="129"/>
      <c r="E2242" s="129"/>
      <c r="F2242" s="129"/>
      <c r="G2242" s="144"/>
      <c r="H2242" s="129"/>
      <c r="I2242" s="144"/>
      <c r="J2242" s="144"/>
      <c r="K2242" s="144"/>
      <c r="L2242" s="146"/>
      <c r="M2242" s="142"/>
      <c r="N2242" s="144"/>
      <c r="O2242" s="142"/>
      <c r="P2242" s="142"/>
      <c r="Q2242" s="142"/>
      <c r="R2242" s="129"/>
      <c r="S2242" s="143"/>
      <c r="T2242" s="144"/>
      <c r="U2242" s="129"/>
      <c r="V2242" s="129"/>
    </row>
    <row r="2243" spans="1:22" x14ac:dyDescent="0.2">
      <c r="A2243" s="144"/>
      <c r="B2243" s="145"/>
      <c r="C2243" s="129"/>
      <c r="D2243" s="129"/>
      <c r="E2243" s="129"/>
      <c r="F2243" s="129"/>
      <c r="G2243" s="144"/>
      <c r="H2243" s="129"/>
      <c r="I2243" s="144"/>
      <c r="J2243" s="144"/>
      <c r="K2243" s="144"/>
      <c r="L2243" s="146"/>
      <c r="M2243" s="142"/>
      <c r="N2243" s="144"/>
      <c r="O2243" s="142"/>
      <c r="P2243" s="142"/>
      <c r="Q2243" s="142"/>
      <c r="R2243" s="129"/>
      <c r="S2243" s="143"/>
      <c r="T2243" s="144"/>
      <c r="U2243" s="129"/>
      <c r="V2243" s="129"/>
    </row>
    <row r="2244" spans="1:22" x14ac:dyDescent="0.2">
      <c r="A2244" s="144"/>
      <c r="B2244" s="145"/>
      <c r="C2244" s="129"/>
      <c r="D2244" s="129"/>
      <c r="E2244" s="129"/>
      <c r="F2244" s="129"/>
      <c r="G2244" s="144"/>
      <c r="H2244" s="129"/>
      <c r="I2244" s="144"/>
      <c r="J2244" s="144"/>
      <c r="K2244" s="144"/>
      <c r="L2244" s="146"/>
      <c r="M2244" s="142"/>
      <c r="N2244" s="144"/>
      <c r="O2244" s="142"/>
      <c r="P2244" s="142"/>
      <c r="Q2244" s="142"/>
      <c r="R2244" s="129"/>
      <c r="S2244" s="143"/>
      <c r="T2244" s="144"/>
      <c r="U2244" s="129"/>
      <c r="V2244" s="129"/>
    </row>
    <row r="2245" spans="1:22" x14ac:dyDescent="0.2">
      <c r="A2245" s="144"/>
      <c r="B2245" s="145"/>
      <c r="C2245" s="129"/>
      <c r="D2245" s="129"/>
      <c r="E2245" s="129"/>
      <c r="F2245" s="129"/>
      <c r="G2245" s="144"/>
      <c r="H2245" s="129"/>
      <c r="I2245" s="144"/>
      <c r="J2245" s="144"/>
      <c r="K2245" s="144"/>
      <c r="L2245" s="146"/>
      <c r="M2245" s="142"/>
      <c r="N2245" s="144"/>
      <c r="O2245" s="142"/>
      <c r="P2245" s="142"/>
      <c r="Q2245" s="142"/>
      <c r="R2245" s="129"/>
      <c r="S2245" s="143"/>
      <c r="T2245" s="144"/>
      <c r="U2245" s="129"/>
      <c r="V2245" s="129"/>
    </row>
    <row r="2246" spans="1:22" x14ac:dyDescent="0.2">
      <c r="A2246" s="144"/>
      <c r="B2246" s="145"/>
      <c r="C2246" s="129"/>
      <c r="D2246" s="129"/>
      <c r="E2246" s="129"/>
      <c r="F2246" s="129"/>
      <c r="G2246" s="144"/>
      <c r="H2246" s="129"/>
      <c r="I2246" s="144"/>
      <c r="J2246" s="144"/>
      <c r="K2246" s="144"/>
      <c r="L2246" s="146"/>
      <c r="M2246" s="142"/>
      <c r="N2246" s="144"/>
      <c r="O2246" s="142"/>
      <c r="P2246" s="142"/>
      <c r="Q2246" s="142"/>
      <c r="R2246" s="129"/>
      <c r="S2246" s="143"/>
      <c r="T2246" s="144"/>
      <c r="U2246" s="129"/>
      <c r="V2246" s="129"/>
    </row>
    <row r="2247" spans="1:22" x14ac:dyDescent="0.2">
      <c r="A2247" s="144"/>
      <c r="B2247" s="145"/>
      <c r="C2247" s="129"/>
      <c r="D2247" s="129"/>
      <c r="E2247" s="129"/>
      <c r="F2247" s="129"/>
      <c r="G2247" s="144"/>
      <c r="H2247" s="129"/>
      <c r="I2247" s="144"/>
      <c r="J2247" s="144"/>
      <c r="K2247" s="144"/>
      <c r="L2247" s="146"/>
      <c r="M2247" s="142"/>
      <c r="N2247" s="144"/>
      <c r="O2247" s="142"/>
      <c r="P2247" s="142"/>
      <c r="Q2247" s="142"/>
      <c r="R2247" s="129"/>
      <c r="S2247" s="143"/>
      <c r="T2247" s="144"/>
      <c r="U2247" s="129"/>
      <c r="V2247" s="129"/>
    </row>
    <row r="2248" spans="1:22" x14ac:dyDescent="0.2">
      <c r="A2248" s="144"/>
      <c r="B2248" s="145"/>
      <c r="C2248" s="129"/>
      <c r="D2248" s="129"/>
      <c r="E2248" s="129"/>
      <c r="F2248" s="129"/>
      <c r="G2248" s="144"/>
      <c r="H2248" s="129"/>
      <c r="I2248" s="144"/>
      <c r="J2248" s="144"/>
      <c r="K2248" s="144"/>
      <c r="L2248" s="146"/>
      <c r="M2248" s="142"/>
      <c r="N2248" s="144"/>
      <c r="O2248" s="142"/>
      <c r="P2248" s="142"/>
      <c r="Q2248" s="142"/>
      <c r="R2248" s="129"/>
      <c r="S2248" s="143"/>
      <c r="T2248" s="144"/>
      <c r="U2248" s="129"/>
      <c r="V2248" s="129"/>
    </row>
    <row r="2249" spans="1:22" x14ac:dyDescent="0.2">
      <c r="A2249" s="144"/>
      <c r="B2249" s="145"/>
      <c r="C2249" s="129"/>
      <c r="D2249" s="129"/>
      <c r="E2249" s="129"/>
      <c r="F2249" s="129"/>
      <c r="G2249" s="144"/>
      <c r="H2249" s="129"/>
      <c r="I2249" s="144"/>
      <c r="J2249" s="144"/>
      <c r="K2249" s="144"/>
      <c r="L2249" s="146"/>
      <c r="M2249" s="142"/>
      <c r="N2249" s="144"/>
      <c r="O2249" s="142"/>
      <c r="P2249" s="142"/>
      <c r="Q2249" s="142"/>
      <c r="R2249" s="129"/>
      <c r="S2249" s="143"/>
      <c r="T2249" s="144"/>
      <c r="U2249" s="129"/>
      <c r="V2249" s="129"/>
    </row>
    <row r="2250" spans="1:22" x14ac:dyDescent="0.2">
      <c r="A2250" s="144"/>
      <c r="B2250" s="145"/>
      <c r="C2250" s="129"/>
      <c r="D2250" s="129"/>
      <c r="E2250" s="129"/>
      <c r="F2250" s="129"/>
      <c r="G2250" s="144"/>
      <c r="H2250" s="129"/>
      <c r="I2250" s="144"/>
      <c r="J2250" s="144"/>
      <c r="K2250" s="144"/>
      <c r="L2250" s="146"/>
      <c r="M2250" s="142"/>
      <c r="N2250" s="144"/>
      <c r="O2250" s="142"/>
      <c r="P2250" s="142"/>
      <c r="Q2250" s="142"/>
      <c r="R2250" s="129"/>
      <c r="S2250" s="143"/>
      <c r="T2250" s="144"/>
      <c r="U2250" s="129"/>
      <c r="V2250" s="129"/>
    </row>
    <row r="2251" spans="1:22" x14ac:dyDescent="0.2">
      <c r="A2251" s="144"/>
      <c r="B2251" s="145"/>
      <c r="C2251" s="129"/>
      <c r="D2251" s="129"/>
      <c r="E2251" s="129"/>
      <c r="F2251" s="129"/>
      <c r="G2251" s="144"/>
      <c r="H2251" s="129"/>
      <c r="I2251" s="144"/>
      <c r="J2251" s="144"/>
      <c r="K2251" s="144"/>
      <c r="L2251" s="146"/>
      <c r="M2251" s="142"/>
      <c r="N2251" s="144"/>
      <c r="O2251" s="142"/>
      <c r="P2251" s="142"/>
      <c r="Q2251" s="142"/>
      <c r="R2251" s="129"/>
      <c r="S2251" s="143"/>
      <c r="T2251" s="144"/>
      <c r="U2251" s="129"/>
      <c r="V2251" s="129"/>
    </row>
    <row r="2252" spans="1:22" x14ac:dyDescent="0.2">
      <c r="A2252" s="144"/>
      <c r="B2252" s="145"/>
      <c r="C2252" s="129"/>
      <c r="D2252" s="129"/>
      <c r="E2252" s="129"/>
      <c r="F2252" s="129"/>
      <c r="G2252" s="144"/>
      <c r="H2252" s="129"/>
      <c r="I2252" s="144"/>
      <c r="J2252" s="144"/>
      <c r="K2252" s="144"/>
      <c r="L2252" s="146"/>
      <c r="M2252" s="142"/>
      <c r="N2252" s="144"/>
      <c r="O2252" s="142"/>
      <c r="P2252" s="142"/>
      <c r="Q2252" s="142"/>
      <c r="R2252" s="129"/>
      <c r="S2252" s="143"/>
      <c r="T2252" s="144"/>
      <c r="U2252" s="129"/>
      <c r="V2252" s="129"/>
    </row>
    <row r="2253" spans="1:22" x14ac:dyDescent="0.2">
      <c r="A2253" s="144"/>
      <c r="B2253" s="145"/>
      <c r="C2253" s="129"/>
      <c r="D2253" s="129"/>
      <c r="E2253" s="129"/>
      <c r="F2253" s="129"/>
      <c r="G2253" s="144"/>
      <c r="H2253" s="129"/>
      <c r="I2253" s="144"/>
      <c r="J2253" s="144"/>
      <c r="K2253" s="144"/>
      <c r="L2253" s="146"/>
      <c r="M2253" s="142"/>
      <c r="N2253" s="144"/>
      <c r="O2253" s="142"/>
      <c r="P2253" s="142"/>
      <c r="Q2253" s="142"/>
      <c r="R2253" s="129"/>
      <c r="S2253" s="143"/>
      <c r="T2253" s="144"/>
      <c r="U2253" s="129"/>
      <c r="V2253" s="129"/>
    </row>
    <row r="2254" spans="1:22" x14ac:dyDescent="0.2">
      <c r="A2254" s="144"/>
      <c r="B2254" s="145"/>
      <c r="C2254" s="129"/>
      <c r="D2254" s="129"/>
      <c r="E2254" s="129"/>
      <c r="F2254" s="129"/>
      <c r="G2254" s="144"/>
      <c r="H2254" s="129"/>
      <c r="I2254" s="144"/>
      <c r="J2254" s="144"/>
      <c r="K2254" s="144"/>
      <c r="L2254" s="146"/>
      <c r="M2254" s="142"/>
      <c r="N2254" s="144"/>
      <c r="O2254" s="142"/>
      <c r="P2254" s="142"/>
      <c r="Q2254" s="142"/>
      <c r="R2254" s="129"/>
      <c r="S2254" s="143"/>
      <c r="T2254" s="144"/>
      <c r="U2254" s="129"/>
      <c r="V2254" s="129"/>
    </row>
    <row r="2255" spans="1:22" x14ac:dyDescent="0.2">
      <c r="A2255" s="144"/>
      <c r="B2255" s="145"/>
      <c r="C2255" s="129"/>
      <c r="D2255" s="129"/>
      <c r="E2255" s="129"/>
      <c r="F2255" s="129"/>
      <c r="G2255" s="144"/>
      <c r="H2255" s="129"/>
      <c r="I2255" s="144"/>
      <c r="J2255" s="144"/>
      <c r="K2255" s="144"/>
      <c r="L2255" s="146"/>
      <c r="M2255" s="142"/>
      <c r="N2255" s="144"/>
      <c r="O2255" s="142"/>
      <c r="P2255" s="142"/>
      <c r="Q2255" s="142"/>
      <c r="R2255" s="129"/>
      <c r="S2255" s="143"/>
      <c r="T2255" s="144"/>
      <c r="U2255" s="129"/>
      <c r="V2255" s="129"/>
    </row>
    <row r="2256" spans="1:22" x14ac:dyDescent="0.2">
      <c r="A2256" s="144"/>
      <c r="B2256" s="145"/>
      <c r="C2256" s="129"/>
      <c r="D2256" s="129"/>
      <c r="E2256" s="129"/>
      <c r="F2256" s="129"/>
      <c r="G2256" s="144"/>
      <c r="H2256" s="129"/>
      <c r="I2256" s="144"/>
      <c r="J2256" s="144"/>
      <c r="K2256" s="144"/>
      <c r="L2256" s="146"/>
      <c r="M2256" s="142"/>
      <c r="N2256" s="144"/>
      <c r="O2256" s="142"/>
      <c r="P2256" s="142"/>
      <c r="Q2256" s="142"/>
      <c r="R2256" s="129"/>
      <c r="S2256" s="143"/>
      <c r="T2256" s="144"/>
      <c r="U2256" s="129"/>
      <c r="V2256" s="129"/>
    </row>
    <row r="2257" spans="1:22" x14ac:dyDescent="0.2">
      <c r="A2257" s="144"/>
      <c r="B2257" s="145"/>
      <c r="C2257" s="129"/>
      <c r="D2257" s="129"/>
      <c r="E2257" s="129"/>
      <c r="F2257" s="129"/>
      <c r="G2257" s="144"/>
      <c r="H2257" s="129"/>
      <c r="I2257" s="144"/>
      <c r="J2257" s="144"/>
      <c r="K2257" s="144"/>
      <c r="L2257" s="146"/>
      <c r="M2257" s="142"/>
      <c r="N2257" s="144"/>
      <c r="O2257" s="142"/>
      <c r="P2257" s="142"/>
      <c r="Q2257" s="142"/>
      <c r="R2257" s="129"/>
      <c r="S2257" s="143"/>
      <c r="T2257" s="144"/>
      <c r="U2257" s="129"/>
      <c r="V2257" s="129"/>
    </row>
    <row r="2258" spans="1:22" x14ac:dyDescent="0.2">
      <c r="A2258" s="144"/>
      <c r="B2258" s="145"/>
      <c r="C2258" s="129"/>
      <c r="D2258" s="129"/>
      <c r="E2258" s="129"/>
      <c r="F2258" s="129"/>
      <c r="G2258" s="144"/>
      <c r="H2258" s="129"/>
      <c r="I2258" s="144"/>
      <c r="J2258" s="144"/>
      <c r="K2258" s="144"/>
      <c r="L2258" s="146"/>
      <c r="M2258" s="142"/>
      <c r="N2258" s="144"/>
      <c r="O2258" s="142"/>
      <c r="P2258" s="142"/>
      <c r="Q2258" s="142"/>
      <c r="R2258" s="129"/>
      <c r="S2258" s="143"/>
      <c r="T2258" s="144"/>
      <c r="U2258" s="129"/>
      <c r="V2258" s="129"/>
    </row>
    <row r="2259" spans="1:22" x14ac:dyDescent="0.2">
      <c r="A2259" s="144"/>
      <c r="B2259" s="145"/>
      <c r="C2259" s="129"/>
      <c r="D2259" s="129"/>
      <c r="E2259" s="129"/>
      <c r="F2259" s="129"/>
      <c r="G2259" s="144"/>
      <c r="H2259" s="129"/>
      <c r="I2259" s="144"/>
      <c r="J2259" s="144"/>
      <c r="K2259" s="144"/>
      <c r="L2259" s="146"/>
      <c r="M2259" s="142"/>
      <c r="N2259" s="144"/>
      <c r="O2259" s="142"/>
      <c r="P2259" s="142"/>
      <c r="Q2259" s="142"/>
      <c r="R2259" s="129"/>
      <c r="S2259" s="143"/>
      <c r="T2259" s="144"/>
      <c r="U2259" s="129"/>
      <c r="V2259" s="129"/>
    </row>
    <row r="2260" spans="1:22" x14ac:dyDescent="0.2">
      <c r="A2260" s="144"/>
      <c r="B2260" s="145"/>
      <c r="C2260" s="129"/>
      <c r="D2260" s="129"/>
      <c r="E2260" s="129"/>
      <c r="F2260" s="129"/>
      <c r="G2260" s="144"/>
      <c r="H2260" s="129"/>
      <c r="I2260" s="144"/>
      <c r="J2260" s="144"/>
      <c r="K2260" s="144"/>
      <c r="L2260" s="146"/>
      <c r="M2260" s="142"/>
      <c r="N2260" s="144"/>
      <c r="O2260" s="142"/>
      <c r="P2260" s="142"/>
      <c r="Q2260" s="142"/>
      <c r="R2260" s="129"/>
      <c r="S2260" s="143"/>
      <c r="T2260" s="144"/>
      <c r="U2260" s="129"/>
      <c r="V2260" s="129"/>
    </row>
    <row r="2261" spans="1:22" x14ac:dyDescent="0.2">
      <c r="A2261" s="144"/>
      <c r="B2261" s="145"/>
      <c r="C2261" s="129"/>
      <c r="D2261" s="129"/>
      <c r="E2261" s="129"/>
      <c r="F2261" s="129"/>
      <c r="G2261" s="144"/>
      <c r="H2261" s="129"/>
      <c r="I2261" s="144"/>
      <c r="J2261" s="144"/>
      <c r="K2261" s="144"/>
      <c r="L2261" s="146"/>
      <c r="M2261" s="142"/>
      <c r="N2261" s="144"/>
      <c r="O2261" s="142"/>
      <c r="P2261" s="142"/>
      <c r="Q2261" s="142"/>
      <c r="R2261" s="129"/>
      <c r="S2261" s="143"/>
      <c r="T2261" s="144"/>
      <c r="U2261" s="129"/>
      <c r="V2261" s="129"/>
    </row>
    <row r="2262" spans="1:22" x14ac:dyDescent="0.2">
      <c r="A2262" s="144"/>
      <c r="B2262" s="145"/>
      <c r="C2262" s="129"/>
      <c r="D2262" s="129"/>
      <c r="E2262" s="129"/>
      <c r="F2262" s="129"/>
      <c r="G2262" s="144"/>
      <c r="H2262" s="129"/>
      <c r="I2262" s="144"/>
      <c r="J2262" s="144"/>
      <c r="K2262" s="144"/>
      <c r="L2262" s="146"/>
      <c r="M2262" s="142"/>
      <c r="N2262" s="144"/>
      <c r="O2262" s="142"/>
      <c r="P2262" s="142"/>
      <c r="Q2262" s="142"/>
      <c r="R2262" s="129"/>
      <c r="S2262" s="143"/>
      <c r="T2262" s="144"/>
      <c r="U2262" s="129"/>
      <c r="V2262" s="129"/>
    </row>
    <row r="2263" spans="1:22" x14ac:dyDescent="0.2">
      <c r="A2263" s="144"/>
      <c r="B2263" s="145"/>
      <c r="C2263" s="129"/>
      <c r="D2263" s="129"/>
      <c r="E2263" s="129"/>
      <c r="F2263" s="129"/>
      <c r="G2263" s="144"/>
      <c r="H2263" s="129"/>
      <c r="I2263" s="144"/>
      <c r="J2263" s="144"/>
      <c r="K2263" s="144"/>
      <c r="L2263" s="146"/>
      <c r="M2263" s="142"/>
      <c r="N2263" s="144"/>
      <c r="O2263" s="142"/>
      <c r="P2263" s="142"/>
      <c r="Q2263" s="142"/>
      <c r="R2263" s="129"/>
      <c r="S2263" s="143"/>
      <c r="T2263" s="144"/>
      <c r="U2263" s="129"/>
      <c r="V2263" s="129"/>
    </row>
    <row r="2264" spans="1:22" x14ac:dyDescent="0.2">
      <c r="A2264" s="144"/>
      <c r="B2264" s="145"/>
      <c r="C2264" s="129"/>
      <c r="D2264" s="129"/>
      <c r="E2264" s="129"/>
      <c r="F2264" s="129"/>
      <c r="G2264" s="144"/>
      <c r="H2264" s="129"/>
      <c r="I2264" s="144"/>
      <c r="J2264" s="144"/>
      <c r="K2264" s="144"/>
      <c r="L2264" s="146"/>
      <c r="M2264" s="142"/>
      <c r="N2264" s="144"/>
      <c r="O2264" s="142"/>
      <c r="P2264" s="142"/>
      <c r="Q2264" s="142"/>
      <c r="R2264" s="129"/>
      <c r="S2264" s="143"/>
      <c r="T2264" s="144"/>
      <c r="U2264" s="129"/>
      <c r="V2264" s="129"/>
    </row>
    <row r="2265" spans="1:22" x14ac:dyDescent="0.2">
      <c r="A2265" s="144"/>
      <c r="B2265" s="145"/>
      <c r="C2265" s="129"/>
      <c r="D2265" s="129"/>
      <c r="E2265" s="129"/>
      <c r="F2265" s="129"/>
      <c r="G2265" s="144"/>
      <c r="H2265" s="129"/>
      <c r="I2265" s="144"/>
      <c r="J2265" s="144"/>
      <c r="K2265" s="144"/>
      <c r="L2265" s="146"/>
      <c r="M2265" s="142"/>
      <c r="N2265" s="144"/>
      <c r="O2265" s="142"/>
      <c r="P2265" s="142"/>
      <c r="Q2265" s="142"/>
      <c r="R2265" s="129"/>
      <c r="S2265" s="143"/>
      <c r="T2265" s="144"/>
      <c r="U2265" s="129"/>
      <c r="V2265" s="129"/>
    </row>
    <row r="2266" spans="1:22" x14ac:dyDescent="0.2">
      <c r="A2266" s="144"/>
      <c r="B2266" s="145"/>
      <c r="C2266" s="129"/>
      <c r="D2266" s="129"/>
      <c r="E2266" s="129"/>
      <c r="F2266" s="129"/>
      <c r="G2266" s="144"/>
      <c r="H2266" s="129"/>
      <c r="I2266" s="144"/>
      <c r="J2266" s="144"/>
      <c r="K2266" s="144"/>
      <c r="L2266" s="146"/>
      <c r="M2266" s="142"/>
      <c r="N2266" s="144"/>
      <c r="O2266" s="142"/>
      <c r="P2266" s="142"/>
      <c r="Q2266" s="142"/>
      <c r="R2266" s="129"/>
      <c r="S2266" s="143"/>
      <c r="T2266" s="144"/>
      <c r="U2266" s="129"/>
      <c r="V2266" s="129"/>
    </row>
    <row r="2267" spans="1:22" x14ac:dyDescent="0.2">
      <c r="A2267" s="144"/>
      <c r="B2267" s="145"/>
      <c r="C2267" s="129"/>
      <c r="D2267" s="129"/>
      <c r="E2267" s="129"/>
      <c r="F2267" s="129"/>
      <c r="G2267" s="144"/>
      <c r="H2267" s="129"/>
      <c r="I2267" s="144"/>
      <c r="J2267" s="144"/>
      <c r="K2267" s="144"/>
      <c r="L2267" s="146"/>
      <c r="M2267" s="142"/>
      <c r="N2267" s="144"/>
      <c r="O2267" s="142"/>
      <c r="P2267" s="142"/>
      <c r="Q2267" s="142"/>
      <c r="R2267" s="129"/>
      <c r="S2267" s="143"/>
      <c r="T2267" s="144"/>
      <c r="U2267" s="129"/>
      <c r="V2267" s="129"/>
    </row>
    <row r="2268" spans="1:22" x14ac:dyDescent="0.2">
      <c r="A2268" s="144"/>
      <c r="B2268" s="145"/>
      <c r="C2268" s="129"/>
      <c r="D2268" s="129"/>
      <c r="E2268" s="129"/>
      <c r="F2268" s="129"/>
      <c r="G2268" s="144"/>
      <c r="H2268" s="129"/>
      <c r="I2268" s="144"/>
      <c r="J2268" s="144"/>
      <c r="K2268" s="144"/>
      <c r="L2268" s="146"/>
      <c r="M2268" s="142"/>
      <c r="N2268" s="144"/>
      <c r="O2268" s="142"/>
      <c r="P2268" s="142"/>
      <c r="Q2268" s="142"/>
      <c r="R2268" s="129"/>
      <c r="S2268" s="143"/>
      <c r="T2268" s="144"/>
      <c r="U2268" s="129"/>
      <c r="V2268" s="129"/>
    </row>
    <row r="2269" spans="1:22" x14ac:dyDescent="0.2">
      <c r="A2269" s="144"/>
      <c r="B2269" s="145"/>
      <c r="C2269" s="129"/>
      <c r="D2269" s="129"/>
      <c r="E2269" s="129"/>
      <c r="F2269" s="129"/>
      <c r="G2269" s="144"/>
      <c r="H2269" s="129"/>
      <c r="I2269" s="144"/>
      <c r="J2269" s="144"/>
      <c r="K2269" s="144"/>
      <c r="L2269" s="146"/>
      <c r="M2269" s="142"/>
      <c r="N2269" s="144"/>
      <c r="O2269" s="142"/>
      <c r="P2269" s="142"/>
      <c r="Q2269" s="142"/>
      <c r="R2269" s="129"/>
      <c r="S2269" s="143"/>
      <c r="T2269" s="144"/>
      <c r="U2269" s="129"/>
      <c r="V2269" s="129"/>
    </row>
    <row r="2270" spans="1:22" x14ac:dyDescent="0.2">
      <c r="A2270" s="144"/>
      <c r="B2270" s="145"/>
      <c r="C2270" s="129"/>
      <c r="D2270" s="129"/>
      <c r="E2270" s="129"/>
      <c r="F2270" s="129"/>
      <c r="G2270" s="144"/>
      <c r="H2270" s="129"/>
      <c r="I2270" s="144"/>
      <c r="J2270" s="144"/>
      <c r="K2270" s="144"/>
      <c r="L2270" s="146"/>
      <c r="M2270" s="142"/>
      <c r="N2270" s="144"/>
      <c r="O2270" s="142"/>
      <c r="P2270" s="142"/>
      <c r="Q2270" s="142"/>
      <c r="R2270" s="129"/>
      <c r="S2270" s="143"/>
      <c r="T2270" s="144"/>
      <c r="U2270" s="129"/>
      <c r="V2270" s="129"/>
    </row>
    <row r="2271" spans="1:22" x14ac:dyDescent="0.2">
      <c r="A2271" s="144"/>
      <c r="B2271" s="145"/>
      <c r="C2271" s="129"/>
      <c r="D2271" s="129"/>
      <c r="E2271" s="129"/>
      <c r="F2271" s="129"/>
      <c r="G2271" s="144"/>
      <c r="H2271" s="129"/>
      <c r="I2271" s="144"/>
      <c r="J2271" s="144"/>
      <c r="K2271" s="144"/>
      <c r="L2271" s="146"/>
      <c r="M2271" s="142"/>
      <c r="N2271" s="144"/>
      <c r="O2271" s="142"/>
      <c r="P2271" s="142"/>
      <c r="Q2271" s="142"/>
      <c r="R2271" s="129"/>
      <c r="S2271" s="143"/>
      <c r="T2271" s="144"/>
      <c r="U2271" s="129"/>
      <c r="V2271" s="129"/>
    </row>
    <row r="2272" spans="1:22" x14ac:dyDescent="0.2">
      <c r="A2272" s="144"/>
      <c r="B2272" s="145"/>
      <c r="C2272" s="129"/>
      <c r="D2272" s="129"/>
      <c r="E2272" s="129"/>
      <c r="F2272" s="129"/>
      <c r="G2272" s="144"/>
      <c r="H2272" s="129"/>
      <c r="I2272" s="144"/>
      <c r="J2272" s="144"/>
      <c r="K2272" s="144"/>
      <c r="L2272" s="146"/>
      <c r="M2272" s="142"/>
      <c r="N2272" s="144"/>
      <c r="O2272" s="142"/>
      <c r="P2272" s="142"/>
      <c r="Q2272" s="142"/>
      <c r="R2272" s="129"/>
      <c r="S2272" s="143"/>
      <c r="T2272" s="144"/>
      <c r="U2272" s="129"/>
      <c r="V2272" s="129"/>
    </row>
    <row r="2273" spans="1:22" x14ac:dyDescent="0.2">
      <c r="A2273" s="144"/>
      <c r="B2273" s="145"/>
      <c r="C2273" s="129"/>
      <c r="D2273" s="129"/>
      <c r="E2273" s="129"/>
      <c r="F2273" s="129"/>
      <c r="G2273" s="144"/>
      <c r="H2273" s="129"/>
      <c r="I2273" s="144"/>
      <c r="J2273" s="144"/>
      <c r="K2273" s="144"/>
      <c r="L2273" s="146"/>
      <c r="M2273" s="142"/>
      <c r="N2273" s="144"/>
      <c r="O2273" s="142"/>
      <c r="P2273" s="142"/>
      <c r="Q2273" s="142"/>
      <c r="R2273" s="129"/>
      <c r="S2273" s="143"/>
      <c r="T2273" s="144"/>
      <c r="U2273" s="129"/>
      <c r="V2273" s="129"/>
    </row>
    <row r="2274" spans="1:22" x14ac:dyDescent="0.2">
      <c r="A2274" s="144"/>
      <c r="B2274" s="145"/>
      <c r="C2274" s="129"/>
      <c r="D2274" s="129"/>
      <c r="E2274" s="129"/>
      <c r="F2274" s="129"/>
      <c r="G2274" s="144"/>
      <c r="H2274" s="129"/>
      <c r="I2274" s="144"/>
      <c r="J2274" s="144"/>
      <c r="K2274" s="144"/>
      <c r="L2274" s="146"/>
      <c r="M2274" s="142"/>
      <c r="N2274" s="144"/>
      <c r="O2274" s="142"/>
      <c r="P2274" s="142"/>
      <c r="Q2274" s="142"/>
      <c r="R2274" s="129"/>
      <c r="S2274" s="143"/>
      <c r="T2274" s="144"/>
      <c r="U2274" s="129"/>
      <c r="V2274" s="129"/>
    </row>
    <row r="2275" spans="1:22" x14ac:dyDescent="0.2">
      <c r="A2275" s="144"/>
      <c r="B2275" s="145"/>
      <c r="C2275" s="129"/>
      <c r="D2275" s="129"/>
      <c r="E2275" s="129"/>
      <c r="F2275" s="129"/>
      <c r="G2275" s="144"/>
      <c r="H2275" s="129"/>
      <c r="I2275" s="144"/>
      <c r="J2275" s="144"/>
      <c r="K2275" s="144"/>
      <c r="L2275" s="146"/>
      <c r="M2275" s="142"/>
      <c r="N2275" s="144"/>
      <c r="O2275" s="142"/>
      <c r="P2275" s="142"/>
      <c r="Q2275" s="142"/>
      <c r="R2275" s="129"/>
      <c r="S2275" s="143"/>
      <c r="T2275" s="144"/>
      <c r="U2275" s="129"/>
      <c r="V2275" s="129"/>
    </row>
    <row r="2276" spans="1:22" x14ac:dyDescent="0.2">
      <c r="A2276" s="144"/>
      <c r="B2276" s="145"/>
      <c r="C2276" s="129"/>
      <c r="D2276" s="129"/>
      <c r="E2276" s="129"/>
      <c r="F2276" s="129"/>
      <c r="G2276" s="144"/>
      <c r="H2276" s="129"/>
      <c r="I2276" s="144"/>
      <c r="J2276" s="144"/>
      <c r="K2276" s="144"/>
      <c r="L2276" s="146"/>
      <c r="M2276" s="142"/>
      <c r="N2276" s="144"/>
      <c r="O2276" s="142"/>
      <c r="P2276" s="142"/>
      <c r="Q2276" s="142"/>
      <c r="R2276" s="129"/>
      <c r="S2276" s="143"/>
      <c r="T2276" s="144"/>
      <c r="U2276" s="129"/>
      <c r="V2276" s="129"/>
    </row>
    <row r="2277" spans="1:22" x14ac:dyDescent="0.2">
      <c r="A2277" s="144"/>
      <c r="B2277" s="145"/>
      <c r="C2277" s="129"/>
      <c r="D2277" s="129"/>
      <c r="E2277" s="129"/>
      <c r="F2277" s="129"/>
      <c r="G2277" s="144"/>
      <c r="H2277" s="129"/>
      <c r="I2277" s="144"/>
      <c r="J2277" s="144"/>
      <c r="K2277" s="144"/>
      <c r="L2277" s="146"/>
      <c r="M2277" s="142"/>
      <c r="N2277" s="144"/>
      <c r="O2277" s="142"/>
      <c r="P2277" s="142"/>
      <c r="Q2277" s="142"/>
      <c r="R2277" s="129"/>
      <c r="S2277" s="143"/>
      <c r="T2277" s="144"/>
      <c r="U2277" s="129"/>
      <c r="V2277" s="129"/>
    </row>
    <row r="2278" spans="1:22" x14ac:dyDescent="0.2">
      <c r="A2278" s="144"/>
      <c r="B2278" s="145"/>
      <c r="C2278" s="129"/>
      <c r="D2278" s="129"/>
      <c r="E2278" s="129"/>
      <c r="F2278" s="129"/>
      <c r="G2278" s="144"/>
      <c r="H2278" s="129"/>
      <c r="I2278" s="144"/>
      <c r="J2278" s="144"/>
      <c r="K2278" s="144"/>
      <c r="L2278" s="146"/>
      <c r="M2278" s="142"/>
      <c r="N2278" s="144"/>
      <c r="O2278" s="142"/>
      <c r="P2278" s="142"/>
      <c r="Q2278" s="142"/>
      <c r="R2278" s="129"/>
      <c r="S2278" s="143"/>
      <c r="T2278" s="144"/>
      <c r="U2278" s="129"/>
      <c r="V2278" s="129"/>
    </row>
    <row r="2279" spans="1:22" x14ac:dyDescent="0.2">
      <c r="A2279" s="144"/>
      <c r="B2279" s="145"/>
      <c r="C2279" s="129"/>
      <c r="D2279" s="129"/>
      <c r="E2279" s="129"/>
      <c r="F2279" s="129"/>
      <c r="G2279" s="144"/>
      <c r="H2279" s="129"/>
      <c r="I2279" s="144"/>
      <c r="J2279" s="144"/>
      <c r="K2279" s="144"/>
      <c r="L2279" s="146"/>
      <c r="M2279" s="142"/>
      <c r="N2279" s="144"/>
      <c r="O2279" s="142"/>
      <c r="P2279" s="142"/>
      <c r="Q2279" s="142"/>
      <c r="R2279" s="129"/>
      <c r="S2279" s="143"/>
      <c r="T2279" s="144"/>
      <c r="U2279" s="129"/>
      <c r="V2279" s="129"/>
    </row>
    <row r="2280" spans="1:22" x14ac:dyDescent="0.2">
      <c r="A2280" s="144"/>
      <c r="B2280" s="145"/>
      <c r="C2280" s="129"/>
      <c r="D2280" s="129"/>
      <c r="E2280" s="129"/>
      <c r="F2280" s="129"/>
      <c r="G2280" s="144"/>
      <c r="H2280" s="129"/>
      <c r="I2280" s="144"/>
      <c r="J2280" s="144"/>
      <c r="K2280" s="144"/>
      <c r="L2280" s="146"/>
      <c r="M2280" s="142"/>
      <c r="N2280" s="144"/>
      <c r="O2280" s="142"/>
      <c r="P2280" s="142"/>
      <c r="Q2280" s="142"/>
      <c r="R2280" s="129"/>
      <c r="S2280" s="143"/>
      <c r="T2280" s="144"/>
      <c r="U2280" s="129"/>
      <c r="V2280" s="129"/>
    </row>
    <row r="2281" spans="1:22" x14ac:dyDescent="0.2">
      <c r="A2281" s="144"/>
      <c r="B2281" s="145"/>
      <c r="C2281" s="129"/>
      <c r="D2281" s="129"/>
      <c r="E2281" s="129"/>
      <c r="F2281" s="129"/>
      <c r="G2281" s="144"/>
      <c r="H2281" s="129"/>
      <c r="I2281" s="144"/>
      <c r="J2281" s="144"/>
      <c r="K2281" s="144"/>
      <c r="L2281" s="146"/>
      <c r="M2281" s="142"/>
      <c r="N2281" s="144"/>
      <c r="O2281" s="142"/>
      <c r="P2281" s="142"/>
      <c r="Q2281" s="142"/>
      <c r="R2281" s="129"/>
      <c r="S2281" s="143"/>
      <c r="T2281" s="144"/>
      <c r="U2281" s="129"/>
      <c r="V2281" s="129"/>
    </row>
    <row r="2282" spans="1:22" x14ac:dyDescent="0.2">
      <c r="A2282" s="144"/>
      <c r="B2282" s="145"/>
      <c r="C2282" s="129"/>
      <c r="D2282" s="129"/>
      <c r="E2282" s="129"/>
      <c r="F2282" s="129"/>
      <c r="G2282" s="144"/>
      <c r="H2282" s="129"/>
      <c r="I2282" s="144"/>
      <c r="J2282" s="144"/>
      <c r="K2282" s="144"/>
      <c r="L2282" s="146"/>
      <c r="M2282" s="142"/>
      <c r="N2282" s="144"/>
      <c r="O2282" s="142"/>
      <c r="P2282" s="142"/>
      <c r="Q2282" s="142"/>
      <c r="R2282" s="129"/>
      <c r="S2282" s="143"/>
      <c r="T2282" s="144"/>
      <c r="U2282" s="129"/>
      <c r="V2282" s="129"/>
    </row>
    <row r="2283" spans="1:22" x14ac:dyDescent="0.2">
      <c r="A2283" s="144"/>
      <c r="B2283" s="145"/>
      <c r="C2283" s="129"/>
      <c r="D2283" s="129"/>
      <c r="E2283" s="129"/>
      <c r="F2283" s="129"/>
      <c r="G2283" s="144"/>
      <c r="H2283" s="129"/>
      <c r="I2283" s="144"/>
      <c r="J2283" s="144"/>
      <c r="K2283" s="144"/>
      <c r="L2283" s="146"/>
      <c r="M2283" s="142"/>
      <c r="N2283" s="144"/>
      <c r="O2283" s="142"/>
      <c r="P2283" s="142"/>
      <c r="Q2283" s="142"/>
      <c r="R2283" s="129"/>
      <c r="S2283" s="143"/>
      <c r="T2283" s="144"/>
      <c r="U2283" s="129"/>
      <c r="V2283" s="129"/>
    </row>
    <row r="2284" spans="1:22" x14ac:dyDescent="0.2">
      <c r="A2284" s="144"/>
      <c r="B2284" s="145"/>
      <c r="C2284" s="129"/>
      <c r="D2284" s="129"/>
      <c r="E2284" s="129"/>
      <c r="F2284" s="129"/>
      <c r="G2284" s="144"/>
      <c r="H2284" s="129"/>
      <c r="I2284" s="144"/>
      <c r="J2284" s="144"/>
      <c r="K2284" s="144"/>
      <c r="L2284" s="146"/>
      <c r="M2284" s="142"/>
      <c r="N2284" s="144"/>
      <c r="O2284" s="142"/>
      <c r="P2284" s="142"/>
      <c r="Q2284" s="142"/>
      <c r="R2284" s="129"/>
      <c r="S2284" s="143"/>
      <c r="T2284" s="144"/>
      <c r="U2284" s="129"/>
      <c r="V2284" s="129"/>
    </row>
    <row r="2285" spans="1:22" x14ac:dyDescent="0.2">
      <c r="A2285" s="144"/>
      <c r="B2285" s="145"/>
      <c r="C2285" s="129"/>
      <c r="D2285" s="129"/>
      <c r="E2285" s="129"/>
      <c r="F2285" s="129"/>
      <c r="G2285" s="144"/>
      <c r="H2285" s="129"/>
      <c r="I2285" s="144"/>
      <c r="J2285" s="144"/>
      <c r="K2285" s="144"/>
      <c r="L2285" s="146"/>
      <c r="M2285" s="142"/>
      <c r="N2285" s="144"/>
      <c r="O2285" s="142"/>
      <c r="P2285" s="142"/>
      <c r="Q2285" s="142"/>
      <c r="R2285" s="129"/>
      <c r="S2285" s="143"/>
      <c r="T2285" s="144"/>
      <c r="U2285" s="129"/>
      <c r="V2285" s="129"/>
    </row>
    <row r="2286" spans="1:22" x14ac:dyDescent="0.2">
      <c r="A2286" s="144"/>
      <c r="B2286" s="145"/>
      <c r="C2286" s="129"/>
      <c r="D2286" s="129"/>
      <c r="E2286" s="129"/>
      <c r="F2286" s="129"/>
      <c r="G2286" s="144"/>
      <c r="H2286" s="129"/>
      <c r="I2286" s="144"/>
      <c r="J2286" s="144"/>
      <c r="K2286" s="144"/>
      <c r="L2286" s="146"/>
      <c r="M2286" s="142"/>
      <c r="N2286" s="144"/>
      <c r="O2286" s="142"/>
      <c r="P2286" s="142"/>
      <c r="Q2286" s="142"/>
      <c r="R2286" s="129"/>
      <c r="S2286" s="143"/>
      <c r="T2286" s="144"/>
      <c r="U2286" s="129"/>
      <c r="V2286" s="129"/>
    </row>
    <row r="2287" spans="1:22" x14ac:dyDescent="0.2">
      <c r="A2287" s="144"/>
      <c r="B2287" s="145"/>
      <c r="C2287" s="129"/>
      <c r="D2287" s="129"/>
      <c r="E2287" s="129"/>
      <c r="F2287" s="129"/>
      <c r="G2287" s="144"/>
      <c r="H2287" s="129"/>
      <c r="I2287" s="144"/>
      <c r="J2287" s="144"/>
      <c r="K2287" s="144"/>
      <c r="L2287" s="146"/>
      <c r="M2287" s="142"/>
      <c r="N2287" s="144"/>
      <c r="O2287" s="142"/>
      <c r="P2287" s="142"/>
      <c r="Q2287" s="142"/>
      <c r="R2287" s="129"/>
      <c r="S2287" s="143"/>
      <c r="T2287" s="144"/>
      <c r="U2287" s="129"/>
      <c r="V2287" s="129"/>
    </row>
    <row r="2288" spans="1:22" x14ac:dyDescent="0.2">
      <c r="A2288" s="144"/>
      <c r="B2288" s="145"/>
      <c r="C2288" s="129"/>
      <c r="D2288" s="129"/>
      <c r="E2288" s="129"/>
      <c r="F2288" s="129"/>
      <c r="G2288" s="144"/>
      <c r="H2288" s="129"/>
      <c r="I2288" s="144"/>
      <c r="J2288" s="144"/>
      <c r="K2288" s="144"/>
      <c r="L2288" s="146"/>
      <c r="M2288" s="142"/>
      <c r="N2288" s="144"/>
      <c r="O2288" s="142"/>
      <c r="P2288" s="142"/>
      <c r="Q2288" s="142"/>
      <c r="R2288" s="129"/>
      <c r="S2288" s="143"/>
      <c r="T2288" s="144"/>
      <c r="U2288" s="129"/>
      <c r="V2288" s="129"/>
    </row>
    <row r="2289" spans="1:22" x14ac:dyDescent="0.2">
      <c r="A2289" s="144"/>
      <c r="B2289" s="145"/>
      <c r="C2289" s="129"/>
      <c r="D2289" s="129"/>
      <c r="E2289" s="129"/>
      <c r="F2289" s="129"/>
      <c r="G2289" s="144"/>
      <c r="H2289" s="129"/>
      <c r="I2289" s="144"/>
      <c r="J2289" s="144"/>
      <c r="K2289" s="144"/>
      <c r="L2289" s="146"/>
      <c r="M2289" s="142"/>
      <c r="N2289" s="144"/>
      <c r="O2289" s="142"/>
      <c r="P2289" s="142"/>
      <c r="Q2289" s="142"/>
      <c r="R2289" s="129"/>
      <c r="S2289" s="143"/>
      <c r="T2289" s="144"/>
      <c r="U2289" s="129"/>
      <c r="V2289" s="129"/>
    </row>
    <row r="2290" spans="1:22" x14ac:dyDescent="0.2">
      <c r="A2290" s="144"/>
      <c r="B2290" s="145"/>
      <c r="C2290" s="129"/>
      <c r="D2290" s="129"/>
      <c r="E2290" s="129"/>
      <c r="F2290" s="129"/>
      <c r="G2290" s="144"/>
      <c r="H2290" s="129"/>
      <c r="I2290" s="144"/>
      <c r="J2290" s="144"/>
      <c r="K2290" s="144"/>
      <c r="L2290" s="146"/>
      <c r="M2290" s="142"/>
      <c r="N2290" s="144"/>
      <c r="O2290" s="142"/>
      <c r="P2290" s="142"/>
      <c r="Q2290" s="142"/>
      <c r="R2290" s="129"/>
      <c r="S2290" s="143"/>
      <c r="T2290" s="144"/>
      <c r="U2290" s="129"/>
      <c r="V2290" s="129"/>
    </row>
    <row r="2291" spans="1:22" x14ac:dyDescent="0.2">
      <c r="A2291" s="144"/>
      <c r="B2291" s="145"/>
      <c r="C2291" s="129"/>
      <c r="D2291" s="129"/>
      <c r="E2291" s="129"/>
      <c r="F2291" s="129"/>
      <c r="G2291" s="144"/>
      <c r="H2291" s="129"/>
      <c r="I2291" s="144"/>
      <c r="J2291" s="144"/>
      <c r="K2291" s="144"/>
      <c r="L2291" s="146"/>
      <c r="M2291" s="142"/>
      <c r="N2291" s="144"/>
      <c r="O2291" s="142"/>
      <c r="P2291" s="142"/>
      <c r="Q2291" s="142"/>
      <c r="R2291" s="129"/>
      <c r="S2291" s="143"/>
      <c r="T2291" s="144"/>
      <c r="U2291" s="129"/>
      <c r="V2291" s="129"/>
    </row>
    <row r="2292" spans="1:22" x14ac:dyDescent="0.2">
      <c r="A2292" s="144"/>
      <c r="B2292" s="145"/>
      <c r="C2292" s="129"/>
      <c r="D2292" s="129"/>
      <c r="E2292" s="129"/>
      <c r="F2292" s="129"/>
      <c r="G2292" s="144"/>
      <c r="H2292" s="129"/>
      <c r="I2292" s="144"/>
      <c r="J2292" s="144"/>
      <c r="K2292" s="144"/>
      <c r="L2292" s="146"/>
      <c r="M2292" s="142"/>
      <c r="N2292" s="144"/>
      <c r="O2292" s="142"/>
      <c r="P2292" s="142"/>
      <c r="Q2292" s="142"/>
      <c r="R2292" s="129"/>
      <c r="S2292" s="143"/>
      <c r="T2292" s="144"/>
      <c r="U2292" s="129"/>
      <c r="V2292" s="129"/>
    </row>
    <row r="2293" spans="1:22" x14ac:dyDescent="0.2">
      <c r="A2293" s="144"/>
      <c r="B2293" s="145"/>
      <c r="C2293" s="129"/>
      <c r="D2293" s="129"/>
      <c r="E2293" s="129"/>
      <c r="F2293" s="129"/>
      <c r="G2293" s="144"/>
      <c r="H2293" s="129"/>
      <c r="I2293" s="144"/>
      <c r="J2293" s="144"/>
      <c r="K2293" s="144"/>
      <c r="L2293" s="146"/>
      <c r="M2293" s="142"/>
      <c r="N2293" s="144"/>
      <c r="O2293" s="142"/>
      <c r="P2293" s="142"/>
      <c r="Q2293" s="142"/>
      <c r="R2293" s="129"/>
      <c r="S2293" s="143"/>
      <c r="T2293" s="144"/>
      <c r="U2293" s="129"/>
      <c r="V2293" s="129"/>
    </row>
    <row r="2294" spans="1:22" x14ac:dyDescent="0.2">
      <c r="A2294" s="144"/>
      <c r="B2294" s="145"/>
      <c r="C2294" s="129"/>
      <c r="D2294" s="129"/>
      <c r="E2294" s="129"/>
      <c r="F2294" s="129"/>
      <c r="G2294" s="144"/>
      <c r="H2294" s="129"/>
      <c r="I2294" s="144"/>
      <c r="J2294" s="144"/>
      <c r="K2294" s="144"/>
      <c r="L2294" s="146"/>
      <c r="M2294" s="142"/>
      <c r="N2294" s="144"/>
      <c r="O2294" s="142"/>
      <c r="P2294" s="142"/>
      <c r="Q2294" s="142"/>
      <c r="R2294" s="129"/>
      <c r="S2294" s="143"/>
      <c r="T2294" s="144"/>
      <c r="U2294" s="129"/>
      <c r="V2294" s="129"/>
    </row>
    <row r="2295" spans="1:22" x14ac:dyDescent="0.2">
      <c r="A2295" s="144"/>
      <c r="B2295" s="145"/>
      <c r="C2295" s="129"/>
      <c r="D2295" s="129"/>
      <c r="E2295" s="129"/>
      <c r="F2295" s="129"/>
      <c r="G2295" s="144"/>
      <c r="H2295" s="129"/>
      <c r="I2295" s="144"/>
      <c r="J2295" s="144"/>
      <c r="K2295" s="144"/>
      <c r="L2295" s="146"/>
      <c r="M2295" s="142"/>
      <c r="N2295" s="144"/>
      <c r="O2295" s="142"/>
      <c r="P2295" s="142"/>
      <c r="Q2295" s="142"/>
      <c r="R2295" s="129"/>
      <c r="S2295" s="143"/>
      <c r="T2295" s="144"/>
      <c r="U2295" s="129"/>
      <c r="V2295" s="129"/>
    </row>
    <row r="2296" spans="1:22" x14ac:dyDescent="0.2">
      <c r="A2296" s="144"/>
      <c r="B2296" s="145"/>
      <c r="C2296" s="129"/>
      <c r="D2296" s="129"/>
      <c r="E2296" s="129"/>
      <c r="F2296" s="129"/>
      <c r="G2296" s="144"/>
      <c r="H2296" s="129"/>
      <c r="I2296" s="144"/>
      <c r="J2296" s="144"/>
      <c r="K2296" s="144"/>
      <c r="L2296" s="146"/>
      <c r="M2296" s="142"/>
      <c r="N2296" s="144"/>
      <c r="O2296" s="142"/>
      <c r="P2296" s="142"/>
      <c r="Q2296" s="142"/>
      <c r="R2296" s="129"/>
      <c r="S2296" s="143"/>
      <c r="T2296" s="144"/>
      <c r="U2296" s="129"/>
      <c r="V2296" s="129"/>
    </row>
    <row r="2297" spans="1:22" x14ac:dyDescent="0.2">
      <c r="A2297" s="144"/>
      <c r="B2297" s="145"/>
      <c r="C2297" s="129"/>
      <c r="D2297" s="129"/>
      <c r="E2297" s="129"/>
      <c r="F2297" s="129"/>
      <c r="G2297" s="144"/>
      <c r="H2297" s="129"/>
      <c r="I2297" s="144"/>
      <c r="J2297" s="144"/>
      <c r="K2297" s="144"/>
      <c r="L2297" s="146"/>
      <c r="M2297" s="142"/>
      <c r="N2297" s="144"/>
      <c r="O2297" s="142"/>
      <c r="P2297" s="142"/>
      <c r="Q2297" s="142"/>
      <c r="R2297" s="129"/>
      <c r="S2297" s="143"/>
      <c r="T2297" s="144"/>
      <c r="U2297" s="129"/>
      <c r="V2297" s="129"/>
    </row>
    <row r="2298" spans="1:22" x14ac:dyDescent="0.2">
      <c r="A2298" s="144"/>
      <c r="B2298" s="145"/>
      <c r="C2298" s="129"/>
      <c r="D2298" s="129"/>
      <c r="E2298" s="129"/>
      <c r="F2298" s="129"/>
      <c r="G2298" s="144"/>
      <c r="H2298" s="129"/>
      <c r="I2298" s="144"/>
      <c r="J2298" s="144"/>
      <c r="K2298" s="144"/>
      <c r="L2298" s="146"/>
      <c r="M2298" s="142"/>
      <c r="N2298" s="144"/>
      <c r="O2298" s="142"/>
      <c r="P2298" s="142"/>
      <c r="Q2298" s="142"/>
      <c r="R2298" s="129"/>
      <c r="S2298" s="143"/>
      <c r="T2298" s="144"/>
      <c r="U2298" s="129"/>
      <c r="V2298" s="129"/>
    </row>
    <row r="2299" spans="1:22" x14ac:dyDescent="0.2">
      <c r="A2299" s="144"/>
      <c r="B2299" s="145"/>
      <c r="C2299" s="129"/>
      <c r="D2299" s="129"/>
      <c r="E2299" s="129"/>
      <c r="F2299" s="129"/>
      <c r="G2299" s="144"/>
      <c r="H2299" s="129"/>
      <c r="I2299" s="144"/>
      <c r="J2299" s="144"/>
      <c r="K2299" s="144"/>
      <c r="L2299" s="146"/>
      <c r="M2299" s="142"/>
      <c r="N2299" s="144"/>
      <c r="O2299" s="142"/>
      <c r="P2299" s="142"/>
      <c r="Q2299" s="142"/>
      <c r="R2299" s="129"/>
      <c r="S2299" s="143"/>
      <c r="T2299" s="144"/>
      <c r="U2299" s="129"/>
      <c r="V2299" s="129"/>
    </row>
    <row r="2300" spans="1:22" x14ac:dyDescent="0.2">
      <c r="A2300" s="144"/>
      <c r="B2300" s="145"/>
      <c r="C2300" s="129"/>
      <c r="D2300" s="129"/>
      <c r="E2300" s="129"/>
      <c r="F2300" s="129"/>
      <c r="G2300" s="144"/>
      <c r="H2300" s="129"/>
      <c r="I2300" s="144"/>
      <c r="J2300" s="144"/>
      <c r="K2300" s="144"/>
      <c r="L2300" s="146"/>
      <c r="M2300" s="142"/>
      <c r="N2300" s="144"/>
      <c r="O2300" s="142"/>
      <c r="P2300" s="142"/>
      <c r="Q2300" s="142"/>
      <c r="R2300" s="129"/>
      <c r="S2300" s="143"/>
      <c r="T2300" s="144"/>
      <c r="U2300" s="129"/>
      <c r="V2300" s="129"/>
    </row>
    <row r="2301" spans="1:22" x14ac:dyDescent="0.2">
      <c r="A2301" s="144"/>
      <c r="B2301" s="145"/>
      <c r="C2301" s="129"/>
      <c r="D2301" s="129"/>
      <c r="E2301" s="129"/>
      <c r="F2301" s="129"/>
      <c r="G2301" s="144"/>
      <c r="H2301" s="129"/>
      <c r="I2301" s="144"/>
      <c r="J2301" s="144"/>
      <c r="K2301" s="144"/>
      <c r="L2301" s="146"/>
      <c r="M2301" s="142"/>
      <c r="N2301" s="144"/>
      <c r="O2301" s="142"/>
      <c r="P2301" s="142"/>
      <c r="Q2301" s="142"/>
      <c r="R2301" s="129"/>
      <c r="S2301" s="143"/>
      <c r="T2301" s="144"/>
      <c r="U2301" s="129"/>
      <c r="V2301" s="129"/>
    </row>
    <row r="2302" spans="1:22" x14ac:dyDescent="0.2">
      <c r="A2302" s="144"/>
      <c r="B2302" s="145"/>
      <c r="C2302" s="129"/>
      <c r="D2302" s="129"/>
      <c r="E2302" s="129"/>
      <c r="F2302" s="129"/>
      <c r="G2302" s="144"/>
      <c r="H2302" s="129"/>
      <c r="I2302" s="144"/>
      <c r="J2302" s="144"/>
      <c r="K2302" s="144"/>
      <c r="L2302" s="146"/>
      <c r="M2302" s="142"/>
      <c r="N2302" s="144"/>
      <c r="O2302" s="142"/>
      <c r="P2302" s="142"/>
      <c r="Q2302" s="142"/>
      <c r="R2302" s="129"/>
      <c r="S2302" s="143"/>
      <c r="T2302" s="144"/>
      <c r="U2302" s="129"/>
      <c r="V2302" s="129"/>
    </row>
    <row r="2303" spans="1:22" x14ac:dyDescent="0.2">
      <c r="A2303" s="144"/>
      <c r="B2303" s="145"/>
      <c r="C2303" s="129"/>
      <c r="D2303" s="129"/>
      <c r="E2303" s="129"/>
      <c r="F2303" s="129"/>
      <c r="G2303" s="144"/>
      <c r="H2303" s="129"/>
      <c r="I2303" s="144"/>
      <c r="J2303" s="144"/>
      <c r="K2303" s="144"/>
      <c r="L2303" s="146"/>
      <c r="M2303" s="142"/>
      <c r="N2303" s="144"/>
      <c r="O2303" s="142"/>
      <c r="P2303" s="142"/>
      <c r="Q2303" s="142"/>
      <c r="R2303" s="129"/>
      <c r="S2303" s="143"/>
      <c r="T2303" s="144"/>
      <c r="U2303" s="129"/>
      <c r="V2303" s="129"/>
    </row>
    <row r="2304" spans="1:22" x14ac:dyDescent="0.2">
      <c r="A2304" s="144"/>
      <c r="B2304" s="145"/>
      <c r="C2304" s="129"/>
      <c r="D2304" s="129"/>
      <c r="E2304" s="129"/>
      <c r="F2304" s="129"/>
      <c r="G2304" s="144"/>
      <c r="H2304" s="129"/>
      <c r="I2304" s="144"/>
      <c r="J2304" s="144"/>
      <c r="K2304" s="144"/>
      <c r="L2304" s="146"/>
      <c r="M2304" s="142"/>
      <c r="N2304" s="144"/>
      <c r="O2304" s="142"/>
      <c r="P2304" s="142"/>
      <c r="Q2304" s="142"/>
      <c r="R2304" s="129"/>
      <c r="S2304" s="143"/>
      <c r="T2304" s="144"/>
      <c r="U2304" s="129"/>
      <c r="V2304" s="129"/>
    </row>
    <row r="2305" spans="1:22" x14ac:dyDescent="0.2">
      <c r="A2305" s="144"/>
      <c r="B2305" s="145"/>
      <c r="C2305" s="129"/>
      <c r="D2305" s="129"/>
      <c r="E2305" s="129"/>
      <c r="F2305" s="129"/>
      <c r="G2305" s="144"/>
      <c r="H2305" s="129"/>
      <c r="I2305" s="144"/>
      <c r="J2305" s="144"/>
      <c r="K2305" s="144"/>
      <c r="L2305" s="146"/>
      <c r="M2305" s="142"/>
      <c r="N2305" s="144"/>
      <c r="O2305" s="142"/>
      <c r="P2305" s="142"/>
      <c r="Q2305" s="142"/>
      <c r="R2305" s="129"/>
      <c r="S2305" s="143"/>
      <c r="T2305" s="144"/>
      <c r="U2305" s="129"/>
      <c r="V2305" s="129"/>
    </row>
    <row r="2306" spans="1:22" x14ac:dyDescent="0.2">
      <c r="A2306" s="144"/>
      <c r="B2306" s="145"/>
      <c r="C2306" s="129"/>
      <c r="D2306" s="129"/>
      <c r="E2306" s="129"/>
      <c r="F2306" s="129"/>
      <c r="G2306" s="144"/>
      <c r="H2306" s="129"/>
      <c r="I2306" s="144"/>
      <c r="J2306" s="144"/>
      <c r="K2306" s="144"/>
      <c r="L2306" s="146"/>
      <c r="M2306" s="142"/>
      <c r="N2306" s="144"/>
      <c r="O2306" s="142"/>
      <c r="P2306" s="142"/>
      <c r="Q2306" s="142"/>
      <c r="R2306" s="129"/>
      <c r="S2306" s="143"/>
      <c r="T2306" s="144"/>
      <c r="U2306" s="129"/>
      <c r="V2306" s="129"/>
    </row>
    <row r="2307" spans="1:22" x14ac:dyDescent="0.2">
      <c r="A2307" s="144"/>
      <c r="B2307" s="145"/>
      <c r="C2307" s="129"/>
      <c r="D2307" s="129"/>
      <c r="E2307" s="129"/>
      <c r="F2307" s="129"/>
      <c r="G2307" s="144"/>
      <c r="H2307" s="129"/>
      <c r="I2307" s="144"/>
      <c r="J2307" s="144"/>
      <c r="K2307" s="144"/>
      <c r="L2307" s="146"/>
      <c r="M2307" s="142"/>
      <c r="N2307" s="144"/>
      <c r="O2307" s="142"/>
      <c r="P2307" s="142"/>
      <c r="Q2307" s="142"/>
      <c r="R2307" s="129"/>
      <c r="S2307" s="143"/>
      <c r="T2307" s="144"/>
      <c r="U2307" s="129"/>
      <c r="V2307" s="129"/>
    </row>
    <row r="2308" spans="1:22" x14ac:dyDescent="0.2">
      <c r="A2308" s="144"/>
      <c r="B2308" s="145"/>
      <c r="C2308" s="129"/>
      <c r="D2308" s="129"/>
      <c r="E2308" s="129"/>
      <c r="F2308" s="129"/>
      <c r="G2308" s="144"/>
      <c r="H2308" s="129"/>
      <c r="I2308" s="144"/>
      <c r="J2308" s="144"/>
      <c r="K2308" s="144"/>
      <c r="L2308" s="146"/>
      <c r="M2308" s="142"/>
      <c r="N2308" s="144"/>
      <c r="O2308" s="142"/>
      <c r="P2308" s="142"/>
      <c r="Q2308" s="142"/>
      <c r="R2308" s="129"/>
      <c r="S2308" s="143"/>
      <c r="T2308" s="144"/>
      <c r="U2308" s="129"/>
      <c r="V2308" s="129"/>
    </row>
    <row r="2309" spans="1:22" x14ac:dyDescent="0.2">
      <c r="A2309" s="144"/>
      <c r="B2309" s="145"/>
      <c r="C2309" s="129"/>
      <c r="D2309" s="129"/>
      <c r="E2309" s="129"/>
      <c r="F2309" s="129"/>
      <c r="G2309" s="144"/>
      <c r="H2309" s="129"/>
      <c r="I2309" s="144"/>
      <c r="J2309" s="144"/>
      <c r="K2309" s="144"/>
      <c r="L2309" s="146"/>
      <c r="M2309" s="142"/>
      <c r="N2309" s="144"/>
      <c r="O2309" s="142"/>
      <c r="P2309" s="142"/>
      <c r="Q2309" s="142"/>
      <c r="R2309" s="129"/>
      <c r="S2309" s="143"/>
      <c r="T2309" s="144"/>
      <c r="U2309" s="129"/>
      <c r="V2309" s="129"/>
    </row>
    <row r="2310" spans="1:22" x14ac:dyDescent="0.2">
      <c r="A2310" s="144"/>
      <c r="B2310" s="145"/>
      <c r="C2310" s="129"/>
      <c r="D2310" s="129"/>
      <c r="E2310" s="129"/>
      <c r="F2310" s="129"/>
      <c r="G2310" s="144"/>
      <c r="H2310" s="129"/>
      <c r="I2310" s="144"/>
      <c r="J2310" s="144"/>
      <c r="K2310" s="144"/>
      <c r="L2310" s="146"/>
      <c r="M2310" s="142"/>
      <c r="N2310" s="144"/>
      <c r="O2310" s="142"/>
      <c r="P2310" s="142"/>
      <c r="Q2310" s="142"/>
      <c r="R2310" s="129"/>
      <c r="S2310" s="143"/>
      <c r="T2310" s="144"/>
      <c r="U2310" s="129"/>
      <c r="V2310" s="129"/>
    </row>
    <row r="2311" spans="1:22" x14ac:dyDescent="0.2">
      <c r="A2311" s="144"/>
      <c r="B2311" s="145"/>
      <c r="C2311" s="129"/>
      <c r="D2311" s="129"/>
      <c r="E2311" s="129"/>
      <c r="F2311" s="129"/>
      <c r="G2311" s="144"/>
      <c r="H2311" s="129"/>
      <c r="I2311" s="144"/>
      <c r="J2311" s="144"/>
      <c r="K2311" s="144"/>
      <c r="L2311" s="146"/>
      <c r="M2311" s="142"/>
      <c r="N2311" s="144"/>
      <c r="O2311" s="142"/>
      <c r="P2311" s="142"/>
      <c r="Q2311" s="142"/>
      <c r="R2311" s="129"/>
      <c r="S2311" s="143"/>
      <c r="T2311" s="144"/>
      <c r="U2311" s="129"/>
      <c r="V2311" s="129"/>
    </row>
    <row r="2312" spans="1:22" x14ac:dyDescent="0.2">
      <c r="A2312" s="144"/>
      <c r="B2312" s="145"/>
      <c r="C2312" s="129"/>
      <c r="D2312" s="129"/>
      <c r="E2312" s="129"/>
      <c r="F2312" s="129"/>
      <c r="G2312" s="144"/>
      <c r="H2312" s="129"/>
      <c r="I2312" s="144"/>
      <c r="J2312" s="144"/>
      <c r="K2312" s="144"/>
      <c r="L2312" s="146"/>
      <c r="M2312" s="142"/>
      <c r="N2312" s="144"/>
      <c r="O2312" s="142"/>
      <c r="P2312" s="142"/>
      <c r="Q2312" s="142"/>
      <c r="R2312" s="129"/>
      <c r="S2312" s="143"/>
      <c r="T2312" s="144"/>
      <c r="U2312" s="129"/>
      <c r="V2312" s="129"/>
    </row>
    <row r="2313" spans="1:22" x14ac:dyDescent="0.2">
      <c r="A2313" s="144"/>
      <c r="B2313" s="145"/>
      <c r="C2313" s="129"/>
      <c r="D2313" s="129"/>
      <c r="E2313" s="129"/>
      <c r="F2313" s="129"/>
      <c r="G2313" s="144"/>
      <c r="H2313" s="129"/>
      <c r="I2313" s="144"/>
      <c r="J2313" s="144"/>
      <c r="K2313" s="144"/>
      <c r="L2313" s="146"/>
      <c r="M2313" s="142"/>
      <c r="N2313" s="144"/>
      <c r="O2313" s="142"/>
      <c r="P2313" s="142"/>
      <c r="Q2313" s="142"/>
      <c r="R2313" s="129"/>
      <c r="S2313" s="143"/>
      <c r="T2313" s="144"/>
      <c r="U2313" s="129"/>
      <c r="V2313" s="129"/>
    </row>
    <row r="2314" spans="1:22" x14ac:dyDescent="0.2">
      <c r="A2314" s="144"/>
      <c r="B2314" s="145"/>
      <c r="C2314" s="129"/>
      <c r="D2314" s="129"/>
      <c r="E2314" s="129"/>
      <c r="F2314" s="129"/>
      <c r="G2314" s="144"/>
      <c r="H2314" s="129"/>
      <c r="I2314" s="144"/>
      <c r="J2314" s="144"/>
      <c r="K2314" s="144"/>
      <c r="L2314" s="146"/>
      <c r="M2314" s="142"/>
      <c r="N2314" s="144"/>
      <c r="O2314" s="142"/>
      <c r="P2314" s="142"/>
      <c r="Q2314" s="142"/>
      <c r="R2314" s="129"/>
      <c r="S2314" s="143"/>
      <c r="T2314" s="144"/>
      <c r="U2314" s="129"/>
      <c r="V2314" s="129"/>
    </row>
    <row r="2315" spans="1:22" x14ac:dyDescent="0.2">
      <c r="A2315" s="144"/>
      <c r="B2315" s="145"/>
      <c r="C2315" s="129"/>
      <c r="D2315" s="129"/>
      <c r="E2315" s="129"/>
      <c r="F2315" s="129"/>
      <c r="G2315" s="144"/>
      <c r="H2315" s="129"/>
      <c r="I2315" s="144"/>
      <c r="J2315" s="144"/>
      <c r="K2315" s="144"/>
      <c r="L2315" s="146"/>
      <c r="M2315" s="142"/>
      <c r="N2315" s="144"/>
      <c r="O2315" s="142"/>
      <c r="P2315" s="142"/>
      <c r="Q2315" s="142"/>
      <c r="R2315" s="129"/>
      <c r="S2315" s="143"/>
      <c r="T2315" s="144"/>
      <c r="U2315" s="129"/>
      <c r="V2315" s="129"/>
    </row>
    <row r="2316" spans="1:22" x14ac:dyDescent="0.2">
      <c r="A2316" s="144"/>
      <c r="B2316" s="145"/>
      <c r="C2316" s="129"/>
      <c r="D2316" s="129"/>
      <c r="E2316" s="129"/>
      <c r="F2316" s="129"/>
      <c r="G2316" s="144"/>
      <c r="H2316" s="129"/>
      <c r="I2316" s="144"/>
      <c r="J2316" s="144"/>
      <c r="K2316" s="144"/>
      <c r="L2316" s="146"/>
      <c r="M2316" s="142"/>
      <c r="N2316" s="144"/>
      <c r="O2316" s="142"/>
      <c r="P2316" s="142"/>
      <c r="Q2316" s="142"/>
      <c r="R2316" s="129"/>
      <c r="S2316" s="143"/>
      <c r="T2316" s="144"/>
      <c r="U2316" s="129"/>
      <c r="V2316" s="129"/>
    </row>
    <row r="2317" spans="1:22" x14ac:dyDescent="0.2">
      <c r="A2317" s="144"/>
      <c r="B2317" s="145"/>
      <c r="C2317" s="129"/>
      <c r="D2317" s="129"/>
      <c r="E2317" s="129"/>
      <c r="F2317" s="129"/>
      <c r="G2317" s="144"/>
      <c r="H2317" s="129"/>
      <c r="I2317" s="144"/>
      <c r="J2317" s="144"/>
      <c r="K2317" s="144"/>
      <c r="L2317" s="146"/>
      <c r="M2317" s="142"/>
      <c r="N2317" s="144"/>
      <c r="O2317" s="142"/>
      <c r="P2317" s="142"/>
      <c r="Q2317" s="142"/>
      <c r="R2317" s="129"/>
      <c r="S2317" s="143"/>
      <c r="T2317" s="144"/>
      <c r="U2317" s="129"/>
      <c r="V2317" s="129"/>
    </row>
    <row r="2318" spans="1:22" x14ac:dyDescent="0.2">
      <c r="A2318" s="144"/>
      <c r="B2318" s="145"/>
      <c r="C2318" s="129"/>
      <c r="D2318" s="129"/>
      <c r="E2318" s="129"/>
      <c r="F2318" s="129"/>
      <c r="G2318" s="144"/>
      <c r="H2318" s="129"/>
      <c r="I2318" s="144"/>
      <c r="J2318" s="144"/>
      <c r="K2318" s="144"/>
      <c r="L2318" s="146"/>
      <c r="M2318" s="142"/>
      <c r="N2318" s="144"/>
      <c r="O2318" s="142"/>
      <c r="P2318" s="142"/>
      <c r="Q2318" s="142"/>
      <c r="R2318" s="129"/>
      <c r="S2318" s="143"/>
      <c r="T2318" s="144"/>
      <c r="U2318" s="129"/>
      <c r="V2318" s="129"/>
    </row>
    <row r="2319" spans="1:22" x14ac:dyDescent="0.2">
      <c r="A2319" s="144"/>
      <c r="B2319" s="145"/>
      <c r="C2319" s="129"/>
      <c r="D2319" s="129"/>
      <c r="E2319" s="129"/>
      <c r="F2319" s="129"/>
      <c r="G2319" s="144"/>
      <c r="H2319" s="129"/>
      <c r="I2319" s="144"/>
      <c r="J2319" s="144"/>
      <c r="K2319" s="144"/>
      <c r="L2319" s="146"/>
      <c r="M2319" s="142"/>
      <c r="N2319" s="144"/>
      <c r="O2319" s="142"/>
      <c r="P2319" s="142"/>
      <c r="Q2319" s="142"/>
      <c r="R2319" s="129"/>
      <c r="S2319" s="143"/>
      <c r="T2319" s="144"/>
      <c r="U2319" s="129"/>
      <c r="V2319" s="129"/>
    </row>
    <row r="2320" spans="1:22" x14ac:dyDescent="0.2">
      <c r="A2320" s="144"/>
      <c r="B2320" s="145"/>
      <c r="C2320" s="129"/>
      <c r="D2320" s="129"/>
      <c r="E2320" s="129"/>
      <c r="F2320" s="129"/>
      <c r="G2320" s="144"/>
      <c r="H2320" s="129"/>
      <c r="I2320" s="144"/>
      <c r="J2320" s="144"/>
      <c r="K2320" s="144"/>
      <c r="L2320" s="146"/>
      <c r="M2320" s="142"/>
      <c r="N2320" s="144"/>
      <c r="O2320" s="142"/>
      <c r="P2320" s="142"/>
      <c r="Q2320" s="142"/>
      <c r="R2320" s="129"/>
      <c r="S2320" s="143"/>
      <c r="T2320" s="144"/>
      <c r="U2320" s="129"/>
      <c r="V2320" s="129"/>
    </row>
    <row r="2321" spans="1:22" x14ac:dyDescent="0.2">
      <c r="A2321" s="144"/>
      <c r="B2321" s="145"/>
      <c r="C2321" s="129"/>
      <c r="D2321" s="129"/>
      <c r="E2321" s="129"/>
      <c r="F2321" s="129"/>
      <c r="G2321" s="144"/>
      <c r="H2321" s="129"/>
      <c r="I2321" s="144"/>
      <c r="J2321" s="144"/>
      <c r="K2321" s="144"/>
      <c r="L2321" s="146"/>
      <c r="M2321" s="142"/>
      <c r="N2321" s="144"/>
      <c r="O2321" s="142"/>
      <c r="P2321" s="142"/>
      <c r="Q2321" s="142"/>
      <c r="R2321" s="129"/>
      <c r="S2321" s="143"/>
      <c r="T2321" s="144"/>
      <c r="U2321" s="129"/>
      <c r="V2321" s="129"/>
    </row>
    <row r="2322" spans="1:22" x14ac:dyDescent="0.2">
      <c r="A2322" s="144"/>
      <c r="B2322" s="145"/>
      <c r="C2322" s="129"/>
      <c r="D2322" s="129"/>
      <c r="E2322" s="129"/>
      <c r="F2322" s="129"/>
      <c r="G2322" s="144"/>
      <c r="H2322" s="129"/>
      <c r="I2322" s="144"/>
      <c r="J2322" s="144"/>
      <c r="K2322" s="144"/>
      <c r="L2322" s="146"/>
      <c r="M2322" s="142"/>
      <c r="N2322" s="144"/>
      <c r="O2322" s="142"/>
      <c r="P2322" s="142"/>
      <c r="Q2322" s="142"/>
      <c r="R2322" s="129"/>
      <c r="S2322" s="143"/>
      <c r="T2322" s="144"/>
      <c r="U2322" s="129"/>
      <c r="V2322" s="129"/>
    </row>
    <row r="2323" spans="1:22" x14ac:dyDescent="0.2">
      <c r="A2323" s="144"/>
      <c r="B2323" s="145"/>
      <c r="C2323" s="129"/>
      <c r="D2323" s="129"/>
      <c r="E2323" s="129"/>
      <c r="F2323" s="129"/>
      <c r="G2323" s="144"/>
      <c r="H2323" s="129"/>
      <c r="I2323" s="144"/>
      <c r="J2323" s="144"/>
      <c r="K2323" s="144"/>
      <c r="L2323" s="146"/>
      <c r="M2323" s="142"/>
      <c r="N2323" s="144"/>
      <c r="O2323" s="142"/>
      <c r="P2323" s="142"/>
      <c r="Q2323" s="142"/>
      <c r="R2323" s="129"/>
      <c r="S2323" s="143"/>
      <c r="T2323" s="144"/>
      <c r="U2323" s="129"/>
      <c r="V2323" s="129"/>
    </row>
    <row r="2324" spans="1:22" x14ac:dyDescent="0.2">
      <c r="A2324" s="144"/>
      <c r="B2324" s="145"/>
      <c r="C2324" s="129"/>
      <c r="D2324" s="129"/>
      <c r="E2324" s="129"/>
      <c r="F2324" s="129"/>
      <c r="G2324" s="144"/>
      <c r="H2324" s="129"/>
      <c r="I2324" s="144"/>
      <c r="J2324" s="144"/>
      <c r="K2324" s="144"/>
      <c r="L2324" s="146"/>
      <c r="M2324" s="142"/>
      <c r="N2324" s="144"/>
      <c r="O2324" s="142"/>
      <c r="P2324" s="142"/>
      <c r="Q2324" s="142"/>
      <c r="R2324" s="129"/>
      <c r="S2324" s="143"/>
      <c r="T2324" s="144"/>
      <c r="U2324" s="129"/>
      <c r="V2324" s="129"/>
    </row>
    <row r="2325" spans="1:22" x14ac:dyDescent="0.2">
      <c r="A2325" s="144"/>
      <c r="B2325" s="145"/>
      <c r="C2325" s="129"/>
      <c r="D2325" s="129"/>
      <c r="E2325" s="129"/>
      <c r="F2325" s="129"/>
      <c r="G2325" s="144"/>
      <c r="H2325" s="129"/>
      <c r="I2325" s="144"/>
      <c r="J2325" s="144"/>
      <c r="K2325" s="144"/>
      <c r="L2325" s="146"/>
      <c r="M2325" s="142"/>
      <c r="N2325" s="144"/>
      <c r="O2325" s="142"/>
      <c r="P2325" s="142"/>
      <c r="Q2325" s="142"/>
      <c r="R2325" s="129"/>
      <c r="S2325" s="143"/>
      <c r="T2325" s="144"/>
      <c r="U2325" s="129"/>
      <c r="V2325" s="129"/>
    </row>
    <row r="2326" spans="1:22" x14ac:dyDescent="0.2">
      <c r="A2326" s="144"/>
      <c r="B2326" s="145"/>
      <c r="C2326" s="129"/>
      <c r="D2326" s="129"/>
      <c r="E2326" s="129"/>
      <c r="F2326" s="129"/>
      <c r="G2326" s="144"/>
      <c r="H2326" s="129"/>
      <c r="I2326" s="144"/>
      <c r="J2326" s="144"/>
      <c r="K2326" s="144"/>
      <c r="L2326" s="146"/>
      <c r="M2326" s="142"/>
      <c r="N2326" s="144"/>
      <c r="O2326" s="142"/>
      <c r="P2326" s="142"/>
      <c r="Q2326" s="142"/>
      <c r="R2326" s="129"/>
      <c r="S2326" s="143"/>
      <c r="T2326" s="144"/>
      <c r="U2326" s="129"/>
      <c r="V2326" s="129"/>
    </row>
    <row r="2327" spans="1:22" x14ac:dyDescent="0.2">
      <c r="A2327" s="144"/>
      <c r="B2327" s="145"/>
      <c r="C2327" s="129"/>
      <c r="D2327" s="129"/>
      <c r="E2327" s="129"/>
      <c r="F2327" s="129"/>
      <c r="G2327" s="144"/>
      <c r="H2327" s="129"/>
      <c r="I2327" s="144"/>
      <c r="J2327" s="144"/>
      <c r="K2327" s="144"/>
      <c r="L2327" s="146"/>
      <c r="M2327" s="142"/>
      <c r="N2327" s="144"/>
      <c r="O2327" s="142"/>
      <c r="P2327" s="142"/>
      <c r="Q2327" s="142"/>
      <c r="R2327" s="129"/>
      <c r="S2327" s="143"/>
      <c r="T2327" s="144"/>
      <c r="U2327" s="129"/>
      <c r="V2327" s="129"/>
    </row>
    <row r="2328" spans="1:22" x14ac:dyDescent="0.2">
      <c r="A2328" s="144"/>
      <c r="B2328" s="145"/>
      <c r="C2328" s="129"/>
      <c r="D2328" s="129"/>
      <c r="E2328" s="129"/>
      <c r="F2328" s="129"/>
      <c r="G2328" s="144"/>
      <c r="H2328" s="129"/>
      <c r="I2328" s="144"/>
      <c r="J2328" s="144"/>
      <c r="K2328" s="144"/>
      <c r="L2328" s="146"/>
      <c r="M2328" s="142"/>
      <c r="N2328" s="144"/>
      <c r="O2328" s="142"/>
      <c r="P2328" s="142"/>
      <c r="Q2328" s="142"/>
      <c r="R2328" s="129"/>
      <c r="S2328" s="143"/>
      <c r="T2328" s="144"/>
      <c r="U2328" s="129"/>
      <c r="V2328" s="129"/>
    </row>
    <row r="2329" spans="1:22" x14ac:dyDescent="0.2">
      <c r="A2329" s="144"/>
      <c r="B2329" s="145"/>
      <c r="C2329" s="129"/>
      <c r="D2329" s="129"/>
      <c r="E2329" s="129"/>
      <c r="F2329" s="129"/>
      <c r="G2329" s="144"/>
      <c r="H2329" s="129"/>
      <c r="I2329" s="144"/>
      <c r="J2329" s="144"/>
      <c r="K2329" s="144"/>
      <c r="L2329" s="146"/>
      <c r="M2329" s="142"/>
      <c r="N2329" s="144"/>
      <c r="O2329" s="142"/>
      <c r="P2329" s="142"/>
      <c r="Q2329" s="142"/>
      <c r="R2329" s="129"/>
      <c r="S2329" s="143"/>
      <c r="T2329" s="144"/>
      <c r="U2329" s="129"/>
      <c r="V2329" s="129"/>
    </row>
    <row r="2330" spans="1:22" x14ac:dyDescent="0.2">
      <c r="A2330" s="144"/>
      <c r="B2330" s="145"/>
      <c r="C2330" s="129"/>
      <c r="D2330" s="129"/>
      <c r="E2330" s="129"/>
      <c r="F2330" s="129"/>
      <c r="G2330" s="144"/>
      <c r="H2330" s="129"/>
      <c r="I2330" s="144"/>
      <c r="J2330" s="144"/>
      <c r="K2330" s="144"/>
      <c r="L2330" s="146"/>
      <c r="M2330" s="142"/>
      <c r="N2330" s="144"/>
      <c r="O2330" s="142"/>
      <c r="P2330" s="142"/>
      <c r="Q2330" s="142"/>
      <c r="R2330" s="129"/>
      <c r="S2330" s="143"/>
      <c r="T2330" s="144"/>
      <c r="U2330" s="129"/>
      <c r="V2330" s="129"/>
    </row>
    <row r="2331" spans="1:22" x14ac:dyDescent="0.2">
      <c r="A2331" s="144"/>
      <c r="B2331" s="145"/>
      <c r="C2331" s="129"/>
      <c r="D2331" s="129"/>
      <c r="E2331" s="129"/>
      <c r="F2331" s="129"/>
      <c r="G2331" s="144"/>
      <c r="H2331" s="129"/>
      <c r="I2331" s="144"/>
      <c r="J2331" s="144"/>
      <c r="K2331" s="144"/>
      <c r="L2331" s="146"/>
      <c r="M2331" s="142"/>
      <c r="N2331" s="144"/>
      <c r="O2331" s="142"/>
      <c r="P2331" s="142"/>
      <c r="Q2331" s="142"/>
      <c r="R2331" s="129"/>
      <c r="S2331" s="143"/>
      <c r="T2331" s="144"/>
      <c r="U2331" s="129"/>
      <c r="V2331" s="129"/>
    </row>
    <row r="2332" spans="1:22" x14ac:dyDescent="0.2">
      <c r="A2332" s="144"/>
      <c r="B2332" s="145"/>
      <c r="C2332" s="129"/>
      <c r="D2332" s="129"/>
      <c r="E2332" s="129"/>
      <c r="F2332" s="129"/>
      <c r="G2332" s="144"/>
      <c r="H2332" s="129"/>
      <c r="I2332" s="144"/>
      <c r="J2332" s="144"/>
      <c r="K2332" s="144"/>
      <c r="L2332" s="146"/>
      <c r="M2332" s="142"/>
      <c r="N2332" s="144"/>
      <c r="O2332" s="142"/>
      <c r="P2332" s="142"/>
      <c r="Q2332" s="142"/>
      <c r="R2332" s="129"/>
      <c r="S2332" s="143"/>
      <c r="T2332" s="144"/>
      <c r="U2332" s="129"/>
      <c r="V2332" s="129"/>
    </row>
    <row r="2333" spans="1:22" x14ac:dyDescent="0.2">
      <c r="A2333" s="144"/>
      <c r="B2333" s="145"/>
      <c r="C2333" s="129"/>
      <c r="D2333" s="129"/>
      <c r="E2333" s="129"/>
      <c r="F2333" s="129"/>
      <c r="G2333" s="144"/>
      <c r="H2333" s="129"/>
      <c r="I2333" s="144"/>
      <c r="J2333" s="144"/>
      <c r="K2333" s="144"/>
      <c r="L2333" s="146"/>
      <c r="M2333" s="142"/>
      <c r="N2333" s="144"/>
      <c r="O2333" s="142"/>
      <c r="P2333" s="142"/>
      <c r="Q2333" s="142"/>
      <c r="R2333" s="129"/>
      <c r="S2333" s="143"/>
      <c r="T2333" s="144"/>
      <c r="U2333" s="129"/>
      <c r="V2333" s="129"/>
    </row>
    <row r="2334" spans="1:22" x14ac:dyDescent="0.2">
      <c r="A2334" s="144"/>
      <c r="B2334" s="145"/>
      <c r="C2334" s="129"/>
      <c r="D2334" s="129"/>
      <c r="E2334" s="129"/>
      <c r="F2334" s="129"/>
      <c r="G2334" s="144"/>
      <c r="H2334" s="129"/>
      <c r="I2334" s="144"/>
      <c r="J2334" s="144"/>
      <c r="K2334" s="144"/>
      <c r="L2334" s="146"/>
      <c r="M2334" s="142"/>
      <c r="N2334" s="144"/>
      <c r="O2334" s="142"/>
      <c r="P2334" s="142"/>
      <c r="Q2334" s="142"/>
      <c r="R2334" s="129"/>
      <c r="S2334" s="143"/>
      <c r="T2334" s="144"/>
      <c r="U2334" s="129"/>
      <c r="V2334" s="129"/>
    </row>
    <row r="2335" spans="1:22" x14ac:dyDescent="0.2">
      <c r="A2335" s="144"/>
      <c r="B2335" s="145"/>
      <c r="C2335" s="129"/>
      <c r="D2335" s="129"/>
      <c r="E2335" s="129"/>
      <c r="F2335" s="129"/>
      <c r="G2335" s="144"/>
      <c r="H2335" s="129"/>
      <c r="I2335" s="144"/>
      <c r="J2335" s="144"/>
      <c r="K2335" s="144"/>
      <c r="L2335" s="146"/>
      <c r="M2335" s="142"/>
      <c r="N2335" s="144"/>
      <c r="O2335" s="142"/>
      <c r="P2335" s="142"/>
      <c r="Q2335" s="142"/>
      <c r="R2335" s="129"/>
      <c r="S2335" s="143"/>
      <c r="T2335" s="144"/>
      <c r="U2335" s="129"/>
      <c r="V2335" s="129"/>
    </row>
    <row r="2336" spans="1:22" x14ac:dyDescent="0.2">
      <c r="A2336" s="144"/>
      <c r="B2336" s="145"/>
      <c r="C2336" s="129"/>
      <c r="D2336" s="129"/>
      <c r="E2336" s="129"/>
      <c r="F2336" s="129"/>
      <c r="G2336" s="144"/>
      <c r="H2336" s="129"/>
      <c r="I2336" s="144"/>
      <c r="J2336" s="144"/>
      <c r="K2336" s="144"/>
      <c r="L2336" s="146"/>
      <c r="M2336" s="142"/>
      <c r="N2336" s="144"/>
      <c r="O2336" s="142"/>
      <c r="P2336" s="142"/>
      <c r="Q2336" s="142"/>
      <c r="R2336" s="129"/>
      <c r="S2336" s="143"/>
      <c r="T2336" s="144"/>
      <c r="U2336" s="129"/>
      <c r="V2336" s="129"/>
    </row>
    <row r="2337" spans="1:22" x14ac:dyDescent="0.2">
      <c r="A2337" s="144"/>
      <c r="B2337" s="145"/>
      <c r="C2337" s="129"/>
      <c r="D2337" s="129"/>
      <c r="E2337" s="129"/>
      <c r="F2337" s="129"/>
      <c r="G2337" s="144"/>
      <c r="H2337" s="129"/>
      <c r="I2337" s="144"/>
      <c r="J2337" s="144"/>
      <c r="K2337" s="144"/>
      <c r="L2337" s="146"/>
      <c r="M2337" s="142"/>
      <c r="N2337" s="144"/>
      <c r="O2337" s="142"/>
      <c r="P2337" s="142"/>
      <c r="Q2337" s="142"/>
      <c r="R2337" s="129"/>
      <c r="S2337" s="143"/>
      <c r="T2337" s="144"/>
      <c r="U2337" s="129"/>
      <c r="V2337" s="129"/>
    </row>
    <row r="2338" spans="1:22" x14ac:dyDescent="0.2">
      <c r="A2338" s="144"/>
      <c r="B2338" s="145"/>
      <c r="C2338" s="129"/>
      <c r="D2338" s="129"/>
      <c r="E2338" s="129"/>
      <c r="F2338" s="129"/>
      <c r="G2338" s="144"/>
      <c r="H2338" s="129"/>
      <c r="I2338" s="144"/>
      <c r="J2338" s="144"/>
      <c r="K2338" s="144"/>
      <c r="L2338" s="146"/>
      <c r="M2338" s="142"/>
      <c r="N2338" s="144"/>
      <c r="O2338" s="142"/>
      <c r="P2338" s="142"/>
      <c r="Q2338" s="142"/>
      <c r="R2338" s="129"/>
      <c r="S2338" s="143"/>
      <c r="T2338" s="144"/>
      <c r="U2338" s="129"/>
      <c r="V2338" s="129"/>
    </row>
    <row r="2339" spans="1:22" x14ac:dyDescent="0.2">
      <c r="A2339" s="144"/>
      <c r="B2339" s="145"/>
      <c r="C2339" s="129"/>
      <c r="D2339" s="129"/>
      <c r="E2339" s="129"/>
      <c r="F2339" s="129"/>
      <c r="G2339" s="144"/>
      <c r="H2339" s="129"/>
      <c r="I2339" s="144"/>
      <c r="J2339" s="144"/>
      <c r="K2339" s="144"/>
      <c r="L2339" s="146"/>
      <c r="M2339" s="142"/>
      <c r="N2339" s="144"/>
      <c r="O2339" s="142"/>
      <c r="P2339" s="142"/>
      <c r="Q2339" s="142"/>
      <c r="R2339" s="129"/>
      <c r="S2339" s="143"/>
      <c r="T2339" s="144"/>
      <c r="U2339" s="129"/>
      <c r="V2339" s="129"/>
    </row>
    <row r="2340" spans="1:22" x14ac:dyDescent="0.2">
      <c r="A2340" s="144"/>
      <c r="B2340" s="145"/>
      <c r="C2340" s="129"/>
      <c r="D2340" s="129"/>
      <c r="E2340" s="129"/>
      <c r="F2340" s="129"/>
      <c r="G2340" s="144"/>
      <c r="H2340" s="129"/>
      <c r="I2340" s="144"/>
      <c r="J2340" s="144"/>
      <c r="K2340" s="144"/>
      <c r="L2340" s="146"/>
      <c r="M2340" s="142"/>
      <c r="N2340" s="144"/>
      <c r="O2340" s="142"/>
      <c r="P2340" s="142"/>
      <c r="Q2340" s="142"/>
      <c r="R2340" s="129"/>
      <c r="S2340" s="143"/>
      <c r="T2340" s="144"/>
      <c r="U2340" s="129"/>
      <c r="V2340" s="129"/>
    </row>
    <row r="2341" spans="1:22" x14ac:dyDescent="0.2">
      <c r="A2341" s="144"/>
      <c r="B2341" s="145"/>
      <c r="C2341" s="129"/>
      <c r="D2341" s="129"/>
      <c r="E2341" s="129"/>
      <c r="F2341" s="129"/>
      <c r="G2341" s="144"/>
      <c r="H2341" s="129"/>
      <c r="I2341" s="144"/>
      <c r="J2341" s="144"/>
      <c r="K2341" s="144"/>
      <c r="L2341" s="146"/>
      <c r="M2341" s="142"/>
      <c r="N2341" s="144"/>
      <c r="O2341" s="142"/>
      <c r="P2341" s="142"/>
      <c r="Q2341" s="142"/>
      <c r="R2341" s="129"/>
      <c r="S2341" s="143"/>
      <c r="T2341" s="144"/>
      <c r="U2341" s="129"/>
      <c r="V2341" s="129"/>
    </row>
    <row r="2342" spans="1:22" x14ac:dyDescent="0.2">
      <c r="A2342" s="144"/>
      <c r="B2342" s="145"/>
      <c r="C2342" s="129"/>
      <c r="D2342" s="129"/>
      <c r="E2342" s="129"/>
      <c r="F2342" s="129"/>
      <c r="G2342" s="144"/>
      <c r="H2342" s="129"/>
      <c r="I2342" s="144"/>
      <c r="J2342" s="144"/>
      <c r="K2342" s="144"/>
      <c r="L2342" s="146"/>
      <c r="M2342" s="142"/>
      <c r="N2342" s="144"/>
      <c r="O2342" s="142"/>
      <c r="P2342" s="142"/>
      <c r="Q2342" s="142"/>
      <c r="R2342" s="129"/>
      <c r="S2342" s="143"/>
      <c r="T2342" s="144"/>
      <c r="U2342" s="129"/>
      <c r="V2342" s="129"/>
    </row>
    <row r="2343" spans="1:22" x14ac:dyDescent="0.2">
      <c r="A2343" s="144"/>
      <c r="B2343" s="145"/>
      <c r="C2343" s="129"/>
      <c r="D2343" s="129"/>
      <c r="E2343" s="129"/>
      <c r="F2343" s="129"/>
      <c r="G2343" s="144"/>
      <c r="H2343" s="129"/>
      <c r="I2343" s="144"/>
      <c r="J2343" s="144"/>
      <c r="K2343" s="144"/>
      <c r="L2343" s="146"/>
      <c r="M2343" s="142"/>
      <c r="N2343" s="144"/>
      <c r="O2343" s="142"/>
      <c r="P2343" s="142"/>
      <c r="Q2343" s="142"/>
      <c r="R2343" s="129"/>
      <c r="S2343" s="143"/>
      <c r="T2343" s="144"/>
      <c r="U2343" s="129"/>
      <c r="V2343" s="129"/>
    </row>
    <row r="2344" spans="1:22" x14ac:dyDescent="0.2">
      <c r="A2344" s="144"/>
      <c r="B2344" s="145"/>
      <c r="C2344" s="129"/>
      <c r="D2344" s="129"/>
      <c r="E2344" s="129"/>
      <c r="F2344" s="129"/>
      <c r="G2344" s="144"/>
      <c r="H2344" s="129"/>
      <c r="I2344" s="144"/>
      <c r="J2344" s="144"/>
      <c r="K2344" s="144"/>
      <c r="L2344" s="146"/>
      <c r="M2344" s="142"/>
      <c r="N2344" s="144"/>
      <c r="O2344" s="142"/>
      <c r="P2344" s="142"/>
      <c r="Q2344" s="142"/>
      <c r="R2344" s="129"/>
      <c r="S2344" s="143"/>
      <c r="T2344" s="144"/>
      <c r="U2344" s="129"/>
      <c r="V2344" s="129"/>
    </row>
    <row r="2345" spans="1:22" x14ac:dyDescent="0.2">
      <c r="A2345" s="144"/>
      <c r="B2345" s="145"/>
      <c r="C2345" s="129"/>
      <c r="D2345" s="129"/>
      <c r="E2345" s="129"/>
      <c r="F2345" s="129"/>
      <c r="G2345" s="144"/>
      <c r="H2345" s="129"/>
      <c r="I2345" s="144"/>
      <c r="J2345" s="144"/>
      <c r="K2345" s="144"/>
      <c r="L2345" s="146"/>
      <c r="M2345" s="142"/>
      <c r="N2345" s="144"/>
      <c r="O2345" s="142"/>
      <c r="P2345" s="142"/>
      <c r="Q2345" s="142"/>
      <c r="R2345" s="129"/>
      <c r="S2345" s="143"/>
      <c r="T2345" s="144"/>
      <c r="U2345" s="129"/>
      <c r="V2345" s="129"/>
    </row>
    <row r="2346" spans="1:22" x14ac:dyDescent="0.2">
      <c r="A2346" s="144"/>
      <c r="B2346" s="145"/>
      <c r="C2346" s="129"/>
      <c r="D2346" s="129"/>
      <c r="E2346" s="129"/>
      <c r="F2346" s="129"/>
      <c r="G2346" s="144"/>
      <c r="H2346" s="129"/>
      <c r="I2346" s="144"/>
      <c r="J2346" s="144"/>
      <c r="K2346" s="144"/>
      <c r="L2346" s="146"/>
      <c r="M2346" s="142"/>
      <c r="N2346" s="144"/>
      <c r="O2346" s="142"/>
      <c r="P2346" s="142"/>
      <c r="Q2346" s="142"/>
      <c r="R2346" s="129"/>
      <c r="S2346" s="143"/>
      <c r="T2346" s="144"/>
      <c r="U2346" s="129"/>
      <c r="V2346" s="129"/>
    </row>
    <row r="2347" spans="1:22" x14ac:dyDescent="0.2">
      <c r="A2347" s="144"/>
      <c r="B2347" s="145"/>
      <c r="C2347" s="129"/>
      <c r="D2347" s="129"/>
      <c r="E2347" s="129"/>
      <c r="F2347" s="129"/>
      <c r="G2347" s="144"/>
      <c r="H2347" s="129"/>
      <c r="I2347" s="144"/>
      <c r="J2347" s="144"/>
      <c r="K2347" s="144"/>
      <c r="L2347" s="146"/>
      <c r="M2347" s="142"/>
      <c r="N2347" s="144"/>
      <c r="O2347" s="142"/>
      <c r="P2347" s="142"/>
      <c r="Q2347" s="142"/>
      <c r="R2347" s="129"/>
      <c r="S2347" s="143"/>
      <c r="T2347" s="144"/>
      <c r="U2347" s="129"/>
      <c r="V2347" s="129"/>
    </row>
    <row r="2348" spans="1:22" x14ac:dyDescent="0.2">
      <c r="A2348" s="144"/>
      <c r="B2348" s="145"/>
      <c r="C2348" s="129"/>
      <c r="D2348" s="129"/>
      <c r="E2348" s="129"/>
      <c r="F2348" s="129"/>
      <c r="G2348" s="144"/>
      <c r="H2348" s="129"/>
      <c r="I2348" s="144"/>
      <c r="J2348" s="144"/>
      <c r="K2348" s="144"/>
      <c r="L2348" s="146"/>
      <c r="M2348" s="142"/>
      <c r="N2348" s="144"/>
      <c r="O2348" s="142"/>
      <c r="P2348" s="142"/>
      <c r="Q2348" s="142"/>
      <c r="R2348" s="129"/>
      <c r="S2348" s="143"/>
      <c r="T2348" s="144"/>
      <c r="U2348" s="129"/>
      <c r="V2348" s="129"/>
    </row>
    <row r="2349" spans="1:22" x14ac:dyDescent="0.2">
      <c r="A2349" s="144"/>
      <c r="B2349" s="145"/>
      <c r="C2349" s="129"/>
      <c r="D2349" s="129"/>
      <c r="E2349" s="129"/>
      <c r="F2349" s="129"/>
      <c r="G2349" s="144"/>
      <c r="H2349" s="129"/>
      <c r="I2349" s="144"/>
      <c r="J2349" s="144"/>
      <c r="K2349" s="144"/>
      <c r="L2349" s="146"/>
      <c r="M2349" s="142"/>
      <c r="N2349" s="144"/>
      <c r="O2349" s="142"/>
      <c r="P2349" s="142"/>
      <c r="Q2349" s="142"/>
      <c r="R2349" s="129"/>
      <c r="S2349" s="143"/>
      <c r="T2349" s="144"/>
      <c r="U2349" s="129"/>
      <c r="V2349" s="129"/>
    </row>
    <row r="2350" spans="1:22" x14ac:dyDescent="0.2">
      <c r="A2350" s="144"/>
      <c r="B2350" s="145"/>
      <c r="C2350" s="129"/>
      <c r="D2350" s="129"/>
      <c r="E2350" s="129"/>
      <c r="F2350" s="129"/>
      <c r="G2350" s="144"/>
      <c r="H2350" s="129"/>
      <c r="I2350" s="144"/>
      <c r="J2350" s="144"/>
      <c r="K2350" s="144"/>
      <c r="L2350" s="146"/>
      <c r="M2350" s="142"/>
      <c r="N2350" s="144"/>
      <c r="O2350" s="142"/>
      <c r="P2350" s="142"/>
      <c r="Q2350" s="142"/>
      <c r="R2350" s="129"/>
      <c r="S2350" s="143"/>
      <c r="T2350" s="144"/>
      <c r="U2350" s="129"/>
      <c r="V2350" s="129"/>
    </row>
    <row r="2351" spans="1:22" x14ac:dyDescent="0.2">
      <c r="A2351" s="144"/>
      <c r="B2351" s="145"/>
      <c r="C2351" s="129"/>
      <c r="D2351" s="129"/>
      <c r="E2351" s="129"/>
      <c r="F2351" s="129"/>
      <c r="G2351" s="144"/>
      <c r="H2351" s="129"/>
      <c r="I2351" s="144"/>
      <c r="J2351" s="144"/>
      <c r="K2351" s="144"/>
      <c r="L2351" s="146"/>
      <c r="M2351" s="142"/>
      <c r="N2351" s="144"/>
      <c r="O2351" s="142"/>
      <c r="P2351" s="142"/>
      <c r="Q2351" s="142"/>
      <c r="R2351" s="129"/>
      <c r="S2351" s="143"/>
      <c r="T2351" s="144"/>
      <c r="U2351" s="129"/>
      <c r="V2351" s="129"/>
    </row>
    <row r="2352" spans="1:22" x14ac:dyDescent="0.2">
      <c r="A2352" s="144"/>
      <c r="B2352" s="145"/>
      <c r="C2352" s="129"/>
      <c r="D2352" s="129"/>
      <c r="E2352" s="129"/>
      <c r="F2352" s="129"/>
      <c r="G2352" s="144"/>
      <c r="H2352" s="129"/>
      <c r="I2352" s="144"/>
      <c r="J2352" s="144"/>
      <c r="K2352" s="144"/>
      <c r="L2352" s="146"/>
      <c r="M2352" s="142"/>
      <c r="N2352" s="144"/>
      <c r="O2352" s="142"/>
      <c r="P2352" s="142"/>
      <c r="Q2352" s="142"/>
      <c r="R2352" s="129"/>
      <c r="S2352" s="143"/>
      <c r="T2352" s="144"/>
      <c r="U2352" s="129"/>
      <c r="V2352" s="129"/>
    </row>
    <row r="2353" spans="1:22" x14ac:dyDescent="0.2">
      <c r="A2353" s="144"/>
      <c r="B2353" s="145"/>
      <c r="C2353" s="129"/>
      <c r="D2353" s="129"/>
      <c r="E2353" s="129"/>
      <c r="F2353" s="129"/>
      <c r="G2353" s="144"/>
      <c r="H2353" s="129"/>
      <c r="I2353" s="144"/>
      <c r="J2353" s="144"/>
      <c r="K2353" s="144"/>
      <c r="L2353" s="146"/>
      <c r="M2353" s="142"/>
      <c r="N2353" s="144"/>
      <c r="O2353" s="142"/>
      <c r="P2353" s="142"/>
      <c r="Q2353" s="142"/>
      <c r="R2353" s="129"/>
      <c r="S2353" s="143"/>
      <c r="T2353" s="144"/>
      <c r="U2353" s="129"/>
      <c r="V2353" s="129"/>
    </row>
    <row r="2354" spans="1:22" x14ac:dyDescent="0.2">
      <c r="A2354" s="144"/>
      <c r="B2354" s="145"/>
      <c r="C2354" s="129"/>
      <c r="D2354" s="129"/>
      <c r="E2354" s="129"/>
      <c r="F2354" s="129"/>
      <c r="G2354" s="144"/>
      <c r="H2354" s="129"/>
      <c r="I2354" s="144"/>
      <c r="J2354" s="144"/>
      <c r="K2354" s="144"/>
      <c r="L2354" s="146"/>
      <c r="M2354" s="142"/>
      <c r="N2354" s="144"/>
      <c r="O2354" s="142"/>
      <c r="P2354" s="142"/>
      <c r="Q2354" s="142"/>
      <c r="R2354" s="129"/>
      <c r="S2354" s="143"/>
      <c r="T2354" s="144"/>
      <c r="U2354" s="129"/>
      <c r="V2354" s="129"/>
    </row>
    <row r="2355" spans="1:22" x14ac:dyDescent="0.2">
      <c r="A2355" s="144"/>
      <c r="B2355" s="145"/>
      <c r="C2355" s="129"/>
      <c r="D2355" s="129"/>
      <c r="E2355" s="129"/>
      <c r="F2355" s="129"/>
      <c r="G2355" s="144"/>
      <c r="H2355" s="129"/>
      <c r="I2355" s="144"/>
      <c r="J2355" s="144"/>
      <c r="K2355" s="144"/>
      <c r="L2355" s="146"/>
      <c r="M2355" s="142"/>
      <c r="N2355" s="144"/>
      <c r="O2355" s="142"/>
      <c r="P2355" s="142"/>
      <c r="Q2355" s="142"/>
      <c r="R2355" s="129"/>
      <c r="S2355" s="143"/>
      <c r="T2355" s="144"/>
      <c r="U2355" s="129"/>
      <c r="V2355" s="129"/>
    </row>
    <row r="2356" spans="1:22" x14ac:dyDescent="0.2">
      <c r="A2356" s="144"/>
      <c r="B2356" s="145"/>
      <c r="C2356" s="129"/>
      <c r="D2356" s="129"/>
      <c r="E2356" s="129"/>
      <c r="F2356" s="129"/>
      <c r="G2356" s="144"/>
      <c r="H2356" s="129"/>
      <c r="I2356" s="144"/>
      <c r="J2356" s="144"/>
      <c r="K2356" s="144"/>
      <c r="L2356" s="146"/>
      <c r="M2356" s="142"/>
      <c r="N2356" s="144"/>
      <c r="O2356" s="142"/>
      <c r="P2356" s="142"/>
      <c r="Q2356" s="142"/>
      <c r="R2356" s="129"/>
      <c r="S2356" s="143"/>
      <c r="T2356" s="144"/>
      <c r="U2356" s="129"/>
      <c r="V2356" s="129"/>
    </row>
    <row r="2357" spans="1:22" x14ac:dyDescent="0.2">
      <c r="A2357" s="144"/>
      <c r="B2357" s="145"/>
      <c r="C2357" s="129"/>
      <c r="D2357" s="129"/>
      <c r="E2357" s="129"/>
      <c r="F2357" s="129"/>
      <c r="G2357" s="144"/>
      <c r="H2357" s="129"/>
      <c r="I2357" s="144"/>
      <c r="J2357" s="144"/>
      <c r="K2357" s="144"/>
      <c r="L2357" s="146"/>
      <c r="M2357" s="142"/>
      <c r="N2357" s="144"/>
      <c r="O2357" s="142"/>
      <c r="P2357" s="142"/>
      <c r="Q2357" s="142"/>
      <c r="R2357" s="129"/>
      <c r="S2357" s="143"/>
      <c r="T2357" s="144"/>
      <c r="U2357" s="129"/>
      <c r="V2357" s="129"/>
    </row>
    <row r="2358" spans="1:22" x14ac:dyDescent="0.2">
      <c r="A2358" s="144"/>
      <c r="B2358" s="145"/>
      <c r="C2358" s="129"/>
      <c r="D2358" s="129"/>
      <c r="E2358" s="129"/>
      <c r="F2358" s="129"/>
      <c r="G2358" s="144"/>
      <c r="H2358" s="129"/>
      <c r="I2358" s="144"/>
      <c r="J2358" s="144"/>
      <c r="K2358" s="144"/>
      <c r="L2358" s="146"/>
      <c r="M2358" s="142"/>
      <c r="N2358" s="144"/>
      <c r="O2358" s="142"/>
      <c r="P2358" s="142"/>
      <c r="Q2358" s="142"/>
      <c r="R2358" s="129"/>
      <c r="S2358" s="143"/>
      <c r="T2358" s="144"/>
      <c r="U2358" s="129"/>
      <c r="V2358" s="129"/>
    </row>
    <row r="2359" spans="1:22" x14ac:dyDescent="0.2">
      <c r="A2359" s="144"/>
      <c r="B2359" s="145"/>
      <c r="C2359" s="129"/>
      <c r="D2359" s="129"/>
      <c r="E2359" s="129"/>
      <c r="F2359" s="129"/>
      <c r="G2359" s="144"/>
      <c r="H2359" s="129"/>
      <c r="I2359" s="144"/>
      <c r="J2359" s="144"/>
      <c r="K2359" s="144"/>
      <c r="L2359" s="146"/>
      <c r="M2359" s="142"/>
      <c r="N2359" s="144"/>
      <c r="O2359" s="142"/>
      <c r="P2359" s="142"/>
      <c r="Q2359" s="142"/>
      <c r="R2359" s="129"/>
      <c r="S2359" s="143"/>
      <c r="T2359" s="144"/>
      <c r="U2359" s="129"/>
      <c r="V2359" s="129"/>
    </row>
    <row r="2360" spans="1:22" x14ac:dyDescent="0.2">
      <c r="A2360" s="144"/>
      <c r="B2360" s="145"/>
      <c r="C2360" s="129"/>
      <c r="D2360" s="129"/>
      <c r="E2360" s="129"/>
      <c r="F2360" s="129"/>
      <c r="G2360" s="144"/>
      <c r="H2360" s="129"/>
      <c r="I2360" s="144"/>
      <c r="J2360" s="144"/>
      <c r="K2360" s="144"/>
      <c r="L2360" s="146"/>
      <c r="M2360" s="142"/>
      <c r="N2360" s="144"/>
      <c r="O2360" s="142"/>
      <c r="P2360" s="142"/>
      <c r="Q2360" s="142"/>
      <c r="R2360" s="129"/>
      <c r="S2360" s="143"/>
      <c r="T2360" s="144"/>
      <c r="U2360" s="129"/>
      <c r="V2360" s="129"/>
    </row>
    <row r="2361" spans="1:22" x14ac:dyDescent="0.2">
      <c r="A2361" s="144"/>
      <c r="B2361" s="145"/>
      <c r="C2361" s="129"/>
      <c r="D2361" s="129"/>
      <c r="E2361" s="129"/>
      <c r="F2361" s="129"/>
      <c r="G2361" s="144"/>
      <c r="H2361" s="129"/>
      <c r="I2361" s="144"/>
      <c r="J2361" s="144"/>
      <c r="K2361" s="144"/>
      <c r="L2361" s="146"/>
      <c r="M2361" s="142"/>
      <c r="N2361" s="144"/>
      <c r="O2361" s="142"/>
      <c r="P2361" s="142"/>
      <c r="Q2361" s="142"/>
      <c r="R2361" s="129"/>
      <c r="S2361" s="143"/>
      <c r="T2361" s="144"/>
      <c r="U2361" s="129"/>
      <c r="V2361" s="129"/>
    </row>
    <row r="2362" spans="1:22" x14ac:dyDescent="0.2">
      <c r="A2362" s="144"/>
      <c r="B2362" s="145"/>
      <c r="C2362" s="129"/>
      <c r="D2362" s="129"/>
      <c r="E2362" s="129"/>
      <c r="F2362" s="129"/>
      <c r="G2362" s="144"/>
      <c r="H2362" s="129"/>
      <c r="I2362" s="144"/>
      <c r="J2362" s="144"/>
      <c r="K2362" s="144"/>
      <c r="L2362" s="146"/>
      <c r="M2362" s="142"/>
      <c r="N2362" s="144"/>
      <c r="O2362" s="142"/>
      <c r="P2362" s="142"/>
      <c r="Q2362" s="142"/>
      <c r="R2362" s="129"/>
      <c r="S2362" s="143"/>
      <c r="T2362" s="144"/>
      <c r="U2362" s="129"/>
      <c r="V2362" s="129"/>
    </row>
    <row r="2363" spans="1:22" x14ac:dyDescent="0.2">
      <c r="A2363" s="144"/>
      <c r="B2363" s="145"/>
      <c r="C2363" s="129"/>
      <c r="D2363" s="129"/>
      <c r="E2363" s="129"/>
      <c r="F2363" s="129"/>
      <c r="G2363" s="144"/>
      <c r="H2363" s="129"/>
      <c r="I2363" s="144"/>
      <c r="J2363" s="144"/>
      <c r="K2363" s="144"/>
      <c r="L2363" s="146"/>
      <c r="M2363" s="142"/>
      <c r="N2363" s="144"/>
      <c r="O2363" s="142"/>
      <c r="P2363" s="142"/>
      <c r="Q2363" s="142"/>
      <c r="R2363" s="129"/>
      <c r="S2363" s="143"/>
      <c r="T2363" s="144"/>
      <c r="U2363" s="129"/>
      <c r="V2363" s="129"/>
    </row>
    <row r="2364" spans="1:22" x14ac:dyDescent="0.2">
      <c r="A2364" s="144"/>
      <c r="B2364" s="145"/>
      <c r="C2364" s="129"/>
      <c r="D2364" s="129"/>
      <c r="E2364" s="129"/>
      <c r="F2364" s="129"/>
      <c r="G2364" s="144"/>
      <c r="H2364" s="129"/>
      <c r="I2364" s="144"/>
      <c r="J2364" s="144"/>
      <c r="K2364" s="144"/>
      <c r="L2364" s="146"/>
      <c r="M2364" s="142"/>
      <c r="N2364" s="144"/>
      <c r="O2364" s="142"/>
      <c r="P2364" s="142"/>
      <c r="Q2364" s="142"/>
      <c r="R2364" s="129"/>
      <c r="S2364" s="143"/>
      <c r="T2364" s="144"/>
      <c r="U2364" s="129"/>
      <c r="V2364" s="129"/>
    </row>
    <row r="2365" spans="1:22" x14ac:dyDescent="0.2">
      <c r="A2365" s="144"/>
      <c r="B2365" s="145"/>
      <c r="C2365" s="129"/>
      <c r="D2365" s="129"/>
      <c r="E2365" s="129"/>
      <c r="F2365" s="129"/>
      <c r="G2365" s="144"/>
      <c r="H2365" s="129"/>
      <c r="I2365" s="144"/>
      <c r="J2365" s="144"/>
      <c r="K2365" s="144"/>
      <c r="L2365" s="146"/>
      <c r="M2365" s="142"/>
      <c r="N2365" s="144"/>
      <c r="O2365" s="142"/>
      <c r="P2365" s="142"/>
      <c r="Q2365" s="142"/>
      <c r="R2365" s="129"/>
      <c r="S2365" s="143"/>
      <c r="T2365" s="144"/>
      <c r="U2365" s="129"/>
      <c r="V2365" s="129"/>
    </row>
    <row r="2366" spans="1:22" x14ac:dyDescent="0.2">
      <c r="A2366" s="144"/>
      <c r="B2366" s="145"/>
      <c r="C2366" s="129"/>
      <c r="D2366" s="129"/>
      <c r="E2366" s="129"/>
      <c r="F2366" s="129"/>
      <c r="G2366" s="144"/>
      <c r="H2366" s="129"/>
      <c r="I2366" s="144"/>
      <c r="J2366" s="144"/>
      <c r="K2366" s="144"/>
      <c r="L2366" s="146"/>
      <c r="M2366" s="142"/>
      <c r="N2366" s="144"/>
      <c r="O2366" s="142"/>
      <c r="P2366" s="142"/>
      <c r="Q2366" s="142"/>
      <c r="R2366" s="129"/>
      <c r="S2366" s="143"/>
      <c r="T2366" s="144"/>
      <c r="U2366" s="129"/>
      <c r="V2366" s="129"/>
    </row>
    <row r="2367" spans="1:22" x14ac:dyDescent="0.2">
      <c r="A2367" s="144"/>
      <c r="B2367" s="145"/>
      <c r="C2367" s="129"/>
      <c r="D2367" s="129"/>
      <c r="E2367" s="129"/>
      <c r="F2367" s="129"/>
      <c r="G2367" s="144"/>
      <c r="H2367" s="129"/>
      <c r="I2367" s="144"/>
      <c r="J2367" s="144"/>
      <c r="K2367" s="144"/>
      <c r="L2367" s="146"/>
      <c r="M2367" s="142"/>
      <c r="N2367" s="144"/>
      <c r="O2367" s="142"/>
      <c r="P2367" s="142"/>
      <c r="Q2367" s="142"/>
      <c r="R2367" s="129"/>
      <c r="S2367" s="143"/>
      <c r="T2367" s="144"/>
      <c r="U2367" s="129"/>
      <c r="V2367" s="129"/>
    </row>
    <row r="2368" spans="1:22" x14ac:dyDescent="0.2">
      <c r="A2368" s="144"/>
      <c r="B2368" s="145"/>
      <c r="C2368" s="129"/>
      <c r="D2368" s="129"/>
      <c r="E2368" s="129"/>
      <c r="F2368" s="129"/>
      <c r="G2368" s="144"/>
      <c r="H2368" s="129"/>
      <c r="I2368" s="144"/>
      <c r="J2368" s="144"/>
      <c r="K2368" s="144"/>
      <c r="L2368" s="146"/>
      <c r="M2368" s="142"/>
      <c r="N2368" s="144"/>
      <c r="O2368" s="142"/>
      <c r="P2368" s="142"/>
      <c r="Q2368" s="142"/>
      <c r="R2368" s="129"/>
      <c r="S2368" s="143"/>
      <c r="T2368" s="144"/>
      <c r="U2368" s="129"/>
      <c r="V2368" s="129"/>
    </row>
    <row r="2369" spans="1:22" x14ac:dyDescent="0.2">
      <c r="A2369" s="144"/>
      <c r="B2369" s="145"/>
      <c r="C2369" s="129"/>
      <c r="D2369" s="129"/>
      <c r="E2369" s="129"/>
      <c r="F2369" s="129"/>
      <c r="G2369" s="144"/>
      <c r="H2369" s="129"/>
      <c r="I2369" s="144"/>
      <c r="J2369" s="144"/>
      <c r="K2369" s="144"/>
      <c r="L2369" s="146"/>
      <c r="M2369" s="142"/>
      <c r="N2369" s="144"/>
      <c r="O2369" s="142"/>
      <c r="P2369" s="142"/>
      <c r="Q2369" s="142"/>
      <c r="R2369" s="129"/>
      <c r="S2369" s="143"/>
      <c r="T2369" s="144"/>
      <c r="U2369" s="129"/>
      <c r="V2369" s="129"/>
    </row>
    <row r="2370" spans="1:22" x14ac:dyDescent="0.2">
      <c r="A2370" s="144"/>
      <c r="B2370" s="145"/>
      <c r="C2370" s="129"/>
      <c r="D2370" s="129"/>
      <c r="E2370" s="129"/>
      <c r="F2370" s="129"/>
      <c r="G2370" s="144"/>
      <c r="H2370" s="129"/>
      <c r="I2370" s="144"/>
      <c r="J2370" s="144"/>
      <c r="K2370" s="144"/>
      <c r="L2370" s="146"/>
      <c r="M2370" s="142"/>
      <c r="N2370" s="144"/>
      <c r="O2370" s="142"/>
      <c r="P2370" s="142"/>
      <c r="Q2370" s="142"/>
      <c r="R2370" s="129"/>
      <c r="S2370" s="143"/>
      <c r="T2370" s="144"/>
      <c r="U2370" s="129"/>
      <c r="V2370" s="129"/>
    </row>
    <row r="2371" spans="1:22" x14ac:dyDescent="0.2">
      <c r="A2371" s="144"/>
      <c r="B2371" s="145"/>
      <c r="C2371" s="129"/>
      <c r="D2371" s="129"/>
      <c r="E2371" s="129"/>
      <c r="F2371" s="129"/>
      <c r="G2371" s="144"/>
      <c r="H2371" s="129"/>
      <c r="I2371" s="144"/>
      <c r="J2371" s="144"/>
      <c r="K2371" s="144"/>
      <c r="L2371" s="146"/>
      <c r="M2371" s="142"/>
      <c r="N2371" s="144"/>
      <c r="O2371" s="142"/>
      <c r="P2371" s="142"/>
      <c r="Q2371" s="142"/>
      <c r="R2371" s="129"/>
      <c r="S2371" s="143"/>
      <c r="T2371" s="144"/>
      <c r="U2371" s="129"/>
      <c r="V2371" s="129"/>
    </row>
    <row r="2372" spans="1:22" x14ac:dyDescent="0.2">
      <c r="A2372" s="144"/>
      <c r="B2372" s="145"/>
      <c r="C2372" s="129"/>
      <c r="D2372" s="129"/>
      <c r="E2372" s="129"/>
      <c r="F2372" s="129"/>
      <c r="G2372" s="144"/>
      <c r="H2372" s="129"/>
      <c r="I2372" s="144"/>
      <c r="J2372" s="144"/>
      <c r="K2372" s="144"/>
      <c r="L2372" s="146"/>
      <c r="M2372" s="142"/>
      <c r="N2372" s="144"/>
      <c r="O2372" s="142"/>
      <c r="P2372" s="142"/>
      <c r="Q2372" s="142"/>
      <c r="R2372" s="129"/>
      <c r="S2372" s="143"/>
      <c r="T2372" s="144"/>
      <c r="U2372" s="129"/>
      <c r="V2372" s="129"/>
    </row>
    <row r="2373" spans="1:22" x14ac:dyDescent="0.2">
      <c r="A2373" s="144"/>
      <c r="B2373" s="145"/>
      <c r="C2373" s="129"/>
      <c r="D2373" s="129"/>
      <c r="E2373" s="129"/>
      <c r="F2373" s="129"/>
      <c r="G2373" s="144"/>
      <c r="H2373" s="129"/>
      <c r="I2373" s="144"/>
      <c r="J2373" s="144"/>
      <c r="K2373" s="144"/>
      <c r="L2373" s="146"/>
      <c r="M2373" s="142"/>
      <c r="N2373" s="144"/>
      <c r="O2373" s="142"/>
      <c r="P2373" s="142"/>
      <c r="Q2373" s="142"/>
      <c r="R2373" s="129"/>
      <c r="S2373" s="143"/>
      <c r="T2373" s="144"/>
      <c r="U2373" s="129"/>
      <c r="V2373" s="129"/>
    </row>
    <row r="2374" spans="1:22" x14ac:dyDescent="0.2">
      <c r="A2374" s="144"/>
      <c r="B2374" s="145"/>
      <c r="C2374" s="129"/>
      <c r="D2374" s="129"/>
      <c r="E2374" s="129"/>
      <c r="F2374" s="129"/>
      <c r="G2374" s="144"/>
      <c r="H2374" s="129"/>
      <c r="I2374" s="144"/>
      <c r="J2374" s="144"/>
      <c r="K2374" s="144"/>
      <c r="L2374" s="146"/>
      <c r="M2374" s="142"/>
      <c r="N2374" s="144"/>
      <c r="O2374" s="142"/>
      <c r="P2374" s="142"/>
      <c r="Q2374" s="142"/>
      <c r="R2374" s="129"/>
      <c r="S2374" s="143"/>
      <c r="T2374" s="144"/>
      <c r="U2374" s="129"/>
      <c r="V2374" s="129"/>
    </row>
    <row r="2375" spans="1:22" x14ac:dyDescent="0.2">
      <c r="A2375" s="144"/>
      <c r="B2375" s="145"/>
      <c r="C2375" s="129"/>
      <c r="D2375" s="129"/>
      <c r="E2375" s="129"/>
      <c r="F2375" s="129"/>
      <c r="G2375" s="144"/>
      <c r="H2375" s="129"/>
      <c r="I2375" s="144"/>
      <c r="J2375" s="144"/>
      <c r="K2375" s="144"/>
      <c r="L2375" s="146"/>
      <c r="M2375" s="142"/>
      <c r="N2375" s="144"/>
      <c r="O2375" s="142"/>
      <c r="P2375" s="142"/>
      <c r="Q2375" s="142"/>
      <c r="R2375" s="129"/>
      <c r="S2375" s="143"/>
      <c r="T2375" s="144"/>
      <c r="U2375" s="129"/>
      <c r="V2375" s="129"/>
    </row>
    <row r="2376" spans="1:22" x14ac:dyDescent="0.2">
      <c r="A2376" s="144"/>
      <c r="B2376" s="145"/>
      <c r="C2376" s="129"/>
      <c r="D2376" s="129"/>
      <c r="E2376" s="129"/>
      <c r="F2376" s="129"/>
      <c r="G2376" s="144"/>
      <c r="H2376" s="129"/>
      <c r="I2376" s="144"/>
      <c r="J2376" s="144"/>
      <c r="K2376" s="144"/>
      <c r="L2376" s="146"/>
      <c r="M2376" s="142"/>
      <c r="N2376" s="144"/>
      <c r="O2376" s="142"/>
      <c r="P2376" s="142"/>
      <c r="Q2376" s="142"/>
      <c r="R2376" s="129"/>
      <c r="S2376" s="143"/>
      <c r="T2376" s="144"/>
      <c r="U2376" s="129"/>
      <c r="V2376" s="129"/>
    </row>
    <row r="2377" spans="1:22" x14ac:dyDescent="0.2">
      <c r="A2377" s="144"/>
      <c r="B2377" s="145"/>
      <c r="C2377" s="129"/>
      <c r="D2377" s="129"/>
      <c r="E2377" s="129"/>
      <c r="F2377" s="129"/>
      <c r="G2377" s="144"/>
      <c r="H2377" s="129"/>
      <c r="I2377" s="144"/>
      <c r="J2377" s="144"/>
      <c r="K2377" s="144"/>
      <c r="L2377" s="146"/>
      <c r="M2377" s="142"/>
      <c r="N2377" s="144"/>
      <c r="O2377" s="142"/>
      <c r="P2377" s="142"/>
      <c r="Q2377" s="142"/>
      <c r="R2377" s="129"/>
      <c r="S2377" s="143"/>
      <c r="T2377" s="144"/>
      <c r="U2377" s="129"/>
      <c r="V2377" s="129"/>
    </row>
    <row r="2378" spans="1:22" x14ac:dyDescent="0.2">
      <c r="A2378" s="144"/>
      <c r="B2378" s="145"/>
      <c r="C2378" s="129"/>
      <c r="D2378" s="129"/>
      <c r="E2378" s="129"/>
      <c r="F2378" s="129"/>
      <c r="G2378" s="144"/>
      <c r="H2378" s="129"/>
      <c r="I2378" s="144"/>
      <c r="J2378" s="144"/>
      <c r="K2378" s="144"/>
      <c r="L2378" s="146"/>
      <c r="M2378" s="142"/>
      <c r="N2378" s="144"/>
      <c r="O2378" s="142"/>
      <c r="P2378" s="142"/>
      <c r="Q2378" s="142"/>
      <c r="R2378" s="129"/>
      <c r="S2378" s="143"/>
      <c r="T2378" s="144"/>
      <c r="U2378" s="129"/>
      <c r="V2378" s="129"/>
    </row>
    <row r="2379" spans="1:22" x14ac:dyDescent="0.2">
      <c r="A2379" s="144"/>
      <c r="B2379" s="145"/>
      <c r="C2379" s="129"/>
      <c r="D2379" s="129"/>
      <c r="E2379" s="129"/>
      <c r="F2379" s="129"/>
      <c r="G2379" s="144"/>
      <c r="H2379" s="129"/>
      <c r="I2379" s="144"/>
      <c r="J2379" s="144"/>
      <c r="K2379" s="144"/>
      <c r="L2379" s="146"/>
      <c r="M2379" s="142"/>
      <c r="N2379" s="144"/>
      <c r="O2379" s="142"/>
      <c r="P2379" s="142"/>
      <c r="Q2379" s="142"/>
      <c r="R2379" s="129"/>
      <c r="S2379" s="143"/>
      <c r="T2379" s="144"/>
      <c r="U2379" s="129"/>
      <c r="V2379" s="129"/>
    </row>
    <row r="2380" spans="1:22" x14ac:dyDescent="0.2">
      <c r="A2380" s="144"/>
      <c r="B2380" s="145"/>
      <c r="C2380" s="129"/>
      <c r="D2380" s="129"/>
      <c r="E2380" s="129"/>
      <c r="F2380" s="129"/>
      <c r="G2380" s="144"/>
      <c r="H2380" s="129"/>
      <c r="I2380" s="144"/>
      <c r="J2380" s="144"/>
      <c r="K2380" s="144"/>
      <c r="L2380" s="146"/>
      <c r="M2380" s="142"/>
      <c r="N2380" s="144"/>
      <c r="O2380" s="142"/>
      <c r="P2380" s="142"/>
      <c r="Q2380" s="142"/>
      <c r="R2380" s="129"/>
      <c r="S2380" s="143"/>
      <c r="T2380" s="144"/>
      <c r="U2380" s="129"/>
      <c r="V2380" s="129"/>
    </row>
    <row r="2381" spans="1:22" x14ac:dyDescent="0.2">
      <c r="A2381" s="144"/>
      <c r="B2381" s="145"/>
      <c r="C2381" s="129"/>
      <c r="D2381" s="129"/>
      <c r="E2381" s="129"/>
      <c r="F2381" s="129"/>
      <c r="G2381" s="144"/>
      <c r="H2381" s="129"/>
      <c r="I2381" s="144"/>
      <c r="J2381" s="144"/>
      <c r="K2381" s="144"/>
      <c r="L2381" s="146"/>
      <c r="M2381" s="142"/>
      <c r="N2381" s="144"/>
      <c r="O2381" s="142"/>
      <c r="P2381" s="142"/>
      <c r="Q2381" s="142"/>
      <c r="R2381" s="129"/>
      <c r="S2381" s="143"/>
      <c r="T2381" s="144"/>
      <c r="U2381" s="129"/>
      <c r="V2381" s="129"/>
    </row>
    <row r="2382" spans="1:22" x14ac:dyDescent="0.2">
      <c r="A2382" s="144"/>
      <c r="B2382" s="145"/>
      <c r="C2382" s="129"/>
      <c r="D2382" s="129"/>
      <c r="E2382" s="129"/>
      <c r="F2382" s="129"/>
      <c r="G2382" s="144"/>
      <c r="H2382" s="129"/>
      <c r="I2382" s="144"/>
      <c r="J2382" s="144"/>
      <c r="K2382" s="144"/>
      <c r="L2382" s="146"/>
      <c r="M2382" s="142"/>
      <c r="N2382" s="144"/>
      <c r="O2382" s="142"/>
      <c r="P2382" s="142"/>
      <c r="Q2382" s="142"/>
      <c r="R2382" s="129"/>
      <c r="S2382" s="143"/>
      <c r="T2382" s="144"/>
      <c r="U2382" s="129"/>
      <c r="V2382" s="129"/>
    </row>
    <row r="2383" spans="1:22" x14ac:dyDescent="0.2">
      <c r="A2383" s="144"/>
      <c r="B2383" s="145"/>
      <c r="C2383" s="129"/>
      <c r="D2383" s="129"/>
      <c r="E2383" s="129"/>
      <c r="F2383" s="129"/>
      <c r="G2383" s="144"/>
      <c r="H2383" s="129"/>
      <c r="I2383" s="144"/>
      <c r="J2383" s="144"/>
      <c r="K2383" s="144"/>
      <c r="L2383" s="146"/>
      <c r="M2383" s="142"/>
      <c r="N2383" s="144"/>
      <c r="O2383" s="142"/>
      <c r="P2383" s="142"/>
      <c r="Q2383" s="142"/>
      <c r="R2383" s="129"/>
      <c r="S2383" s="143"/>
      <c r="T2383" s="144"/>
      <c r="U2383" s="129"/>
      <c r="V2383" s="129"/>
    </row>
    <row r="2384" spans="1:22" x14ac:dyDescent="0.2">
      <c r="A2384" s="144"/>
      <c r="B2384" s="145"/>
      <c r="C2384" s="129"/>
      <c r="D2384" s="129"/>
      <c r="E2384" s="129"/>
      <c r="F2384" s="129"/>
      <c r="G2384" s="144"/>
      <c r="H2384" s="129"/>
      <c r="I2384" s="144"/>
      <c r="J2384" s="144"/>
      <c r="K2384" s="144"/>
      <c r="L2384" s="146"/>
      <c r="M2384" s="142"/>
      <c r="N2384" s="144"/>
      <c r="O2384" s="142"/>
      <c r="P2384" s="142"/>
      <c r="Q2384" s="142"/>
      <c r="R2384" s="129"/>
      <c r="S2384" s="143"/>
      <c r="T2384" s="144"/>
      <c r="U2384" s="129"/>
      <c r="V2384" s="129"/>
    </row>
    <row r="2385" spans="1:22" x14ac:dyDescent="0.2">
      <c r="A2385" s="144"/>
      <c r="B2385" s="145"/>
      <c r="C2385" s="129"/>
      <c r="D2385" s="129"/>
      <c r="E2385" s="129"/>
      <c r="F2385" s="129"/>
      <c r="G2385" s="144"/>
      <c r="H2385" s="129"/>
      <c r="I2385" s="144"/>
      <c r="J2385" s="144"/>
      <c r="K2385" s="144"/>
      <c r="L2385" s="146"/>
      <c r="M2385" s="142"/>
      <c r="N2385" s="144"/>
      <c r="O2385" s="142"/>
      <c r="P2385" s="142"/>
      <c r="Q2385" s="142"/>
      <c r="R2385" s="129"/>
      <c r="S2385" s="143"/>
      <c r="T2385" s="144"/>
      <c r="U2385" s="129"/>
      <c r="V2385" s="129"/>
    </row>
    <row r="2386" spans="1:22" x14ac:dyDescent="0.2">
      <c r="A2386" s="144"/>
      <c r="B2386" s="145"/>
      <c r="C2386" s="129"/>
      <c r="D2386" s="129"/>
      <c r="E2386" s="129"/>
      <c r="F2386" s="129"/>
      <c r="G2386" s="144"/>
      <c r="H2386" s="129"/>
      <c r="I2386" s="144"/>
      <c r="J2386" s="144"/>
      <c r="K2386" s="144"/>
      <c r="L2386" s="146"/>
      <c r="M2386" s="142"/>
      <c r="N2386" s="144"/>
      <c r="O2386" s="142"/>
      <c r="P2386" s="142"/>
      <c r="Q2386" s="142"/>
      <c r="R2386" s="129"/>
      <c r="S2386" s="143"/>
      <c r="T2386" s="144"/>
      <c r="U2386" s="129"/>
      <c r="V2386" s="129"/>
    </row>
    <row r="2387" spans="1:22" x14ac:dyDescent="0.2">
      <c r="A2387" s="144"/>
      <c r="B2387" s="145"/>
      <c r="C2387" s="129"/>
      <c r="D2387" s="129"/>
      <c r="E2387" s="129"/>
      <c r="F2387" s="129"/>
      <c r="G2387" s="144"/>
      <c r="H2387" s="129"/>
      <c r="I2387" s="144"/>
      <c r="J2387" s="144"/>
      <c r="K2387" s="144"/>
      <c r="L2387" s="146"/>
      <c r="M2387" s="142"/>
      <c r="N2387" s="144"/>
      <c r="O2387" s="142"/>
      <c r="P2387" s="142"/>
      <c r="Q2387" s="142"/>
      <c r="R2387" s="129"/>
      <c r="S2387" s="143"/>
      <c r="T2387" s="144"/>
      <c r="U2387" s="129"/>
      <c r="V2387" s="129"/>
    </row>
    <row r="2388" spans="1:22" x14ac:dyDescent="0.2">
      <c r="A2388" s="144"/>
      <c r="B2388" s="145"/>
      <c r="C2388" s="129"/>
      <c r="D2388" s="129"/>
      <c r="E2388" s="129"/>
      <c r="F2388" s="129"/>
      <c r="G2388" s="144"/>
      <c r="H2388" s="129"/>
      <c r="I2388" s="144"/>
      <c r="J2388" s="144"/>
      <c r="K2388" s="144"/>
      <c r="L2388" s="146"/>
      <c r="M2388" s="142"/>
      <c r="N2388" s="144"/>
      <c r="O2388" s="142"/>
      <c r="P2388" s="142"/>
      <c r="Q2388" s="142"/>
      <c r="R2388" s="129"/>
      <c r="S2388" s="143"/>
      <c r="T2388" s="144"/>
      <c r="U2388" s="129"/>
      <c r="V2388" s="129"/>
    </row>
    <row r="2389" spans="1:22" x14ac:dyDescent="0.2">
      <c r="A2389" s="144"/>
      <c r="B2389" s="145"/>
      <c r="C2389" s="129"/>
      <c r="D2389" s="129"/>
      <c r="E2389" s="129"/>
      <c r="F2389" s="129"/>
      <c r="G2389" s="144"/>
      <c r="H2389" s="129"/>
      <c r="I2389" s="144"/>
      <c r="J2389" s="144"/>
      <c r="K2389" s="144"/>
      <c r="L2389" s="146"/>
      <c r="M2389" s="142"/>
      <c r="N2389" s="144"/>
      <c r="O2389" s="142"/>
      <c r="P2389" s="142"/>
      <c r="Q2389" s="142"/>
      <c r="R2389" s="129"/>
      <c r="S2389" s="143"/>
      <c r="T2389" s="144"/>
      <c r="U2389" s="129"/>
      <c r="V2389" s="129"/>
    </row>
    <row r="2390" spans="1:22" x14ac:dyDescent="0.2">
      <c r="A2390" s="144"/>
      <c r="B2390" s="145"/>
      <c r="C2390" s="129"/>
      <c r="D2390" s="129"/>
      <c r="E2390" s="129"/>
      <c r="F2390" s="129"/>
      <c r="G2390" s="144"/>
      <c r="H2390" s="129"/>
      <c r="I2390" s="144"/>
      <c r="J2390" s="144"/>
      <c r="K2390" s="144"/>
      <c r="L2390" s="146"/>
      <c r="M2390" s="142"/>
      <c r="N2390" s="144"/>
      <c r="O2390" s="142"/>
      <c r="P2390" s="142"/>
      <c r="Q2390" s="142"/>
      <c r="R2390" s="129"/>
      <c r="S2390" s="143"/>
      <c r="T2390" s="144"/>
      <c r="U2390" s="129"/>
      <c r="V2390" s="129"/>
    </row>
    <row r="2391" spans="1:22" x14ac:dyDescent="0.2">
      <c r="A2391" s="144"/>
      <c r="B2391" s="145"/>
      <c r="C2391" s="129"/>
      <c r="D2391" s="129"/>
      <c r="E2391" s="129"/>
      <c r="F2391" s="129"/>
      <c r="G2391" s="144"/>
      <c r="H2391" s="129"/>
      <c r="I2391" s="144"/>
      <c r="J2391" s="144"/>
      <c r="K2391" s="144"/>
      <c r="L2391" s="146"/>
      <c r="M2391" s="142"/>
      <c r="N2391" s="144"/>
      <c r="O2391" s="142"/>
      <c r="P2391" s="142"/>
      <c r="Q2391" s="142"/>
      <c r="R2391" s="129"/>
      <c r="S2391" s="143"/>
      <c r="T2391" s="144"/>
      <c r="U2391" s="129"/>
      <c r="V2391" s="129"/>
    </row>
    <row r="2392" spans="1:22" x14ac:dyDescent="0.2">
      <c r="A2392" s="144"/>
      <c r="B2392" s="145"/>
      <c r="C2392" s="129"/>
      <c r="D2392" s="129"/>
      <c r="E2392" s="129"/>
      <c r="F2392" s="129"/>
      <c r="G2392" s="144"/>
      <c r="H2392" s="129"/>
      <c r="I2392" s="144"/>
      <c r="J2392" s="144"/>
      <c r="K2392" s="144"/>
      <c r="L2392" s="146"/>
      <c r="M2392" s="142"/>
      <c r="N2392" s="144"/>
      <c r="O2392" s="142"/>
      <c r="P2392" s="142"/>
      <c r="Q2392" s="142"/>
      <c r="R2392" s="129"/>
      <c r="S2392" s="143"/>
      <c r="T2392" s="144"/>
      <c r="U2392" s="129"/>
      <c r="V2392" s="129"/>
    </row>
    <row r="2393" spans="1:22" x14ac:dyDescent="0.2">
      <c r="A2393" s="144"/>
      <c r="B2393" s="145"/>
      <c r="C2393" s="129"/>
      <c r="D2393" s="129"/>
      <c r="E2393" s="129"/>
      <c r="F2393" s="129"/>
      <c r="G2393" s="144"/>
      <c r="H2393" s="129"/>
      <c r="I2393" s="144"/>
      <c r="J2393" s="144"/>
      <c r="K2393" s="144"/>
      <c r="L2393" s="146"/>
      <c r="M2393" s="142"/>
      <c r="N2393" s="144"/>
      <c r="O2393" s="142"/>
      <c r="P2393" s="142"/>
      <c r="Q2393" s="142"/>
      <c r="R2393" s="129"/>
      <c r="S2393" s="143"/>
      <c r="T2393" s="144"/>
      <c r="U2393" s="129"/>
      <c r="V2393" s="129"/>
    </row>
    <row r="2394" spans="1:22" x14ac:dyDescent="0.2">
      <c r="A2394" s="144"/>
      <c r="B2394" s="145"/>
      <c r="C2394" s="129"/>
      <c r="D2394" s="129"/>
      <c r="E2394" s="129"/>
      <c r="F2394" s="129"/>
      <c r="G2394" s="144"/>
      <c r="H2394" s="129"/>
      <c r="I2394" s="144"/>
      <c r="J2394" s="144"/>
      <c r="K2394" s="144"/>
      <c r="L2394" s="146"/>
      <c r="M2394" s="142"/>
      <c r="N2394" s="144"/>
      <c r="O2394" s="142"/>
      <c r="P2394" s="142"/>
      <c r="Q2394" s="142"/>
      <c r="R2394" s="129"/>
      <c r="S2394" s="143"/>
      <c r="T2394" s="144"/>
      <c r="U2394" s="129"/>
      <c r="V2394" s="129"/>
    </row>
    <row r="2395" spans="1:22" x14ac:dyDescent="0.2">
      <c r="A2395" s="144"/>
      <c r="B2395" s="145"/>
      <c r="C2395" s="129"/>
      <c r="D2395" s="129"/>
      <c r="E2395" s="129"/>
      <c r="F2395" s="129"/>
      <c r="G2395" s="144"/>
      <c r="H2395" s="129"/>
      <c r="I2395" s="144"/>
      <c r="J2395" s="144"/>
      <c r="K2395" s="144"/>
      <c r="L2395" s="146"/>
      <c r="M2395" s="142"/>
      <c r="N2395" s="144"/>
      <c r="O2395" s="142"/>
      <c r="P2395" s="142"/>
      <c r="Q2395" s="142"/>
      <c r="R2395" s="129"/>
      <c r="S2395" s="143"/>
      <c r="T2395" s="144"/>
      <c r="U2395" s="129"/>
      <c r="V2395" s="129"/>
    </row>
    <row r="2396" spans="1:22" x14ac:dyDescent="0.2">
      <c r="A2396" s="144"/>
      <c r="B2396" s="145"/>
      <c r="C2396" s="129"/>
      <c r="D2396" s="129"/>
      <c r="E2396" s="129"/>
      <c r="F2396" s="129"/>
      <c r="G2396" s="144"/>
      <c r="H2396" s="129"/>
      <c r="I2396" s="144"/>
      <c r="J2396" s="144"/>
      <c r="K2396" s="144"/>
      <c r="L2396" s="146"/>
      <c r="M2396" s="142"/>
      <c r="N2396" s="144"/>
      <c r="O2396" s="142"/>
      <c r="P2396" s="142"/>
      <c r="Q2396" s="142"/>
      <c r="R2396" s="129"/>
      <c r="S2396" s="143"/>
      <c r="T2396" s="144"/>
      <c r="U2396" s="129"/>
      <c r="V2396" s="129"/>
    </row>
    <row r="2397" spans="1:22" x14ac:dyDescent="0.2">
      <c r="A2397" s="144"/>
      <c r="B2397" s="145"/>
      <c r="C2397" s="129"/>
      <c r="D2397" s="129"/>
      <c r="E2397" s="129"/>
      <c r="F2397" s="129"/>
      <c r="G2397" s="144"/>
      <c r="H2397" s="129"/>
      <c r="I2397" s="144"/>
      <c r="J2397" s="144"/>
      <c r="K2397" s="144"/>
      <c r="L2397" s="146"/>
      <c r="M2397" s="142"/>
      <c r="N2397" s="144"/>
      <c r="O2397" s="142"/>
      <c r="P2397" s="142"/>
      <c r="Q2397" s="142"/>
      <c r="R2397" s="129"/>
      <c r="S2397" s="143"/>
      <c r="T2397" s="144"/>
      <c r="U2397" s="129"/>
      <c r="V2397" s="129"/>
    </row>
    <row r="2398" spans="1:22" x14ac:dyDescent="0.2">
      <c r="A2398" s="144"/>
      <c r="B2398" s="145"/>
      <c r="C2398" s="129"/>
      <c r="D2398" s="129"/>
      <c r="E2398" s="129"/>
      <c r="F2398" s="129"/>
      <c r="G2398" s="144"/>
      <c r="H2398" s="129"/>
      <c r="I2398" s="144"/>
      <c r="J2398" s="144"/>
      <c r="K2398" s="144"/>
      <c r="L2398" s="146"/>
      <c r="M2398" s="142"/>
      <c r="N2398" s="144"/>
      <c r="O2398" s="142"/>
      <c r="P2398" s="142"/>
      <c r="Q2398" s="142"/>
      <c r="R2398" s="129"/>
      <c r="S2398" s="143"/>
      <c r="T2398" s="144"/>
      <c r="U2398" s="129"/>
      <c r="V2398" s="129"/>
    </row>
    <row r="2399" spans="1:22" x14ac:dyDescent="0.2">
      <c r="A2399" s="144"/>
      <c r="B2399" s="145"/>
      <c r="C2399" s="129"/>
      <c r="D2399" s="129"/>
      <c r="E2399" s="129"/>
      <c r="F2399" s="129"/>
      <c r="G2399" s="144"/>
      <c r="H2399" s="129"/>
      <c r="I2399" s="144"/>
      <c r="J2399" s="144"/>
      <c r="K2399" s="144"/>
      <c r="L2399" s="146"/>
      <c r="M2399" s="142"/>
      <c r="N2399" s="144"/>
      <c r="O2399" s="142"/>
      <c r="P2399" s="142"/>
      <c r="Q2399" s="142"/>
      <c r="R2399" s="129"/>
      <c r="S2399" s="143"/>
      <c r="T2399" s="144"/>
      <c r="U2399" s="129"/>
      <c r="V2399" s="129"/>
    </row>
    <row r="2400" spans="1:22" x14ac:dyDescent="0.2">
      <c r="A2400" s="144"/>
      <c r="B2400" s="145"/>
      <c r="C2400" s="129"/>
      <c r="D2400" s="129"/>
      <c r="E2400" s="129"/>
      <c r="F2400" s="129"/>
      <c r="G2400" s="144"/>
      <c r="H2400" s="129"/>
      <c r="I2400" s="144"/>
      <c r="J2400" s="144"/>
      <c r="K2400" s="144"/>
      <c r="L2400" s="146"/>
      <c r="M2400" s="142"/>
      <c r="N2400" s="144"/>
      <c r="O2400" s="142"/>
      <c r="P2400" s="142"/>
      <c r="Q2400" s="142"/>
      <c r="R2400" s="129"/>
      <c r="S2400" s="143"/>
      <c r="T2400" s="144"/>
      <c r="U2400" s="129"/>
      <c r="V2400" s="129"/>
    </row>
    <row r="2401" spans="1:22" x14ac:dyDescent="0.2">
      <c r="A2401" s="144"/>
      <c r="B2401" s="145"/>
      <c r="C2401" s="129"/>
      <c r="D2401" s="129"/>
      <c r="E2401" s="129"/>
      <c r="F2401" s="129"/>
      <c r="G2401" s="144"/>
      <c r="H2401" s="129"/>
      <c r="I2401" s="144"/>
      <c r="J2401" s="144"/>
      <c r="K2401" s="144"/>
      <c r="L2401" s="146"/>
      <c r="M2401" s="142"/>
      <c r="N2401" s="144"/>
      <c r="O2401" s="142"/>
      <c r="P2401" s="142"/>
      <c r="Q2401" s="142"/>
      <c r="R2401" s="129"/>
      <c r="S2401" s="143"/>
      <c r="T2401" s="144"/>
      <c r="U2401" s="129"/>
      <c r="V2401" s="129"/>
    </row>
    <row r="2402" spans="1:22" x14ac:dyDescent="0.2">
      <c r="A2402" s="144"/>
      <c r="B2402" s="145"/>
      <c r="C2402" s="129"/>
      <c r="D2402" s="129"/>
      <c r="E2402" s="129"/>
      <c r="F2402" s="129"/>
      <c r="G2402" s="144"/>
      <c r="H2402" s="129"/>
      <c r="I2402" s="144"/>
      <c r="J2402" s="144"/>
      <c r="K2402" s="144"/>
      <c r="L2402" s="146"/>
      <c r="M2402" s="142"/>
      <c r="N2402" s="144"/>
      <c r="O2402" s="142"/>
      <c r="P2402" s="142"/>
      <c r="Q2402" s="142"/>
      <c r="R2402" s="129"/>
      <c r="S2402" s="143"/>
      <c r="T2402" s="144"/>
      <c r="U2402" s="129"/>
      <c r="V2402" s="129"/>
    </row>
    <row r="2403" spans="1:22" x14ac:dyDescent="0.2">
      <c r="A2403" s="144"/>
      <c r="B2403" s="145"/>
      <c r="C2403" s="129"/>
      <c r="D2403" s="129"/>
      <c r="E2403" s="129"/>
      <c r="F2403" s="129"/>
      <c r="G2403" s="144"/>
      <c r="H2403" s="129"/>
      <c r="I2403" s="144"/>
      <c r="J2403" s="144"/>
      <c r="K2403" s="144"/>
      <c r="L2403" s="146"/>
      <c r="M2403" s="142"/>
      <c r="N2403" s="144"/>
      <c r="O2403" s="142"/>
      <c r="P2403" s="142"/>
      <c r="Q2403" s="142"/>
      <c r="R2403" s="129"/>
      <c r="S2403" s="143"/>
      <c r="T2403" s="144"/>
      <c r="U2403" s="129"/>
      <c r="V2403" s="129"/>
    </row>
    <row r="2404" spans="1:22" x14ac:dyDescent="0.2">
      <c r="A2404" s="144"/>
      <c r="B2404" s="145"/>
      <c r="C2404" s="129"/>
      <c r="D2404" s="129"/>
      <c r="E2404" s="129"/>
      <c r="F2404" s="129"/>
      <c r="G2404" s="144"/>
      <c r="H2404" s="129"/>
      <c r="I2404" s="144"/>
      <c r="J2404" s="144"/>
      <c r="K2404" s="144"/>
      <c r="L2404" s="146"/>
      <c r="M2404" s="142"/>
      <c r="N2404" s="144"/>
      <c r="O2404" s="142"/>
      <c r="P2404" s="142"/>
      <c r="Q2404" s="142"/>
      <c r="R2404" s="129"/>
      <c r="S2404" s="143"/>
      <c r="T2404" s="144"/>
      <c r="U2404" s="129"/>
      <c r="V2404" s="129"/>
    </row>
    <row r="2405" spans="1:22" x14ac:dyDescent="0.2">
      <c r="A2405" s="144"/>
      <c r="B2405" s="145"/>
      <c r="C2405" s="129"/>
      <c r="D2405" s="129"/>
      <c r="E2405" s="129"/>
      <c r="F2405" s="129"/>
      <c r="G2405" s="144"/>
      <c r="H2405" s="129"/>
      <c r="I2405" s="144"/>
      <c r="J2405" s="144"/>
      <c r="K2405" s="144"/>
      <c r="L2405" s="146"/>
      <c r="M2405" s="142"/>
      <c r="N2405" s="144"/>
      <c r="O2405" s="142"/>
      <c r="P2405" s="142"/>
      <c r="Q2405" s="142"/>
      <c r="R2405" s="129"/>
      <c r="S2405" s="143"/>
      <c r="T2405" s="144"/>
      <c r="U2405" s="129"/>
      <c r="V2405" s="129"/>
    </row>
    <row r="2406" spans="1:22" x14ac:dyDescent="0.2">
      <c r="A2406" s="144"/>
      <c r="B2406" s="145"/>
      <c r="C2406" s="129"/>
      <c r="D2406" s="129"/>
      <c r="E2406" s="129"/>
      <c r="F2406" s="129"/>
      <c r="G2406" s="144"/>
      <c r="H2406" s="129"/>
      <c r="I2406" s="144"/>
      <c r="J2406" s="144"/>
      <c r="K2406" s="144"/>
      <c r="L2406" s="146"/>
      <c r="M2406" s="142"/>
      <c r="N2406" s="144"/>
      <c r="O2406" s="142"/>
      <c r="P2406" s="142"/>
      <c r="Q2406" s="142"/>
      <c r="R2406" s="129"/>
      <c r="S2406" s="143"/>
      <c r="T2406" s="144"/>
      <c r="U2406" s="129"/>
      <c r="V2406" s="129"/>
    </row>
    <row r="2407" spans="1:22" x14ac:dyDescent="0.2">
      <c r="A2407" s="144"/>
      <c r="B2407" s="145"/>
      <c r="C2407" s="129"/>
      <c r="D2407" s="129"/>
      <c r="E2407" s="129"/>
      <c r="F2407" s="129"/>
      <c r="G2407" s="144"/>
      <c r="H2407" s="129"/>
      <c r="I2407" s="144"/>
      <c r="J2407" s="144"/>
      <c r="K2407" s="144"/>
      <c r="L2407" s="146"/>
      <c r="M2407" s="142"/>
      <c r="N2407" s="144"/>
      <c r="O2407" s="142"/>
      <c r="P2407" s="142"/>
      <c r="Q2407" s="142"/>
      <c r="R2407" s="129"/>
      <c r="S2407" s="143"/>
      <c r="T2407" s="144"/>
      <c r="U2407" s="129"/>
      <c r="V2407" s="129"/>
    </row>
    <row r="2408" spans="1:22" x14ac:dyDescent="0.2">
      <c r="A2408" s="144"/>
      <c r="B2408" s="145"/>
      <c r="C2408" s="129"/>
      <c r="D2408" s="129"/>
      <c r="E2408" s="129"/>
      <c r="F2408" s="129"/>
      <c r="G2408" s="144"/>
      <c r="H2408" s="129"/>
      <c r="I2408" s="144"/>
      <c r="J2408" s="144"/>
      <c r="K2408" s="144"/>
      <c r="L2408" s="146"/>
      <c r="M2408" s="142"/>
      <c r="N2408" s="144"/>
      <c r="O2408" s="142"/>
      <c r="P2408" s="142"/>
      <c r="Q2408" s="142"/>
      <c r="R2408" s="129"/>
      <c r="S2408" s="143"/>
      <c r="T2408" s="144"/>
      <c r="U2408" s="129"/>
      <c r="V2408" s="129"/>
    </row>
    <row r="2409" spans="1:22" x14ac:dyDescent="0.2">
      <c r="A2409" s="144"/>
      <c r="B2409" s="145"/>
      <c r="C2409" s="129"/>
      <c r="D2409" s="129"/>
      <c r="E2409" s="129"/>
      <c r="F2409" s="129"/>
      <c r="G2409" s="144"/>
      <c r="H2409" s="129"/>
      <c r="I2409" s="144"/>
      <c r="J2409" s="144"/>
      <c r="K2409" s="144"/>
      <c r="L2409" s="146"/>
      <c r="M2409" s="142"/>
      <c r="N2409" s="144"/>
      <c r="O2409" s="142"/>
      <c r="P2409" s="142"/>
      <c r="Q2409" s="142"/>
      <c r="R2409" s="129"/>
      <c r="S2409" s="143"/>
      <c r="T2409" s="144"/>
      <c r="U2409" s="129"/>
      <c r="V2409" s="129"/>
    </row>
    <row r="2410" spans="1:22" x14ac:dyDescent="0.2">
      <c r="A2410" s="144"/>
      <c r="B2410" s="145"/>
      <c r="C2410" s="129"/>
      <c r="D2410" s="129"/>
      <c r="E2410" s="129"/>
      <c r="F2410" s="129"/>
      <c r="G2410" s="144"/>
      <c r="H2410" s="129"/>
      <c r="I2410" s="144"/>
      <c r="J2410" s="144"/>
      <c r="K2410" s="144"/>
      <c r="L2410" s="146"/>
      <c r="M2410" s="142"/>
      <c r="N2410" s="144"/>
      <c r="O2410" s="142"/>
      <c r="P2410" s="142"/>
      <c r="Q2410" s="142"/>
      <c r="R2410" s="129"/>
      <c r="S2410" s="143"/>
      <c r="T2410" s="144"/>
      <c r="U2410" s="129"/>
      <c r="V2410" s="129"/>
    </row>
    <row r="2411" spans="1:22" x14ac:dyDescent="0.2">
      <c r="A2411" s="144"/>
      <c r="B2411" s="145"/>
      <c r="C2411" s="129"/>
      <c r="D2411" s="129"/>
      <c r="E2411" s="129"/>
      <c r="F2411" s="129"/>
      <c r="G2411" s="144"/>
      <c r="H2411" s="129"/>
      <c r="I2411" s="144"/>
      <c r="J2411" s="144"/>
      <c r="K2411" s="144"/>
      <c r="L2411" s="146"/>
      <c r="M2411" s="142"/>
      <c r="N2411" s="144"/>
      <c r="O2411" s="142"/>
      <c r="P2411" s="142"/>
      <c r="Q2411" s="142"/>
      <c r="R2411" s="129"/>
      <c r="S2411" s="143"/>
      <c r="T2411" s="144"/>
      <c r="U2411" s="129"/>
      <c r="V2411" s="129"/>
    </row>
    <row r="2412" spans="1:22" x14ac:dyDescent="0.2">
      <c r="A2412" s="144"/>
      <c r="B2412" s="145"/>
      <c r="C2412" s="129"/>
      <c r="D2412" s="129"/>
      <c r="E2412" s="129"/>
      <c r="F2412" s="129"/>
      <c r="G2412" s="144"/>
      <c r="H2412" s="129"/>
      <c r="I2412" s="144"/>
      <c r="J2412" s="144"/>
      <c r="K2412" s="144"/>
      <c r="L2412" s="146"/>
      <c r="M2412" s="142"/>
      <c r="N2412" s="144"/>
      <c r="O2412" s="142"/>
      <c r="P2412" s="142"/>
      <c r="Q2412" s="142"/>
      <c r="R2412" s="129"/>
      <c r="S2412" s="143"/>
      <c r="T2412" s="144"/>
      <c r="U2412" s="129"/>
      <c r="V2412" s="129"/>
    </row>
    <row r="2413" spans="1:22" x14ac:dyDescent="0.2">
      <c r="A2413" s="144"/>
      <c r="B2413" s="145"/>
      <c r="C2413" s="129"/>
      <c r="D2413" s="129"/>
      <c r="E2413" s="129"/>
      <c r="F2413" s="129"/>
      <c r="G2413" s="144"/>
      <c r="H2413" s="129"/>
      <c r="I2413" s="144"/>
      <c r="J2413" s="144"/>
      <c r="K2413" s="144"/>
      <c r="L2413" s="146"/>
      <c r="M2413" s="142"/>
      <c r="N2413" s="144"/>
      <c r="O2413" s="142"/>
      <c r="P2413" s="142"/>
      <c r="Q2413" s="142"/>
      <c r="R2413" s="129"/>
      <c r="S2413" s="143"/>
      <c r="T2413" s="144"/>
      <c r="U2413" s="129"/>
      <c r="V2413" s="129"/>
    </row>
    <row r="2414" spans="1:22" x14ac:dyDescent="0.2">
      <c r="A2414" s="144"/>
      <c r="B2414" s="145"/>
      <c r="C2414" s="129"/>
      <c r="D2414" s="129"/>
      <c r="E2414" s="129"/>
      <c r="F2414" s="129"/>
      <c r="G2414" s="144"/>
      <c r="H2414" s="129"/>
      <c r="I2414" s="144"/>
      <c r="J2414" s="144"/>
      <c r="K2414" s="144"/>
      <c r="L2414" s="146"/>
      <c r="M2414" s="142"/>
      <c r="N2414" s="144"/>
      <c r="O2414" s="142"/>
      <c r="P2414" s="142"/>
      <c r="Q2414" s="142"/>
      <c r="R2414" s="129"/>
      <c r="S2414" s="143"/>
      <c r="T2414" s="144"/>
      <c r="U2414" s="129"/>
      <c r="V2414" s="129"/>
    </row>
    <row r="2415" spans="1:22" x14ac:dyDescent="0.2">
      <c r="A2415" s="144"/>
      <c r="B2415" s="145"/>
      <c r="C2415" s="129"/>
      <c r="D2415" s="129"/>
      <c r="E2415" s="129"/>
      <c r="F2415" s="129"/>
      <c r="G2415" s="144"/>
      <c r="H2415" s="129"/>
      <c r="I2415" s="144"/>
      <c r="J2415" s="144"/>
      <c r="K2415" s="144"/>
      <c r="L2415" s="146"/>
      <c r="M2415" s="142"/>
      <c r="N2415" s="144"/>
      <c r="O2415" s="142"/>
      <c r="P2415" s="142"/>
      <c r="Q2415" s="142"/>
      <c r="R2415" s="129"/>
      <c r="S2415" s="143"/>
      <c r="T2415" s="144"/>
      <c r="U2415" s="129"/>
      <c r="V2415" s="129"/>
    </row>
    <row r="2416" spans="1:22" x14ac:dyDescent="0.2">
      <c r="A2416" s="144"/>
      <c r="B2416" s="145"/>
      <c r="C2416" s="129"/>
      <c r="D2416" s="129"/>
      <c r="E2416" s="129"/>
      <c r="F2416" s="129"/>
      <c r="G2416" s="144"/>
      <c r="H2416" s="129"/>
      <c r="I2416" s="144"/>
      <c r="J2416" s="144"/>
      <c r="K2416" s="144"/>
      <c r="L2416" s="146"/>
      <c r="M2416" s="142"/>
      <c r="N2416" s="144"/>
      <c r="O2416" s="142"/>
      <c r="P2416" s="142"/>
      <c r="Q2416" s="142"/>
      <c r="R2416" s="129"/>
      <c r="S2416" s="143"/>
      <c r="T2416" s="144"/>
      <c r="U2416" s="129"/>
      <c r="V2416" s="129"/>
    </row>
    <row r="2417" spans="1:22" x14ac:dyDescent="0.2">
      <c r="A2417" s="144"/>
      <c r="B2417" s="145"/>
      <c r="C2417" s="129"/>
      <c r="D2417" s="129"/>
      <c r="E2417" s="129"/>
      <c r="F2417" s="129"/>
      <c r="G2417" s="144"/>
      <c r="H2417" s="129"/>
      <c r="I2417" s="144"/>
      <c r="J2417" s="144"/>
      <c r="K2417" s="144"/>
      <c r="L2417" s="146"/>
      <c r="M2417" s="142"/>
      <c r="N2417" s="144"/>
      <c r="O2417" s="142"/>
      <c r="P2417" s="142"/>
      <c r="Q2417" s="142"/>
      <c r="R2417" s="129"/>
      <c r="S2417" s="143"/>
      <c r="T2417" s="144"/>
      <c r="U2417" s="129"/>
      <c r="V2417" s="129"/>
    </row>
    <row r="2418" spans="1:22" x14ac:dyDescent="0.2">
      <c r="A2418" s="144"/>
      <c r="B2418" s="145"/>
      <c r="C2418" s="129"/>
      <c r="D2418" s="129"/>
      <c r="E2418" s="129"/>
      <c r="F2418" s="129"/>
      <c r="G2418" s="144"/>
      <c r="H2418" s="129"/>
      <c r="I2418" s="144"/>
      <c r="J2418" s="144"/>
      <c r="K2418" s="144"/>
      <c r="L2418" s="146"/>
      <c r="M2418" s="142"/>
      <c r="N2418" s="144"/>
      <c r="O2418" s="142"/>
      <c r="P2418" s="142"/>
      <c r="Q2418" s="142"/>
      <c r="R2418" s="129"/>
      <c r="S2418" s="143"/>
      <c r="T2418" s="144"/>
      <c r="U2418" s="129"/>
      <c r="V2418" s="129"/>
    </row>
    <row r="2419" spans="1:22" x14ac:dyDescent="0.2">
      <c r="A2419" s="144"/>
      <c r="B2419" s="145"/>
      <c r="C2419" s="129"/>
      <c r="D2419" s="129"/>
      <c r="E2419" s="129"/>
      <c r="F2419" s="129"/>
      <c r="G2419" s="144"/>
      <c r="H2419" s="129"/>
      <c r="I2419" s="144"/>
      <c r="J2419" s="144"/>
      <c r="K2419" s="144"/>
      <c r="L2419" s="146"/>
      <c r="M2419" s="142"/>
      <c r="N2419" s="144"/>
      <c r="O2419" s="142"/>
      <c r="P2419" s="142"/>
      <c r="Q2419" s="142"/>
      <c r="R2419" s="129"/>
      <c r="S2419" s="143"/>
      <c r="T2419" s="144"/>
      <c r="U2419" s="129"/>
      <c r="V2419" s="129"/>
    </row>
    <row r="2420" spans="1:22" x14ac:dyDescent="0.2">
      <c r="A2420" s="144"/>
      <c r="B2420" s="145"/>
      <c r="C2420" s="129"/>
      <c r="D2420" s="129"/>
      <c r="E2420" s="129"/>
      <c r="F2420" s="129"/>
      <c r="G2420" s="144"/>
      <c r="H2420" s="129"/>
      <c r="I2420" s="144"/>
      <c r="J2420" s="144"/>
      <c r="K2420" s="144"/>
      <c r="L2420" s="146"/>
      <c r="M2420" s="142"/>
      <c r="N2420" s="144"/>
      <c r="O2420" s="142"/>
      <c r="P2420" s="142"/>
      <c r="Q2420" s="142"/>
      <c r="R2420" s="129"/>
      <c r="S2420" s="143"/>
      <c r="T2420" s="144"/>
      <c r="U2420" s="129"/>
      <c r="V2420" s="129"/>
    </row>
    <row r="2421" spans="1:22" x14ac:dyDescent="0.2">
      <c r="A2421" s="144"/>
      <c r="B2421" s="145"/>
      <c r="C2421" s="129"/>
      <c r="D2421" s="129"/>
      <c r="E2421" s="129"/>
      <c r="F2421" s="129"/>
      <c r="G2421" s="144"/>
      <c r="H2421" s="129"/>
      <c r="I2421" s="144"/>
      <c r="J2421" s="144"/>
      <c r="K2421" s="144"/>
      <c r="L2421" s="146"/>
      <c r="M2421" s="142"/>
      <c r="N2421" s="144"/>
      <c r="O2421" s="142"/>
      <c r="P2421" s="142"/>
      <c r="Q2421" s="142"/>
      <c r="R2421" s="129"/>
      <c r="S2421" s="143"/>
      <c r="T2421" s="144"/>
      <c r="U2421" s="129"/>
      <c r="V2421" s="129"/>
    </row>
    <row r="2422" spans="1:22" x14ac:dyDescent="0.2">
      <c r="A2422" s="144"/>
      <c r="B2422" s="145"/>
      <c r="C2422" s="129"/>
      <c r="D2422" s="129"/>
      <c r="E2422" s="129"/>
      <c r="F2422" s="129"/>
      <c r="G2422" s="144"/>
      <c r="H2422" s="129"/>
      <c r="I2422" s="144"/>
      <c r="J2422" s="144"/>
      <c r="K2422" s="144"/>
      <c r="L2422" s="146"/>
      <c r="M2422" s="142"/>
      <c r="N2422" s="144"/>
      <c r="O2422" s="142"/>
      <c r="P2422" s="142"/>
      <c r="Q2422" s="142"/>
      <c r="R2422" s="129"/>
      <c r="S2422" s="143"/>
      <c r="T2422" s="144"/>
      <c r="U2422" s="129"/>
      <c r="V2422" s="129"/>
    </row>
    <row r="2423" spans="1:22" x14ac:dyDescent="0.2">
      <c r="A2423" s="144"/>
      <c r="B2423" s="145"/>
      <c r="C2423" s="129"/>
      <c r="D2423" s="129"/>
      <c r="E2423" s="129"/>
      <c r="F2423" s="129"/>
      <c r="G2423" s="144"/>
      <c r="H2423" s="129"/>
      <c r="I2423" s="144"/>
      <c r="J2423" s="144"/>
      <c r="K2423" s="144"/>
      <c r="L2423" s="146"/>
      <c r="M2423" s="142"/>
      <c r="N2423" s="144"/>
      <c r="O2423" s="142"/>
      <c r="P2423" s="142"/>
      <c r="Q2423" s="142"/>
      <c r="R2423" s="129"/>
      <c r="S2423" s="143"/>
      <c r="T2423" s="144"/>
      <c r="U2423" s="129"/>
      <c r="V2423" s="129"/>
    </row>
    <row r="2424" spans="1:22" x14ac:dyDescent="0.2">
      <c r="A2424" s="144"/>
      <c r="B2424" s="145"/>
      <c r="C2424" s="129"/>
      <c r="D2424" s="129"/>
      <c r="E2424" s="129"/>
      <c r="F2424" s="129"/>
      <c r="G2424" s="144"/>
      <c r="H2424" s="129"/>
      <c r="I2424" s="144"/>
      <c r="J2424" s="144"/>
      <c r="K2424" s="144"/>
      <c r="L2424" s="146"/>
      <c r="M2424" s="142"/>
      <c r="N2424" s="144"/>
      <c r="O2424" s="142"/>
      <c r="P2424" s="142"/>
      <c r="Q2424" s="142"/>
      <c r="R2424" s="129"/>
      <c r="S2424" s="143"/>
      <c r="T2424" s="144"/>
      <c r="U2424" s="129"/>
      <c r="V2424" s="129"/>
    </row>
    <row r="2425" spans="1:22" x14ac:dyDescent="0.2">
      <c r="A2425" s="144"/>
      <c r="B2425" s="145"/>
      <c r="C2425" s="129"/>
      <c r="D2425" s="129"/>
      <c r="E2425" s="129"/>
      <c r="F2425" s="129"/>
      <c r="G2425" s="144"/>
      <c r="H2425" s="129"/>
      <c r="I2425" s="144"/>
      <c r="J2425" s="144"/>
      <c r="K2425" s="144"/>
      <c r="L2425" s="146"/>
      <c r="M2425" s="142"/>
      <c r="N2425" s="144"/>
      <c r="O2425" s="142"/>
      <c r="P2425" s="142"/>
      <c r="Q2425" s="142"/>
      <c r="R2425" s="129"/>
      <c r="S2425" s="143"/>
      <c r="T2425" s="144"/>
      <c r="U2425" s="129"/>
      <c r="V2425" s="129"/>
    </row>
    <row r="2426" spans="1:22" x14ac:dyDescent="0.2">
      <c r="A2426" s="144"/>
      <c r="B2426" s="145"/>
      <c r="C2426" s="129"/>
      <c r="D2426" s="129"/>
      <c r="E2426" s="129"/>
      <c r="F2426" s="129"/>
      <c r="G2426" s="144"/>
      <c r="H2426" s="129"/>
      <c r="I2426" s="144"/>
      <c r="J2426" s="144"/>
      <c r="K2426" s="144"/>
      <c r="L2426" s="146"/>
      <c r="M2426" s="142"/>
      <c r="N2426" s="144"/>
      <c r="O2426" s="142"/>
      <c r="P2426" s="142"/>
      <c r="Q2426" s="142"/>
      <c r="R2426" s="129"/>
      <c r="S2426" s="143"/>
      <c r="T2426" s="144"/>
      <c r="U2426" s="129"/>
      <c r="V2426" s="129"/>
    </row>
    <row r="2427" spans="1:22" x14ac:dyDescent="0.2">
      <c r="A2427" s="144"/>
      <c r="B2427" s="145"/>
      <c r="C2427" s="129"/>
      <c r="D2427" s="129"/>
      <c r="E2427" s="129"/>
      <c r="F2427" s="129"/>
      <c r="G2427" s="144"/>
      <c r="H2427" s="129"/>
      <c r="I2427" s="144"/>
      <c r="J2427" s="144"/>
      <c r="K2427" s="144"/>
      <c r="L2427" s="146"/>
      <c r="M2427" s="142"/>
      <c r="N2427" s="144"/>
      <c r="O2427" s="142"/>
      <c r="P2427" s="142"/>
      <c r="Q2427" s="142"/>
      <c r="R2427" s="129"/>
      <c r="S2427" s="143"/>
      <c r="T2427" s="144"/>
      <c r="U2427" s="129"/>
      <c r="V2427" s="129"/>
    </row>
    <row r="2428" spans="1:22" x14ac:dyDescent="0.2">
      <c r="A2428" s="144"/>
      <c r="B2428" s="145"/>
      <c r="C2428" s="129"/>
      <c r="D2428" s="129"/>
      <c r="E2428" s="129"/>
      <c r="F2428" s="129"/>
      <c r="G2428" s="144"/>
      <c r="H2428" s="129"/>
      <c r="I2428" s="144"/>
      <c r="J2428" s="144"/>
      <c r="K2428" s="144"/>
      <c r="L2428" s="146"/>
      <c r="M2428" s="142"/>
      <c r="N2428" s="144"/>
      <c r="O2428" s="142"/>
      <c r="P2428" s="142"/>
      <c r="Q2428" s="142"/>
      <c r="R2428" s="129"/>
      <c r="S2428" s="143"/>
      <c r="T2428" s="144"/>
      <c r="U2428" s="129"/>
      <c r="V2428" s="129"/>
    </row>
    <row r="2429" spans="1:22" x14ac:dyDescent="0.2">
      <c r="A2429" s="144"/>
      <c r="B2429" s="145"/>
      <c r="C2429" s="129"/>
      <c r="D2429" s="129"/>
      <c r="E2429" s="129"/>
      <c r="F2429" s="129"/>
      <c r="G2429" s="144"/>
      <c r="H2429" s="129"/>
      <c r="I2429" s="144"/>
      <c r="J2429" s="144"/>
      <c r="K2429" s="144"/>
      <c r="L2429" s="146"/>
      <c r="M2429" s="142"/>
      <c r="N2429" s="144"/>
      <c r="O2429" s="142"/>
      <c r="P2429" s="142"/>
      <c r="Q2429" s="142"/>
      <c r="R2429" s="129"/>
      <c r="S2429" s="143"/>
      <c r="T2429" s="144"/>
      <c r="U2429" s="129"/>
      <c r="V2429" s="129"/>
    </row>
    <row r="2430" spans="1:22" x14ac:dyDescent="0.2">
      <c r="A2430" s="144"/>
      <c r="B2430" s="145"/>
      <c r="C2430" s="129"/>
      <c r="D2430" s="129"/>
      <c r="E2430" s="129"/>
      <c r="F2430" s="129"/>
      <c r="G2430" s="144"/>
      <c r="H2430" s="129"/>
      <c r="I2430" s="144"/>
      <c r="J2430" s="144"/>
      <c r="K2430" s="144"/>
      <c r="L2430" s="146"/>
      <c r="M2430" s="142"/>
      <c r="N2430" s="144"/>
      <c r="O2430" s="142"/>
      <c r="P2430" s="142"/>
      <c r="Q2430" s="142"/>
      <c r="R2430" s="129"/>
      <c r="S2430" s="143"/>
      <c r="T2430" s="144"/>
      <c r="U2430" s="129"/>
      <c r="V2430" s="129"/>
    </row>
    <row r="2431" spans="1:22" x14ac:dyDescent="0.2">
      <c r="A2431" s="144"/>
      <c r="B2431" s="145"/>
      <c r="C2431" s="129"/>
      <c r="D2431" s="129"/>
      <c r="E2431" s="129"/>
      <c r="F2431" s="129"/>
      <c r="G2431" s="144"/>
      <c r="H2431" s="129"/>
      <c r="I2431" s="144"/>
      <c r="J2431" s="144"/>
      <c r="K2431" s="144"/>
      <c r="L2431" s="146"/>
      <c r="M2431" s="142"/>
      <c r="N2431" s="144"/>
      <c r="O2431" s="142"/>
      <c r="P2431" s="142"/>
      <c r="Q2431" s="142"/>
      <c r="R2431" s="129"/>
      <c r="S2431" s="143"/>
      <c r="T2431" s="144"/>
      <c r="U2431" s="129"/>
      <c r="V2431" s="129"/>
    </row>
    <row r="2432" spans="1:22" x14ac:dyDescent="0.2">
      <c r="A2432" s="144"/>
      <c r="B2432" s="145"/>
      <c r="C2432" s="129"/>
      <c r="D2432" s="129"/>
      <c r="E2432" s="129"/>
      <c r="F2432" s="129"/>
      <c r="G2432" s="144"/>
      <c r="H2432" s="129"/>
      <c r="I2432" s="144"/>
      <c r="J2432" s="144"/>
      <c r="K2432" s="144"/>
      <c r="L2432" s="146"/>
      <c r="M2432" s="142"/>
      <c r="N2432" s="144"/>
      <c r="O2432" s="142"/>
      <c r="P2432" s="142"/>
      <c r="Q2432" s="142"/>
      <c r="R2432" s="129"/>
      <c r="S2432" s="143"/>
      <c r="T2432" s="144"/>
      <c r="U2432" s="129"/>
      <c r="V2432" s="129"/>
    </row>
    <row r="2433" spans="1:22" x14ac:dyDescent="0.2">
      <c r="A2433" s="144"/>
      <c r="B2433" s="145"/>
      <c r="C2433" s="129"/>
      <c r="D2433" s="129"/>
      <c r="E2433" s="129"/>
      <c r="F2433" s="129"/>
      <c r="G2433" s="144"/>
      <c r="H2433" s="129"/>
      <c r="I2433" s="144"/>
      <c r="J2433" s="144"/>
      <c r="K2433" s="144"/>
      <c r="L2433" s="146"/>
      <c r="M2433" s="142"/>
      <c r="N2433" s="144"/>
      <c r="O2433" s="142"/>
      <c r="P2433" s="142"/>
      <c r="Q2433" s="142"/>
      <c r="R2433" s="129"/>
      <c r="S2433" s="143"/>
      <c r="T2433" s="144"/>
      <c r="U2433" s="129"/>
      <c r="V2433" s="129"/>
    </row>
    <row r="2434" spans="1:22" x14ac:dyDescent="0.2">
      <c r="A2434" s="144"/>
      <c r="B2434" s="145"/>
      <c r="C2434" s="129"/>
      <c r="D2434" s="129"/>
      <c r="E2434" s="129"/>
      <c r="F2434" s="129"/>
      <c r="G2434" s="144"/>
      <c r="H2434" s="129"/>
      <c r="I2434" s="144"/>
      <c r="J2434" s="144"/>
      <c r="K2434" s="144"/>
      <c r="L2434" s="146"/>
      <c r="M2434" s="142"/>
      <c r="N2434" s="144"/>
      <c r="O2434" s="142"/>
      <c r="P2434" s="142"/>
      <c r="Q2434" s="142"/>
      <c r="R2434" s="129"/>
      <c r="S2434" s="143"/>
      <c r="T2434" s="144"/>
      <c r="U2434" s="129"/>
      <c r="V2434" s="129"/>
    </row>
    <row r="2435" spans="1:22" x14ac:dyDescent="0.2">
      <c r="A2435" s="144"/>
      <c r="B2435" s="145"/>
      <c r="C2435" s="129"/>
      <c r="D2435" s="129"/>
      <c r="E2435" s="129"/>
      <c r="F2435" s="129"/>
      <c r="G2435" s="144"/>
      <c r="H2435" s="129"/>
      <c r="I2435" s="144"/>
      <c r="J2435" s="144"/>
      <c r="K2435" s="144"/>
      <c r="L2435" s="146"/>
      <c r="M2435" s="142"/>
      <c r="N2435" s="144"/>
      <c r="O2435" s="142"/>
      <c r="P2435" s="142"/>
      <c r="Q2435" s="142"/>
      <c r="R2435" s="129"/>
      <c r="S2435" s="143"/>
      <c r="T2435" s="144"/>
      <c r="U2435" s="129"/>
      <c r="V2435" s="129"/>
    </row>
    <row r="2436" spans="1:22" x14ac:dyDescent="0.2">
      <c r="A2436" s="144"/>
      <c r="B2436" s="145"/>
      <c r="C2436" s="129"/>
      <c r="D2436" s="129"/>
      <c r="E2436" s="129"/>
      <c r="F2436" s="129"/>
      <c r="G2436" s="144"/>
      <c r="H2436" s="129"/>
      <c r="I2436" s="144"/>
      <c r="J2436" s="144"/>
      <c r="K2436" s="144"/>
      <c r="L2436" s="146"/>
      <c r="M2436" s="142"/>
      <c r="N2436" s="144"/>
      <c r="O2436" s="142"/>
      <c r="P2436" s="142"/>
      <c r="Q2436" s="142"/>
      <c r="R2436" s="129"/>
      <c r="S2436" s="143"/>
      <c r="T2436" s="144"/>
      <c r="U2436" s="129"/>
      <c r="V2436" s="129"/>
    </row>
    <row r="2437" spans="1:22" x14ac:dyDescent="0.2">
      <c r="A2437" s="144"/>
      <c r="B2437" s="145"/>
      <c r="C2437" s="129"/>
      <c r="D2437" s="129"/>
      <c r="E2437" s="129"/>
      <c r="F2437" s="129"/>
      <c r="G2437" s="144"/>
      <c r="H2437" s="129"/>
      <c r="I2437" s="144"/>
      <c r="J2437" s="144"/>
      <c r="K2437" s="144"/>
      <c r="L2437" s="146"/>
      <c r="M2437" s="142"/>
      <c r="N2437" s="144"/>
      <c r="O2437" s="142"/>
      <c r="P2437" s="142"/>
      <c r="Q2437" s="142"/>
      <c r="R2437" s="129"/>
      <c r="S2437" s="143"/>
      <c r="T2437" s="144"/>
      <c r="U2437" s="129"/>
      <c r="V2437" s="129"/>
    </row>
    <row r="2438" spans="1:22" x14ac:dyDescent="0.2">
      <c r="A2438" s="144"/>
      <c r="B2438" s="145"/>
      <c r="C2438" s="129"/>
      <c r="D2438" s="129"/>
      <c r="E2438" s="129"/>
      <c r="F2438" s="129"/>
      <c r="G2438" s="144"/>
      <c r="H2438" s="129"/>
      <c r="I2438" s="144"/>
      <c r="J2438" s="144"/>
      <c r="K2438" s="144"/>
      <c r="L2438" s="146"/>
      <c r="M2438" s="142"/>
      <c r="N2438" s="144"/>
      <c r="O2438" s="142"/>
      <c r="P2438" s="142"/>
      <c r="Q2438" s="142"/>
      <c r="R2438" s="129"/>
      <c r="S2438" s="143"/>
      <c r="T2438" s="144"/>
      <c r="U2438" s="129"/>
      <c r="V2438" s="129"/>
    </row>
    <row r="2439" spans="1:22" x14ac:dyDescent="0.2">
      <c r="A2439" s="144"/>
      <c r="B2439" s="145"/>
      <c r="C2439" s="129"/>
      <c r="D2439" s="129"/>
      <c r="E2439" s="129"/>
      <c r="F2439" s="129"/>
      <c r="G2439" s="144"/>
      <c r="H2439" s="129"/>
      <c r="I2439" s="144"/>
      <c r="J2439" s="144"/>
      <c r="K2439" s="144"/>
      <c r="L2439" s="146"/>
      <c r="M2439" s="142"/>
      <c r="N2439" s="144"/>
      <c r="O2439" s="142"/>
      <c r="P2439" s="142"/>
      <c r="Q2439" s="142"/>
      <c r="R2439" s="129"/>
      <c r="S2439" s="143"/>
      <c r="T2439" s="144"/>
      <c r="U2439" s="129"/>
      <c r="V2439" s="129"/>
    </row>
    <row r="2440" spans="1:22" x14ac:dyDescent="0.2">
      <c r="A2440" s="144"/>
      <c r="B2440" s="145"/>
      <c r="C2440" s="129"/>
      <c r="D2440" s="129"/>
      <c r="E2440" s="129"/>
      <c r="F2440" s="129"/>
      <c r="G2440" s="144"/>
      <c r="H2440" s="129"/>
      <c r="I2440" s="144"/>
      <c r="J2440" s="144"/>
      <c r="K2440" s="144"/>
      <c r="L2440" s="146"/>
      <c r="M2440" s="142"/>
      <c r="N2440" s="144"/>
      <c r="O2440" s="142"/>
      <c r="P2440" s="142"/>
      <c r="Q2440" s="142"/>
      <c r="R2440" s="129"/>
      <c r="S2440" s="143"/>
      <c r="T2440" s="144"/>
      <c r="U2440" s="129"/>
      <c r="V2440" s="129"/>
    </row>
    <row r="2441" spans="1:22" x14ac:dyDescent="0.2">
      <c r="A2441" s="144"/>
      <c r="B2441" s="145"/>
      <c r="C2441" s="129"/>
      <c r="D2441" s="129"/>
      <c r="E2441" s="129"/>
      <c r="F2441" s="129"/>
      <c r="G2441" s="144"/>
      <c r="H2441" s="129"/>
      <c r="I2441" s="144"/>
      <c r="J2441" s="144"/>
      <c r="K2441" s="144"/>
      <c r="L2441" s="146"/>
      <c r="M2441" s="142"/>
      <c r="N2441" s="144"/>
      <c r="O2441" s="142"/>
      <c r="P2441" s="142"/>
      <c r="Q2441" s="142"/>
      <c r="R2441" s="129"/>
      <c r="S2441" s="143"/>
      <c r="T2441" s="144"/>
      <c r="U2441" s="129"/>
      <c r="V2441" s="129"/>
    </row>
    <row r="2442" spans="1:22" x14ac:dyDescent="0.2">
      <c r="A2442" s="144"/>
      <c r="B2442" s="145"/>
      <c r="C2442" s="129"/>
      <c r="D2442" s="129"/>
      <c r="E2442" s="129"/>
      <c r="F2442" s="129"/>
      <c r="G2442" s="144"/>
      <c r="H2442" s="129"/>
      <c r="I2442" s="144"/>
      <c r="J2442" s="144"/>
      <c r="K2442" s="144"/>
      <c r="L2442" s="146"/>
      <c r="M2442" s="142"/>
      <c r="N2442" s="144"/>
      <c r="O2442" s="142"/>
      <c r="P2442" s="142"/>
      <c r="Q2442" s="142"/>
      <c r="R2442" s="129"/>
      <c r="S2442" s="143"/>
      <c r="T2442" s="144"/>
      <c r="U2442" s="129"/>
      <c r="V2442" s="129"/>
    </row>
    <row r="2443" spans="1:22" x14ac:dyDescent="0.2">
      <c r="A2443" s="144"/>
      <c r="B2443" s="145"/>
      <c r="C2443" s="129"/>
      <c r="D2443" s="129"/>
      <c r="E2443" s="129"/>
      <c r="F2443" s="129"/>
      <c r="G2443" s="144"/>
      <c r="H2443" s="129"/>
      <c r="I2443" s="144"/>
      <c r="J2443" s="144"/>
      <c r="K2443" s="144"/>
      <c r="L2443" s="146"/>
      <c r="M2443" s="142"/>
      <c r="N2443" s="144"/>
      <c r="O2443" s="142"/>
      <c r="P2443" s="142"/>
      <c r="Q2443" s="142"/>
      <c r="R2443" s="129"/>
      <c r="S2443" s="143"/>
      <c r="T2443" s="144"/>
      <c r="U2443" s="129"/>
      <c r="V2443" s="129"/>
    </row>
    <row r="2444" spans="1:22" x14ac:dyDescent="0.2">
      <c r="A2444" s="144"/>
      <c r="B2444" s="145"/>
      <c r="C2444" s="129"/>
      <c r="D2444" s="129"/>
      <c r="E2444" s="129"/>
      <c r="F2444" s="129"/>
      <c r="G2444" s="144"/>
      <c r="H2444" s="129"/>
      <c r="I2444" s="144"/>
      <c r="J2444" s="144"/>
      <c r="K2444" s="144"/>
      <c r="L2444" s="146"/>
      <c r="M2444" s="142"/>
      <c r="N2444" s="144"/>
      <c r="O2444" s="142"/>
      <c r="P2444" s="142"/>
      <c r="Q2444" s="142"/>
      <c r="R2444" s="129"/>
      <c r="S2444" s="143"/>
      <c r="T2444" s="144"/>
      <c r="U2444" s="129"/>
      <c r="V2444" s="129"/>
    </row>
    <row r="2445" spans="1:22" x14ac:dyDescent="0.2">
      <c r="A2445" s="144"/>
      <c r="B2445" s="145"/>
      <c r="C2445" s="129"/>
      <c r="D2445" s="129"/>
      <c r="E2445" s="129"/>
      <c r="F2445" s="129"/>
      <c r="G2445" s="144"/>
      <c r="H2445" s="129"/>
      <c r="I2445" s="144"/>
      <c r="J2445" s="144"/>
      <c r="K2445" s="144"/>
      <c r="L2445" s="146"/>
      <c r="M2445" s="142"/>
      <c r="N2445" s="144"/>
      <c r="O2445" s="142"/>
      <c r="P2445" s="142"/>
      <c r="Q2445" s="142"/>
      <c r="R2445" s="129"/>
      <c r="S2445" s="143"/>
      <c r="T2445" s="144"/>
      <c r="U2445" s="129"/>
      <c r="V2445" s="129"/>
    </row>
    <row r="2446" spans="1:22" x14ac:dyDescent="0.2">
      <c r="A2446" s="144"/>
      <c r="B2446" s="145"/>
      <c r="C2446" s="129"/>
      <c r="D2446" s="129"/>
      <c r="E2446" s="129"/>
      <c r="F2446" s="129"/>
      <c r="G2446" s="144"/>
      <c r="H2446" s="129"/>
      <c r="I2446" s="144"/>
      <c r="J2446" s="144"/>
      <c r="K2446" s="144"/>
      <c r="L2446" s="146"/>
      <c r="M2446" s="142"/>
      <c r="N2446" s="144"/>
      <c r="O2446" s="142"/>
      <c r="P2446" s="142"/>
      <c r="Q2446" s="142"/>
      <c r="R2446" s="129"/>
      <c r="S2446" s="143"/>
      <c r="T2446" s="144"/>
      <c r="U2446" s="129"/>
      <c r="V2446" s="129"/>
    </row>
    <row r="2447" spans="1:22" x14ac:dyDescent="0.2">
      <c r="A2447" s="144"/>
      <c r="B2447" s="145"/>
      <c r="C2447" s="129"/>
      <c r="D2447" s="129"/>
      <c r="E2447" s="129"/>
      <c r="F2447" s="129"/>
      <c r="G2447" s="144"/>
      <c r="H2447" s="129"/>
      <c r="I2447" s="144"/>
      <c r="J2447" s="144"/>
      <c r="K2447" s="144"/>
      <c r="L2447" s="146"/>
      <c r="M2447" s="142"/>
      <c r="N2447" s="144"/>
      <c r="O2447" s="142"/>
      <c r="P2447" s="142"/>
      <c r="Q2447" s="142"/>
      <c r="R2447" s="129"/>
      <c r="S2447" s="143"/>
      <c r="T2447" s="144"/>
      <c r="U2447" s="129"/>
      <c r="V2447" s="129"/>
    </row>
    <row r="2448" spans="1:22" x14ac:dyDescent="0.2">
      <c r="A2448" s="144"/>
      <c r="B2448" s="145"/>
      <c r="C2448" s="129"/>
      <c r="D2448" s="129"/>
      <c r="E2448" s="129"/>
      <c r="F2448" s="129"/>
      <c r="G2448" s="144"/>
      <c r="H2448" s="129"/>
      <c r="I2448" s="144"/>
      <c r="J2448" s="144"/>
      <c r="K2448" s="144"/>
      <c r="L2448" s="146"/>
      <c r="M2448" s="142"/>
      <c r="N2448" s="144"/>
      <c r="O2448" s="142"/>
      <c r="P2448" s="142"/>
      <c r="Q2448" s="142"/>
      <c r="R2448" s="129"/>
      <c r="S2448" s="143"/>
      <c r="T2448" s="144"/>
      <c r="U2448" s="129"/>
      <c r="V2448" s="129"/>
    </row>
    <row r="2449" spans="1:22" x14ac:dyDescent="0.2">
      <c r="A2449" s="144"/>
      <c r="B2449" s="145"/>
      <c r="C2449" s="129"/>
      <c r="D2449" s="129"/>
      <c r="E2449" s="129"/>
      <c r="F2449" s="129"/>
      <c r="G2449" s="144"/>
      <c r="H2449" s="129"/>
      <c r="I2449" s="144"/>
      <c r="J2449" s="144"/>
      <c r="K2449" s="144"/>
      <c r="L2449" s="146"/>
      <c r="M2449" s="142"/>
      <c r="N2449" s="144"/>
      <c r="O2449" s="142"/>
      <c r="P2449" s="142"/>
      <c r="Q2449" s="142"/>
      <c r="R2449" s="129"/>
      <c r="S2449" s="143"/>
      <c r="T2449" s="144"/>
      <c r="U2449" s="129"/>
      <c r="V2449" s="129"/>
    </row>
    <row r="2450" spans="1:22" x14ac:dyDescent="0.2">
      <c r="A2450" s="144"/>
      <c r="B2450" s="145"/>
      <c r="C2450" s="129"/>
      <c r="D2450" s="129"/>
      <c r="E2450" s="129"/>
      <c r="F2450" s="129"/>
      <c r="G2450" s="144"/>
      <c r="H2450" s="129"/>
      <c r="I2450" s="144"/>
      <c r="J2450" s="144"/>
      <c r="K2450" s="144"/>
      <c r="L2450" s="146"/>
      <c r="M2450" s="142"/>
      <c r="N2450" s="144"/>
      <c r="O2450" s="142"/>
      <c r="P2450" s="142"/>
      <c r="Q2450" s="142"/>
      <c r="R2450" s="129"/>
      <c r="S2450" s="143"/>
      <c r="T2450" s="144"/>
      <c r="U2450" s="129"/>
      <c r="V2450" s="129"/>
    </row>
    <row r="2451" spans="1:22" x14ac:dyDescent="0.2">
      <c r="A2451" s="144"/>
      <c r="B2451" s="145"/>
      <c r="C2451" s="129"/>
      <c r="D2451" s="129"/>
      <c r="E2451" s="129"/>
      <c r="F2451" s="129"/>
      <c r="G2451" s="144"/>
      <c r="H2451" s="129"/>
      <c r="I2451" s="144"/>
      <c r="J2451" s="144"/>
      <c r="K2451" s="144"/>
      <c r="L2451" s="146"/>
      <c r="M2451" s="142"/>
      <c r="N2451" s="144"/>
      <c r="O2451" s="142"/>
      <c r="P2451" s="142"/>
      <c r="Q2451" s="142"/>
      <c r="R2451" s="129"/>
      <c r="S2451" s="143"/>
      <c r="T2451" s="144"/>
      <c r="U2451" s="129"/>
      <c r="V2451" s="129"/>
    </row>
    <row r="2452" spans="1:22" x14ac:dyDescent="0.2">
      <c r="A2452" s="144"/>
      <c r="B2452" s="145"/>
      <c r="C2452" s="129"/>
      <c r="D2452" s="129"/>
      <c r="E2452" s="129"/>
      <c r="F2452" s="129"/>
      <c r="G2452" s="144"/>
      <c r="H2452" s="129"/>
      <c r="I2452" s="144"/>
      <c r="J2452" s="144"/>
      <c r="K2452" s="144"/>
      <c r="L2452" s="146"/>
      <c r="M2452" s="142"/>
      <c r="N2452" s="144"/>
      <c r="O2452" s="142"/>
      <c r="P2452" s="142"/>
      <c r="Q2452" s="142"/>
      <c r="R2452" s="129"/>
      <c r="S2452" s="143"/>
      <c r="T2452" s="144"/>
      <c r="U2452" s="129"/>
      <c r="V2452" s="129"/>
    </row>
    <row r="2453" spans="1:22" x14ac:dyDescent="0.2">
      <c r="A2453" s="144"/>
      <c r="B2453" s="145"/>
      <c r="C2453" s="129"/>
      <c r="D2453" s="129"/>
      <c r="E2453" s="129"/>
      <c r="F2453" s="129"/>
      <c r="G2453" s="144"/>
      <c r="H2453" s="129"/>
      <c r="I2453" s="144"/>
      <c r="J2453" s="144"/>
      <c r="K2453" s="144"/>
      <c r="L2453" s="146"/>
      <c r="M2453" s="142"/>
      <c r="N2453" s="144"/>
      <c r="O2453" s="142"/>
      <c r="P2453" s="142"/>
      <c r="Q2453" s="142"/>
      <c r="R2453" s="129"/>
      <c r="S2453" s="143"/>
      <c r="T2453" s="144"/>
      <c r="U2453" s="129"/>
      <c r="V2453" s="129"/>
    </row>
    <row r="2454" spans="1:22" x14ac:dyDescent="0.2">
      <c r="A2454" s="144"/>
      <c r="B2454" s="145"/>
      <c r="C2454" s="129"/>
      <c r="D2454" s="129"/>
      <c r="E2454" s="129"/>
      <c r="F2454" s="129"/>
      <c r="G2454" s="144"/>
      <c r="H2454" s="129"/>
      <c r="I2454" s="144"/>
      <c r="J2454" s="144"/>
      <c r="K2454" s="144"/>
      <c r="L2454" s="146"/>
      <c r="M2454" s="142"/>
      <c r="N2454" s="144"/>
      <c r="O2454" s="142"/>
      <c r="P2454" s="142"/>
      <c r="Q2454" s="142"/>
      <c r="R2454" s="129"/>
      <c r="S2454" s="143"/>
      <c r="T2454" s="144"/>
      <c r="U2454" s="129"/>
      <c r="V2454" s="129"/>
    </row>
    <row r="2455" spans="1:22" x14ac:dyDescent="0.2">
      <c r="A2455" s="144"/>
      <c r="B2455" s="145"/>
      <c r="C2455" s="129"/>
      <c r="D2455" s="129"/>
      <c r="E2455" s="129"/>
      <c r="F2455" s="129"/>
      <c r="G2455" s="144"/>
      <c r="H2455" s="129"/>
      <c r="I2455" s="144"/>
      <c r="J2455" s="144"/>
      <c r="K2455" s="144"/>
      <c r="L2455" s="146"/>
      <c r="M2455" s="142"/>
      <c r="N2455" s="144"/>
      <c r="O2455" s="142"/>
      <c r="P2455" s="142"/>
      <c r="Q2455" s="142"/>
      <c r="R2455" s="129"/>
      <c r="S2455" s="143"/>
      <c r="T2455" s="144"/>
      <c r="U2455" s="129"/>
      <c r="V2455" s="129"/>
    </row>
    <row r="2456" spans="1:22" x14ac:dyDescent="0.2">
      <c r="A2456" s="144"/>
      <c r="B2456" s="145"/>
      <c r="C2456" s="129"/>
      <c r="D2456" s="129"/>
      <c r="E2456" s="129"/>
      <c r="F2456" s="129"/>
      <c r="G2456" s="144"/>
      <c r="H2456" s="129"/>
      <c r="I2456" s="144"/>
      <c r="J2456" s="144"/>
      <c r="K2456" s="144"/>
      <c r="L2456" s="146"/>
      <c r="M2456" s="142"/>
      <c r="N2456" s="144"/>
      <c r="O2456" s="142"/>
      <c r="P2456" s="142"/>
      <c r="Q2456" s="142"/>
      <c r="R2456" s="129"/>
      <c r="S2456" s="143"/>
      <c r="T2456" s="144"/>
      <c r="U2456" s="129"/>
      <c r="V2456" s="129"/>
    </row>
    <row r="2457" spans="1:22" x14ac:dyDescent="0.2">
      <c r="A2457" s="144"/>
      <c r="B2457" s="145"/>
      <c r="C2457" s="129"/>
      <c r="D2457" s="129"/>
      <c r="E2457" s="129"/>
      <c r="F2457" s="129"/>
      <c r="G2457" s="144"/>
      <c r="H2457" s="129"/>
      <c r="I2457" s="144"/>
      <c r="J2457" s="144"/>
      <c r="K2457" s="144"/>
      <c r="L2457" s="146"/>
      <c r="M2457" s="142"/>
      <c r="N2457" s="144"/>
      <c r="O2457" s="142"/>
      <c r="P2457" s="142"/>
      <c r="Q2457" s="142"/>
      <c r="R2457" s="129"/>
      <c r="S2457" s="143"/>
      <c r="T2457" s="144"/>
      <c r="U2457" s="129"/>
      <c r="V2457" s="129"/>
    </row>
    <row r="2458" spans="1:22" x14ac:dyDescent="0.2">
      <c r="A2458" s="144"/>
      <c r="B2458" s="145"/>
      <c r="C2458" s="129"/>
      <c r="D2458" s="129"/>
      <c r="E2458" s="129"/>
      <c r="F2458" s="129"/>
      <c r="G2458" s="144"/>
      <c r="H2458" s="129"/>
      <c r="I2458" s="144"/>
      <c r="J2458" s="144"/>
      <c r="K2458" s="144"/>
      <c r="L2458" s="146"/>
      <c r="M2458" s="142"/>
      <c r="N2458" s="144"/>
      <c r="O2458" s="142"/>
      <c r="P2458" s="142"/>
      <c r="Q2458" s="142"/>
      <c r="R2458" s="129"/>
      <c r="S2458" s="143"/>
      <c r="T2458" s="144"/>
      <c r="U2458" s="129"/>
      <c r="V2458" s="129"/>
    </row>
    <row r="2459" spans="1:22" x14ac:dyDescent="0.2">
      <c r="A2459" s="144"/>
      <c r="B2459" s="145"/>
      <c r="C2459" s="129"/>
      <c r="D2459" s="129"/>
      <c r="E2459" s="129"/>
      <c r="F2459" s="129"/>
      <c r="G2459" s="144"/>
      <c r="H2459" s="129"/>
      <c r="I2459" s="144"/>
      <c r="J2459" s="144"/>
      <c r="K2459" s="144"/>
      <c r="L2459" s="146"/>
      <c r="M2459" s="142"/>
      <c r="N2459" s="144"/>
      <c r="O2459" s="142"/>
      <c r="P2459" s="142"/>
      <c r="Q2459" s="142"/>
      <c r="R2459" s="129"/>
      <c r="S2459" s="143"/>
      <c r="T2459" s="144"/>
      <c r="U2459" s="129"/>
      <c r="V2459" s="129"/>
    </row>
    <row r="2460" spans="1:22" x14ac:dyDescent="0.2">
      <c r="A2460" s="144"/>
      <c r="B2460" s="145"/>
      <c r="C2460" s="129"/>
      <c r="D2460" s="129"/>
      <c r="E2460" s="129"/>
      <c r="F2460" s="129"/>
      <c r="G2460" s="144"/>
      <c r="H2460" s="129"/>
      <c r="I2460" s="144"/>
      <c r="J2460" s="144"/>
      <c r="K2460" s="144"/>
      <c r="L2460" s="146"/>
      <c r="M2460" s="142"/>
      <c r="N2460" s="144"/>
      <c r="O2460" s="142"/>
      <c r="P2460" s="142"/>
      <c r="Q2460" s="142"/>
      <c r="R2460" s="129"/>
      <c r="S2460" s="143"/>
      <c r="T2460" s="144"/>
      <c r="U2460" s="129"/>
      <c r="V2460" s="129"/>
    </row>
    <row r="2461" spans="1:22" x14ac:dyDescent="0.2">
      <c r="A2461" s="144"/>
      <c r="B2461" s="145"/>
      <c r="C2461" s="129"/>
      <c r="D2461" s="129"/>
      <c r="E2461" s="129"/>
      <c r="F2461" s="129"/>
      <c r="G2461" s="144"/>
      <c r="H2461" s="129"/>
      <c r="I2461" s="144"/>
      <c r="J2461" s="144"/>
      <c r="K2461" s="144"/>
      <c r="L2461" s="146"/>
      <c r="M2461" s="142"/>
      <c r="N2461" s="144"/>
      <c r="O2461" s="142"/>
      <c r="P2461" s="142"/>
      <c r="Q2461" s="142"/>
      <c r="R2461" s="129"/>
      <c r="S2461" s="143"/>
      <c r="T2461" s="144"/>
      <c r="U2461" s="129"/>
      <c r="V2461" s="129"/>
    </row>
    <row r="2462" spans="1:22" x14ac:dyDescent="0.2">
      <c r="A2462" s="144"/>
      <c r="B2462" s="145"/>
      <c r="C2462" s="129"/>
      <c r="D2462" s="129"/>
      <c r="E2462" s="129"/>
      <c r="F2462" s="129"/>
      <c r="G2462" s="144"/>
      <c r="H2462" s="129"/>
      <c r="I2462" s="144"/>
      <c r="J2462" s="144"/>
      <c r="K2462" s="144"/>
      <c r="L2462" s="146"/>
      <c r="M2462" s="142"/>
      <c r="N2462" s="144"/>
      <c r="O2462" s="142"/>
      <c r="P2462" s="142"/>
      <c r="Q2462" s="142"/>
      <c r="R2462" s="129"/>
      <c r="S2462" s="143"/>
      <c r="T2462" s="144"/>
      <c r="U2462" s="129"/>
      <c r="V2462" s="129"/>
    </row>
    <row r="2463" spans="1:22" x14ac:dyDescent="0.2">
      <c r="A2463" s="144"/>
      <c r="B2463" s="145"/>
      <c r="C2463" s="129"/>
      <c r="D2463" s="129"/>
      <c r="E2463" s="129"/>
      <c r="F2463" s="129"/>
      <c r="G2463" s="144"/>
      <c r="H2463" s="129"/>
      <c r="I2463" s="144"/>
      <c r="J2463" s="144"/>
      <c r="K2463" s="144"/>
      <c r="L2463" s="146"/>
      <c r="M2463" s="142"/>
      <c r="N2463" s="144"/>
      <c r="O2463" s="142"/>
      <c r="P2463" s="142"/>
      <c r="Q2463" s="142"/>
      <c r="R2463" s="129"/>
      <c r="S2463" s="143"/>
      <c r="T2463" s="144"/>
      <c r="U2463" s="129"/>
      <c r="V2463" s="129"/>
    </row>
    <row r="2464" spans="1:22" x14ac:dyDescent="0.2">
      <c r="A2464" s="144"/>
      <c r="B2464" s="145"/>
      <c r="C2464" s="129"/>
      <c r="D2464" s="129"/>
      <c r="E2464" s="129"/>
      <c r="F2464" s="129"/>
      <c r="G2464" s="144"/>
      <c r="H2464" s="129"/>
      <c r="I2464" s="144"/>
      <c r="J2464" s="144"/>
      <c r="K2464" s="144"/>
      <c r="L2464" s="146"/>
      <c r="M2464" s="142"/>
      <c r="N2464" s="144"/>
      <c r="O2464" s="142"/>
      <c r="P2464" s="142"/>
      <c r="Q2464" s="142"/>
      <c r="R2464" s="129"/>
      <c r="S2464" s="143"/>
      <c r="T2464" s="144"/>
      <c r="U2464" s="129"/>
      <c r="V2464" s="129"/>
    </row>
    <row r="2465" spans="1:22" x14ac:dyDescent="0.2">
      <c r="A2465" s="144"/>
      <c r="B2465" s="145"/>
      <c r="C2465" s="129"/>
      <c r="D2465" s="129"/>
      <c r="E2465" s="129"/>
      <c r="F2465" s="129"/>
      <c r="G2465" s="144"/>
      <c r="H2465" s="129"/>
      <c r="I2465" s="144"/>
      <c r="J2465" s="144"/>
      <c r="K2465" s="144"/>
      <c r="L2465" s="146"/>
      <c r="M2465" s="142"/>
      <c r="N2465" s="144"/>
      <c r="O2465" s="142"/>
      <c r="P2465" s="142"/>
      <c r="Q2465" s="142"/>
      <c r="R2465" s="129"/>
      <c r="S2465" s="143"/>
      <c r="T2465" s="144"/>
      <c r="U2465" s="129"/>
      <c r="V2465" s="129"/>
    </row>
    <row r="2466" spans="1:22" x14ac:dyDescent="0.2">
      <c r="A2466" s="144"/>
      <c r="B2466" s="145"/>
      <c r="C2466" s="129"/>
      <c r="D2466" s="129"/>
      <c r="E2466" s="129"/>
      <c r="F2466" s="129"/>
      <c r="G2466" s="144"/>
      <c r="H2466" s="129"/>
      <c r="I2466" s="144"/>
      <c r="J2466" s="144"/>
      <c r="K2466" s="144"/>
      <c r="L2466" s="146"/>
      <c r="M2466" s="142"/>
      <c r="N2466" s="144"/>
      <c r="O2466" s="142"/>
      <c r="P2466" s="142"/>
      <c r="Q2466" s="142"/>
      <c r="R2466" s="129"/>
      <c r="S2466" s="143"/>
      <c r="T2466" s="144"/>
      <c r="U2466" s="129"/>
      <c r="V2466" s="129"/>
    </row>
    <row r="2467" spans="1:22" x14ac:dyDescent="0.2">
      <c r="A2467" s="144"/>
      <c r="B2467" s="145"/>
      <c r="C2467" s="129"/>
      <c r="D2467" s="129"/>
      <c r="E2467" s="129"/>
      <c r="F2467" s="129"/>
      <c r="G2467" s="144"/>
      <c r="H2467" s="129"/>
      <c r="I2467" s="144"/>
      <c r="J2467" s="144"/>
      <c r="K2467" s="144"/>
      <c r="L2467" s="146"/>
      <c r="M2467" s="142"/>
      <c r="N2467" s="144"/>
      <c r="O2467" s="142"/>
      <c r="P2467" s="142"/>
      <c r="Q2467" s="142"/>
      <c r="R2467" s="129"/>
      <c r="S2467" s="143"/>
      <c r="T2467" s="144"/>
      <c r="U2467" s="129"/>
      <c r="V2467" s="129"/>
    </row>
    <row r="2468" spans="1:22" x14ac:dyDescent="0.2">
      <c r="A2468" s="144"/>
      <c r="B2468" s="145"/>
      <c r="C2468" s="129"/>
      <c r="D2468" s="129"/>
      <c r="E2468" s="129"/>
      <c r="F2468" s="129"/>
      <c r="G2468" s="144"/>
      <c r="H2468" s="129"/>
      <c r="I2468" s="144"/>
      <c r="J2468" s="144"/>
      <c r="K2468" s="144"/>
      <c r="L2468" s="146"/>
      <c r="M2468" s="142"/>
      <c r="N2468" s="144"/>
      <c r="O2468" s="142"/>
      <c r="P2468" s="142"/>
      <c r="Q2468" s="142"/>
      <c r="R2468" s="129"/>
      <c r="S2468" s="143"/>
      <c r="T2468" s="144"/>
      <c r="U2468" s="129"/>
      <c r="V2468" s="129"/>
    </row>
    <row r="2469" spans="1:22" x14ac:dyDescent="0.2">
      <c r="A2469" s="144"/>
      <c r="B2469" s="145"/>
      <c r="C2469" s="129"/>
      <c r="D2469" s="129"/>
      <c r="E2469" s="129"/>
      <c r="F2469" s="129"/>
      <c r="G2469" s="144"/>
      <c r="H2469" s="129"/>
      <c r="I2469" s="144"/>
      <c r="J2469" s="144"/>
      <c r="K2469" s="144"/>
      <c r="L2469" s="146"/>
      <c r="M2469" s="142"/>
      <c r="N2469" s="144"/>
      <c r="O2469" s="142"/>
      <c r="P2469" s="142"/>
      <c r="Q2469" s="142"/>
      <c r="R2469" s="129"/>
      <c r="S2469" s="143"/>
      <c r="T2469" s="144"/>
      <c r="U2469" s="129"/>
      <c r="V2469" s="129"/>
    </row>
    <row r="2470" spans="1:22" x14ac:dyDescent="0.2">
      <c r="A2470" s="144"/>
      <c r="B2470" s="145"/>
      <c r="C2470" s="129"/>
      <c r="D2470" s="129"/>
      <c r="E2470" s="129"/>
      <c r="F2470" s="129"/>
      <c r="G2470" s="144"/>
      <c r="H2470" s="129"/>
      <c r="I2470" s="144"/>
      <c r="J2470" s="144"/>
      <c r="K2470" s="144"/>
      <c r="L2470" s="146"/>
      <c r="M2470" s="142"/>
      <c r="N2470" s="144"/>
      <c r="O2470" s="142"/>
      <c r="P2470" s="142"/>
      <c r="Q2470" s="142"/>
      <c r="R2470" s="129"/>
      <c r="S2470" s="143"/>
      <c r="T2470" s="144"/>
      <c r="U2470" s="129"/>
      <c r="V2470" s="129"/>
    </row>
    <row r="2471" spans="1:22" x14ac:dyDescent="0.2">
      <c r="A2471" s="144"/>
      <c r="B2471" s="145"/>
      <c r="C2471" s="129"/>
      <c r="D2471" s="129"/>
      <c r="E2471" s="129"/>
      <c r="F2471" s="129"/>
      <c r="G2471" s="144"/>
      <c r="H2471" s="129"/>
      <c r="I2471" s="144"/>
      <c r="J2471" s="144"/>
      <c r="K2471" s="144"/>
      <c r="L2471" s="146"/>
      <c r="M2471" s="142"/>
      <c r="N2471" s="144"/>
      <c r="O2471" s="142"/>
      <c r="P2471" s="142"/>
      <c r="Q2471" s="142"/>
      <c r="R2471" s="129"/>
      <c r="S2471" s="143"/>
      <c r="T2471" s="144"/>
      <c r="U2471" s="129"/>
      <c r="V2471" s="129"/>
    </row>
    <row r="2472" spans="1:22" x14ac:dyDescent="0.2">
      <c r="A2472" s="144"/>
      <c r="B2472" s="145"/>
      <c r="C2472" s="129"/>
      <c r="D2472" s="129"/>
      <c r="E2472" s="129"/>
      <c r="F2472" s="129"/>
      <c r="G2472" s="144"/>
      <c r="H2472" s="129"/>
      <c r="I2472" s="144"/>
      <c r="J2472" s="144"/>
      <c r="K2472" s="144"/>
      <c r="L2472" s="146"/>
      <c r="M2472" s="142"/>
      <c r="N2472" s="144"/>
      <c r="O2472" s="142"/>
      <c r="P2472" s="142"/>
      <c r="Q2472" s="142"/>
      <c r="R2472" s="129"/>
      <c r="S2472" s="143"/>
      <c r="T2472" s="144"/>
      <c r="U2472" s="129"/>
      <c r="V2472" s="129"/>
    </row>
    <row r="2473" spans="1:22" x14ac:dyDescent="0.2">
      <c r="A2473" s="144"/>
      <c r="B2473" s="145"/>
      <c r="C2473" s="129"/>
      <c r="D2473" s="129"/>
      <c r="E2473" s="129"/>
      <c r="F2473" s="129"/>
      <c r="G2473" s="144"/>
      <c r="H2473" s="129"/>
      <c r="I2473" s="144"/>
      <c r="J2473" s="144"/>
      <c r="K2473" s="144"/>
      <c r="L2473" s="146"/>
      <c r="M2473" s="142"/>
      <c r="N2473" s="144"/>
      <c r="O2473" s="142"/>
      <c r="P2473" s="142"/>
      <c r="Q2473" s="142"/>
      <c r="R2473" s="129"/>
      <c r="S2473" s="143"/>
      <c r="T2473" s="144"/>
      <c r="U2473" s="129"/>
      <c r="V2473" s="129"/>
    </row>
    <row r="2474" spans="1:22" x14ac:dyDescent="0.2">
      <c r="A2474" s="144"/>
      <c r="B2474" s="145"/>
      <c r="C2474" s="129"/>
      <c r="D2474" s="129"/>
      <c r="E2474" s="129"/>
      <c r="F2474" s="129"/>
      <c r="G2474" s="144"/>
      <c r="H2474" s="129"/>
      <c r="I2474" s="144"/>
      <c r="J2474" s="144"/>
      <c r="K2474" s="144"/>
      <c r="L2474" s="146"/>
      <c r="M2474" s="142"/>
      <c r="N2474" s="144"/>
      <c r="O2474" s="142"/>
      <c r="P2474" s="142"/>
      <c r="Q2474" s="142"/>
      <c r="R2474" s="129"/>
      <c r="S2474" s="143"/>
      <c r="T2474" s="144"/>
      <c r="U2474" s="129"/>
      <c r="V2474" s="129"/>
    </row>
    <row r="2475" spans="1:22" x14ac:dyDescent="0.2">
      <c r="A2475" s="144"/>
      <c r="B2475" s="145"/>
      <c r="C2475" s="129"/>
      <c r="D2475" s="129"/>
      <c r="E2475" s="129"/>
      <c r="F2475" s="129"/>
      <c r="G2475" s="144"/>
      <c r="H2475" s="129"/>
      <c r="I2475" s="144"/>
      <c r="J2475" s="144"/>
      <c r="K2475" s="144"/>
      <c r="L2475" s="146"/>
      <c r="M2475" s="142"/>
      <c r="N2475" s="144"/>
      <c r="O2475" s="142"/>
      <c r="P2475" s="142"/>
      <c r="Q2475" s="142"/>
      <c r="R2475" s="129"/>
      <c r="S2475" s="143"/>
      <c r="T2475" s="144"/>
      <c r="U2475" s="129"/>
      <c r="V2475" s="129"/>
    </row>
    <row r="2476" spans="1:22" x14ac:dyDescent="0.2">
      <c r="A2476" s="144"/>
      <c r="B2476" s="145"/>
      <c r="C2476" s="129"/>
      <c r="D2476" s="129"/>
      <c r="E2476" s="129"/>
      <c r="F2476" s="129"/>
      <c r="G2476" s="144"/>
      <c r="H2476" s="129"/>
      <c r="I2476" s="144"/>
      <c r="J2476" s="144"/>
      <c r="K2476" s="144"/>
      <c r="L2476" s="146"/>
      <c r="M2476" s="142"/>
      <c r="N2476" s="144"/>
      <c r="O2476" s="142"/>
      <c r="P2476" s="142"/>
      <c r="Q2476" s="142"/>
      <c r="R2476" s="129"/>
      <c r="S2476" s="143"/>
      <c r="T2476" s="144"/>
      <c r="U2476" s="129"/>
      <c r="V2476" s="129"/>
    </row>
    <row r="2477" spans="1:22" x14ac:dyDescent="0.2">
      <c r="A2477" s="144"/>
      <c r="B2477" s="145"/>
      <c r="C2477" s="129"/>
      <c r="D2477" s="129"/>
      <c r="E2477" s="129"/>
      <c r="F2477" s="129"/>
      <c r="G2477" s="144"/>
      <c r="H2477" s="129"/>
      <c r="I2477" s="144"/>
      <c r="J2477" s="144"/>
      <c r="K2477" s="144"/>
      <c r="L2477" s="146"/>
      <c r="M2477" s="142"/>
      <c r="N2477" s="144"/>
      <c r="O2477" s="142"/>
      <c r="P2477" s="142"/>
      <c r="Q2477" s="142"/>
      <c r="R2477" s="129"/>
      <c r="S2477" s="143"/>
      <c r="T2477" s="144"/>
      <c r="U2477" s="129"/>
      <c r="V2477" s="129"/>
    </row>
    <row r="2478" spans="1:22" x14ac:dyDescent="0.2">
      <c r="A2478" s="144"/>
      <c r="B2478" s="145"/>
      <c r="C2478" s="129"/>
      <c r="D2478" s="129"/>
      <c r="E2478" s="129"/>
      <c r="F2478" s="129"/>
      <c r="G2478" s="144"/>
      <c r="H2478" s="129"/>
      <c r="I2478" s="144"/>
      <c r="J2478" s="144"/>
      <c r="K2478" s="144"/>
      <c r="L2478" s="146"/>
      <c r="M2478" s="142"/>
      <c r="N2478" s="144"/>
      <c r="O2478" s="142"/>
      <c r="P2478" s="142"/>
      <c r="Q2478" s="142"/>
      <c r="R2478" s="129"/>
      <c r="S2478" s="143"/>
      <c r="T2478" s="144"/>
      <c r="U2478" s="129"/>
      <c r="V2478" s="129"/>
    </row>
    <row r="2479" spans="1:22" x14ac:dyDescent="0.2">
      <c r="A2479" s="144"/>
      <c r="B2479" s="145"/>
      <c r="C2479" s="129"/>
      <c r="D2479" s="129"/>
      <c r="E2479" s="129"/>
      <c r="F2479" s="129"/>
      <c r="G2479" s="144"/>
      <c r="H2479" s="129"/>
      <c r="I2479" s="144"/>
      <c r="J2479" s="144"/>
      <c r="K2479" s="144"/>
      <c r="L2479" s="146"/>
      <c r="M2479" s="142"/>
      <c r="N2479" s="144"/>
      <c r="O2479" s="142"/>
      <c r="P2479" s="142"/>
      <c r="Q2479" s="142"/>
      <c r="R2479" s="129"/>
      <c r="S2479" s="143"/>
      <c r="T2479" s="144"/>
      <c r="U2479" s="129"/>
      <c r="V2479" s="129"/>
    </row>
    <row r="2480" spans="1:22" x14ac:dyDescent="0.2">
      <c r="A2480" s="144"/>
      <c r="B2480" s="145"/>
      <c r="C2480" s="129"/>
      <c r="D2480" s="129"/>
      <c r="E2480" s="129"/>
      <c r="F2480" s="129"/>
      <c r="G2480" s="144"/>
      <c r="H2480" s="129"/>
      <c r="I2480" s="144"/>
      <c r="J2480" s="144"/>
      <c r="K2480" s="144"/>
      <c r="L2480" s="146"/>
      <c r="M2480" s="142"/>
      <c r="N2480" s="144"/>
      <c r="O2480" s="142"/>
      <c r="P2480" s="142"/>
      <c r="Q2480" s="142"/>
      <c r="R2480" s="129"/>
      <c r="S2480" s="143"/>
      <c r="T2480" s="144"/>
      <c r="U2480" s="129"/>
      <c r="V2480" s="129"/>
    </row>
    <row r="2481" spans="1:22" x14ac:dyDescent="0.2">
      <c r="A2481" s="144"/>
      <c r="B2481" s="145"/>
      <c r="C2481" s="129"/>
      <c r="D2481" s="129"/>
      <c r="E2481" s="129"/>
      <c r="F2481" s="129"/>
      <c r="G2481" s="144"/>
      <c r="H2481" s="129"/>
      <c r="I2481" s="144"/>
      <c r="J2481" s="144"/>
      <c r="K2481" s="144"/>
      <c r="L2481" s="146"/>
      <c r="M2481" s="142"/>
      <c r="N2481" s="144"/>
      <c r="O2481" s="142"/>
      <c r="P2481" s="142"/>
      <c r="Q2481" s="142"/>
      <c r="R2481" s="129"/>
      <c r="S2481" s="143"/>
      <c r="T2481" s="144"/>
      <c r="U2481" s="129"/>
      <c r="V2481" s="129"/>
    </row>
    <row r="2482" spans="1:22" x14ac:dyDescent="0.2">
      <c r="A2482" s="144"/>
      <c r="B2482" s="145"/>
      <c r="C2482" s="129"/>
      <c r="D2482" s="129"/>
      <c r="E2482" s="129"/>
      <c r="F2482" s="129"/>
      <c r="G2482" s="144"/>
      <c r="H2482" s="129"/>
      <c r="I2482" s="144"/>
      <c r="J2482" s="144"/>
      <c r="K2482" s="144"/>
      <c r="L2482" s="146"/>
      <c r="M2482" s="142"/>
      <c r="N2482" s="144"/>
      <c r="O2482" s="142"/>
      <c r="P2482" s="142"/>
      <c r="Q2482" s="142"/>
      <c r="R2482" s="129"/>
      <c r="S2482" s="143"/>
      <c r="T2482" s="144"/>
      <c r="U2482" s="129"/>
      <c r="V2482" s="129"/>
    </row>
    <row r="2483" spans="1:22" x14ac:dyDescent="0.2">
      <c r="A2483" s="144"/>
      <c r="B2483" s="145"/>
      <c r="C2483" s="129"/>
      <c r="D2483" s="129"/>
      <c r="E2483" s="129"/>
      <c r="F2483" s="129"/>
      <c r="G2483" s="144"/>
      <c r="H2483" s="129"/>
      <c r="I2483" s="144"/>
      <c r="J2483" s="144"/>
      <c r="K2483" s="144"/>
      <c r="L2483" s="146"/>
      <c r="M2483" s="142"/>
      <c r="N2483" s="144"/>
      <c r="O2483" s="142"/>
      <c r="P2483" s="142"/>
      <c r="Q2483" s="142"/>
      <c r="R2483" s="129"/>
      <c r="S2483" s="143"/>
      <c r="T2483" s="144"/>
      <c r="U2483" s="129"/>
      <c r="V2483" s="129"/>
    </row>
    <row r="2484" spans="1:22" x14ac:dyDescent="0.2">
      <c r="A2484" s="144"/>
      <c r="B2484" s="145"/>
      <c r="C2484" s="129"/>
      <c r="D2484" s="129"/>
      <c r="E2484" s="129"/>
      <c r="F2484" s="129"/>
      <c r="G2484" s="144"/>
      <c r="H2484" s="129"/>
      <c r="I2484" s="144"/>
      <c r="J2484" s="144"/>
      <c r="K2484" s="144"/>
      <c r="L2484" s="146"/>
      <c r="M2484" s="142"/>
      <c r="N2484" s="144"/>
      <c r="O2484" s="142"/>
      <c r="P2484" s="142"/>
      <c r="Q2484" s="142"/>
      <c r="R2484" s="129"/>
      <c r="S2484" s="143"/>
      <c r="T2484" s="144"/>
      <c r="U2484" s="129"/>
      <c r="V2484" s="129"/>
    </row>
    <row r="2485" spans="1:22" x14ac:dyDescent="0.2">
      <c r="A2485" s="144"/>
      <c r="B2485" s="145"/>
      <c r="C2485" s="129"/>
      <c r="D2485" s="129"/>
      <c r="E2485" s="129"/>
      <c r="F2485" s="129"/>
      <c r="G2485" s="144"/>
      <c r="H2485" s="129"/>
      <c r="I2485" s="144"/>
      <c r="J2485" s="144"/>
      <c r="K2485" s="144"/>
      <c r="L2485" s="146"/>
      <c r="M2485" s="142"/>
      <c r="N2485" s="144"/>
      <c r="O2485" s="142"/>
      <c r="P2485" s="142"/>
      <c r="Q2485" s="142"/>
      <c r="R2485" s="129"/>
      <c r="S2485" s="143"/>
      <c r="T2485" s="144"/>
      <c r="U2485" s="129"/>
      <c r="V2485" s="129"/>
    </row>
    <row r="2486" spans="1:22" x14ac:dyDescent="0.2">
      <c r="A2486" s="144"/>
      <c r="B2486" s="145"/>
      <c r="C2486" s="129"/>
      <c r="D2486" s="129"/>
      <c r="E2486" s="129"/>
      <c r="F2486" s="129"/>
      <c r="G2486" s="144"/>
      <c r="H2486" s="129"/>
      <c r="I2486" s="144"/>
      <c r="J2486" s="144"/>
      <c r="K2486" s="144"/>
      <c r="L2486" s="146"/>
      <c r="M2486" s="142"/>
      <c r="N2486" s="144"/>
      <c r="O2486" s="142"/>
      <c r="P2486" s="142"/>
      <c r="Q2486" s="142"/>
      <c r="R2486" s="129"/>
      <c r="S2486" s="143"/>
      <c r="T2486" s="144"/>
      <c r="U2486" s="129"/>
      <c r="V2486" s="129"/>
    </row>
    <row r="2487" spans="1:22" x14ac:dyDescent="0.2">
      <c r="A2487" s="144"/>
      <c r="B2487" s="145"/>
      <c r="C2487" s="129"/>
      <c r="D2487" s="129"/>
      <c r="E2487" s="129"/>
      <c r="F2487" s="129"/>
      <c r="G2487" s="144"/>
      <c r="H2487" s="129"/>
      <c r="I2487" s="144"/>
      <c r="J2487" s="144"/>
      <c r="K2487" s="144"/>
      <c r="L2487" s="146"/>
      <c r="M2487" s="142"/>
      <c r="N2487" s="144"/>
      <c r="O2487" s="142"/>
      <c r="P2487" s="142"/>
      <c r="Q2487" s="142"/>
      <c r="R2487" s="129"/>
      <c r="S2487" s="143"/>
      <c r="T2487" s="144"/>
      <c r="U2487" s="129"/>
      <c r="V2487" s="129"/>
    </row>
    <row r="2488" spans="1:22" x14ac:dyDescent="0.2">
      <c r="A2488" s="144"/>
      <c r="B2488" s="145"/>
      <c r="C2488" s="129"/>
      <c r="D2488" s="129"/>
      <c r="E2488" s="129"/>
      <c r="F2488" s="129"/>
      <c r="G2488" s="144"/>
      <c r="H2488" s="129"/>
      <c r="I2488" s="144"/>
      <c r="J2488" s="144"/>
      <c r="K2488" s="144"/>
      <c r="L2488" s="146"/>
      <c r="M2488" s="142"/>
      <c r="N2488" s="144"/>
      <c r="O2488" s="142"/>
      <c r="P2488" s="142"/>
      <c r="Q2488" s="142"/>
      <c r="R2488" s="129"/>
      <c r="S2488" s="143"/>
      <c r="T2488" s="144"/>
      <c r="U2488" s="129"/>
      <c r="V2488" s="129"/>
    </row>
    <row r="2489" spans="1:22" x14ac:dyDescent="0.2">
      <c r="A2489" s="144"/>
      <c r="B2489" s="145"/>
      <c r="C2489" s="129"/>
      <c r="D2489" s="129"/>
      <c r="E2489" s="129"/>
      <c r="F2489" s="129"/>
      <c r="G2489" s="144"/>
      <c r="H2489" s="129"/>
      <c r="I2489" s="144"/>
      <c r="J2489" s="144"/>
      <c r="K2489" s="144"/>
      <c r="L2489" s="146"/>
      <c r="M2489" s="142"/>
      <c r="N2489" s="144"/>
      <c r="O2489" s="142"/>
      <c r="P2489" s="142"/>
      <c r="Q2489" s="142"/>
      <c r="R2489" s="129"/>
      <c r="S2489" s="143"/>
      <c r="T2489" s="144"/>
      <c r="U2489" s="129"/>
      <c r="V2489" s="129"/>
    </row>
    <row r="2490" spans="1:22" x14ac:dyDescent="0.2">
      <c r="A2490" s="144"/>
      <c r="B2490" s="145"/>
      <c r="C2490" s="129"/>
      <c r="D2490" s="129"/>
      <c r="E2490" s="129"/>
      <c r="F2490" s="129"/>
      <c r="G2490" s="144"/>
      <c r="H2490" s="129"/>
      <c r="I2490" s="144"/>
      <c r="J2490" s="144"/>
      <c r="K2490" s="144"/>
      <c r="L2490" s="146"/>
      <c r="M2490" s="142"/>
      <c r="N2490" s="144"/>
      <c r="O2490" s="142"/>
      <c r="P2490" s="142"/>
      <c r="Q2490" s="142"/>
      <c r="R2490" s="129"/>
      <c r="S2490" s="143"/>
      <c r="T2490" s="144"/>
      <c r="U2490" s="129"/>
      <c r="V2490" s="129"/>
    </row>
    <row r="2491" spans="1:22" x14ac:dyDescent="0.2">
      <c r="A2491" s="144"/>
      <c r="B2491" s="145"/>
      <c r="C2491" s="129"/>
      <c r="D2491" s="129"/>
      <c r="E2491" s="129"/>
      <c r="F2491" s="129"/>
      <c r="G2491" s="144"/>
      <c r="H2491" s="129"/>
      <c r="I2491" s="144"/>
      <c r="J2491" s="144"/>
      <c r="K2491" s="144"/>
      <c r="L2491" s="146"/>
      <c r="M2491" s="142"/>
      <c r="N2491" s="144"/>
      <c r="O2491" s="142"/>
      <c r="P2491" s="142"/>
      <c r="Q2491" s="142"/>
      <c r="R2491" s="129"/>
      <c r="S2491" s="143"/>
      <c r="T2491" s="144"/>
      <c r="U2491" s="129"/>
      <c r="V2491" s="129"/>
    </row>
    <row r="2492" spans="1:22" x14ac:dyDescent="0.2">
      <c r="A2492" s="144"/>
      <c r="B2492" s="145"/>
      <c r="C2492" s="129"/>
      <c r="D2492" s="129"/>
      <c r="E2492" s="129"/>
      <c r="F2492" s="129"/>
      <c r="G2492" s="144"/>
      <c r="H2492" s="129"/>
      <c r="I2492" s="144"/>
      <c r="J2492" s="144"/>
      <c r="K2492" s="144"/>
      <c r="L2492" s="146"/>
      <c r="M2492" s="142"/>
      <c r="N2492" s="144"/>
      <c r="O2492" s="142"/>
      <c r="P2492" s="142"/>
      <c r="Q2492" s="142"/>
      <c r="R2492" s="129"/>
      <c r="S2492" s="143"/>
      <c r="T2492" s="144"/>
      <c r="U2492" s="129"/>
      <c r="V2492" s="129"/>
    </row>
    <row r="2493" spans="1:22" x14ac:dyDescent="0.2">
      <c r="A2493" s="144"/>
      <c r="B2493" s="145"/>
      <c r="C2493" s="129"/>
      <c r="D2493" s="129"/>
      <c r="E2493" s="129"/>
      <c r="F2493" s="129"/>
      <c r="G2493" s="144"/>
      <c r="H2493" s="129"/>
      <c r="I2493" s="144"/>
      <c r="J2493" s="144"/>
      <c r="K2493" s="144"/>
      <c r="L2493" s="146"/>
      <c r="M2493" s="142"/>
      <c r="N2493" s="144"/>
      <c r="O2493" s="142"/>
      <c r="P2493" s="142"/>
      <c r="Q2493" s="142"/>
      <c r="R2493" s="129"/>
      <c r="S2493" s="143"/>
      <c r="T2493" s="144"/>
      <c r="U2493" s="129"/>
      <c r="V2493" s="129"/>
    </row>
    <row r="2494" spans="1:22" x14ac:dyDescent="0.2">
      <c r="A2494" s="144"/>
      <c r="B2494" s="145"/>
      <c r="C2494" s="129"/>
      <c r="D2494" s="129"/>
      <c r="E2494" s="129"/>
      <c r="F2494" s="129"/>
      <c r="G2494" s="144"/>
      <c r="H2494" s="129"/>
      <c r="I2494" s="144"/>
      <c r="J2494" s="144"/>
      <c r="K2494" s="144"/>
      <c r="L2494" s="146"/>
      <c r="M2494" s="142"/>
      <c r="N2494" s="144"/>
      <c r="O2494" s="142"/>
      <c r="P2494" s="142"/>
      <c r="Q2494" s="142"/>
      <c r="R2494" s="129"/>
      <c r="S2494" s="143"/>
      <c r="T2494" s="144"/>
      <c r="U2494" s="129"/>
      <c r="V2494" s="129"/>
    </row>
    <row r="2495" spans="1:22" x14ac:dyDescent="0.2">
      <c r="A2495" s="144"/>
      <c r="B2495" s="145"/>
      <c r="C2495" s="129"/>
      <c r="D2495" s="129"/>
      <c r="E2495" s="129"/>
      <c r="F2495" s="129"/>
      <c r="G2495" s="144"/>
      <c r="H2495" s="129"/>
      <c r="I2495" s="144"/>
      <c r="J2495" s="144"/>
      <c r="K2495" s="144"/>
      <c r="L2495" s="146"/>
      <c r="M2495" s="142"/>
      <c r="N2495" s="144"/>
      <c r="O2495" s="142"/>
      <c r="P2495" s="142"/>
      <c r="Q2495" s="142"/>
      <c r="R2495" s="129"/>
      <c r="S2495" s="143"/>
      <c r="T2495" s="144"/>
      <c r="U2495" s="129"/>
      <c r="V2495" s="129"/>
    </row>
    <row r="2496" spans="1:22" x14ac:dyDescent="0.2">
      <c r="A2496" s="144"/>
      <c r="B2496" s="145"/>
      <c r="C2496" s="129"/>
      <c r="D2496" s="129"/>
      <c r="E2496" s="129"/>
      <c r="F2496" s="129"/>
      <c r="G2496" s="144"/>
      <c r="H2496" s="129"/>
      <c r="I2496" s="144"/>
      <c r="J2496" s="144"/>
      <c r="K2496" s="144"/>
      <c r="L2496" s="146"/>
      <c r="M2496" s="142"/>
      <c r="N2496" s="144"/>
      <c r="O2496" s="142"/>
      <c r="P2496" s="142"/>
      <c r="Q2496" s="142"/>
      <c r="R2496" s="129"/>
      <c r="S2496" s="143"/>
      <c r="T2496" s="144"/>
      <c r="U2496" s="129"/>
      <c r="V2496" s="129"/>
    </row>
    <row r="2497" spans="1:22" x14ac:dyDescent="0.2">
      <c r="A2497" s="144"/>
      <c r="B2497" s="145"/>
      <c r="C2497" s="129"/>
      <c r="D2497" s="129"/>
      <c r="E2497" s="129"/>
      <c r="F2497" s="129"/>
      <c r="G2497" s="144"/>
      <c r="H2497" s="129"/>
      <c r="I2497" s="144"/>
      <c r="J2497" s="144"/>
      <c r="K2497" s="144"/>
      <c r="L2497" s="146"/>
      <c r="M2497" s="142"/>
      <c r="N2497" s="144"/>
      <c r="O2497" s="142"/>
      <c r="P2497" s="142"/>
      <c r="Q2497" s="142"/>
      <c r="R2497" s="129"/>
      <c r="S2497" s="143"/>
      <c r="T2497" s="144"/>
      <c r="U2497" s="129"/>
      <c r="V2497" s="129"/>
    </row>
    <row r="2498" spans="1:22" x14ac:dyDescent="0.2">
      <c r="A2498" s="144"/>
      <c r="B2498" s="145"/>
      <c r="C2498" s="129"/>
      <c r="D2498" s="129"/>
      <c r="E2498" s="129"/>
      <c r="F2498" s="129"/>
      <c r="G2498" s="144"/>
      <c r="H2498" s="129"/>
      <c r="I2498" s="144"/>
      <c r="J2498" s="144"/>
      <c r="K2498" s="144"/>
      <c r="L2498" s="146"/>
      <c r="M2498" s="142"/>
      <c r="N2498" s="144"/>
      <c r="O2498" s="142"/>
      <c r="P2498" s="142"/>
      <c r="Q2498" s="142"/>
      <c r="R2498" s="129"/>
      <c r="S2498" s="143"/>
      <c r="T2498" s="144"/>
      <c r="U2498" s="129"/>
      <c r="V2498" s="129"/>
    </row>
    <row r="2499" spans="1:22" x14ac:dyDescent="0.2">
      <c r="A2499" s="144"/>
      <c r="B2499" s="145"/>
      <c r="C2499" s="129"/>
      <c r="D2499" s="129"/>
      <c r="E2499" s="129"/>
      <c r="F2499" s="129"/>
      <c r="G2499" s="144"/>
      <c r="H2499" s="129"/>
      <c r="I2499" s="144"/>
      <c r="J2499" s="144"/>
      <c r="K2499" s="144"/>
      <c r="L2499" s="146"/>
      <c r="M2499" s="142"/>
      <c r="N2499" s="144"/>
      <c r="O2499" s="142"/>
      <c r="P2499" s="142"/>
      <c r="Q2499" s="142"/>
      <c r="R2499" s="129"/>
      <c r="S2499" s="143"/>
      <c r="T2499" s="144"/>
      <c r="U2499" s="129"/>
      <c r="V2499" s="129"/>
    </row>
    <row r="2500" spans="1:22" x14ac:dyDescent="0.2">
      <c r="A2500" s="144"/>
      <c r="B2500" s="145"/>
      <c r="C2500" s="129"/>
      <c r="D2500" s="129"/>
      <c r="E2500" s="129"/>
      <c r="F2500" s="129"/>
      <c r="G2500" s="144"/>
      <c r="H2500" s="129"/>
      <c r="I2500" s="144"/>
      <c r="J2500" s="144"/>
      <c r="K2500" s="144"/>
      <c r="L2500" s="146"/>
      <c r="M2500" s="142"/>
      <c r="N2500" s="144"/>
      <c r="O2500" s="142"/>
      <c r="P2500" s="142"/>
      <c r="Q2500" s="142"/>
      <c r="R2500" s="129"/>
      <c r="S2500" s="143"/>
      <c r="T2500" s="144"/>
      <c r="U2500" s="129"/>
      <c r="V2500" s="129"/>
    </row>
    <row r="2501" spans="1:22" x14ac:dyDescent="0.2">
      <c r="A2501" s="144"/>
      <c r="B2501" s="145"/>
      <c r="C2501" s="129"/>
      <c r="D2501" s="129"/>
      <c r="E2501" s="129"/>
      <c r="F2501" s="129"/>
      <c r="G2501" s="144"/>
      <c r="H2501" s="129"/>
      <c r="I2501" s="144"/>
      <c r="J2501" s="144"/>
      <c r="K2501" s="144"/>
      <c r="L2501" s="146"/>
      <c r="M2501" s="142"/>
      <c r="N2501" s="144"/>
      <c r="O2501" s="142"/>
      <c r="P2501" s="142"/>
      <c r="Q2501" s="142"/>
      <c r="R2501" s="129"/>
      <c r="S2501" s="143"/>
      <c r="T2501" s="144"/>
      <c r="U2501" s="129"/>
      <c r="V2501" s="129"/>
    </row>
    <row r="2502" spans="1:22" x14ac:dyDescent="0.2">
      <c r="A2502" s="144"/>
      <c r="B2502" s="145"/>
      <c r="C2502" s="129"/>
      <c r="D2502" s="129"/>
      <c r="E2502" s="129"/>
      <c r="F2502" s="129"/>
      <c r="G2502" s="144"/>
      <c r="H2502" s="129"/>
      <c r="I2502" s="144"/>
      <c r="J2502" s="144"/>
      <c r="K2502" s="144"/>
      <c r="L2502" s="146"/>
      <c r="M2502" s="142"/>
      <c r="N2502" s="144"/>
      <c r="O2502" s="142"/>
      <c r="P2502" s="142"/>
      <c r="Q2502" s="142"/>
      <c r="R2502" s="129"/>
      <c r="S2502" s="143"/>
      <c r="T2502" s="144"/>
      <c r="U2502" s="129"/>
      <c r="V2502" s="129"/>
    </row>
    <row r="2503" spans="1:22" x14ac:dyDescent="0.2">
      <c r="A2503" s="144"/>
      <c r="B2503" s="145"/>
      <c r="C2503" s="129"/>
      <c r="D2503" s="129"/>
      <c r="E2503" s="129"/>
      <c r="F2503" s="129"/>
      <c r="G2503" s="144"/>
      <c r="H2503" s="129"/>
      <c r="I2503" s="144"/>
      <c r="J2503" s="144"/>
      <c r="K2503" s="144"/>
      <c r="L2503" s="146"/>
      <c r="M2503" s="142"/>
      <c r="N2503" s="144"/>
      <c r="O2503" s="142"/>
      <c r="P2503" s="142"/>
      <c r="Q2503" s="142"/>
      <c r="R2503" s="129"/>
      <c r="S2503" s="143"/>
      <c r="T2503" s="144"/>
      <c r="U2503" s="129"/>
      <c r="V2503" s="129"/>
    </row>
    <row r="2504" spans="1:22" x14ac:dyDescent="0.2">
      <c r="A2504" s="144"/>
      <c r="B2504" s="145"/>
      <c r="C2504" s="129"/>
      <c r="D2504" s="129"/>
      <c r="E2504" s="129"/>
      <c r="F2504" s="129"/>
      <c r="G2504" s="144"/>
      <c r="H2504" s="129"/>
      <c r="I2504" s="144"/>
      <c r="J2504" s="144"/>
      <c r="K2504" s="144"/>
      <c r="L2504" s="146"/>
      <c r="M2504" s="142"/>
      <c r="N2504" s="144"/>
      <c r="O2504" s="142"/>
      <c r="P2504" s="142"/>
      <c r="Q2504" s="142"/>
      <c r="R2504" s="129"/>
      <c r="S2504" s="143"/>
      <c r="T2504" s="144"/>
      <c r="U2504" s="129"/>
      <c r="V2504" s="129"/>
    </row>
    <row r="2505" spans="1:22" x14ac:dyDescent="0.2">
      <c r="A2505" s="144"/>
      <c r="B2505" s="145"/>
      <c r="C2505" s="129"/>
      <c r="D2505" s="129"/>
      <c r="E2505" s="129"/>
      <c r="F2505" s="129"/>
      <c r="G2505" s="144"/>
      <c r="H2505" s="129"/>
      <c r="I2505" s="144"/>
      <c r="J2505" s="144"/>
      <c r="K2505" s="144"/>
      <c r="L2505" s="146"/>
      <c r="M2505" s="142"/>
      <c r="N2505" s="144"/>
      <c r="O2505" s="142"/>
      <c r="P2505" s="142"/>
      <c r="Q2505" s="142"/>
      <c r="R2505" s="129"/>
      <c r="S2505" s="143"/>
      <c r="T2505" s="144"/>
      <c r="U2505" s="129"/>
      <c r="V2505" s="129"/>
    </row>
    <row r="2506" spans="1:22" x14ac:dyDescent="0.2">
      <c r="A2506" s="144"/>
      <c r="B2506" s="145"/>
      <c r="C2506" s="129"/>
      <c r="D2506" s="129"/>
      <c r="E2506" s="129"/>
      <c r="F2506" s="129"/>
      <c r="G2506" s="144"/>
      <c r="H2506" s="129"/>
      <c r="I2506" s="144"/>
      <c r="J2506" s="144"/>
      <c r="K2506" s="144"/>
      <c r="L2506" s="146"/>
      <c r="M2506" s="142"/>
      <c r="N2506" s="144"/>
      <c r="O2506" s="142"/>
      <c r="P2506" s="142"/>
      <c r="Q2506" s="142"/>
      <c r="R2506" s="129"/>
      <c r="S2506" s="143"/>
      <c r="T2506" s="144"/>
      <c r="U2506" s="129"/>
      <c r="V2506" s="129"/>
    </row>
    <row r="2507" spans="1:22" x14ac:dyDescent="0.2">
      <c r="A2507" s="144"/>
      <c r="B2507" s="145"/>
      <c r="C2507" s="129"/>
      <c r="D2507" s="129"/>
      <c r="E2507" s="129"/>
      <c r="F2507" s="129"/>
      <c r="G2507" s="144"/>
      <c r="H2507" s="129"/>
      <c r="I2507" s="144"/>
      <c r="J2507" s="144"/>
      <c r="K2507" s="144"/>
      <c r="L2507" s="146"/>
      <c r="M2507" s="142"/>
      <c r="N2507" s="144"/>
      <c r="O2507" s="142"/>
      <c r="P2507" s="142"/>
      <c r="Q2507" s="142"/>
      <c r="R2507" s="129"/>
      <c r="S2507" s="143"/>
      <c r="T2507" s="144"/>
      <c r="U2507" s="129"/>
      <c r="V2507" s="129"/>
    </row>
    <row r="2508" spans="1:22" x14ac:dyDescent="0.2">
      <c r="A2508" s="144"/>
      <c r="B2508" s="145"/>
      <c r="C2508" s="129"/>
      <c r="D2508" s="129"/>
      <c r="E2508" s="129"/>
      <c r="F2508" s="129"/>
      <c r="G2508" s="144"/>
      <c r="H2508" s="129"/>
      <c r="I2508" s="144"/>
      <c r="J2508" s="144"/>
      <c r="K2508" s="144"/>
      <c r="L2508" s="146"/>
      <c r="M2508" s="142"/>
      <c r="N2508" s="144"/>
      <c r="O2508" s="142"/>
      <c r="P2508" s="142"/>
      <c r="Q2508" s="142"/>
      <c r="R2508" s="129"/>
      <c r="S2508" s="143"/>
      <c r="T2508" s="144"/>
      <c r="U2508" s="129"/>
      <c r="V2508" s="129"/>
    </row>
    <row r="2509" spans="1:22" x14ac:dyDescent="0.2">
      <c r="A2509" s="144"/>
      <c r="B2509" s="145"/>
      <c r="C2509" s="129"/>
      <c r="D2509" s="129"/>
      <c r="E2509" s="129"/>
      <c r="F2509" s="129"/>
      <c r="G2509" s="144"/>
      <c r="H2509" s="129"/>
      <c r="I2509" s="144"/>
      <c r="J2509" s="144"/>
      <c r="K2509" s="144"/>
      <c r="L2509" s="146"/>
      <c r="M2509" s="142"/>
      <c r="N2509" s="144"/>
      <c r="O2509" s="142"/>
      <c r="P2509" s="142"/>
      <c r="Q2509" s="142"/>
      <c r="R2509" s="129"/>
      <c r="S2509" s="143"/>
      <c r="T2509" s="144"/>
      <c r="U2509" s="129"/>
      <c r="V2509" s="129"/>
    </row>
    <row r="2510" spans="1:22" x14ac:dyDescent="0.2">
      <c r="A2510" s="144"/>
      <c r="B2510" s="145"/>
      <c r="C2510" s="129"/>
      <c r="D2510" s="129"/>
      <c r="E2510" s="129"/>
      <c r="F2510" s="129"/>
      <c r="G2510" s="144"/>
      <c r="H2510" s="129"/>
      <c r="I2510" s="144"/>
      <c r="J2510" s="144"/>
      <c r="K2510" s="144"/>
      <c r="L2510" s="146"/>
      <c r="M2510" s="142"/>
      <c r="N2510" s="144"/>
      <c r="O2510" s="142"/>
      <c r="P2510" s="142"/>
      <c r="Q2510" s="142"/>
      <c r="R2510" s="129"/>
      <c r="S2510" s="143"/>
      <c r="T2510" s="144"/>
      <c r="U2510" s="129"/>
      <c r="V2510" s="129"/>
    </row>
    <row r="2511" spans="1:22" x14ac:dyDescent="0.2">
      <c r="A2511" s="144"/>
      <c r="B2511" s="145"/>
      <c r="C2511" s="129"/>
      <c r="D2511" s="129"/>
      <c r="E2511" s="129"/>
      <c r="F2511" s="129"/>
      <c r="G2511" s="144"/>
      <c r="H2511" s="129"/>
      <c r="I2511" s="144"/>
      <c r="J2511" s="144"/>
      <c r="K2511" s="144"/>
      <c r="L2511" s="146"/>
      <c r="M2511" s="142"/>
      <c r="N2511" s="144"/>
      <c r="O2511" s="142"/>
      <c r="P2511" s="142"/>
      <c r="Q2511" s="142"/>
      <c r="R2511" s="129"/>
      <c r="S2511" s="143"/>
      <c r="T2511" s="144"/>
      <c r="U2511" s="129"/>
      <c r="V2511" s="129"/>
    </row>
    <row r="2512" spans="1:22" x14ac:dyDescent="0.2">
      <c r="A2512" s="144"/>
      <c r="B2512" s="145"/>
      <c r="C2512" s="129"/>
      <c r="D2512" s="129"/>
      <c r="E2512" s="129"/>
      <c r="F2512" s="129"/>
      <c r="G2512" s="144"/>
      <c r="H2512" s="129"/>
      <c r="I2512" s="144"/>
      <c r="J2512" s="144"/>
      <c r="K2512" s="144"/>
      <c r="L2512" s="146"/>
      <c r="M2512" s="142"/>
      <c r="N2512" s="144"/>
      <c r="O2512" s="142"/>
      <c r="P2512" s="142"/>
      <c r="Q2512" s="142"/>
      <c r="R2512" s="129"/>
      <c r="S2512" s="143"/>
      <c r="T2512" s="144"/>
      <c r="U2512" s="129"/>
      <c r="V2512" s="129"/>
    </row>
    <row r="2513" spans="1:22" x14ac:dyDescent="0.2">
      <c r="A2513" s="144"/>
      <c r="B2513" s="145"/>
      <c r="C2513" s="129"/>
      <c r="D2513" s="129"/>
      <c r="E2513" s="129"/>
      <c r="F2513" s="129"/>
      <c r="G2513" s="144"/>
      <c r="H2513" s="129"/>
      <c r="I2513" s="144"/>
      <c r="J2513" s="144"/>
      <c r="K2513" s="144"/>
      <c r="L2513" s="146"/>
      <c r="M2513" s="142"/>
      <c r="N2513" s="144"/>
      <c r="O2513" s="142"/>
      <c r="P2513" s="142"/>
      <c r="Q2513" s="142"/>
      <c r="R2513" s="129"/>
      <c r="S2513" s="143"/>
      <c r="T2513" s="144"/>
      <c r="U2513" s="129"/>
      <c r="V2513" s="129"/>
    </row>
    <row r="2514" spans="1:22" x14ac:dyDescent="0.2">
      <c r="A2514" s="144"/>
      <c r="B2514" s="145"/>
      <c r="C2514" s="129"/>
      <c r="D2514" s="129"/>
      <c r="E2514" s="129"/>
      <c r="F2514" s="129"/>
      <c r="G2514" s="144"/>
      <c r="H2514" s="129"/>
      <c r="I2514" s="144"/>
      <c r="J2514" s="144"/>
      <c r="K2514" s="144"/>
      <c r="L2514" s="146"/>
      <c r="M2514" s="142"/>
      <c r="N2514" s="144"/>
      <c r="O2514" s="142"/>
      <c r="P2514" s="142"/>
      <c r="Q2514" s="142"/>
      <c r="R2514" s="129"/>
      <c r="S2514" s="143"/>
      <c r="T2514" s="144"/>
      <c r="U2514" s="129"/>
      <c r="V2514" s="129"/>
    </row>
    <row r="2515" spans="1:22" x14ac:dyDescent="0.2">
      <c r="A2515" s="144"/>
      <c r="B2515" s="145"/>
      <c r="C2515" s="129"/>
      <c r="D2515" s="129"/>
      <c r="E2515" s="129"/>
      <c r="F2515" s="129"/>
      <c r="G2515" s="144"/>
      <c r="H2515" s="129"/>
      <c r="I2515" s="144"/>
      <c r="J2515" s="144"/>
      <c r="K2515" s="144"/>
      <c r="L2515" s="146"/>
      <c r="M2515" s="142"/>
      <c r="N2515" s="144"/>
      <c r="O2515" s="142"/>
      <c r="P2515" s="142"/>
      <c r="Q2515" s="142"/>
      <c r="R2515" s="129"/>
      <c r="S2515" s="143"/>
      <c r="T2515" s="144"/>
      <c r="U2515" s="129"/>
      <c r="V2515" s="129"/>
    </row>
    <row r="2516" spans="1:22" x14ac:dyDescent="0.2">
      <c r="A2516" s="144"/>
      <c r="B2516" s="145"/>
      <c r="C2516" s="129"/>
      <c r="D2516" s="129"/>
      <c r="E2516" s="129"/>
      <c r="F2516" s="129"/>
      <c r="G2516" s="144"/>
      <c r="H2516" s="129"/>
      <c r="I2516" s="144"/>
      <c r="J2516" s="144"/>
      <c r="K2516" s="144"/>
      <c r="L2516" s="146"/>
      <c r="M2516" s="142"/>
      <c r="N2516" s="144"/>
      <c r="O2516" s="142"/>
      <c r="P2516" s="142"/>
      <c r="Q2516" s="142"/>
      <c r="R2516" s="129"/>
      <c r="S2516" s="143"/>
      <c r="T2516" s="144"/>
      <c r="U2516" s="129"/>
      <c r="V2516" s="129"/>
    </row>
    <row r="2517" spans="1:22" x14ac:dyDescent="0.2">
      <c r="A2517" s="144"/>
      <c r="B2517" s="145"/>
      <c r="C2517" s="129"/>
      <c r="D2517" s="129"/>
      <c r="E2517" s="129"/>
      <c r="F2517" s="129"/>
      <c r="G2517" s="144"/>
      <c r="H2517" s="129"/>
      <c r="I2517" s="144"/>
      <c r="J2517" s="144"/>
      <c r="K2517" s="144"/>
      <c r="L2517" s="146"/>
      <c r="M2517" s="142"/>
      <c r="N2517" s="144"/>
      <c r="O2517" s="142"/>
      <c r="P2517" s="142"/>
      <c r="Q2517" s="142"/>
      <c r="R2517" s="129"/>
      <c r="S2517" s="143"/>
      <c r="T2517" s="144"/>
      <c r="U2517" s="129"/>
      <c r="V2517" s="129"/>
    </row>
    <row r="2518" spans="1:22" x14ac:dyDescent="0.2">
      <c r="A2518" s="144"/>
      <c r="B2518" s="145"/>
      <c r="C2518" s="129"/>
      <c r="D2518" s="129"/>
      <c r="E2518" s="129"/>
      <c r="F2518" s="129"/>
      <c r="G2518" s="144"/>
      <c r="H2518" s="129"/>
      <c r="I2518" s="144"/>
      <c r="J2518" s="144"/>
      <c r="K2518" s="144"/>
      <c r="L2518" s="146"/>
      <c r="M2518" s="142"/>
      <c r="N2518" s="144"/>
      <c r="O2518" s="142"/>
      <c r="P2518" s="142"/>
      <c r="Q2518" s="142"/>
      <c r="R2518" s="129"/>
      <c r="S2518" s="143"/>
      <c r="T2518" s="144"/>
      <c r="U2518" s="129"/>
      <c r="V2518" s="129"/>
    </row>
    <row r="2519" spans="1:22" x14ac:dyDescent="0.2">
      <c r="A2519" s="144"/>
      <c r="B2519" s="145"/>
      <c r="C2519" s="129"/>
      <c r="D2519" s="129"/>
      <c r="E2519" s="129"/>
      <c r="F2519" s="129"/>
      <c r="G2519" s="144"/>
      <c r="H2519" s="129"/>
      <c r="I2519" s="144"/>
      <c r="J2519" s="144"/>
      <c r="K2519" s="144"/>
      <c r="L2519" s="146"/>
      <c r="M2519" s="142"/>
      <c r="N2519" s="144"/>
      <c r="O2519" s="142"/>
      <c r="P2519" s="142"/>
      <c r="Q2519" s="142"/>
      <c r="R2519" s="129"/>
      <c r="S2519" s="143"/>
      <c r="T2519" s="144"/>
      <c r="U2519" s="129"/>
      <c r="V2519" s="129"/>
    </row>
    <row r="2520" spans="1:22" x14ac:dyDescent="0.2">
      <c r="A2520" s="144"/>
      <c r="B2520" s="145"/>
      <c r="C2520" s="129"/>
      <c r="D2520" s="129"/>
      <c r="E2520" s="129"/>
      <c r="F2520" s="129"/>
      <c r="G2520" s="144"/>
      <c r="H2520" s="129"/>
      <c r="I2520" s="144"/>
      <c r="J2520" s="144"/>
      <c r="K2520" s="144"/>
      <c r="L2520" s="146"/>
      <c r="M2520" s="142"/>
      <c r="N2520" s="144"/>
      <c r="O2520" s="142"/>
      <c r="P2520" s="142"/>
      <c r="Q2520" s="142"/>
      <c r="R2520" s="129"/>
      <c r="S2520" s="143"/>
      <c r="T2520" s="144"/>
      <c r="U2520" s="129"/>
      <c r="V2520" s="129"/>
    </row>
    <row r="2521" spans="1:22" x14ac:dyDescent="0.2">
      <c r="A2521" s="144"/>
      <c r="B2521" s="145"/>
      <c r="C2521" s="129"/>
      <c r="D2521" s="129"/>
      <c r="E2521" s="129"/>
      <c r="F2521" s="129"/>
      <c r="G2521" s="144"/>
      <c r="H2521" s="129"/>
      <c r="I2521" s="144"/>
      <c r="J2521" s="144"/>
      <c r="K2521" s="144"/>
      <c r="L2521" s="146"/>
      <c r="M2521" s="142"/>
      <c r="N2521" s="144"/>
      <c r="O2521" s="142"/>
      <c r="P2521" s="142"/>
      <c r="Q2521" s="142"/>
      <c r="R2521" s="129"/>
      <c r="S2521" s="143"/>
      <c r="T2521" s="144"/>
      <c r="U2521" s="129"/>
      <c r="V2521" s="129"/>
    </row>
    <row r="2522" spans="1:22" x14ac:dyDescent="0.2">
      <c r="A2522" s="144"/>
      <c r="B2522" s="145"/>
      <c r="C2522" s="129"/>
      <c r="D2522" s="129"/>
      <c r="E2522" s="129"/>
      <c r="F2522" s="129"/>
      <c r="G2522" s="144"/>
      <c r="H2522" s="129"/>
      <c r="I2522" s="144"/>
      <c r="J2522" s="144"/>
      <c r="K2522" s="144"/>
      <c r="L2522" s="146"/>
      <c r="M2522" s="142"/>
      <c r="N2522" s="144"/>
      <c r="O2522" s="142"/>
      <c r="P2522" s="142"/>
      <c r="Q2522" s="142"/>
      <c r="R2522" s="129"/>
      <c r="S2522" s="143"/>
      <c r="T2522" s="144"/>
      <c r="U2522" s="129"/>
      <c r="V2522" s="129"/>
    </row>
    <row r="2523" spans="1:22" x14ac:dyDescent="0.2">
      <c r="A2523" s="144"/>
      <c r="B2523" s="145"/>
      <c r="C2523" s="129"/>
      <c r="D2523" s="129"/>
      <c r="E2523" s="129"/>
      <c r="F2523" s="129"/>
      <c r="G2523" s="144"/>
      <c r="H2523" s="129"/>
      <c r="I2523" s="144"/>
      <c r="J2523" s="144"/>
      <c r="K2523" s="144"/>
      <c r="L2523" s="146"/>
      <c r="M2523" s="142"/>
      <c r="N2523" s="144"/>
      <c r="O2523" s="142"/>
      <c r="P2523" s="142"/>
      <c r="Q2523" s="142"/>
      <c r="R2523" s="129"/>
      <c r="S2523" s="143"/>
      <c r="T2523" s="144"/>
      <c r="U2523" s="129"/>
      <c r="V2523" s="129"/>
    </row>
    <row r="2524" spans="1:22" x14ac:dyDescent="0.2">
      <c r="A2524" s="144"/>
      <c r="B2524" s="145"/>
      <c r="C2524" s="129"/>
      <c r="D2524" s="129"/>
      <c r="E2524" s="129"/>
      <c r="F2524" s="129"/>
      <c r="G2524" s="144"/>
      <c r="H2524" s="129"/>
      <c r="I2524" s="144"/>
      <c r="J2524" s="144"/>
      <c r="K2524" s="144"/>
      <c r="L2524" s="146"/>
      <c r="M2524" s="142"/>
      <c r="N2524" s="144"/>
      <c r="O2524" s="142"/>
      <c r="P2524" s="142"/>
      <c r="Q2524" s="142"/>
      <c r="R2524" s="129"/>
      <c r="S2524" s="143"/>
      <c r="T2524" s="144"/>
      <c r="U2524" s="129"/>
      <c r="V2524" s="129"/>
    </row>
    <row r="2525" spans="1:22" x14ac:dyDescent="0.2">
      <c r="A2525" s="144"/>
      <c r="B2525" s="145"/>
      <c r="C2525" s="129"/>
      <c r="D2525" s="129"/>
      <c r="E2525" s="129"/>
      <c r="F2525" s="129"/>
      <c r="G2525" s="144"/>
      <c r="H2525" s="129"/>
      <c r="I2525" s="144"/>
      <c r="J2525" s="144"/>
      <c r="K2525" s="144"/>
      <c r="L2525" s="146"/>
      <c r="M2525" s="142"/>
      <c r="N2525" s="144"/>
      <c r="O2525" s="142"/>
      <c r="P2525" s="142"/>
      <c r="Q2525" s="142"/>
      <c r="R2525" s="129"/>
      <c r="S2525" s="143"/>
      <c r="T2525" s="144"/>
      <c r="U2525" s="129"/>
      <c r="V2525" s="129"/>
    </row>
    <row r="2526" spans="1:22" x14ac:dyDescent="0.2">
      <c r="A2526" s="144"/>
      <c r="B2526" s="145"/>
      <c r="C2526" s="129"/>
      <c r="D2526" s="129"/>
      <c r="E2526" s="129"/>
      <c r="F2526" s="129"/>
      <c r="G2526" s="144"/>
      <c r="H2526" s="129"/>
      <c r="I2526" s="144"/>
      <c r="J2526" s="144"/>
      <c r="K2526" s="144"/>
      <c r="L2526" s="146"/>
      <c r="M2526" s="142"/>
      <c r="N2526" s="144"/>
      <c r="O2526" s="142"/>
      <c r="P2526" s="142"/>
      <c r="Q2526" s="142"/>
      <c r="R2526" s="129"/>
      <c r="S2526" s="143"/>
      <c r="T2526" s="144"/>
      <c r="U2526" s="129"/>
      <c r="V2526" s="129"/>
    </row>
    <row r="2527" spans="1:22" x14ac:dyDescent="0.2">
      <c r="A2527" s="144"/>
      <c r="B2527" s="145"/>
      <c r="C2527" s="129"/>
      <c r="D2527" s="129"/>
      <c r="E2527" s="129"/>
      <c r="F2527" s="129"/>
      <c r="G2527" s="144"/>
      <c r="H2527" s="129"/>
      <c r="I2527" s="144"/>
      <c r="J2527" s="144"/>
      <c r="K2527" s="144"/>
      <c r="L2527" s="146"/>
      <c r="M2527" s="142"/>
      <c r="N2527" s="144"/>
      <c r="O2527" s="142"/>
      <c r="P2527" s="142"/>
      <c r="Q2527" s="142"/>
      <c r="R2527" s="129"/>
      <c r="S2527" s="143"/>
      <c r="T2527" s="144"/>
      <c r="U2527" s="129"/>
      <c r="V2527" s="129"/>
    </row>
    <row r="2528" spans="1:22" x14ac:dyDescent="0.2">
      <c r="A2528" s="144"/>
      <c r="B2528" s="145"/>
      <c r="C2528" s="129"/>
      <c r="D2528" s="129"/>
      <c r="E2528" s="129"/>
      <c r="F2528" s="129"/>
      <c r="G2528" s="144"/>
      <c r="H2528" s="129"/>
      <c r="I2528" s="144"/>
      <c r="J2528" s="144"/>
      <c r="K2528" s="144"/>
      <c r="L2528" s="146"/>
      <c r="M2528" s="142"/>
      <c r="N2528" s="144"/>
      <c r="O2528" s="142"/>
      <c r="P2528" s="142"/>
      <c r="Q2528" s="142"/>
      <c r="R2528" s="129"/>
      <c r="S2528" s="143"/>
      <c r="T2528" s="144"/>
      <c r="U2528" s="129"/>
      <c r="V2528" s="129"/>
    </row>
    <row r="2529" spans="1:22" x14ac:dyDescent="0.2">
      <c r="A2529" s="144"/>
      <c r="B2529" s="145"/>
      <c r="C2529" s="129"/>
      <c r="D2529" s="129"/>
      <c r="E2529" s="129"/>
      <c r="F2529" s="129"/>
      <c r="G2529" s="144"/>
      <c r="H2529" s="129"/>
      <c r="I2529" s="144"/>
      <c r="J2529" s="144"/>
      <c r="K2529" s="144"/>
      <c r="L2529" s="146"/>
      <c r="M2529" s="142"/>
      <c r="N2529" s="144"/>
      <c r="O2529" s="142"/>
      <c r="P2529" s="142"/>
      <c r="Q2529" s="142"/>
      <c r="R2529" s="129"/>
      <c r="S2529" s="143"/>
      <c r="T2529" s="144"/>
      <c r="U2529" s="129"/>
      <c r="V2529" s="129"/>
    </row>
    <row r="2530" spans="1:22" x14ac:dyDescent="0.2">
      <c r="A2530" s="144"/>
      <c r="B2530" s="145"/>
      <c r="C2530" s="129"/>
      <c r="D2530" s="129"/>
      <c r="E2530" s="129"/>
      <c r="F2530" s="129"/>
      <c r="G2530" s="144"/>
      <c r="H2530" s="129"/>
      <c r="I2530" s="144"/>
      <c r="J2530" s="144"/>
      <c r="K2530" s="144"/>
      <c r="L2530" s="146"/>
      <c r="M2530" s="142"/>
      <c r="N2530" s="144"/>
      <c r="O2530" s="142"/>
      <c r="P2530" s="142"/>
      <c r="Q2530" s="142"/>
      <c r="R2530" s="129"/>
      <c r="S2530" s="143"/>
      <c r="T2530" s="144"/>
      <c r="U2530" s="129"/>
      <c r="V2530" s="129"/>
    </row>
    <row r="2531" spans="1:22" x14ac:dyDescent="0.2">
      <c r="A2531" s="144"/>
      <c r="B2531" s="145"/>
      <c r="C2531" s="129"/>
      <c r="D2531" s="129"/>
      <c r="E2531" s="129"/>
      <c r="F2531" s="129"/>
      <c r="G2531" s="144"/>
      <c r="H2531" s="129"/>
      <c r="I2531" s="144"/>
      <c r="J2531" s="144"/>
      <c r="K2531" s="144"/>
      <c r="L2531" s="146"/>
      <c r="M2531" s="142"/>
      <c r="N2531" s="144"/>
      <c r="O2531" s="142"/>
      <c r="P2531" s="142"/>
      <c r="Q2531" s="142"/>
      <c r="R2531" s="129"/>
      <c r="S2531" s="143"/>
      <c r="T2531" s="144"/>
      <c r="U2531" s="129"/>
      <c r="V2531" s="129"/>
    </row>
    <row r="2532" spans="1:22" x14ac:dyDescent="0.2">
      <c r="A2532" s="144"/>
      <c r="B2532" s="145"/>
      <c r="C2532" s="129"/>
      <c r="D2532" s="129"/>
      <c r="E2532" s="129"/>
      <c r="F2532" s="129"/>
      <c r="G2532" s="144"/>
      <c r="H2532" s="129"/>
      <c r="I2532" s="144"/>
      <c r="J2532" s="144"/>
      <c r="K2532" s="144"/>
      <c r="L2532" s="146"/>
      <c r="M2532" s="142"/>
      <c r="N2532" s="144"/>
      <c r="O2532" s="142"/>
      <c r="P2532" s="142"/>
      <c r="Q2532" s="142"/>
      <c r="R2532" s="129"/>
      <c r="S2532" s="143"/>
      <c r="T2532" s="144"/>
      <c r="U2532" s="129"/>
      <c r="V2532" s="129"/>
    </row>
    <row r="2533" spans="1:22" x14ac:dyDescent="0.2">
      <c r="A2533" s="144"/>
      <c r="B2533" s="145"/>
      <c r="C2533" s="129"/>
      <c r="D2533" s="129"/>
      <c r="E2533" s="129"/>
      <c r="F2533" s="129"/>
      <c r="G2533" s="144"/>
      <c r="H2533" s="129"/>
      <c r="I2533" s="144"/>
      <c r="J2533" s="144"/>
      <c r="K2533" s="144"/>
      <c r="L2533" s="146"/>
      <c r="M2533" s="142"/>
      <c r="N2533" s="144"/>
      <c r="O2533" s="142"/>
      <c r="P2533" s="142"/>
      <c r="Q2533" s="142"/>
      <c r="R2533" s="129"/>
      <c r="S2533" s="143"/>
      <c r="T2533" s="144"/>
      <c r="U2533" s="129"/>
      <c r="V2533" s="129"/>
    </row>
    <row r="2534" spans="1:22" x14ac:dyDescent="0.2">
      <c r="A2534" s="144"/>
      <c r="B2534" s="145"/>
      <c r="C2534" s="129"/>
      <c r="D2534" s="129"/>
      <c r="E2534" s="129"/>
      <c r="F2534" s="129"/>
      <c r="G2534" s="144"/>
      <c r="H2534" s="129"/>
      <c r="I2534" s="144"/>
      <c r="J2534" s="144"/>
      <c r="K2534" s="144"/>
      <c r="L2534" s="146"/>
      <c r="M2534" s="142"/>
      <c r="N2534" s="144"/>
      <c r="O2534" s="142"/>
      <c r="P2534" s="142"/>
      <c r="Q2534" s="142"/>
      <c r="R2534" s="129"/>
      <c r="S2534" s="143"/>
      <c r="T2534" s="144"/>
      <c r="U2534" s="129"/>
      <c r="V2534" s="129"/>
    </row>
    <row r="2535" spans="1:22" x14ac:dyDescent="0.2">
      <c r="A2535" s="144"/>
      <c r="B2535" s="145"/>
      <c r="C2535" s="129"/>
      <c r="D2535" s="129"/>
      <c r="E2535" s="129"/>
      <c r="F2535" s="129"/>
      <c r="G2535" s="144"/>
      <c r="H2535" s="129"/>
      <c r="I2535" s="144"/>
      <c r="J2535" s="144"/>
      <c r="K2535" s="144"/>
      <c r="L2535" s="146"/>
      <c r="M2535" s="142"/>
      <c r="N2535" s="144"/>
      <c r="O2535" s="142"/>
      <c r="P2535" s="142"/>
      <c r="Q2535" s="142"/>
      <c r="R2535" s="129"/>
      <c r="S2535" s="143"/>
      <c r="T2535" s="144"/>
      <c r="U2535" s="129"/>
      <c r="V2535" s="129"/>
    </row>
    <row r="2536" spans="1:22" x14ac:dyDescent="0.2">
      <c r="A2536" s="144"/>
      <c r="B2536" s="145"/>
      <c r="C2536" s="129"/>
      <c r="D2536" s="129"/>
      <c r="E2536" s="129"/>
      <c r="F2536" s="129"/>
      <c r="G2536" s="144"/>
      <c r="H2536" s="129"/>
      <c r="I2536" s="144"/>
      <c r="J2536" s="144"/>
      <c r="K2536" s="144"/>
      <c r="L2536" s="146"/>
      <c r="M2536" s="142"/>
      <c r="N2536" s="144"/>
      <c r="O2536" s="142"/>
      <c r="P2536" s="142"/>
      <c r="Q2536" s="142"/>
      <c r="R2536" s="129"/>
      <c r="S2536" s="143"/>
      <c r="T2536" s="144"/>
      <c r="U2536" s="129"/>
      <c r="V2536" s="129"/>
    </row>
    <row r="2537" spans="1:22" x14ac:dyDescent="0.2">
      <c r="A2537" s="144"/>
      <c r="B2537" s="145"/>
      <c r="C2537" s="129"/>
      <c r="D2537" s="129"/>
      <c r="E2537" s="129"/>
      <c r="F2537" s="129"/>
      <c r="G2537" s="144"/>
      <c r="H2537" s="129"/>
      <c r="I2537" s="144"/>
      <c r="J2537" s="144"/>
      <c r="K2537" s="144"/>
      <c r="L2537" s="146"/>
      <c r="M2537" s="142"/>
      <c r="N2537" s="144"/>
      <c r="O2537" s="142"/>
      <c r="P2537" s="142"/>
      <c r="Q2537" s="142"/>
      <c r="R2537" s="129"/>
      <c r="S2537" s="143"/>
      <c r="T2537" s="144"/>
      <c r="U2537" s="129"/>
      <c r="V2537" s="129"/>
    </row>
    <row r="2538" spans="1:22" x14ac:dyDescent="0.2">
      <c r="A2538" s="144"/>
      <c r="B2538" s="145"/>
      <c r="C2538" s="129"/>
      <c r="D2538" s="129"/>
      <c r="E2538" s="129"/>
      <c r="F2538" s="129"/>
      <c r="G2538" s="144"/>
      <c r="H2538" s="129"/>
      <c r="I2538" s="144"/>
      <c r="J2538" s="144"/>
      <c r="K2538" s="144"/>
      <c r="L2538" s="146"/>
      <c r="M2538" s="142"/>
      <c r="N2538" s="144"/>
      <c r="O2538" s="142"/>
      <c r="P2538" s="142"/>
      <c r="Q2538" s="142"/>
      <c r="R2538" s="129"/>
      <c r="S2538" s="143"/>
      <c r="T2538" s="144"/>
      <c r="U2538" s="129"/>
      <c r="V2538" s="129"/>
    </row>
    <row r="2539" spans="1:22" x14ac:dyDescent="0.2">
      <c r="A2539" s="144"/>
      <c r="B2539" s="145"/>
      <c r="C2539" s="129"/>
      <c r="D2539" s="129"/>
      <c r="E2539" s="129"/>
      <c r="F2539" s="129"/>
      <c r="G2539" s="144"/>
      <c r="H2539" s="129"/>
      <c r="I2539" s="144"/>
      <c r="J2539" s="144"/>
      <c r="K2539" s="144"/>
      <c r="L2539" s="146"/>
      <c r="M2539" s="142"/>
      <c r="N2539" s="144"/>
      <c r="O2539" s="142"/>
      <c r="P2539" s="142"/>
      <c r="Q2539" s="142"/>
      <c r="R2539" s="129"/>
      <c r="S2539" s="143"/>
      <c r="T2539" s="144"/>
      <c r="U2539" s="129"/>
      <c r="V2539" s="129"/>
    </row>
    <row r="2540" spans="1:22" x14ac:dyDescent="0.2">
      <c r="A2540" s="144"/>
      <c r="B2540" s="145"/>
      <c r="C2540" s="129"/>
      <c r="D2540" s="129"/>
      <c r="E2540" s="129"/>
      <c r="F2540" s="129"/>
      <c r="G2540" s="144"/>
      <c r="H2540" s="129"/>
      <c r="I2540" s="144"/>
      <c r="J2540" s="144"/>
      <c r="K2540" s="144"/>
      <c r="L2540" s="146"/>
      <c r="M2540" s="142"/>
      <c r="N2540" s="144"/>
      <c r="O2540" s="142"/>
      <c r="P2540" s="142"/>
      <c r="Q2540" s="142"/>
      <c r="R2540" s="129"/>
      <c r="S2540" s="143"/>
      <c r="T2540" s="144"/>
      <c r="U2540" s="129"/>
      <c r="V2540" s="129"/>
    </row>
    <row r="2541" spans="1:22" x14ac:dyDescent="0.2">
      <c r="A2541" s="144"/>
      <c r="B2541" s="145"/>
      <c r="C2541" s="129"/>
      <c r="D2541" s="129"/>
      <c r="E2541" s="129"/>
      <c r="F2541" s="129"/>
      <c r="G2541" s="144"/>
      <c r="H2541" s="129"/>
      <c r="I2541" s="144"/>
      <c r="J2541" s="144"/>
      <c r="K2541" s="144"/>
      <c r="L2541" s="146"/>
      <c r="M2541" s="142"/>
      <c r="N2541" s="144"/>
      <c r="O2541" s="142"/>
      <c r="P2541" s="142"/>
      <c r="Q2541" s="142"/>
      <c r="R2541" s="129"/>
      <c r="S2541" s="143"/>
      <c r="T2541" s="144"/>
      <c r="U2541" s="129"/>
      <c r="V2541" s="129"/>
    </row>
    <row r="2542" spans="1:22" x14ac:dyDescent="0.2">
      <c r="A2542" s="144"/>
      <c r="B2542" s="145"/>
      <c r="C2542" s="129"/>
      <c r="D2542" s="129"/>
      <c r="E2542" s="129"/>
      <c r="F2542" s="129"/>
      <c r="G2542" s="144"/>
      <c r="H2542" s="129"/>
      <c r="I2542" s="144"/>
      <c r="J2542" s="144"/>
      <c r="K2542" s="144"/>
      <c r="L2542" s="146"/>
      <c r="M2542" s="142"/>
      <c r="N2542" s="144"/>
      <c r="O2542" s="142"/>
      <c r="P2542" s="142"/>
      <c r="Q2542" s="142"/>
      <c r="R2542" s="129"/>
      <c r="S2542" s="143"/>
      <c r="T2542" s="144"/>
      <c r="U2542" s="129"/>
      <c r="V2542" s="129"/>
    </row>
    <row r="2543" spans="1:22" x14ac:dyDescent="0.2">
      <c r="A2543" s="144"/>
      <c r="B2543" s="145"/>
      <c r="C2543" s="129"/>
      <c r="D2543" s="129"/>
      <c r="E2543" s="129"/>
      <c r="F2543" s="129"/>
      <c r="G2543" s="144"/>
      <c r="H2543" s="129"/>
      <c r="I2543" s="144"/>
      <c r="J2543" s="144"/>
      <c r="K2543" s="144"/>
      <c r="L2543" s="146"/>
      <c r="M2543" s="142"/>
      <c r="N2543" s="144"/>
      <c r="O2543" s="142"/>
      <c r="P2543" s="142"/>
      <c r="Q2543" s="142"/>
      <c r="R2543" s="129"/>
      <c r="S2543" s="143"/>
      <c r="T2543" s="144"/>
      <c r="U2543" s="129"/>
      <c r="V2543" s="129"/>
    </row>
    <row r="2544" spans="1:22" x14ac:dyDescent="0.2">
      <c r="A2544" s="144"/>
      <c r="B2544" s="145"/>
      <c r="C2544" s="129"/>
      <c r="D2544" s="129"/>
      <c r="E2544" s="129"/>
      <c r="F2544" s="129"/>
      <c r="G2544" s="144"/>
      <c r="H2544" s="129"/>
      <c r="I2544" s="144"/>
      <c r="J2544" s="144"/>
      <c r="K2544" s="144"/>
      <c r="L2544" s="146"/>
      <c r="M2544" s="142"/>
      <c r="N2544" s="144"/>
      <c r="O2544" s="142"/>
      <c r="P2544" s="142"/>
      <c r="Q2544" s="142"/>
      <c r="R2544" s="129"/>
      <c r="S2544" s="143"/>
      <c r="T2544" s="144"/>
      <c r="U2544" s="129"/>
      <c r="V2544" s="129"/>
    </row>
    <row r="2545" spans="1:22" x14ac:dyDescent="0.2">
      <c r="A2545" s="144"/>
      <c r="B2545" s="145"/>
      <c r="C2545" s="129"/>
      <c r="D2545" s="129"/>
      <c r="E2545" s="129"/>
      <c r="F2545" s="129"/>
      <c r="G2545" s="144"/>
      <c r="H2545" s="129"/>
      <c r="I2545" s="144"/>
      <c r="J2545" s="144"/>
      <c r="K2545" s="144"/>
      <c r="L2545" s="146"/>
      <c r="M2545" s="142"/>
      <c r="N2545" s="144"/>
      <c r="O2545" s="142"/>
      <c r="P2545" s="142"/>
      <c r="Q2545" s="142"/>
      <c r="R2545" s="129"/>
      <c r="S2545" s="143"/>
      <c r="T2545" s="144"/>
      <c r="U2545" s="129"/>
      <c r="V2545" s="129"/>
    </row>
    <row r="2546" spans="1:22" x14ac:dyDescent="0.2">
      <c r="A2546" s="144"/>
      <c r="B2546" s="145"/>
      <c r="C2546" s="129"/>
      <c r="D2546" s="129"/>
      <c r="E2546" s="129"/>
      <c r="F2546" s="129"/>
      <c r="G2546" s="144"/>
      <c r="H2546" s="129"/>
      <c r="I2546" s="144"/>
      <c r="J2546" s="144"/>
      <c r="K2546" s="144"/>
      <c r="L2546" s="146"/>
      <c r="M2546" s="142"/>
      <c r="N2546" s="144"/>
      <c r="O2546" s="142"/>
      <c r="P2546" s="142"/>
      <c r="Q2546" s="142"/>
      <c r="R2546" s="129"/>
      <c r="S2546" s="143"/>
      <c r="T2546" s="144"/>
      <c r="U2546" s="129"/>
      <c r="V2546" s="129"/>
    </row>
    <row r="2547" spans="1:22" x14ac:dyDescent="0.2">
      <c r="A2547" s="144"/>
      <c r="B2547" s="145"/>
      <c r="C2547" s="129"/>
      <c r="D2547" s="129"/>
      <c r="E2547" s="129"/>
      <c r="F2547" s="129"/>
      <c r="G2547" s="144"/>
      <c r="H2547" s="129"/>
      <c r="I2547" s="144"/>
      <c r="J2547" s="144"/>
      <c r="K2547" s="144"/>
      <c r="L2547" s="146"/>
      <c r="M2547" s="142"/>
      <c r="N2547" s="144"/>
      <c r="O2547" s="142"/>
      <c r="P2547" s="142"/>
      <c r="Q2547" s="142"/>
      <c r="R2547" s="129"/>
      <c r="S2547" s="143"/>
      <c r="T2547" s="144"/>
      <c r="U2547" s="129"/>
      <c r="V2547" s="129"/>
    </row>
    <row r="2548" spans="1:22" x14ac:dyDescent="0.2">
      <c r="A2548" s="144"/>
      <c r="B2548" s="145"/>
      <c r="C2548" s="129"/>
      <c r="D2548" s="129"/>
      <c r="E2548" s="129"/>
      <c r="F2548" s="129"/>
      <c r="G2548" s="144"/>
      <c r="H2548" s="129"/>
      <c r="I2548" s="144"/>
      <c r="J2548" s="144"/>
      <c r="K2548" s="144"/>
      <c r="L2548" s="146"/>
      <c r="M2548" s="142"/>
      <c r="N2548" s="144"/>
      <c r="O2548" s="142"/>
      <c r="P2548" s="142"/>
      <c r="Q2548" s="142"/>
      <c r="R2548" s="129"/>
      <c r="S2548" s="143"/>
      <c r="T2548" s="144"/>
      <c r="U2548" s="129"/>
      <c r="V2548" s="129"/>
    </row>
    <row r="2549" spans="1:22" x14ac:dyDescent="0.2">
      <c r="A2549" s="144"/>
      <c r="B2549" s="145"/>
      <c r="C2549" s="129"/>
      <c r="D2549" s="129"/>
      <c r="E2549" s="129"/>
      <c r="F2549" s="129"/>
      <c r="G2549" s="144"/>
      <c r="H2549" s="129"/>
      <c r="I2549" s="144"/>
      <c r="J2549" s="144"/>
      <c r="K2549" s="144"/>
      <c r="L2549" s="146"/>
      <c r="M2549" s="142"/>
      <c r="N2549" s="144"/>
      <c r="O2549" s="142"/>
      <c r="P2549" s="142"/>
      <c r="Q2549" s="142"/>
      <c r="R2549" s="129"/>
      <c r="S2549" s="143"/>
      <c r="T2549" s="144"/>
      <c r="U2549" s="129"/>
      <c r="V2549" s="129"/>
    </row>
    <row r="2550" spans="1:22" x14ac:dyDescent="0.2">
      <c r="A2550" s="144"/>
      <c r="B2550" s="145"/>
      <c r="C2550" s="129"/>
      <c r="D2550" s="129"/>
      <c r="E2550" s="129"/>
      <c r="F2550" s="129"/>
      <c r="G2550" s="144"/>
      <c r="H2550" s="129"/>
      <c r="I2550" s="144"/>
      <c r="J2550" s="144"/>
      <c r="K2550" s="144"/>
      <c r="L2550" s="146"/>
      <c r="M2550" s="142"/>
      <c r="N2550" s="144"/>
      <c r="O2550" s="142"/>
      <c r="P2550" s="142"/>
      <c r="Q2550" s="142"/>
      <c r="R2550" s="129"/>
      <c r="S2550" s="143"/>
      <c r="T2550" s="144"/>
      <c r="U2550" s="129"/>
      <c r="V2550" s="129"/>
    </row>
    <row r="2551" spans="1:22" x14ac:dyDescent="0.2">
      <c r="A2551" s="144"/>
      <c r="B2551" s="145"/>
      <c r="C2551" s="129"/>
      <c r="D2551" s="129"/>
      <c r="E2551" s="129"/>
      <c r="F2551" s="129"/>
      <c r="G2551" s="144"/>
      <c r="H2551" s="129"/>
      <c r="I2551" s="144"/>
      <c r="J2551" s="144"/>
      <c r="K2551" s="144"/>
      <c r="L2551" s="146"/>
      <c r="M2551" s="142"/>
      <c r="N2551" s="144"/>
      <c r="O2551" s="142"/>
      <c r="P2551" s="142"/>
      <c r="Q2551" s="142"/>
      <c r="R2551" s="129"/>
      <c r="S2551" s="143"/>
      <c r="T2551" s="144"/>
      <c r="U2551" s="129"/>
      <c r="V2551" s="129"/>
    </row>
    <row r="2552" spans="1:22" x14ac:dyDescent="0.2">
      <c r="A2552" s="144"/>
      <c r="B2552" s="145"/>
      <c r="C2552" s="129"/>
      <c r="D2552" s="129"/>
      <c r="E2552" s="129"/>
      <c r="F2552" s="129"/>
      <c r="G2552" s="144"/>
      <c r="H2552" s="129"/>
      <c r="I2552" s="144"/>
      <c r="J2552" s="144"/>
      <c r="K2552" s="144"/>
      <c r="L2552" s="146"/>
      <c r="M2552" s="142"/>
      <c r="N2552" s="144"/>
      <c r="O2552" s="142"/>
      <c r="P2552" s="142"/>
      <c r="Q2552" s="142"/>
      <c r="R2552" s="129"/>
      <c r="S2552" s="143"/>
      <c r="T2552" s="144"/>
      <c r="U2552" s="129"/>
      <c r="V2552" s="129"/>
    </row>
    <row r="2553" spans="1:22" x14ac:dyDescent="0.2">
      <c r="A2553" s="144"/>
      <c r="B2553" s="145"/>
      <c r="C2553" s="129"/>
      <c r="D2553" s="129"/>
      <c r="E2553" s="129"/>
      <c r="F2553" s="129"/>
      <c r="G2553" s="144"/>
      <c r="H2553" s="129"/>
      <c r="I2553" s="144"/>
      <c r="J2553" s="144"/>
      <c r="K2553" s="144"/>
      <c r="L2553" s="146"/>
      <c r="M2553" s="142"/>
      <c r="N2553" s="144"/>
      <c r="O2553" s="142"/>
      <c r="P2553" s="142"/>
      <c r="Q2553" s="142"/>
      <c r="R2553" s="129"/>
      <c r="S2553" s="143"/>
      <c r="T2553" s="144"/>
      <c r="U2553" s="129"/>
      <c r="V2553" s="129"/>
    </row>
    <row r="2554" spans="1:22" x14ac:dyDescent="0.2">
      <c r="A2554" s="144"/>
      <c r="B2554" s="145"/>
      <c r="C2554" s="129"/>
      <c r="D2554" s="129"/>
      <c r="E2554" s="129"/>
      <c r="F2554" s="129"/>
      <c r="G2554" s="144"/>
      <c r="H2554" s="129"/>
      <c r="I2554" s="144"/>
      <c r="J2554" s="144"/>
      <c r="K2554" s="144"/>
      <c r="L2554" s="146"/>
      <c r="M2554" s="142"/>
      <c r="N2554" s="144"/>
      <c r="O2554" s="142"/>
      <c r="P2554" s="142"/>
      <c r="Q2554" s="142"/>
      <c r="R2554" s="129"/>
      <c r="S2554" s="143"/>
      <c r="T2554" s="144"/>
      <c r="U2554" s="129"/>
      <c r="V2554" s="129"/>
    </row>
    <row r="2555" spans="1:22" x14ac:dyDescent="0.2">
      <c r="A2555" s="144"/>
      <c r="B2555" s="145"/>
      <c r="C2555" s="129"/>
      <c r="D2555" s="129"/>
      <c r="E2555" s="129"/>
      <c r="F2555" s="129"/>
      <c r="G2555" s="144"/>
      <c r="H2555" s="129"/>
      <c r="I2555" s="144"/>
      <c r="J2555" s="144"/>
      <c r="K2555" s="144"/>
      <c r="L2555" s="146"/>
      <c r="M2555" s="142"/>
      <c r="N2555" s="144"/>
      <c r="O2555" s="142"/>
      <c r="P2555" s="142"/>
      <c r="Q2555" s="142"/>
      <c r="R2555" s="129"/>
      <c r="S2555" s="143"/>
      <c r="T2555" s="144"/>
      <c r="U2555" s="129"/>
      <c r="V2555" s="129"/>
    </row>
    <row r="2556" spans="1:22" x14ac:dyDescent="0.2">
      <c r="A2556" s="144"/>
      <c r="B2556" s="145"/>
      <c r="C2556" s="129"/>
      <c r="D2556" s="129"/>
      <c r="E2556" s="129"/>
      <c r="F2556" s="129"/>
      <c r="G2556" s="144"/>
      <c r="H2556" s="129"/>
      <c r="I2556" s="144"/>
      <c r="J2556" s="144"/>
      <c r="K2556" s="144"/>
      <c r="L2556" s="146"/>
      <c r="M2556" s="142"/>
      <c r="N2556" s="144"/>
      <c r="O2556" s="142"/>
      <c r="P2556" s="142"/>
      <c r="Q2556" s="142"/>
      <c r="R2556" s="129"/>
      <c r="S2556" s="143"/>
      <c r="T2556" s="144"/>
      <c r="U2556" s="129"/>
      <c r="V2556" s="129"/>
    </row>
    <row r="2557" spans="1:22" x14ac:dyDescent="0.2">
      <c r="A2557" s="144"/>
      <c r="B2557" s="145"/>
      <c r="C2557" s="129"/>
      <c r="D2557" s="129"/>
      <c r="E2557" s="129"/>
      <c r="F2557" s="129"/>
      <c r="G2557" s="144"/>
      <c r="H2557" s="129"/>
      <c r="I2557" s="144"/>
      <c r="J2557" s="144"/>
      <c r="K2557" s="144"/>
      <c r="L2557" s="146"/>
      <c r="M2557" s="142"/>
      <c r="N2557" s="144"/>
      <c r="O2557" s="142"/>
      <c r="P2557" s="142"/>
      <c r="Q2557" s="142"/>
      <c r="R2557" s="129"/>
      <c r="S2557" s="143"/>
      <c r="T2557" s="144"/>
      <c r="U2557" s="129"/>
      <c r="V2557" s="129"/>
    </row>
    <row r="2558" spans="1:22" x14ac:dyDescent="0.2">
      <c r="A2558" s="144"/>
      <c r="B2558" s="145"/>
      <c r="C2558" s="129"/>
      <c r="D2558" s="129"/>
      <c r="E2558" s="129"/>
      <c r="F2558" s="129"/>
      <c r="G2558" s="144"/>
      <c r="H2558" s="129"/>
      <c r="I2558" s="144"/>
      <c r="J2558" s="144"/>
      <c r="K2558" s="144"/>
      <c r="L2558" s="146"/>
      <c r="M2558" s="142"/>
      <c r="N2558" s="144"/>
      <c r="O2558" s="142"/>
      <c r="P2558" s="142"/>
      <c r="Q2558" s="142"/>
      <c r="R2558" s="129"/>
      <c r="S2558" s="143"/>
      <c r="T2558" s="144"/>
      <c r="U2558" s="129"/>
      <c r="V2558" s="129"/>
    </row>
    <row r="2559" spans="1:22" x14ac:dyDescent="0.2">
      <c r="A2559" s="144"/>
      <c r="B2559" s="145"/>
      <c r="C2559" s="129"/>
      <c r="D2559" s="129"/>
      <c r="E2559" s="129"/>
      <c r="F2559" s="129"/>
      <c r="G2559" s="144"/>
      <c r="H2559" s="129"/>
      <c r="I2559" s="144"/>
      <c r="J2559" s="144"/>
      <c r="K2559" s="144"/>
      <c r="L2559" s="146"/>
      <c r="M2559" s="142"/>
      <c r="N2559" s="144"/>
      <c r="O2559" s="142"/>
      <c r="P2559" s="142"/>
      <c r="Q2559" s="142"/>
      <c r="R2559" s="129"/>
      <c r="S2559" s="143"/>
      <c r="T2559" s="144"/>
      <c r="U2559" s="129"/>
      <c r="V2559" s="129"/>
    </row>
    <row r="2560" spans="1:22" x14ac:dyDescent="0.2">
      <c r="A2560" s="144"/>
      <c r="B2560" s="145"/>
      <c r="C2560" s="129"/>
      <c r="D2560" s="129"/>
      <c r="E2560" s="129"/>
      <c r="F2560" s="129"/>
      <c r="G2560" s="144"/>
      <c r="H2560" s="129"/>
      <c r="I2560" s="144"/>
      <c r="J2560" s="144"/>
      <c r="K2560" s="144"/>
      <c r="L2560" s="146"/>
      <c r="M2560" s="142"/>
      <c r="N2560" s="144"/>
      <c r="O2560" s="142"/>
      <c r="P2560" s="142"/>
      <c r="Q2560" s="142"/>
      <c r="R2560" s="129"/>
      <c r="S2560" s="143"/>
      <c r="T2560" s="144"/>
      <c r="U2560" s="129"/>
      <c r="V2560" s="129"/>
    </row>
    <row r="2561" spans="1:22" x14ac:dyDescent="0.2">
      <c r="A2561" s="144"/>
      <c r="B2561" s="145"/>
      <c r="C2561" s="129"/>
      <c r="D2561" s="129"/>
      <c r="E2561" s="129"/>
      <c r="F2561" s="129"/>
      <c r="G2561" s="144"/>
      <c r="H2561" s="129"/>
      <c r="I2561" s="144"/>
      <c r="J2561" s="144"/>
      <c r="K2561" s="144"/>
      <c r="L2561" s="146"/>
      <c r="M2561" s="142"/>
      <c r="N2561" s="144"/>
      <c r="O2561" s="142"/>
      <c r="P2561" s="142"/>
      <c r="Q2561" s="142"/>
      <c r="R2561" s="129"/>
      <c r="S2561" s="143"/>
      <c r="T2561" s="144"/>
      <c r="U2561" s="129"/>
      <c r="V2561" s="129"/>
    </row>
    <row r="2562" spans="1:22" x14ac:dyDescent="0.2">
      <c r="A2562" s="144"/>
      <c r="B2562" s="145"/>
      <c r="C2562" s="129"/>
      <c r="D2562" s="129"/>
      <c r="E2562" s="129"/>
      <c r="F2562" s="129"/>
      <c r="G2562" s="144"/>
      <c r="H2562" s="129"/>
      <c r="I2562" s="144"/>
      <c r="J2562" s="144"/>
      <c r="K2562" s="144"/>
      <c r="L2562" s="146"/>
      <c r="M2562" s="142"/>
      <c r="N2562" s="144"/>
      <c r="O2562" s="142"/>
      <c r="P2562" s="142"/>
      <c r="Q2562" s="142"/>
      <c r="R2562" s="129"/>
      <c r="S2562" s="143"/>
      <c r="T2562" s="144"/>
      <c r="U2562" s="129"/>
      <c r="V2562" s="129"/>
    </row>
    <row r="2563" spans="1:22" x14ac:dyDescent="0.2">
      <c r="A2563" s="144"/>
      <c r="B2563" s="145"/>
      <c r="C2563" s="129"/>
      <c r="D2563" s="129"/>
      <c r="E2563" s="129"/>
      <c r="F2563" s="129"/>
      <c r="G2563" s="144"/>
      <c r="H2563" s="129"/>
      <c r="I2563" s="144"/>
      <c r="J2563" s="144"/>
      <c r="K2563" s="144"/>
      <c r="L2563" s="146"/>
      <c r="M2563" s="142"/>
      <c r="N2563" s="144"/>
      <c r="O2563" s="142"/>
      <c r="P2563" s="142"/>
      <c r="Q2563" s="142"/>
      <c r="R2563" s="129"/>
      <c r="S2563" s="143"/>
      <c r="T2563" s="144"/>
      <c r="U2563" s="129"/>
      <c r="V2563" s="129"/>
    </row>
    <row r="2564" spans="1:22" x14ac:dyDescent="0.2">
      <c r="A2564" s="144"/>
      <c r="B2564" s="145"/>
      <c r="C2564" s="129"/>
      <c r="D2564" s="129"/>
      <c r="E2564" s="129"/>
      <c r="F2564" s="129"/>
      <c r="G2564" s="144"/>
      <c r="H2564" s="129"/>
      <c r="I2564" s="144"/>
      <c r="J2564" s="144"/>
      <c r="K2564" s="144"/>
      <c r="L2564" s="146"/>
      <c r="M2564" s="142"/>
      <c r="N2564" s="144"/>
      <c r="O2564" s="142"/>
      <c r="P2564" s="142"/>
      <c r="Q2564" s="142"/>
      <c r="R2564" s="129"/>
      <c r="S2564" s="143"/>
      <c r="T2564" s="144"/>
      <c r="U2564" s="129"/>
      <c r="V2564" s="129"/>
    </row>
    <row r="2565" spans="1:22" x14ac:dyDescent="0.2">
      <c r="A2565" s="144"/>
      <c r="B2565" s="145"/>
      <c r="C2565" s="129"/>
      <c r="D2565" s="129"/>
      <c r="E2565" s="129"/>
      <c r="F2565" s="129"/>
      <c r="G2565" s="144"/>
      <c r="H2565" s="129"/>
      <c r="I2565" s="144"/>
      <c r="J2565" s="144"/>
      <c r="K2565" s="144"/>
      <c r="L2565" s="146"/>
      <c r="M2565" s="142"/>
      <c r="N2565" s="144"/>
      <c r="O2565" s="142"/>
      <c r="P2565" s="142"/>
      <c r="Q2565" s="142"/>
      <c r="R2565" s="129"/>
      <c r="S2565" s="143"/>
      <c r="T2565" s="144"/>
      <c r="U2565" s="129"/>
      <c r="V2565" s="129"/>
    </row>
    <row r="2566" spans="1:22" x14ac:dyDescent="0.2">
      <c r="A2566" s="144"/>
      <c r="B2566" s="145"/>
      <c r="C2566" s="129"/>
      <c r="D2566" s="129"/>
      <c r="E2566" s="129"/>
      <c r="F2566" s="129"/>
      <c r="G2566" s="144"/>
      <c r="H2566" s="129"/>
      <c r="I2566" s="144"/>
      <c r="J2566" s="144"/>
      <c r="K2566" s="144"/>
      <c r="L2566" s="146"/>
      <c r="M2566" s="142"/>
      <c r="N2566" s="144"/>
      <c r="O2566" s="142"/>
      <c r="P2566" s="142"/>
      <c r="Q2566" s="142"/>
      <c r="R2566" s="129"/>
      <c r="S2566" s="143"/>
      <c r="T2566" s="144"/>
      <c r="U2566" s="129"/>
      <c r="V2566" s="129"/>
    </row>
    <row r="2567" spans="1:22" x14ac:dyDescent="0.2">
      <c r="A2567" s="144"/>
      <c r="B2567" s="145"/>
      <c r="C2567" s="129"/>
      <c r="D2567" s="129"/>
      <c r="E2567" s="129"/>
      <c r="F2567" s="129"/>
      <c r="G2567" s="144"/>
      <c r="H2567" s="129"/>
      <c r="I2567" s="144"/>
      <c r="J2567" s="144"/>
      <c r="K2567" s="144"/>
      <c r="L2567" s="146"/>
      <c r="M2567" s="142"/>
      <c r="N2567" s="144"/>
      <c r="O2567" s="142"/>
      <c r="P2567" s="142"/>
      <c r="Q2567" s="142"/>
      <c r="R2567" s="129"/>
      <c r="S2567" s="143"/>
      <c r="T2567" s="144"/>
      <c r="U2567" s="129"/>
      <c r="V2567" s="129"/>
    </row>
    <row r="2568" spans="1:22" x14ac:dyDescent="0.2">
      <c r="A2568" s="144"/>
      <c r="B2568" s="145"/>
      <c r="C2568" s="129"/>
      <c r="D2568" s="129"/>
      <c r="E2568" s="129"/>
      <c r="F2568" s="129"/>
      <c r="G2568" s="144"/>
      <c r="H2568" s="129"/>
      <c r="I2568" s="144"/>
      <c r="J2568" s="144"/>
      <c r="K2568" s="144"/>
      <c r="L2568" s="146"/>
      <c r="M2568" s="142"/>
      <c r="N2568" s="144"/>
      <c r="O2568" s="142"/>
      <c r="P2568" s="142"/>
      <c r="Q2568" s="142"/>
      <c r="R2568" s="129"/>
      <c r="S2568" s="143"/>
      <c r="T2568" s="144"/>
      <c r="U2568" s="129"/>
      <c r="V2568" s="129"/>
    </row>
    <row r="2569" spans="1:22" x14ac:dyDescent="0.2">
      <c r="A2569" s="144"/>
      <c r="B2569" s="145"/>
      <c r="C2569" s="129"/>
      <c r="D2569" s="129"/>
      <c r="E2569" s="129"/>
      <c r="F2569" s="129"/>
      <c r="G2569" s="144"/>
      <c r="H2569" s="129"/>
      <c r="I2569" s="144"/>
      <c r="J2569" s="144"/>
      <c r="K2569" s="144"/>
      <c r="L2569" s="146"/>
      <c r="M2569" s="142"/>
      <c r="N2569" s="144"/>
      <c r="O2569" s="142"/>
      <c r="P2569" s="142"/>
      <c r="Q2569" s="142"/>
      <c r="R2569" s="129"/>
      <c r="S2569" s="143"/>
      <c r="T2569" s="144"/>
      <c r="U2569" s="129"/>
      <c r="V2569" s="129"/>
    </row>
    <row r="2570" spans="1:22" x14ac:dyDescent="0.2">
      <c r="A2570" s="144"/>
      <c r="B2570" s="145"/>
      <c r="C2570" s="129"/>
      <c r="D2570" s="129"/>
      <c r="E2570" s="129"/>
      <c r="F2570" s="129"/>
      <c r="G2570" s="144"/>
      <c r="H2570" s="129"/>
      <c r="I2570" s="144"/>
      <c r="J2570" s="144"/>
      <c r="K2570" s="144"/>
      <c r="L2570" s="146"/>
      <c r="M2570" s="142"/>
      <c r="N2570" s="144"/>
      <c r="O2570" s="142"/>
      <c r="P2570" s="142"/>
      <c r="Q2570" s="142"/>
      <c r="R2570" s="129"/>
      <c r="S2570" s="143"/>
      <c r="T2570" s="144"/>
      <c r="U2570" s="129"/>
      <c r="V2570" s="129"/>
    </row>
    <row r="2571" spans="1:22" x14ac:dyDescent="0.2">
      <c r="A2571" s="144"/>
      <c r="B2571" s="145"/>
      <c r="C2571" s="129"/>
      <c r="D2571" s="129"/>
      <c r="E2571" s="129"/>
      <c r="F2571" s="129"/>
      <c r="G2571" s="144"/>
      <c r="H2571" s="129"/>
      <c r="I2571" s="144"/>
      <c r="J2571" s="144"/>
      <c r="K2571" s="144"/>
      <c r="L2571" s="146"/>
      <c r="M2571" s="142"/>
      <c r="N2571" s="144"/>
      <c r="O2571" s="142"/>
      <c r="P2571" s="142"/>
      <c r="Q2571" s="142"/>
      <c r="R2571" s="129"/>
      <c r="S2571" s="143"/>
      <c r="T2571" s="144"/>
      <c r="U2571" s="129"/>
      <c r="V2571" s="129"/>
    </row>
    <row r="2572" spans="1:22" x14ac:dyDescent="0.2">
      <c r="A2572" s="144"/>
      <c r="B2572" s="145"/>
      <c r="C2572" s="129"/>
      <c r="D2572" s="129"/>
      <c r="E2572" s="129"/>
      <c r="F2572" s="129"/>
      <c r="G2572" s="144"/>
      <c r="H2572" s="129"/>
      <c r="I2572" s="144"/>
      <c r="J2572" s="144"/>
      <c r="K2572" s="144"/>
      <c r="L2572" s="146"/>
      <c r="M2572" s="142"/>
      <c r="N2572" s="144"/>
      <c r="O2572" s="142"/>
      <c r="P2572" s="142"/>
      <c r="Q2572" s="142"/>
      <c r="R2572" s="129"/>
      <c r="S2572" s="143"/>
      <c r="T2572" s="144"/>
      <c r="U2572" s="129"/>
      <c r="V2572" s="129"/>
    </row>
    <row r="2573" spans="1:22" x14ac:dyDescent="0.2">
      <c r="A2573" s="144"/>
      <c r="B2573" s="145"/>
      <c r="C2573" s="129"/>
      <c r="D2573" s="129"/>
      <c r="E2573" s="129"/>
      <c r="F2573" s="129"/>
      <c r="G2573" s="144"/>
      <c r="H2573" s="129"/>
      <c r="I2573" s="144"/>
      <c r="J2573" s="144"/>
      <c r="K2573" s="144"/>
      <c r="L2573" s="146"/>
      <c r="M2573" s="142"/>
      <c r="N2573" s="144"/>
      <c r="O2573" s="142"/>
      <c r="P2573" s="142"/>
      <c r="Q2573" s="142"/>
      <c r="R2573" s="129"/>
      <c r="S2573" s="143"/>
      <c r="T2573" s="144"/>
      <c r="U2573" s="129"/>
      <c r="V2573" s="129"/>
    </row>
    <row r="2574" spans="1:22" x14ac:dyDescent="0.2">
      <c r="A2574" s="144"/>
      <c r="B2574" s="145"/>
      <c r="C2574" s="129"/>
      <c r="D2574" s="129"/>
      <c r="E2574" s="129"/>
      <c r="F2574" s="129"/>
      <c r="G2574" s="144"/>
      <c r="H2574" s="129"/>
      <c r="I2574" s="144"/>
      <c r="J2574" s="144"/>
      <c r="K2574" s="144"/>
      <c r="L2574" s="146"/>
      <c r="M2574" s="142"/>
      <c r="N2574" s="144"/>
      <c r="O2574" s="142"/>
      <c r="P2574" s="142"/>
      <c r="Q2574" s="142"/>
      <c r="R2574" s="129"/>
      <c r="S2574" s="143"/>
      <c r="T2574" s="144"/>
      <c r="U2574" s="129"/>
      <c r="V2574" s="129"/>
    </row>
    <row r="2575" spans="1:22" x14ac:dyDescent="0.2">
      <c r="A2575" s="144"/>
      <c r="B2575" s="145"/>
      <c r="C2575" s="129"/>
      <c r="D2575" s="129"/>
      <c r="E2575" s="129"/>
      <c r="F2575" s="129"/>
      <c r="G2575" s="144"/>
      <c r="H2575" s="129"/>
      <c r="I2575" s="144"/>
      <c r="J2575" s="144"/>
      <c r="K2575" s="144"/>
      <c r="L2575" s="146"/>
      <c r="M2575" s="142"/>
      <c r="N2575" s="144"/>
      <c r="O2575" s="142"/>
      <c r="P2575" s="142"/>
      <c r="Q2575" s="142"/>
      <c r="R2575" s="129"/>
      <c r="S2575" s="143"/>
      <c r="T2575" s="144"/>
      <c r="U2575" s="129"/>
      <c r="V2575" s="129"/>
    </row>
    <row r="2576" spans="1:22" x14ac:dyDescent="0.2">
      <c r="A2576" s="144"/>
      <c r="B2576" s="145"/>
      <c r="C2576" s="129"/>
      <c r="D2576" s="129"/>
      <c r="E2576" s="129"/>
      <c r="F2576" s="129"/>
      <c r="G2576" s="144"/>
      <c r="H2576" s="129"/>
      <c r="I2576" s="144"/>
      <c r="J2576" s="144"/>
      <c r="K2576" s="144"/>
      <c r="L2576" s="146"/>
      <c r="M2576" s="142"/>
      <c r="N2576" s="144"/>
      <c r="O2576" s="142"/>
      <c r="P2576" s="142"/>
      <c r="Q2576" s="142"/>
      <c r="R2576" s="129"/>
      <c r="S2576" s="143"/>
      <c r="T2576" s="144"/>
      <c r="U2576" s="129"/>
      <c r="V2576" s="129"/>
    </row>
    <row r="2577" spans="1:22" x14ac:dyDescent="0.2">
      <c r="A2577" s="144"/>
      <c r="B2577" s="145"/>
      <c r="C2577" s="129"/>
      <c r="D2577" s="129"/>
      <c r="E2577" s="129"/>
      <c r="F2577" s="129"/>
      <c r="G2577" s="144"/>
      <c r="H2577" s="129"/>
      <c r="I2577" s="144"/>
      <c r="J2577" s="144"/>
      <c r="K2577" s="144"/>
      <c r="L2577" s="146"/>
      <c r="M2577" s="142"/>
      <c r="N2577" s="144"/>
      <c r="O2577" s="142"/>
      <c r="P2577" s="142"/>
      <c r="Q2577" s="142"/>
      <c r="R2577" s="129"/>
      <c r="S2577" s="143"/>
      <c r="T2577" s="144"/>
      <c r="U2577" s="129"/>
      <c r="V2577" s="129"/>
    </row>
    <row r="2578" spans="1:22" x14ac:dyDescent="0.2">
      <c r="A2578" s="144"/>
      <c r="B2578" s="145"/>
      <c r="C2578" s="129"/>
      <c r="D2578" s="129"/>
      <c r="E2578" s="129"/>
      <c r="F2578" s="129"/>
      <c r="G2578" s="144"/>
      <c r="H2578" s="129"/>
      <c r="I2578" s="144"/>
      <c r="J2578" s="144"/>
      <c r="K2578" s="144"/>
      <c r="L2578" s="146"/>
      <c r="M2578" s="142"/>
      <c r="N2578" s="144"/>
      <c r="O2578" s="142"/>
      <c r="P2578" s="142"/>
      <c r="Q2578" s="142"/>
      <c r="R2578" s="129"/>
      <c r="S2578" s="143"/>
      <c r="T2578" s="144"/>
      <c r="U2578" s="129"/>
      <c r="V2578" s="129"/>
    </row>
    <row r="2579" spans="1:22" x14ac:dyDescent="0.2">
      <c r="A2579" s="144"/>
      <c r="B2579" s="145"/>
      <c r="C2579" s="129"/>
      <c r="D2579" s="129"/>
      <c r="E2579" s="129"/>
      <c r="F2579" s="129"/>
      <c r="G2579" s="144"/>
      <c r="H2579" s="129"/>
      <c r="I2579" s="144"/>
      <c r="J2579" s="144"/>
      <c r="K2579" s="144"/>
      <c r="L2579" s="146"/>
      <c r="M2579" s="142"/>
      <c r="N2579" s="144"/>
      <c r="O2579" s="142"/>
      <c r="P2579" s="142"/>
      <c r="Q2579" s="142"/>
      <c r="R2579" s="129"/>
      <c r="S2579" s="143"/>
      <c r="T2579" s="144"/>
      <c r="U2579" s="129"/>
      <c r="V2579" s="129"/>
    </row>
    <row r="2580" spans="1:22" x14ac:dyDescent="0.2">
      <c r="A2580" s="144"/>
      <c r="B2580" s="145"/>
      <c r="C2580" s="129"/>
      <c r="D2580" s="129"/>
      <c r="E2580" s="129"/>
      <c r="F2580" s="129"/>
      <c r="G2580" s="144"/>
      <c r="H2580" s="129"/>
      <c r="I2580" s="144"/>
      <c r="J2580" s="144"/>
      <c r="K2580" s="144"/>
      <c r="L2580" s="146"/>
      <c r="M2580" s="142"/>
      <c r="N2580" s="144"/>
      <c r="O2580" s="142"/>
      <c r="P2580" s="142"/>
      <c r="Q2580" s="142"/>
      <c r="R2580" s="129"/>
      <c r="S2580" s="143"/>
      <c r="T2580" s="144"/>
      <c r="U2580" s="129"/>
      <c r="V2580" s="129"/>
    </row>
    <row r="2581" spans="1:22" x14ac:dyDescent="0.2">
      <c r="A2581" s="144"/>
      <c r="B2581" s="145"/>
      <c r="C2581" s="129"/>
      <c r="D2581" s="129"/>
      <c r="E2581" s="129"/>
      <c r="F2581" s="129"/>
      <c r="G2581" s="144"/>
      <c r="H2581" s="129"/>
      <c r="I2581" s="144"/>
      <c r="J2581" s="144"/>
      <c r="K2581" s="144"/>
      <c r="L2581" s="146"/>
      <c r="M2581" s="142"/>
      <c r="N2581" s="144"/>
      <c r="O2581" s="142"/>
      <c r="P2581" s="142"/>
      <c r="Q2581" s="142"/>
      <c r="R2581" s="129"/>
      <c r="S2581" s="143"/>
      <c r="T2581" s="144"/>
      <c r="U2581" s="129"/>
      <c r="V2581" s="129"/>
    </row>
    <row r="2582" spans="1:22" x14ac:dyDescent="0.2">
      <c r="A2582" s="144"/>
      <c r="B2582" s="145"/>
      <c r="C2582" s="129"/>
      <c r="D2582" s="129"/>
      <c r="E2582" s="129"/>
      <c r="F2582" s="129"/>
      <c r="G2582" s="144"/>
      <c r="H2582" s="129"/>
      <c r="I2582" s="144"/>
      <c r="J2582" s="144"/>
      <c r="K2582" s="144"/>
      <c r="L2582" s="146"/>
      <c r="M2582" s="142"/>
      <c r="N2582" s="144"/>
      <c r="O2582" s="142"/>
      <c r="P2582" s="142"/>
      <c r="Q2582" s="142"/>
      <c r="R2582" s="129"/>
      <c r="S2582" s="143"/>
      <c r="T2582" s="144"/>
      <c r="U2582" s="129"/>
      <c r="V2582" s="129"/>
    </row>
    <row r="2583" spans="1:22" x14ac:dyDescent="0.2">
      <c r="A2583" s="144"/>
      <c r="B2583" s="145"/>
      <c r="C2583" s="129"/>
      <c r="D2583" s="129"/>
      <c r="E2583" s="129"/>
      <c r="F2583" s="129"/>
      <c r="G2583" s="144"/>
      <c r="H2583" s="129"/>
      <c r="I2583" s="144"/>
      <c r="J2583" s="144"/>
      <c r="K2583" s="144"/>
      <c r="L2583" s="146"/>
      <c r="M2583" s="142"/>
      <c r="N2583" s="144"/>
      <c r="O2583" s="142"/>
      <c r="P2583" s="142"/>
      <c r="Q2583" s="142"/>
      <c r="R2583" s="129"/>
      <c r="S2583" s="143"/>
      <c r="T2583" s="144"/>
      <c r="U2583" s="129"/>
      <c r="V2583" s="129"/>
    </row>
    <row r="2584" spans="1:22" x14ac:dyDescent="0.2">
      <c r="A2584" s="144"/>
      <c r="B2584" s="145"/>
      <c r="C2584" s="129"/>
      <c r="D2584" s="129"/>
      <c r="E2584" s="129"/>
      <c r="F2584" s="129"/>
      <c r="G2584" s="144"/>
      <c r="H2584" s="129"/>
      <c r="I2584" s="144"/>
      <c r="J2584" s="144"/>
      <c r="K2584" s="144"/>
      <c r="L2584" s="146"/>
      <c r="M2584" s="142"/>
      <c r="N2584" s="144"/>
      <c r="O2584" s="142"/>
      <c r="P2584" s="142"/>
      <c r="Q2584" s="142"/>
      <c r="R2584" s="129"/>
      <c r="S2584" s="143"/>
      <c r="T2584" s="144"/>
      <c r="U2584" s="129"/>
      <c r="V2584" s="129"/>
    </row>
    <row r="2585" spans="1:22" x14ac:dyDescent="0.2">
      <c r="A2585" s="144"/>
      <c r="B2585" s="145"/>
      <c r="C2585" s="129"/>
      <c r="D2585" s="129"/>
      <c r="E2585" s="129"/>
      <c r="F2585" s="129"/>
      <c r="G2585" s="144"/>
      <c r="H2585" s="129"/>
      <c r="I2585" s="144"/>
      <c r="J2585" s="144"/>
      <c r="K2585" s="144"/>
      <c r="L2585" s="146"/>
      <c r="M2585" s="142"/>
      <c r="N2585" s="144"/>
      <c r="O2585" s="142"/>
      <c r="P2585" s="142"/>
      <c r="Q2585" s="142"/>
      <c r="R2585" s="129"/>
      <c r="S2585" s="143"/>
      <c r="T2585" s="144"/>
      <c r="U2585" s="129"/>
      <c r="V2585" s="129"/>
    </row>
    <row r="2586" spans="1:22" x14ac:dyDescent="0.2">
      <c r="A2586" s="144"/>
      <c r="B2586" s="145"/>
      <c r="C2586" s="129"/>
      <c r="D2586" s="129"/>
      <c r="E2586" s="129"/>
      <c r="F2586" s="129"/>
      <c r="G2586" s="144"/>
      <c r="H2586" s="129"/>
      <c r="I2586" s="144"/>
      <c r="J2586" s="144"/>
      <c r="K2586" s="144"/>
      <c r="L2586" s="146"/>
      <c r="M2586" s="142"/>
      <c r="N2586" s="144"/>
      <c r="O2586" s="142"/>
      <c r="P2586" s="142"/>
      <c r="Q2586" s="142"/>
      <c r="R2586" s="129"/>
      <c r="S2586" s="143"/>
      <c r="T2586" s="144"/>
      <c r="U2586" s="129"/>
      <c r="V2586" s="129"/>
    </row>
    <row r="2587" spans="1:22" x14ac:dyDescent="0.2">
      <c r="A2587" s="144"/>
      <c r="B2587" s="145"/>
      <c r="C2587" s="129"/>
      <c r="D2587" s="129"/>
      <c r="E2587" s="129"/>
      <c r="F2587" s="129"/>
      <c r="G2587" s="144"/>
      <c r="H2587" s="129"/>
      <c r="I2587" s="144"/>
      <c r="J2587" s="144"/>
      <c r="K2587" s="144"/>
      <c r="L2587" s="146"/>
      <c r="M2587" s="142"/>
      <c r="N2587" s="144"/>
      <c r="O2587" s="142"/>
      <c r="P2587" s="142"/>
      <c r="Q2587" s="142"/>
      <c r="R2587" s="129"/>
      <c r="S2587" s="143"/>
      <c r="T2587" s="144"/>
      <c r="U2587" s="129"/>
      <c r="V2587" s="129"/>
    </row>
    <row r="2588" spans="1:22" x14ac:dyDescent="0.2">
      <c r="A2588" s="144"/>
      <c r="B2588" s="145"/>
      <c r="C2588" s="129"/>
      <c r="D2588" s="129"/>
      <c r="E2588" s="129"/>
      <c r="F2588" s="129"/>
      <c r="G2588" s="144"/>
      <c r="H2588" s="129"/>
      <c r="I2588" s="144"/>
      <c r="J2588" s="144"/>
      <c r="K2588" s="144"/>
      <c r="L2588" s="146"/>
      <c r="M2588" s="142"/>
      <c r="N2588" s="144"/>
      <c r="O2588" s="142"/>
      <c r="P2588" s="142"/>
      <c r="Q2588" s="142"/>
      <c r="R2588" s="129"/>
      <c r="S2588" s="143"/>
      <c r="T2588" s="144"/>
      <c r="U2588" s="129"/>
      <c r="V2588" s="129"/>
    </row>
    <row r="2589" spans="1:22" x14ac:dyDescent="0.2">
      <c r="A2589" s="144"/>
      <c r="B2589" s="145"/>
      <c r="C2589" s="129"/>
      <c r="D2589" s="129"/>
      <c r="E2589" s="129"/>
      <c r="F2589" s="129"/>
      <c r="G2589" s="144"/>
      <c r="H2589" s="129"/>
      <c r="I2589" s="144"/>
      <c r="J2589" s="144"/>
      <c r="K2589" s="144"/>
      <c r="L2589" s="146"/>
      <c r="M2589" s="142"/>
      <c r="N2589" s="144"/>
      <c r="O2589" s="142"/>
      <c r="P2589" s="142"/>
      <c r="Q2589" s="142"/>
      <c r="R2589" s="129"/>
      <c r="S2589" s="143"/>
      <c r="T2589" s="144"/>
      <c r="U2589" s="129"/>
      <c r="V2589" s="129"/>
    </row>
    <row r="2590" spans="1:22" x14ac:dyDescent="0.2">
      <c r="A2590" s="144"/>
      <c r="B2590" s="145"/>
      <c r="C2590" s="129"/>
      <c r="D2590" s="129"/>
      <c r="E2590" s="129"/>
      <c r="F2590" s="129"/>
      <c r="G2590" s="144"/>
      <c r="H2590" s="129"/>
      <c r="I2590" s="144"/>
      <c r="J2590" s="144"/>
      <c r="K2590" s="144"/>
      <c r="L2590" s="146"/>
      <c r="M2590" s="142"/>
      <c r="N2590" s="144"/>
      <c r="O2590" s="142"/>
      <c r="P2590" s="142"/>
      <c r="Q2590" s="142"/>
      <c r="R2590" s="129"/>
      <c r="S2590" s="143"/>
      <c r="T2590" s="144"/>
      <c r="U2590" s="129"/>
      <c r="V2590" s="129"/>
    </row>
    <row r="2591" spans="1:22" x14ac:dyDescent="0.2">
      <c r="A2591" s="144"/>
      <c r="B2591" s="145"/>
      <c r="C2591" s="129"/>
      <c r="D2591" s="129"/>
      <c r="E2591" s="129"/>
      <c r="F2591" s="129"/>
      <c r="G2591" s="144"/>
      <c r="H2591" s="129"/>
      <c r="I2591" s="144"/>
      <c r="J2591" s="144"/>
      <c r="K2591" s="144"/>
      <c r="L2591" s="146"/>
      <c r="M2591" s="142"/>
      <c r="N2591" s="144"/>
      <c r="O2591" s="142"/>
      <c r="P2591" s="142"/>
      <c r="Q2591" s="142"/>
      <c r="R2591" s="129"/>
      <c r="S2591" s="143"/>
      <c r="T2591" s="144"/>
      <c r="U2591" s="129"/>
      <c r="V2591" s="129"/>
    </row>
    <row r="2592" spans="1:22" x14ac:dyDescent="0.2">
      <c r="A2592" s="144"/>
      <c r="B2592" s="145"/>
      <c r="C2592" s="129"/>
      <c r="D2592" s="129"/>
      <c r="E2592" s="129"/>
      <c r="F2592" s="129"/>
      <c r="G2592" s="144"/>
      <c r="H2592" s="129"/>
      <c r="I2592" s="144"/>
      <c r="J2592" s="144"/>
      <c r="K2592" s="144"/>
      <c r="L2592" s="146"/>
      <c r="M2592" s="142"/>
      <c r="N2592" s="144"/>
      <c r="O2592" s="142"/>
      <c r="P2592" s="142"/>
      <c r="Q2592" s="142"/>
      <c r="R2592" s="129"/>
      <c r="S2592" s="143"/>
      <c r="T2592" s="144"/>
      <c r="U2592" s="129"/>
      <c r="V2592" s="129"/>
    </row>
    <row r="2593" spans="1:22" x14ac:dyDescent="0.2">
      <c r="A2593" s="144"/>
      <c r="B2593" s="145"/>
      <c r="C2593" s="129"/>
      <c r="D2593" s="129"/>
      <c r="E2593" s="129"/>
      <c r="F2593" s="129"/>
      <c r="G2593" s="144"/>
      <c r="H2593" s="129"/>
      <c r="I2593" s="144"/>
      <c r="J2593" s="144"/>
      <c r="K2593" s="144"/>
      <c r="L2593" s="146"/>
      <c r="M2593" s="142"/>
      <c r="N2593" s="144"/>
      <c r="O2593" s="142"/>
      <c r="P2593" s="142"/>
      <c r="Q2593" s="142"/>
      <c r="R2593" s="129"/>
      <c r="S2593" s="143"/>
      <c r="T2593" s="144"/>
      <c r="U2593" s="129"/>
      <c r="V2593" s="129"/>
    </row>
    <row r="2594" spans="1:22" x14ac:dyDescent="0.2">
      <c r="A2594" s="144"/>
      <c r="B2594" s="145"/>
      <c r="C2594" s="129"/>
      <c r="D2594" s="129"/>
      <c r="E2594" s="129"/>
      <c r="F2594" s="129"/>
      <c r="G2594" s="144"/>
      <c r="H2594" s="129"/>
      <c r="I2594" s="144"/>
      <c r="J2594" s="144"/>
      <c r="K2594" s="144"/>
      <c r="L2594" s="146"/>
      <c r="M2594" s="142"/>
      <c r="N2594" s="144"/>
      <c r="O2594" s="142"/>
      <c r="P2594" s="142"/>
      <c r="Q2594" s="142"/>
      <c r="R2594" s="129"/>
      <c r="S2594" s="143"/>
      <c r="T2594" s="144"/>
      <c r="U2594" s="129"/>
      <c r="V2594" s="129"/>
    </row>
    <row r="2595" spans="1:22" x14ac:dyDescent="0.2">
      <c r="A2595" s="144"/>
      <c r="B2595" s="145"/>
      <c r="C2595" s="129"/>
      <c r="D2595" s="129"/>
      <c r="E2595" s="129"/>
      <c r="F2595" s="129"/>
      <c r="G2595" s="144"/>
      <c r="H2595" s="129"/>
      <c r="I2595" s="144"/>
      <c r="J2595" s="144"/>
      <c r="K2595" s="144"/>
      <c r="L2595" s="146"/>
      <c r="M2595" s="142"/>
      <c r="N2595" s="144"/>
      <c r="O2595" s="142"/>
      <c r="P2595" s="142"/>
      <c r="Q2595" s="142"/>
      <c r="R2595" s="129"/>
      <c r="S2595" s="143"/>
      <c r="T2595" s="144"/>
      <c r="U2595" s="129"/>
      <c r="V2595" s="129"/>
    </row>
    <row r="2596" spans="1:22" x14ac:dyDescent="0.2">
      <c r="A2596" s="144"/>
      <c r="B2596" s="145"/>
      <c r="C2596" s="129"/>
      <c r="D2596" s="129"/>
      <c r="E2596" s="129"/>
      <c r="F2596" s="129"/>
      <c r="G2596" s="144"/>
      <c r="H2596" s="129"/>
      <c r="I2596" s="144"/>
      <c r="J2596" s="144"/>
      <c r="K2596" s="144"/>
      <c r="L2596" s="146"/>
      <c r="M2596" s="142"/>
      <c r="N2596" s="144"/>
      <c r="O2596" s="142"/>
      <c r="P2596" s="142"/>
      <c r="Q2596" s="142"/>
      <c r="R2596" s="129"/>
      <c r="S2596" s="143"/>
      <c r="T2596" s="144"/>
      <c r="U2596" s="129"/>
      <c r="V2596" s="129"/>
    </row>
    <row r="2597" spans="1:22" x14ac:dyDescent="0.2">
      <c r="A2597" s="144"/>
      <c r="B2597" s="145"/>
      <c r="C2597" s="129"/>
      <c r="D2597" s="129"/>
      <c r="E2597" s="129"/>
      <c r="F2597" s="129"/>
      <c r="G2597" s="144"/>
      <c r="H2597" s="129"/>
      <c r="I2597" s="144"/>
      <c r="J2597" s="144"/>
      <c r="K2597" s="144"/>
      <c r="L2597" s="146"/>
      <c r="M2597" s="142"/>
      <c r="N2597" s="144"/>
      <c r="O2597" s="142"/>
      <c r="P2597" s="142"/>
      <c r="Q2597" s="142"/>
      <c r="R2597" s="129"/>
      <c r="S2597" s="143"/>
      <c r="T2597" s="144"/>
      <c r="U2597" s="129"/>
      <c r="V2597" s="129"/>
    </row>
    <row r="2598" spans="1:22" x14ac:dyDescent="0.2">
      <c r="A2598" s="144"/>
      <c r="B2598" s="145"/>
      <c r="C2598" s="129"/>
      <c r="D2598" s="129"/>
      <c r="E2598" s="129"/>
      <c r="F2598" s="129"/>
      <c r="G2598" s="144"/>
      <c r="H2598" s="129"/>
      <c r="I2598" s="144"/>
      <c r="J2598" s="144"/>
      <c r="K2598" s="144"/>
      <c r="L2598" s="146"/>
      <c r="M2598" s="142"/>
      <c r="N2598" s="144"/>
      <c r="O2598" s="142"/>
      <c r="P2598" s="142"/>
      <c r="Q2598" s="142"/>
      <c r="R2598" s="129"/>
      <c r="S2598" s="143"/>
      <c r="T2598" s="144"/>
      <c r="U2598" s="129"/>
      <c r="V2598" s="129"/>
    </row>
    <row r="2599" spans="1:22" x14ac:dyDescent="0.2">
      <c r="A2599" s="144"/>
      <c r="B2599" s="145"/>
      <c r="C2599" s="129"/>
      <c r="D2599" s="129"/>
      <c r="E2599" s="129"/>
      <c r="F2599" s="129"/>
      <c r="G2599" s="144"/>
      <c r="H2599" s="129"/>
      <c r="I2599" s="144"/>
      <c r="J2599" s="144"/>
      <c r="K2599" s="144"/>
      <c r="L2599" s="146"/>
      <c r="M2599" s="142"/>
      <c r="N2599" s="144"/>
      <c r="O2599" s="142"/>
      <c r="P2599" s="142"/>
      <c r="Q2599" s="142"/>
      <c r="R2599" s="129"/>
      <c r="S2599" s="143"/>
      <c r="T2599" s="144"/>
      <c r="U2599" s="129"/>
      <c r="V2599" s="129"/>
    </row>
    <row r="2600" spans="1:22" x14ac:dyDescent="0.2">
      <c r="A2600" s="144"/>
      <c r="B2600" s="145"/>
      <c r="C2600" s="129"/>
      <c r="D2600" s="129"/>
      <c r="E2600" s="129"/>
      <c r="F2600" s="129"/>
      <c r="G2600" s="144"/>
      <c r="H2600" s="129"/>
      <c r="I2600" s="144"/>
      <c r="J2600" s="144"/>
      <c r="K2600" s="144"/>
      <c r="L2600" s="146"/>
      <c r="M2600" s="142"/>
      <c r="N2600" s="144"/>
      <c r="O2600" s="142"/>
      <c r="P2600" s="142"/>
      <c r="Q2600" s="142"/>
      <c r="R2600" s="129"/>
      <c r="S2600" s="143"/>
      <c r="T2600" s="144"/>
      <c r="U2600" s="129"/>
      <c r="V2600" s="129"/>
    </row>
    <row r="2601" spans="1:22" x14ac:dyDescent="0.2">
      <c r="A2601" s="144"/>
      <c r="B2601" s="145"/>
      <c r="C2601" s="129"/>
      <c r="D2601" s="129"/>
      <c r="E2601" s="129"/>
      <c r="F2601" s="129"/>
      <c r="G2601" s="144"/>
      <c r="H2601" s="129"/>
      <c r="I2601" s="144"/>
      <c r="J2601" s="144"/>
      <c r="K2601" s="144"/>
      <c r="L2601" s="146"/>
      <c r="M2601" s="142"/>
      <c r="N2601" s="144"/>
      <c r="O2601" s="142"/>
      <c r="P2601" s="142"/>
      <c r="Q2601" s="142"/>
      <c r="R2601" s="129"/>
      <c r="S2601" s="143"/>
      <c r="T2601" s="144"/>
      <c r="U2601" s="129"/>
      <c r="V2601" s="129"/>
    </row>
    <row r="2602" spans="1:22" x14ac:dyDescent="0.2">
      <c r="A2602" s="144"/>
      <c r="B2602" s="145"/>
      <c r="C2602" s="129"/>
      <c r="D2602" s="129"/>
      <c r="E2602" s="129"/>
      <c r="F2602" s="129"/>
      <c r="G2602" s="144"/>
      <c r="H2602" s="129"/>
      <c r="I2602" s="144"/>
      <c r="J2602" s="144"/>
      <c r="K2602" s="144"/>
      <c r="L2602" s="146"/>
      <c r="M2602" s="142"/>
      <c r="N2602" s="144"/>
      <c r="O2602" s="142"/>
      <c r="P2602" s="142"/>
      <c r="Q2602" s="142"/>
      <c r="R2602" s="129"/>
      <c r="S2602" s="143"/>
      <c r="T2602" s="144"/>
      <c r="U2602" s="129"/>
      <c r="V2602" s="129"/>
    </row>
    <row r="2603" spans="1:22" x14ac:dyDescent="0.2">
      <c r="A2603" s="144"/>
      <c r="B2603" s="145"/>
      <c r="C2603" s="129"/>
      <c r="D2603" s="129"/>
      <c r="E2603" s="129"/>
      <c r="F2603" s="129"/>
      <c r="G2603" s="144"/>
      <c r="H2603" s="129"/>
      <c r="I2603" s="144"/>
      <c r="J2603" s="144"/>
      <c r="K2603" s="144"/>
      <c r="L2603" s="146"/>
      <c r="M2603" s="142"/>
      <c r="N2603" s="144"/>
      <c r="O2603" s="142"/>
      <c r="P2603" s="142"/>
      <c r="Q2603" s="142"/>
      <c r="R2603" s="129"/>
      <c r="S2603" s="143"/>
      <c r="T2603" s="144"/>
      <c r="U2603" s="129"/>
      <c r="V2603" s="129"/>
    </row>
    <row r="2604" spans="1:22" x14ac:dyDescent="0.2">
      <c r="A2604" s="144"/>
      <c r="B2604" s="145"/>
      <c r="C2604" s="129"/>
      <c r="D2604" s="129"/>
      <c r="E2604" s="129"/>
      <c r="F2604" s="129"/>
      <c r="G2604" s="144"/>
      <c r="H2604" s="129"/>
      <c r="I2604" s="144"/>
      <c r="J2604" s="144"/>
      <c r="K2604" s="144"/>
      <c r="L2604" s="146"/>
      <c r="M2604" s="142"/>
      <c r="N2604" s="144"/>
      <c r="O2604" s="142"/>
      <c r="P2604" s="142"/>
      <c r="Q2604" s="142"/>
      <c r="R2604" s="129"/>
      <c r="S2604" s="143"/>
      <c r="T2604" s="144"/>
      <c r="U2604" s="129"/>
      <c r="V2604" s="129"/>
    </row>
    <row r="2605" spans="1:22" x14ac:dyDescent="0.2">
      <c r="A2605" s="144"/>
      <c r="B2605" s="145"/>
      <c r="C2605" s="129"/>
      <c r="D2605" s="129"/>
      <c r="E2605" s="129"/>
      <c r="F2605" s="129"/>
      <c r="G2605" s="144"/>
      <c r="H2605" s="129"/>
      <c r="I2605" s="144"/>
      <c r="J2605" s="144"/>
      <c r="K2605" s="144"/>
      <c r="L2605" s="146"/>
      <c r="M2605" s="142"/>
      <c r="N2605" s="144"/>
      <c r="O2605" s="142"/>
      <c r="P2605" s="142"/>
      <c r="Q2605" s="142"/>
      <c r="R2605" s="129"/>
      <c r="S2605" s="143"/>
      <c r="T2605" s="144"/>
      <c r="U2605" s="129"/>
      <c r="V2605" s="129"/>
    </row>
    <row r="2606" spans="1:22" x14ac:dyDescent="0.2">
      <c r="A2606" s="144"/>
      <c r="B2606" s="145"/>
      <c r="C2606" s="129"/>
      <c r="D2606" s="129"/>
      <c r="E2606" s="129"/>
      <c r="F2606" s="129"/>
      <c r="G2606" s="144"/>
      <c r="H2606" s="129"/>
      <c r="I2606" s="144"/>
      <c r="J2606" s="144"/>
      <c r="K2606" s="144"/>
      <c r="L2606" s="146"/>
      <c r="M2606" s="142"/>
      <c r="N2606" s="144"/>
      <c r="O2606" s="142"/>
      <c r="P2606" s="142"/>
      <c r="Q2606" s="142"/>
      <c r="R2606" s="129"/>
      <c r="S2606" s="143"/>
      <c r="T2606" s="144"/>
      <c r="U2606" s="129"/>
      <c r="V2606" s="129"/>
    </row>
    <row r="2607" spans="1:22" x14ac:dyDescent="0.2">
      <c r="A2607" s="144"/>
      <c r="B2607" s="145"/>
      <c r="C2607" s="129"/>
      <c r="D2607" s="129"/>
      <c r="E2607" s="129"/>
      <c r="F2607" s="129"/>
      <c r="G2607" s="144"/>
      <c r="H2607" s="129"/>
      <c r="I2607" s="144"/>
      <c r="J2607" s="144"/>
      <c r="K2607" s="144"/>
      <c r="L2607" s="146"/>
      <c r="M2607" s="142"/>
      <c r="N2607" s="144"/>
      <c r="O2607" s="142"/>
      <c r="P2607" s="142"/>
      <c r="Q2607" s="142"/>
      <c r="R2607" s="129"/>
      <c r="S2607" s="143"/>
      <c r="T2607" s="144"/>
      <c r="U2607" s="129"/>
      <c r="V2607" s="129"/>
    </row>
    <row r="2608" spans="1:22" x14ac:dyDescent="0.2">
      <c r="A2608" s="144"/>
      <c r="B2608" s="145"/>
      <c r="C2608" s="129"/>
      <c r="D2608" s="129"/>
      <c r="E2608" s="129"/>
      <c r="F2608" s="129"/>
      <c r="G2608" s="144"/>
      <c r="H2608" s="129"/>
      <c r="I2608" s="144"/>
      <c r="J2608" s="144"/>
      <c r="K2608" s="144"/>
      <c r="L2608" s="146"/>
      <c r="M2608" s="142"/>
      <c r="N2608" s="144"/>
      <c r="O2608" s="142"/>
      <c r="P2608" s="142"/>
      <c r="Q2608" s="142"/>
      <c r="R2608" s="129"/>
      <c r="S2608" s="143"/>
      <c r="T2608" s="144"/>
      <c r="U2608" s="129"/>
      <c r="V2608" s="129"/>
    </row>
    <row r="2609" spans="1:22" x14ac:dyDescent="0.2">
      <c r="A2609" s="144"/>
      <c r="B2609" s="145"/>
      <c r="C2609" s="129"/>
      <c r="D2609" s="129"/>
      <c r="E2609" s="129"/>
      <c r="F2609" s="129"/>
      <c r="G2609" s="144"/>
      <c r="H2609" s="129"/>
      <c r="I2609" s="144"/>
      <c r="J2609" s="144"/>
      <c r="K2609" s="144"/>
      <c r="L2609" s="146"/>
      <c r="M2609" s="142"/>
      <c r="N2609" s="144"/>
      <c r="O2609" s="142"/>
      <c r="P2609" s="142"/>
      <c r="Q2609" s="142"/>
      <c r="R2609" s="129"/>
      <c r="S2609" s="143"/>
      <c r="T2609" s="144"/>
      <c r="U2609" s="129"/>
      <c r="V2609" s="129"/>
    </row>
    <row r="2610" spans="1:22" x14ac:dyDescent="0.2">
      <c r="A2610" s="144"/>
      <c r="B2610" s="145"/>
      <c r="C2610" s="129"/>
      <c r="D2610" s="129"/>
      <c r="E2610" s="129"/>
      <c r="F2610" s="129"/>
      <c r="G2610" s="144"/>
      <c r="H2610" s="129"/>
      <c r="I2610" s="144"/>
      <c r="J2610" s="144"/>
      <c r="K2610" s="144"/>
      <c r="L2610" s="146"/>
      <c r="M2610" s="142"/>
      <c r="N2610" s="144"/>
      <c r="O2610" s="142"/>
      <c r="P2610" s="142"/>
      <c r="Q2610" s="142"/>
      <c r="R2610" s="129"/>
      <c r="S2610" s="143"/>
      <c r="T2610" s="144"/>
      <c r="U2610" s="129"/>
      <c r="V2610" s="129"/>
    </row>
    <row r="2611" spans="1:22" x14ac:dyDescent="0.2">
      <c r="A2611" s="144"/>
      <c r="B2611" s="145"/>
      <c r="C2611" s="129"/>
      <c r="D2611" s="129"/>
      <c r="E2611" s="129"/>
      <c r="F2611" s="129"/>
      <c r="G2611" s="144"/>
      <c r="H2611" s="129"/>
      <c r="I2611" s="144"/>
      <c r="J2611" s="144"/>
      <c r="K2611" s="144"/>
      <c r="L2611" s="146"/>
      <c r="M2611" s="142"/>
      <c r="N2611" s="144"/>
      <c r="O2611" s="142"/>
      <c r="P2611" s="142"/>
      <c r="Q2611" s="142"/>
      <c r="R2611" s="129"/>
      <c r="S2611" s="143"/>
      <c r="T2611" s="144"/>
      <c r="U2611" s="129"/>
      <c r="V2611" s="129"/>
    </row>
    <row r="2612" spans="1:22" x14ac:dyDescent="0.2">
      <c r="A2612" s="144"/>
      <c r="B2612" s="145"/>
      <c r="C2612" s="129"/>
      <c r="D2612" s="129"/>
      <c r="E2612" s="129"/>
      <c r="F2612" s="129"/>
      <c r="G2612" s="144"/>
      <c r="H2612" s="129"/>
      <c r="I2612" s="144"/>
      <c r="J2612" s="144"/>
      <c r="K2612" s="144"/>
      <c r="L2612" s="146"/>
      <c r="M2612" s="142"/>
      <c r="N2612" s="144"/>
      <c r="O2612" s="142"/>
      <c r="P2612" s="142"/>
      <c r="Q2612" s="142"/>
      <c r="R2612" s="129"/>
      <c r="S2612" s="143"/>
      <c r="T2612" s="144"/>
      <c r="U2612" s="129"/>
      <c r="V2612" s="129"/>
    </row>
    <row r="2613" spans="1:22" x14ac:dyDescent="0.2">
      <c r="A2613" s="144"/>
      <c r="B2613" s="145"/>
      <c r="C2613" s="129"/>
      <c r="D2613" s="129"/>
      <c r="E2613" s="129"/>
      <c r="F2613" s="129"/>
      <c r="G2613" s="144"/>
      <c r="H2613" s="129"/>
      <c r="I2613" s="144"/>
      <c r="J2613" s="144"/>
      <c r="K2613" s="144"/>
      <c r="L2613" s="146"/>
      <c r="M2613" s="142"/>
      <c r="N2613" s="144"/>
      <c r="O2613" s="142"/>
      <c r="P2613" s="142"/>
      <c r="Q2613" s="142"/>
      <c r="R2613" s="129"/>
      <c r="S2613" s="143"/>
      <c r="T2613" s="144"/>
      <c r="U2613" s="129"/>
      <c r="V2613" s="129"/>
    </row>
    <row r="2614" spans="1:22" x14ac:dyDescent="0.2">
      <c r="A2614" s="144"/>
      <c r="B2614" s="145"/>
      <c r="C2614" s="129"/>
      <c r="D2614" s="129"/>
      <c r="E2614" s="129"/>
      <c r="F2614" s="129"/>
      <c r="G2614" s="144"/>
      <c r="H2614" s="129"/>
      <c r="I2614" s="144"/>
      <c r="J2614" s="144"/>
      <c r="K2614" s="144"/>
      <c r="L2614" s="146"/>
      <c r="M2614" s="142"/>
      <c r="N2614" s="144"/>
      <c r="O2614" s="142"/>
      <c r="P2614" s="142"/>
      <c r="Q2614" s="142"/>
      <c r="R2614" s="129"/>
      <c r="S2614" s="143"/>
      <c r="T2614" s="144"/>
      <c r="U2614" s="129"/>
      <c r="V2614" s="129"/>
    </row>
    <row r="2615" spans="1:22" x14ac:dyDescent="0.2">
      <c r="A2615" s="144"/>
      <c r="B2615" s="145"/>
      <c r="C2615" s="129"/>
      <c r="D2615" s="129"/>
      <c r="E2615" s="129"/>
      <c r="F2615" s="129"/>
      <c r="G2615" s="144"/>
      <c r="H2615" s="129"/>
      <c r="I2615" s="144"/>
      <c r="J2615" s="144"/>
      <c r="K2615" s="144"/>
      <c r="L2615" s="146"/>
      <c r="M2615" s="142"/>
      <c r="N2615" s="144"/>
      <c r="O2615" s="142"/>
      <c r="P2615" s="142"/>
      <c r="Q2615" s="142"/>
      <c r="R2615" s="129"/>
      <c r="S2615" s="143"/>
      <c r="T2615" s="144"/>
      <c r="U2615" s="129"/>
      <c r="V2615" s="129"/>
    </row>
    <row r="2616" spans="1:22" x14ac:dyDescent="0.2">
      <c r="A2616" s="144"/>
      <c r="B2616" s="145"/>
      <c r="C2616" s="129"/>
      <c r="D2616" s="129"/>
      <c r="E2616" s="129"/>
      <c r="F2616" s="129"/>
      <c r="G2616" s="144"/>
      <c r="H2616" s="129"/>
      <c r="I2616" s="144"/>
      <c r="J2616" s="144"/>
      <c r="K2616" s="144"/>
      <c r="L2616" s="146"/>
      <c r="M2616" s="142"/>
      <c r="N2616" s="144"/>
      <c r="O2616" s="142"/>
      <c r="P2616" s="142"/>
      <c r="Q2616" s="142"/>
      <c r="R2616" s="129"/>
      <c r="S2616" s="143"/>
      <c r="T2616" s="144"/>
      <c r="U2616" s="129"/>
      <c r="V2616" s="129"/>
    </row>
    <row r="2617" spans="1:22" x14ac:dyDescent="0.2">
      <c r="A2617" s="144"/>
      <c r="B2617" s="145"/>
      <c r="C2617" s="129"/>
      <c r="D2617" s="129"/>
      <c r="E2617" s="129"/>
      <c r="F2617" s="129"/>
      <c r="G2617" s="144"/>
      <c r="H2617" s="129"/>
      <c r="I2617" s="144"/>
      <c r="J2617" s="144"/>
      <c r="K2617" s="144"/>
      <c r="L2617" s="146"/>
      <c r="M2617" s="142"/>
      <c r="N2617" s="144"/>
      <c r="O2617" s="142"/>
      <c r="P2617" s="142"/>
      <c r="Q2617" s="142"/>
      <c r="R2617" s="129"/>
      <c r="S2617" s="143"/>
      <c r="T2617" s="144"/>
      <c r="U2617" s="129"/>
      <c r="V2617" s="129"/>
    </row>
    <row r="2618" spans="1:22" x14ac:dyDescent="0.2">
      <c r="A2618" s="144"/>
      <c r="B2618" s="145"/>
      <c r="C2618" s="129"/>
      <c r="D2618" s="129"/>
      <c r="E2618" s="129"/>
      <c r="F2618" s="129"/>
      <c r="G2618" s="144"/>
      <c r="H2618" s="129"/>
      <c r="I2618" s="144"/>
      <c r="J2618" s="144"/>
      <c r="K2618" s="144"/>
      <c r="L2618" s="146"/>
      <c r="M2618" s="142"/>
      <c r="N2618" s="144"/>
      <c r="O2618" s="142"/>
      <c r="P2618" s="142"/>
      <c r="Q2618" s="142"/>
      <c r="R2618" s="129"/>
      <c r="S2618" s="143"/>
      <c r="T2618" s="144"/>
      <c r="U2618" s="129"/>
      <c r="V2618" s="129"/>
    </row>
    <row r="2619" spans="1:22" x14ac:dyDescent="0.2">
      <c r="A2619" s="144"/>
      <c r="B2619" s="145"/>
      <c r="C2619" s="129"/>
      <c r="D2619" s="129"/>
      <c r="E2619" s="129"/>
      <c r="F2619" s="129"/>
      <c r="G2619" s="144"/>
      <c r="H2619" s="129"/>
      <c r="I2619" s="144"/>
      <c r="J2619" s="144"/>
      <c r="K2619" s="144"/>
      <c r="L2619" s="146"/>
      <c r="M2619" s="142"/>
      <c r="N2619" s="144"/>
      <c r="O2619" s="142"/>
      <c r="P2619" s="142"/>
      <c r="Q2619" s="142"/>
      <c r="R2619" s="129"/>
      <c r="S2619" s="143"/>
      <c r="T2619" s="144"/>
      <c r="U2619" s="129"/>
      <c r="V2619" s="129"/>
    </row>
    <row r="2620" spans="1:22" x14ac:dyDescent="0.2">
      <c r="A2620" s="144"/>
      <c r="B2620" s="145"/>
      <c r="C2620" s="129"/>
      <c r="D2620" s="129"/>
      <c r="E2620" s="129"/>
      <c r="F2620" s="129"/>
      <c r="G2620" s="144"/>
      <c r="H2620" s="129"/>
      <c r="I2620" s="144"/>
      <c r="J2620" s="144"/>
      <c r="K2620" s="144"/>
      <c r="L2620" s="146"/>
      <c r="M2620" s="142"/>
      <c r="N2620" s="144"/>
      <c r="O2620" s="142"/>
      <c r="P2620" s="142"/>
      <c r="Q2620" s="142"/>
      <c r="R2620" s="129"/>
      <c r="S2620" s="143"/>
      <c r="T2620" s="144"/>
      <c r="U2620" s="129"/>
      <c r="V2620" s="129"/>
    </row>
    <row r="2621" spans="1:22" x14ac:dyDescent="0.2">
      <c r="A2621" s="144"/>
      <c r="B2621" s="145"/>
      <c r="C2621" s="129"/>
      <c r="D2621" s="129"/>
      <c r="E2621" s="129"/>
      <c r="F2621" s="129"/>
      <c r="G2621" s="144"/>
      <c r="H2621" s="129"/>
      <c r="I2621" s="144"/>
      <c r="J2621" s="144"/>
      <c r="K2621" s="144"/>
      <c r="L2621" s="146"/>
      <c r="M2621" s="142"/>
      <c r="N2621" s="144"/>
      <c r="O2621" s="142"/>
      <c r="P2621" s="142"/>
      <c r="Q2621" s="142"/>
      <c r="R2621" s="129"/>
      <c r="S2621" s="143"/>
      <c r="T2621" s="144"/>
      <c r="U2621" s="129"/>
      <c r="V2621" s="129"/>
    </row>
    <row r="2622" spans="1:22" x14ac:dyDescent="0.2">
      <c r="A2622" s="144"/>
      <c r="B2622" s="145"/>
      <c r="C2622" s="129"/>
      <c r="D2622" s="129"/>
      <c r="E2622" s="129"/>
      <c r="F2622" s="129"/>
      <c r="G2622" s="144"/>
      <c r="H2622" s="129"/>
      <c r="I2622" s="144"/>
      <c r="J2622" s="144"/>
      <c r="K2622" s="144"/>
      <c r="L2622" s="146"/>
      <c r="M2622" s="142"/>
      <c r="N2622" s="144"/>
      <c r="O2622" s="142"/>
      <c r="P2622" s="142"/>
      <c r="Q2622" s="142"/>
      <c r="R2622" s="129"/>
      <c r="S2622" s="143"/>
      <c r="T2622" s="144"/>
      <c r="U2622" s="129"/>
      <c r="V2622" s="129"/>
    </row>
    <row r="2623" spans="1:22" x14ac:dyDescent="0.2">
      <c r="A2623" s="144"/>
      <c r="B2623" s="145"/>
      <c r="C2623" s="129"/>
      <c r="D2623" s="129"/>
      <c r="E2623" s="129"/>
      <c r="F2623" s="129"/>
      <c r="G2623" s="144"/>
      <c r="H2623" s="129"/>
      <c r="I2623" s="144"/>
      <c r="J2623" s="144"/>
      <c r="K2623" s="144"/>
      <c r="L2623" s="146"/>
      <c r="M2623" s="142"/>
      <c r="N2623" s="144"/>
      <c r="O2623" s="142"/>
      <c r="P2623" s="142"/>
      <c r="Q2623" s="142"/>
      <c r="R2623" s="129"/>
      <c r="S2623" s="143"/>
      <c r="T2623" s="144"/>
      <c r="U2623" s="129"/>
      <c r="V2623" s="129"/>
    </row>
    <row r="2624" spans="1:22" x14ac:dyDescent="0.2">
      <c r="A2624" s="144"/>
      <c r="B2624" s="145"/>
      <c r="C2624" s="129"/>
      <c r="D2624" s="129"/>
      <c r="E2624" s="129"/>
      <c r="F2624" s="129"/>
      <c r="G2624" s="144"/>
      <c r="H2624" s="129"/>
      <c r="I2624" s="144"/>
      <c r="J2624" s="144"/>
      <c r="K2624" s="144"/>
      <c r="L2624" s="146"/>
      <c r="M2624" s="142"/>
      <c r="N2624" s="144"/>
      <c r="O2624" s="142"/>
      <c r="P2624" s="142"/>
      <c r="Q2624" s="142"/>
      <c r="R2624" s="129"/>
      <c r="S2624" s="143"/>
      <c r="T2624" s="144"/>
      <c r="U2624" s="129"/>
      <c r="V2624" s="129"/>
    </row>
    <row r="2625" spans="1:22" x14ac:dyDescent="0.2">
      <c r="A2625" s="144"/>
      <c r="B2625" s="145"/>
      <c r="C2625" s="129"/>
      <c r="D2625" s="129"/>
      <c r="E2625" s="129"/>
      <c r="F2625" s="129"/>
      <c r="G2625" s="144"/>
      <c r="H2625" s="129"/>
      <c r="I2625" s="144"/>
      <c r="J2625" s="144"/>
      <c r="K2625" s="144"/>
      <c r="L2625" s="146"/>
      <c r="M2625" s="142"/>
      <c r="N2625" s="144"/>
      <c r="O2625" s="142"/>
      <c r="P2625" s="142"/>
      <c r="Q2625" s="142"/>
      <c r="R2625" s="129"/>
      <c r="S2625" s="143"/>
      <c r="T2625" s="144"/>
      <c r="U2625" s="129"/>
      <c r="V2625" s="129"/>
    </row>
    <row r="2626" spans="1:22" x14ac:dyDescent="0.2">
      <c r="A2626" s="144"/>
      <c r="B2626" s="145"/>
      <c r="C2626" s="129"/>
      <c r="D2626" s="129"/>
      <c r="E2626" s="129"/>
      <c r="F2626" s="129"/>
      <c r="G2626" s="144"/>
      <c r="H2626" s="129"/>
      <c r="I2626" s="144"/>
      <c r="J2626" s="144"/>
      <c r="K2626" s="144"/>
      <c r="L2626" s="146"/>
      <c r="M2626" s="142"/>
      <c r="N2626" s="144"/>
      <c r="O2626" s="142"/>
      <c r="P2626" s="142"/>
      <c r="Q2626" s="142"/>
      <c r="R2626" s="129"/>
      <c r="S2626" s="143"/>
      <c r="T2626" s="144"/>
      <c r="U2626" s="129"/>
      <c r="V2626" s="129"/>
    </row>
    <row r="2627" spans="1:22" x14ac:dyDescent="0.2">
      <c r="A2627" s="144"/>
      <c r="B2627" s="145"/>
      <c r="C2627" s="129"/>
      <c r="D2627" s="129"/>
      <c r="E2627" s="129"/>
      <c r="F2627" s="129"/>
      <c r="G2627" s="144"/>
      <c r="H2627" s="129"/>
      <c r="I2627" s="144"/>
      <c r="J2627" s="144"/>
      <c r="K2627" s="144"/>
      <c r="L2627" s="146"/>
      <c r="M2627" s="142"/>
      <c r="N2627" s="144"/>
      <c r="O2627" s="142"/>
      <c r="P2627" s="142"/>
      <c r="Q2627" s="142"/>
      <c r="R2627" s="129"/>
      <c r="S2627" s="143"/>
      <c r="T2627" s="144"/>
      <c r="U2627" s="129"/>
      <c r="V2627" s="129"/>
    </row>
    <row r="2628" spans="1:22" x14ac:dyDescent="0.2">
      <c r="A2628" s="144"/>
      <c r="B2628" s="145"/>
      <c r="C2628" s="129"/>
      <c r="D2628" s="129"/>
      <c r="E2628" s="129"/>
      <c r="F2628" s="129"/>
      <c r="G2628" s="144"/>
      <c r="H2628" s="129"/>
      <c r="I2628" s="144"/>
      <c r="J2628" s="144"/>
      <c r="K2628" s="144"/>
      <c r="L2628" s="146"/>
      <c r="M2628" s="142"/>
      <c r="N2628" s="144"/>
      <c r="O2628" s="142"/>
      <c r="P2628" s="142"/>
      <c r="Q2628" s="142"/>
      <c r="R2628" s="129"/>
      <c r="S2628" s="143"/>
      <c r="T2628" s="144"/>
      <c r="U2628" s="129"/>
      <c r="V2628" s="129"/>
    </row>
    <row r="2629" spans="1:22" x14ac:dyDescent="0.2">
      <c r="A2629" s="144"/>
      <c r="B2629" s="145"/>
      <c r="C2629" s="129"/>
      <c r="D2629" s="129"/>
      <c r="E2629" s="129"/>
      <c r="F2629" s="129"/>
      <c r="G2629" s="144"/>
      <c r="H2629" s="129"/>
      <c r="I2629" s="144"/>
      <c r="J2629" s="144"/>
      <c r="K2629" s="144"/>
      <c r="L2629" s="146"/>
      <c r="M2629" s="142"/>
      <c r="N2629" s="144"/>
      <c r="O2629" s="142"/>
      <c r="P2629" s="142"/>
      <c r="Q2629" s="142"/>
      <c r="R2629" s="129"/>
      <c r="S2629" s="143"/>
      <c r="T2629" s="144"/>
      <c r="U2629" s="129"/>
      <c r="V2629" s="129"/>
    </row>
    <row r="2630" spans="1:22" x14ac:dyDescent="0.2">
      <c r="A2630" s="144"/>
      <c r="B2630" s="145"/>
      <c r="C2630" s="129"/>
      <c r="D2630" s="129"/>
      <c r="E2630" s="129"/>
      <c r="F2630" s="129"/>
      <c r="G2630" s="144"/>
      <c r="H2630" s="129"/>
      <c r="I2630" s="144"/>
      <c r="J2630" s="144"/>
      <c r="K2630" s="144"/>
      <c r="L2630" s="146"/>
      <c r="M2630" s="142"/>
      <c r="N2630" s="144"/>
      <c r="O2630" s="142"/>
      <c r="P2630" s="142"/>
      <c r="Q2630" s="142"/>
      <c r="R2630" s="129"/>
      <c r="S2630" s="143"/>
      <c r="T2630" s="144"/>
      <c r="U2630" s="129"/>
      <c r="V2630" s="129"/>
    </row>
    <row r="2631" spans="1:22" x14ac:dyDescent="0.2">
      <c r="A2631" s="144"/>
      <c r="B2631" s="145"/>
      <c r="C2631" s="129"/>
      <c r="D2631" s="129"/>
      <c r="E2631" s="129"/>
      <c r="F2631" s="129"/>
      <c r="G2631" s="144"/>
      <c r="H2631" s="129"/>
      <c r="I2631" s="144"/>
      <c r="J2631" s="144"/>
      <c r="K2631" s="144"/>
      <c r="L2631" s="146"/>
      <c r="M2631" s="142"/>
      <c r="N2631" s="144"/>
      <c r="O2631" s="142"/>
      <c r="P2631" s="142"/>
      <c r="Q2631" s="142"/>
      <c r="R2631" s="129"/>
      <c r="S2631" s="143"/>
      <c r="T2631" s="144"/>
      <c r="U2631" s="129"/>
      <c r="V2631" s="129"/>
    </row>
    <row r="2632" spans="1:22" x14ac:dyDescent="0.2">
      <c r="A2632" s="144"/>
      <c r="B2632" s="145"/>
      <c r="C2632" s="129"/>
      <c r="D2632" s="129"/>
      <c r="E2632" s="129"/>
      <c r="F2632" s="129"/>
      <c r="G2632" s="144"/>
      <c r="H2632" s="129"/>
      <c r="I2632" s="144"/>
      <c r="J2632" s="144"/>
      <c r="K2632" s="144"/>
      <c r="L2632" s="146"/>
      <c r="M2632" s="142"/>
      <c r="N2632" s="144"/>
      <c r="O2632" s="142"/>
      <c r="P2632" s="142"/>
      <c r="Q2632" s="142"/>
      <c r="R2632" s="129"/>
      <c r="S2632" s="143"/>
      <c r="T2632" s="144"/>
      <c r="U2632" s="129"/>
      <c r="V2632" s="129"/>
    </row>
    <row r="2633" spans="1:22" x14ac:dyDescent="0.2">
      <c r="A2633" s="144"/>
      <c r="B2633" s="145"/>
      <c r="C2633" s="129"/>
      <c r="D2633" s="129"/>
      <c r="E2633" s="129"/>
      <c r="F2633" s="129"/>
      <c r="G2633" s="144"/>
      <c r="H2633" s="129"/>
      <c r="I2633" s="144"/>
      <c r="J2633" s="144"/>
      <c r="K2633" s="144"/>
      <c r="L2633" s="146"/>
      <c r="M2633" s="142"/>
      <c r="N2633" s="144"/>
      <c r="O2633" s="142"/>
      <c r="P2633" s="142"/>
      <c r="Q2633" s="142"/>
      <c r="R2633" s="129"/>
      <c r="S2633" s="143"/>
      <c r="T2633" s="144"/>
      <c r="U2633" s="129"/>
      <c r="V2633" s="129"/>
    </row>
    <row r="2634" spans="1:22" x14ac:dyDescent="0.2">
      <c r="A2634" s="144"/>
      <c r="B2634" s="145"/>
      <c r="C2634" s="129"/>
      <c r="D2634" s="129"/>
      <c r="E2634" s="129"/>
      <c r="F2634" s="129"/>
      <c r="G2634" s="144"/>
      <c r="H2634" s="129"/>
      <c r="I2634" s="144"/>
      <c r="J2634" s="144"/>
      <c r="K2634" s="144"/>
      <c r="L2634" s="146"/>
      <c r="M2634" s="142"/>
      <c r="N2634" s="144"/>
      <c r="O2634" s="142"/>
      <c r="P2634" s="142"/>
      <c r="Q2634" s="142"/>
      <c r="R2634" s="129"/>
      <c r="S2634" s="143"/>
      <c r="T2634" s="144"/>
      <c r="U2634" s="129"/>
      <c r="V2634" s="129"/>
    </row>
    <row r="2635" spans="1:22" x14ac:dyDescent="0.2">
      <c r="A2635" s="144"/>
      <c r="B2635" s="145"/>
      <c r="C2635" s="129"/>
      <c r="D2635" s="129"/>
      <c r="E2635" s="129"/>
      <c r="F2635" s="129"/>
      <c r="G2635" s="144"/>
      <c r="H2635" s="129"/>
      <c r="I2635" s="144"/>
      <c r="J2635" s="144"/>
      <c r="K2635" s="144"/>
      <c r="L2635" s="146"/>
      <c r="M2635" s="142"/>
      <c r="N2635" s="144"/>
      <c r="O2635" s="142"/>
      <c r="P2635" s="142"/>
      <c r="Q2635" s="142"/>
      <c r="R2635" s="129"/>
      <c r="S2635" s="143"/>
      <c r="T2635" s="144"/>
      <c r="U2635" s="129"/>
      <c r="V2635" s="129"/>
    </row>
    <row r="2636" spans="1:22" x14ac:dyDescent="0.2">
      <c r="A2636" s="144"/>
      <c r="B2636" s="145"/>
      <c r="C2636" s="129"/>
      <c r="D2636" s="129"/>
      <c r="E2636" s="129"/>
      <c r="F2636" s="129"/>
      <c r="G2636" s="144"/>
      <c r="H2636" s="129"/>
      <c r="I2636" s="144"/>
      <c r="J2636" s="144"/>
      <c r="K2636" s="144"/>
      <c r="L2636" s="146"/>
      <c r="M2636" s="142"/>
      <c r="N2636" s="144"/>
      <c r="O2636" s="142"/>
      <c r="P2636" s="142"/>
      <c r="Q2636" s="142"/>
      <c r="R2636" s="129"/>
      <c r="S2636" s="143"/>
      <c r="T2636" s="144"/>
      <c r="U2636" s="129"/>
      <c r="V2636" s="129"/>
    </row>
    <row r="2637" spans="1:22" x14ac:dyDescent="0.2">
      <c r="A2637" s="144"/>
      <c r="B2637" s="145"/>
      <c r="C2637" s="129"/>
      <c r="D2637" s="129"/>
      <c r="E2637" s="129"/>
      <c r="F2637" s="129"/>
      <c r="G2637" s="144"/>
      <c r="H2637" s="129"/>
      <c r="I2637" s="144"/>
      <c r="J2637" s="144"/>
      <c r="K2637" s="144"/>
      <c r="L2637" s="146"/>
      <c r="M2637" s="142"/>
      <c r="N2637" s="144"/>
      <c r="O2637" s="142"/>
      <c r="P2637" s="142"/>
      <c r="Q2637" s="142"/>
      <c r="R2637" s="129"/>
      <c r="S2637" s="143"/>
      <c r="T2637" s="144"/>
      <c r="U2637" s="129"/>
      <c r="V2637" s="129"/>
    </row>
    <row r="2638" spans="1:22" x14ac:dyDescent="0.2">
      <c r="A2638" s="144"/>
      <c r="B2638" s="145"/>
      <c r="C2638" s="129"/>
      <c r="D2638" s="129"/>
      <c r="E2638" s="129"/>
      <c r="F2638" s="129"/>
      <c r="G2638" s="144"/>
      <c r="H2638" s="129"/>
      <c r="I2638" s="144"/>
      <c r="J2638" s="144"/>
      <c r="K2638" s="144"/>
      <c r="L2638" s="146"/>
      <c r="M2638" s="142"/>
      <c r="N2638" s="144"/>
      <c r="O2638" s="142"/>
      <c r="P2638" s="142"/>
      <c r="Q2638" s="142"/>
      <c r="R2638" s="129"/>
      <c r="S2638" s="143"/>
      <c r="T2638" s="144"/>
      <c r="U2638" s="129"/>
      <c r="V2638" s="129"/>
    </row>
    <row r="2639" spans="1:22" x14ac:dyDescent="0.2">
      <c r="A2639" s="144"/>
      <c r="B2639" s="145"/>
      <c r="C2639" s="129"/>
      <c r="D2639" s="129"/>
      <c r="E2639" s="129"/>
      <c r="F2639" s="129"/>
      <c r="G2639" s="144"/>
      <c r="H2639" s="129"/>
      <c r="I2639" s="144"/>
      <c r="J2639" s="144"/>
      <c r="K2639" s="144"/>
      <c r="L2639" s="146"/>
      <c r="M2639" s="142"/>
      <c r="N2639" s="144"/>
      <c r="O2639" s="142"/>
      <c r="P2639" s="142"/>
      <c r="Q2639" s="142"/>
      <c r="R2639" s="129"/>
      <c r="S2639" s="143"/>
      <c r="T2639" s="144"/>
      <c r="U2639" s="129"/>
      <c r="V2639" s="129"/>
    </row>
    <row r="2640" spans="1:22" x14ac:dyDescent="0.2">
      <c r="A2640" s="144"/>
      <c r="B2640" s="145"/>
      <c r="C2640" s="129"/>
      <c r="D2640" s="129"/>
      <c r="E2640" s="129"/>
      <c r="F2640" s="129"/>
      <c r="G2640" s="144"/>
      <c r="H2640" s="129"/>
      <c r="I2640" s="144"/>
      <c r="J2640" s="144"/>
      <c r="K2640" s="144"/>
      <c r="L2640" s="146"/>
      <c r="M2640" s="142"/>
      <c r="N2640" s="144"/>
      <c r="O2640" s="142"/>
      <c r="P2640" s="142"/>
      <c r="Q2640" s="142"/>
      <c r="R2640" s="129"/>
      <c r="S2640" s="143"/>
      <c r="T2640" s="144"/>
      <c r="U2640" s="129"/>
      <c r="V2640" s="129"/>
    </row>
    <row r="2641" spans="1:22" x14ac:dyDescent="0.2">
      <c r="A2641" s="144"/>
      <c r="B2641" s="145"/>
      <c r="C2641" s="129"/>
      <c r="D2641" s="129"/>
      <c r="E2641" s="129"/>
      <c r="F2641" s="129"/>
      <c r="G2641" s="144"/>
      <c r="H2641" s="129"/>
      <c r="I2641" s="144"/>
      <c r="J2641" s="144"/>
      <c r="K2641" s="144"/>
      <c r="L2641" s="146"/>
      <c r="M2641" s="142"/>
      <c r="N2641" s="144"/>
      <c r="O2641" s="142"/>
      <c r="P2641" s="142"/>
      <c r="Q2641" s="142"/>
      <c r="R2641" s="129"/>
      <c r="S2641" s="143"/>
      <c r="T2641" s="144"/>
      <c r="U2641" s="129"/>
      <c r="V2641" s="129"/>
    </row>
    <row r="2642" spans="1:22" x14ac:dyDescent="0.2">
      <c r="A2642" s="144"/>
      <c r="B2642" s="145"/>
      <c r="C2642" s="129"/>
      <c r="D2642" s="129"/>
      <c r="E2642" s="129"/>
      <c r="F2642" s="129"/>
      <c r="G2642" s="144"/>
      <c r="H2642" s="129"/>
      <c r="I2642" s="144"/>
      <c r="J2642" s="144"/>
      <c r="K2642" s="144"/>
      <c r="L2642" s="146"/>
      <c r="M2642" s="142"/>
      <c r="N2642" s="144"/>
      <c r="O2642" s="142"/>
      <c r="P2642" s="142"/>
      <c r="Q2642" s="142"/>
      <c r="R2642" s="129"/>
      <c r="S2642" s="143"/>
      <c r="T2642" s="144"/>
      <c r="U2642" s="129"/>
      <c r="V2642" s="129"/>
    </row>
    <row r="2643" spans="1:22" x14ac:dyDescent="0.2">
      <c r="A2643" s="144"/>
      <c r="B2643" s="145"/>
      <c r="C2643" s="129"/>
      <c r="D2643" s="129"/>
      <c r="E2643" s="129"/>
      <c r="F2643" s="129"/>
      <c r="G2643" s="144"/>
      <c r="H2643" s="129"/>
      <c r="I2643" s="144"/>
      <c r="J2643" s="144"/>
      <c r="K2643" s="144"/>
      <c r="L2643" s="146"/>
      <c r="M2643" s="142"/>
      <c r="N2643" s="144"/>
      <c r="O2643" s="142"/>
      <c r="P2643" s="142"/>
      <c r="Q2643" s="142"/>
      <c r="R2643" s="129"/>
      <c r="S2643" s="143"/>
      <c r="T2643" s="144"/>
      <c r="U2643" s="129"/>
      <c r="V2643" s="129"/>
    </row>
    <row r="2644" spans="1:22" x14ac:dyDescent="0.2">
      <c r="A2644" s="144"/>
      <c r="B2644" s="145"/>
      <c r="C2644" s="129"/>
      <c r="D2644" s="129"/>
      <c r="E2644" s="129"/>
      <c r="F2644" s="129"/>
      <c r="G2644" s="144"/>
      <c r="H2644" s="129"/>
      <c r="I2644" s="144"/>
      <c r="J2644" s="144"/>
      <c r="K2644" s="144"/>
      <c r="L2644" s="146"/>
      <c r="M2644" s="142"/>
      <c r="N2644" s="144"/>
      <c r="O2644" s="142"/>
      <c r="P2644" s="142"/>
      <c r="Q2644" s="142"/>
      <c r="R2644" s="129"/>
      <c r="S2644" s="143"/>
      <c r="T2644" s="144"/>
      <c r="U2644" s="129"/>
      <c r="V2644" s="129"/>
    </row>
    <row r="2645" spans="1:22" x14ac:dyDescent="0.2">
      <c r="A2645" s="144"/>
      <c r="B2645" s="145"/>
      <c r="C2645" s="129"/>
      <c r="D2645" s="129"/>
      <c r="E2645" s="129"/>
      <c r="F2645" s="129"/>
      <c r="G2645" s="144"/>
      <c r="H2645" s="129"/>
      <c r="I2645" s="144"/>
      <c r="J2645" s="144"/>
      <c r="K2645" s="144"/>
      <c r="L2645" s="146"/>
      <c r="M2645" s="142"/>
      <c r="N2645" s="144"/>
      <c r="O2645" s="142"/>
      <c r="P2645" s="142"/>
      <c r="Q2645" s="142"/>
      <c r="R2645" s="129"/>
      <c r="S2645" s="143"/>
      <c r="T2645" s="144"/>
      <c r="U2645" s="129"/>
      <c r="V2645" s="129"/>
    </row>
    <row r="2646" spans="1:22" x14ac:dyDescent="0.2">
      <c r="A2646" s="144"/>
      <c r="B2646" s="145"/>
      <c r="C2646" s="129"/>
      <c r="D2646" s="129"/>
      <c r="E2646" s="129"/>
      <c r="F2646" s="129"/>
      <c r="G2646" s="144"/>
      <c r="H2646" s="129"/>
      <c r="I2646" s="144"/>
      <c r="J2646" s="144"/>
      <c r="K2646" s="144"/>
      <c r="L2646" s="146"/>
      <c r="M2646" s="142"/>
      <c r="N2646" s="144"/>
      <c r="O2646" s="142"/>
      <c r="P2646" s="142"/>
      <c r="Q2646" s="142"/>
      <c r="R2646" s="129"/>
      <c r="S2646" s="143"/>
      <c r="T2646" s="144"/>
      <c r="U2646" s="129"/>
      <c r="V2646" s="129"/>
    </row>
    <row r="2647" spans="1:22" x14ac:dyDescent="0.2">
      <c r="A2647" s="144"/>
      <c r="B2647" s="145"/>
      <c r="C2647" s="129"/>
      <c r="D2647" s="129"/>
      <c r="E2647" s="129"/>
      <c r="F2647" s="129"/>
      <c r="G2647" s="144"/>
      <c r="H2647" s="129"/>
      <c r="I2647" s="144"/>
      <c r="J2647" s="144"/>
      <c r="K2647" s="144"/>
      <c r="L2647" s="146"/>
      <c r="M2647" s="142"/>
      <c r="N2647" s="144"/>
      <c r="O2647" s="142"/>
      <c r="P2647" s="142"/>
      <c r="Q2647" s="142"/>
      <c r="R2647" s="129"/>
      <c r="S2647" s="143"/>
      <c r="T2647" s="144"/>
      <c r="U2647" s="129"/>
      <c r="V2647" s="129"/>
    </row>
    <row r="2648" spans="1:22" x14ac:dyDescent="0.2">
      <c r="A2648" s="144"/>
      <c r="B2648" s="145"/>
      <c r="C2648" s="129"/>
      <c r="D2648" s="129"/>
      <c r="E2648" s="129"/>
      <c r="F2648" s="129"/>
      <c r="G2648" s="144"/>
      <c r="H2648" s="129"/>
      <c r="I2648" s="144"/>
      <c r="J2648" s="144"/>
      <c r="K2648" s="144"/>
      <c r="L2648" s="146"/>
      <c r="M2648" s="142"/>
      <c r="N2648" s="144"/>
      <c r="O2648" s="142"/>
      <c r="P2648" s="142"/>
      <c r="Q2648" s="142"/>
      <c r="R2648" s="129"/>
      <c r="S2648" s="143"/>
      <c r="T2648" s="144"/>
      <c r="U2648" s="129"/>
      <c r="V2648" s="129"/>
    </row>
    <row r="2649" spans="1:22" x14ac:dyDescent="0.2">
      <c r="A2649" s="144"/>
      <c r="B2649" s="145"/>
      <c r="C2649" s="129"/>
      <c r="D2649" s="129"/>
      <c r="E2649" s="129"/>
      <c r="F2649" s="129"/>
      <c r="G2649" s="144"/>
      <c r="H2649" s="129"/>
      <c r="I2649" s="144"/>
      <c r="J2649" s="144"/>
      <c r="K2649" s="144"/>
      <c r="L2649" s="146"/>
      <c r="M2649" s="142"/>
      <c r="N2649" s="144"/>
      <c r="O2649" s="142"/>
      <c r="P2649" s="142"/>
      <c r="Q2649" s="142"/>
      <c r="R2649" s="129"/>
      <c r="S2649" s="143"/>
      <c r="T2649" s="144"/>
      <c r="U2649" s="129"/>
      <c r="V2649" s="129"/>
    </row>
    <row r="2650" spans="1:22" x14ac:dyDescent="0.2">
      <c r="A2650" s="144"/>
      <c r="B2650" s="145"/>
      <c r="C2650" s="129"/>
      <c r="D2650" s="129"/>
      <c r="E2650" s="129"/>
      <c r="F2650" s="129"/>
      <c r="G2650" s="144"/>
      <c r="H2650" s="129"/>
      <c r="I2650" s="144"/>
      <c r="J2650" s="144"/>
      <c r="K2650" s="144"/>
      <c r="L2650" s="146"/>
      <c r="M2650" s="142"/>
      <c r="N2650" s="144"/>
      <c r="O2650" s="142"/>
      <c r="P2650" s="142"/>
      <c r="Q2650" s="142"/>
      <c r="R2650" s="129"/>
      <c r="S2650" s="143"/>
      <c r="T2650" s="144"/>
      <c r="U2650" s="129"/>
      <c r="V2650" s="129"/>
    </row>
    <row r="2651" spans="1:22" x14ac:dyDescent="0.2">
      <c r="A2651" s="144"/>
      <c r="B2651" s="145"/>
      <c r="C2651" s="129"/>
      <c r="D2651" s="129"/>
      <c r="E2651" s="129"/>
      <c r="F2651" s="129"/>
      <c r="G2651" s="144"/>
      <c r="H2651" s="129"/>
      <c r="I2651" s="144"/>
      <c r="J2651" s="144"/>
      <c r="K2651" s="144"/>
      <c r="L2651" s="146"/>
      <c r="M2651" s="142"/>
      <c r="N2651" s="144"/>
      <c r="O2651" s="142"/>
      <c r="P2651" s="142"/>
      <c r="Q2651" s="142"/>
      <c r="R2651" s="129"/>
      <c r="S2651" s="143"/>
      <c r="T2651" s="144"/>
      <c r="U2651" s="129"/>
      <c r="V2651" s="129"/>
    </row>
    <row r="2652" spans="1:22" x14ac:dyDescent="0.2">
      <c r="A2652" s="144"/>
      <c r="B2652" s="145"/>
      <c r="C2652" s="129"/>
      <c r="D2652" s="129"/>
      <c r="E2652" s="129"/>
      <c r="F2652" s="129"/>
      <c r="G2652" s="144"/>
      <c r="H2652" s="129"/>
      <c r="I2652" s="144"/>
      <c r="J2652" s="144"/>
      <c r="K2652" s="144"/>
      <c r="L2652" s="146"/>
      <c r="M2652" s="142"/>
      <c r="N2652" s="144"/>
      <c r="O2652" s="142"/>
      <c r="P2652" s="142"/>
      <c r="Q2652" s="142"/>
      <c r="R2652" s="129"/>
      <c r="S2652" s="143"/>
      <c r="T2652" s="144"/>
      <c r="U2652" s="129"/>
      <c r="V2652" s="129"/>
    </row>
    <row r="2653" spans="1:22" x14ac:dyDescent="0.2">
      <c r="A2653" s="144"/>
      <c r="B2653" s="145"/>
      <c r="C2653" s="129"/>
      <c r="D2653" s="129"/>
      <c r="E2653" s="129"/>
      <c r="F2653" s="129"/>
      <c r="G2653" s="144"/>
      <c r="H2653" s="129"/>
      <c r="I2653" s="144"/>
      <c r="J2653" s="144"/>
      <c r="K2653" s="144"/>
      <c r="L2653" s="146"/>
      <c r="M2653" s="142"/>
      <c r="N2653" s="144"/>
      <c r="O2653" s="142"/>
      <c r="P2653" s="142"/>
      <c r="Q2653" s="142"/>
      <c r="R2653" s="129"/>
      <c r="S2653" s="143"/>
      <c r="T2653" s="144"/>
      <c r="U2653" s="129"/>
      <c r="V2653" s="129"/>
    </row>
    <row r="2654" spans="1:22" x14ac:dyDescent="0.2">
      <c r="A2654" s="144"/>
      <c r="B2654" s="145"/>
      <c r="C2654" s="129"/>
      <c r="D2654" s="129"/>
      <c r="E2654" s="129"/>
      <c r="F2654" s="129"/>
      <c r="G2654" s="144"/>
      <c r="H2654" s="129"/>
      <c r="I2654" s="144"/>
      <c r="J2654" s="144"/>
      <c r="K2654" s="144"/>
      <c r="L2654" s="146"/>
      <c r="M2654" s="142"/>
      <c r="N2654" s="144"/>
      <c r="O2654" s="142"/>
      <c r="P2654" s="142"/>
      <c r="Q2654" s="142"/>
      <c r="R2654" s="129"/>
      <c r="S2654" s="143"/>
      <c r="T2654" s="144"/>
      <c r="U2654" s="129"/>
      <c r="V2654" s="129"/>
    </row>
    <row r="2655" spans="1:22" x14ac:dyDescent="0.2">
      <c r="A2655" s="144"/>
      <c r="B2655" s="145"/>
      <c r="C2655" s="129"/>
      <c r="D2655" s="129"/>
      <c r="E2655" s="129"/>
      <c r="F2655" s="129"/>
      <c r="G2655" s="144"/>
      <c r="H2655" s="129"/>
      <c r="I2655" s="144"/>
      <c r="J2655" s="144"/>
      <c r="K2655" s="144"/>
      <c r="L2655" s="146"/>
      <c r="M2655" s="142"/>
      <c r="N2655" s="144"/>
      <c r="O2655" s="142"/>
      <c r="P2655" s="142"/>
      <c r="Q2655" s="142"/>
      <c r="R2655" s="129"/>
      <c r="S2655" s="143"/>
      <c r="T2655" s="144"/>
      <c r="U2655" s="129"/>
      <c r="V2655" s="129"/>
    </row>
    <row r="2656" spans="1:22" x14ac:dyDescent="0.2">
      <c r="A2656" s="144"/>
      <c r="B2656" s="145"/>
      <c r="C2656" s="129"/>
      <c r="D2656" s="129"/>
      <c r="E2656" s="129"/>
      <c r="F2656" s="129"/>
      <c r="G2656" s="144"/>
      <c r="H2656" s="129"/>
      <c r="I2656" s="144"/>
      <c r="J2656" s="144"/>
      <c r="K2656" s="144"/>
      <c r="L2656" s="146"/>
      <c r="M2656" s="142"/>
      <c r="N2656" s="144"/>
      <c r="O2656" s="142"/>
      <c r="P2656" s="142"/>
      <c r="Q2656" s="142"/>
      <c r="R2656" s="129"/>
      <c r="S2656" s="143"/>
      <c r="T2656" s="144"/>
      <c r="U2656" s="129"/>
      <c r="V2656" s="129"/>
    </row>
    <row r="2657" spans="1:22" x14ac:dyDescent="0.2">
      <c r="A2657" s="144"/>
      <c r="B2657" s="145"/>
      <c r="C2657" s="129"/>
      <c r="D2657" s="129"/>
      <c r="E2657" s="129"/>
      <c r="F2657" s="129"/>
      <c r="G2657" s="144"/>
      <c r="H2657" s="129"/>
      <c r="I2657" s="144"/>
      <c r="J2657" s="144"/>
      <c r="K2657" s="144"/>
      <c r="L2657" s="146"/>
      <c r="M2657" s="142"/>
      <c r="N2657" s="144"/>
      <c r="O2657" s="142"/>
      <c r="P2657" s="142"/>
      <c r="Q2657" s="142"/>
      <c r="R2657" s="129"/>
      <c r="S2657" s="143"/>
      <c r="T2657" s="144"/>
      <c r="U2657" s="129"/>
      <c r="V2657" s="129"/>
    </row>
    <row r="2658" spans="1:22" x14ac:dyDescent="0.2">
      <c r="A2658" s="144"/>
      <c r="B2658" s="145"/>
      <c r="C2658" s="129"/>
      <c r="D2658" s="129"/>
      <c r="E2658" s="129"/>
      <c r="F2658" s="129"/>
      <c r="G2658" s="144"/>
      <c r="H2658" s="129"/>
      <c r="I2658" s="144"/>
      <c r="J2658" s="144"/>
      <c r="K2658" s="144"/>
      <c r="L2658" s="146"/>
      <c r="M2658" s="142"/>
      <c r="N2658" s="144"/>
      <c r="O2658" s="142"/>
      <c r="P2658" s="142"/>
      <c r="Q2658" s="142"/>
      <c r="R2658" s="129"/>
      <c r="S2658" s="143"/>
      <c r="T2658" s="144"/>
      <c r="U2658" s="129"/>
      <c r="V2658" s="129"/>
    </row>
    <row r="2659" spans="1:22" x14ac:dyDescent="0.2">
      <c r="A2659" s="144"/>
      <c r="B2659" s="145"/>
      <c r="C2659" s="129"/>
      <c r="D2659" s="129"/>
      <c r="E2659" s="129"/>
      <c r="F2659" s="129"/>
      <c r="G2659" s="144"/>
      <c r="H2659" s="129"/>
      <c r="I2659" s="144"/>
      <c r="J2659" s="144"/>
      <c r="K2659" s="144"/>
      <c r="L2659" s="146"/>
      <c r="M2659" s="142"/>
      <c r="N2659" s="144"/>
      <c r="O2659" s="142"/>
      <c r="P2659" s="142"/>
      <c r="Q2659" s="142"/>
      <c r="R2659" s="129"/>
      <c r="S2659" s="143"/>
      <c r="T2659" s="144"/>
      <c r="U2659" s="129"/>
      <c r="V2659" s="129"/>
    </row>
    <row r="2660" spans="1:22" x14ac:dyDescent="0.2">
      <c r="A2660" s="144"/>
      <c r="B2660" s="145"/>
      <c r="C2660" s="129"/>
      <c r="D2660" s="129"/>
      <c r="E2660" s="129"/>
      <c r="F2660" s="129"/>
      <c r="G2660" s="144"/>
      <c r="H2660" s="129"/>
      <c r="I2660" s="144"/>
      <c r="J2660" s="144"/>
      <c r="K2660" s="144"/>
      <c r="L2660" s="146"/>
      <c r="M2660" s="142"/>
      <c r="N2660" s="144"/>
      <c r="O2660" s="142"/>
      <c r="P2660" s="142"/>
      <c r="Q2660" s="142"/>
      <c r="R2660" s="129"/>
      <c r="S2660" s="143"/>
      <c r="T2660" s="144"/>
      <c r="U2660" s="129"/>
      <c r="V2660" s="129"/>
    </row>
    <row r="2661" spans="1:22" x14ac:dyDescent="0.2">
      <c r="A2661" s="144"/>
      <c r="B2661" s="145"/>
      <c r="C2661" s="129"/>
      <c r="D2661" s="129"/>
      <c r="E2661" s="129"/>
      <c r="F2661" s="129"/>
      <c r="G2661" s="144"/>
      <c r="H2661" s="129"/>
      <c r="I2661" s="144"/>
      <c r="J2661" s="144"/>
      <c r="K2661" s="144"/>
      <c r="L2661" s="146"/>
      <c r="M2661" s="142"/>
      <c r="N2661" s="144"/>
      <c r="O2661" s="142"/>
      <c r="P2661" s="142"/>
      <c r="Q2661" s="142"/>
      <c r="R2661" s="129"/>
      <c r="S2661" s="143"/>
      <c r="T2661" s="144"/>
      <c r="U2661" s="129"/>
      <c r="V2661" s="129"/>
    </row>
    <row r="2662" spans="1:22" x14ac:dyDescent="0.2">
      <c r="A2662" s="144"/>
      <c r="B2662" s="145"/>
      <c r="C2662" s="129"/>
      <c r="D2662" s="129"/>
      <c r="E2662" s="129"/>
      <c r="F2662" s="129"/>
      <c r="G2662" s="144"/>
      <c r="H2662" s="129"/>
      <c r="I2662" s="144"/>
      <c r="J2662" s="144"/>
      <c r="K2662" s="144"/>
      <c r="L2662" s="146"/>
      <c r="M2662" s="142"/>
      <c r="N2662" s="144"/>
      <c r="O2662" s="142"/>
      <c r="P2662" s="142"/>
      <c r="Q2662" s="142"/>
      <c r="R2662" s="129"/>
      <c r="S2662" s="143"/>
      <c r="T2662" s="144"/>
      <c r="U2662" s="129"/>
      <c r="V2662" s="129"/>
    </row>
    <row r="2663" spans="1:22" x14ac:dyDescent="0.2">
      <c r="A2663" s="144"/>
      <c r="B2663" s="145"/>
      <c r="C2663" s="129"/>
      <c r="D2663" s="129"/>
      <c r="E2663" s="129"/>
      <c r="F2663" s="129"/>
      <c r="G2663" s="144"/>
      <c r="H2663" s="129"/>
      <c r="I2663" s="144"/>
      <c r="J2663" s="144"/>
      <c r="K2663" s="144"/>
      <c r="L2663" s="146"/>
      <c r="M2663" s="142"/>
      <c r="N2663" s="144"/>
      <c r="O2663" s="142"/>
      <c r="P2663" s="142"/>
      <c r="Q2663" s="142"/>
      <c r="R2663" s="129"/>
      <c r="S2663" s="143"/>
      <c r="T2663" s="144"/>
      <c r="U2663" s="129"/>
      <c r="V2663" s="129"/>
    </row>
    <row r="2664" spans="1:22" x14ac:dyDescent="0.2">
      <c r="A2664" s="144"/>
      <c r="B2664" s="145"/>
      <c r="C2664" s="129"/>
      <c r="D2664" s="129"/>
      <c r="E2664" s="129"/>
      <c r="F2664" s="129"/>
      <c r="G2664" s="144"/>
      <c r="H2664" s="129"/>
      <c r="I2664" s="144"/>
      <c r="J2664" s="144"/>
      <c r="K2664" s="144"/>
      <c r="L2664" s="146"/>
      <c r="M2664" s="142"/>
      <c r="N2664" s="144"/>
      <c r="O2664" s="142"/>
      <c r="P2664" s="142"/>
      <c r="Q2664" s="142"/>
      <c r="R2664" s="129"/>
      <c r="S2664" s="143"/>
      <c r="T2664" s="144"/>
      <c r="U2664" s="129"/>
      <c r="V2664" s="129"/>
    </row>
    <row r="2665" spans="1:22" x14ac:dyDescent="0.2">
      <c r="A2665" s="144"/>
      <c r="B2665" s="145"/>
      <c r="C2665" s="129"/>
      <c r="D2665" s="129"/>
      <c r="E2665" s="129"/>
      <c r="F2665" s="129"/>
      <c r="G2665" s="144"/>
      <c r="H2665" s="129"/>
      <c r="I2665" s="144"/>
      <c r="J2665" s="144"/>
      <c r="K2665" s="144"/>
      <c r="L2665" s="146"/>
      <c r="M2665" s="142"/>
      <c r="N2665" s="144"/>
      <c r="O2665" s="142"/>
      <c r="P2665" s="142"/>
      <c r="Q2665" s="142"/>
      <c r="R2665" s="129"/>
      <c r="S2665" s="143"/>
      <c r="T2665" s="144"/>
      <c r="U2665" s="129"/>
      <c r="V2665" s="129"/>
    </row>
    <row r="2666" spans="1:22" x14ac:dyDescent="0.2">
      <c r="A2666" s="144"/>
      <c r="B2666" s="145"/>
      <c r="C2666" s="129"/>
      <c r="D2666" s="129"/>
      <c r="E2666" s="129"/>
      <c r="F2666" s="129"/>
      <c r="G2666" s="144"/>
      <c r="H2666" s="129"/>
      <c r="I2666" s="144"/>
      <c r="J2666" s="144"/>
      <c r="K2666" s="144"/>
      <c r="L2666" s="146"/>
      <c r="M2666" s="142"/>
      <c r="N2666" s="144"/>
      <c r="O2666" s="142"/>
      <c r="P2666" s="142"/>
      <c r="Q2666" s="142"/>
      <c r="R2666" s="129"/>
      <c r="S2666" s="143"/>
      <c r="T2666" s="144"/>
      <c r="U2666" s="129"/>
      <c r="V2666" s="129"/>
    </row>
    <row r="2667" spans="1:22" x14ac:dyDescent="0.2">
      <c r="A2667" s="144"/>
      <c r="B2667" s="145"/>
      <c r="C2667" s="129"/>
      <c r="D2667" s="129"/>
      <c r="E2667" s="129"/>
      <c r="F2667" s="129"/>
      <c r="G2667" s="144"/>
      <c r="H2667" s="129"/>
      <c r="I2667" s="144"/>
      <c r="J2667" s="144"/>
      <c r="K2667" s="144"/>
      <c r="L2667" s="146"/>
      <c r="M2667" s="142"/>
      <c r="N2667" s="144"/>
      <c r="O2667" s="142"/>
      <c r="P2667" s="142"/>
      <c r="Q2667" s="142"/>
      <c r="R2667" s="129"/>
      <c r="S2667" s="143"/>
      <c r="T2667" s="144"/>
      <c r="U2667" s="129"/>
      <c r="V2667" s="129"/>
    </row>
    <row r="2668" spans="1:22" x14ac:dyDescent="0.2">
      <c r="A2668" s="144"/>
      <c r="B2668" s="145"/>
      <c r="C2668" s="129"/>
      <c r="D2668" s="129"/>
      <c r="E2668" s="129"/>
      <c r="F2668" s="129"/>
      <c r="G2668" s="144"/>
      <c r="H2668" s="129"/>
      <c r="I2668" s="144"/>
      <c r="J2668" s="144"/>
      <c r="K2668" s="144"/>
      <c r="L2668" s="146"/>
      <c r="M2668" s="142"/>
      <c r="N2668" s="144"/>
      <c r="O2668" s="142"/>
      <c r="P2668" s="142"/>
      <c r="Q2668" s="142"/>
      <c r="R2668" s="129"/>
      <c r="S2668" s="143"/>
      <c r="T2668" s="144"/>
      <c r="U2668" s="129"/>
      <c r="V2668" s="129"/>
    </row>
    <row r="2669" spans="1:22" x14ac:dyDescent="0.2">
      <c r="A2669" s="144"/>
      <c r="B2669" s="145"/>
      <c r="C2669" s="129"/>
      <c r="D2669" s="129"/>
      <c r="E2669" s="129"/>
      <c r="F2669" s="129"/>
      <c r="G2669" s="144"/>
      <c r="H2669" s="129"/>
      <c r="I2669" s="144"/>
      <c r="J2669" s="144"/>
      <c r="K2669" s="144"/>
      <c r="L2669" s="146"/>
      <c r="M2669" s="142"/>
      <c r="N2669" s="144"/>
      <c r="O2669" s="142"/>
      <c r="P2669" s="142"/>
      <c r="Q2669" s="142"/>
      <c r="R2669" s="129"/>
      <c r="S2669" s="143"/>
      <c r="T2669" s="144"/>
      <c r="U2669" s="129"/>
      <c r="V2669" s="129"/>
    </row>
    <row r="2670" spans="1:22" x14ac:dyDescent="0.2">
      <c r="A2670" s="144"/>
      <c r="B2670" s="145"/>
      <c r="C2670" s="129"/>
      <c r="D2670" s="129"/>
      <c r="E2670" s="129"/>
      <c r="F2670" s="129"/>
      <c r="G2670" s="144"/>
      <c r="H2670" s="129"/>
      <c r="I2670" s="144"/>
      <c r="J2670" s="144"/>
      <c r="K2670" s="144"/>
      <c r="L2670" s="146"/>
      <c r="M2670" s="142"/>
      <c r="N2670" s="144"/>
      <c r="O2670" s="142"/>
      <c r="P2670" s="142"/>
      <c r="Q2670" s="142"/>
      <c r="R2670" s="129"/>
      <c r="S2670" s="143"/>
      <c r="T2670" s="144"/>
      <c r="U2670" s="129"/>
      <c r="V2670" s="129"/>
    </row>
    <row r="2671" spans="1:22" x14ac:dyDescent="0.2">
      <c r="A2671" s="144"/>
      <c r="B2671" s="145"/>
      <c r="C2671" s="129"/>
      <c r="D2671" s="129"/>
      <c r="E2671" s="129"/>
      <c r="F2671" s="129"/>
      <c r="G2671" s="144"/>
      <c r="H2671" s="129"/>
      <c r="I2671" s="144"/>
      <c r="J2671" s="144"/>
      <c r="K2671" s="144"/>
      <c r="L2671" s="146"/>
      <c r="M2671" s="142"/>
      <c r="N2671" s="144"/>
      <c r="O2671" s="142"/>
      <c r="P2671" s="142"/>
      <c r="Q2671" s="142"/>
      <c r="R2671" s="129"/>
      <c r="S2671" s="143"/>
      <c r="T2671" s="144"/>
      <c r="U2671" s="129"/>
      <c r="V2671" s="129"/>
    </row>
    <row r="2672" spans="1:22" x14ac:dyDescent="0.2">
      <c r="A2672" s="144"/>
      <c r="B2672" s="145"/>
      <c r="C2672" s="129"/>
      <c r="D2672" s="129"/>
      <c r="E2672" s="129"/>
      <c r="F2672" s="129"/>
      <c r="G2672" s="144"/>
      <c r="H2672" s="129"/>
      <c r="I2672" s="144"/>
      <c r="J2672" s="144"/>
      <c r="K2672" s="144"/>
      <c r="L2672" s="146"/>
      <c r="M2672" s="142"/>
      <c r="N2672" s="144"/>
      <c r="O2672" s="142"/>
      <c r="P2672" s="142"/>
      <c r="Q2672" s="142"/>
      <c r="R2672" s="129"/>
      <c r="S2672" s="143"/>
      <c r="T2672" s="144"/>
      <c r="U2672" s="129"/>
      <c r="V2672" s="129"/>
    </row>
    <row r="2673" spans="1:22" x14ac:dyDescent="0.2">
      <c r="A2673" s="144"/>
      <c r="B2673" s="145"/>
      <c r="C2673" s="129"/>
      <c r="D2673" s="129"/>
      <c r="E2673" s="129"/>
      <c r="F2673" s="129"/>
      <c r="G2673" s="144"/>
      <c r="H2673" s="129"/>
      <c r="I2673" s="144"/>
      <c r="J2673" s="144"/>
      <c r="K2673" s="144"/>
      <c r="L2673" s="146"/>
      <c r="M2673" s="142"/>
      <c r="N2673" s="144"/>
      <c r="O2673" s="142"/>
      <c r="P2673" s="142"/>
      <c r="Q2673" s="142"/>
      <c r="R2673" s="129"/>
      <c r="S2673" s="143"/>
      <c r="T2673" s="144"/>
      <c r="U2673" s="129"/>
      <c r="V2673" s="129"/>
    </row>
    <row r="2674" spans="1:22" x14ac:dyDescent="0.2">
      <c r="A2674" s="144"/>
      <c r="B2674" s="145"/>
      <c r="C2674" s="129"/>
      <c r="D2674" s="129"/>
      <c r="E2674" s="129"/>
      <c r="F2674" s="129"/>
      <c r="G2674" s="144"/>
      <c r="H2674" s="129"/>
      <c r="I2674" s="144"/>
      <c r="J2674" s="144"/>
      <c r="K2674" s="144"/>
      <c r="L2674" s="146"/>
      <c r="M2674" s="142"/>
      <c r="N2674" s="144"/>
      <c r="O2674" s="142"/>
      <c r="P2674" s="142"/>
      <c r="Q2674" s="142"/>
      <c r="R2674" s="129"/>
      <c r="S2674" s="143"/>
      <c r="T2674" s="144"/>
      <c r="U2674" s="129"/>
      <c r="V2674" s="129"/>
    </row>
    <row r="2675" spans="1:22" x14ac:dyDescent="0.2">
      <c r="A2675" s="144"/>
      <c r="B2675" s="145"/>
      <c r="C2675" s="129"/>
      <c r="D2675" s="129"/>
      <c r="E2675" s="129"/>
      <c r="F2675" s="129"/>
      <c r="G2675" s="144"/>
      <c r="H2675" s="129"/>
      <c r="I2675" s="144"/>
      <c r="J2675" s="144"/>
      <c r="K2675" s="144"/>
      <c r="L2675" s="146"/>
      <c r="M2675" s="142"/>
      <c r="N2675" s="144"/>
      <c r="O2675" s="142"/>
      <c r="P2675" s="142"/>
      <c r="Q2675" s="142"/>
      <c r="R2675" s="129"/>
      <c r="S2675" s="143"/>
      <c r="T2675" s="144"/>
      <c r="U2675" s="129"/>
      <c r="V2675" s="129"/>
    </row>
    <row r="2676" spans="1:22" x14ac:dyDescent="0.2">
      <c r="A2676" s="144"/>
      <c r="B2676" s="145"/>
      <c r="C2676" s="129"/>
      <c r="D2676" s="129"/>
      <c r="E2676" s="129"/>
      <c r="F2676" s="129"/>
      <c r="G2676" s="144"/>
      <c r="H2676" s="129"/>
      <c r="I2676" s="144"/>
      <c r="J2676" s="144"/>
      <c r="K2676" s="144"/>
      <c r="L2676" s="146"/>
      <c r="M2676" s="142"/>
      <c r="N2676" s="144"/>
      <c r="O2676" s="142"/>
      <c r="P2676" s="142"/>
      <c r="Q2676" s="142"/>
      <c r="R2676" s="129"/>
      <c r="S2676" s="143"/>
      <c r="T2676" s="144"/>
      <c r="U2676" s="129"/>
      <c r="V2676" s="129"/>
    </row>
    <row r="2677" spans="1:22" x14ac:dyDescent="0.2">
      <c r="A2677" s="144"/>
      <c r="B2677" s="145"/>
      <c r="C2677" s="129"/>
      <c r="D2677" s="129"/>
      <c r="E2677" s="129"/>
      <c r="F2677" s="129"/>
      <c r="G2677" s="144"/>
      <c r="H2677" s="129"/>
      <c r="I2677" s="144"/>
      <c r="J2677" s="144"/>
      <c r="K2677" s="144"/>
      <c r="L2677" s="146"/>
      <c r="M2677" s="142"/>
      <c r="N2677" s="144"/>
      <c r="O2677" s="142"/>
      <c r="P2677" s="142"/>
      <c r="Q2677" s="142"/>
      <c r="R2677" s="129"/>
      <c r="S2677" s="143"/>
      <c r="T2677" s="144"/>
      <c r="U2677" s="129"/>
      <c r="V2677" s="129"/>
    </row>
    <row r="2678" spans="1:22" x14ac:dyDescent="0.2">
      <c r="A2678" s="144"/>
      <c r="B2678" s="145"/>
      <c r="C2678" s="129"/>
      <c r="D2678" s="129"/>
      <c r="E2678" s="129"/>
      <c r="F2678" s="129"/>
      <c r="G2678" s="144"/>
      <c r="H2678" s="129"/>
      <c r="I2678" s="144"/>
      <c r="J2678" s="144"/>
      <c r="K2678" s="144"/>
      <c r="L2678" s="146"/>
      <c r="M2678" s="142"/>
      <c r="N2678" s="144"/>
      <c r="O2678" s="142"/>
      <c r="P2678" s="142"/>
      <c r="Q2678" s="142"/>
      <c r="R2678" s="129"/>
      <c r="S2678" s="143"/>
      <c r="T2678" s="144"/>
      <c r="U2678" s="129"/>
      <c r="V2678" s="129"/>
    </row>
    <row r="2679" spans="1:22" x14ac:dyDescent="0.2">
      <c r="A2679" s="144"/>
      <c r="B2679" s="145"/>
      <c r="C2679" s="129"/>
      <c r="D2679" s="129"/>
      <c r="E2679" s="129"/>
      <c r="F2679" s="129"/>
      <c r="G2679" s="144"/>
      <c r="H2679" s="129"/>
      <c r="I2679" s="144"/>
      <c r="J2679" s="144"/>
      <c r="K2679" s="144"/>
      <c r="L2679" s="146"/>
      <c r="M2679" s="142"/>
      <c r="N2679" s="144"/>
      <c r="O2679" s="142"/>
      <c r="P2679" s="142"/>
      <c r="Q2679" s="142"/>
      <c r="R2679" s="129"/>
      <c r="S2679" s="143"/>
      <c r="T2679" s="144"/>
      <c r="U2679" s="129"/>
      <c r="V2679" s="129"/>
    </row>
    <row r="2680" spans="1:22" x14ac:dyDescent="0.2">
      <c r="A2680" s="144"/>
      <c r="B2680" s="145"/>
      <c r="C2680" s="129"/>
      <c r="D2680" s="129"/>
      <c r="E2680" s="129"/>
      <c r="F2680" s="129"/>
      <c r="G2680" s="144"/>
      <c r="H2680" s="129"/>
      <c r="I2680" s="144"/>
      <c r="J2680" s="144"/>
      <c r="K2680" s="144"/>
      <c r="L2680" s="146"/>
      <c r="M2680" s="142"/>
      <c r="N2680" s="144"/>
      <c r="O2680" s="142"/>
      <c r="P2680" s="142"/>
      <c r="Q2680" s="142"/>
      <c r="R2680" s="129"/>
      <c r="S2680" s="143"/>
      <c r="T2680" s="144"/>
      <c r="U2680" s="129"/>
      <c r="V2680" s="129"/>
    </row>
    <row r="2681" spans="1:22" x14ac:dyDescent="0.2">
      <c r="A2681" s="144"/>
      <c r="B2681" s="145"/>
      <c r="C2681" s="129"/>
      <c r="D2681" s="129"/>
      <c r="E2681" s="129"/>
      <c r="F2681" s="129"/>
      <c r="G2681" s="144"/>
      <c r="H2681" s="129"/>
      <c r="I2681" s="144"/>
      <c r="J2681" s="144"/>
      <c r="K2681" s="144"/>
      <c r="L2681" s="146"/>
      <c r="M2681" s="142"/>
      <c r="N2681" s="144"/>
      <c r="O2681" s="142"/>
      <c r="P2681" s="142"/>
      <c r="Q2681" s="142"/>
      <c r="R2681" s="129"/>
      <c r="S2681" s="143"/>
      <c r="T2681" s="144"/>
      <c r="U2681" s="129"/>
      <c r="V2681" s="129"/>
    </row>
    <row r="2682" spans="1:22" x14ac:dyDescent="0.2">
      <c r="A2682" s="144"/>
      <c r="B2682" s="145"/>
      <c r="C2682" s="129"/>
      <c r="D2682" s="129"/>
      <c r="E2682" s="129"/>
      <c r="F2682" s="129"/>
      <c r="G2682" s="144"/>
      <c r="H2682" s="129"/>
      <c r="I2682" s="144"/>
      <c r="J2682" s="144"/>
      <c r="K2682" s="144"/>
      <c r="L2682" s="146"/>
      <c r="M2682" s="142"/>
      <c r="N2682" s="144"/>
      <c r="O2682" s="142"/>
      <c r="P2682" s="142"/>
      <c r="Q2682" s="142"/>
      <c r="R2682" s="129"/>
      <c r="S2682" s="143"/>
      <c r="T2682" s="144"/>
      <c r="U2682" s="129"/>
      <c r="V2682" s="129"/>
    </row>
    <row r="2683" spans="1:22" x14ac:dyDescent="0.2">
      <c r="A2683" s="144"/>
      <c r="B2683" s="145"/>
      <c r="C2683" s="129"/>
      <c r="D2683" s="129"/>
      <c r="E2683" s="129"/>
      <c r="F2683" s="129"/>
      <c r="G2683" s="144"/>
      <c r="H2683" s="129"/>
      <c r="I2683" s="144"/>
      <c r="J2683" s="144"/>
      <c r="K2683" s="144"/>
      <c r="L2683" s="146"/>
      <c r="M2683" s="142"/>
      <c r="N2683" s="144"/>
      <c r="O2683" s="142"/>
      <c r="P2683" s="142"/>
      <c r="Q2683" s="142"/>
      <c r="R2683" s="129"/>
      <c r="S2683" s="143"/>
      <c r="T2683" s="144"/>
      <c r="U2683" s="129"/>
      <c r="V2683" s="129"/>
    </row>
    <row r="2684" spans="1:22" x14ac:dyDescent="0.2">
      <c r="A2684" s="144"/>
      <c r="B2684" s="145"/>
      <c r="C2684" s="129"/>
      <c r="D2684" s="129"/>
      <c r="E2684" s="129"/>
      <c r="F2684" s="129"/>
      <c r="G2684" s="144"/>
      <c r="H2684" s="129"/>
      <c r="I2684" s="144"/>
      <c r="J2684" s="144"/>
      <c r="K2684" s="144"/>
      <c r="L2684" s="146"/>
      <c r="M2684" s="142"/>
      <c r="N2684" s="144"/>
      <c r="O2684" s="142"/>
      <c r="P2684" s="142"/>
      <c r="Q2684" s="142"/>
      <c r="R2684" s="129"/>
      <c r="S2684" s="143"/>
      <c r="T2684" s="144"/>
      <c r="U2684" s="129"/>
      <c r="V2684" s="129"/>
    </row>
    <row r="2685" spans="1:22" x14ac:dyDescent="0.2">
      <c r="A2685" s="144"/>
      <c r="B2685" s="145"/>
      <c r="C2685" s="129"/>
      <c r="D2685" s="129"/>
      <c r="E2685" s="129"/>
      <c r="F2685" s="129"/>
      <c r="G2685" s="144"/>
      <c r="H2685" s="129"/>
      <c r="I2685" s="144"/>
      <c r="J2685" s="144"/>
      <c r="K2685" s="144"/>
      <c r="L2685" s="146"/>
      <c r="M2685" s="142"/>
      <c r="N2685" s="144"/>
      <c r="O2685" s="142"/>
      <c r="P2685" s="142"/>
      <c r="Q2685" s="142"/>
      <c r="R2685" s="129"/>
      <c r="S2685" s="143"/>
      <c r="T2685" s="144"/>
      <c r="U2685" s="129"/>
      <c r="V2685" s="129"/>
    </row>
    <row r="2686" spans="1:22" x14ac:dyDescent="0.2">
      <c r="A2686" s="144"/>
      <c r="B2686" s="145"/>
      <c r="C2686" s="129"/>
      <c r="D2686" s="129"/>
      <c r="E2686" s="129"/>
      <c r="F2686" s="129"/>
      <c r="G2686" s="144"/>
      <c r="H2686" s="129"/>
      <c r="I2686" s="144"/>
      <c r="J2686" s="144"/>
      <c r="K2686" s="144"/>
      <c r="L2686" s="146"/>
      <c r="M2686" s="142"/>
      <c r="N2686" s="144"/>
      <c r="O2686" s="142"/>
      <c r="P2686" s="142"/>
      <c r="Q2686" s="142"/>
      <c r="R2686" s="129"/>
      <c r="S2686" s="143"/>
      <c r="T2686" s="144"/>
      <c r="U2686" s="129"/>
      <c r="V2686" s="129"/>
    </row>
    <row r="2687" spans="1:22" x14ac:dyDescent="0.2">
      <c r="A2687" s="144"/>
      <c r="B2687" s="145"/>
      <c r="C2687" s="129"/>
      <c r="D2687" s="129"/>
      <c r="E2687" s="129"/>
      <c r="F2687" s="129"/>
      <c r="G2687" s="144"/>
      <c r="H2687" s="129"/>
      <c r="I2687" s="144"/>
      <c r="J2687" s="144"/>
      <c r="K2687" s="144"/>
      <c r="L2687" s="146"/>
      <c r="M2687" s="142"/>
      <c r="N2687" s="144"/>
      <c r="O2687" s="142"/>
      <c r="P2687" s="142"/>
      <c r="Q2687" s="142"/>
      <c r="R2687" s="129"/>
      <c r="S2687" s="143"/>
      <c r="T2687" s="144"/>
      <c r="U2687" s="129"/>
      <c r="V2687" s="129"/>
    </row>
    <row r="2688" spans="1:22" x14ac:dyDescent="0.2">
      <c r="A2688" s="144"/>
      <c r="B2688" s="145"/>
      <c r="C2688" s="129"/>
      <c r="D2688" s="129"/>
      <c r="E2688" s="129"/>
      <c r="F2688" s="129"/>
      <c r="G2688" s="144"/>
      <c r="H2688" s="129"/>
      <c r="I2688" s="144"/>
      <c r="J2688" s="144"/>
      <c r="K2688" s="144"/>
      <c r="L2688" s="146"/>
      <c r="M2688" s="142"/>
      <c r="N2688" s="144"/>
      <c r="O2688" s="142"/>
      <c r="P2688" s="142"/>
      <c r="Q2688" s="142"/>
      <c r="R2688" s="129"/>
      <c r="S2688" s="143"/>
      <c r="T2688" s="144"/>
      <c r="U2688" s="129"/>
      <c r="V2688" s="129"/>
    </row>
    <row r="2689" spans="1:22" x14ac:dyDescent="0.2">
      <c r="A2689" s="144"/>
      <c r="B2689" s="145"/>
      <c r="C2689" s="129"/>
      <c r="D2689" s="129"/>
      <c r="E2689" s="129"/>
      <c r="F2689" s="129"/>
      <c r="G2689" s="144"/>
      <c r="H2689" s="129"/>
      <c r="I2689" s="144"/>
      <c r="J2689" s="144"/>
      <c r="K2689" s="144"/>
      <c r="L2689" s="146"/>
      <c r="M2689" s="142"/>
      <c r="N2689" s="144"/>
      <c r="O2689" s="142"/>
      <c r="P2689" s="142"/>
      <c r="Q2689" s="142"/>
      <c r="R2689" s="129"/>
      <c r="S2689" s="143"/>
      <c r="T2689" s="144"/>
      <c r="U2689" s="129"/>
      <c r="V2689" s="129"/>
    </row>
    <row r="2690" spans="1:22" x14ac:dyDescent="0.2">
      <c r="A2690" s="144"/>
      <c r="B2690" s="145"/>
      <c r="C2690" s="129"/>
      <c r="D2690" s="129"/>
      <c r="E2690" s="129"/>
      <c r="F2690" s="129"/>
      <c r="G2690" s="144"/>
      <c r="H2690" s="129"/>
      <c r="I2690" s="144"/>
      <c r="J2690" s="144"/>
      <c r="K2690" s="144"/>
      <c r="L2690" s="146"/>
      <c r="M2690" s="142"/>
      <c r="N2690" s="144"/>
      <c r="O2690" s="142"/>
      <c r="P2690" s="142"/>
      <c r="Q2690" s="142"/>
      <c r="R2690" s="129"/>
      <c r="S2690" s="143"/>
      <c r="T2690" s="144"/>
      <c r="U2690" s="129"/>
      <c r="V2690" s="129"/>
    </row>
    <row r="2691" spans="1:22" x14ac:dyDescent="0.2">
      <c r="A2691" s="144"/>
      <c r="B2691" s="145"/>
      <c r="C2691" s="129"/>
      <c r="D2691" s="129"/>
      <c r="E2691" s="129"/>
      <c r="F2691" s="129"/>
      <c r="G2691" s="144"/>
      <c r="H2691" s="129"/>
      <c r="I2691" s="144"/>
      <c r="J2691" s="144"/>
      <c r="K2691" s="144"/>
      <c r="L2691" s="146"/>
      <c r="M2691" s="142"/>
      <c r="N2691" s="144"/>
      <c r="O2691" s="142"/>
      <c r="P2691" s="142"/>
      <c r="Q2691" s="142"/>
      <c r="R2691" s="129"/>
      <c r="S2691" s="143"/>
      <c r="T2691" s="144"/>
      <c r="U2691" s="129"/>
      <c r="V2691" s="129"/>
    </row>
    <row r="2692" spans="1:22" x14ac:dyDescent="0.2">
      <c r="A2692" s="144"/>
      <c r="B2692" s="145"/>
      <c r="C2692" s="129"/>
      <c r="D2692" s="129"/>
      <c r="E2692" s="129"/>
      <c r="F2692" s="129"/>
      <c r="G2692" s="144"/>
      <c r="H2692" s="129"/>
      <c r="I2692" s="144"/>
      <c r="J2692" s="144"/>
      <c r="K2692" s="144"/>
      <c r="L2692" s="146"/>
      <c r="M2692" s="142"/>
      <c r="N2692" s="144"/>
      <c r="O2692" s="142"/>
      <c r="P2692" s="142"/>
      <c r="Q2692" s="142"/>
      <c r="R2692" s="129"/>
      <c r="S2692" s="143"/>
      <c r="T2692" s="144"/>
      <c r="U2692" s="129"/>
      <c r="V2692" s="129"/>
    </row>
    <row r="2693" spans="1:22" x14ac:dyDescent="0.2">
      <c r="A2693" s="144"/>
      <c r="B2693" s="145"/>
      <c r="C2693" s="129"/>
      <c r="D2693" s="129"/>
      <c r="E2693" s="129"/>
      <c r="F2693" s="129"/>
      <c r="G2693" s="144"/>
      <c r="H2693" s="129"/>
      <c r="I2693" s="144"/>
      <c r="J2693" s="144"/>
      <c r="K2693" s="144"/>
      <c r="L2693" s="146"/>
      <c r="M2693" s="142"/>
      <c r="N2693" s="144"/>
      <c r="O2693" s="142"/>
      <c r="P2693" s="142"/>
      <c r="Q2693" s="142"/>
      <c r="R2693" s="129"/>
      <c r="S2693" s="143"/>
      <c r="T2693" s="144"/>
      <c r="U2693" s="129"/>
      <c r="V2693" s="129"/>
    </row>
    <row r="2694" spans="1:22" x14ac:dyDescent="0.2">
      <c r="A2694" s="144"/>
      <c r="B2694" s="145"/>
      <c r="C2694" s="129"/>
      <c r="D2694" s="129"/>
      <c r="E2694" s="129"/>
      <c r="F2694" s="129"/>
      <c r="G2694" s="144"/>
      <c r="H2694" s="129"/>
      <c r="I2694" s="144"/>
      <c r="J2694" s="144"/>
      <c r="K2694" s="144"/>
      <c r="L2694" s="146"/>
      <c r="M2694" s="142"/>
      <c r="N2694" s="144"/>
      <c r="O2694" s="142"/>
      <c r="P2694" s="142"/>
      <c r="Q2694" s="142"/>
      <c r="R2694" s="129"/>
      <c r="S2694" s="143"/>
      <c r="T2694" s="144"/>
      <c r="U2694" s="129"/>
      <c r="V2694" s="129"/>
    </row>
    <row r="2695" spans="1:22" x14ac:dyDescent="0.2">
      <c r="A2695" s="144"/>
      <c r="B2695" s="145"/>
      <c r="C2695" s="129"/>
      <c r="D2695" s="129"/>
      <c r="E2695" s="129"/>
      <c r="F2695" s="129"/>
      <c r="G2695" s="144"/>
      <c r="H2695" s="129"/>
      <c r="I2695" s="144"/>
      <c r="J2695" s="144"/>
      <c r="K2695" s="144"/>
      <c r="L2695" s="146"/>
      <c r="M2695" s="142"/>
      <c r="N2695" s="144"/>
      <c r="O2695" s="142"/>
      <c r="P2695" s="142"/>
      <c r="Q2695" s="142"/>
      <c r="R2695" s="129"/>
      <c r="S2695" s="143"/>
      <c r="T2695" s="144"/>
      <c r="U2695" s="129"/>
      <c r="V2695" s="129"/>
    </row>
    <row r="2696" spans="1:22" x14ac:dyDescent="0.2">
      <c r="A2696" s="144"/>
      <c r="B2696" s="145"/>
      <c r="C2696" s="129"/>
      <c r="D2696" s="129"/>
      <c r="E2696" s="129"/>
      <c r="F2696" s="129"/>
      <c r="G2696" s="144"/>
      <c r="H2696" s="129"/>
      <c r="I2696" s="144"/>
      <c r="J2696" s="144"/>
      <c r="K2696" s="144"/>
      <c r="L2696" s="146"/>
      <c r="M2696" s="142"/>
      <c r="N2696" s="144"/>
      <c r="O2696" s="142"/>
      <c r="P2696" s="142"/>
      <c r="Q2696" s="142"/>
      <c r="R2696" s="129"/>
      <c r="S2696" s="143"/>
      <c r="T2696" s="144"/>
      <c r="U2696" s="129"/>
      <c r="V2696" s="129"/>
    </row>
    <row r="2697" spans="1:22" x14ac:dyDescent="0.2">
      <c r="A2697" s="144"/>
      <c r="B2697" s="145"/>
      <c r="C2697" s="129"/>
      <c r="D2697" s="129"/>
      <c r="E2697" s="129"/>
      <c r="F2697" s="129"/>
      <c r="G2697" s="144"/>
      <c r="H2697" s="129"/>
      <c r="I2697" s="144"/>
      <c r="J2697" s="144"/>
      <c r="K2697" s="144"/>
      <c r="L2697" s="146"/>
      <c r="M2697" s="142"/>
      <c r="N2697" s="144"/>
      <c r="O2697" s="142"/>
      <c r="P2697" s="142"/>
      <c r="Q2697" s="142"/>
      <c r="R2697" s="129"/>
      <c r="S2697" s="143"/>
      <c r="T2697" s="144"/>
      <c r="U2697" s="129"/>
      <c r="V2697" s="129"/>
    </row>
    <row r="2698" spans="1:22" x14ac:dyDescent="0.2">
      <c r="A2698" s="144"/>
      <c r="B2698" s="145"/>
      <c r="C2698" s="129"/>
      <c r="D2698" s="129"/>
      <c r="E2698" s="129"/>
      <c r="F2698" s="129"/>
      <c r="G2698" s="144"/>
      <c r="H2698" s="129"/>
      <c r="I2698" s="144"/>
      <c r="J2698" s="144"/>
      <c r="K2698" s="144"/>
      <c r="L2698" s="146"/>
      <c r="M2698" s="142"/>
      <c r="N2698" s="144"/>
      <c r="O2698" s="142"/>
      <c r="P2698" s="142"/>
      <c r="Q2698" s="142"/>
      <c r="R2698" s="129"/>
      <c r="S2698" s="143"/>
      <c r="T2698" s="144"/>
      <c r="U2698" s="129"/>
      <c r="V2698" s="129"/>
    </row>
    <row r="2699" spans="1:22" x14ac:dyDescent="0.2">
      <c r="A2699" s="144"/>
      <c r="B2699" s="145"/>
      <c r="C2699" s="129"/>
      <c r="D2699" s="129"/>
      <c r="E2699" s="129"/>
      <c r="F2699" s="129"/>
      <c r="G2699" s="144"/>
      <c r="H2699" s="129"/>
      <c r="I2699" s="144"/>
      <c r="J2699" s="144"/>
      <c r="K2699" s="144"/>
      <c r="L2699" s="146"/>
      <c r="M2699" s="142"/>
      <c r="N2699" s="144"/>
      <c r="O2699" s="142"/>
      <c r="P2699" s="142"/>
      <c r="Q2699" s="142"/>
      <c r="R2699" s="129"/>
      <c r="S2699" s="143"/>
      <c r="T2699" s="144"/>
      <c r="U2699" s="129"/>
      <c r="V2699" s="129"/>
    </row>
    <row r="2700" spans="1:22" x14ac:dyDescent="0.2">
      <c r="A2700" s="144"/>
      <c r="B2700" s="145"/>
      <c r="C2700" s="129"/>
      <c r="D2700" s="129"/>
      <c r="E2700" s="129"/>
      <c r="F2700" s="129"/>
      <c r="G2700" s="144"/>
      <c r="H2700" s="129"/>
      <c r="I2700" s="144"/>
      <c r="J2700" s="144"/>
      <c r="K2700" s="144"/>
      <c r="L2700" s="146"/>
      <c r="M2700" s="142"/>
      <c r="N2700" s="144"/>
      <c r="O2700" s="142"/>
      <c r="P2700" s="142"/>
      <c r="Q2700" s="142"/>
      <c r="R2700" s="129"/>
      <c r="S2700" s="143"/>
      <c r="T2700" s="144"/>
      <c r="U2700" s="129"/>
      <c r="V2700" s="129"/>
    </row>
    <row r="2701" spans="1:22" x14ac:dyDescent="0.2">
      <c r="A2701" s="144"/>
      <c r="B2701" s="145"/>
      <c r="C2701" s="129"/>
      <c r="D2701" s="129"/>
      <c r="E2701" s="129"/>
      <c r="F2701" s="129"/>
      <c r="G2701" s="144"/>
      <c r="H2701" s="129"/>
      <c r="I2701" s="144"/>
      <c r="J2701" s="144"/>
      <c r="K2701" s="144"/>
      <c r="L2701" s="146"/>
      <c r="M2701" s="142"/>
      <c r="N2701" s="144"/>
      <c r="O2701" s="142"/>
      <c r="P2701" s="142"/>
      <c r="Q2701" s="142"/>
      <c r="R2701" s="129"/>
      <c r="S2701" s="143"/>
      <c r="T2701" s="144"/>
      <c r="U2701" s="129"/>
      <c r="V2701" s="129"/>
    </row>
    <row r="2702" spans="1:22" x14ac:dyDescent="0.2">
      <c r="A2702" s="144"/>
      <c r="B2702" s="145"/>
      <c r="C2702" s="129"/>
      <c r="D2702" s="129"/>
      <c r="E2702" s="129"/>
      <c r="F2702" s="129"/>
      <c r="G2702" s="144"/>
      <c r="H2702" s="129"/>
      <c r="I2702" s="144"/>
      <c r="J2702" s="144"/>
      <c r="K2702" s="144"/>
      <c r="L2702" s="146"/>
      <c r="M2702" s="142"/>
      <c r="N2702" s="144"/>
      <c r="O2702" s="142"/>
      <c r="P2702" s="142"/>
      <c r="Q2702" s="142"/>
      <c r="R2702" s="129"/>
      <c r="S2702" s="143"/>
      <c r="T2702" s="144"/>
      <c r="U2702" s="129"/>
      <c r="V2702" s="129"/>
    </row>
    <row r="2703" spans="1:22" x14ac:dyDescent="0.2">
      <c r="A2703" s="144"/>
      <c r="B2703" s="145"/>
      <c r="C2703" s="129"/>
      <c r="D2703" s="129"/>
      <c r="E2703" s="129"/>
      <c r="F2703" s="129"/>
      <c r="G2703" s="144"/>
      <c r="H2703" s="129"/>
      <c r="I2703" s="144"/>
      <c r="J2703" s="144"/>
      <c r="K2703" s="144"/>
      <c r="L2703" s="146"/>
      <c r="M2703" s="142"/>
      <c r="N2703" s="144"/>
      <c r="O2703" s="142"/>
      <c r="P2703" s="142"/>
      <c r="Q2703" s="142"/>
      <c r="R2703" s="129"/>
      <c r="S2703" s="143"/>
      <c r="T2703" s="144"/>
      <c r="U2703" s="129"/>
      <c r="V2703" s="129"/>
    </row>
    <row r="2704" spans="1:22" x14ac:dyDescent="0.2">
      <c r="A2704" s="144"/>
      <c r="B2704" s="145"/>
      <c r="C2704" s="129"/>
      <c r="D2704" s="129"/>
      <c r="E2704" s="129"/>
      <c r="F2704" s="129"/>
      <c r="G2704" s="144"/>
      <c r="H2704" s="129"/>
      <c r="I2704" s="144"/>
      <c r="J2704" s="144"/>
      <c r="K2704" s="144"/>
      <c r="L2704" s="146"/>
      <c r="M2704" s="142"/>
      <c r="N2704" s="144"/>
      <c r="O2704" s="142"/>
      <c r="P2704" s="142"/>
      <c r="Q2704" s="142"/>
      <c r="R2704" s="129"/>
      <c r="S2704" s="143"/>
      <c r="T2704" s="144"/>
      <c r="U2704" s="129"/>
      <c r="V2704" s="129"/>
    </row>
    <row r="2705" spans="1:22" x14ac:dyDescent="0.2">
      <c r="A2705" s="144"/>
      <c r="B2705" s="145"/>
      <c r="C2705" s="129"/>
      <c r="D2705" s="129"/>
      <c r="E2705" s="129"/>
      <c r="F2705" s="129"/>
      <c r="G2705" s="144"/>
      <c r="H2705" s="129"/>
      <c r="I2705" s="144"/>
      <c r="J2705" s="144"/>
      <c r="K2705" s="144"/>
      <c r="L2705" s="146"/>
      <c r="M2705" s="142"/>
      <c r="N2705" s="144"/>
      <c r="O2705" s="142"/>
      <c r="P2705" s="142"/>
      <c r="Q2705" s="142"/>
      <c r="R2705" s="129"/>
      <c r="S2705" s="143"/>
      <c r="T2705" s="144"/>
      <c r="U2705" s="129"/>
      <c r="V2705" s="129"/>
    </row>
    <row r="2706" spans="1:22" x14ac:dyDescent="0.2">
      <c r="A2706" s="144"/>
      <c r="B2706" s="145"/>
      <c r="C2706" s="129"/>
      <c r="D2706" s="129"/>
      <c r="E2706" s="129"/>
      <c r="F2706" s="129"/>
      <c r="G2706" s="144"/>
      <c r="H2706" s="129"/>
      <c r="I2706" s="144"/>
      <c r="J2706" s="144"/>
      <c r="K2706" s="144"/>
      <c r="L2706" s="146"/>
      <c r="M2706" s="142"/>
      <c r="N2706" s="144"/>
      <c r="O2706" s="142"/>
      <c r="P2706" s="142"/>
      <c r="Q2706" s="142"/>
      <c r="R2706" s="129"/>
      <c r="S2706" s="143"/>
      <c r="T2706" s="144"/>
      <c r="U2706" s="129"/>
      <c r="V2706" s="129"/>
    </row>
    <row r="2707" spans="1:22" x14ac:dyDescent="0.2">
      <c r="A2707" s="144"/>
      <c r="B2707" s="145"/>
      <c r="C2707" s="129"/>
      <c r="D2707" s="129"/>
      <c r="E2707" s="129"/>
      <c r="F2707" s="129"/>
      <c r="G2707" s="144"/>
      <c r="H2707" s="129"/>
      <c r="I2707" s="144"/>
      <c r="J2707" s="144"/>
      <c r="K2707" s="144"/>
      <c r="L2707" s="146"/>
      <c r="M2707" s="142"/>
      <c r="N2707" s="144"/>
      <c r="O2707" s="142"/>
      <c r="P2707" s="142"/>
      <c r="Q2707" s="142"/>
      <c r="R2707" s="129"/>
      <c r="S2707" s="143"/>
      <c r="T2707" s="144"/>
      <c r="U2707" s="129"/>
      <c r="V2707" s="129"/>
    </row>
    <row r="2708" spans="1:22" x14ac:dyDescent="0.2">
      <c r="A2708" s="144"/>
      <c r="B2708" s="145"/>
      <c r="C2708" s="129"/>
      <c r="D2708" s="129"/>
      <c r="E2708" s="129"/>
      <c r="F2708" s="129"/>
      <c r="G2708" s="144"/>
      <c r="H2708" s="129"/>
      <c r="I2708" s="144"/>
      <c r="J2708" s="144"/>
      <c r="K2708" s="144"/>
      <c r="L2708" s="146"/>
      <c r="M2708" s="142"/>
      <c r="N2708" s="144"/>
      <c r="O2708" s="142"/>
      <c r="P2708" s="142"/>
      <c r="Q2708" s="142"/>
      <c r="R2708" s="129"/>
      <c r="S2708" s="143"/>
      <c r="T2708" s="144"/>
      <c r="U2708" s="129"/>
      <c r="V2708" s="129"/>
    </row>
    <row r="2709" spans="1:22" x14ac:dyDescent="0.2">
      <c r="A2709" s="144"/>
      <c r="B2709" s="145"/>
      <c r="C2709" s="129"/>
      <c r="D2709" s="129"/>
      <c r="E2709" s="129"/>
      <c r="F2709" s="129"/>
      <c r="G2709" s="144"/>
      <c r="H2709" s="129"/>
      <c r="I2709" s="144"/>
      <c r="J2709" s="144"/>
      <c r="K2709" s="144"/>
      <c r="L2709" s="146"/>
      <c r="M2709" s="142"/>
      <c r="N2709" s="144"/>
      <c r="O2709" s="142"/>
      <c r="P2709" s="142"/>
      <c r="Q2709" s="142"/>
      <c r="R2709" s="129"/>
      <c r="S2709" s="143"/>
      <c r="T2709" s="144"/>
      <c r="U2709" s="129"/>
      <c r="V2709" s="129"/>
    </row>
    <row r="2710" spans="1:22" x14ac:dyDescent="0.2">
      <c r="A2710" s="144"/>
      <c r="B2710" s="145"/>
      <c r="C2710" s="129"/>
      <c r="D2710" s="129"/>
      <c r="E2710" s="129"/>
      <c r="F2710" s="129"/>
      <c r="G2710" s="144"/>
      <c r="H2710" s="129"/>
      <c r="I2710" s="144"/>
      <c r="J2710" s="144"/>
      <c r="K2710" s="144"/>
      <c r="L2710" s="146"/>
      <c r="M2710" s="142"/>
      <c r="N2710" s="144"/>
      <c r="O2710" s="142"/>
      <c r="P2710" s="142"/>
      <c r="Q2710" s="142"/>
      <c r="R2710" s="129"/>
      <c r="S2710" s="143"/>
      <c r="T2710" s="144"/>
      <c r="U2710" s="129"/>
      <c r="V2710" s="129"/>
    </row>
    <row r="2711" spans="1:22" x14ac:dyDescent="0.2">
      <c r="A2711" s="144"/>
      <c r="B2711" s="145"/>
      <c r="C2711" s="129"/>
      <c r="D2711" s="129"/>
      <c r="E2711" s="129"/>
      <c r="F2711" s="129"/>
      <c r="G2711" s="144"/>
      <c r="H2711" s="129"/>
      <c r="I2711" s="144"/>
      <c r="J2711" s="144"/>
      <c r="K2711" s="144"/>
      <c r="L2711" s="146"/>
      <c r="M2711" s="142"/>
      <c r="N2711" s="144"/>
      <c r="O2711" s="142"/>
      <c r="P2711" s="142"/>
      <c r="Q2711" s="142"/>
      <c r="R2711" s="129"/>
      <c r="S2711" s="143"/>
      <c r="T2711" s="144"/>
      <c r="U2711" s="129"/>
      <c r="V2711" s="129"/>
    </row>
    <row r="2712" spans="1:22" x14ac:dyDescent="0.2">
      <c r="A2712" s="144"/>
      <c r="B2712" s="145"/>
      <c r="C2712" s="129"/>
      <c r="D2712" s="129"/>
      <c r="E2712" s="129"/>
      <c r="F2712" s="129"/>
      <c r="G2712" s="144"/>
      <c r="H2712" s="129"/>
      <c r="I2712" s="144"/>
      <c r="J2712" s="144"/>
      <c r="K2712" s="144"/>
      <c r="L2712" s="146"/>
      <c r="M2712" s="142"/>
      <c r="N2712" s="144"/>
      <c r="O2712" s="142"/>
      <c r="P2712" s="142"/>
      <c r="Q2712" s="142"/>
      <c r="R2712" s="129"/>
      <c r="S2712" s="143"/>
      <c r="T2712" s="144"/>
      <c r="U2712" s="129"/>
      <c r="V2712" s="129"/>
    </row>
    <row r="2713" spans="1:22" x14ac:dyDescent="0.2">
      <c r="A2713" s="144"/>
      <c r="B2713" s="145"/>
      <c r="C2713" s="129"/>
      <c r="D2713" s="129"/>
      <c r="E2713" s="129"/>
      <c r="F2713" s="129"/>
      <c r="G2713" s="144"/>
      <c r="H2713" s="129"/>
      <c r="I2713" s="144"/>
      <c r="J2713" s="144"/>
      <c r="K2713" s="144"/>
      <c r="L2713" s="146"/>
      <c r="M2713" s="142"/>
      <c r="N2713" s="144"/>
      <c r="O2713" s="142"/>
      <c r="P2713" s="142"/>
      <c r="Q2713" s="142"/>
      <c r="R2713" s="129"/>
      <c r="S2713" s="143"/>
      <c r="T2713" s="144"/>
      <c r="U2713" s="129"/>
      <c r="V2713" s="129"/>
    </row>
    <row r="2714" spans="1:22" x14ac:dyDescent="0.2">
      <c r="A2714" s="144"/>
      <c r="B2714" s="145"/>
      <c r="C2714" s="129"/>
      <c r="D2714" s="129"/>
      <c r="E2714" s="129"/>
      <c r="F2714" s="129"/>
      <c r="G2714" s="144"/>
      <c r="H2714" s="129"/>
      <c r="I2714" s="144"/>
      <c r="J2714" s="144"/>
      <c r="K2714" s="144"/>
      <c r="L2714" s="146"/>
      <c r="M2714" s="142"/>
      <c r="N2714" s="144"/>
      <c r="O2714" s="142"/>
      <c r="P2714" s="142"/>
      <c r="Q2714" s="142"/>
      <c r="R2714" s="129"/>
      <c r="S2714" s="143"/>
      <c r="T2714" s="144"/>
      <c r="U2714" s="129"/>
      <c r="V2714" s="129"/>
    </row>
    <row r="2715" spans="1:22" x14ac:dyDescent="0.2">
      <c r="A2715" s="144"/>
      <c r="B2715" s="145"/>
      <c r="C2715" s="129"/>
      <c r="D2715" s="129"/>
      <c r="E2715" s="129"/>
      <c r="F2715" s="129"/>
      <c r="G2715" s="144"/>
      <c r="H2715" s="129"/>
      <c r="I2715" s="144"/>
      <c r="J2715" s="144"/>
      <c r="K2715" s="144"/>
      <c r="L2715" s="146"/>
      <c r="M2715" s="142"/>
      <c r="N2715" s="144"/>
      <c r="O2715" s="142"/>
      <c r="P2715" s="142"/>
      <c r="Q2715" s="142"/>
      <c r="R2715" s="129"/>
      <c r="S2715" s="143"/>
      <c r="T2715" s="144"/>
      <c r="U2715" s="129"/>
      <c r="V2715" s="129"/>
    </row>
    <row r="2716" spans="1:22" x14ac:dyDescent="0.2">
      <c r="A2716" s="144"/>
      <c r="B2716" s="145"/>
      <c r="C2716" s="129"/>
      <c r="D2716" s="129"/>
      <c r="E2716" s="129"/>
      <c r="F2716" s="129"/>
      <c r="G2716" s="144"/>
      <c r="H2716" s="129"/>
      <c r="I2716" s="144"/>
      <c r="J2716" s="144"/>
      <c r="K2716" s="144"/>
      <c r="L2716" s="146"/>
      <c r="M2716" s="142"/>
      <c r="N2716" s="144"/>
      <c r="O2716" s="142"/>
      <c r="P2716" s="142"/>
      <c r="Q2716" s="142"/>
      <c r="R2716" s="129"/>
      <c r="S2716" s="143"/>
      <c r="T2716" s="144"/>
      <c r="U2716" s="129"/>
      <c r="V2716" s="129"/>
    </row>
    <row r="2717" spans="1:22" x14ac:dyDescent="0.2">
      <c r="A2717" s="144"/>
      <c r="B2717" s="145"/>
      <c r="C2717" s="129"/>
      <c r="D2717" s="129"/>
      <c r="E2717" s="129"/>
      <c r="F2717" s="129"/>
      <c r="G2717" s="144"/>
      <c r="H2717" s="129"/>
      <c r="I2717" s="144"/>
      <c r="J2717" s="144"/>
      <c r="K2717" s="144"/>
      <c r="L2717" s="146"/>
      <c r="M2717" s="142"/>
      <c r="N2717" s="144"/>
      <c r="O2717" s="142"/>
      <c r="P2717" s="142"/>
      <c r="Q2717" s="142"/>
      <c r="R2717" s="129"/>
      <c r="S2717" s="143"/>
      <c r="T2717" s="144"/>
      <c r="U2717" s="129"/>
      <c r="V2717" s="129"/>
    </row>
    <row r="2718" spans="1:22" x14ac:dyDescent="0.2">
      <c r="A2718" s="144"/>
      <c r="B2718" s="145"/>
      <c r="C2718" s="129"/>
      <c r="D2718" s="129"/>
      <c r="E2718" s="129"/>
      <c r="F2718" s="129"/>
      <c r="G2718" s="144"/>
      <c r="H2718" s="129"/>
      <c r="I2718" s="144"/>
      <c r="J2718" s="144"/>
      <c r="K2718" s="144"/>
      <c r="L2718" s="146"/>
      <c r="M2718" s="142"/>
      <c r="N2718" s="144"/>
      <c r="O2718" s="142"/>
      <c r="P2718" s="142"/>
      <c r="Q2718" s="142"/>
      <c r="R2718" s="129"/>
      <c r="S2718" s="143"/>
      <c r="T2718" s="144"/>
      <c r="U2718" s="129"/>
      <c r="V2718" s="129"/>
    </row>
    <row r="2719" spans="1:22" x14ac:dyDescent="0.2">
      <c r="A2719" s="144"/>
      <c r="B2719" s="145"/>
      <c r="C2719" s="129"/>
      <c r="D2719" s="129"/>
      <c r="E2719" s="129"/>
      <c r="F2719" s="129"/>
      <c r="G2719" s="144"/>
      <c r="H2719" s="129"/>
      <c r="I2719" s="144"/>
      <c r="J2719" s="144"/>
      <c r="K2719" s="144"/>
      <c r="L2719" s="146"/>
      <c r="M2719" s="142"/>
      <c r="N2719" s="144"/>
      <c r="O2719" s="142"/>
      <c r="P2719" s="142"/>
      <c r="Q2719" s="142"/>
      <c r="R2719" s="129"/>
      <c r="S2719" s="143"/>
      <c r="T2719" s="144"/>
      <c r="U2719" s="129"/>
      <c r="V2719" s="129"/>
    </row>
    <row r="2720" spans="1:22" x14ac:dyDescent="0.2">
      <c r="A2720" s="144"/>
      <c r="B2720" s="145"/>
      <c r="C2720" s="129"/>
      <c r="D2720" s="129"/>
      <c r="E2720" s="129"/>
      <c r="F2720" s="129"/>
      <c r="G2720" s="144"/>
      <c r="H2720" s="129"/>
      <c r="I2720" s="144"/>
      <c r="J2720" s="144"/>
      <c r="K2720" s="144"/>
      <c r="L2720" s="146"/>
      <c r="M2720" s="142"/>
      <c r="N2720" s="144"/>
      <c r="O2720" s="142"/>
      <c r="P2720" s="142"/>
      <c r="Q2720" s="142"/>
      <c r="R2720" s="129"/>
      <c r="S2720" s="143"/>
      <c r="T2720" s="144"/>
      <c r="U2720" s="129"/>
      <c r="V2720" s="129"/>
    </row>
    <row r="2721" spans="1:22" x14ac:dyDescent="0.2">
      <c r="A2721" s="144"/>
      <c r="B2721" s="145"/>
      <c r="C2721" s="129"/>
      <c r="D2721" s="129"/>
      <c r="E2721" s="129"/>
      <c r="F2721" s="129"/>
      <c r="G2721" s="144"/>
      <c r="H2721" s="129"/>
      <c r="I2721" s="144"/>
      <c r="J2721" s="144"/>
      <c r="K2721" s="144"/>
      <c r="L2721" s="146"/>
      <c r="M2721" s="142"/>
      <c r="N2721" s="144"/>
      <c r="O2721" s="142"/>
      <c r="P2721" s="142"/>
      <c r="Q2721" s="142"/>
      <c r="R2721" s="129"/>
      <c r="S2721" s="143"/>
      <c r="T2721" s="144"/>
      <c r="U2721" s="129"/>
      <c r="V2721" s="129"/>
    </row>
    <row r="2722" spans="1:22" x14ac:dyDescent="0.2">
      <c r="A2722" s="144"/>
      <c r="B2722" s="145"/>
      <c r="C2722" s="129"/>
      <c r="D2722" s="129"/>
      <c r="E2722" s="129"/>
      <c r="F2722" s="129"/>
      <c r="G2722" s="144"/>
      <c r="H2722" s="129"/>
      <c r="I2722" s="144"/>
      <c r="J2722" s="144"/>
      <c r="K2722" s="144"/>
      <c r="L2722" s="146"/>
      <c r="M2722" s="142"/>
      <c r="N2722" s="144"/>
      <c r="O2722" s="142"/>
      <c r="P2722" s="142"/>
      <c r="Q2722" s="142"/>
      <c r="R2722" s="129"/>
      <c r="S2722" s="143"/>
      <c r="T2722" s="144"/>
      <c r="U2722" s="129"/>
      <c r="V2722" s="129"/>
    </row>
    <row r="2723" spans="1:22" x14ac:dyDescent="0.2">
      <c r="A2723" s="144"/>
      <c r="B2723" s="145"/>
      <c r="C2723" s="129"/>
      <c r="D2723" s="129"/>
      <c r="E2723" s="129"/>
      <c r="F2723" s="129"/>
      <c r="G2723" s="144"/>
      <c r="H2723" s="129"/>
      <c r="I2723" s="144"/>
      <c r="J2723" s="144"/>
      <c r="K2723" s="144"/>
      <c r="L2723" s="146"/>
      <c r="M2723" s="142"/>
      <c r="N2723" s="144"/>
      <c r="O2723" s="142"/>
      <c r="P2723" s="142"/>
      <c r="Q2723" s="142"/>
      <c r="R2723" s="129"/>
      <c r="S2723" s="143"/>
      <c r="T2723" s="144"/>
      <c r="U2723" s="129"/>
      <c r="V2723" s="129"/>
    </row>
    <row r="2724" spans="1:22" x14ac:dyDescent="0.2">
      <c r="A2724" s="144"/>
      <c r="B2724" s="145"/>
      <c r="C2724" s="129"/>
      <c r="D2724" s="129"/>
      <c r="E2724" s="129"/>
      <c r="F2724" s="129"/>
      <c r="G2724" s="144"/>
      <c r="H2724" s="129"/>
      <c r="I2724" s="144"/>
      <c r="J2724" s="144"/>
      <c r="K2724" s="144"/>
      <c r="L2724" s="146"/>
      <c r="M2724" s="142"/>
      <c r="N2724" s="144"/>
      <c r="O2724" s="142"/>
      <c r="P2724" s="142"/>
      <c r="Q2724" s="142"/>
      <c r="R2724" s="129"/>
      <c r="S2724" s="143"/>
      <c r="T2724" s="144"/>
      <c r="U2724" s="129"/>
      <c r="V2724" s="129"/>
    </row>
    <row r="2725" spans="1:22" x14ac:dyDescent="0.2">
      <c r="A2725" s="144"/>
      <c r="B2725" s="145"/>
      <c r="C2725" s="129"/>
      <c r="D2725" s="129"/>
      <c r="E2725" s="129"/>
      <c r="F2725" s="129"/>
      <c r="G2725" s="144"/>
      <c r="H2725" s="129"/>
      <c r="I2725" s="144"/>
      <c r="J2725" s="144"/>
      <c r="K2725" s="144"/>
      <c r="L2725" s="146"/>
      <c r="M2725" s="142"/>
      <c r="N2725" s="144"/>
      <c r="O2725" s="142"/>
      <c r="P2725" s="142"/>
      <c r="Q2725" s="142"/>
      <c r="R2725" s="129"/>
      <c r="S2725" s="143"/>
      <c r="T2725" s="144"/>
      <c r="U2725" s="129"/>
      <c r="V2725" s="129"/>
    </row>
    <row r="2726" spans="1:22" x14ac:dyDescent="0.2">
      <c r="A2726" s="144"/>
      <c r="B2726" s="145"/>
      <c r="C2726" s="129"/>
      <c r="D2726" s="129"/>
      <c r="E2726" s="129"/>
      <c r="F2726" s="129"/>
      <c r="G2726" s="144"/>
      <c r="H2726" s="129"/>
      <c r="I2726" s="144"/>
      <c r="J2726" s="144"/>
      <c r="K2726" s="144"/>
      <c r="L2726" s="146"/>
      <c r="M2726" s="142"/>
      <c r="N2726" s="144"/>
      <c r="O2726" s="142"/>
      <c r="P2726" s="142"/>
      <c r="Q2726" s="142"/>
      <c r="R2726" s="129"/>
      <c r="S2726" s="143"/>
      <c r="T2726" s="144"/>
      <c r="U2726" s="129"/>
      <c r="V2726" s="129"/>
    </row>
    <row r="2727" spans="1:22" x14ac:dyDescent="0.2">
      <c r="A2727" s="144"/>
      <c r="B2727" s="145"/>
      <c r="C2727" s="129"/>
      <c r="D2727" s="129"/>
      <c r="E2727" s="129"/>
      <c r="F2727" s="129"/>
      <c r="G2727" s="144"/>
      <c r="H2727" s="129"/>
      <c r="I2727" s="144"/>
      <c r="J2727" s="144"/>
      <c r="K2727" s="144"/>
      <c r="L2727" s="146"/>
      <c r="M2727" s="142"/>
      <c r="N2727" s="144"/>
      <c r="O2727" s="142"/>
      <c r="P2727" s="142"/>
      <c r="Q2727" s="142"/>
      <c r="R2727" s="129"/>
      <c r="S2727" s="143"/>
      <c r="T2727" s="144"/>
      <c r="U2727" s="129"/>
      <c r="V2727" s="129"/>
    </row>
    <row r="2728" spans="1:22" x14ac:dyDescent="0.2">
      <c r="A2728" s="144"/>
      <c r="B2728" s="145"/>
      <c r="C2728" s="129"/>
      <c r="D2728" s="129"/>
      <c r="E2728" s="129"/>
      <c r="F2728" s="129"/>
      <c r="G2728" s="144"/>
      <c r="H2728" s="129"/>
      <c r="I2728" s="144"/>
      <c r="J2728" s="144"/>
      <c r="K2728" s="144"/>
      <c r="L2728" s="146"/>
      <c r="M2728" s="142"/>
      <c r="N2728" s="144"/>
      <c r="O2728" s="142"/>
      <c r="P2728" s="142"/>
      <c r="Q2728" s="142"/>
      <c r="R2728" s="129"/>
      <c r="S2728" s="143"/>
      <c r="T2728" s="144"/>
      <c r="U2728" s="129"/>
      <c r="V2728" s="129"/>
    </row>
    <row r="2729" spans="1:22" x14ac:dyDescent="0.2">
      <c r="A2729" s="144"/>
      <c r="B2729" s="145"/>
      <c r="C2729" s="129"/>
      <c r="D2729" s="129"/>
      <c r="E2729" s="129"/>
      <c r="F2729" s="129"/>
      <c r="G2729" s="144"/>
      <c r="H2729" s="129"/>
      <c r="I2729" s="144"/>
      <c r="J2729" s="144"/>
      <c r="K2729" s="144"/>
      <c r="L2729" s="146"/>
      <c r="M2729" s="142"/>
      <c r="N2729" s="144"/>
      <c r="O2729" s="142"/>
      <c r="P2729" s="142"/>
      <c r="Q2729" s="142"/>
      <c r="R2729" s="129"/>
      <c r="S2729" s="143"/>
      <c r="T2729" s="144"/>
      <c r="U2729" s="129"/>
      <c r="V2729" s="129"/>
    </row>
    <row r="2730" spans="1:22" x14ac:dyDescent="0.2">
      <c r="A2730" s="144"/>
      <c r="B2730" s="145"/>
      <c r="C2730" s="129"/>
      <c r="D2730" s="129"/>
      <c r="E2730" s="129"/>
      <c r="F2730" s="129"/>
      <c r="G2730" s="144"/>
      <c r="H2730" s="129"/>
      <c r="I2730" s="144"/>
      <c r="J2730" s="144"/>
      <c r="K2730" s="144"/>
      <c r="L2730" s="146"/>
      <c r="M2730" s="142"/>
      <c r="N2730" s="144"/>
      <c r="O2730" s="142"/>
      <c r="P2730" s="142"/>
      <c r="Q2730" s="142"/>
      <c r="R2730" s="129"/>
      <c r="S2730" s="143"/>
      <c r="T2730" s="144"/>
      <c r="U2730" s="129"/>
      <c r="V2730" s="129"/>
    </row>
    <row r="2731" spans="1:22" x14ac:dyDescent="0.2">
      <c r="A2731" s="144"/>
      <c r="B2731" s="145"/>
      <c r="C2731" s="129"/>
      <c r="D2731" s="129"/>
      <c r="E2731" s="129"/>
      <c r="F2731" s="129"/>
      <c r="G2731" s="144"/>
      <c r="H2731" s="129"/>
      <c r="I2731" s="144"/>
      <c r="J2731" s="144"/>
      <c r="K2731" s="144"/>
      <c r="L2731" s="146"/>
      <c r="M2731" s="142"/>
      <c r="N2731" s="144"/>
      <c r="O2731" s="142"/>
      <c r="P2731" s="142"/>
      <c r="Q2731" s="142"/>
      <c r="R2731" s="129"/>
      <c r="S2731" s="143"/>
      <c r="T2731" s="144"/>
      <c r="U2731" s="129"/>
      <c r="V2731" s="129"/>
    </row>
    <row r="2732" spans="1:22" x14ac:dyDescent="0.2">
      <c r="A2732" s="144"/>
      <c r="B2732" s="145"/>
      <c r="C2732" s="129"/>
      <c r="D2732" s="129"/>
      <c r="E2732" s="129"/>
      <c r="F2732" s="129"/>
      <c r="G2732" s="144"/>
      <c r="H2732" s="129"/>
      <c r="I2732" s="144"/>
      <c r="J2732" s="144"/>
      <c r="K2732" s="144"/>
      <c r="L2732" s="146"/>
      <c r="M2732" s="142"/>
      <c r="N2732" s="144"/>
      <c r="O2732" s="142"/>
      <c r="P2732" s="142"/>
      <c r="Q2732" s="142"/>
      <c r="R2732" s="129"/>
      <c r="S2732" s="143"/>
      <c r="T2732" s="144"/>
      <c r="U2732" s="129"/>
      <c r="V2732" s="129"/>
    </row>
    <row r="2733" spans="1:22" x14ac:dyDescent="0.2">
      <c r="A2733" s="144"/>
      <c r="B2733" s="145"/>
      <c r="C2733" s="129"/>
      <c r="D2733" s="129"/>
      <c r="E2733" s="129"/>
      <c r="F2733" s="129"/>
      <c r="G2733" s="144"/>
      <c r="H2733" s="129"/>
      <c r="I2733" s="144"/>
      <c r="J2733" s="144"/>
      <c r="K2733" s="144"/>
      <c r="L2733" s="146"/>
      <c r="M2733" s="142"/>
      <c r="N2733" s="144"/>
      <c r="O2733" s="142"/>
      <c r="P2733" s="142"/>
      <c r="Q2733" s="142"/>
      <c r="R2733" s="129"/>
      <c r="S2733" s="143"/>
      <c r="T2733" s="144"/>
      <c r="U2733" s="129"/>
      <c r="V2733" s="129"/>
    </row>
    <row r="2734" spans="1:22" x14ac:dyDescent="0.2">
      <c r="A2734" s="144"/>
      <c r="B2734" s="145"/>
      <c r="C2734" s="129"/>
      <c r="D2734" s="129"/>
      <c r="E2734" s="129"/>
      <c r="F2734" s="129"/>
      <c r="G2734" s="144"/>
      <c r="H2734" s="129"/>
      <c r="I2734" s="144"/>
      <c r="J2734" s="144"/>
      <c r="K2734" s="144"/>
      <c r="L2734" s="146"/>
      <c r="M2734" s="142"/>
      <c r="N2734" s="144"/>
      <c r="O2734" s="142"/>
      <c r="P2734" s="142"/>
      <c r="Q2734" s="142"/>
      <c r="R2734" s="129"/>
      <c r="S2734" s="143"/>
      <c r="T2734" s="144"/>
      <c r="U2734" s="129"/>
      <c r="V2734" s="129"/>
    </row>
    <row r="2735" spans="1:22" x14ac:dyDescent="0.2">
      <c r="A2735" s="144"/>
      <c r="B2735" s="145"/>
      <c r="C2735" s="129"/>
      <c r="D2735" s="129"/>
      <c r="E2735" s="129"/>
      <c r="F2735" s="129"/>
      <c r="G2735" s="144"/>
      <c r="H2735" s="129"/>
      <c r="I2735" s="144"/>
      <c r="J2735" s="144"/>
      <c r="K2735" s="144"/>
      <c r="L2735" s="146"/>
      <c r="M2735" s="142"/>
      <c r="N2735" s="144"/>
      <c r="O2735" s="142"/>
      <c r="P2735" s="142"/>
      <c r="Q2735" s="142"/>
      <c r="R2735" s="129"/>
      <c r="S2735" s="143"/>
      <c r="T2735" s="144"/>
      <c r="U2735" s="129"/>
      <c r="V2735" s="129"/>
    </row>
    <row r="2736" spans="1:22" x14ac:dyDescent="0.2">
      <c r="A2736" s="144"/>
      <c r="B2736" s="145"/>
      <c r="C2736" s="129"/>
      <c r="D2736" s="129"/>
      <c r="E2736" s="129"/>
      <c r="F2736" s="129"/>
      <c r="G2736" s="144"/>
      <c r="H2736" s="129"/>
      <c r="I2736" s="144"/>
      <c r="J2736" s="144"/>
      <c r="K2736" s="144"/>
      <c r="L2736" s="146"/>
      <c r="M2736" s="142"/>
      <c r="N2736" s="144"/>
      <c r="O2736" s="142"/>
      <c r="P2736" s="142"/>
      <c r="Q2736" s="142"/>
      <c r="R2736" s="129"/>
      <c r="S2736" s="143"/>
      <c r="T2736" s="144"/>
      <c r="U2736" s="129"/>
      <c r="V2736" s="129"/>
    </row>
    <row r="2737" spans="1:22" x14ac:dyDescent="0.2">
      <c r="A2737" s="144"/>
      <c r="B2737" s="145"/>
      <c r="C2737" s="129"/>
      <c r="D2737" s="129"/>
      <c r="E2737" s="129"/>
      <c r="F2737" s="129"/>
      <c r="G2737" s="144"/>
      <c r="H2737" s="129"/>
      <c r="I2737" s="144"/>
      <c r="J2737" s="144"/>
      <c r="K2737" s="144"/>
      <c r="L2737" s="146"/>
      <c r="M2737" s="142"/>
      <c r="N2737" s="144"/>
      <c r="O2737" s="142"/>
      <c r="P2737" s="142"/>
      <c r="Q2737" s="142"/>
      <c r="R2737" s="129"/>
      <c r="S2737" s="143"/>
      <c r="T2737" s="144"/>
      <c r="U2737" s="129"/>
      <c r="V2737" s="129"/>
    </row>
    <row r="2738" spans="1:22" x14ac:dyDescent="0.2">
      <c r="A2738" s="144"/>
      <c r="B2738" s="145"/>
      <c r="C2738" s="129"/>
      <c r="D2738" s="129"/>
      <c r="E2738" s="129"/>
      <c r="F2738" s="129"/>
      <c r="G2738" s="144"/>
      <c r="H2738" s="129"/>
      <c r="I2738" s="144"/>
      <c r="J2738" s="144"/>
      <c r="K2738" s="144"/>
      <c r="L2738" s="146"/>
      <c r="M2738" s="142"/>
      <c r="N2738" s="144"/>
      <c r="O2738" s="142"/>
      <c r="P2738" s="142"/>
      <c r="Q2738" s="142"/>
      <c r="R2738" s="129"/>
      <c r="S2738" s="143"/>
      <c r="T2738" s="144"/>
      <c r="U2738" s="129"/>
      <c r="V2738" s="129"/>
    </row>
    <row r="2739" spans="1:22" x14ac:dyDescent="0.2">
      <c r="A2739" s="144"/>
      <c r="B2739" s="145"/>
      <c r="C2739" s="129"/>
      <c r="D2739" s="129"/>
      <c r="E2739" s="129"/>
      <c r="F2739" s="129"/>
      <c r="G2739" s="144"/>
      <c r="H2739" s="129"/>
      <c r="I2739" s="144"/>
      <c r="J2739" s="144"/>
      <c r="K2739" s="144"/>
      <c r="L2739" s="146"/>
      <c r="M2739" s="142"/>
      <c r="N2739" s="144"/>
      <c r="O2739" s="142"/>
      <c r="P2739" s="142"/>
      <c r="Q2739" s="142"/>
      <c r="R2739" s="129"/>
      <c r="S2739" s="143"/>
      <c r="T2739" s="144"/>
      <c r="U2739" s="129"/>
      <c r="V2739" s="129"/>
    </row>
    <row r="2740" spans="1:22" x14ac:dyDescent="0.2">
      <c r="A2740" s="144"/>
      <c r="B2740" s="145"/>
      <c r="C2740" s="129"/>
      <c r="D2740" s="129"/>
      <c r="E2740" s="129"/>
      <c r="F2740" s="129"/>
      <c r="G2740" s="144"/>
      <c r="H2740" s="129"/>
      <c r="I2740" s="144"/>
      <c r="J2740" s="144"/>
      <c r="K2740" s="144"/>
      <c r="L2740" s="146"/>
      <c r="M2740" s="142"/>
      <c r="N2740" s="144"/>
      <c r="O2740" s="142"/>
      <c r="P2740" s="142"/>
      <c r="Q2740" s="142"/>
      <c r="R2740" s="129"/>
      <c r="S2740" s="143"/>
      <c r="T2740" s="144"/>
      <c r="U2740" s="129"/>
      <c r="V2740" s="129"/>
    </row>
    <row r="2741" spans="1:22" x14ac:dyDescent="0.2">
      <c r="A2741" s="144"/>
      <c r="B2741" s="145"/>
      <c r="C2741" s="129"/>
      <c r="D2741" s="129"/>
      <c r="E2741" s="129"/>
      <c r="F2741" s="129"/>
      <c r="G2741" s="144"/>
      <c r="H2741" s="129"/>
      <c r="I2741" s="144"/>
      <c r="J2741" s="144"/>
      <c r="K2741" s="144"/>
      <c r="L2741" s="146"/>
      <c r="M2741" s="142"/>
      <c r="N2741" s="144"/>
      <c r="O2741" s="142"/>
      <c r="P2741" s="142"/>
      <c r="Q2741" s="142"/>
      <c r="R2741" s="129"/>
      <c r="S2741" s="143"/>
      <c r="T2741" s="144"/>
      <c r="U2741" s="129"/>
      <c r="V2741" s="129"/>
    </row>
    <row r="2742" spans="1:22" x14ac:dyDescent="0.2">
      <c r="A2742" s="144"/>
      <c r="B2742" s="145"/>
      <c r="C2742" s="129"/>
      <c r="D2742" s="129"/>
      <c r="E2742" s="129"/>
      <c r="F2742" s="129"/>
      <c r="G2742" s="144"/>
      <c r="H2742" s="129"/>
      <c r="I2742" s="144"/>
      <c r="J2742" s="144"/>
      <c r="K2742" s="144"/>
      <c r="L2742" s="146"/>
      <c r="M2742" s="142"/>
      <c r="N2742" s="144"/>
      <c r="O2742" s="142"/>
      <c r="P2742" s="142"/>
      <c r="Q2742" s="142"/>
      <c r="R2742" s="129"/>
      <c r="S2742" s="143"/>
      <c r="T2742" s="144"/>
      <c r="U2742" s="129"/>
      <c r="V2742" s="129"/>
    </row>
    <row r="2743" spans="1:22" x14ac:dyDescent="0.2">
      <c r="A2743" s="144"/>
      <c r="B2743" s="145"/>
      <c r="C2743" s="129"/>
      <c r="D2743" s="129"/>
      <c r="E2743" s="129"/>
      <c r="F2743" s="129"/>
      <c r="G2743" s="144"/>
      <c r="H2743" s="129"/>
      <c r="I2743" s="144"/>
      <c r="J2743" s="144"/>
      <c r="K2743" s="144"/>
      <c r="L2743" s="146"/>
      <c r="M2743" s="142"/>
      <c r="N2743" s="144"/>
      <c r="O2743" s="142"/>
      <c r="P2743" s="142"/>
      <c r="Q2743" s="142"/>
      <c r="R2743" s="129"/>
      <c r="S2743" s="143"/>
      <c r="T2743" s="144"/>
      <c r="U2743" s="129"/>
      <c r="V2743" s="129"/>
    </row>
    <row r="2744" spans="1:22" x14ac:dyDescent="0.2">
      <c r="A2744" s="144"/>
      <c r="B2744" s="145"/>
      <c r="C2744" s="129"/>
      <c r="D2744" s="129"/>
      <c r="E2744" s="129"/>
      <c r="F2744" s="129"/>
      <c r="G2744" s="144"/>
      <c r="H2744" s="129"/>
      <c r="I2744" s="144"/>
      <c r="J2744" s="144"/>
      <c r="K2744" s="144"/>
      <c r="L2744" s="146"/>
      <c r="M2744" s="142"/>
      <c r="N2744" s="144"/>
      <c r="O2744" s="142"/>
      <c r="P2744" s="142"/>
      <c r="Q2744" s="142"/>
      <c r="R2744" s="129"/>
      <c r="S2744" s="143"/>
      <c r="T2744" s="144"/>
      <c r="U2744" s="129"/>
      <c r="V2744" s="129"/>
    </row>
    <row r="2745" spans="1:22" x14ac:dyDescent="0.2">
      <c r="A2745" s="144"/>
      <c r="B2745" s="145"/>
      <c r="C2745" s="129"/>
      <c r="D2745" s="129"/>
      <c r="E2745" s="129"/>
      <c r="F2745" s="129"/>
      <c r="G2745" s="144"/>
      <c r="H2745" s="129"/>
      <c r="I2745" s="144"/>
      <c r="J2745" s="144"/>
      <c r="K2745" s="144"/>
      <c r="L2745" s="146"/>
      <c r="M2745" s="142"/>
      <c r="N2745" s="144"/>
      <c r="O2745" s="142"/>
      <c r="P2745" s="142"/>
      <c r="Q2745" s="142"/>
      <c r="R2745" s="129"/>
      <c r="S2745" s="143"/>
      <c r="T2745" s="144"/>
      <c r="U2745" s="129"/>
      <c r="V2745" s="129"/>
    </row>
    <row r="2746" spans="1:22" x14ac:dyDescent="0.2">
      <c r="A2746" s="144"/>
      <c r="B2746" s="145"/>
      <c r="C2746" s="129"/>
      <c r="D2746" s="129"/>
      <c r="E2746" s="129"/>
      <c r="F2746" s="129"/>
      <c r="G2746" s="144"/>
      <c r="H2746" s="129"/>
      <c r="I2746" s="144"/>
      <c r="J2746" s="144"/>
      <c r="K2746" s="144"/>
      <c r="L2746" s="146"/>
      <c r="M2746" s="142"/>
      <c r="N2746" s="144"/>
      <c r="O2746" s="142"/>
      <c r="P2746" s="142"/>
      <c r="Q2746" s="142"/>
      <c r="R2746" s="129"/>
      <c r="S2746" s="143"/>
      <c r="T2746" s="144"/>
      <c r="U2746" s="129"/>
      <c r="V2746" s="129"/>
    </row>
    <row r="2747" spans="1:22" x14ac:dyDescent="0.2">
      <c r="A2747" s="144"/>
      <c r="B2747" s="145"/>
      <c r="C2747" s="129"/>
      <c r="D2747" s="129"/>
      <c r="E2747" s="129"/>
      <c r="F2747" s="129"/>
      <c r="G2747" s="144"/>
      <c r="H2747" s="129"/>
      <c r="I2747" s="144"/>
      <c r="J2747" s="144"/>
      <c r="K2747" s="144"/>
      <c r="L2747" s="146"/>
      <c r="M2747" s="142"/>
      <c r="N2747" s="144"/>
      <c r="O2747" s="142"/>
      <c r="P2747" s="142"/>
      <c r="Q2747" s="142"/>
      <c r="R2747" s="129"/>
      <c r="S2747" s="143"/>
      <c r="T2747" s="144"/>
      <c r="U2747" s="129"/>
      <c r="V2747" s="129"/>
    </row>
    <row r="2748" spans="1:22" x14ac:dyDescent="0.2">
      <c r="A2748" s="144"/>
      <c r="B2748" s="145"/>
      <c r="C2748" s="129"/>
      <c r="D2748" s="129"/>
      <c r="E2748" s="129"/>
      <c r="F2748" s="129"/>
      <c r="G2748" s="144"/>
      <c r="H2748" s="129"/>
      <c r="I2748" s="144"/>
      <c r="J2748" s="144"/>
      <c r="K2748" s="144"/>
      <c r="L2748" s="146"/>
      <c r="M2748" s="142"/>
      <c r="N2748" s="144"/>
      <c r="O2748" s="142"/>
      <c r="P2748" s="142"/>
      <c r="Q2748" s="142"/>
      <c r="R2748" s="129"/>
      <c r="S2748" s="143"/>
      <c r="T2748" s="144"/>
      <c r="U2748" s="129"/>
      <c r="V2748" s="129"/>
    </row>
    <row r="2749" spans="1:22" x14ac:dyDescent="0.2">
      <c r="A2749" s="144"/>
      <c r="B2749" s="145"/>
      <c r="C2749" s="129"/>
      <c r="D2749" s="129"/>
      <c r="E2749" s="129"/>
      <c r="F2749" s="129"/>
      <c r="G2749" s="144"/>
      <c r="H2749" s="129"/>
      <c r="I2749" s="144"/>
      <c r="J2749" s="144"/>
      <c r="K2749" s="144"/>
      <c r="L2749" s="146"/>
      <c r="M2749" s="142"/>
      <c r="N2749" s="144"/>
      <c r="O2749" s="142"/>
      <c r="P2749" s="142"/>
      <c r="Q2749" s="142"/>
      <c r="R2749" s="129"/>
      <c r="S2749" s="143"/>
      <c r="T2749" s="144"/>
      <c r="U2749" s="129"/>
      <c r="V2749" s="129"/>
    </row>
    <row r="2750" spans="1:22" x14ac:dyDescent="0.2">
      <c r="A2750" s="144"/>
      <c r="B2750" s="145"/>
      <c r="C2750" s="129"/>
      <c r="D2750" s="129"/>
      <c r="E2750" s="129"/>
      <c r="F2750" s="129"/>
      <c r="G2750" s="144"/>
      <c r="H2750" s="129"/>
      <c r="I2750" s="144"/>
      <c r="J2750" s="144"/>
      <c r="K2750" s="144"/>
      <c r="L2750" s="146"/>
      <c r="M2750" s="142"/>
      <c r="N2750" s="144"/>
      <c r="O2750" s="142"/>
      <c r="P2750" s="142"/>
      <c r="Q2750" s="142"/>
      <c r="R2750" s="129"/>
      <c r="S2750" s="143"/>
      <c r="T2750" s="144"/>
      <c r="U2750" s="129"/>
      <c r="V2750" s="129"/>
    </row>
    <row r="2751" spans="1:22" x14ac:dyDescent="0.2">
      <c r="A2751" s="144"/>
      <c r="B2751" s="145"/>
      <c r="C2751" s="129"/>
      <c r="D2751" s="129"/>
      <c r="E2751" s="129"/>
      <c r="F2751" s="129"/>
      <c r="G2751" s="144"/>
      <c r="H2751" s="129"/>
      <c r="I2751" s="144"/>
      <c r="J2751" s="144"/>
      <c r="K2751" s="144"/>
      <c r="L2751" s="146"/>
      <c r="M2751" s="142"/>
      <c r="N2751" s="144"/>
      <c r="O2751" s="142"/>
      <c r="P2751" s="142"/>
      <c r="Q2751" s="142"/>
      <c r="R2751" s="129"/>
      <c r="S2751" s="143"/>
      <c r="T2751" s="144"/>
      <c r="U2751" s="129"/>
      <c r="V2751" s="129"/>
    </row>
    <row r="2752" spans="1:22" x14ac:dyDescent="0.2">
      <c r="A2752" s="144"/>
      <c r="B2752" s="145"/>
      <c r="C2752" s="129"/>
      <c r="D2752" s="129"/>
      <c r="E2752" s="129"/>
      <c r="F2752" s="129"/>
      <c r="G2752" s="144"/>
      <c r="H2752" s="129"/>
      <c r="I2752" s="144"/>
      <c r="J2752" s="144"/>
      <c r="K2752" s="144"/>
      <c r="L2752" s="146"/>
      <c r="M2752" s="142"/>
      <c r="N2752" s="144"/>
      <c r="O2752" s="142"/>
      <c r="P2752" s="142"/>
      <c r="Q2752" s="142"/>
      <c r="R2752" s="129"/>
      <c r="S2752" s="143"/>
      <c r="T2752" s="144"/>
      <c r="U2752" s="129"/>
      <c r="V2752" s="129"/>
    </row>
    <row r="2753" spans="1:22" x14ac:dyDescent="0.2">
      <c r="A2753" s="144"/>
      <c r="B2753" s="145"/>
      <c r="C2753" s="129"/>
      <c r="D2753" s="129"/>
      <c r="E2753" s="129"/>
      <c r="F2753" s="129"/>
      <c r="G2753" s="144"/>
      <c r="H2753" s="129"/>
      <c r="I2753" s="144"/>
      <c r="J2753" s="144"/>
      <c r="K2753" s="144"/>
      <c r="L2753" s="146"/>
      <c r="M2753" s="142"/>
      <c r="N2753" s="144"/>
      <c r="O2753" s="142"/>
      <c r="P2753" s="142"/>
      <c r="Q2753" s="142"/>
      <c r="R2753" s="129"/>
      <c r="S2753" s="143"/>
      <c r="T2753" s="144"/>
      <c r="U2753" s="129"/>
      <c r="V2753" s="129"/>
    </row>
    <row r="2754" spans="1:22" x14ac:dyDescent="0.2">
      <c r="A2754" s="144"/>
      <c r="B2754" s="145"/>
      <c r="C2754" s="129"/>
      <c r="D2754" s="129"/>
      <c r="E2754" s="129"/>
      <c r="F2754" s="129"/>
      <c r="G2754" s="144"/>
      <c r="H2754" s="129"/>
      <c r="I2754" s="144"/>
      <c r="J2754" s="144"/>
      <c r="K2754" s="144"/>
      <c r="L2754" s="146"/>
      <c r="M2754" s="142"/>
      <c r="N2754" s="144"/>
      <c r="O2754" s="142"/>
      <c r="P2754" s="142"/>
      <c r="Q2754" s="142"/>
      <c r="R2754" s="129"/>
      <c r="S2754" s="143"/>
      <c r="T2754" s="144"/>
      <c r="U2754" s="129"/>
      <c r="V2754" s="129"/>
    </row>
    <row r="2755" spans="1:22" x14ac:dyDescent="0.2">
      <c r="A2755" s="144"/>
      <c r="B2755" s="145"/>
      <c r="C2755" s="129"/>
      <c r="D2755" s="129"/>
      <c r="E2755" s="129"/>
      <c r="F2755" s="129"/>
      <c r="G2755" s="144"/>
      <c r="H2755" s="129"/>
      <c r="I2755" s="144"/>
      <c r="J2755" s="144"/>
      <c r="K2755" s="144"/>
      <c r="L2755" s="146"/>
      <c r="M2755" s="142"/>
      <c r="N2755" s="144"/>
      <c r="O2755" s="142"/>
      <c r="P2755" s="142"/>
      <c r="Q2755" s="142"/>
      <c r="R2755" s="129"/>
      <c r="S2755" s="143"/>
      <c r="T2755" s="144"/>
      <c r="U2755" s="129"/>
      <c r="V2755" s="129"/>
    </row>
    <row r="2756" spans="1:22" x14ac:dyDescent="0.2">
      <c r="A2756" s="144"/>
      <c r="B2756" s="145"/>
      <c r="C2756" s="129"/>
      <c r="D2756" s="129"/>
      <c r="E2756" s="129"/>
      <c r="F2756" s="129"/>
      <c r="G2756" s="144"/>
      <c r="H2756" s="129"/>
      <c r="I2756" s="144"/>
      <c r="J2756" s="144"/>
      <c r="K2756" s="144"/>
      <c r="L2756" s="146"/>
      <c r="M2756" s="142"/>
      <c r="N2756" s="144"/>
      <c r="O2756" s="142"/>
      <c r="P2756" s="142"/>
      <c r="Q2756" s="142"/>
      <c r="R2756" s="129"/>
      <c r="S2756" s="143"/>
      <c r="T2756" s="144"/>
      <c r="U2756" s="129"/>
      <c r="V2756" s="129"/>
    </row>
    <row r="2757" spans="1:22" x14ac:dyDescent="0.2">
      <c r="A2757" s="144"/>
      <c r="B2757" s="145"/>
      <c r="C2757" s="129"/>
      <c r="D2757" s="129"/>
      <c r="E2757" s="129"/>
      <c r="F2757" s="129"/>
      <c r="G2757" s="144"/>
      <c r="H2757" s="129"/>
      <c r="I2757" s="144"/>
      <c r="J2757" s="144"/>
      <c r="K2757" s="144"/>
      <c r="L2757" s="146"/>
      <c r="M2757" s="142"/>
      <c r="N2757" s="144"/>
      <c r="O2757" s="142"/>
      <c r="P2757" s="142"/>
      <c r="Q2757" s="142"/>
      <c r="R2757" s="129"/>
      <c r="S2757" s="143"/>
      <c r="T2757" s="144"/>
      <c r="U2757" s="129"/>
      <c r="V2757" s="129"/>
    </row>
    <row r="2758" spans="1:22" x14ac:dyDescent="0.2">
      <c r="A2758" s="144"/>
      <c r="B2758" s="145"/>
      <c r="C2758" s="129"/>
      <c r="D2758" s="129"/>
      <c r="E2758" s="129"/>
      <c r="F2758" s="129"/>
      <c r="G2758" s="144"/>
      <c r="H2758" s="129"/>
      <c r="I2758" s="144"/>
      <c r="J2758" s="144"/>
      <c r="K2758" s="144"/>
      <c r="L2758" s="146"/>
      <c r="M2758" s="142"/>
      <c r="N2758" s="144"/>
      <c r="O2758" s="142"/>
      <c r="P2758" s="142"/>
      <c r="Q2758" s="142"/>
      <c r="R2758" s="129"/>
      <c r="S2758" s="143"/>
      <c r="T2758" s="144"/>
      <c r="U2758" s="129"/>
      <c r="V2758" s="129"/>
    </row>
    <row r="2759" spans="1:22" x14ac:dyDescent="0.2">
      <c r="A2759" s="144"/>
      <c r="B2759" s="145"/>
      <c r="C2759" s="129"/>
      <c r="D2759" s="129"/>
      <c r="E2759" s="129"/>
      <c r="F2759" s="129"/>
      <c r="G2759" s="144"/>
      <c r="H2759" s="129"/>
      <c r="I2759" s="144"/>
      <c r="J2759" s="144"/>
      <c r="K2759" s="144"/>
      <c r="L2759" s="146"/>
      <c r="M2759" s="142"/>
      <c r="N2759" s="144"/>
      <c r="O2759" s="142"/>
      <c r="P2759" s="142"/>
      <c r="Q2759" s="142"/>
      <c r="R2759" s="129"/>
      <c r="S2759" s="143"/>
      <c r="T2759" s="144"/>
      <c r="U2759" s="129"/>
      <c r="V2759" s="129"/>
    </row>
    <row r="2760" spans="1:22" x14ac:dyDescent="0.2">
      <c r="A2760" s="144"/>
      <c r="B2760" s="145"/>
      <c r="C2760" s="129"/>
      <c r="D2760" s="129"/>
      <c r="E2760" s="129"/>
      <c r="F2760" s="129"/>
      <c r="G2760" s="144"/>
      <c r="H2760" s="129"/>
      <c r="I2760" s="144"/>
      <c r="J2760" s="144"/>
      <c r="K2760" s="144"/>
      <c r="L2760" s="146"/>
      <c r="M2760" s="142"/>
      <c r="N2760" s="144"/>
      <c r="O2760" s="142"/>
      <c r="P2760" s="142"/>
      <c r="Q2760" s="142"/>
      <c r="R2760" s="129"/>
      <c r="S2760" s="143"/>
      <c r="T2760" s="144"/>
      <c r="U2760" s="129"/>
      <c r="V2760" s="129"/>
    </row>
    <row r="2761" spans="1:22" x14ac:dyDescent="0.2">
      <c r="A2761" s="144"/>
      <c r="B2761" s="145"/>
      <c r="C2761" s="129"/>
      <c r="D2761" s="129"/>
      <c r="E2761" s="129"/>
      <c r="F2761" s="129"/>
      <c r="G2761" s="144"/>
      <c r="H2761" s="129"/>
      <c r="I2761" s="144"/>
      <c r="J2761" s="144"/>
      <c r="K2761" s="144"/>
      <c r="L2761" s="146"/>
      <c r="M2761" s="142"/>
      <c r="N2761" s="144"/>
      <c r="O2761" s="142"/>
      <c r="P2761" s="142"/>
      <c r="Q2761" s="142"/>
      <c r="R2761" s="129"/>
      <c r="S2761" s="143"/>
      <c r="T2761" s="144"/>
      <c r="U2761" s="129"/>
      <c r="V2761" s="129"/>
    </row>
    <row r="2762" spans="1:22" x14ac:dyDescent="0.2">
      <c r="A2762" s="144"/>
      <c r="B2762" s="145"/>
      <c r="C2762" s="129"/>
      <c r="D2762" s="129"/>
      <c r="E2762" s="129"/>
      <c r="F2762" s="129"/>
      <c r="G2762" s="144"/>
      <c r="H2762" s="129"/>
      <c r="I2762" s="144"/>
      <c r="J2762" s="144"/>
      <c r="K2762" s="144"/>
      <c r="L2762" s="146"/>
      <c r="M2762" s="142"/>
      <c r="N2762" s="144"/>
      <c r="O2762" s="142"/>
      <c r="P2762" s="142"/>
      <c r="Q2762" s="142"/>
      <c r="R2762" s="129"/>
      <c r="S2762" s="143"/>
      <c r="T2762" s="144"/>
      <c r="U2762" s="129"/>
      <c r="V2762" s="129"/>
    </row>
    <row r="2763" spans="1:22" x14ac:dyDescent="0.2">
      <c r="A2763" s="144"/>
      <c r="B2763" s="145"/>
      <c r="C2763" s="129"/>
      <c r="D2763" s="129"/>
      <c r="E2763" s="129"/>
      <c r="F2763" s="129"/>
      <c r="G2763" s="144"/>
      <c r="H2763" s="129"/>
      <c r="I2763" s="144"/>
      <c r="J2763" s="144"/>
      <c r="K2763" s="144"/>
      <c r="L2763" s="146"/>
      <c r="M2763" s="142"/>
      <c r="N2763" s="144"/>
      <c r="O2763" s="142"/>
      <c r="P2763" s="142"/>
      <c r="Q2763" s="142"/>
      <c r="R2763" s="129"/>
      <c r="S2763" s="143"/>
      <c r="T2763" s="144"/>
      <c r="U2763" s="129"/>
      <c r="V2763" s="129"/>
    </row>
    <row r="2764" spans="1:22" x14ac:dyDescent="0.2">
      <c r="A2764" s="144"/>
      <c r="B2764" s="145"/>
      <c r="C2764" s="129"/>
      <c r="D2764" s="129"/>
      <c r="E2764" s="129"/>
      <c r="F2764" s="129"/>
      <c r="G2764" s="144"/>
      <c r="H2764" s="129"/>
      <c r="I2764" s="144"/>
      <c r="J2764" s="144"/>
      <c r="K2764" s="144"/>
      <c r="L2764" s="146"/>
      <c r="M2764" s="142"/>
      <c r="N2764" s="144"/>
      <c r="O2764" s="142"/>
      <c r="P2764" s="142"/>
      <c r="Q2764" s="142"/>
      <c r="R2764" s="129"/>
      <c r="S2764" s="143"/>
      <c r="T2764" s="144"/>
      <c r="U2764" s="129"/>
      <c r="V2764" s="129"/>
    </row>
    <row r="2765" spans="1:22" x14ac:dyDescent="0.2">
      <c r="A2765" s="144"/>
      <c r="B2765" s="145"/>
      <c r="C2765" s="129"/>
      <c r="D2765" s="129"/>
      <c r="E2765" s="129"/>
      <c r="F2765" s="129"/>
      <c r="G2765" s="144"/>
      <c r="H2765" s="129"/>
      <c r="I2765" s="144"/>
      <c r="J2765" s="144"/>
      <c r="K2765" s="144"/>
      <c r="L2765" s="146"/>
      <c r="M2765" s="142"/>
      <c r="N2765" s="144"/>
      <c r="O2765" s="142"/>
      <c r="P2765" s="142"/>
      <c r="Q2765" s="142"/>
      <c r="R2765" s="129"/>
      <c r="S2765" s="143"/>
      <c r="T2765" s="144"/>
      <c r="U2765" s="129"/>
      <c r="V2765" s="129"/>
    </row>
    <row r="2766" spans="1:22" x14ac:dyDescent="0.2">
      <c r="A2766" s="144"/>
      <c r="B2766" s="145"/>
      <c r="C2766" s="129"/>
      <c r="D2766" s="129"/>
      <c r="E2766" s="129"/>
      <c r="F2766" s="129"/>
      <c r="G2766" s="144"/>
      <c r="H2766" s="129"/>
      <c r="I2766" s="144"/>
      <c r="J2766" s="144"/>
      <c r="K2766" s="144"/>
      <c r="L2766" s="146"/>
      <c r="M2766" s="142"/>
      <c r="N2766" s="144"/>
      <c r="O2766" s="142"/>
      <c r="P2766" s="142"/>
      <c r="Q2766" s="142"/>
      <c r="R2766" s="129"/>
      <c r="S2766" s="143"/>
      <c r="T2766" s="144"/>
      <c r="U2766" s="129"/>
      <c r="V2766" s="129"/>
    </row>
    <row r="2767" spans="1:22" x14ac:dyDescent="0.2">
      <c r="A2767" s="144"/>
      <c r="B2767" s="145"/>
      <c r="C2767" s="129"/>
      <c r="D2767" s="129"/>
      <c r="E2767" s="129"/>
      <c r="F2767" s="129"/>
      <c r="G2767" s="144"/>
      <c r="H2767" s="129"/>
      <c r="I2767" s="144"/>
      <c r="J2767" s="144"/>
      <c r="K2767" s="144"/>
      <c r="L2767" s="146"/>
      <c r="M2767" s="142"/>
      <c r="N2767" s="144"/>
      <c r="O2767" s="142"/>
      <c r="P2767" s="142"/>
      <c r="Q2767" s="142"/>
      <c r="R2767" s="129"/>
      <c r="S2767" s="143"/>
      <c r="T2767" s="144"/>
      <c r="U2767" s="129"/>
      <c r="V2767" s="129"/>
    </row>
    <row r="2768" spans="1:22" x14ac:dyDescent="0.2">
      <c r="A2768" s="144"/>
      <c r="B2768" s="145"/>
      <c r="C2768" s="129"/>
      <c r="D2768" s="129"/>
      <c r="E2768" s="129"/>
      <c r="F2768" s="129"/>
      <c r="G2768" s="144"/>
      <c r="H2768" s="129"/>
      <c r="I2768" s="144"/>
      <c r="J2768" s="144"/>
      <c r="K2768" s="144"/>
      <c r="L2768" s="146"/>
      <c r="M2768" s="142"/>
      <c r="N2768" s="144"/>
      <c r="O2768" s="142"/>
      <c r="P2768" s="142"/>
      <c r="Q2768" s="142"/>
      <c r="R2768" s="129"/>
      <c r="S2768" s="143"/>
      <c r="T2768" s="144"/>
      <c r="U2768" s="129"/>
      <c r="V2768" s="129"/>
    </row>
    <row r="2769" spans="1:22" x14ac:dyDescent="0.2">
      <c r="A2769" s="144"/>
      <c r="B2769" s="145"/>
      <c r="C2769" s="129"/>
      <c r="D2769" s="129"/>
      <c r="E2769" s="129"/>
      <c r="F2769" s="129"/>
      <c r="G2769" s="144"/>
      <c r="H2769" s="129"/>
      <c r="I2769" s="144"/>
      <c r="J2769" s="144"/>
      <c r="K2769" s="144"/>
      <c r="L2769" s="146"/>
      <c r="M2769" s="142"/>
      <c r="N2769" s="144"/>
      <c r="O2769" s="142"/>
      <c r="P2769" s="142"/>
      <c r="Q2769" s="142"/>
      <c r="R2769" s="129"/>
      <c r="S2769" s="143"/>
      <c r="T2769" s="144"/>
      <c r="U2769" s="129"/>
      <c r="V2769" s="129"/>
    </row>
    <row r="2770" spans="1:22" x14ac:dyDescent="0.2">
      <c r="A2770" s="144"/>
      <c r="B2770" s="145"/>
      <c r="C2770" s="129"/>
      <c r="D2770" s="129"/>
      <c r="E2770" s="129"/>
      <c r="F2770" s="129"/>
      <c r="G2770" s="144"/>
      <c r="H2770" s="129"/>
      <c r="I2770" s="144"/>
      <c r="J2770" s="144"/>
      <c r="K2770" s="144"/>
      <c r="L2770" s="146"/>
      <c r="M2770" s="142"/>
      <c r="N2770" s="144"/>
      <c r="O2770" s="142"/>
      <c r="P2770" s="142"/>
      <c r="Q2770" s="142"/>
      <c r="R2770" s="129"/>
      <c r="S2770" s="143"/>
      <c r="T2770" s="144"/>
      <c r="U2770" s="129"/>
      <c r="V2770" s="129"/>
    </row>
    <row r="2771" spans="1:22" x14ac:dyDescent="0.2">
      <c r="A2771" s="144"/>
      <c r="B2771" s="145"/>
      <c r="C2771" s="129"/>
      <c r="D2771" s="129"/>
      <c r="E2771" s="129"/>
      <c r="F2771" s="129"/>
      <c r="G2771" s="144"/>
      <c r="H2771" s="129"/>
      <c r="I2771" s="144"/>
      <c r="J2771" s="144"/>
      <c r="K2771" s="144"/>
      <c r="L2771" s="146"/>
      <c r="M2771" s="142"/>
      <c r="N2771" s="144"/>
      <c r="O2771" s="142"/>
      <c r="P2771" s="142"/>
      <c r="Q2771" s="142"/>
      <c r="R2771" s="129"/>
      <c r="S2771" s="143"/>
      <c r="T2771" s="144"/>
      <c r="U2771" s="129"/>
      <c r="V2771" s="129"/>
    </row>
    <row r="2772" spans="1:22" x14ac:dyDescent="0.2">
      <c r="A2772" s="144"/>
      <c r="B2772" s="145"/>
      <c r="C2772" s="129"/>
      <c r="D2772" s="129"/>
      <c r="E2772" s="129"/>
      <c r="F2772" s="129"/>
      <c r="G2772" s="144"/>
      <c r="H2772" s="129"/>
      <c r="I2772" s="144"/>
      <c r="J2772" s="144"/>
      <c r="K2772" s="144"/>
      <c r="L2772" s="146"/>
      <c r="M2772" s="142"/>
      <c r="N2772" s="144"/>
      <c r="O2772" s="142"/>
      <c r="P2772" s="142"/>
      <c r="Q2772" s="142"/>
      <c r="R2772" s="129"/>
      <c r="S2772" s="143"/>
      <c r="T2772" s="144"/>
      <c r="U2772" s="129"/>
      <c r="V2772" s="129"/>
    </row>
    <row r="2773" spans="1:22" x14ac:dyDescent="0.2">
      <c r="A2773" s="144"/>
      <c r="B2773" s="145"/>
      <c r="C2773" s="129"/>
      <c r="D2773" s="129"/>
      <c r="E2773" s="129"/>
      <c r="F2773" s="129"/>
      <c r="G2773" s="144"/>
      <c r="H2773" s="129"/>
      <c r="I2773" s="144"/>
      <c r="J2773" s="144"/>
      <c r="K2773" s="144"/>
      <c r="L2773" s="146"/>
      <c r="M2773" s="142"/>
      <c r="N2773" s="144"/>
      <c r="O2773" s="142"/>
      <c r="P2773" s="142"/>
      <c r="Q2773" s="142"/>
      <c r="R2773" s="129"/>
      <c r="S2773" s="143"/>
      <c r="T2773" s="144"/>
      <c r="U2773" s="129"/>
      <c r="V2773" s="129"/>
    </row>
    <row r="2774" spans="1:22" x14ac:dyDescent="0.2">
      <c r="A2774" s="144"/>
      <c r="B2774" s="145"/>
      <c r="C2774" s="129"/>
      <c r="D2774" s="129"/>
      <c r="E2774" s="129"/>
      <c r="F2774" s="129"/>
      <c r="G2774" s="144"/>
      <c r="H2774" s="129"/>
      <c r="I2774" s="144"/>
      <c r="J2774" s="144"/>
      <c r="K2774" s="144"/>
      <c r="L2774" s="146"/>
      <c r="M2774" s="142"/>
      <c r="N2774" s="144"/>
      <c r="O2774" s="142"/>
      <c r="P2774" s="142"/>
      <c r="Q2774" s="142"/>
      <c r="R2774" s="129"/>
      <c r="S2774" s="143"/>
      <c r="T2774" s="144"/>
      <c r="U2774" s="129"/>
      <c r="V2774" s="129"/>
    </row>
    <row r="2775" spans="1:22" x14ac:dyDescent="0.2">
      <c r="A2775" s="144"/>
      <c r="B2775" s="145"/>
      <c r="C2775" s="129"/>
      <c r="D2775" s="129"/>
      <c r="E2775" s="129"/>
      <c r="F2775" s="129"/>
      <c r="G2775" s="144"/>
      <c r="H2775" s="129"/>
      <c r="I2775" s="144"/>
      <c r="J2775" s="144"/>
      <c r="K2775" s="144"/>
      <c r="L2775" s="146"/>
      <c r="M2775" s="142"/>
      <c r="N2775" s="144"/>
      <c r="O2775" s="142"/>
      <c r="P2775" s="142"/>
      <c r="Q2775" s="142"/>
      <c r="R2775" s="129"/>
      <c r="S2775" s="143"/>
      <c r="T2775" s="144"/>
      <c r="U2775" s="129"/>
      <c r="V2775" s="129"/>
    </row>
    <row r="2776" spans="1:22" x14ac:dyDescent="0.2">
      <c r="A2776" s="144"/>
      <c r="B2776" s="145"/>
      <c r="C2776" s="129"/>
      <c r="D2776" s="129"/>
      <c r="E2776" s="129"/>
      <c r="F2776" s="129"/>
      <c r="G2776" s="144"/>
      <c r="H2776" s="129"/>
      <c r="I2776" s="144"/>
      <c r="J2776" s="144"/>
      <c r="K2776" s="144"/>
      <c r="L2776" s="146"/>
      <c r="M2776" s="142"/>
      <c r="N2776" s="144"/>
      <c r="O2776" s="142"/>
      <c r="P2776" s="142"/>
      <c r="Q2776" s="142"/>
      <c r="R2776" s="129"/>
      <c r="S2776" s="143"/>
      <c r="T2776" s="144"/>
      <c r="U2776" s="129"/>
      <c r="V2776" s="129"/>
    </row>
    <row r="2777" spans="1:22" x14ac:dyDescent="0.2">
      <c r="A2777" s="144"/>
      <c r="B2777" s="145"/>
      <c r="C2777" s="129"/>
      <c r="D2777" s="129"/>
      <c r="E2777" s="129"/>
      <c r="F2777" s="129"/>
      <c r="G2777" s="144"/>
      <c r="H2777" s="129"/>
      <c r="I2777" s="144"/>
      <c r="J2777" s="144"/>
      <c r="K2777" s="144"/>
      <c r="L2777" s="146"/>
      <c r="M2777" s="142"/>
      <c r="N2777" s="144"/>
      <c r="O2777" s="142"/>
      <c r="P2777" s="142"/>
      <c r="Q2777" s="142"/>
      <c r="R2777" s="129"/>
      <c r="S2777" s="143"/>
      <c r="T2777" s="144"/>
      <c r="U2777" s="129"/>
      <c r="V2777" s="129"/>
    </row>
    <row r="2778" spans="1:22" x14ac:dyDescent="0.2">
      <c r="A2778" s="144"/>
      <c r="B2778" s="145"/>
      <c r="C2778" s="129"/>
      <c r="D2778" s="129"/>
      <c r="E2778" s="129"/>
      <c r="F2778" s="129"/>
      <c r="G2778" s="144"/>
      <c r="H2778" s="129"/>
      <c r="I2778" s="144"/>
      <c r="J2778" s="144"/>
      <c r="K2778" s="144"/>
      <c r="L2778" s="146"/>
      <c r="M2778" s="142"/>
      <c r="N2778" s="144"/>
      <c r="O2778" s="142"/>
      <c r="P2778" s="142"/>
      <c r="Q2778" s="142"/>
      <c r="R2778" s="129"/>
      <c r="S2778" s="143"/>
      <c r="T2778" s="144"/>
      <c r="U2778" s="129"/>
      <c r="V2778" s="129"/>
    </row>
    <row r="2779" spans="1:22" x14ac:dyDescent="0.2">
      <c r="A2779" s="144"/>
      <c r="B2779" s="145"/>
      <c r="C2779" s="129"/>
      <c r="D2779" s="129"/>
      <c r="E2779" s="129"/>
      <c r="F2779" s="129"/>
      <c r="G2779" s="144"/>
      <c r="H2779" s="129"/>
      <c r="I2779" s="144"/>
      <c r="J2779" s="144"/>
      <c r="K2779" s="144"/>
      <c r="L2779" s="146"/>
      <c r="M2779" s="142"/>
      <c r="N2779" s="144"/>
      <c r="O2779" s="142"/>
      <c r="P2779" s="142"/>
      <c r="Q2779" s="142"/>
      <c r="R2779" s="129"/>
      <c r="S2779" s="143"/>
      <c r="T2779" s="144"/>
      <c r="U2779" s="129"/>
      <c r="V2779" s="129"/>
    </row>
    <row r="2780" spans="1:22" x14ac:dyDescent="0.2">
      <c r="A2780" s="144"/>
      <c r="B2780" s="145"/>
      <c r="C2780" s="129"/>
      <c r="D2780" s="129"/>
      <c r="E2780" s="129"/>
      <c r="F2780" s="129"/>
      <c r="G2780" s="144"/>
      <c r="H2780" s="129"/>
      <c r="I2780" s="144"/>
      <c r="J2780" s="144"/>
      <c r="K2780" s="144"/>
      <c r="L2780" s="146"/>
      <c r="M2780" s="142"/>
      <c r="N2780" s="144"/>
      <c r="O2780" s="142"/>
      <c r="P2780" s="142"/>
      <c r="Q2780" s="142"/>
      <c r="R2780" s="129"/>
      <c r="S2780" s="143"/>
      <c r="T2780" s="144"/>
      <c r="U2780" s="129"/>
      <c r="V2780" s="129"/>
    </row>
    <row r="2781" spans="1:22" x14ac:dyDescent="0.2">
      <c r="A2781" s="144"/>
      <c r="B2781" s="145"/>
      <c r="C2781" s="129"/>
      <c r="D2781" s="129"/>
      <c r="E2781" s="129"/>
      <c r="F2781" s="129"/>
      <c r="G2781" s="144"/>
      <c r="H2781" s="129"/>
      <c r="I2781" s="144"/>
      <c r="J2781" s="144"/>
      <c r="K2781" s="144"/>
      <c r="L2781" s="146"/>
      <c r="M2781" s="142"/>
      <c r="N2781" s="144"/>
      <c r="O2781" s="142"/>
      <c r="P2781" s="142"/>
      <c r="Q2781" s="142"/>
      <c r="R2781" s="129"/>
      <c r="S2781" s="143"/>
      <c r="T2781" s="144"/>
      <c r="U2781" s="129"/>
      <c r="V2781" s="129"/>
    </row>
    <row r="2782" spans="1:22" x14ac:dyDescent="0.2">
      <c r="A2782" s="144"/>
      <c r="B2782" s="145"/>
      <c r="C2782" s="129"/>
      <c r="D2782" s="129"/>
      <c r="E2782" s="129"/>
      <c r="F2782" s="129"/>
      <c r="G2782" s="144"/>
      <c r="H2782" s="129"/>
      <c r="I2782" s="144"/>
      <c r="J2782" s="144"/>
      <c r="K2782" s="144"/>
      <c r="L2782" s="146"/>
      <c r="M2782" s="142"/>
      <c r="N2782" s="144"/>
      <c r="O2782" s="142"/>
      <c r="P2782" s="142"/>
      <c r="Q2782" s="142"/>
      <c r="R2782" s="129"/>
      <c r="S2782" s="143"/>
      <c r="T2782" s="144"/>
      <c r="U2782" s="129"/>
      <c r="V2782" s="129"/>
    </row>
    <row r="2783" spans="1:22" x14ac:dyDescent="0.2">
      <c r="A2783" s="144"/>
      <c r="B2783" s="145"/>
      <c r="C2783" s="129"/>
      <c r="D2783" s="129"/>
      <c r="E2783" s="129"/>
      <c r="F2783" s="129"/>
      <c r="G2783" s="144"/>
      <c r="H2783" s="129"/>
      <c r="I2783" s="144"/>
      <c r="J2783" s="144"/>
      <c r="K2783" s="144"/>
      <c r="L2783" s="146"/>
      <c r="M2783" s="142"/>
      <c r="N2783" s="144"/>
      <c r="O2783" s="142"/>
      <c r="P2783" s="142"/>
      <c r="Q2783" s="142"/>
      <c r="R2783" s="129"/>
      <c r="S2783" s="143"/>
      <c r="T2783" s="144"/>
      <c r="U2783" s="129"/>
      <c r="V2783" s="129"/>
    </row>
    <row r="2784" spans="1:22" x14ac:dyDescent="0.2">
      <c r="A2784" s="144"/>
      <c r="B2784" s="145"/>
      <c r="C2784" s="129"/>
      <c r="D2784" s="129"/>
      <c r="E2784" s="129"/>
      <c r="F2784" s="129"/>
      <c r="G2784" s="144"/>
      <c r="H2784" s="129"/>
      <c r="I2784" s="144"/>
      <c r="J2784" s="144"/>
      <c r="K2784" s="144"/>
      <c r="L2784" s="146"/>
      <c r="M2784" s="142"/>
      <c r="N2784" s="144"/>
      <c r="O2784" s="142"/>
      <c r="P2784" s="142"/>
      <c r="Q2784" s="142"/>
      <c r="R2784" s="129"/>
      <c r="S2784" s="143"/>
      <c r="T2784" s="144"/>
      <c r="U2784" s="129"/>
      <c r="V2784" s="129"/>
    </row>
    <row r="2785" spans="1:22" x14ac:dyDescent="0.2">
      <c r="A2785" s="144"/>
      <c r="B2785" s="145"/>
      <c r="C2785" s="129"/>
      <c r="D2785" s="129"/>
      <c r="E2785" s="129"/>
      <c r="F2785" s="129"/>
      <c r="G2785" s="144"/>
      <c r="H2785" s="129"/>
      <c r="I2785" s="144"/>
      <c r="J2785" s="144"/>
      <c r="K2785" s="144"/>
      <c r="L2785" s="146"/>
      <c r="M2785" s="142"/>
      <c r="N2785" s="144"/>
      <c r="O2785" s="142"/>
      <c r="P2785" s="142"/>
      <c r="Q2785" s="142"/>
      <c r="R2785" s="129"/>
      <c r="S2785" s="143"/>
      <c r="T2785" s="144"/>
      <c r="U2785" s="129"/>
      <c r="V2785" s="129"/>
    </row>
    <row r="2786" spans="1:22" x14ac:dyDescent="0.2">
      <c r="A2786" s="144"/>
      <c r="B2786" s="145"/>
      <c r="C2786" s="129"/>
      <c r="D2786" s="129"/>
      <c r="E2786" s="129"/>
      <c r="F2786" s="129"/>
      <c r="G2786" s="144"/>
      <c r="H2786" s="129"/>
      <c r="I2786" s="144"/>
      <c r="J2786" s="144"/>
      <c r="K2786" s="144"/>
      <c r="L2786" s="146"/>
      <c r="M2786" s="142"/>
      <c r="N2786" s="144"/>
      <c r="O2786" s="142"/>
      <c r="P2786" s="142"/>
      <c r="Q2786" s="142"/>
      <c r="R2786" s="129"/>
      <c r="S2786" s="143"/>
      <c r="T2786" s="144"/>
      <c r="U2786" s="129"/>
      <c r="V2786" s="129"/>
    </row>
    <row r="2787" spans="1:22" x14ac:dyDescent="0.2">
      <c r="A2787" s="144"/>
      <c r="B2787" s="145"/>
      <c r="C2787" s="129"/>
      <c r="D2787" s="129"/>
      <c r="E2787" s="129"/>
      <c r="F2787" s="129"/>
      <c r="G2787" s="144"/>
      <c r="H2787" s="129"/>
      <c r="I2787" s="144"/>
      <c r="J2787" s="144"/>
      <c r="K2787" s="144"/>
      <c r="L2787" s="146"/>
      <c r="M2787" s="142"/>
      <c r="N2787" s="144"/>
      <c r="O2787" s="142"/>
      <c r="P2787" s="142"/>
      <c r="Q2787" s="142"/>
      <c r="R2787" s="129"/>
      <c r="S2787" s="143"/>
      <c r="T2787" s="144"/>
      <c r="U2787" s="129"/>
      <c r="V2787" s="129"/>
    </row>
    <row r="2788" spans="1:22" x14ac:dyDescent="0.2">
      <c r="A2788" s="144"/>
      <c r="B2788" s="145"/>
      <c r="C2788" s="129"/>
      <c r="D2788" s="129"/>
      <c r="E2788" s="129"/>
      <c r="F2788" s="129"/>
      <c r="G2788" s="144"/>
      <c r="H2788" s="129"/>
      <c r="I2788" s="144"/>
      <c r="J2788" s="144"/>
      <c r="K2788" s="144"/>
      <c r="L2788" s="146"/>
      <c r="M2788" s="142"/>
      <c r="N2788" s="144"/>
      <c r="O2788" s="142"/>
      <c r="P2788" s="142"/>
      <c r="Q2788" s="142"/>
      <c r="R2788" s="129"/>
      <c r="S2788" s="143"/>
      <c r="T2788" s="144"/>
      <c r="U2788" s="129"/>
      <c r="V2788" s="129"/>
    </row>
    <row r="2789" spans="1:22" x14ac:dyDescent="0.2">
      <c r="A2789" s="144"/>
      <c r="B2789" s="145"/>
      <c r="C2789" s="129"/>
      <c r="D2789" s="129"/>
      <c r="E2789" s="129"/>
      <c r="F2789" s="129"/>
      <c r="G2789" s="144"/>
      <c r="H2789" s="129"/>
      <c r="I2789" s="144"/>
      <c r="J2789" s="144"/>
      <c r="K2789" s="144"/>
      <c r="L2789" s="146"/>
      <c r="M2789" s="142"/>
      <c r="N2789" s="144"/>
      <c r="O2789" s="142"/>
      <c r="P2789" s="142"/>
      <c r="Q2789" s="142"/>
      <c r="R2789" s="129"/>
      <c r="S2789" s="143"/>
      <c r="T2789" s="144"/>
      <c r="U2789" s="129"/>
      <c r="V2789" s="129"/>
    </row>
    <row r="2790" spans="1:22" x14ac:dyDescent="0.2">
      <c r="A2790" s="144"/>
      <c r="B2790" s="145"/>
      <c r="C2790" s="129"/>
      <c r="D2790" s="129"/>
      <c r="E2790" s="129"/>
      <c r="F2790" s="129"/>
      <c r="G2790" s="144"/>
      <c r="H2790" s="129"/>
      <c r="I2790" s="144"/>
      <c r="J2790" s="144"/>
      <c r="K2790" s="144"/>
      <c r="L2790" s="146"/>
      <c r="M2790" s="142"/>
      <c r="N2790" s="144"/>
      <c r="O2790" s="142"/>
      <c r="P2790" s="142"/>
      <c r="Q2790" s="142"/>
      <c r="R2790" s="129"/>
      <c r="S2790" s="143"/>
      <c r="T2790" s="144"/>
      <c r="U2790" s="129"/>
      <c r="V2790" s="129"/>
    </row>
    <row r="2791" spans="1:22" x14ac:dyDescent="0.2">
      <c r="A2791" s="144"/>
      <c r="B2791" s="145"/>
      <c r="C2791" s="129"/>
      <c r="D2791" s="129"/>
      <c r="E2791" s="129"/>
      <c r="F2791" s="129"/>
      <c r="G2791" s="144"/>
      <c r="H2791" s="129"/>
      <c r="I2791" s="144"/>
      <c r="J2791" s="144"/>
      <c r="K2791" s="144"/>
      <c r="L2791" s="146"/>
      <c r="M2791" s="142"/>
      <c r="N2791" s="144"/>
      <c r="O2791" s="142"/>
      <c r="P2791" s="142"/>
      <c r="Q2791" s="142"/>
      <c r="R2791" s="129"/>
      <c r="S2791" s="143"/>
      <c r="T2791" s="144"/>
      <c r="U2791" s="129"/>
      <c r="V2791" s="129"/>
    </row>
    <row r="2792" spans="1:22" x14ac:dyDescent="0.2">
      <c r="A2792" s="144"/>
      <c r="B2792" s="145"/>
      <c r="C2792" s="129"/>
      <c r="D2792" s="129"/>
      <c r="E2792" s="129"/>
      <c r="F2792" s="129"/>
      <c r="G2792" s="144"/>
      <c r="H2792" s="129"/>
      <c r="I2792" s="144"/>
      <c r="J2792" s="144"/>
      <c r="K2792" s="144"/>
      <c r="L2792" s="146"/>
      <c r="M2792" s="142"/>
      <c r="N2792" s="144"/>
      <c r="O2792" s="142"/>
      <c r="P2792" s="142"/>
      <c r="Q2792" s="142"/>
      <c r="R2792" s="129"/>
      <c r="S2792" s="143"/>
      <c r="T2792" s="144"/>
      <c r="U2792" s="129"/>
      <c r="V2792" s="129"/>
    </row>
    <row r="2793" spans="1:22" x14ac:dyDescent="0.2">
      <c r="A2793" s="144"/>
      <c r="B2793" s="145"/>
      <c r="C2793" s="129"/>
      <c r="D2793" s="129"/>
      <c r="E2793" s="129"/>
      <c r="F2793" s="129"/>
      <c r="G2793" s="144"/>
      <c r="H2793" s="129"/>
      <c r="I2793" s="144"/>
      <c r="J2793" s="144"/>
      <c r="K2793" s="144"/>
      <c r="L2793" s="146"/>
      <c r="M2793" s="142"/>
      <c r="N2793" s="144"/>
      <c r="O2793" s="142"/>
      <c r="P2793" s="142"/>
      <c r="Q2793" s="142"/>
      <c r="R2793" s="129"/>
      <c r="S2793" s="143"/>
      <c r="T2793" s="144"/>
      <c r="U2793" s="129"/>
      <c r="V2793" s="129"/>
    </row>
    <row r="2794" spans="1:22" x14ac:dyDescent="0.2">
      <c r="A2794" s="144"/>
      <c r="B2794" s="145"/>
      <c r="C2794" s="129"/>
      <c r="D2794" s="129"/>
      <c r="E2794" s="129"/>
      <c r="F2794" s="129"/>
      <c r="G2794" s="144"/>
      <c r="H2794" s="129"/>
      <c r="I2794" s="144"/>
      <c r="J2794" s="144"/>
      <c r="K2794" s="144"/>
      <c r="L2794" s="146"/>
      <c r="M2794" s="142"/>
      <c r="N2794" s="144"/>
      <c r="O2794" s="142"/>
      <c r="P2794" s="142"/>
      <c r="Q2794" s="142"/>
      <c r="R2794" s="129"/>
      <c r="S2794" s="143"/>
      <c r="T2794" s="144"/>
      <c r="U2794" s="129"/>
      <c r="V2794" s="129"/>
    </row>
    <row r="2795" spans="1:22" x14ac:dyDescent="0.2">
      <c r="A2795" s="144"/>
      <c r="B2795" s="145"/>
      <c r="C2795" s="129"/>
      <c r="D2795" s="129"/>
      <c r="E2795" s="129"/>
      <c r="F2795" s="129"/>
      <c r="G2795" s="144"/>
      <c r="H2795" s="129"/>
      <c r="I2795" s="144"/>
      <c r="J2795" s="144"/>
      <c r="K2795" s="144"/>
      <c r="L2795" s="146"/>
      <c r="M2795" s="142"/>
      <c r="N2795" s="144"/>
      <c r="O2795" s="142"/>
      <c r="P2795" s="142"/>
      <c r="Q2795" s="142"/>
      <c r="R2795" s="129"/>
      <c r="S2795" s="143"/>
      <c r="T2795" s="144"/>
      <c r="U2795" s="129"/>
      <c r="V2795" s="129"/>
    </row>
    <row r="2796" spans="1:22" x14ac:dyDescent="0.2">
      <c r="A2796" s="144"/>
      <c r="B2796" s="145"/>
      <c r="C2796" s="129"/>
      <c r="D2796" s="129"/>
      <c r="E2796" s="129"/>
      <c r="F2796" s="129"/>
      <c r="G2796" s="144"/>
      <c r="H2796" s="129"/>
      <c r="I2796" s="144"/>
      <c r="J2796" s="144"/>
      <c r="K2796" s="144"/>
      <c r="L2796" s="146"/>
      <c r="M2796" s="142"/>
      <c r="N2796" s="144"/>
      <c r="O2796" s="142"/>
      <c r="P2796" s="142"/>
      <c r="Q2796" s="142"/>
      <c r="R2796" s="129"/>
      <c r="S2796" s="143"/>
      <c r="T2796" s="144"/>
      <c r="U2796" s="129"/>
      <c r="V2796" s="129"/>
    </row>
    <row r="2797" spans="1:22" x14ac:dyDescent="0.2">
      <c r="A2797" s="144"/>
      <c r="B2797" s="145"/>
      <c r="C2797" s="129"/>
      <c r="D2797" s="129"/>
      <c r="E2797" s="129"/>
      <c r="F2797" s="129"/>
      <c r="G2797" s="144"/>
      <c r="H2797" s="129"/>
      <c r="I2797" s="144"/>
      <c r="J2797" s="144"/>
      <c r="K2797" s="144"/>
      <c r="L2797" s="146"/>
      <c r="M2797" s="142"/>
      <c r="N2797" s="144"/>
      <c r="O2797" s="142"/>
      <c r="P2797" s="142"/>
      <c r="Q2797" s="142"/>
      <c r="R2797" s="129"/>
      <c r="S2797" s="143"/>
      <c r="T2797" s="144"/>
      <c r="U2797" s="129"/>
      <c r="V2797" s="129"/>
    </row>
    <row r="2798" spans="1:22" x14ac:dyDescent="0.2">
      <c r="A2798" s="144"/>
      <c r="B2798" s="145"/>
      <c r="C2798" s="129"/>
      <c r="D2798" s="129"/>
      <c r="E2798" s="129"/>
      <c r="F2798" s="129"/>
      <c r="G2798" s="144"/>
      <c r="H2798" s="129"/>
      <c r="I2798" s="144"/>
      <c r="J2798" s="144"/>
      <c r="K2798" s="144"/>
      <c r="L2798" s="146"/>
      <c r="M2798" s="142"/>
      <c r="N2798" s="144"/>
      <c r="O2798" s="142"/>
      <c r="P2798" s="142"/>
      <c r="Q2798" s="142"/>
      <c r="R2798" s="129"/>
      <c r="S2798" s="143"/>
      <c r="T2798" s="144"/>
      <c r="U2798" s="129"/>
      <c r="V2798" s="129"/>
    </row>
    <row r="2799" spans="1:22" x14ac:dyDescent="0.2">
      <c r="A2799" s="144"/>
      <c r="B2799" s="145"/>
      <c r="C2799" s="129"/>
      <c r="D2799" s="129"/>
      <c r="E2799" s="129"/>
      <c r="F2799" s="129"/>
      <c r="G2799" s="144"/>
      <c r="H2799" s="129"/>
      <c r="I2799" s="144"/>
      <c r="J2799" s="144"/>
      <c r="K2799" s="144"/>
      <c r="L2799" s="146"/>
      <c r="M2799" s="142"/>
      <c r="N2799" s="144"/>
      <c r="O2799" s="142"/>
      <c r="P2799" s="142"/>
      <c r="Q2799" s="142"/>
      <c r="R2799" s="129"/>
      <c r="S2799" s="143"/>
      <c r="T2799" s="144"/>
      <c r="U2799" s="129"/>
      <c r="V2799" s="129"/>
    </row>
    <row r="2800" spans="1:22" x14ac:dyDescent="0.2">
      <c r="A2800" s="144"/>
      <c r="B2800" s="145"/>
      <c r="C2800" s="129"/>
      <c r="D2800" s="129"/>
      <c r="E2800" s="129"/>
      <c r="F2800" s="129"/>
      <c r="G2800" s="144"/>
      <c r="H2800" s="129"/>
      <c r="I2800" s="144"/>
      <c r="J2800" s="144"/>
      <c r="K2800" s="144"/>
      <c r="L2800" s="146"/>
      <c r="M2800" s="142"/>
      <c r="N2800" s="144"/>
      <c r="O2800" s="142"/>
      <c r="P2800" s="142"/>
      <c r="Q2800" s="142"/>
      <c r="R2800" s="129"/>
      <c r="S2800" s="143"/>
      <c r="T2800" s="144"/>
      <c r="U2800" s="129"/>
      <c r="V2800" s="129"/>
    </row>
    <row r="2801" spans="1:22" x14ac:dyDescent="0.2">
      <c r="A2801" s="144"/>
      <c r="B2801" s="145"/>
      <c r="C2801" s="129"/>
      <c r="D2801" s="129"/>
      <c r="E2801" s="129"/>
      <c r="F2801" s="129"/>
      <c r="G2801" s="144"/>
      <c r="H2801" s="129"/>
      <c r="I2801" s="144"/>
      <c r="J2801" s="144"/>
      <c r="K2801" s="144"/>
      <c r="L2801" s="146"/>
      <c r="M2801" s="142"/>
      <c r="N2801" s="144"/>
      <c r="O2801" s="142"/>
      <c r="P2801" s="142"/>
      <c r="Q2801" s="142"/>
      <c r="R2801" s="129"/>
      <c r="S2801" s="143"/>
      <c r="T2801" s="144"/>
      <c r="U2801" s="129"/>
      <c r="V2801" s="129"/>
    </row>
    <row r="2802" spans="1:22" x14ac:dyDescent="0.2">
      <c r="A2802" s="144"/>
      <c r="B2802" s="145"/>
      <c r="C2802" s="129"/>
      <c r="D2802" s="129"/>
      <c r="E2802" s="129"/>
      <c r="F2802" s="129"/>
      <c r="G2802" s="144"/>
      <c r="H2802" s="129"/>
      <c r="I2802" s="144"/>
      <c r="J2802" s="144"/>
      <c r="K2802" s="144"/>
      <c r="L2802" s="146"/>
      <c r="M2802" s="142"/>
      <c r="N2802" s="144"/>
      <c r="O2802" s="142"/>
      <c r="P2802" s="142"/>
      <c r="Q2802" s="142"/>
      <c r="R2802" s="129"/>
      <c r="S2802" s="143"/>
      <c r="T2802" s="144"/>
      <c r="U2802" s="129"/>
      <c r="V2802" s="129"/>
    </row>
    <row r="2803" spans="1:22" x14ac:dyDescent="0.2">
      <c r="A2803" s="144"/>
      <c r="B2803" s="145"/>
      <c r="C2803" s="129"/>
      <c r="D2803" s="129"/>
      <c r="E2803" s="129"/>
      <c r="F2803" s="129"/>
      <c r="G2803" s="144"/>
      <c r="H2803" s="129"/>
      <c r="I2803" s="144"/>
      <c r="J2803" s="144"/>
      <c r="K2803" s="144"/>
      <c r="L2803" s="146"/>
      <c r="M2803" s="142"/>
      <c r="N2803" s="144"/>
      <c r="O2803" s="142"/>
      <c r="P2803" s="142"/>
      <c r="Q2803" s="142"/>
      <c r="R2803" s="129"/>
      <c r="S2803" s="143"/>
      <c r="T2803" s="144"/>
      <c r="U2803" s="129"/>
      <c r="V2803" s="129"/>
    </row>
    <row r="2804" spans="1:22" x14ac:dyDescent="0.2">
      <c r="A2804" s="144"/>
      <c r="B2804" s="145"/>
      <c r="C2804" s="129"/>
      <c r="D2804" s="129"/>
      <c r="E2804" s="129"/>
      <c r="F2804" s="129"/>
      <c r="G2804" s="144"/>
      <c r="H2804" s="129"/>
      <c r="I2804" s="144"/>
      <c r="J2804" s="144"/>
      <c r="K2804" s="144"/>
      <c r="L2804" s="146"/>
      <c r="M2804" s="142"/>
      <c r="N2804" s="144"/>
      <c r="O2804" s="142"/>
      <c r="P2804" s="142"/>
      <c r="Q2804" s="142"/>
      <c r="R2804" s="129"/>
      <c r="S2804" s="143"/>
      <c r="T2804" s="144"/>
      <c r="U2804" s="129"/>
      <c r="V2804" s="129"/>
    </row>
    <row r="2805" spans="1:22" x14ac:dyDescent="0.2">
      <c r="A2805" s="144"/>
      <c r="B2805" s="145"/>
      <c r="C2805" s="129"/>
      <c r="D2805" s="129"/>
      <c r="E2805" s="129"/>
      <c r="F2805" s="129"/>
      <c r="G2805" s="144"/>
      <c r="H2805" s="129"/>
      <c r="I2805" s="144"/>
      <c r="J2805" s="144"/>
      <c r="K2805" s="144"/>
      <c r="L2805" s="146"/>
      <c r="M2805" s="142"/>
      <c r="N2805" s="144"/>
      <c r="O2805" s="142"/>
      <c r="P2805" s="142"/>
      <c r="Q2805" s="142"/>
      <c r="R2805" s="129"/>
      <c r="S2805" s="143"/>
      <c r="T2805" s="144"/>
      <c r="U2805" s="129"/>
      <c r="V2805" s="129"/>
    </row>
    <row r="2806" spans="1:22" x14ac:dyDescent="0.2">
      <c r="A2806" s="144"/>
      <c r="B2806" s="145"/>
      <c r="C2806" s="129"/>
      <c r="D2806" s="129"/>
      <c r="E2806" s="129"/>
      <c r="F2806" s="129"/>
      <c r="G2806" s="144"/>
      <c r="H2806" s="129"/>
      <c r="I2806" s="144"/>
      <c r="J2806" s="144"/>
      <c r="K2806" s="144"/>
      <c r="L2806" s="146"/>
      <c r="M2806" s="142"/>
      <c r="N2806" s="144"/>
      <c r="O2806" s="142"/>
      <c r="P2806" s="142"/>
      <c r="Q2806" s="142"/>
      <c r="R2806" s="129"/>
      <c r="S2806" s="143"/>
      <c r="T2806" s="144"/>
      <c r="U2806" s="129"/>
      <c r="V2806" s="129"/>
    </row>
    <row r="2807" spans="1:22" x14ac:dyDescent="0.2">
      <c r="A2807" s="144"/>
      <c r="B2807" s="145"/>
      <c r="C2807" s="129"/>
      <c r="D2807" s="129"/>
      <c r="E2807" s="129"/>
      <c r="F2807" s="129"/>
      <c r="G2807" s="144"/>
      <c r="H2807" s="129"/>
      <c r="I2807" s="144"/>
      <c r="J2807" s="144"/>
      <c r="K2807" s="144"/>
      <c r="L2807" s="146"/>
      <c r="M2807" s="142"/>
      <c r="N2807" s="144"/>
      <c r="O2807" s="142"/>
      <c r="P2807" s="142"/>
      <c r="Q2807" s="142"/>
      <c r="R2807" s="129"/>
      <c r="S2807" s="143"/>
      <c r="T2807" s="144"/>
      <c r="U2807" s="129"/>
      <c r="V2807" s="129"/>
    </row>
    <row r="2808" spans="1:22" x14ac:dyDescent="0.2">
      <c r="A2808" s="144"/>
      <c r="B2808" s="145"/>
      <c r="C2808" s="129"/>
      <c r="D2808" s="129"/>
      <c r="E2808" s="129"/>
      <c r="F2808" s="129"/>
      <c r="G2808" s="144"/>
      <c r="H2808" s="129"/>
      <c r="I2808" s="144"/>
      <c r="J2808" s="144"/>
      <c r="K2808" s="144"/>
      <c r="L2808" s="146"/>
      <c r="M2808" s="142"/>
      <c r="N2808" s="144"/>
      <c r="O2808" s="142"/>
      <c r="P2808" s="142"/>
      <c r="Q2808" s="142"/>
      <c r="R2808" s="129"/>
      <c r="S2808" s="143"/>
      <c r="T2808" s="144"/>
      <c r="U2808" s="129"/>
      <c r="V2808" s="129"/>
    </row>
    <row r="2809" spans="1:22" x14ac:dyDescent="0.2">
      <c r="A2809" s="144"/>
      <c r="B2809" s="145"/>
      <c r="C2809" s="129"/>
      <c r="D2809" s="129"/>
      <c r="E2809" s="129"/>
      <c r="F2809" s="129"/>
      <c r="G2809" s="144"/>
      <c r="H2809" s="129"/>
      <c r="I2809" s="144"/>
      <c r="J2809" s="144"/>
      <c r="K2809" s="144"/>
      <c r="L2809" s="146"/>
      <c r="M2809" s="142"/>
      <c r="N2809" s="144"/>
      <c r="O2809" s="142"/>
      <c r="P2809" s="142"/>
      <c r="Q2809" s="142"/>
      <c r="R2809" s="129"/>
      <c r="S2809" s="143"/>
      <c r="T2809" s="144"/>
      <c r="U2809" s="129"/>
      <c r="V2809" s="129"/>
    </row>
    <row r="2810" spans="1:22" x14ac:dyDescent="0.2">
      <c r="A2810" s="144"/>
      <c r="B2810" s="145"/>
      <c r="C2810" s="129"/>
      <c r="D2810" s="129"/>
      <c r="E2810" s="129"/>
      <c r="F2810" s="129"/>
      <c r="G2810" s="144"/>
      <c r="H2810" s="129"/>
      <c r="I2810" s="144"/>
      <c r="J2810" s="144"/>
      <c r="K2810" s="144"/>
      <c r="L2810" s="146"/>
      <c r="M2810" s="142"/>
      <c r="N2810" s="144"/>
      <c r="O2810" s="142"/>
      <c r="P2810" s="142"/>
      <c r="Q2810" s="142"/>
      <c r="R2810" s="129"/>
      <c r="S2810" s="143"/>
      <c r="T2810" s="144"/>
      <c r="U2810" s="129"/>
      <c r="V2810" s="129"/>
    </row>
    <row r="2811" spans="1:22" x14ac:dyDescent="0.2">
      <c r="A2811" s="144"/>
      <c r="B2811" s="145"/>
      <c r="C2811" s="129"/>
      <c r="D2811" s="129"/>
      <c r="E2811" s="129"/>
      <c r="F2811" s="129"/>
      <c r="G2811" s="144"/>
      <c r="H2811" s="129"/>
      <c r="I2811" s="144"/>
      <c r="J2811" s="144"/>
      <c r="K2811" s="144"/>
      <c r="L2811" s="146"/>
      <c r="M2811" s="142"/>
      <c r="N2811" s="144"/>
      <c r="O2811" s="142"/>
      <c r="P2811" s="142"/>
      <c r="Q2811" s="142"/>
      <c r="R2811" s="129"/>
      <c r="S2811" s="143"/>
      <c r="T2811" s="144"/>
      <c r="U2811" s="129"/>
      <c r="V2811" s="129"/>
    </row>
    <row r="2812" spans="1:22" x14ac:dyDescent="0.2">
      <c r="A2812" s="144"/>
      <c r="B2812" s="145"/>
      <c r="C2812" s="129"/>
      <c r="D2812" s="129"/>
      <c r="E2812" s="129"/>
      <c r="F2812" s="129"/>
      <c r="G2812" s="144"/>
      <c r="H2812" s="129"/>
      <c r="I2812" s="144"/>
      <c r="J2812" s="144"/>
      <c r="K2812" s="144"/>
      <c r="L2812" s="146"/>
      <c r="M2812" s="142"/>
      <c r="N2812" s="144"/>
      <c r="O2812" s="142"/>
      <c r="P2812" s="142"/>
      <c r="Q2812" s="142"/>
      <c r="R2812" s="129"/>
      <c r="S2812" s="143"/>
      <c r="T2812" s="144"/>
      <c r="U2812" s="129"/>
      <c r="V2812" s="129"/>
    </row>
    <row r="2813" spans="1:22" x14ac:dyDescent="0.2">
      <c r="A2813" s="144"/>
      <c r="B2813" s="145"/>
      <c r="C2813" s="129"/>
      <c r="D2813" s="129"/>
      <c r="E2813" s="129"/>
      <c r="F2813" s="129"/>
      <c r="G2813" s="144"/>
      <c r="H2813" s="129"/>
      <c r="I2813" s="144"/>
      <c r="J2813" s="144"/>
      <c r="K2813" s="144"/>
      <c r="L2813" s="146"/>
      <c r="M2813" s="142"/>
      <c r="N2813" s="144"/>
      <c r="O2813" s="142"/>
      <c r="P2813" s="142"/>
      <c r="Q2813" s="142"/>
      <c r="R2813" s="129"/>
      <c r="S2813" s="143"/>
      <c r="T2813" s="144"/>
      <c r="U2813" s="129"/>
      <c r="V2813" s="129"/>
    </row>
    <row r="2814" spans="1:22" x14ac:dyDescent="0.2">
      <c r="A2814" s="144"/>
      <c r="B2814" s="145"/>
      <c r="C2814" s="129"/>
      <c r="D2814" s="129"/>
      <c r="E2814" s="129"/>
      <c r="F2814" s="129"/>
      <c r="G2814" s="144"/>
      <c r="H2814" s="129"/>
      <c r="I2814" s="144"/>
      <c r="J2814" s="144"/>
      <c r="K2814" s="144"/>
      <c r="L2814" s="146"/>
      <c r="M2814" s="142"/>
      <c r="N2814" s="144"/>
      <c r="O2814" s="142"/>
      <c r="P2814" s="142"/>
      <c r="Q2814" s="142"/>
      <c r="R2814" s="129"/>
      <c r="S2814" s="143"/>
      <c r="T2814" s="144"/>
      <c r="U2814" s="129"/>
      <c r="V2814" s="129"/>
    </row>
    <row r="2815" spans="1:22" x14ac:dyDescent="0.2">
      <c r="A2815" s="144"/>
      <c r="B2815" s="145"/>
      <c r="C2815" s="129"/>
      <c r="D2815" s="129"/>
      <c r="E2815" s="129"/>
      <c r="F2815" s="129"/>
      <c r="G2815" s="144"/>
      <c r="H2815" s="129"/>
      <c r="I2815" s="144"/>
      <c r="J2815" s="144"/>
      <c r="K2815" s="144"/>
      <c r="L2815" s="146"/>
      <c r="M2815" s="142"/>
      <c r="N2815" s="144"/>
      <c r="O2815" s="142"/>
      <c r="P2815" s="142"/>
      <c r="Q2815" s="142"/>
      <c r="R2815" s="129"/>
      <c r="S2815" s="143"/>
      <c r="T2815" s="144"/>
      <c r="U2815" s="129"/>
      <c r="V2815" s="129"/>
    </row>
    <row r="2816" spans="1:22" x14ac:dyDescent="0.2">
      <c r="A2816" s="144"/>
      <c r="B2816" s="145"/>
      <c r="C2816" s="129"/>
      <c r="D2816" s="129"/>
      <c r="E2816" s="129"/>
      <c r="F2816" s="129"/>
      <c r="G2816" s="144"/>
      <c r="H2816" s="129"/>
      <c r="I2816" s="144"/>
      <c r="J2816" s="144"/>
      <c r="K2816" s="144"/>
      <c r="L2816" s="146"/>
      <c r="M2816" s="142"/>
      <c r="N2816" s="144"/>
      <c r="O2816" s="142"/>
      <c r="P2816" s="142"/>
      <c r="Q2816" s="142"/>
      <c r="R2816" s="129"/>
      <c r="S2816" s="143"/>
      <c r="T2816" s="144"/>
      <c r="U2816" s="129"/>
      <c r="V2816" s="129"/>
    </row>
    <row r="2817" spans="1:22" x14ac:dyDescent="0.2">
      <c r="A2817" s="144"/>
      <c r="B2817" s="145"/>
      <c r="C2817" s="129"/>
      <c r="D2817" s="129"/>
      <c r="E2817" s="129"/>
      <c r="F2817" s="129"/>
      <c r="G2817" s="144"/>
      <c r="H2817" s="129"/>
      <c r="I2817" s="144"/>
      <c r="J2817" s="144"/>
      <c r="K2817" s="144"/>
      <c r="L2817" s="146"/>
      <c r="M2817" s="142"/>
      <c r="N2817" s="144"/>
      <c r="O2817" s="142"/>
      <c r="P2817" s="142"/>
      <c r="Q2817" s="142"/>
      <c r="R2817" s="129"/>
      <c r="S2817" s="143"/>
      <c r="T2817" s="144"/>
      <c r="U2817" s="129"/>
      <c r="V2817" s="129"/>
    </row>
    <row r="2818" spans="1:22" x14ac:dyDescent="0.2">
      <c r="A2818" s="144"/>
      <c r="B2818" s="145"/>
      <c r="C2818" s="129"/>
      <c r="D2818" s="129"/>
      <c r="E2818" s="129"/>
      <c r="F2818" s="129"/>
      <c r="G2818" s="144"/>
      <c r="H2818" s="129"/>
      <c r="I2818" s="144"/>
      <c r="J2818" s="144"/>
      <c r="K2818" s="144"/>
      <c r="L2818" s="146"/>
      <c r="M2818" s="142"/>
      <c r="N2818" s="144"/>
      <c r="O2818" s="142"/>
      <c r="P2818" s="142"/>
      <c r="Q2818" s="142"/>
      <c r="R2818" s="129"/>
      <c r="S2818" s="143"/>
      <c r="T2818" s="144"/>
      <c r="U2818" s="129"/>
      <c r="V2818" s="129"/>
    </row>
    <row r="2819" spans="1:22" x14ac:dyDescent="0.2">
      <c r="A2819" s="144"/>
      <c r="B2819" s="145"/>
      <c r="C2819" s="129"/>
      <c r="D2819" s="129"/>
      <c r="E2819" s="129"/>
      <c r="F2819" s="129"/>
      <c r="G2819" s="144"/>
      <c r="H2819" s="129"/>
      <c r="I2819" s="144"/>
      <c r="J2819" s="144"/>
      <c r="K2819" s="144"/>
      <c r="L2819" s="146"/>
      <c r="M2819" s="142"/>
      <c r="N2819" s="144"/>
      <c r="O2819" s="142"/>
      <c r="P2819" s="142"/>
      <c r="Q2819" s="142"/>
      <c r="R2819" s="129"/>
      <c r="S2819" s="143"/>
      <c r="T2819" s="144"/>
      <c r="U2819" s="129"/>
      <c r="V2819" s="129"/>
    </row>
    <row r="2820" spans="1:22" x14ac:dyDescent="0.2">
      <c r="A2820" s="144"/>
      <c r="B2820" s="145"/>
      <c r="C2820" s="129"/>
      <c r="D2820" s="129"/>
      <c r="E2820" s="129"/>
      <c r="F2820" s="129"/>
      <c r="G2820" s="144"/>
      <c r="H2820" s="129"/>
      <c r="I2820" s="144"/>
      <c r="J2820" s="144"/>
      <c r="K2820" s="144"/>
      <c r="L2820" s="146"/>
      <c r="M2820" s="142"/>
      <c r="N2820" s="144"/>
      <c r="O2820" s="142"/>
      <c r="P2820" s="142"/>
      <c r="Q2820" s="142"/>
      <c r="R2820" s="129"/>
      <c r="S2820" s="143"/>
      <c r="T2820" s="144"/>
      <c r="U2820" s="129"/>
      <c r="V2820" s="129"/>
    </row>
    <row r="2821" spans="1:22" x14ac:dyDescent="0.2">
      <c r="A2821" s="144"/>
      <c r="B2821" s="145"/>
      <c r="C2821" s="129"/>
      <c r="D2821" s="129"/>
      <c r="E2821" s="129"/>
      <c r="F2821" s="129"/>
      <c r="G2821" s="144"/>
      <c r="H2821" s="129"/>
      <c r="I2821" s="144"/>
      <c r="J2821" s="144"/>
      <c r="K2821" s="144"/>
      <c r="L2821" s="146"/>
      <c r="M2821" s="142"/>
      <c r="N2821" s="144"/>
      <c r="O2821" s="142"/>
      <c r="P2821" s="142"/>
      <c r="Q2821" s="142"/>
      <c r="R2821" s="129"/>
      <c r="S2821" s="143"/>
      <c r="T2821" s="144"/>
      <c r="U2821" s="129"/>
      <c r="V2821" s="129"/>
    </row>
    <row r="2822" spans="1:22" x14ac:dyDescent="0.2">
      <c r="A2822" s="144"/>
      <c r="B2822" s="145"/>
      <c r="C2822" s="129"/>
      <c r="D2822" s="129"/>
      <c r="E2822" s="129"/>
      <c r="F2822" s="129"/>
      <c r="G2822" s="144"/>
      <c r="H2822" s="129"/>
      <c r="I2822" s="144"/>
      <c r="J2822" s="144"/>
      <c r="K2822" s="144"/>
      <c r="L2822" s="146"/>
      <c r="M2822" s="142"/>
      <c r="N2822" s="144"/>
      <c r="O2822" s="142"/>
      <c r="P2822" s="142"/>
      <c r="Q2822" s="142"/>
      <c r="R2822" s="129"/>
      <c r="S2822" s="143"/>
      <c r="T2822" s="144"/>
      <c r="U2822" s="129"/>
      <c r="V2822" s="129"/>
    </row>
    <row r="2823" spans="1:22" x14ac:dyDescent="0.2">
      <c r="A2823" s="144"/>
      <c r="B2823" s="145"/>
      <c r="C2823" s="129"/>
      <c r="D2823" s="129"/>
      <c r="E2823" s="129"/>
      <c r="F2823" s="129"/>
      <c r="G2823" s="144"/>
      <c r="H2823" s="129"/>
      <c r="I2823" s="144"/>
      <c r="J2823" s="144"/>
      <c r="K2823" s="144"/>
      <c r="L2823" s="146"/>
      <c r="M2823" s="142"/>
      <c r="N2823" s="144"/>
      <c r="O2823" s="142"/>
      <c r="P2823" s="142"/>
      <c r="Q2823" s="142"/>
      <c r="R2823" s="129"/>
      <c r="S2823" s="143"/>
      <c r="T2823" s="144"/>
      <c r="U2823" s="129"/>
      <c r="V2823" s="129"/>
    </row>
    <row r="2824" spans="1:22" x14ac:dyDescent="0.2">
      <c r="A2824" s="144"/>
      <c r="B2824" s="145"/>
      <c r="C2824" s="129"/>
      <c r="D2824" s="129"/>
      <c r="E2824" s="129"/>
      <c r="F2824" s="129"/>
      <c r="G2824" s="144"/>
      <c r="H2824" s="129"/>
      <c r="I2824" s="144"/>
      <c r="J2824" s="144"/>
      <c r="K2824" s="144"/>
      <c r="L2824" s="146"/>
      <c r="M2824" s="142"/>
      <c r="N2824" s="144"/>
      <c r="O2824" s="142"/>
      <c r="P2824" s="142"/>
      <c r="Q2824" s="142"/>
      <c r="R2824" s="129"/>
      <c r="S2824" s="143"/>
      <c r="T2824" s="144"/>
      <c r="U2824" s="129"/>
      <c r="V2824" s="129"/>
    </row>
    <row r="2825" spans="1:22" x14ac:dyDescent="0.2">
      <c r="A2825" s="144"/>
      <c r="B2825" s="145"/>
      <c r="C2825" s="129"/>
      <c r="D2825" s="129"/>
      <c r="E2825" s="129"/>
      <c r="F2825" s="129"/>
      <c r="G2825" s="144"/>
      <c r="H2825" s="129"/>
      <c r="I2825" s="144"/>
      <c r="J2825" s="144"/>
      <c r="K2825" s="144"/>
      <c r="L2825" s="146"/>
      <c r="M2825" s="142"/>
      <c r="N2825" s="144"/>
      <c r="O2825" s="142"/>
      <c r="P2825" s="142"/>
      <c r="Q2825" s="142"/>
      <c r="R2825" s="129"/>
      <c r="S2825" s="143"/>
      <c r="T2825" s="144"/>
      <c r="U2825" s="129"/>
      <c r="V2825" s="129"/>
    </row>
    <row r="2826" spans="1:22" x14ac:dyDescent="0.2">
      <c r="A2826" s="144"/>
      <c r="B2826" s="145"/>
      <c r="C2826" s="129"/>
      <c r="D2826" s="129"/>
      <c r="E2826" s="129"/>
      <c r="F2826" s="129"/>
      <c r="G2826" s="144"/>
      <c r="H2826" s="129"/>
      <c r="I2826" s="144"/>
      <c r="J2826" s="144"/>
      <c r="K2826" s="144"/>
      <c r="L2826" s="146"/>
      <c r="M2826" s="142"/>
      <c r="N2826" s="144"/>
      <c r="O2826" s="142"/>
      <c r="P2826" s="142"/>
      <c r="Q2826" s="142"/>
      <c r="R2826" s="129"/>
      <c r="S2826" s="143"/>
      <c r="T2826" s="144"/>
      <c r="U2826" s="129"/>
      <c r="V2826" s="129"/>
    </row>
    <row r="2827" spans="1:22" x14ac:dyDescent="0.2">
      <c r="A2827" s="144"/>
      <c r="B2827" s="145"/>
      <c r="C2827" s="129"/>
      <c r="D2827" s="129"/>
      <c r="E2827" s="129"/>
      <c r="F2827" s="129"/>
      <c r="G2827" s="144"/>
      <c r="H2827" s="129"/>
      <c r="I2827" s="144"/>
      <c r="J2827" s="144"/>
      <c r="K2827" s="144"/>
      <c r="L2827" s="146"/>
      <c r="M2827" s="142"/>
      <c r="N2827" s="144"/>
      <c r="O2827" s="142"/>
      <c r="P2827" s="142"/>
      <c r="Q2827" s="142"/>
      <c r="R2827" s="129"/>
      <c r="S2827" s="143"/>
      <c r="T2827" s="144"/>
      <c r="U2827" s="129"/>
      <c r="V2827" s="129"/>
    </row>
    <row r="2828" spans="1:22" x14ac:dyDescent="0.2">
      <c r="A2828" s="144"/>
      <c r="B2828" s="145"/>
      <c r="C2828" s="129"/>
      <c r="D2828" s="129"/>
      <c r="E2828" s="129"/>
      <c r="F2828" s="129"/>
      <c r="G2828" s="144"/>
      <c r="H2828" s="129"/>
      <c r="I2828" s="144"/>
      <c r="J2828" s="144"/>
      <c r="K2828" s="144"/>
      <c r="L2828" s="146"/>
      <c r="M2828" s="142"/>
      <c r="N2828" s="144"/>
      <c r="O2828" s="142"/>
      <c r="P2828" s="142"/>
      <c r="Q2828" s="142"/>
      <c r="R2828" s="129"/>
      <c r="S2828" s="143"/>
      <c r="T2828" s="144"/>
      <c r="U2828" s="129"/>
      <c r="V2828" s="129"/>
    </row>
    <row r="2829" spans="1:22" x14ac:dyDescent="0.2">
      <c r="A2829" s="144"/>
      <c r="B2829" s="145"/>
      <c r="C2829" s="129"/>
      <c r="D2829" s="129"/>
      <c r="E2829" s="129"/>
      <c r="F2829" s="129"/>
      <c r="G2829" s="144"/>
      <c r="H2829" s="129"/>
      <c r="I2829" s="144"/>
      <c r="J2829" s="144"/>
      <c r="K2829" s="144"/>
      <c r="L2829" s="146"/>
      <c r="M2829" s="142"/>
      <c r="N2829" s="144"/>
      <c r="O2829" s="142"/>
      <c r="P2829" s="142"/>
      <c r="Q2829" s="142"/>
      <c r="R2829" s="129"/>
      <c r="S2829" s="143"/>
      <c r="T2829" s="144"/>
      <c r="U2829" s="129"/>
      <c r="V2829" s="129"/>
    </row>
    <row r="2830" spans="1:22" x14ac:dyDescent="0.2">
      <c r="A2830" s="144"/>
      <c r="B2830" s="145"/>
      <c r="C2830" s="129"/>
      <c r="D2830" s="129"/>
      <c r="E2830" s="129"/>
      <c r="F2830" s="129"/>
      <c r="G2830" s="144"/>
      <c r="H2830" s="129"/>
      <c r="I2830" s="144"/>
      <c r="J2830" s="144"/>
      <c r="K2830" s="144"/>
      <c r="L2830" s="146"/>
      <c r="M2830" s="142"/>
      <c r="N2830" s="144"/>
      <c r="O2830" s="142"/>
      <c r="P2830" s="142"/>
      <c r="Q2830" s="142"/>
      <c r="R2830" s="129"/>
      <c r="S2830" s="143"/>
      <c r="T2830" s="144"/>
      <c r="U2830" s="129"/>
      <c r="V2830" s="129"/>
    </row>
    <row r="2831" spans="1:22" x14ac:dyDescent="0.2">
      <c r="A2831" s="144"/>
      <c r="B2831" s="145"/>
      <c r="C2831" s="129"/>
      <c r="D2831" s="129"/>
      <c r="E2831" s="129"/>
      <c r="F2831" s="129"/>
      <c r="G2831" s="144"/>
      <c r="H2831" s="129"/>
      <c r="I2831" s="144"/>
      <c r="J2831" s="144"/>
      <c r="K2831" s="144"/>
      <c r="L2831" s="146"/>
      <c r="M2831" s="142"/>
      <c r="N2831" s="144"/>
      <c r="O2831" s="142"/>
      <c r="P2831" s="142"/>
      <c r="Q2831" s="142"/>
      <c r="R2831" s="129"/>
      <c r="S2831" s="143"/>
      <c r="T2831" s="144"/>
      <c r="U2831" s="129"/>
      <c r="V2831" s="129"/>
    </row>
    <row r="2832" spans="1:22" x14ac:dyDescent="0.2">
      <c r="A2832" s="144"/>
      <c r="B2832" s="145"/>
      <c r="C2832" s="129"/>
      <c r="D2832" s="129"/>
      <c r="E2832" s="129"/>
      <c r="F2832" s="129"/>
      <c r="G2832" s="144"/>
      <c r="H2832" s="129"/>
      <c r="I2832" s="144"/>
      <c r="J2832" s="144"/>
      <c r="K2832" s="144"/>
      <c r="L2832" s="146"/>
      <c r="M2832" s="142"/>
      <c r="N2832" s="144"/>
      <c r="O2832" s="142"/>
      <c r="P2832" s="142"/>
      <c r="Q2832" s="142"/>
      <c r="R2832" s="129"/>
      <c r="S2832" s="143"/>
      <c r="T2832" s="144"/>
      <c r="U2832" s="129"/>
      <c r="V2832" s="129"/>
    </row>
    <row r="2833" spans="1:22" x14ac:dyDescent="0.2">
      <c r="A2833" s="144"/>
      <c r="B2833" s="145"/>
      <c r="C2833" s="129"/>
      <c r="D2833" s="129"/>
      <c r="E2833" s="129"/>
      <c r="F2833" s="129"/>
      <c r="G2833" s="144"/>
      <c r="H2833" s="129"/>
      <c r="I2833" s="144"/>
      <c r="J2833" s="144"/>
      <c r="K2833" s="144"/>
      <c r="L2833" s="146"/>
      <c r="M2833" s="142"/>
      <c r="N2833" s="144"/>
      <c r="O2833" s="142"/>
      <c r="P2833" s="142"/>
      <c r="Q2833" s="142"/>
      <c r="R2833" s="129"/>
      <c r="S2833" s="143"/>
      <c r="T2833" s="144"/>
      <c r="U2833" s="129"/>
      <c r="V2833" s="129"/>
    </row>
    <row r="2834" spans="1:22" x14ac:dyDescent="0.2">
      <c r="A2834" s="144"/>
      <c r="B2834" s="145"/>
      <c r="C2834" s="129"/>
      <c r="D2834" s="129"/>
      <c r="E2834" s="129"/>
      <c r="F2834" s="129"/>
      <c r="G2834" s="144"/>
      <c r="H2834" s="129"/>
      <c r="I2834" s="144"/>
      <c r="J2834" s="144"/>
      <c r="K2834" s="144"/>
      <c r="L2834" s="146"/>
      <c r="M2834" s="142"/>
      <c r="N2834" s="144"/>
      <c r="O2834" s="142"/>
      <c r="P2834" s="142"/>
      <c r="Q2834" s="142"/>
      <c r="R2834" s="129"/>
      <c r="S2834" s="143"/>
      <c r="T2834" s="144"/>
      <c r="U2834" s="129"/>
      <c r="V2834" s="129"/>
    </row>
    <row r="2835" spans="1:22" x14ac:dyDescent="0.2">
      <c r="A2835" s="144"/>
      <c r="B2835" s="145"/>
      <c r="C2835" s="129"/>
      <c r="D2835" s="129"/>
      <c r="E2835" s="129"/>
      <c r="F2835" s="129"/>
      <c r="G2835" s="144"/>
      <c r="H2835" s="129"/>
      <c r="I2835" s="144"/>
      <c r="J2835" s="144"/>
      <c r="K2835" s="144"/>
      <c r="L2835" s="146"/>
      <c r="M2835" s="142"/>
      <c r="N2835" s="144"/>
      <c r="O2835" s="142"/>
      <c r="P2835" s="142"/>
      <c r="Q2835" s="142"/>
      <c r="R2835" s="129"/>
      <c r="S2835" s="143"/>
      <c r="T2835" s="144"/>
      <c r="U2835" s="129"/>
      <c r="V2835" s="129"/>
    </row>
    <row r="2836" spans="1:22" x14ac:dyDescent="0.2">
      <c r="A2836" s="144"/>
      <c r="B2836" s="145"/>
      <c r="C2836" s="129"/>
      <c r="D2836" s="129"/>
      <c r="E2836" s="129"/>
      <c r="F2836" s="129"/>
      <c r="G2836" s="144"/>
      <c r="H2836" s="129"/>
      <c r="I2836" s="144"/>
      <c r="J2836" s="144"/>
      <c r="K2836" s="144"/>
      <c r="L2836" s="146"/>
      <c r="M2836" s="142"/>
      <c r="N2836" s="144"/>
      <c r="O2836" s="142"/>
      <c r="P2836" s="142"/>
      <c r="Q2836" s="142"/>
      <c r="R2836" s="129"/>
      <c r="S2836" s="143"/>
      <c r="T2836" s="144"/>
      <c r="U2836" s="129"/>
      <c r="V2836" s="129"/>
    </row>
    <row r="2837" spans="1:22" x14ac:dyDescent="0.2">
      <c r="A2837" s="144"/>
      <c r="B2837" s="145"/>
      <c r="C2837" s="129"/>
      <c r="D2837" s="129"/>
      <c r="E2837" s="129"/>
      <c r="F2837" s="129"/>
      <c r="G2837" s="144"/>
      <c r="H2837" s="129"/>
      <c r="I2837" s="144"/>
      <c r="J2837" s="144"/>
      <c r="K2837" s="144"/>
      <c r="L2837" s="146"/>
      <c r="M2837" s="142"/>
      <c r="N2837" s="144"/>
      <c r="O2837" s="142"/>
      <c r="P2837" s="142"/>
      <c r="Q2837" s="142"/>
      <c r="R2837" s="129"/>
      <c r="S2837" s="143"/>
      <c r="T2837" s="144"/>
      <c r="U2837" s="129"/>
      <c r="V2837" s="129"/>
    </row>
    <row r="2838" spans="1:22" x14ac:dyDescent="0.2">
      <c r="A2838" s="144"/>
      <c r="B2838" s="145"/>
      <c r="C2838" s="129"/>
      <c r="D2838" s="129"/>
      <c r="E2838" s="129"/>
      <c r="F2838" s="129"/>
      <c r="G2838" s="144"/>
      <c r="H2838" s="129"/>
      <c r="I2838" s="144"/>
      <c r="J2838" s="144"/>
      <c r="K2838" s="144"/>
      <c r="L2838" s="146"/>
      <c r="M2838" s="142"/>
      <c r="N2838" s="144"/>
      <c r="O2838" s="142"/>
      <c r="P2838" s="142"/>
      <c r="Q2838" s="142"/>
      <c r="R2838" s="129"/>
      <c r="S2838" s="143"/>
      <c r="T2838" s="144"/>
      <c r="U2838" s="129"/>
      <c r="V2838" s="129"/>
    </row>
    <row r="2839" spans="1:22" x14ac:dyDescent="0.2">
      <c r="A2839" s="144"/>
      <c r="B2839" s="145"/>
      <c r="C2839" s="129"/>
      <c r="D2839" s="129"/>
      <c r="E2839" s="129"/>
      <c r="F2839" s="129"/>
      <c r="G2839" s="144"/>
      <c r="H2839" s="129"/>
      <c r="I2839" s="144"/>
      <c r="J2839" s="144"/>
      <c r="K2839" s="144"/>
      <c r="L2839" s="146"/>
      <c r="M2839" s="142"/>
      <c r="N2839" s="144"/>
      <c r="O2839" s="142"/>
      <c r="P2839" s="142"/>
      <c r="Q2839" s="142"/>
      <c r="R2839" s="129"/>
      <c r="S2839" s="143"/>
      <c r="T2839" s="144"/>
      <c r="U2839" s="129"/>
      <c r="V2839" s="129"/>
    </row>
    <row r="2840" spans="1:22" x14ac:dyDescent="0.2">
      <c r="A2840" s="144"/>
      <c r="B2840" s="145"/>
      <c r="C2840" s="129"/>
      <c r="D2840" s="129"/>
      <c r="E2840" s="129"/>
      <c r="F2840" s="129"/>
      <c r="G2840" s="144"/>
      <c r="H2840" s="129"/>
      <c r="I2840" s="144"/>
      <c r="J2840" s="144"/>
      <c r="K2840" s="144"/>
      <c r="L2840" s="146"/>
      <c r="M2840" s="142"/>
      <c r="N2840" s="144"/>
      <c r="O2840" s="142"/>
      <c r="P2840" s="142"/>
      <c r="Q2840" s="142"/>
      <c r="R2840" s="129"/>
      <c r="S2840" s="143"/>
      <c r="T2840" s="144"/>
      <c r="U2840" s="129"/>
      <c r="V2840" s="129"/>
    </row>
    <row r="2841" spans="1:22" x14ac:dyDescent="0.2">
      <c r="A2841" s="144"/>
      <c r="B2841" s="145"/>
      <c r="C2841" s="129"/>
      <c r="D2841" s="129"/>
      <c r="E2841" s="129"/>
      <c r="F2841" s="129"/>
      <c r="G2841" s="144"/>
      <c r="H2841" s="129"/>
      <c r="I2841" s="144"/>
      <c r="J2841" s="144"/>
      <c r="K2841" s="144"/>
      <c r="L2841" s="146"/>
      <c r="M2841" s="142"/>
      <c r="N2841" s="144"/>
      <c r="O2841" s="142"/>
      <c r="P2841" s="142"/>
      <c r="Q2841" s="142"/>
      <c r="R2841" s="129"/>
      <c r="S2841" s="143"/>
      <c r="T2841" s="144"/>
      <c r="U2841" s="129"/>
      <c r="V2841" s="129"/>
    </row>
    <row r="2842" spans="1:22" x14ac:dyDescent="0.2">
      <c r="A2842" s="144"/>
      <c r="B2842" s="145"/>
      <c r="C2842" s="129"/>
      <c r="D2842" s="129"/>
      <c r="E2842" s="129"/>
      <c r="F2842" s="129"/>
      <c r="G2842" s="144"/>
      <c r="H2842" s="129"/>
      <c r="I2842" s="144"/>
      <c r="J2842" s="144"/>
      <c r="K2842" s="144"/>
      <c r="L2842" s="146"/>
      <c r="M2842" s="142"/>
      <c r="N2842" s="144"/>
      <c r="O2842" s="142"/>
      <c r="P2842" s="142"/>
      <c r="Q2842" s="142"/>
      <c r="R2842" s="129"/>
      <c r="S2842" s="143"/>
      <c r="T2842" s="144"/>
      <c r="U2842" s="129"/>
      <c r="V2842" s="129"/>
    </row>
    <row r="2843" spans="1:22" x14ac:dyDescent="0.2">
      <c r="A2843" s="144"/>
      <c r="B2843" s="145"/>
      <c r="C2843" s="129"/>
      <c r="D2843" s="129"/>
      <c r="E2843" s="129"/>
      <c r="F2843" s="129"/>
      <c r="G2843" s="144"/>
      <c r="H2843" s="129"/>
      <c r="I2843" s="144"/>
      <c r="J2843" s="144"/>
      <c r="K2843" s="144"/>
      <c r="L2843" s="146"/>
      <c r="M2843" s="142"/>
      <c r="N2843" s="144"/>
      <c r="O2843" s="142"/>
      <c r="P2843" s="142"/>
      <c r="Q2843" s="142"/>
      <c r="R2843" s="129"/>
      <c r="S2843" s="143"/>
      <c r="T2843" s="144"/>
      <c r="U2843" s="129"/>
      <c r="V2843" s="129"/>
    </row>
    <row r="2844" spans="1:22" x14ac:dyDescent="0.2">
      <c r="A2844" s="144"/>
      <c r="B2844" s="145"/>
      <c r="C2844" s="129"/>
      <c r="D2844" s="129"/>
      <c r="E2844" s="129"/>
      <c r="F2844" s="129"/>
      <c r="G2844" s="144"/>
      <c r="H2844" s="129"/>
      <c r="I2844" s="144"/>
      <c r="J2844" s="144"/>
      <c r="K2844" s="144"/>
      <c r="L2844" s="146"/>
      <c r="M2844" s="142"/>
      <c r="N2844" s="144"/>
      <c r="O2844" s="142"/>
      <c r="P2844" s="142"/>
      <c r="Q2844" s="142"/>
      <c r="R2844" s="129"/>
      <c r="S2844" s="143"/>
      <c r="T2844" s="144"/>
      <c r="U2844" s="129"/>
      <c r="V2844" s="129"/>
    </row>
    <row r="2845" spans="1:22" x14ac:dyDescent="0.2">
      <c r="A2845" s="144"/>
      <c r="B2845" s="145"/>
      <c r="C2845" s="129"/>
      <c r="D2845" s="129"/>
      <c r="E2845" s="129"/>
      <c r="F2845" s="129"/>
      <c r="G2845" s="144"/>
      <c r="H2845" s="129"/>
      <c r="I2845" s="144"/>
      <c r="J2845" s="144"/>
      <c r="K2845" s="144"/>
      <c r="L2845" s="146"/>
      <c r="M2845" s="142"/>
      <c r="N2845" s="144"/>
      <c r="O2845" s="142"/>
      <c r="P2845" s="142"/>
      <c r="Q2845" s="142"/>
      <c r="R2845" s="129"/>
      <c r="S2845" s="143"/>
      <c r="T2845" s="144"/>
      <c r="U2845" s="129"/>
      <c r="V2845" s="129"/>
    </row>
    <row r="2846" spans="1:22" x14ac:dyDescent="0.2">
      <c r="A2846" s="144"/>
      <c r="B2846" s="145"/>
      <c r="C2846" s="129"/>
      <c r="D2846" s="129"/>
      <c r="E2846" s="129"/>
      <c r="F2846" s="129"/>
      <c r="G2846" s="144"/>
      <c r="H2846" s="129"/>
      <c r="I2846" s="144"/>
      <c r="J2846" s="144"/>
      <c r="K2846" s="144"/>
      <c r="L2846" s="146"/>
      <c r="M2846" s="142"/>
      <c r="N2846" s="144"/>
      <c r="O2846" s="142"/>
      <c r="P2846" s="142"/>
      <c r="Q2846" s="142"/>
      <c r="R2846" s="129"/>
      <c r="S2846" s="143"/>
      <c r="T2846" s="144"/>
      <c r="U2846" s="129"/>
      <c r="V2846" s="129"/>
    </row>
    <row r="2847" spans="1:22" x14ac:dyDescent="0.2">
      <c r="A2847" s="144"/>
      <c r="B2847" s="145"/>
      <c r="C2847" s="129"/>
      <c r="D2847" s="129"/>
      <c r="E2847" s="129"/>
      <c r="F2847" s="129"/>
      <c r="G2847" s="144"/>
      <c r="H2847" s="129"/>
      <c r="I2847" s="144"/>
      <c r="J2847" s="144"/>
      <c r="K2847" s="144"/>
      <c r="L2847" s="146"/>
      <c r="M2847" s="142"/>
      <c r="N2847" s="144"/>
      <c r="O2847" s="142"/>
      <c r="P2847" s="142"/>
      <c r="Q2847" s="142"/>
      <c r="R2847" s="129"/>
      <c r="S2847" s="143"/>
      <c r="T2847" s="144"/>
      <c r="U2847" s="129"/>
      <c r="V2847" s="129"/>
    </row>
    <row r="2848" spans="1:22" x14ac:dyDescent="0.2">
      <c r="A2848" s="144"/>
      <c r="B2848" s="145"/>
      <c r="C2848" s="129"/>
      <c r="D2848" s="129"/>
      <c r="E2848" s="129"/>
      <c r="F2848" s="129"/>
      <c r="G2848" s="144"/>
      <c r="H2848" s="129"/>
      <c r="I2848" s="144"/>
      <c r="J2848" s="144"/>
      <c r="K2848" s="144"/>
      <c r="L2848" s="146"/>
      <c r="M2848" s="142"/>
      <c r="N2848" s="144"/>
      <c r="O2848" s="142"/>
      <c r="P2848" s="142"/>
      <c r="Q2848" s="142"/>
      <c r="R2848" s="129"/>
      <c r="S2848" s="143"/>
      <c r="T2848" s="144"/>
      <c r="U2848" s="129"/>
      <c r="V2848" s="129"/>
    </row>
    <row r="2849" spans="1:22" x14ac:dyDescent="0.2">
      <c r="A2849" s="144"/>
      <c r="B2849" s="145"/>
      <c r="C2849" s="129"/>
      <c r="D2849" s="129"/>
      <c r="E2849" s="129"/>
      <c r="F2849" s="129"/>
      <c r="G2849" s="144"/>
      <c r="H2849" s="129"/>
      <c r="I2849" s="144"/>
      <c r="J2849" s="144"/>
      <c r="K2849" s="144"/>
      <c r="L2849" s="146"/>
      <c r="M2849" s="142"/>
      <c r="N2849" s="144"/>
      <c r="O2849" s="142"/>
      <c r="P2849" s="142"/>
      <c r="Q2849" s="142"/>
      <c r="R2849" s="129"/>
      <c r="S2849" s="143"/>
      <c r="T2849" s="144"/>
      <c r="U2849" s="129"/>
      <c r="V2849" s="129"/>
    </row>
    <row r="2850" spans="1:22" x14ac:dyDescent="0.2">
      <c r="A2850" s="144"/>
      <c r="B2850" s="145"/>
      <c r="C2850" s="129"/>
      <c r="D2850" s="129"/>
      <c r="E2850" s="129"/>
      <c r="F2850" s="129"/>
      <c r="G2850" s="144"/>
      <c r="H2850" s="129"/>
      <c r="I2850" s="144"/>
      <c r="J2850" s="144"/>
      <c r="K2850" s="144"/>
      <c r="L2850" s="146"/>
      <c r="M2850" s="142"/>
      <c r="N2850" s="144"/>
      <c r="O2850" s="142"/>
      <c r="P2850" s="142"/>
      <c r="Q2850" s="142"/>
      <c r="R2850" s="129"/>
      <c r="S2850" s="143"/>
      <c r="T2850" s="144"/>
      <c r="U2850" s="129"/>
      <c r="V2850" s="129"/>
    </row>
    <row r="2851" spans="1:22" x14ac:dyDescent="0.2">
      <c r="A2851" s="144"/>
      <c r="B2851" s="145"/>
      <c r="C2851" s="129"/>
      <c r="D2851" s="129"/>
      <c r="E2851" s="129"/>
      <c r="F2851" s="129"/>
      <c r="G2851" s="144"/>
      <c r="H2851" s="129"/>
      <c r="I2851" s="144"/>
      <c r="J2851" s="144"/>
      <c r="K2851" s="144"/>
      <c r="L2851" s="146"/>
      <c r="M2851" s="142"/>
      <c r="N2851" s="144"/>
      <c r="O2851" s="142"/>
      <c r="P2851" s="142"/>
      <c r="Q2851" s="142"/>
      <c r="R2851" s="129"/>
      <c r="S2851" s="143"/>
      <c r="T2851" s="144"/>
      <c r="U2851" s="129"/>
      <c r="V2851" s="129"/>
    </row>
    <row r="2852" spans="1:22" x14ac:dyDescent="0.2">
      <c r="A2852" s="144"/>
      <c r="B2852" s="145"/>
      <c r="C2852" s="129"/>
      <c r="D2852" s="129"/>
      <c r="E2852" s="129"/>
      <c r="F2852" s="129"/>
      <c r="G2852" s="144"/>
      <c r="H2852" s="129"/>
      <c r="I2852" s="144"/>
      <c r="J2852" s="144"/>
      <c r="K2852" s="144"/>
      <c r="L2852" s="146"/>
      <c r="M2852" s="142"/>
      <c r="N2852" s="144"/>
      <c r="O2852" s="142"/>
      <c r="P2852" s="142"/>
      <c r="Q2852" s="142"/>
      <c r="R2852" s="129"/>
      <c r="S2852" s="143"/>
      <c r="T2852" s="144"/>
      <c r="U2852" s="129"/>
      <c r="V2852" s="129"/>
    </row>
    <row r="2853" spans="1:22" x14ac:dyDescent="0.2">
      <c r="A2853" s="144"/>
      <c r="B2853" s="145"/>
      <c r="C2853" s="129"/>
      <c r="D2853" s="129"/>
      <c r="E2853" s="129"/>
      <c r="F2853" s="129"/>
      <c r="G2853" s="144"/>
      <c r="H2853" s="129"/>
      <c r="I2853" s="144"/>
      <c r="J2853" s="144"/>
      <c r="K2853" s="144"/>
      <c r="L2853" s="146"/>
      <c r="M2853" s="142"/>
      <c r="N2853" s="144"/>
      <c r="O2853" s="142"/>
      <c r="P2853" s="142"/>
      <c r="Q2853" s="142"/>
      <c r="R2853" s="129"/>
      <c r="S2853" s="143"/>
      <c r="T2853" s="144"/>
      <c r="U2853" s="129"/>
      <c r="V2853" s="129"/>
    </row>
    <row r="2854" spans="1:22" x14ac:dyDescent="0.2">
      <c r="A2854" s="144"/>
      <c r="B2854" s="145"/>
      <c r="C2854" s="129"/>
      <c r="D2854" s="129"/>
      <c r="E2854" s="129"/>
      <c r="F2854" s="129"/>
      <c r="G2854" s="144"/>
      <c r="H2854" s="129"/>
      <c r="I2854" s="144"/>
      <c r="J2854" s="144"/>
      <c r="K2854" s="144"/>
      <c r="L2854" s="146"/>
      <c r="M2854" s="142"/>
      <c r="N2854" s="144"/>
      <c r="O2854" s="142"/>
      <c r="P2854" s="142"/>
      <c r="Q2854" s="142"/>
      <c r="R2854" s="129"/>
      <c r="S2854" s="143"/>
      <c r="T2854" s="144"/>
      <c r="U2854" s="129"/>
      <c r="V2854" s="129"/>
    </row>
    <row r="2855" spans="1:22" x14ac:dyDescent="0.2">
      <c r="A2855" s="144"/>
      <c r="B2855" s="145"/>
      <c r="C2855" s="129"/>
      <c r="D2855" s="129"/>
      <c r="E2855" s="129"/>
      <c r="F2855" s="129"/>
      <c r="G2855" s="144"/>
      <c r="H2855" s="129"/>
      <c r="I2855" s="144"/>
      <c r="J2855" s="144"/>
      <c r="K2855" s="144"/>
      <c r="L2855" s="146"/>
      <c r="M2855" s="142"/>
      <c r="N2855" s="144"/>
      <c r="O2855" s="142"/>
      <c r="P2855" s="142"/>
      <c r="Q2855" s="142"/>
      <c r="R2855" s="129"/>
      <c r="S2855" s="143"/>
      <c r="T2855" s="144"/>
      <c r="U2855" s="129"/>
      <c r="V2855" s="129"/>
    </row>
    <row r="2856" spans="1:22" x14ac:dyDescent="0.2">
      <c r="A2856" s="144"/>
      <c r="B2856" s="145"/>
      <c r="C2856" s="129"/>
      <c r="D2856" s="129"/>
      <c r="E2856" s="129"/>
      <c r="F2856" s="129"/>
      <c r="G2856" s="144"/>
      <c r="H2856" s="129"/>
      <c r="I2856" s="144"/>
      <c r="J2856" s="144"/>
      <c r="K2856" s="144"/>
      <c r="L2856" s="146"/>
      <c r="M2856" s="142"/>
      <c r="N2856" s="144"/>
      <c r="O2856" s="142"/>
      <c r="P2856" s="142"/>
      <c r="Q2856" s="142"/>
      <c r="R2856" s="129"/>
      <c r="S2856" s="143"/>
      <c r="T2856" s="144"/>
      <c r="U2856" s="129"/>
      <c r="V2856" s="129"/>
    </row>
    <row r="2857" spans="1:22" x14ac:dyDescent="0.2">
      <c r="A2857" s="144"/>
      <c r="B2857" s="145"/>
      <c r="C2857" s="129"/>
      <c r="D2857" s="129"/>
      <c r="E2857" s="129"/>
      <c r="F2857" s="129"/>
      <c r="G2857" s="144"/>
      <c r="H2857" s="129"/>
      <c r="I2857" s="144"/>
      <c r="J2857" s="144"/>
      <c r="K2857" s="144"/>
      <c r="L2857" s="146"/>
      <c r="M2857" s="142"/>
      <c r="N2857" s="144"/>
      <c r="O2857" s="142"/>
      <c r="P2857" s="142"/>
      <c r="Q2857" s="142"/>
      <c r="R2857" s="129"/>
      <c r="S2857" s="143"/>
      <c r="T2857" s="144"/>
      <c r="U2857" s="129"/>
      <c r="V2857" s="129"/>
    </row>
    <row r="2858" spans="1:22" x14ac:dyDescent="0.2">
      <c r="A2858" s="144"/>
      <c r="B2858" s="145"/>
      <c r="C2858" s="129"/>
      <c r="D2858" s="129"/>
      <c r="E2858" s="129"/>
      <c r="F2858" s="129"/>
      <c r="G2858" s="144"/>
      <c r="H2858" s="129"/>
      <c r="I2858" s="144"/>
      <c r="J2858" s="144"/>
      <c r="K2858" s="144"/>
      <c r="L2858" s="146"/>
      <c r="M2858" s="142"/>
      <c r="N2858" s="144"/>
      <c r="O2858" s="142"/>
      <c r="P2858" s="142"/>
      <c r="Q2858" s="142"/>
      <c r="R2858" s="129"/>
      <c r="S2858" s="143"/>
      <c r="T2858" s="144"/>
      <c r="U2858" s="129"/>
      <c r="V2858" s="129"/>
    </row>
    <row r="2859" spans="1:22" x14ac:dyDescent="0.2">
      <c r="A2859" s="144"/>
      <c r="B2859" s="145"/>
      <c r="C2859" s="129"/>
      <c r="D2859" s="129"/>
      <c r="E2859" s="129"/>
      <c r="F2859" s="129"/>
      <c r="G2859" s="144"/>
      <c r="H2859" s="129"/>
      <c r="I2859" s="144"/>
      <c r="J2859" s="144"/>
      <c r="K2859" s="144"/>
      <c r="L2859" s="146"/>
      <c r="M2859" s="142"/>
      <c r="N2859" s="144"/>
      <c r="O2859" s="142"/>
      <c r="P2859" s="142"/>
      <c r="Q2859" s="142"/>
      <c r="R2859" s="129"/>
      <c r="S2859" s="143"/>
      <c r="T2859" s="144"/>
      <c r="U2859" s="129"/>
      <c r="V2859" s="129"/>
    </row>
    <row r="2860" spans="1:22" x14ac:dyDescent="0.2">
      <c r="A2860" s="144"/>
      <c r="B2860" s="145"/>
      <c r="C2860" s="129"/>
      <c r="D2860" s="129"/>
      <c r="E2860" s="129"/>
      <c r="F2860" s="129"/>
      <c r="G2860" s="144"/>
      <c r="H2860" s="129"/>
      <c r="I2860" s="144"/>
      <c r="J2860" s="144"/>
      <c r="K2860" s="144"/>
      <c r="L2860" s="146"/>
      <c r="M2860" s="142"/>
      <c r="N2860" s="144"/>
      <c r="O2860" s="142"/>
      <c r="P2860" s="142"/>
      <c r="Q2860" s="142"/>
      <c r="R2860" s="129"/>
      <c r="S2860" s="143"/>
      <c r="T2860" s="144"/>
      <c r="U2860" s="129"/>
      <c r="V2860" s="129"/>
    </row>
    <row r="2861" spans="1:22" x14ac:dyDescent="0.2">
      <c r="A2861" s="144"/>
      <c r="B2861" s="145"/>
      <c r="C2861" s="129"/>
      <c r="D2861" s="129"/>
      <c r="E2861" s="129"/>
      <c r="F2861" s="129"/>
      <c r="G2861" s="144"/>
      <c r="H2861" s="129"/>
      <c r="I2861" s="144"/>
      <c r="J2861" s="144"/>
      <c r="K2861" s="144"/>
      <c r="L2861" s="146"/>
      <c r="M2861" s="142"/>
      <c r="N2861" s="144"/>
      <c r="O2861" s="142"/>
      <c r="P2861" s="142"/>
      <c r="Q2861" s="142"/>
      <c r="R2861" s="129"/>
      <c r="S2861" s="143"/>
      <c r="T2861" s="144"/>
      <c r="U2861" s="129"/>
      <c r="V2861" s="129"/>
    </row>
    <row r="2862" spans="1:22" x14ac:dyDescent="0.2">
      <c r="A2862" s="144"/>
      <c r="B2862" s="145"/>
      <c r="C2862" s="129"/>
      <c r="D2862" s="129"/>
      <c r="E2862" s="129"/>
      <c r="F2862" s="129"/>
      <c r="G2862" s="144"/>
      <c r="H2862" s="129"/>
      <c r="I2862" s="144"/>
      <c r="J2862" s="144"/>
      <c r="K2862" s="144"/>
      <c r="L2862" s="146"/>
      <c r="M2862" s="142"/>
      <c r="N2862" s="144"/>
      <c r="O2862" s="142"/>
      <c r="P2862" s="142"/>
      <c r="Q2862" s="142"/>
      <c r="R2862" s="129"/>
      <c r="S2862" s="143"/>
      <c r="T2862" s="144"/>
      <c r="U2862" s="129"/>
      <c r="V2862" s="129"/>
    </row>
    <row r="2863" spans="1:22" x14ac:dyDescent="0.2">
      <c r="A2863" s="144"/>
      <c r="B2863" s="145"/>
      <c r="C2863" s="129"/>
      <c r="D2863" s="129"/>
      <c r="E2863" s="129"/>
      <c r="F2863" s="129"/>
      <c r="G2863" s="144"/>
      <c r="H2863" s="129"/>
      <c r="I2863" s="144"/>
      <c r="J2863" s="144"/>
      <c r="K2863" s="144"/>
      <c r="L2863" s="146"/>
      <c r="M2863" s="142"/>
      <c r="N2863" s="144"/>
      <c r="O2863" s="142"/>
      <c r="P2863" s="142"/>
      <c r="Q2863" s="142"/>
      <c r="R2863" s="129"/>
      <c r="S2863" s="143"/>
      <c r="T2863" s="144"/>
      <c r="U2863" s="129"/>
      <c r="V2863" s="129"/>
    </row>
    <row r="2864" spans="1:22" x14ac:dyDescent="0.2">
      <c r="A2864" s="144"/>
      <c r="B2864" s="145"/>
      <c r="C2864" s="129"/>
      <c r="D2864" s="129"/>
      <c r="E2864" s="129"/>
      <c r="F2864" s="129"/>
      <c r="G2864" s="144"/>
      <c r="H2864" s="129"/>
      <c r="I2864" s="144"/>
      <c r="J2864" s="144"/>
      <c r="K2864" s="144"/>
      <c r="L2864" s="146"/>
      <c r="M2864" s="142"/>
      <c r="N2864" s="144"/>
      <c r="O2864" s="142"/>
      <c r="P2864" s="142"/>
      <c r="Q2864" s="142"/>
      <c r="R2864" s="129"/>
      <c r="S2864" s="143"/>
      <c r="T2864" s="144"/>
      <c r="U2864" s="129"/>
      <c r="V2864" s="129"/>
    </row>
    <row r="2865" spans="1:22" x14ac:dyDescent="0.2">
      <c r="A2865" s="144"/>
      <c r="B2865" s="145"/>
      <c r="C2865" s="129"/>
      <c r="D2865" s="129"/>
      <c r="E2865" s="129"/>
      <c r="F2865" s="129"/>
      <c r="G2865" s="144"/>
      <c r="H2865" s="129"/>
      <c r="I2865" s="144"/>
      <c r="J2865" s="144"/>
      <c r="K2865" s="144"/>
      <c r="L2865" s="146"/>
      <c r="M2865" s="142"/>
      <c r="N2865" s="144"/>
      <c r="O2865" s="142"/>
      <c r="P2865" s="142"/>
      <c r="Q2865" s="142"/>
      <c r="R2865" s="129"/>
      <c r="S2865" s="143"/>
      <c r="T2865" s="144"/>
      <c r="U2865" s="129"/>
      <c r="V2865" s="129"/>
    </row>
    <row r="2866" spans="1:22" x14ac:dyDescent="0.2">
      <c r="A2866" s="144"/>
      <c r="B2866" s="145"/>
      <c r="C2866" s="129"/>
      <c r="D2866" s="129"/>
      <c r="E2866" s="129"/>
      <c r="F2866" s="129"/>
      <c r="G2866" s="144"/>
      <c r="H2866" s="129"/>
      <c r="I2866" s="144"/>
      <c r="J2866" s="144"/>
      <c r="K2866" s="144"/>
      <c r="L2866" s="146"/>
      <c r="M2866" s="142"/>
      <c r="N2866" s="144"/>
      <c r="O2866" s="142"/>
      <c r="P2866" s="142"/>
      <c r="Q2866" s="142"/>
      <c r="R2866" s="129"/>
      <c r="S2866" s="143"/>
      <c r="T2866" s="144"/>
      <c r="U2866" s="129"/>
      <c r="V2866" s="129"/>
    </row>
    <row r="2867" spans="1:22" x14ac:dyDescent="0.2">
      <c r="A2867" s="144"/>
      <c r="B2867" s="145"/>
      <c r="C2867" s="129"/>
      <c r="D2867" s="129"/>
      <c r="E2867" s="129"/>
      <c r="F2867" s="129"/>
      <c r="G2867" s="144"/>
      <c r="H2867" s="129"/>
      <c r="I2867" s="144"/>
      <c r="J2867" s="144"/>
      <c r="K2867" s="144"/>
      <c r="L2867" s="146"/>
      <c r="M2867" s="142"/>
      <c r="N2867" s="144"/>
      <c r="O2867" s="142"/>
      <c r="P2867" s="142"/>
      <c r="Q2867" s="142"/>
      <c r="R2867" s="129"/>
      <c r="S2867" s="143"/>
      <c r="T2867" s="144"/>
      <c r="U2867" s="129"/>
      <c r="V2867" s="129"/>
    </row>
    <row r="2868" spans="1:22" x14ac:dyDescent="0.2">
      <c r="A2868" s="144"/>
      <c r="B2868" s="145"/>
      <c r="C2868" s="129"/>
      <c r="D2868" s="129"/>
      <c r="E2868" s="129"/>
      <c r="F2868" s="129"/>
      <c r="G2868" s="144"/>
      <c r="H2868" s="129"/>
      <c r="I2868" s="144"/>
      <c r="J2868" s="144"/>
      <c r="K2868" s="144"/>
      <c r="L2868" s="146"/>
      <c r="M2868" s="142"/>
      <c r="N2868" s="144"/>
      <c r="O2868" s="142"/>
      <c r="P2868" s="142"/>
      <c r="Q2868" s="142"/>
      <c r="R2868" s="129"/>
      <c r="S2868" s="143"/>
      <c r="T2868" s="144"/>
      <c r="U2868" s="129"/>
      <c r="V2868" s="129"/>
    </row>
    <row r="2869" spans="1:22" x14ac:dyDescent="0.2">
      <c r="A2869" s="144"/>
      <c r="B2869" s="145"/>
      <c r="C2869" s="129"/>
      <c r="D2869" s="129"/>
      <c r="E2869" s="129"/>
      <c r="F2869" s="129"/>
      <c r="G2869" s="144"/>
      <c r="H2869" s="129"/>
      <c r="I2869" s="144"/>
      <c r="J2869" s="144"/>
      <c r="K2869" s="144"/>
      <c r="L2869" s="146"/>
      <c r="M2869" s="142"/>
      <c r="N2869" s="144"/>
      <c r="O2869" s="142"/>
      <c r="P2869" s="142"/>
      <c r="Q2869" s="142"/>
      <c r="R2869" s="129"/>
      <c r="S2869" s="143"/>
      <c r="T2869" s="144"/>
      <c r="U2869" s="129"/>
      <c r="V2869" s="129"/>
    </row>
    <row r="2870" spans="1:22" x14ac:dyDescent="0.2">
      <c r="A2870" s="144"/>
      <c r="B2870" s="145"/>
      <c r="C2870" s="129"/>
      <c r="D2870" s="129"/>
      <c r="E2870" s="129"/>
      <c r="F2870" s="129"/>
      <c r="G2870" s="144"/>
      <c r="H2870" s="129"/>
      <c r="I2870" s="144"/>
      <c r="J2870" s="144"/>
      <c r="K2870" s="144"/>
      <c r="L2870" s="146"/>
      <c r="M2870" s="142"/>
      <c r="N2870" s="144"/>
      <c r="O2870" s="142"/>
      <c r="P2870" s="142"/>
      <c r="Q2870" s="142"/>
      <c r="R2870" s="129"/>
      <c r="S2870" s="143"/>
      <c r="T2870" s="144"/>
      <c r="U2870" s="129"/>
      <c r="V2870" s="129"/>
    </row>
    <row r="2871" spans="1:22" x14ac:dyDescent="0.2">
      <c r="A2871" s="144"/>
      <c r="B2871" s="145"/>
      <c r="C2871" s="129"/>
      <c r="D2871" s="129"/>
      <c r="E2871" s="129"/>
      <c r="F2871" s="129"/>
      <c r="G2871" s="144"/>
      <c r="H2871" s="129"/>
      <c r="I2871" s="144"/>
      <c r="J2871" s="144"/>
      <c r="K2871" s="144"/>
      <c r="L2871" s="146"/>
      <c r="M2871" s="142"/>
      <c r="N2871" s="144"/>
      <c r="O2871" s="142"/>
      <c r="P2871" s="142"/>
      <c r="Q2871" s="142"/>
      <c r="R2871" s="129"/>
      <c r="S2871" s="143"/>
      <c r="T2871" s="144"/>
      <c r="U2871" s="129"/>
      <c r="V2871" s="129"/>
    </row>
    <row r="2872" spans="1:22" x14ac:dyDescent="0.2">
      <c r="A2872" s="144"/>
      <c r="B2872" s="145"/>
      <c r="C2872" s="129"/>
      <c r="D2872" s="129"/>
      <c r="E2872" s="129"/>
      <c r="F2872" s="129"/>
      <c r="G2872" s="144"/>
      <c r="H2872" s="129"/>
      <c r="I2872" s="144"/>
      <c r="J2872" s="144"/>
      <c r="K2872" s="144"/>
      <c r="L2872" s="146"/>
      <c r="M2872" s="142"/>
      <c r="N2872" s="144"/>
      <c r="O2872" s="142"/>
      <c r="P2872" s="142"/>
      <c r="Q2872" s="142"/>
      <c r="R2872" s="129"/>
      <c r="S2872" s="143"/>
      <c r="T2872" s="144"/>
      <c r="U2872" s="129"/>
      <c r="V2872" s="129"/>
    </row>
    <row r="2873" spans="1:22" x14ac:dyDescent="0.2">
      <c r="A2873" s="144"/>
      <c r="B2873" s="145"/>
      <c r="C2873" s="129"/>
      <c r="D2873" s="129"/>
      <c r="E2873" s="129"/>
      <c r="F2873" s="129"/>
      <c r="G2873" s="144"/>
      <c r="H2873" s="129"/>
      <c r="I2873" s="144"/>
      <c r="J2873" s="144"/>
      <c r="K2873" s="144"/>
      <c r="L2873" s="146"/>
      <c r="M2873" s="142"/>
      <c r="N2873" s="144"/>
      <c r="O2873" s="142"/>
      <c r="P2873" s="142"/>
      <c r="Q2873" s="142"/>
      <c r="R2873" s="129"/>
      <c r="S2873" s="143"/>
      <c r="T2873" s="144"/>
      <c r="U2873" s="129"/>
      <c r="V2873" s="129"/>
    </row>
    <row r="2874" spans="1:22" x14ac:dyDescent="0.2">
      <c r="A2874" s="144"/>
      <c r="B2874" s="145"/>
      <c r="C2874" s="129"/>
      <c r="D2874" s="129"/>
      <c r="E2874" s="129"/>
      <c r="F2874" s="129"/>
      <c r="G2874" s="144"/>
      <c r="H2874" s="129"/>
      <c r="I2874" s="144"/>
      <c r="J2874" s="144"/>
      <c r="K2874" s="144"/>
      <c r="L2874" s="146"/>
      <c r="M2874" s="142"/>
      <c r="N2874" s="144"/>
      <c r="O2874" s="142"/>
      <c r="P2874" s="142"/>
      <c r="Q2874" s="142"/>
      <c r="R2874" s="129"/>
      <c r="S2874" s="143"/>
      <c r="T2874" s="144"/>
      <c r="U2874" s="129"/>
      <c r="V2874" s="129"/>
    </row>
    <row r="2875" spans="1:22" x14ac:dyDescent="0.2">
      <c r="A2875" s="144"/>
      <c r="B2875" s="145"/>
      <c r="C2875" s="129"/>
      <c r="D2875" s="129"/>
      <c r="E2875" s="129"/>
      <c r="F2875" s="129"/>
      <c r="G2875" s="144"/>
      <c r="H2875" s="129"/>
      <c r="I2875" s="144"/>
      <c r="J2875" s="144"/>
      <c r="K2875" s="144"/>
      <c r="L2875" s="146"/>
      <c r="M2875" s="142"/>
      <c r="N2875" s="144"/>
      <c r="O2875" s="142"/>
      <c r="P2875" s="142"/>
      <c r="Q2875" s="142"/>
      <c r="R2875" s="129"/>
      <c r="S2875" s="143"/>
      <c r="T2875" s="144"/>
      <c r="U2875" s="129"/>
      <c r="V2875" s="129"/>
    </row>
    <row r="2876" spans="1:22" x14ac:dyDescent="0.2">
      <c r="A2876" s="144"/>
      <c r="B2876" s="145"/>
      <c r="C2876" s="129"/>
      <c r="D2876" s="129"/>
      <c r="E2876" s="129"/>
      <c r="F2876" s="129"/>
      <c r="G2876" s="144"/>
      <c r="H2876" s="129"/>
      <c r="I2876" s="144"/>
      <c r="J2876" s="144"/>
      <c r="K2876" s="144"/>
      <c r="L2876" s="146"/>
      <c r="M2876" s="142"/>
      <c r="N2876" s="144"/>
      <c r="O2876" s="142"/>
      <c r="P2876" s="142"/>
      <c r="Q2876" s="142"/>
      <c r="R2876" s="129"/>
      <c r="S2876" s="143"/>
      <c r="T2876" s="144"/>
      <c r="U2876" s="129"/>
      <c r="V2876" s="129"/>
    </row>
    <row r="2877" spans="1:22" x14ac:dyDescent="0.2">
      <c r="A2877" s="144"/>
      <c r="B2877" s="145"/>
      <c r="C2877" s="129"/>
      <c r="D2877" s="129"/>
      <c r="E2877" s="129"/>
      <c r="F2877" s="129"/>
      <c r="G2877" s="144"/>
      <c r="H2877" s="129"/>
      <c r="I2877" s="144"/>
      <c r="J2877" s="144"/>
      <c r="K2877" s="144"/>
      <c r="L2877" s="146"/>
      <c r="M2877" s="142"/>
      <c r="N2877" s="144"/>
      <c r="O2877" s="142"/>
      <c r="P2877" s="142"/>
      <c r="Q2877" s="142"/>
      <c r="R2877" s="129"/>
      <c r="S2877" s="143"/>
      <c r="T2877" s="144"/>
      <c r="U2877" s="129"/>
      <c r="V2877" s="129"/>
    </row>
    <row r="2878" spans="1:22" x14ac:dyDescent="0.2">
      <c r="A2878" s="144"/>
      <c r="B2878" s="145"/>
      <c r="C2878" s="129"/>
      <c r="D2878" s="129"/>
      <c r="E2878" s="129"/>
      <c r="F2878" s="129"/>
      <c r="G2878" s="144"/>
      <c r="H2878" s="129"/>
      <c r="I2878" s="144"/>
      <c r="J2878" s="144"/>
      <c r="K2878" s="144"/>
      <c r="L2878" s="146"/>
      <c r="M2878" s="142"/>
      <c r="N2878" s="144"/>
      <c r="O2878" s="142"/>
      <c r="P2878" s="142"/>
      <c r="Q2878" s="142"/>
      <c r="R2878" s="129"/>
      <c r="S2878" s="143"/>
      <c r="T2878" s="144"/>
      <c r="U2878" s="129"/>
      <c r="V2878" s="129"/>
    </row>
    <row r="2879" spans="1:22" x14ac:dyDescent="0.2">
      <c r="A2879" s="144"/>
      <c r="B2879" s="145"/>
      <c r="C2879" s="129"/>
      <c r="D2879" s="129"/>
      <c r="E2879" s="129"/>
      <c r="F2879" s="129"/>
      <c r="G2879" s="144"/>
      <c r="H2879" s="129"/>
      <c r="I2879" s="144"/>
      <c r="J2879" s="144"/>
      <c r="K2879" s="144"/>
      <c r="L2879" s="146"/>
      <c r="M2879" s="142"/>
      <c r="N2879" s="144"/>
      <c r="O2879" s="142"/>
      <c r="P2879" s="142"/>
      <c r="Q2879" s="142"/>
      <c r="R2879" s="129"/>
      <c r="S2879" s="143"/>
      <c r="T2879" s="144"/>
      <c r="U2879" s="129"/>
      <c r="V2879" s="129"/>
    </row>
    <row r="2880" spans="1:22" x14ac:dyDescent="0.2">
      <c r="A2880" s="144"/>
      <c r="B2880" s="145"/>
      <c r="C2880" s="129"/>
      <c r="D2880" s="129"/>
      <c r="E2880" s="129"/>
      <c r="F2880" s="129"/>
      <c r="G2880" s="144"/>
      <c r="H2880" s="129"/>
      <c r="I2880" s="144"/>
      <c r="J2880" s="144"/>
      <c r="K2880" s="144"/>
      <c r="L2880" s="146"/>
      <c r="M2880" s="142"/>
      <c r="N2880" s="144"/>
      <c r="O2880" s="142"/>
      <c r="P2880" s="142"/>
      <c r="Q2880" s="142"/>
      <c r="R2880" s="129"/>
      <c r="S2880" s="143"/>
      <c r="T2880" s="144"/>
      <c r="U2880" s="129"/>
      <c r="V2880" s="129"/>
    </row>
    <row r="2881" spans="1:22" x14ac:dyDescent="0.2">
      <c r="A2881" s="144"/>
      <c r="B2881" s="145"/>
      <c r="C2881" s="129"/>
      <c r="D2881" s="129"/>
      <c r="E2881" s="129"/>
      <c r="F2881" s="129"/>
      <c r="G2881" s="144"/>
      <c r="H2881" s="129"/>
      <c r="I2881" s="144"/>
      <c r="J2881" s="144"/>
      <c r="K2881" s="144"/>
      <c r="L2881" s="146"/>
      <c r="M2881" s="142"/>
      <c r="N2881" s="144"/>
      <c r="O2881" s="142"/>
      <c r="P2881" s="142"/>
      <c r="Q2881" s="142"/>
      <c r="R2881" s="129"/>
      <c r="S2881" s="143"/>
      <c r="T2881" s="144"/>
      <c r="U2881" s="129"/>
      <c r="V2881" s="129"/>
    </row>
    <row r="2882" spans="1:22" x14ac:dyDescent="0.2">
      <c r="A2882" s="144"/>
      <c r="B2882" s="145"/>
      <c r="C2882" s="129"/>
      <c r="D2882" s="129"/>
      <c r="E2882" s="129"/>
      <c r="F2882" s="129"/>
      <c r="G2882" s="144"/>
      <c r="H2882" s="129"/>
      <c r="I2882" s="144"/>
      <c r="J2882" s="144"/>
      <c r="K2882" s="144"/>
      <c r="L2882" s="146"/>
      <c r="M2882" s="142"/>
      <c r="N2882" s="144"/>
      <c r="O2882" s="142"/>
      <c r="P2882" s="142"/>
      <c r="Q2882" s="142"/>
      <c r="R2882" s="129"/>
      <c r="S2882" s="143"/>
      <c r="T2882" s="144"/>
      <c r="U2882" s="129"/>
      <c r="V2882" s="129"/>
    </row>
    <row r="2883" spans="1:22" x14ac:dyDescent="0.2">
      <c r="A2883" s="144"/>
      <c r="B2883" s="145"/>
      <c r="C2883" s="129"/>
      <c r="D2883" s="129"/>
      <c r="E2883" s="129"/>
      <c r="F2883" s="129"/>
      <c r="G2883" s="144"/>
      <c r="H2883" s="129"/>
      <c r="I2883" s="144"/>
      <c r="J2883" s="144"/>
      <c r="K2883" s="144"/>
      <c r="L2883" s="146"/>
      <c r="M2883" s="142"/>
      <c r="N2883" s="144"/>
      <c r="O2883" s="142"/>
      <c r="P2883" s="142"/>
      <c r="Q2883" s="142"/>
      <c r="R2883" s="129"/>
      <c r="S2883" s="143"/>
      <c r="T2883" s="144"/>
      <c r="U2883" s="129"/>
      <c r="V2883" s="129"/>
    </row>
    <row r="2884" spans="1:22" x14ac:dyDescent="0.2">
      <c r="A2884" s="144"/>
      <c r="B2884" s="145"/>
      <c r="C2884" s="129"/>
      <c r="D2884" s="129"/>
      <c r="E2884" s="129"/>
      <c r="F2884" s="129"/>
      <c r="G2884" s="144"/>
      <c r="H2884" s="129"/>
      <c r="I2884" s="144"/>
      <c r="J2884" s="144"/>
      <c r="K2884" s="144"/>
      <c r="L2884" s="146"/>
      <c r="M2884" s="142"/>
      <c r="N2884" s="144"/>
      <c r="O2884" s="142"/>
      <c r="P2884" s="142"/>
      <c r="Q2884" s="142"/>
      <c r="R2884" s="129"/>
      <c r="S2884" s="143"/>
      <c r="T2884" s="144"/>
      <c r="U2884" s="129"/>
      <c r="V2884" s="129"/>
    </row>
    <row r="2885" spans="1:22" x14ac:dyDescent="0.2">
      <c r="A2885" s="144"/>
      <c r="B2885" s="145"/>
      <c r="C2885" s="129"/>
      <c r="D2885" s="129"/>
      <c r="E2885" s="129"/>
      <c r="F2885" s="129"/>
      <c r="G2885" s="144"/>
      <c r="H2885" s="129"/>
      <c r="I2885" s="144"/>
      <c r="J2885" s="144"/>
      <c r="K2885" s="144"/>
      <c r="L2885" s="146"/>
      <c r="M2885" s="142"/>
      <c r="N2885" s="144"/>
      <c r="O2885" s="142"/>
      <c r="P2885" s="142"/>
      <c r="Q2885" s="142"/>
      <c r="R2885" s="129"/>
      <c r="S2885" s="143"/>
      <c r="T2885" s="144"/>
      <c r="U2885" s="129"/>
      <c r="V2885" s="129"/>
    </row>
    <row r="2886" spans="1:22" x14ac:dyDescent="0.2">
      <c r="A2886" s="144"/>
      <c r="B2886" s="145"/>
      <c r="C2886" s="129"/>
      <c r="D2886" s="129"/>
      <c r="E2886" s="129"/>
      <c r="F2886" s="129"/>
      <c r="G2886" s="144"/>
      <c r="H2886" s="129"/>
      <c r="I2886" s="144"/>
      <c r="J2886" s="144"/>
      <c r="K2886" s="144"/>
      <c r="L2886" s="146"/>
      <c r="M2886" s="142"/>
      <c r="N2886" s="144"/>
      <c r="O2886" s="142"/>
      <c r="P2886" s="142"/>
      <c r="Q2886" s="142"/>
      <c r="R2886" s="129"/>
      <c r="S2886" s="143"/>
      <c r="T2886" s="144"/>
      <c r="U2886" s="129"/>
      <c r="V2886" s="129"/>
    </row>
    <row r="2887" spans="1:22" x14ac:dyDescent="0.2">
      <c r="A2887" s="144"/>
      <c r="B2887" s="145"/>
      <c r="C2887" s="129"/>
      <c r="D2887" s="129"/>
      <c r="E2887" s="129"/>
      <c r="F2887" s="129"/>
      <c r="G2887" s="144"/>
      <c r="H2887" s="129"/>
      <c r="I2887" s="144"/>
      <c r="J2887" s="144"/>
      <c r="K2887" s="144"/>
      <c r="L2887" s="146"/>
      <c r="M2887" s="142"/>
      <c r="N2887" s="144"/>
      <c r="O2887" s="142"/>
      <c r="P2887" s="142"/>
      <c r="Q2887" s="142"/>
      <c r="R2887" s="129"/>
      <c r="S2887" s="143"/>
      <c r="T2887" s="144"/>
      <c r="U2887" s="129"/>
      <c r="V2887" s="129"/>
    </row>
    <row r="2888" spans="1:22" x14ac:dyDescent="0.2">
      <c r="A2888" s="144"/>
      <c r="B2888" s="145"/>
      <c r="C2888" s="129"/>
      <c r="D2888" s="129"/>
      <c r="E2888" s="129"/>
      <c r="F2888" s="129"/>
      <c r="G2888" s="144"/>
      <c r="H2888" s="129"/>
      <c r="I2888" s="144"/>
      <c r="J2888" s="144"/>
      <c r="K2888" s="144"/>
      <c r="L2888" s="146"/>
      <c r="M2888" s="142"/>
      <c r="N2888" s="144"/>
      <c r="O2888" s="142"/>
      <c r="P2888" s="142"/>
      <c r="Q2888" s="142"/>
      <c r="R2888" s="129"/>
      <c r="S2888" s="143"/>
      <c r="T2888" s="144"/>
      <c r="U2888" s="129"/>
      <c r="V2888" s="129"/>
    </row>
    <row r="2889" spans="1:22" x14ac:dyDescent="0.2">
      <c r="A2889" s="144"/>
      <c r="B2889" s="145"/>
      <c r="C2889" s="129"/>
      <c r="D2889" s="129"/>
      <c r="E2889" s="129"/>
      <c r="F2889" s="129"/>
      <c r="G2889" s="144"/>
      <c r="H2889" s="129"/>
      <c r="I2889" s="144"/>
      <c r="J2889" s="144"/>
      <c r="K2889" s="144"/>
      <c r="L2889" s="146"/>
      <c r="M2889" s="142"/>
      <c r="N2889" s="144"/>
      <c r="O2889" s="142"/>
      <c r="P2889" s="142"/>
      <c r="Q2889" s="142"/>
      <c r="R2889" s="129"/>
      <c r="S2889" s="143"/>
      <c r="T2889" s="144"/>
      <c r="U2889" s="129"/>
      <c r="V2889" s="129"/>
    </row>
    <row r="2890" spans="1:22" x14ac:dyDescent="0.2">
      <c r="A2890" s="144"/>
      <c r="B2890" s="145"/>
      <c r="C2890" s="129"/>
      <c r="D2890" s="129"/>
      <c r="E2890" s="129"/>
      <c r="F2890" s="129"/>
      <c r="G2890" s="144"/>
      <c r="H2890" s="129"/>
      <c r="I2890" s="144"/>
      <c r="J2890" s="144"/>
      <c r="K2890" s="144"/>
      <c r="L2890" s="146"/>
      <c r="M2890" s="142"/>
      <c r="N2890" s="144"/>
      <c r="O2890" s="142"/>
      <c r="P2890" s="142"/>
      <c r="Q2890" s="142"/>
      <c r="R2890" s="129"/>
      <c r="S2890" s="143"/>
      <c r="T2890" s="144"/>
      <c r="U2890" s="129"/>
      <c r="V2890" s="129"/>
    </row>
    <row r="2891" spans="1:22" x14ac:dyDescent="0.2">
      <c r="A2891" s="144"/>
      <c r="B2891" s="145"/>
      <c r="C2891" s="129"/>
      <c r="D2891" s="129"/>
      <c r="E2891" s="129"/>
      <c r="F2891" s="129"/>
      <c r="G2891" s="144"/>
      <c r="H2891" s="129"/>
      <c r="I2891" s="144"/>
      <c r="J2891" s="144"/>
      <c r="K2891" s="144"/>
      <c r="L2891" s="146"/>
      <c r="M2891" s="142"/>
      <c r="N2891" s="144"/>
      <c r="O2891" s="142"/>
      <c r="P2891" s="142"/>
      <c r="Q2891" s="142"/>
      <c r="R2891" s="129"/>
      <c r="S2891" s="143"/>
      <c r="T2891" s="144"/>
      <c r="U2891" s="129"/>
      <c r="V2891" s="129"/>
    </row>
    <row r="2892" spans="1:22" x14ac:dyDescent="0.2">
      <c r="A2892" s="144"/>
      <c r="B2892" s="145"/>
      <c r="C2892" s="129"/>
      <c r="D2892" s="129"/>
      <c r="E2892" s="129"/>
      <c r="F2892" s="129"/>
      <c r="G2892" s="144"/>
      <c r="H2892" s="129"/>
      <c r="I2892" s="144"/>
      <c r="J2892" s="144"/>
      <c r="K2892" s="144"/>
      <c r="L2892" s="146"/>
      <c r="M2892" s="142"/>
      <c r="N2892" s="144"/>
      <c r="O2892" s="142"/>
      <c r="P2892" s="142"/>
      <c r="Q2892" s="142"/>
      <c r="R2892" s="129"/>
      <c r="S2892" s="143"/>
      <c r="T2892" s="144"/>
      <c r="U2892" s="129"/>
      <c r="V2892" s="129"/>
    </row>
    <row r="2893" spans="1:22" x14ac:dyDescent="0.2">
      <c r="A2893" s="144"/>
      <c r="B2893" s="145"/>
      <c r="C2893" s="129"/>
      <c r="D2893" s="129"/>
      <c r="E2893" s="129"/>
      <c r="F2893" s="129"/>
      <c r="G2893" s="144"/>
      <c r="H2893" s="129"/>
      <c r="I2893" s="144"/>
      <c r="J2893" s="144"/>
      <c r="K2893" s="144"/>
      <c r="L2893" s="146"/>
      <c r="M2893" s="142"/>
      <c r="N2893" s="144"/>
      <c r="O2893" s="142"/>
      <c r="P2893" s="142"/>
      <c r="Q2893" s="142"/>
      <c r="R2893" s="129"/>
      <c r="S2893" s="143"/>
      <c r="T2893" s="144"/>
      <c r="U2893" s="129"/>
      <c r="V2893" s="129"/>
    </row>
    <row r="2894" spans="1:22" x14ac:dyDescent="0.2">
      <c r="A2894" s="144"/>
      <c r="B2894" s="145"/>
      <c r="C2894" s="129"/>
      <c r="D2894" s="129"/>
      <c r="E2894" s="129"/>
      <c r="F2894" s="129"/>
      <c r="G2894" s="144"/>
      <c r="H2894" s="129"/>
      <c r="I2894" s="144"/>
      <c r="J2894" s="144"/>
      <c r="K2894" s="144"/>
      <c r="L2894" s="146"/>
      <c r="M2894" s="142"/>
      <c r="N2894" s="144"/>
      <c r="O2894" s="142"/>
      <c r="P2894" s="142"/>
      <c r="Q2894" s="142"/>
      <c r="R2894" s="129"/>
      <c r="S2894" s="143"/>
      <c r="T2894" s="144"/>
      <c r="U2894" s="129"/>
      <c r="V2894" s="129"/>
    </row>
    <row r="2895" spans="1:22" x14ac:dyDescent="0.2">
      <c r="A2895" s="144"/>
      <c r="B2895" s="145"/>
      <c r="C2895" s="129"/>
      <c r="D2895" s="129"/>
      <c r="E2895" s="129"/>
      <c r="F2895" s="129"/>
      <c r="G2895" s="144"/>
      <c r="H2895" s="129"/>
      <c r="I2895" s="144"/>
      <c r="J2895" s="144"/>
      <c r="K2895" s="144"/>
      <c r="L2895" s="146"/>
      <c r="M2895" s="142"/>
      <c r="N2895" s="144"/>
      <c r="O2895" s="142"/>
      <c r="P2895" s="142"/>
      <c r="Q2895" s="142"/>
      <c r="R2895" s="129"/>
      <c r="S2895" s="143"/>
      <c r="T2895" s="144"/>
      <c r="U2895" s="129"/>
      <c r="V2895" s="129"/>
    </row>
    <row r="2896" spans="1:22" x14ac:dyDescent="0.2">
      <c r="A2896" s="144"/>
      <c r="B2896" s="145"/>
      <c r="C2896" s="129"/>
      <c r="D2896" s="129"/>
      <c r="E2896" s="129"/>
      <c r="F2896" s="129"/>
      <c r="G2896" s="144"/>
      <c r="H2896" s="129"/>
      <c r="I2896" s="144"/>
      <c r="J2896" s="144"/>
      <c r="K2896" s="144"/>
      <c r="L2896" s="146"/>
      <c r="M2896" s="142"/>
      <c r="N2896" s="144"/>
      <c r="O2896" s="142"/>
      <c r="P2896" s="142"/>
      <c r="Q2896" s="142"/>
      <c r="R2896" s="129"/>
      <c r="S2896" s="143"/>
      <c r="T2896" s="144"/>
      <c r="U2896" s="129"/>
      <c r="V2896" s="129"/>
    </row>
    <row r="2897" spans="1:22" x14ac:dyDescent="0.2">
      <c r="A2897" s="144"/>
      <c r="B2897" s="145"/>
      <c r="C2897" s="129"/>
      <c r="D2897" s="129"/>
      <c r="E2897" s="129"/>
      <c r="F2897" s="129"/>
      <c r="G2897" s="144"/>
      <c r="H2897" s="129"/>
      <c r="I2897" s="144"/>
      <c r="J2897" s="144"/>
      <c r="K2897" s="144"/>
      <c r="L2897" s="146"/>
      <c r="M2897" s="142"/>
      <c r="N2897" s="144"/>
      <c r="O2897" s="142"/>
      <c r="P2897" s="142"/>
      <c r="Q2897" s="142"/>
      <c r="R2897" s="129"/>
      <c r="S2897" s="143"/>
      <c r="T2897" s="144"/>
      <c r="U2897" s="129"/>
      <c r="V2897" s="129"/>
    </row>
    <row r="2898" spans="1:22" x14ac:dyDescent="0.2">
      <c r="A2898" s="144"/>
      <c r="B2898" s="145"/>
      <c r="C2898" s="129"/>
      <c r="D2898" s="129"/>
      <c r="E2898" s="129"/>
      <c r="F2898" s="129"/>
      <c r="G2898" s="144"/>
      <c r="H2898" s="129"/>
      <c r="I2898" s="144"/>
      <c r="J2898" s="144"/>
      <c r="K2898" s="144"/>
      <c r="L2898" s="146"/>
      <c r="M2898" s="142"/>
      <c r="N2898" s="144"/>
      <c r="O2898" s="142"/>
      <c r="P2898" s="142"/>
      <c r="Q2898" s="142"/>
      <c r="R2898" s="129"/>
      <c r="S2898" s="143"/>
      <c r="T2898" s="144"/>
      <c r="U2898" s="129"/>
      <c r="V2898" s="129"/>
    </row>
    <row r="2899" spans="1:22" x14ac:dyDescent="0.2">
      <c r="A2899" s="144"/>
      <c r="B2899" s="145"/>
      <c r="C2899" s="129"/>
      <c r="D2899" s="129"/>
      <c r="E2899" s="129"/>
      <c r="F2899" s="129"/>
      <c r="G2899" s="144"/>
      <c r="H2899" s="129"/>
      <c r="I2899" s="144"/>
      <c r="J2899" s="144"/>
      <c r="K2899" s="144"/>
      <c r="L2899" s="146"/>
      <c r="M2899" s="142"/>
      <c r="N2899" s="144"/>
      <c r="O2899" s="142"/>
      <c r="P2899" s="142"/>
      <c r="Q2899" s="142"/>
      <c r="R2899" s="129"/>
      <c r="S2899" s="143"/>
      <c r="T2899" s="144"/>
      <c r="U2899" s="129"/>
      <c r="V2899" s="129"/>
    </row>
    <row r="2900" spans="1:22" x14ac:dyDescent="0.2">
      <c r="A2900" s="144"/>
      <c r="B2900" s="145"/>
      <c r="C2900" s="129"/>
      <c r="D2900" s="129"/>
      <c r="E2900" s="129"/>
      <c r="F2900" s="129"/>
      <c r="G2900" s="144"/>
      <c r="H2900" s="129"/>
      <c r="I2900" s="144"/>
      <c r="J2900" s="144"/>
      <c r="K2900" s="144"/>
      <c r="L2900" s="146"/>
      <c r="M2900" s="142"/>
      <c r="N2900" s="144"/>
      <c r="O2900" s="142"/>
      <c r="P2900" s="142"/>
      <c r="Q2900" s="142"/>
      <c r="R2900" s="129"/>
      <c r="S2900" s="143"/>
      <c r="T2900" s="144"/>
      <c r="U2900" s="129"/>
      <c r="V2900" s="129"/>
    </row>
    <row r="2901" spans="1:22" x14ac:dyDescent="0.2">
      <c r="A2901" s="144"/>
      <c r="B2901" s="145"/>
      <c r="C2901" s="129"/>
      <c r="D2901" s="129"/>
      <c r="E2901" s="129"/>
      <c r="F2901" s="129"/>
      <c r="G2901" s="144"/>
      <c r="H2901" s="129"/>
      <c r="I2901" s="144"/>
      <c r="J2901" s="144"/>
      <c r="K2901" s="144"/>
      <c r="L2901" s="146"/>
      <c r="M2901" s="142"/>
      <c r="N2901" s="144"/>
      <c r="O2901" s="142"/>
      <c r="P2901" s="142"/>
      <c r="Q2901" s="142"/>
      <c r="R2901" s="129"/>
      <c r="S2901" s="143"/>
      <c r="T2901" s="144"/>
      <c r="U2901" s="129"/>
      <c r="V2901" s="129"/>
    </row>
    <row r="2902" spans="1:22" x14ac:dyDescent="0.2">
      <c r="A2902" s="144"/>
      <c r="B2902" s="145"/>
      <c r="C2902" s="129"/>
      <c r="D2902" s="129"/>
      <c r="E2902" s="129"/>
      <c r="F2902" s="129"/>
      <c r="G2902" s="144"/>
      <c r="H2902" s="129"/>
      <c r="I2902" s="144"/>
      <c r="J2902" s="144"/>
      <c r="K2902" s="144"/>
      <c r="L2902" s="146"/>
      <c r="M2902" s="142"/>
      <c r="N2902" s="144"/>
      <c r="O2902" s="142"/>
      <c r="P2902" s="142"/>
      <c r="Q2902" s="142"/>
      <c r="R2902" s="129"/>
      <c r="S2902" s="143"/>
      <c r="T2902" s="144"/>
      <c r="U2902" s="129"/>
      <c r="V2902" s="129"/>
    </row>
    <row r="2903" spans="1:22" x14ac:dyDescent="0.2">
      <c r="A2903" s="144"/>
      <c r="B2903" s="145"/>
      <c r="C2903" s="129"/>
      <c r="D2903" s="129"/>
      <c r="E2903" s="129"/>
      <c r="F2903" s="129"/>
      <c r="G2903" s="144"/>
      <c r="H2903" s="129"/>
      <c r="I2903" s="144"/>
      <c r="J2903" s="144"/>
      <c r="K2903" s="144"/>
      <c r="L2903" s="146"/>
      <c r="M2903" s="142"/>
      <c r="N2903" s="144"/>
      <c r="O2903" s="142"/>
      <c r="P2903" s="142"/>
      <c r="Q2903" s="142"/>
      <c r="R2903" s="129"/>
      <c r="S2903" s="143"/>
      <c r="T2903" s="144"/>
      <c r="U2903" s="129"/>
      <c r="V2903" s="129"/>
    </row>
    <row r="2904" spans="1:22" x14ac:dyDescent="0.2">
      <c r="A2904" s="144"/>
      <c r="B2904" s="145"/>
      <c r="C2904" s="129"/>
      <c r="D2904" s="129"/>
      <c r="E2904" s="129"/>
      <c r="F2904" s="129"/>
      <c r="G2904" s="144"/>
      <c r="H2904" s="129"/>
      <c r="I2904" s="144"/>
      <c r="J2904" s="144"/>
      <c r="K2904" s="144"/>
      <c r="L2904" s="146"/>
      <c r="M2904" s="142"/>
      <c r="N2904" s="144"/>
      <c r="O2904" s="142"/>
      <c r="P2904" s="142"/>
      <c r="Q2904" s="142"/>
      <c r="R2904" s="129"/>
      <c r="S2904" s="143"/>
      <c r="T2904" s="144"/>
      <c r="U2904" s="129"/>
      <c r="V2904" s="129"/>
    </row>
    <row r="2905" spans="1:22" x14ac:dyDescent="0.2">
      <c r="A2905" s="144"/>
      <c r="B2905" s="145"/>
      <c r="C2905" s="129"/>
      <c r="D2905" s="129"/>
      <c r="E2905" s="129"/>
      <c r="F2905" s="129"/>
      <c r="G2905" s="144"/>
      <c r="H2905" s="129"/>
      <c r="I2905" s="144"/>
      <c r="J2905" s="144"/>
      <c r="K2905" s="144"/>
      <c r="L2905" s="146"/>
      <c r="M2905" s="142"/>
      <c r="N2905" s="144"/>
      <c r="O2905" s="142"/>
      <c r="P2905" s="142"/>
      <c r="Q2905" s="142"/>
      <c r="R2905" s="129"/>
      <c r="S2905" s="143"/>
      <c r="T2905" s="144"/>
      <c r="U2905" s="129"/>
      <c r="V2905" s="129"/>
    </row>
    <row r="2906" spans="1:22" x14ac:dyDescent="0.2">
      <c r="A2906" s="144"/>
      <c r="B2906" s="145"/>
      <c r="C2906" s="129"/>
      <c r="D2906" s="129"/>
      <c r="E2906" s="129"/>
      <c r="F2906" s="129"/>
      <c r="G2906" s="144"/>
      <c r="H2906" s="129"/>
      <c r="I2906" s="144"/>
      <c r="J2906" s="144"/>
      <c r="K2906" s="144"/>
      <c r="L2906" s="146"/>
      <c r="M2906" s="142"/>
      <c r="N2906" s="144"/>
      <c r="O2906" s="142"/>
      <c r="P2906" s="142"/>
      <c r="Q2906" s="142"/>
      <c r="R2906" s="129"/>
      <c r="S2906" s="143"/>
      <c r="T2906" s="144"/>
      <c r="U2906" s="129"/>
      <c r="V2906" s="129"/>
    </row>
    <row r="2907" spans="1:22" x14ac:dyDescent="0.2">
      <c r="A2907" s="144"/>
      <c r="B2907" s="145"/>
      <c r="C2907" s="129"/>
      <c r="D2907" s="129"/>
      <c r="E2907" s="129"/>
      <c r="F2907" s="129"/>
      <c r="G2907" s="144"/>
      <c r="H2907" s="129"/>
      <c r="I2907" s="144"/>
      <c r="J2907" s="144"/>
      <c r="K2907" s="144"/>
      <c r="L2907" s="146"/>
      <c r="M2907" s="142"/>
      <c r="N2907" s="144"/>
      <c r="O2907" s="142"/>
      <c r="P2907" s="142"/>
      <c r="Q2907" s="142"/>
      <c r="R2907" s="129"/>
      <c r="S2907" s="143"/>
      <c r="T2907" s="144"/>
      <c r="U2907" s="129"/>
      <c r="V2907" s="129"/>
    </row>
    <row r="2908" spans="1:22" x14ac:dyDescent="0.2">
      <c r="A2908" s="144"/>
      <c r="B2908" s="145"/>
      <c r="C2908" s="129"/>
      <c r="D2908" s="129"/>
      <c r="E2908" s="129"/>
      <c r="F2908" s="129"/>
      <c r="G2908" s="144"/>
      <c r="H2908" s="129"/>
      <c r="I2908" s="144"/>
      <c r="J2908" s="144"/>
      <c r="K2908" s="144"/>
      <c r="L2908" s="146"/>
      <c r="M2908" s="142"/>
      <c r="N2908" s="144"/>
      <c r="O2908" s="142"/>
      <c r="P2908" s="142"/>
      <c r="Q2908" s="142"/>
      <c r="R2908" s="129"/>
      <c r="S2908" s="143"/>
      <c r="T2908" s="144"/>
      <c r="U2908" s="129"/>
      <c r="V2908" s="129"/>
    </row>
    <row r="2909" spans="1:22" x14ac:dyDescent="0.2">
      <c r="A2909" s="144"/>
      <c r="B2909" s="145"/>
      <c r="C2909" s="129"/>
      <c r="D2909" s="129"/>
      <c r="E2909" s="129"/>
      <c r="F2909" s="129"/>
      <c r="G2909" s="144"/>
      <c r="H2909" s="129"/>
      <c r="I2909" s="144"/>
      <c r="J2909" s="144"/>
      <c r="K2909" s="144"/>
      <c r="L2909" s="146"/>
      <c r="M2909" s="142"/>
      <c r="N2909" s="144"/>
      <c r="O2909" s="142"/>
      <c r="P2909" s="142"/>
      <c r="Q2909" s="142"/>
      <c r="R2909" s="129"/>
      <c r="S2909" s="143"/>
      <c r="T2909" s="144"/>
      <c r="U2909" s="129"/>
      <c r="V2909" s="129"/>
    </row>
    <row r="2910" spans="1:22" x14ac:dyDescent="0.2">
      <c r="A2910" s="144"/>
      <c r="B2910" s="145"/>
      <c r="C2910" s="129"/>
      <c r="D2910" s="129"/>
      <c r="E2910" s="129"/>
      <c r="F2910" s="129"/>
      <c r="G2910" s="144"/>
      <c r="H2910" s="129"/>
      <c r="I2910" s="144"/>
      <c r="J2910" s="144"/>
      <c r="K2910" s="144"/>
      <c r="L2910" s="146"/>
      <c r="M2910" s="142"/>
      <c r="N2910" s="144"/>
      <c r="O2910" s="142"/>
      <c r="P2910" s="142"/>
      <c r="Q2910" s="142"/>
      <c r="R2910" s="129"/>
      <c r="S2910" s="143"/>
      <c r="T2910" s="144"/>
      <c r="U2910" s="129"/>
      <c r="V2910" s="129"/>
    </row>
    <row r="2911" spans="1:22" x14ac:dyDescent="0.2">
      <c r="A2911" s="144"/>
      <c r="B2911" s="145"/>
      <c r="C2911" s="129"/>
      <c r="D2911" s="129"/>
      <c r="E2911" s="129"/>
      <c r="F2911" s="129"/>
      <c r="G2911" s="144"/>
      <c r="H2911" s="129"/>
      <c r="I2911" s="144"/>
      <c r="J2911" s="144"/>
      <c r="K2911" s="144"/>
      <c r="L2911" s="146"/>
      <c r="M2911" s="142"/>
      <c r="N2911" s="144"/>
      <c r="O2911" s="142"/>
      <c r="P2911" s="142"/>
      <c r="Q2911" s="142"/>
      <c r="R2911" s="129"/>
      <c r="S2911" s="143"/>
      <c r="T2911" s="144"/>
      <c r="U2911" s="129"/>
      <c r="V2911" s="129"/>
    </row>
    <row r="2912" spans="1:22" x14ac:dyDescent="0.2">
      <c r="A2912" s="144"/>
      <c r="B2912" s="145"/>
      <c r="C2912" s="129"/>
      <c r="D2912" s="129"/>
      <c r="E2912" s="129"/>
      <c r="F2912" s="129"/>
      <c r="G2912" s="144"/>
      <c r="H2912" s="129"/>
      <c r="I2912" s="144"/>
      <c r="J2912" s="144"/>
      <c r="K2912" s="144"/>
      <c r="L2912" s="146"/>
      <c r="M2912" s="142"/>
      <c r="N2912" s="144"/>
      <c r="O2912" s="142"/>
      <c r="P2912" s="142"/>
      <c r="Q2912" s="142"/>
      <c r="R2912" s="129"/>
      <c r="S2912" s="143"/>
      <c r="T2912" s="144"/>
      <c r="U2912" s="129"/>
      <c r="V2912" s="129"/>
    </row>
    <row r="2913" spans="1:22" x14ac:dyDescent="0.2">
      <c r="A2913" s="144"/>
      <c r="B2913" s="145"/>
      <c r="C2913" s="129"/>
      <c r="D2913" s="129"/>
      <c r="E2913" s="129"/>
      <c r="F2913" s="129"/>
      <c r="G2913" s="144"/>
      <c r="H2913" s="129"/>
      <c r="I2913" s="144"/>
      <c r="J2913" s="144"/>
      <c r="K2913" s="144"/>
      <c r="L2913" s="146"/>
      <c r="M2913" s="142"/>
      <c r="N2913" s="144"/>
      <c r="O2913" s="142"/>
      <c r="P2913" s="142"/>
      <c r="Q2913" s="142"/>
      <c r="R2913" s="129"/>
      <c r="S2913" s="143"/>
      <c r="T2913" s="144"/>
      <c r="U2913" s="129"/>
      <c r="V2913" s="129"/>
    </row>
    <row r="2914" spans="1:22" x14ac:dyDescent="0.2">
      <c r="A2914" s="144"/>
      <c r="B2914" s="145"/>
      <c r="C2914" s="129"/>
      <c r="D2914" s="129"/>
      <c r="E2914" s="129"/>
      <c r="F2914" s="129"/>
      <c r="G2914" s="144"/>
      <c r="H2914" s="129"/>
      <c r="I2914" s="144"/>
      <c r="J2914" s="144"/>
      <c r="K2914" s="144"/>
      <c r="L2914" s="146"/>
      <c r="M2914" s="142"/>
      <c r="N2914" s="144"/>
      <c r="O2914" s="142"/>
      <c r="P2914" s="142"/>
      <c r="Q2914" s="142"/>
      <c r="R2914" s="129"/>
      <c r="S2914" s="143"/>
      <c r="T2914" s="144"/>
      <c r="U2914" s="129"/>
      <c r="V2914" s="129"/>
    </row>
    <row r="2915" spans="1:22" x14ac:dyDescent="0.2">
      <c r="A2915" s="144"/>
      <c r="B2915" s="145"/>
      <c r="C2915" s="129"/>
      <c r="D2915" s="129"/>
      <c r="E2915" s="129"/>
      <c r="F2915" s="129"/>
      <c r="G2915" s="144"/>
      <c r="H2915" s="129"/>
      <c r="I2915" s="144"/>
      <c r="J2915" s="144"/>
      <c r="K2915" s="144"/>
      <c r="L2915" s="146"/>
      <c r="M2915" s="142"/>
      <c r="N2915" s="144"/>
      <c r="O2915" s="142"/>
      <c r="P2915" s="142"/>
      <c r="Q2915" s="142"/>
      <c r="R2915" s="129"/>
      <c r="S2915" s="143"/>
      <c r="T2915" s="144"/>
      <c r="U2915" s="129"/>
      <c r="V2915" s="129"/>
    </row>
    <row r="2916" spans="1:22" x14ac:dyDescent="0.2">
      <c r="A2916" s="144"/>
      <c r="B2916" s="145"/>
      <c r="C2916" s="129"/>
      <c r="D2916" s="129"/>
      <c r="E2916" s="129"/>
      <c r="F2916" s="129"/>
      <c r="G2916" s="144"/>
      <c r="H2916" s="129"/>
      <c r="I2916" s="144"/>
      <c r="J2916" s="144"/>
      <c r="K2916" s="144"/>
      <c r="L2916" s="146"/>
      <c r="M2916" s="142"/>
      <c r="N2916" s="144"/>
      <c r="O2916" s="142"/>
      <c r="P2916" s="142"/>
      <c r="Q2916" s="142"/>
      <c r="R2916" s="129"/>
      <c r="S2916" s="143"/>
      <c r="T2916" s="144"/>
      <c r="U2916" s="129"/>
      <c r="V2916" s="129"/>
    </row>
    <row r="2917" spans="1:22" x14ac:dyDescent="0.2">
      <c r="A2917" s="144"/>
      <c r="B2917" s="145"/>
      <c r="C2917" s="129"/>
      <c r="D2917" s="129"/>
      <c r="E2917" s="129"/>
      <c r="F2917" s="129"/>
      <c r="G2917" s="144"/>
      <c r="H2917" s="129"/>
      <c r="I2917" s="144"/>
      <c r="J2917" s="144"/>
      <c r="K2917" s="144"/>
      <c r="L2917" s="146"/>
      <c r="M2917" s="142"/>
      <c r="N2917" s="144"/>
      <c r="O2917" s="142"/>
      <c r="P2917" s="142"/>
      <c r="Q2917" s="142"/>
      <c r="R2917" s="129"/>
      <c r="S2917" s="143"/>
      <c r="T2917" s="144"/>
      <c r="U2917" s="129"/>
      <c r="V2917" s="129"/>
    </row>
    <row r="2918" spans="1:22" x14ac:dyDescent="0.2">
      <c r="A2918" s="144"/>
      <c r="B2918" s="145"/>
      <c r="C2918" s="129"/>
      <c r="D2918" s="129"/>
      <c r="E2918" s="129"/>
      <c r="F2918" s="129"/>
      <c r="G2918" s="144"/>
      <c r="H2918" s="129"/>
      <c r="I2918" s="144"/>
      <c r="J2918" s="144"/>
      <c r="K2918" s="144"/>
      <c r="L2918" s="146"/>
      <c r="M2918" s="142"/>
      <c r="N2918" s="144"/>
      <c r="O2918" s="142"/>
      <c r="P2918" s="142"/>
      <c r="Q2918" s="142"/>
      <c r="R2918" s="129"/>
      <c r="S2918" s="143"/>
      <c r="T2918" s="144"/>
      <c r="U2918" s="129"/>
      <c r="V2918" s="129"/>
    </row>
    <row r="2919" spans="1:22" x14ac:dyDescent="0.2">
      <c r="A2919" s="144"/>
      <c r="B2919" s="145"/>
      <c r="C2919" s="129"/>
      <c r="D2919" s="129"/>
      <c r="E2919" s="129"/>
      <c r="F2919" s="129"/>
      <c r="G2919" s="144"/>
      <c r="H2919" s="129"/>
      <c r="I2919" s="144"/>
      <c r="J2919" s="144"/>
      <c r="K2919" s="144"/>
      <c r="L2919" s="146"/>
      <c r="M2919" s="142"/>
      <c r="N2919" s="144"/>
      <c r="O2919" s="142"/>
      <c r="P2919" s="142"/>
      <c r="Q2919" s="142"/>
      <c r="R2919" s="129"/>
      <c r="S2919" s="143"/>
      <c r="T2919" s="144"/>
      <c r="U2919" s="129"/>
      <c r="V2919" s="129"/>
    </row>
    <row r="2920" spans="1:22" x14ac:dyDescent="0.2">
      <c r="A2920" s="144"/>
      <c r="B2920" s="145"/>
      <c r="C2920" s="129"/>
      <c r="D2920" s="129"/>
      <c r="E2920" s="129"/>
      <c r="F2920" s="129"/>
      <c r="G2920" s="144"/>
      <c r="H2920" s="129"/>
      <c r="I2920" s="144"/>
      <c r="J2920" s="144"/>
      <c r="K2920" s="144"/>
      <c r="L2920" s="146"/>
      <c r="M2920" s="142"/>
      <c r="N2920" s="144"/>
      <c r="O2920" s="142"/>
      <c r="P2920" s="142"/>
      <c r="Q2920" s="142"/>
      <c r="R2920" s="129"/>
      <c r="S2920" s="143"/>
      <c r="T2920" s="144"/>
      <c r="U2920" s="129"/>
      <c r="V2920" s="129"/>
    </row>
    <row r="2921" spans="1:22" x14ac:dyDescent="0.2">
      <c r="A2921" s="144"/>
      <c r="B2921" s="145"/>
      <c r="C2921" s="129"/>
      <c r="D2921" s="129"/>
      <c r="E2921" s="129"/>
      <c r="F2921" s="129"/>
      <c r="G2921" s="144"/>
      <c r="H2921" s="129"/>
      <c r="I2921" s="144"/>
      <c r="J2921" s="144"/>
      <c r="K2921" s="144"/>
      <c r="L2921" s="146"/>
      <c r="M2921" s="142"/>
      <c r="N2921" s="144"/>
      <c r="O2921" s="142"/>
      <c r="P2921" s="142"/>
      <c r="Q2921" s="142"/>
      <c r="R2921" s="129"/>
      <c r="S2921" s="143"/>
      <c r="T2921" s="144"/>
      <c r="U2921" s="129"/>
      <c r="V2921" s="129"/>
    </row>
    <row r="2922" spans="1:22" x14ac:dyDescent="0.2">
      <c r="A2922" s="144"/>
      <c r="B2922" s="145"/>
      <c r="C2922" s="129"/>
      <c r="D2922" s="129"/>
      <c r="E2922" s="129"/>
      <c r="F2922" s="129"/>
      <c r="G2922" s="144"/>
      <c r="H2922" s="129"/>
      <c r="I2922" s="144"/>
      <c r="J2922" s="144"/>
      <c r="K2922" s="144"/>
      <c r="L2922" s="146"/>
      <c r="M2922" s="142"/>
      <c r="N2922" s="144"/>
      <c r="O2922" s="142"/>
      <c r="P2922" s="142"/>
      <c r="Q2922" s="142"/>
      <c r="R2922" s="129"/>
      <c r="S2922" s="143"/>
      <c r="T2922" s="144"/>
      <c r="U2922" s="129"/>
      <c r="V2922" s="129"/>
    </row>
    <row r="2923" spans="1:22" x14ac:dyDescent="0.2">
      <c r="A2923" s="144"/>
      <c r="B2923" s="145"/>
      <c r="C2923" s="129"/>
      <c r="D2923" s="129"/>
      <c r="E2923" s="129"/>
      <c r="F2923" s="129"/>
      <c r="G2923" s="144"/>
      <c r="H2923" s="129"/>
      <c r="I2923" s="144"/>
      <c r="J2923" s="144"/>
      <c r="K2923" s="144"/>
      <c r="L2923" s="146"/>
      <c r="M2923" s="142"/>
      <c r="N2923" s="144"/>
      <c r="O2923" s="142"/>
      <c r="P2923" s="142"/>
      <c r="Q2923" s="142"/>
      <c r="R2923" s="129"/>
      <c r="S2923" s="143"/>
      <c r="T2923" s="144"/>
      <c r="U2923" s="129"/>
      <c r="V2923" s="129"/>
    </row>
    <row r="2924" spans="1:22" x14ac:dyDescent="0.2">
      <c r="A2924" s="144"/>
      <c r="B2924" s="145"/>
      <c r="C2924" s="129"/>
      <c r="D2924" s="129"/>
      <c r="E2924" s="129"/>
      <c r="F2924" s="129"/>
      <c r="G2924" s="144"/>
      <c r="H2924" s="129"/>
      <c r="I2924" s="144"/>
      <c r="J2924" s="144"/>
      <c r="K2924" s="144"/>
      <c r="L2924" s="146"/>
      <c r="M2924" s="142"/>
      <c r="N2924" s="144"/>
      <c r="O2924" s="142"/>
      <c r="P2924" s="142"/>
      <c r="Q2924" s="142"/>
      <c r="R2924" s="129"/>
      <c r="S2924" s="143"/>
      <c r="T2924" s="144"/>
      <c r="U2924" s="129"/>
      <c r="V2924" s="129"/>
    </row>
    <row r="2925" spans="1:22" x14ac:dyDescent="0.2">
      <c r="A2925" s="144"/>
      <c r="B2925" s="145"/>
      <c r="C2925" s="129"/>
      <c r="D2925" s="129"/>
      <c r="E2925" s="129"/>
      <c r="F2925" s="129"/>
      <c r="G2925" s="144"/>
      <c r="H2925" s="129"/>
      <c r="I2925" s="144"/>
      <c r="J2925" s="144"/>
      <c r="K2925" s="144"/>
      <c r="L2925" s="146"/>
      <c r="M2925" s="142"/>
      <c r="N2925" s="144"/>
      <c r="O2925" s="142"/>
      <c r="P2925" s="142"/>
      <c r="Q2925" s="142"/>
      <c r="R2925" s="129"/>
      <c r="S2925" s="143"/>
      <c r="T2925" s="144"/>
      <c r="U2925" s="129"/>
      <c r="V2925" s="129"/>
    </row>
    <row r="2926" spans="1:22" x14ac:dyDescent="0.2">
      <c r="A2926" s="144"/>
      <c r="B2926" s="145"/>
      <c r="C2926" s="129"/>
      <c r="D2926" s="129"/>
      <c r="E2926" s="129"/>
      <c r="F2926" s="129"/>
      <c r="G2926" s="144"/>
      <c r="H2926" s="129"/>
      <c r="I2926" s="144"/>
      <c r="J2926" s="144"/>
      <c r="K2926" s="144"/>
      <c r="L2926" s="146"/>
      <c r="M2926" s="142"/>
      <c r="N2926" s="144"/>
      <c r="O2926" s="142"/>
      <c r="P2926" s="142"/>
      <c r="Q2926" s="142"/>
      <c r="R2926" s="129"/>
      <c r="S2926" s="143"/>
      <c r="T2926" s="144"/>
      <c r="U2926" s="129"/>
      <c r="V2926" s="129"/>
    </row>
    <row r="2927" spans="1:22" x14ac:dyDescent="0.2">
      <c r="A2927" s="144"/>
      <c r="B2927" s="145"/>
      <c r="C2927" s="129"/>
      <c r="D2927" s="129"/>
      <c r="E2927" s="129"/>
      <c r="F2927" s="129"/>
      <c r="G2927" s="144"/>
      <c r="H2927" s="129"/>
      <c r="I2927" s="144"/>
      <c r="J2927" s="144"/>
      <c r="K2927" s="144"/>
      <c r="L2927" s="146"/>
      <c r="M2927" s="142"/>
      <c r="N2927" s="144"/>
      <c r="O2927" s="142"/>
      <c r="P2927" s="142"/>
      <c r="Q2927" s="142"/>
      <c r="R2927" s="129"/>
      <c r="S2927" s="143"/>
      <c r="T2927" s="144"/>
      <c r="U2927" s="129"/>
      <c r="V2927" s="129"/>
    </row>
    <row r="2928" spans="1:22" x14ac:dyDescent="0.2">
      <c r="A2928" s="144"/>
      <c r="B2928" s="145"/>
      <c r="C2928" s="129"/>
      <c r="D2928" s="129"/>
      <c r="E2928" s="129"/>
      <c r="F2928" s="129"/>
      <c r="G2928" s="144"/>
      <c r="H2928" s="129"/>
      <c r="I2928" s="144"/>
      <c r="J2928" s="144"/>
      <c r="K2928" s="144"/>
      <c r="L2928" s="146"/>
      <c r="M2928" s="142"/>
      <c r="N2928" s="144"/>
      <c r="O2928" s="142"/>
      <c r="P2928" s="142"/>
      <c r="Q2928" s="142"/>
      <c r="R2928" s="129"/>
      <c r="S2928" s="143"/>
      <c r="T2928" s="144"/>
      <c r="U2928" s="129"/>
      <c r="V2928" s="129"/>
    </row>
    <row r="2929" spans="1:22" x14ac:dyDescent="0.2">
      <c r="A2929" s="144"/>
      <c r="B2929" s="145"/>
      <c r="C2929" s="129"/>
      <c r="D2929" s="129"/>
      <c r="E2929" s="129"/>
      <c r="F2929" s="129"/>
      <c r="G2929" s="144"/>
      <c r="H2929" s="129"/>
      <c r="I2929" s="144"/>
      <c r="J2929" s="144"/>
      <c r="K2929" s="144"/>
      <c r="L2929" s="146"/>
      <c r="M2929" s="142"/>
      <c r="N2929" s="144"/>
      <c r="O2929" s="142"/>
      <c r="P2929" s="142"/>
      <c r="Q2929" s="142"/>
      <c r="R2929" s="129"/>
      <c r="S2929" s="143"/>
      <c r="T2929" s="144"/>
      <c r="U2929" s="129"/>
      <c r="V2929" s="129"/>
    </row>
    <row r="2930" spans="1:22" x14ac:dyDescent="0.2">
      <c r="A2930" s="144"/>
      <c r="B2930" s="145"/>
      <c r="C2930" s="129"/>
      <c r="D2930" s="129"/>
      <c r="E2930" s="129"/>
      <c r="F2930" s="129"/>
      <c r="G2930" s="144"/>
      <c r="H2930" s="129"/>
      <c r="I2930" s="144"/>
      <c r="J2930" s="144"/>
      <c r="K2930" s="144"/>
      <c r="L2930" s="146"/>
      <c r="M2930" s="142"/>
      <c r="N2930" s="144"/>
      <c r="O2930" s="142"/>
      <c r="P2930" s="142"/>
      <c r="Q2930" s="142"/>
      <c r="R2930" s="129"/>
      <c r="S2930" s="143"/>
      <c r="T2930" s="144"/>
      <c r="U2930" s="129"/>
      <c r="V2930" s="129"/>
    </row>
    <row r="2931" spans="1:22" x14ac:dyDescent="0.2">
      <c r="A2931" s="144"/>
      <c r="B2931" s="145"/>
      <c r="C2931" s="129"/>
      <c r="D2931" s="129"/>
      <c r="E2931" s="129"/>
      <c r="F2931" s="129"/>
      <c r="G2931" s="144"/>
      <c r="H2931" s="129"/>
      <c r="I2931" s="144"/>
      <c r="J2931" s="144"/>
      <c r="K2931" s="144"/>
      <c r="L2931" s="146"/>
      <c r="M2931" s="142"/>
      <c r="N2931" s="144"/>
      <c r="O2931" s="142"/>
      <c r="P2931" s="142"/>
      <c r="Q2931" s="142"/>
      <c r="R2931" s="129"/>
      <c r="S2931" s="143"/>
      <c r="T2931" s="144"/>
      <c r="U2931" s="129"/>
      <c r="V2931" s="129"/>
    </row>
    <row r="2932" spans="1:22" x14ac:dyDescent="0.2">
      <c r="A2932" s="144"/>
      <c r="B2932" s="145"/>
      <c r="C2932" s="129"/>
      <c r="D2932" s="129"/>
      <c r="E2932" s="129"/>
      <c r="F2932" s="129"/>
      <c r="G2932" s="144"/>
      <c r="H2932" s="129"/>
      <c r="I2932" s="144"/>
      <c r="J2932" s="144"/>
      <c r="K2932" s="144"/>
      <c r="L2932" s="146"/>
      <c r="M2932" s="142"/>
      <c r="N2932" s="144"/>
      <c r="O2932" s="142"/>
      <c r="P2932" s="142"/>
      <c r="Q2932" s="142"/>
      <c r="R2932" s="129"/>
      <c r="S2932" s="143"/>
      <c r="T2932" s="144"/>
      <c r="U2932" s="129"/>
      <c r="V2932" s="129"/>
    </row>
    <row r="2933" spans="1:22" x14ac:dyDescent="0.2">
      <c r="A2933" s="144"/>
      <c r="B2933" s="145"/>
      <c r="C2933" s="129"/>
      <c r="D2933" s="129"/>
      <c r="E2933" s="129"/>
      <c r="F2933" s="129"/>
      <c r="G2933" s="144"/>
      <c r="H2933" s="129"/>
      <c r="I2933" s="144"/>
      <c r="J2933" s="144"/>
      <c r="K2933" s="144"/>
      <c r="L2933" s="146"/>
      <c r="M2933" s="142"/>
      <c r="N2933" s="144"/>
      <c r="O2933" s="142"/>
      <c r="P2933" s="142"/>
      <c r="Q2933" s="142"/>
      <c r="R2933" s="129"/>
      <c r="S2933" s="143"/>
      <c r="T2933" s="144"/>
      <c r="U2933" s="129"/>
      <c r="V2933" s="129"/>
    </row>
    <row r="2934" spans="1:22" x14ac:dyDescent="0.2">
      <c r="A2934" s="144"/>
      <c r="B2934" s="145"/>
      <c r="C2934" s="129"/>
      <c r="D2934" s="129"/>
      <c r="E2934" s="129"/>
      <c r="F2934" s="129"/>
      <c r="G2934" s="144"/>
      <c r="H2934" s="129"/>
      <c r="I2934" s="144"/>
      <c r="J2934" s="144"/>
      <c r="K2934" s="144"/>
      <c r="L2934" s="146"/>
      <c r="M2934" s="142"/>
      <c r="N2934" s="144"/>
      <c r="O2934" s="142"/>
      <c r="P2934" s="142"/>
      <c r="Q2934" s="142"/>
      <c r="R2934" s="129"/>
      <c r="S2934" s="143"/>
      <c r="T2934" s="144"/>
      <c r="U2934" s="129"/>
      <c r="V2934" s="129"/>
    </row>
    <row r="2935" spans="1:22" x14ac:dyDescent="0.2">
      <c r="A2935" s="144"/>
      <c r="B2935" s="145"/>
      <c r="C2935" s="129"/>
      <c r="D2935" s="129"/>
      <c r="E2935" s="129"/>
      <c r="F2935" s="129"/>
      <c r="G2935" s="144"/>
      <c r="H2935" s="129"/>
      <c r="I2935" s="144"/>
      <c r="J2935" s="144"/>
      <c r="K2935" s="144"/>
      <c r="L2935" s="146"/>
      <c r="M2935" s="142"/>
      <c r="N2935" s="144"/>
      <c r="O2935" s="142"/>
      <c r="P2935" s="142"/>
      <c r="Q2935" s="142"/>
      <c r="R2935" s="129"/>
      <c r="S2935" s="143"/>
      <c r="T2935" s="144"/>
      <c r="U2935" s="129"/>
      <c r="V2935" s="129"/>
    </row>
    <row r="2936" spans="1:22" x14ac:dyDescent="0.2">
      <c r="A2936" s="144"/>
      <c r="B2936" s="145"/>
      <c r="C2936" s="129"/>
      <c r="D2936" s="129"/>
      <c r="E2936" s="129"/>
      <c r="F2936" s="129"/>
      <c r="G2936" s="144"/>
      <c r="H2936" s="129"/>
      <c r="I2936" s="144"/>
      <c r="J2936" s="144"/>
      <c r="K2936" s="144"/>
      <c r="L2936" s="146"/>
      <c r="M2936" s="142"/>
      <c r="N2936" s="144"/>
      <c r="O2936" s="142"/>
      <c r="P2936" s="142"/>
      <c r="Q2936" s="142"/>
      <c r="R2936" s="129"/>
      <c r="S2936" s="143"/>
      <c r="T2936" s="144"/>
      <c r="U2936" s="129"/>
      <c r="V2936" s="129"/>
    </row>
    <row r="2937" spans="1:22" x14ac:dyDescent="0.2">
      <c r="A2937" s="144"/>
      <c r="B2937" s="145"/>
      <c r="C2937" s="129"/>
      <c r="D2937" s="129"/>
      <c r="E2937" s="129"/>
      <c r="F2937" s="129"/>
      <c r="G2937" s="144"/>
      <c r="H2937" s="129"/>
      <c r="I2937" s="144"/>
      <c r="J2937" s="144"/>
      <c r="K2937" s="144"/>
      <c r="L2937" s="146"/>
      <c r="M2937" s="142"/>
      <c r="N2937" s="144"/>
      <c r="O2937" s="142"/>
      <c r="P2937" s="142"/>
      <c r="Q2937" s="142"/>
      <c r="R2937" s="129"/>
      <c r="S2937" s="143"/>
      <c r="T2937" s="144"/>
      <c r="U2937" s="129"/>
      <c r="V2937" s="129"/>
    </row>
    <row r="2938" spans="1:22" x14ac:dyDescent="0.2">
      <c r="A2938" s="144"/>
      <c r="B2938" s="145"/>
      <c r="C2938" s="129"/>
      <c r="D2938" s="129"/>
      <c r="E2938" s="129"/>
      <c r="F2938" s="129"/>
      <c r="G2938" s="144"/>
      <c r="H2938" s="129"/>
      <c r="I2938" s="144"/>
      <c r="J2938" s="144"/>
      <c r="K2938" s="144"/>
      <c r="L2938" s="146"/>
      <c r="M2938" s="142"/>
      <c r="N2938" s="144"/>
      <c r="O2938" s="142"/>
      <c r="P2938" s="142"/>
      <c r="Q2938" s="142"/>
      <c r="R2938" s="129"/>
      <c r="S2938" s="143"/>
      <c r="T2938" s="144"/>
      <c r="U2938" s="129"/>
      <c r="V2938" s="129"/>
    </row>
    <row r="2939" spans="1:22" x14ac:dyDescent="0.2">
      <c r="A2939" s="144"/>
      <c r="B2939" s="145"/>
      <c r="C2939" s="129"/>
      <c r="D2939" s="129"/>
      <c r="E2939" s="129"/>
      <c r="F2939" s="129"/>
      <c r="G2939" s="144"/>
      <c r="H2939" s="129"/>
      <c r="I2939" s="144"/>
      <c r="J2939" s="144"/>
      <c r="K2939" s="144"/>
      <c r="L2939" s="146"/>
      <c r="M2939" s="142"/>
      <c r="N2939" s="144"/>
      <c r="O2939" s="142"/>
      <c r="P2939" s="142"/>
      <c r="Q2939" s="142"/>
      <c r="R2939" s="129"/>
      <c r="S2939" s="143"/>
      <c r="T2939" s="144"/>
      <c r="U2939" s="129"/>
      <c r="V2939" s="129"/>
    </row>
    <row r="2940" spans="1:22" x14ac:dyDescent="0.2">
      <c r="A2940" s="144"/>
      <c r="B2940" s="145"/>
      <c r="C2940" s="129"/>
      <c r="D2940" s="129"/>
      <c r="E2940" s="129"/>
      <c r="F2940" s="129"/>
      <c r="G2940" s="144"/>
      <c r="H2940" s="129"/>
      <c r="I2940" s="144"/>
      <c r="J2940" s="144"/>
      <c r="K2940" s="144"/>
      <c r="L2940" s="146"/>
      <c r="M2940" s="142"/>
      <c r="N2940" s="144"/>
      <c r="O2940" s="142"/>
      <c r="P2940" s="142"/>
      <c r="Q2940" s="142"/>
      <c r="R2940" s="129"/>
      <c r="S2940" s="143"/>
      <c r="T2940" s="144"/>
      <c r="U2940" s="129"/>
      <c r="V2940" s="129"/>
    </row>
    <row r="2941" spans="1:22" x14ac:dyDescent="0.2">
      <c r="A2941" s="144"/>
      <c r="B2941" s="145"/>
      <c r="C2941" s="129"/>
      <c r="D2941" s="129"/>
      <c r="E2941" s="129"/>
      <c r="F2941" s="129"/>
      <c r="G2941" s="144"/>
      <c r="H2941" s="129"/>
      <c r="I2941" s="144"/>
      <c r="J2941" s="144"/>
      <c r="K2941" s="144"/>
      <c r="L2941" s="146"/>
      <c r="M2941" s="142"/>
      <c r="N2941" s="144"/>
      <c r="O2941" s="142"/>
      <c r="P2941" s="142"/>
      <c r="Q2941" s="142"/>
      <c r="R2941" s="129"/>
      <c r="S2941" s="143"/>
      <c r="T2941" s="144"/>
      <c r="U2941" s="129"/>
      <c r="V2941" s="129"/>
    </row>
    <row r="2942" spans="1:22" x14ac:dyDescent="0.2">
      <c r="A2942" s="144"/>
      <c r="B2942" s="145"/>
      <c r="C2942" s="129"/>
      <c r="D2942" s="129"/>
      <c r="E2942" s="129"/>
      <c r="F2942" s="129"/>
      <c r="G2942" s="144"/>
      <c r="H2942" s="129"/>
      <c r="I2942" s="144"/>
      <c r="J2942" s="144"/>
      <c r="K2942" s="144"/>
      <c r="L2942" s="146"/>
      <c r="M2942" s="142"/>
      <c r="N2942" s="144"/>
      <c r="O2942" s="142"/>
      <c r="P2942" s="142"/>
      <c r="Q2942" s="142"/>
      <c r="R2942" s="129"/>
      <c r="S2942" s="143"/>
      <c r="T2942" s="144"/>
      <c r="U2942" s="129"/>
      <c r="V2942" s="129"/>
    </row>
    <row r="2943" spans="1:22" x14ac:dyDescent="0.2">
      <c r="A2943" s="144"/>
      <c r="B2943" s="145"/>
      <c r="C2943" s="129"/>
      <c r="D2943" s="129"/>
      <c r="E2943" s="129"/>
      <c r="F2943" s="129"/>
      <c r="G2943" s="144"/>
      <c r="H2943" s="129"/>
      <c r="I2943" s="144"/>
      <c r="J2943" s="144"/>
      <c r="K2943" s="144"/>
      <c r="L2943" s="146"/>
      <c r="M2943" s="142"/>
      <c r="N2943" s="144"/>
      <c r="O2943" s="142"/>
      <c r="P2943" s="142"/>
      <c r="Q2943" s="142"/>
      <c r="R2943" s="129"/>
      <c r="S2943" s="143"/>
      <c r="T2943" s="144"/>
      <c r="U2943" s="129"/>
      <c r="V2943" s="129"/>
    </row>
    <row r="2944" spans="1:22" x14ac:dyDescent="0.2">
      <c r="A2944" s="144"/>
      <c r="B2944" s="145"/>
      <c r="C2944" s="129"/>
      <c r="D2944" s="129"/>
      <c r="E2944" s="129"/>
      <c r="F2944" s="129"/>
      <c r="G2944" s="144"/>
      <c r="H2944" s="129"/>
      <c r="I2944" s="144"/>
      <c r="J2944" s="144"/>
      <c r="K2944" s="144"/>
      <c r="L2944" s="146"/>
      <c r="M2944" s="142"/>
      <c r="N2944" s="144"/>
      <c r="O2944" s="142"/>
      <c r="P2944" s="142"/>
      <c r="Q2944" s="142"/>
      <c r="R2944" s="129"/>
      <c r="S2944" s="143"/>
      <c r="T2944" s="144"/>
      <c r="U2944" s="129"/>
      <c r="V2944" s="129"/>
    </row>
    <row r="2945" spans="1:22" x14ac:dyDescent="0.2">
      <c r="A2945" s="144"/>
      <c r="B2945" s="145"/>
      <c r="C2945" s="129"/>
      <c r="D2945" s="129"/>
      <c r="E2945" s="129"/>
      <c r="F2945" s="129"/>
      <c r="G2945" s="144"/>
      <c r="H2945" s="129"/>
      <c r="I2945" s="144"/>
      <c r="J2945" s="144"/>
      <c r="K2945" s="144"/>
      <c r="L2945" s="146"/>
      <c r="M2945" s="142"/>
      <c r="N2945" s="144"/>
      <c r="O2945" s="142"/>
      <c r="P2945" s="142"/>
      <c r="Q2945" s="142"/>
      <c r="R2945" s="129"/>
      <c r="S2945" s="143"/>
      <c r="T2945" s="144"/>
      <c r="U2945" s="129"/>
      <c r="V2945" s="129"/>
    </row>
    <row r="2946" spans="1:22" x14ac:dyDescent="0.2">
      <c r="A2946" s="144"/>
      <c r="B2946" s="145"/>
      <c r="C2946" s="129"/>
      <c r="D2946" s="129"/>
      <c r="E2946" s="129"/>
      <c r="F2946" s="129"/>
      <c r="G2946" s="144"/>
      <c r="H2946" s="129"/>
      <c r="I2946" s="144"/>
      <c r="J2946" s="144"/>
      <c r="K2946" s="144"/>
      <c r="L2946" s="146"/>
      <c r="M2946" s="142"/>
      <c r="N2946" s="144"/>
      <c r="O2946" s="142"/>
      <c r="P2946" s="142"/>
      <c r="Q2946" s="142"/>
      <c r="R2946" s="129"/>
      <c r="S2946" s="143"/>
      <c r="T2946" s="144"/>
      <c r="U2946" s="129"/>
      <c r="V2946" s="129"/>
    </row>
    <row r="2947" spans="1:22" x14ac:dyDescent="0.2">
      <c r="A2947" s="144"/>
      <c r="B2947" s="145"/>
      <c r="C2947" s="129"/>
      <c r="D2947" s="129"/>
      <c r="E2947" s="129"/>
      <c r="F2947" s="129"/>
      <c r="G2947" s="144"/>
      <c r="H2947" s="129"/>
      <c r="I2947" s="144"/>
      <c r="J2947" s="144"/>
      <c r="K2947" s="144"/>
      <c r="L2947" s="146"/>
      <c r="M2947" s="142"/>
      <c r="N2947" s="144"/>
      <c r="O2947" s="142"/>
      <c r="P2947" s="142"/>
      <c r="Q2947" s="142"/>
      <c r="R2947" s="129"/>
      <c r="S2947" s="143"/>
      <c r="T2947" s="144"/>
      <c r="U2947" s="129"/>
      <c r="V2947" s="129"/>
    </row>
    <row r="2948" spans="1:22" x14ac:dyDescent="0.2">
      <c r="A2948" s="144"/>
      <c r="B2948" s="145"/>
      <c r="C2948" s="129"/>
      <c r="D2948" s="129"/>
      <c r="E2948" s="129"/>
      <c r="F2948" s="129"/>
      <c r="G2948" s="144"/>
      <c r="H2948" s="129"/>
      <c r="I2948" s="144"/>
      <c r="J2948" s="144"/>
      <c r="K2948" s="144"/>
      <c r="L2948" s="146"/>
      <c r="M2948" s="142"/>
      <c r="N2948" s="144"/>
      <c r="O2948" s="142"/>
      <c r="P2948" s="142"/>
      <c r="Q2948" s="142"/>
      <c r="R2948" s="129"/>
      <c r="S2948" s="143"/>
      <c r="T2948" s="144"/>
      <c r="U2948" s="129"/>
      <c r="V2948" s="129"/>
    </row>
    <row r="2949" spans="1:22" x14ac:dyDescent="0.2">
      <c r="A2949" s="144"/>
      <c r="B2949" s="145"/>
      <c r="C2949" s="129"/>
      <c r="D2949" s="129"/>
      <c r="E2949" s="129"/>
      <c r="F2949" s="129"/>
      <c r="G2949" s="144"/>
      <c r="H2949" s="129"/>
      <c r="I2949" s="144"/>
      <c r="J2949" s="144"/>
      <c r="K2949" s="144"/>
      <c r="L2949" s="146"/>
      <c r="M2949" s="142"/>
      <c r="N2949" s="144"/>
      <c r="O2949" s="142"/>
      <c r="P2949" s="142"/>
      <c r="Q2949" s="142"/>
      <c r="R2949" s="129"/>
      <c r="S2949" s="143"/>
      <c r="T2949" s="144"/>
      <c r="U2949" s="129"/>
      <c r="V2949" s="129"/>
    </row>
    <row r="2950" spans="1:22" x14ac:dyDescent="0.2">
      <c r="A2950" s="144"/>
      <c r="B2950" s="145"/>
      <c r="C2950" s="129"/>
      <c r="D2950" s="129"/>
      <c r="E2950" s="129"/>
      <c r="F2950" s="129"/>
      <c r="G2950" s="144"/>
      <c r="H2950" s="129"/>
      <c r="I2950" s="144"/>
      <c r="J2950" s="144"/>
      <c r="K2950" s="144"/>
      <c r="L2950" s="146"/>
      <c r="M2950" s="142"/>
      <c r="N2950" s="144"/>
      <c r="O2950" s="142"/>
      <c r="P2950" s="142"/>
      <c r="Q2950" s="142"/>
      <c r="R2950" s="129"/>
      <c r="S2950" s="143"/>
      <c r="T2950" s="144"/>
      <c r="U2950" s="129"/>
      <c r="V2950" s="129"/>
    </row>
    <row r="2951" spans="1:22" x14ac:dyDescent="0.2">
      <c r="A2951" s="144"/>
      <c r="B2951" s="145"/>
      <c r="C2951" s="129"/>
      <c r="D2951" s="129"/>
      <c r="E2951" s="129"/>
      <c r="F2951" s="129"/>
      <c r="G2951" s="144"/>
      <c r="H2951" s="129"/>
      <c r="I2951" s="144"/>
      <c r="J2951" s="144"/>
      <c r="K2951" s="144"/>
      <c r="L2951" s="146"/>
      <c r="M2951" s="142"/>
      <c r="N2951" s="144"/>
      <c r="O2951" s="142"/>
      <c r="P2951" s="142"/>
      <c r="Q2951" s="142"/>
      <c r="R2951" s="129"/>
      <c r="S2951" s="143"/>
      <c r="T2951" s="144"/>
      <c r="U2951" s="129"/>
      <c r="V2951" s="129"/>
    </row>
    <row r="2952" spans="1:22" x14ac:dyDescent="0.2">
      <c r="A2952" s="144"/>
      <c r="B2952" s="145"/>
      <c r="C2952" s="129"/>
      <c r="D2952" s="129"/>
      <c r="E2952" s="129"/>
      <c r="F2952" s="129"/>
      <c r="G2952" s="144"/>
      <c r="H2952" s="129"/>
      <c r="I2952" s="144"/>
      <c r="J2952" s="144"/>
      <c r="K2952" s="144"/>
      <c r="L2952" s="146"/>
      <c r="M2952" s="142"/>
      <c r="N2952" s="144"/>
      <c r="O2952" s="142"/>
      <c r="P2952" s="142"/>
      <c r="Q2952" s="142"/>
      <c r="R2952" s="129"/>
      <c r="S2952" s="143"/>
      <c r="T2952" s="144"/>
      <c r="U2952" s="129"/>
      <c r="V2952" s="129"/>
    </row>
    <row r="2953" spans="1:22" x14ac:dyDescent="0.2">
      <c r="A2953" s="144"/>
      <c r="B2953" s="145"/>
      <c r="C2953" s="129"/>
      <c r="D2953" s="129"/>
      <c r="E2953" s="129"/>
      <c r="F2953" s="129"/>
      <c r="G2953" s="144"/>
      <c r="H2953" s="129"/>
      <c r="I2953" s="144"/>
      <c r="J2953" s="144"/>
      <c r="K2953" s="144"/>
      <c r="L2953" s="146"/>
      <c r="M2953" s="142"/>
      <c r="N2953" s="144"/>
      <c r="O2953" s="142"/>
      <c r="P2953" s="142"/>
      <c r="Q2953" s="142"/>
      <c r="R2953" s="129"/>
      <c r="S2953" s="143"/>
      <c r="T2953" s="144"/>
      <c r="U2953" s="129"/>
      <c r="V2953" s="129"/>
    </row>
    <row r="2954" spans="1:22" x14ac:dyDescent="0.2">
      <c r="A2954" s="144"/>
      <c r="B2954" s="145"/>
      <c r="C2954" s="129"/>
      <c r="D2954" s="129"/>
      <c r="E2954" s="129"/>
      <c r="F2954" s="129"/>
      <c r="G2954" s="144"/>
      <c r="H2954" s="129"/>
      <c r="I2954" s="144"/>
      <c r="J2954" s="144"/>
      <c r="K2954" s="144"/>
      <c r="L2954" s="146"/>
      <c r="M2954" s="142"/>
      <c r="N2954" s="144"/>
      <c r="O2954" s="142"/>
      <c r="P2954" s="142"/>
      <c r="Q2954" s="142"/>
      <c r="R2954" s="129"/>
      <c r="S2954" s="143"/>
      <c r="T2954" s="144"/>
      <c r="U2954" s="129"/>
      <c r="V2954" s="129"/>
    </row>
    <row r="2955" spans="1:22" x14ac:dyDescent="0.2">
      <c r="A2955" s="144"/>
      <c r="B2955" s="145"/>
      <c r="C2955" s="129"/>
      <c r="D2955" s="129"/>
      <c r="E2955" s="129"/>
      <c r="F2955" s="129"/>
      <c r="G2955" s="144"/>
      <c r="H2955" s="129"/>
      <c r="I2955" s="144"/>
      <c r="J2955" s="144"/>
      <c r="K2955" s="144"/>
      <c r="L2955" s="146"/>
      <c r="M2955" s="142"/>
      <c r="N2955" s="144"/>
      <c r="O2955" s="142"/>
      <c r="P2955" s="142"/>
      <c r="Q2955" s="142"/>
      <c r="R2955" s="129"/>
      <c r="S2955" s="143"/>
      <c r="T2955" s="144"/>
      <c r="U2955" s="129"/>
      <c r="V2955" s="129"/>
    </row>
    <row r="2956" spans="1:22" x14ac:dyDescent="0.2">
      <c r="A2956" s="144"/>
      <c r="B2956" s="145"/>
      <c r="C2956" s="129"/>
      <c r="D2956" s="129"/>
      <c r="E2956" s="129"/>
      <c r="F2956" s="129"/>
      <c r="G2956" s="144"/>
      <c r="H2956" s="129"/>
      <c r="I2956" s="144"/>
      <c r="J2956" s="144"/>
      <c r="K2956" s="144"/>
      <c r="L2956" s="146"/>
      <c r="M2956" s="142"/>
      <c r="N2956" s="144"/>
      <c r="O2956" s="142"/>
      <c r="P2956" s="142"/>
      <c r="Q2956" s="142"/>
      <c r="R2956" s="129"/>
      <c r="S2956" s="143"/>
      <c r="T2956" s="144"/>
      <c r="U2956" s="129"/>
      <c r="V2956" s="129"/>
    </row>
    <row r="2957" spans="1:22" x14ac:dyDescent="0.2">
      <c r="A2957" s="144"/>
      <c r="B2957" s="145"/>
      <c r="C2957" s="129"/>
      <c r="D2957" s="129"/>
      <c r="E2957" s="129"/>
      <c r="F2957" s="129"/>
      <c r="G2957" s="144"/>
      <c r="H2957" s="129"/>
      <c r="I2957" s="144"/>
      <c r="J2957" s="144"/>
      <c r="K2957" s="144"/>
      <c r="L2957" s="146"/>
      <c r="M2957" s="142"/>
      <c r="N2957" s="144"/>
      <c r="O2957" s="142"/>
      <c r="P2957" s="142"/>
      <c r="Q2957" s="142"/>
      <c r="R2957" s="129"/>
      <c r="S2957" s="143"/>
      <c r="T2957" s="144"/>
      <c r="U2957" s="129"/>
      <c r="V2957" s="129"/>
    </row>
    <row r="2958" spans="1:22" x14ac:dyDescent="0.2">
      <c r="A2958" s="144"/>
      <c r="B2958" s="145"/>
      <c r="C2958" s="129"/>
      <c r="D2958" s="129"/>
      <c r="E2958" s="129"/>
      <c r="F2958" s="129"/>
      <c r="G2958" s="144"/>
      <c r="H2958" s="129"/>
      <c r="I2958" s="144"/>
      <c r="J2958" s="144"/>
      <c r="K2958" s="144"/>
      <c r="L2958" s="146"/>
      <c r="M2958" s="142"/>
      <c r="N2958" s="144"/>
      <c r="O2958" s="142"/>
      <c r="P2958" s="142"/>
      <c r="Q2958" s="142"/>
      <c r="R2958" s="129"/>
      <c r="S2958" s="143"/>
      <c r="T2958" s="144"/>
      <c r="U2958" s="129"/>
      <c r="V2958" s="129"/>
    </row>
    <row r="2959" spans="1:22" x14ac:dyDescent="0.2">
      <c r="A2959" s="144"/>
      <c r="B2959" s="145"/>
      <c r="C2959" s="129"/>
      <c r="D2959" s="129"/>
      <c r="E2959" s="129"/>
      <c r="F2959" s="129"/>
      <c r="G2959" s="144"/>
      <c r="H2959" s="129"/>
      <c r="I2959" s="144"/>
      <c r="J2959" s="144"/>
      <c r="K2959" s="144"/>
      <c r="L2959" s="146"/>
      <c r="M2959" s="142"/>
      <c r="N2959" s="144"/>
      <c r="O2959" s="142"/>
      <c r="P2959" s="142"/>
      <c r="Q2959" s="142"/>
      <c r="R2959" s="129"/>
      <c r="S2959" s="143"/>
      <c r="T2959" s="144"/>
      <c r="U2959" s="129"/>
      <c r="V2959" s="129"/>
    </row>
    <row r="2960" spans="1:22" x14ac:dyDescent="0.2">
      <c r="A2960" s="144"/>
      <c r="B2960" s="145"/>
      <c r="C2960" s="129"/>
      <c r="D2960" s="129"/>
      <c r="E2960" s="129"/>
      <c r="F2960" s="129"/>
      <c r="G2960" s="144"/>
      <c r="H2960" s="129"/>
      <c r="I2960" s="144"/>
      <c r="J2960" s="144"/>
      <c r="K2960" s="144"/>
      <c r="L2960" s="146"/>
      <c r="M2960" s="142"/>
      <c r="N2960" s="144"/>
      <c r="O2960" s="142"/>
      <c r="P2960" s="142"/>
      <c r="Q2960" s="142"/>
      <c r="R2960" s="129"/>
      <c r="S2960" s="143"/>
      <c r="T2960" s="144"/>
      <c r="U2960" s="129"/>
      <c r="V2960" s="129"/>
    </row>
    <row r="2961" spans="1:22" x14ac:dyDescent="0.2">
      <c r="A2961" s="144"/>
      <c r="B2961" s="145"/>
      <c r="C2961" s="129"/>
      <c r="D2961" s="129"/>
      <c r="E2961" s="129"/>
      <c r="F2961" s="129"/>
      <c r="G2961" s="144"/>
      <c r="H2961" s="129"/>
      <c r="I2961" s="144"/>
      <c r="J2961" s="144"/>
      <c r="K2961" s="144"/>
      <c r="L2961" s="146"/>
      <c r="M2961" s="142"/>
      <c r="N2961" s="144"/>
      <c r="O2961" s="142"/>
      <c r="P2961" s="142"/>
      <c r="Q2961" s="142"/>
      <c r="R2961" s="129"/>
      <c r="S2961" s="143"/>
      <c r="T2961" s="144"/>
      <c r="U2961" s="129"/>
      <c r="V2961" s="129"/>
    </row>
    <row r="2962" spans="1:22" x14ac:dyDescent="0.2">
      <c r="A2962" s="144"/>
      <c r="B2962" s="145"/>
      <c r="C2962" s="129"/>
      <c r="D2962" s="129"/>
      <c r="E2962" s="129"/>
      <c r="F2962" s="129"/>
      <c r="G2962" s="144"/>
      <c r="H2962" s="129"/>
      <c r="I2962" s="144"/>
      <c r="J2962" s="144"/>
      <c r="K2962" s="144"/>
      <c r="L2962" s="146"/>
      <c r="M2962" s="142"/>
      <c r="N2962" s="144"/>
      <c r="O2962" s="142"/>
      <c r="P2962" s="142"/>
      <c r="Q2962" s="142"/>
      <c r="R2962" s="129"/>
      <c r="S2962" s="143"/>
      <c r="T2962" s="144"/>
      <c r="U2962" s="129"/>
      <c r="V2962" s="129"/>
    </row>
    <row r="2963" spans="1:22" x14ac:dyDescent="0.2">
      <c r="A2963" s="144"/>
      <c r="B2963" s="145"/>
      <c r="C2963" s="129"/>
      <c r="D2963" s="129"/>
      <c r="E2963" s="129"/>
      <c r="F2963" s="129"/>
      <c r="G2963" s="144"/>
      <c r="H2963" s="129"/>
      <c r="I2963" s="144"/>
      <c r="J2963" s="144"/>
      <c r="K2963" s="144"/>
      <c r="L2963" s="146"/>
      <c r="M2963" s="142"/>
      <c r="N2963" s="144"/>
      <c r="O2963" s="142"/>
      <c r="P2963" s="142"/>
      <c r="Q2963" s="142"/>
      <c r="R2963" s="129"/>
      <c r="S2963" s="143"/>
      <c r="T2963" s="144"/>
      <c r="U2963" s="129"/>
      <c r="V2963" s="129"/>
    </row>
    <row r="2964" spans="1:22" x14ac:dyDescent="0.2">
      <c r="A2964" s="144"/>
      <c r="B2964" s="145"/>
      <c r="C2964" s="129"/>
      <c r="D2964" s="129"/>
      <c r="E2964" s="129"/>
      <c r="F2964" s="129"/>
      <c r="G2964" s="144"/>
      <c r="H2964" s="129"/>
      <c r="I2964" s="144"/>
      <c r="J2964" s="144"/>
      <c r="K2964" s="144"/>
      <c r="L2964" s="146"/>
      <c r="M2964" s="142"/>
      <c r="N2964" s="144"/>
      <c r="O2964" s="142"/>
      <c r="P2964" s="142"/>
      <c r="Q2964" s="142"/>
      <c r="R2964" s="129"/>
      <c r="S2964" s="143"/>
      <c r="T2964" s="144"/>
      <c r="U2964" s="129"/>
      <c r="V2964" s="129"/>
    </row>
    <row r="2965" spans="1:22" x14ac:dyDescent="0.2">
      <c r="A2965" s="144"/>
      <c r="B2965" s="145"/>
      <c r="C2965" s="129"/>
      <c r="D2965" s="129"/>
      <c r="E2965" s="129"/>
      <c r="F2965" s="129"/>
      <c r="G2965" s="144"/>
      <c r="H2965" s="129"/>
      <c r="I2965" s="144"/>
      <c r="J2965" s="144"/>
      <c r="K2965" s="144"/>
      <c r="L2965" s="146"/>
      <c r="M2965" s="142"/>
      <c r="N2965" s="144"/>
      <c r="O2965" s="142"/>
      <c r="P2965" s="142"/>
      <c r="Q2965" s="142"/>
      <c r="R2965" s="129"/>
      <c r="S2965" s="143"/>
      <c r="T2965" s="144"/>
      <c r="U2965" s="129"/>
      <c r="V2965" s="129"/>
    </row>
    <row r="2966" spans="1:22" x14ac:dyDescent="0.2">
      <c r="A2966" s="144"/>
      <c r="B2966" s="145"/>
      <c r="C2966" s="129"/>
      <c r="D2966" s="129"/>
      <c r="E2966" s="129"/>
      <c r="F2966" s="129"/>
      <c r="G2966" s="144"/>
      <c r="H2966" s="129"/>
      <c r="I2966" s="144"/>
      <c r="J2966" s="144"/>
      <c r="K2966" s="144"/>
      <c r="L2966" s="146"/>
      <c r="M2966" s="142"/>
      <c r="N2966" s="144"/>
      <c r="O2966" s="142"/>
      <c r="P2966" s="142"/>
      <c r="Q2966" s="142"/>
      <c r="R2966" s="129"/>
      <c r="S2966" s="143"/>
      <c r="T2966" s="144"/>
      <c r="U2966" s="129"/>
      <c r="V2966" s="129"/>
    </row>
    <row r="2967" spans="1:22" x14ac:dyDescent="0.2">
      <c r="A2967" s="144"/>
      <c r="B2967" s="145"/>
      <c r="C2967" s="129"/>
      <c r="D2967" s="129"/>
      <c r="E2967" s="129"/>
      <c r="F2967" s="129"/>
      <c r="G2967" s="144"/>
      <c r="H2967" s="129"/>
      <c r="I2967" s="144"/>
      <c r="J2967" s="144"/>
      <c r="K2967" s="144"/>
      <c r="L2967" s="146"/>
      <c r="M2967" s="142"/>
      <c r="N2967" s="144"/>
      <c r="O2967" s="142"/>
      <c r="P2967" s="142"/>
      <c r="Q2967" s="142"/>
      <c r="R2967" s="129"/>
      <c r="S2967" s="143"/>
      <c r="T2967" s="144"/>
      <c r="U2967" s="129"/>
      <c r="V2967" s="129"/>
    </row>
    <row r="2968" spans="1:22" x14ac:dyDescent="0.2">
      <c r="A2968" s="144"/>
      <c r="B2968" s="145"/>
      <c r="C2968" s="129"/>
      <c r="D2968" s="129"/>
      <c r="E2968" s="129"/>
      <c r="F2968" s="129"/>
      <c r="G2968" s="144"/>
      <c r="H2968" s="129"/>
      <c r="I2968" s="144"/>
      <c r="J2968" s="144"/>
      <c r="K2968" s="144"/>
      <c r="L2968" s="146"/>
      <c r="M2968" s="142"/>
      <c r="N2968" s="144"/>
      <c r="O2968" s="142"/>
      <c r="P2968" s="142"/>
      <c r="Q2968" s="142"/>
      <c r="R2968" s="129"/>
      <c r="S2968" s="143"/>
      <c r="T2968" s="144"/>
      <c r="U2968" s="129"/>
      <c r="V2968" s="129"/>
    </row>
    <row r="2969" spans="1:22" x14ac:dyDescent="0.2">
      <c r="A2969" s="144"/>
      <c r="B2969" s="145"/>
      <c r="C2969" s="129"/>
      <c r="D2969" s="129"/>
      <c r="E2969" s="129"/>
      <c r="F2969" s="129"/>
      <c r="G2969" s="144"/>
      <c r="H2969" s="129"/>
      <c r="I2969" s="144"/>
      <c r="J2969" s="144"/>
      <c r="K2969" s="144"/>
      <c r="L2969" s="146"/>
      <c r="M2969" s="142"/>
      <c r="N2969" s="144"/>
      <c r="O2969" s="142"/>
      <c r="P2969" s="142"/>
      <c r="Q2969" s="142"/>
      <c r="R2969" s="129"/>
      <c r="S2969" s="143"/>
      <c r="T2969" s="144"/>
      <c r="U2969" s="129"/>
      <c r="V2969" s="129"/>
    </row>
    <row r="2970" spans="1:22" x14ac:dyDescent="0.2">
      <c r="A2970" s="144"/>
      <c r="B2970" s="145"/>
      <c r="C2970" s="129"/>
      <c r="D2970" s="129"/>
      <c r="E2970" s="129"/>
      <c r="F2970" s="129"/>
      <c r="G2970" s="144"/>
      <c r="H2970" s="129"/>
      <c r="I2970" s="144"/>
      <c r="J2970" s="144"/>
      <c r="K2970" s="144"/>
      <c r="L2970" s="146"/>
      <c r="M2970" s="142"/>
      <c r="N2970" s="144"/>
      <c r="O2970" s="142"/>
      <c r="P2970" s="142"/>
      <c r="Q2970" s="142"/>
      <c r="R2970" s="129"/>
      <c r="S2970" s="143"/>
      <c r="T2970" s="144"/>
      <c r="U2970" s="129"/>
      <c r="V2970" s="129"/>
    </row>
    <row r="2971" spans="1:22" x14ac:dyDescent="0.2">
      <c r="A2971" s="144"/>
      <c r="B2971" s="145"/>
      <c r="C2971" s="129"/>
      <c r="D2971" s="129"/>
      <c r="E2971" s="129"/>
      <c r="F2971" s="129"/>
      <c r="G2971" s="144"/>
      <c r="H2971" s="129"/>
      <c r="I2971" s="144"/>
      <c r="J2971" s="144"/>
      <c r="K2971" s="144"/>
      <c r="L2971" s="146"/>
      <c r="M2971" s="142"/>
      <c r="N2971" s="144"/>
      <c r="O2971" s="142"/>
      <c r="P2971" s="142"/>
      <c r="Q2971" s="142"/>
      <c r="R2971" s="129"/>
      <c r="S2971" s="143"/>
      <c r="T2971" s="144"/>
      <c r="U2971" s="129"/>
      <c r="V2971" s="129"/>
    </row>
    <row r="2972" spans="1:22" x14ac:dyDescent="0.2">
      <c r="A2972" s="144"/>
      <c r="B2972" s="145"/>
      <c r="C2972" s="129"/>
      <c r="D2972" s="129"/>
      <c r="E2972" s="129"/>
      <c r="F2972" s="129"/>
      <c r="G2972" s="144"/>
      <c r="H2972" s="129"/>
      <c r="I2972" s="144"/>
      <c r="J2972" s="144"/>
      <c r="K2972" s="144"/>
      <c r="L2972" s="146"/>
      <c r="M2972" s="142"/>
      <c r="N2972" s="144"/>
      <c r="O2972" s="142"/>
      <c r="P2972" s="142"/>
      <c r="Q2972" s="142"/>
      <c r="R2972" s="129"/>
      <c r="S2972" s="143"/>
      <c r="T2972" s="144"/>
      <c r="U2972" s="129"/>
      <c r="V2972" s="129"/>
    </row>
    <row r="2973" spans="1:22" x14ac:dyDescent="0.2">
      <c r="A2973" s="144"/>
      <c r="B2973" s="145"/>
      <c r="C2973" s="129"/>
      <c r="D2973" s="129"/>
      <c r="E2973" s="129"/>
      <c r="F2973" s="129"/>
      <c r="G2973" s="144"/>
      <c r="H2973" s="129"/>
      <c r="I2973" s="144"/>
      <c r="J2973" s="144"/>
      <c r="K2973" s="144"/>
      <c r="L2973" s="146"/>
      <c r="M2973" s="142"/>
      <c r="N2973" s="144"/>
      <c r="O2973" s="142"/>
      <c r="P2973" s="142"/>
      <c r="Q2973" s="142"/>
      <c r="R2973" s="129"/>
      <c r="S2973" s="143"/>
      <c r="T2973" s="144"/>
      <c r="U2973" s="129"/>
      <c r="V2973" s="129"/>
    </row>
    <row r="2974" spans="1:22" x14ac:dyDescent="0.2">
      <c r="A2974" s="144"/>
      <c r="B2974" s="145"/>
      <c r="C2974" s="129"/>
      <c r="D2974" s="129"/>
      <c r="E2974" s="129"/>
      <c r="F2974" s="129"/>
      <c r="G2974" s="144"/>
      <c r="H2974" s="129"/>
      <c r="I2974" s="144"/>
      <c r="J2974" s="144"/>
      <c r="K2974" s="144"/>
      <c r="L2974" s="146"/>
      <c r="M2974" s="142"/>
      <c r="N2974" s="144"/>
      <c r="O2974" s="142"/>
      <c r="P2974" s="142"/>
      <c r="Q2974" s="142"/>
      <c r="R2974" s="129"/>
      <c r="S2974" s="143"/>
      <c r="T2974" s="144"/>
      <c r="U2974" s="129"/>
      <c r="V2974" s="129"/>
    </row>
    <row r="2975" spans="1:22" x14ac:dyDescent="0.2">
      <c r="A2975" s="144"/>
      <c r="B2975" s="145"/>
      <c r="C2975" s="129"/>
      <c r="D2975" s="129"/>
      <c r="E2975" s="129"/>
      <c r="F2975" s="129"/>
      <c r="G2975" s="144"/>
      <c r="H2975" s="129"/>
      <c r="I2975" s="144"/>
      <c r="J2975" s="144"/>
      <c r="K2975" s="144"/>
      <c r="L2975" s="146"/>
      <c r="M2975" s="142"/>
      <c r="N2975" s="144"/>
      <c r="O2975" s="142"/>
      <c r="P2975" s="142"/>
      <c r="Q2975" s="142"/>
      <c r="R2975" s="129"/>
      <c r="S2975" s="143"/>
      <c r="T2975" s="144"/>
      <c r="U2975" s="129"/>
      <c r="V2975" s="129"/>
    </row>
    <row r="2976" spans="1:22" x14ac:dyDescent="0.2">
      <c r="A2976" s="144"/>
      <c r="B2976" s="145"/>
      <c r="C2976" s="129"/>
      <c r="D2976" s="129"/>
      <c r="E2976" s="129"/>
      <c r="F2976" s="129"/>
      <c r="G2976" s="144"/>
      <c r="H2976" s="129"/>
      <c r="I2976" s="144"/>
      <c r="J2976" s="144"/>
      <c r="K2976" s="144"/>
      <c r="L2976" s="146"/>
      <c r="M2976" s="142"/>
      <c r="N2976" s="144"/>
      <c r="O2976" s="142"/>
      <c r="P2976" s="142"/>
      <c r="Q2976" s="142"/>
      <c r="R2976" s="129"/>
      <c r="S2976" s="143"/>
      <c r="T2976" s="144"/>
      <c r="U2976" s="129"/>
      <c r="V2976" s="129"/>
    </row>
    <row r="2977" spans="1:22" x14ac:dyDescent="0.2">
      <c r="A2977" s="144"/>
      <c r="B2977" s="145"/>
      <c r="C2977" s="129"/>
      <c r="D2977" s="129"/>
      <c r="E2977" s="129"/>
      <c r="F2977" s="129"/>
      <c r="G2977" s="144"/>
      <c r="H2977" s="129"/>
      <c r="I2977" s="144"/>
      <c r="J2977" s="144"/>
      <c r="K2977" s="144"/>
      <c r="L2977" s="146"/>
      <c r="M2977" s="142"/>
      <c r="N2977" s="144"/>
      <c r="O2977" s="142"/>
      <c r="P2977" s="142"/>
      <c r="Q2977" s="142"/>
      <c r="R2977" s="129"/>
      <c r="S2977" s="143"/>
      <c r="T2977" s="144"/>
      <c r="U2977" s="129"/>
      <c r="V2977" s="129"/>
    </row>
    <row r="2978" spans="1:22" x14ac:dyDescent="0.2">
      <c r="A2978" s="144"/>
      <c r="B2978" s="145"/>
      <c r="C2978" s="129"/>
      <c r="D2978" s="129"/>
      <c r="E2978" s="129"/>
      <c r="F2978" s="129"/>
      <c r="G2978" s="144"/>
      <c r="H2978" s="129"/>
      <c r="I2978" s="144"/>
      <c r="J2978" s="144"/>
      <c r="K2978" s="144"/>
      <c r="L2978" s="146"/>
      <c r="M2978" s="142"/>
      <c r="N2978" s="144"/>
      <c r="O2978" s="142"/>
      <c r="P2978" s="142"/>
      <c r="Q2978" s="142"/>
      <c r="R2978" s="129"/>
      <c r="S2978" s="143"/>
      <c r="T2978" s="144"/>
      <c r="U2978" s="129"/>
      <c r="V2978" s="129"/>
    </row>
    <row r="2979" spans="1:22" x14ac:dyDescent="0.2">
      <c r="A2979" s="144"/>
      <c r="B2979" s="145"/>
      <c r="C2979" s="129"/>
      <c r="D2979" s="129"/>
      <c r="E2979" s="129"/>
      <c r="F2979" s="129"/>
      <c r="G2979" s="144"/>
      <c r="H2979" s="129"/>
      <c r="I2979" s="144"/>
      <c r="J2979" s="144"/>
      <c r="K2979" s="144"/>
      <c r="L2979" s="146"/>
      <c r="M2979" s="142"/>
      <c r="N2979" s="144"/>
      <c r="O2979" s="142"/>
      <c r="P2979" s="142"/>
      <c r="Q2979" s="142"/>
      <c r="R2979" s="129"/>
      <c r="S2979" s="143"/>
      <c r="T2979" s="144"/>
      <c r="U2979" s="129"/>
      <c r="V2979" s="129"/>
    </row>
    <row r="2980" spans="1:22" x14ac:dyDescent="0.2">
      <c r="A2980" s="144"/>
      <c r="B2980" s="145"/>
      <c r="C2980" s="129"/>
      <c r="D2980" s="129"/>
      <c r="E2980" s="129"/>
      <c r="F2980" s="129"/>
      <c r="G2980" s="144"/>
      <c r="H2980" s="129"/>
      <c r="I2980" s="144"/>
      <c r="J2980" s="144"/>
      <c r="K2980" s="144"/>
      <c r="L2980" s="146"/>
      <c r="M2980" s="142"/>
      <c r="N2980" s="144"/>
      <c r="O2980" s="142"/>
      <c r="P2980" s="142"/>
      <c r="Q2980" s="142"/>
      <c r="R2980" s="129"/>
      <c r="S2980" s="143"/>
      <c r="T2980" s="144"/>
      <c r="U2980" s="129"/>
      <c r="V2980" s="129"/>
    </row>
    <row r="2981" spans="1:22" x14ac:dyDescent="0.2">
      <c r="A2981" s="144"/>
      <c r="B2981" s="145"/>
      <c r="C2981" s="129"/>
      <c r="D2981" s="129"/>
      <c r="E2981" s="129"/>
      <c r="F2981" s="129"/>
      <c r="G2981" s="144"/>
      <c r="H2981" s="129"/>
      <c r="I2981" s="144"/>
      <c r="J2981" s="144"/>
      <c r="K2981" s="144"/>
      <c r="L2981" s="146"/>
      <c r="M2981" s="142"/>
      <c r="N2981" s="144"/>
      <c r="O2981" s="142"/>
      <c r="P2981" s="142"/>
      <c r="Q2981" s="142"/>
      <c r="R2981" s="129"/>
      <c r="S2981" s="143"/>
      <c r="T2981" s="144"/>
      <c r="U2981" s="129"/>
      <c r="V2981" s="129"/>
    </row>
    <row r="2982" spans="1:22" x14ac:dyDescent="0.2">
      <c r="A2982" s="144"/>
      <c r="B2982" s="145"/>
      <c r="C2982" s="129"/>
      <c r="D2982" s="129"/>
      <c r="E2982" s="129"/>
      <c r="F2982" s="129"/>
      <c r="G2982" s="144"/>
      <c r="H2982" s="129"/>
      <c r="I2982" s="144"/>
      <c r="J2982" s="144"/>
      <c r="K2982" s="144"/>
      <c r="L2982" s="146"/>
      <c r="M2982" s="142"/>
      <c r="N2982" s="144"/>
      <c r="O2982" s="142"/>
      <c r="P2982" s="142"/>
      <c r="Q2982" s="142"/>
      <c r="R2982" s="129"/>
      <c r="S2982" s="143"/>
      <c r="T2982" s="144"/>
      <c r="U2982" s="129"/>
      <c r="V2982" s="129"/>
    </row>
    <row r="2983" spans="1:22" x14ac:dyDescent="0.2">
      <c r="A2983" s="144"/>
      <c r="B2983" s="145"/>
      <c r="C2983" s="129"/>
      <c r="D2983" s="129"/>
      <c r="E2983" s="129"/>
      <c r="F2983" s="129"/>
      <c r="G2983" s="144"/>
      <c r="H2983" s="129"/>
      <c r="I2983" s="144"/>
      <c r="J2983" s="144"/>
      <c r="K2983" s="144"/>
      <c r="L2983" s="146"/>
      <c r="M2983" s="142"/>
      <c r="N2983" s="144"/>
      <c r="O2983" s="142"/>
      <c r="P2983" s="142"/>
      <c r="Q2983" s="142"/>
      <c r="R2983" s="129"/>
      <c r="S2983" s="143"/>
      <c r="T2983" s="144"/>
      <c r="U2983" s="129"/>
      <c r="V2983" s="129"/>
    </row>
    <row r="2984" spans="1:22" x14ac:dyDescent="0.2">
      <c r="A2984" s="144"/>
      <c r="B2984" s="145"/>
      <c r="C2984" s="129"/>
      <c r="D2984" s="129"/>
      <c r="E2984" s="129"/>
      <c r="F2984" s="129"/>
      <c r="G2984" s="144"/>
      <c r="H2984" s="129"/>
      <c r="I2984" s="144"/>
      <c r="J2984" s="144"/>
      <c r="K2984" s="144"/>
      <c r="L2984" s="146"/>
      <c r="M2984" s="142"/>
      <c r="N2984" s="144"/>
      <c r="O2984" s="142"/>
      <c r="P2984" s="142"/>
      <c r="Q2984" s="142"/>
      <c r="R2984" s="129"/>
      <c r="S2984" s="143"/>
      <c r="T2984" s="144"/>
      <c r="U2984" s="129"/>
      <c r="V2984" s="129"/>
    </row>
    <row r="2985" spans="1:22" x14ac:dyDescent="0.2">
      <c r="A2985" s="144"/>
      <c r="B2985" s="145"/>
      <c r="C2985" s="129"/>
      <c r="D2985" s="129"/>
      <c r="E2985" s="129"/>
      <c r="F2985" s="129"/>
      <c r="G2985" s="144"/>
      <c r="H2985" s="129"/>
      <c r="I2985" s="144"/>
      <c r="J2985" s="144"/>
      <c r="K2985" s="144"/>
      <c r="L2985" s="146"/>
      <c r="M2985" s="142"/>
      <c r="N2985" s="144"/>
      <c r="O2985" s="142"/>
      <c r="P2985" s="142"/>
      <c r="Q2985" s="142"/>
      <c r="R2985" s="129"/>
      <c r="S2985" s="143"/>
      <c r="T2985" s="144"/>
      <c r="U2985" s="129"/>
      <c r="V2985" s="129"/>
    </row>
    <row r="2986" spans="1:22" x14ac:dyDescent="0.2">
      <c r="A2986" s="144"/>
      <c r="B2986" s="145"/>
      <c r="C2986" s="129"/>
      <c r="D2986" s="129"/>
      <c r="E2986" s="129"/>
      <c r="F2986" s="129"/>
      <c r="G2986" s="144"/>
      <c r="H2986" s="129"/>
      <c r="I2986" s="144"/>
      <c r="J2986" s="144"/>
      <c r="K2986" s="144"/>
      <c r="L2986" s="146"/>
      <c r="M2986" s="142"/>
      <c r="N2986" s="144"/>
      <c r="O2986" s="142"/>
      <c r="P2986" s="142"/>
      <c r="Q2986" s="142"/>
      <c r="R2986" s="129"/>
      <c r="S2986" s="143"/>
      <c r="T2986" s="144"/>
      <c r="U2986" s="129"/>
      <c r="V2986" s="129"/>
    </row>
    <row r="2987" spans="1:22" x14ac:dyDescent="0.2">
      <c r="A2987" s="144"/>
      <c r="B2987" s="145"/>
      <c r="C2987" s="129"/>
      <c r="D2987" s="129"/>
      <c r="E2987" s="129"/>
      <c r="F2987" s="129"/>
      <c r="G2987" s="144"/>
      <c r="H2987" s="129"/>
      <c r="I2987" s="144"/>
      <c r="J2987" s="144"/>
      <c r="K2987" s="144"/>
      <c r="L2987" s="146"/>
      <c r="M2987" s="142"/>
      <c r="N2987" s="144"/>
      <c r="O2987" s="142"/>
      <c r="P2987" s="142"/>
      <c r="Q2987" s="142"/>
      <c r="R2987" s="129"/>
      <c r="S2987" s="143"/>
      <c r="T2987" s="144"/>
      <c r="U2987" s="129"/>
      <c r="V2987" s="129"/>
    </row>
    <row r="2988" spans="1:22" x14ac:dyDescent="0.2">
      <c r="A2988" s="144"/>
      <c r="B2988" s="145"/>
      <c r="C2988" s="129"/>
      <c r="D2988" s="129"/>
      <c r="E2988" s="129"/>
      <c r="F2988" s="129"/>
      <c r="G2988" s="144"/>
      <c r="H2988" s="129"/>
      <c r="I2988" s="144"/>
      <c r="J2988" s="144"/>
      <c r="K2988" s="144"/>
      <c r="L2988" s="146"/>
      <c r="M2988" s="142"/>
      <c r="N2988" s="144"/>
      <c r="O2988" s="142"/>
      <c r="P2988" s="142"/>
      <c r="Q2988" s="142"/>
      <c r="R2988" s="129"/>
      <c r="S2988" s="143"/>
      <c r="T2988" s="144"/>
      <c r="U2988" s="129"/>
      <c r="V2988" s="129"/>
    </row>
    <row r="2989" spans="1:22" x14ac:dyDescent="0.2">
      <c r="A2989" s="144"/>
      <c r="B2989" s="145"/>
      <c r="C2989" s="129"/>
      <c r="D2989" s="129"/>
      <c r="E2989" s="129"/>
      <c r="F2989" s="129"/>
      <c r="G2989" s="144"/>
      <c r="H2989" s="129"/>
      <c r="I2989" s="144"/>
      <c r="J2989" s="144"/>
      <c r="K2989" s="144"/>
      <c r="L2989" s="146"/>
      <c r="M2989" s="142"/>
      <c r="N2989" s="144"/>
      <c r="O2989" s="142"/>
      <c r="P2989" s="142"/>
      <c r="Q2989" s="142"/>
      <c r="R2989" s="129"/>
      <c r="S2989" s="143"/>
      <c r="T2989" s="144"/>
      <c r="U2989" s="129"/>
      <c r="V2989" s="129"/>
    </row>
    <row r="2990" spans="1:22" x14ac:dyDescent="0.2">
      <c r="A2990" s="144"/>
      <c r="B2990" s="145"/>
      <c r="C2990" s="129"/>
      <c r="D2990" s="129"/>
      <c r="E2990" s="129"/>
      <c r="F2990" s="129"/>
      <c r="G2990" s="144"/>
      <c r="H2990" s="129"/>
      <c r="I2990" s="144"/>
      <c r="J2990" s="144"/>
      <c r="K2990" s="144"/>
      <c r="L2990" s="146"/>
      <c r="M2990" s="142"/>
      <c r="N2990" s="144"/>
      <c r="O2990" s="142"/>
      <c r="P2990" s="142"/>
      <c r="Q2990" s="142"/>
      <c r="R2990" s="129"/>
      <c r="S2990" s="143"/>
      <c r="T2990" s="144"/>
      <c r="U2990" s="129"/>
      <c r="V2990" s="129"/>
    </row>
    <row r="2991" spans="1:22" x14ac:dyDescent="0.2">
      <c r="A2991" s="144"/>
      <c r="B2991" s="145"/>
      <c r="C2991" s="129"/>
      <c r="D2991" s="129"/>
      <c r="E2991" s="129"/>
      <c r="F2991" s="129"/>
      <c r="G2991" s="144"/>
      <c r="H2991" s="129"/>
      <c r="I2991" s="144"/>
      <c r="J2991" s="144"/>
      <c r="K2991" s="144"/>
      <c r="L2991" s="146"/>
      <c r="M2991" s="142"/>
      <c r="N2991" s="144"/>
      <c r="O2991" s="142"/>
      <c r="P2991" s="142"/>
      <c r="Q2991" s="142"/>
      <c r="R2991" s="129"/>
      <c r="S2991" s="143"/>
      <c r="T2991" s="144"/>
      <c r="U2991" s="129"/>
      <c r="V2991" s="129"/>
    </row>
    <row r="2992" spans="1:22" x14ac:dyDescent="0.2">
      <c r="A2992" s="144"/>
      <c r="B2992" s="145"/>
      <c r="C2992" s="129"/>
      <c r="D2992" s="129"/>
      <c r="E2992" s="129"/>
      <c r="F2992" s="129"/>
      <c r="G2992" s="144"/>
      <c r="H2992" s="129"/>
      <c r="I2992" s="144"/>
      <c r="J2992" s="144"/>
      <c r="K2992" s="144"/>
      <c r="L2992" s="146"/>
      <c r="M2992" s="142"/>
      <c r="N2992" s="144"/>
      <c r="O2992" s="142"/>
      <c r="P2992" s="142"/>
      <c r="Q2992" s="142"/>
      <c r="R2992" s="129"/>
      <c r="S2992" s="143"/>
      <c r="T2992" s="144"/>
      <c r="U2992" s="129"/>
      <c r="V2992" s="129"/>
    </row>
    <row r="2993" spans="1:22" x14ac:dyDescent="0.2">
      <c r="A2993" s="144"/>
      <c r="B2993" s="145"/>
      <c r="C2993" s="129"/>
      <c r="D2993" s="129"/>
      <c r="E2993" s="129"/>
      <c r="F2993" s="129"/>
      <c r="G2993" s="144"/>
      <c r="H2993" s="129"/>
      <c r="I2993" s="144"/>
      <c r="J2993" s="144"/>
      <c r="K2993" s="144"/>
      <c r="L2993" s="146"/>
      <c r="M2993" s="142"/>
      <c r="N2993" s="144"/>
      <c r="O2993" s="142"/>
      <c r="P2993" s="142"/>
      <c r="Q2993" s="142"/>
      <c r="R2993" s="129"/>
      <c r="S2993" s="143"/>
      <c r="T2993" s="144"/>
      <c r="U2993" s="129"/>
      <c r="V2993" s="129"/>
    </row>
    <row r="2994" spans="1:22" x14ac:dyDescent="0.2">
      <c r="A2994" s="144"/>
      <c r="B2994" s="145"/>
      <c r="C2994" s="129"/>
      <c r="D2994" s="129"/>
      <c r="E2994" s="129"/>
      <c r="F2994" s="129"/>
      <c r="G2994" s="144"/>
      <c r="H2994" s="129"/>
      <c r="I2994" s="144"/>
      <c r="J2994" s="144"/>
      <c r="K2994" s="144"/>
      <c r="L2994" s="146"/>
      <c r="M2994" s="142"/>
      <c r="N2994" s="144"/>
      <c r="O2994" s="142"/>
      <c r="P2994" s="142"/>
      <c r="Q2994" s="142"/>
      <c r="R2994" s="129"/>
      <c r="S2994" s="143"/>
      <c r="T2994" s="144"/>
      <c r="U2994" s="129"/>
      <c r="V2994" s="129"/>
    </row>
    <row r="2995" spans="1:22" x14ac:dyDescent="0.2">
      <c r="A2995" s="144"/>
      <c r="B2995" s="145"/>
      <c r="C2995" s="129"/>
      <c r="D2995" s="129"/>
      <c r="E2995" s="129"/>
      <c r="F2995" s="129"/>
      <c r="G2995" s="144"/>
      <c r="H2995" s="129"/>
      <c r="I2995" s="144"/>
      <c r="J2995" s="144"/>
      <c r="K2995" s="144"/>
      <c r="L2995" s="146"/>
      <c r="M2995" s="142"/>
      <c r="N2995" s="144"/>
      <c r="O2995" s="142"/>
      <c r="P2995" s="142"/>
      <c r="Q2995" s="142"/>
      <c r="R2995" s="129"/>
      <c r="S2995" s="143"/>
      <c r="T2995" s="144"/>
      <c r="U2995" s="129"/>
      <c r="V2995" s="129"/>
    </row>
    <row r="2996" spans="1:22" x14ac:dyDescent="0.2">
      <c r="A2996" s="144"/>
      <c r="B2996" s="145"/>
      <c r="C2996" s="129"/>
      <c r="D2996" s="129"/>
      <c r="E2996" s="129"/>
      <c r="F2996" s="129"/>
      <c r="G2996" s="144"/>
      <c r="H2996" s="129"/>
      <c r="I2996" s="144"/>
      <c r="J2996" s="144"/>
      <c r="K2996" s="144"/>
      <c r="L2996" s="146"/>
      <c r="M2996" s="142"/>
      <c r="N2996" s="144"/>
      <c r="O2996" s="142"/>
      <c r="P2996" s="142"/>
      <c r="Q2996" s="142"/>
      <c r="R2996" s="129"/>
      <c r="S2996" s="143"/>
      <c r="T2996" s="144"/>
      <c r="U2996" s="129"/>
      <c r="V2996" s="129"/>
    </row>
    <row r="2997" spans="1:22" x14ac:dyDescent="0.2">
      <c r="A2997" s="144"/>
      <c r="B2997" s="145"/>
      <c r="C2997" s="129"/>
      <c r="D2997" s="129"/>
      <c r="E2997" s="129"/>
      <c r="F2997" s="129"/>
      <c r="G2997" s="144"/>
      <c r="H2997" s="129"/>
      <c r="I2997" s="144"/>
      <c r="J2997" s="144"/>
      <c r="K2997" s="144"/>
      <c r="L2997" s="146"/>
      <c r="M2997" s="142"/>
      <c r="N2997" s="144"/>
      <c r="O2997" s="142"/>
      <c r="P2997" s="142"/>
      <c r="Q2997" s="142"/>
      <c r="R2997" s="129"/>
      <c r="S2997" s="143"/>
      <c r="T2997" s="144"/>
      <c r="U2997" s="129"/>
      <c r="V2997" s="129"/>
    </row>
    <row r="2998" spans="1:22" x14ac:dyDescent="0.2">
      <c r="A2998" s="144"/>
      <c r="B2998" s="145"/>
      <c r="C2998" s="129"/>
      <c r="D2998" s="129"/>
      <c r="E2998" s="129"/>
      <c r="F2998" s="129"/>
      <c r="G2998" s="144"/>
      <c r="H2998" s="129"/>
      <c r="I2998" s="144"/>
      <c r="J2998" s="144"/>
      <c r="K2998" s="144"/>
      <c r="L2998" s="146"/>
      <c r="M2998" s="142"/>
      <c r="N2998" s="144"/>
      <c r="O2998" s="142"/>
      <c r="P2998" s="142"/>
      <c r="Q2998" s="142"/>
      <c r="R2998" s="129"/>
      <c r="S2998" s="143"/>
      <c r="T2998" s="144"/>
      <c r="U2998" s="129"/>
      <c r="V2998" s="129"/>
    </row>
    <row r="2999" spans="1:22" x14ac:dyDescent="0.2">
      <c r="A2999" s="144"/>
      <c r="B2999" s="145"/>
      <c r="C2999" s="129"/>
      <c r="D2999" s="129"/>
      <c r="E2999" s="129"/>
      <c r="F2999" s="129"/>
      <c r="G2999" s="144"/>
      <c r="H2999" s="129"/>
      <c r="I2999" s="144"/>
      <c r="J2999" s="144"/>
      <c r="K2999" s="144"/>
      <c r="L2999" s="146"/>
      <c r="M2999" s="142"/>
      <c r="N2999" s="144"/>
      <c r="O2999" s="142"/>
      <c r="P2999" s="142"/>
      <c r="Q2999" s="142"/>
      <c r="R2999" s="129"/>
      <c r="S2999" s="143"/>
      <c r="T2999" s="144"/>
      <c r="U2999" s="129"/>
      <c r="V2999" s="129"/>
    </row>
    <row r="3000" spans="1:22" x14ac:dyDescent="0.2">
      <c r="A3000" s="144"/>
      <c r="B3000" s="145"/>
      <c r="C3000" s="129"/>
      <c r="D3000" s="129"/>
      <c r="E3000" s="129"/>
      <c r="F3000" s="129"/>
      <c r="G3000" s="144"/>
      <c r="H3000" s="129"/>
      <c r="I3000" s="144"/>
      <c r="J3000" s="144"/>
      <c r="K3000" s="144"/>
      <c r="L3000" s="146"/>
      <c r="M3000" s="142"/>
      <c r="N3000" s="144"/>
      <c r="O3000" s="142"/>
      <c r="P3000" s="142"/>
      <c r="Q3000" s="142"/>
      <c r="R3000" s="129"/>
      <c r="S3000" s="143"/>
      <c r="T3000" s="144"/>
      <c r="U3000" s="129"/>
      <c r="V3000" s="129"/>
    </row>
  </sheetData>
  <conditionalFormatting sqref="H13:H3000">
    <cfRule type="expression" dxfId="8" priority="2">
      <formula>$H13="To confirm"</formula>
    </cfRule>
  </conditionalFormatting>
  <conditionalFormatting sqref="O13:O3000">
    <cfRule type="expression" dxfId="7" priority="5">
      <formula>AND($I13="Yes",$O13&lt;&gt;"")</formula>
    </cfRule>
  </conditionalFormatting>
  <conditionalFormatting sqref="A13:V3000">
    <cfRule type="expression" dxfId="6" priority="6">
      <formula>$R13="Unmatched"</formula>
    </cfRule>
  </conditionalFormatting>
  <conditionalFormatting sqref="A13:V3000">
    <cfRule type="expression" dxfId="5" priority="8">
      <formula>OR($J13="Add-on",$J13="Time band",$J13="Other")</formula>
    </cfRule>
  </conditionalFormatting>
  <conditionalFormatting sqref="A13:V3000">
    <cfRule type="expression" dxfId="4" priority="10">
      <formula>AND($C13&lt;&gt;"",N($M13)=0)</formula>
    </cfRule>
  </conditionalFormatting>
  <conditionalFormatting sqref="A13:V3000">
    <cfRule type="expression" dxfId="3" priority="12">
      <formula>AND($C13&lt;&gt;"",MOD(ROW(),2)=0)</formula>
    </cfRule>
  </conditionalFormatting>
  <dataValidations count="3">
    <dataValidation type="list" allowBlank="1" showInputMessage="1" showErrorMessage="1" sqref="D6" xr:uid="{4C663E3B-1B5F-6048-9714-649ACFDDC1A9}">
      <formula1>"RVG × own unit value,RVG × contract rate / discount,Fixed fee schedule,Rate × time,Reference – units only,To confirm"</formula1>
    </dataValidation>
    <dataValidation type="list" allowBlank="1" showInputMessage="1" showErrorMessage="1" sqref="D7" xr:uid="{BF8CC4E6-8F50-E448-ACA2-4ED29832530F}">
      <formula1>"Yes,No"</formula1>
    </dataValidation>
    <dataValidation type="list" allowBlank="1" showInputMessage="1" showErrorMessage="1" sqref="D8" xr:uid="{17F3A260-17D8-5A42-A1CB-FA4DE45068EB}">
      <formula1>"Base,Add-on,Time band,Other"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30B6511-F1D0-8446-A578-02070B43C25F}">
          <x14:formula1>
            <xm:f>'Contracts'!$B$5:$B$30</xm:f>
          </x14:formula1>
          <xm:sqref>D5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E2FAB-ADDC-6645-933F-CA36614522B1}">
  <dimension ref="A1:O16"/>
  <sheetViews>
    <sheetView workbookViewId="0">
      <pane ySplit="4" topLeftCell="A5" activePane="bottomLeft" state="frozen"/>
      <selection pane="bottomLeft" activeCell="D71" sqref="D71"/>
    </sheetView>
  </sheetViews>
  <sheetFormatPr baseColWidth="10" defaultRowHeight="15" x14ac:dyDescent="0.2"/>
  <cols>
    <col min="1" max="1" width="10.83203125" customWidth="1"/>
    <col min="2" max="2" width="26.6640625" customWidth="1"/>
    <col min="3" max="3" width="38.33203125" customWidth="1"/>
    <col min="4" max="4" width="25" customWidth="1"/>
    <col min="5" max="5" width="23.33203125" customWidth="1"/>
    <col min="6" max="6" width="13.33203125" customWidth="1"/>
    <col min="7" max="7" width="10.83203125" customWidth="1"/>
    <col min="8" max="8" width="18.33203125" customWidth="1"/>
    <col min="9" max="9" width="23.33203125" customWidth="1"/>
    <col min="10" max="10" width="13.33203125" customWidth="1"/>
    <col min="11" max="12" width="9.1640625" customWidth="1"/>
    <col min="13" max="13" width="12.5" customWidth="1"/>
    <col min="14" max="14" width="11.6640625" customWidth="1"/>
    <col min="15" max="15" width="55" customWidth="1"/>
  </cols>
  <sheetData>
    <row r="1" spans="1:15" ht="19" x14ac:dyDescent="0.25">
      <c r="A1" s="58" t="s">
        <v>4898</v>
      </c>
    </row>
    <row r="2" spans="1:15" x14ac:dyDescent="0.2">
      <c r="A2" s="11" t="s">
        <v>4899</v>
      </c>
    </row>
    <row r="4" spans="1:15" ht="32" customHeight="1" x14ac:dyDescent="0.2">
      <c r="A4" s="133" t="s">
        <v>4900</v>
      </c>
      <c r="B4" s="133" t="s">
        <v>4901</v>
      </c>
      <c r="C4" s="133" t="s">
        <v>4902</v>
      </c>
      <c r="D4" s="133" t="s">
        <v>4903</v>
      </c>
      <c r="E4" s="134" t="s">
        <v>4904</v>
      </c>
      <c r="F4" s="134" t="s">
        <v>4905</v>
      </c>
      <c r="G4" s="134" t="s">
        <v>4906</v>
      </c>
      <c r="H4" s="134" t="s">
        <v>4907</v>
      </c>
      <c r="I4" s="134" t="s">
        <v>4908</v>
      </c>
      <c r="J4" s="135" t="s">
        <v>4909</v>
      </c>
      <c r="K4" s="135" t="s">
        <v>4910</v>
      </c>
      <c r="L4" s="135" t="s">
        <v>4911</v>
      </c>
      <c r="M4" s="135" t="s">
        <v>4912</v>
      </c>
      <c r="N4" s="136" t="s">
        <v>1009</v>
      </c>
      <c r="O4" s="136" t="s">
        <v>1011</v>
      </c>
    </row>
    <row r="5" spans="1:15" x14ac:dyDescent="0.2">
      <c r="A5" s="131" t="s">
        <v>4913</v>
      </c>
      <c r="B5" s="131" t="s">
        <v>1095</v>
      </c>
      <c r="C5" s="130" t="str">
        <f>_xlfn.XLOOKUP(_xlfn.TEXTBEFORE(Contracts[[#This Row],[Source IDs]]&amp;",",","),SourceRegister[Source ID],SourceRegister[Provider / issuer],"")</f>
        <v>Anaesthesia Associates / Solutions Plus</v>
      </c>
      <c r="D5" s="130" t="str" cm="1">
        <f t="array" ref="D5">_xlfn.TEXTJOIN(", ",TRUE,_xlfn._xlws.SORT(_xlfn.UNIQUE(_xlfn._xlws.FILTER(MasterFees[Source ID],MasterFees[Provider / Payer]=Contracts[[#This Row],[Contract Name]],""))))</f>
        <v>SRC-00</v>
      </c>
      <c r="E5" s="131" t="s">
        <v>4914</v>
      </c>
      <c r="F5" s="137"/>
      <c r="G5" s="138"/>
      <c r="H5" s="131" t="s">
        <v>4915</v>
      </c>
      <c r="I5" s="131" t="s">
        <v>4914</v>
      </c>
      <c r="J5" s="130" t="str" cm="1">
        <f t="array" ref="J5">_xlfn.TEXTJOIN(", ",TRUE,_xlfn.UNIQUE(_xlfn._xlws.FILTER(MasterFees[GST Basis],MasterFees[Provider / Payer]=Contracts[[#This Row],[Contract Name]],"")))</f>
        <v>Unknown</v>
      </c>
      <c r="K5" s="139">
        <f>COUNTIFS(MasterFees[Provider / Payer],Contracts[[#This Row],[Contract Name]])</f>
        <v>981</v>
      </c>
      <c r="L5" s="139">
        <f>Contracts[[#This Row],[Master Lines]]-Contracts[[#This Row],[Add-on / Time-band Lines]]</f>
        <v>981</v>
      </c>
      <c r="M5" s="139">
        <f>COUNTIFS(MasterFees[Provider / Payer],Contracts[[#This Row],[Contract Name]],MasterFees[Fee Basis],"Add-on")+COUNTIFS(MasterFees[Provider / Payer],Contracts[[#This Row],[Contract Name]],MasterFees[Fee Basis],"Time band")</f>
        <v>0</v>
      </c>
      <c r="N5" s="131" t="s">
        <v>4916</v>
      </c>
      <c r="O5" s="131" t="s">
        <v>4917</v>
      </c>
    </row>
    <row r="6" spans="1:15" x14ac:dyDescent="0.2">
      <c r="A6" s="131" t="s">
        <v>4918</v>
      </c>
      <c r="B6" s="131" t="s">
        <v>4157</v>
      </c>
      <c r="C6" s="130" t="str">
        <f>_xlfn.XLOOKUP(_xlfn.TEXTBEFORE(Contracts[[#This Row],[Source IDs]]&amp;",",","),SourceRegister[Source ID],SourceRegister[Provider / issuer],"")</f>
        <v>Southern Cross Affiliated Provider</v>
      </c>
      <c r="D6" s="130" t="str" cm="1">
        <f t="array" ref="D6">_xlfn.TEXTJOIN(", ",TRUE,_xlfn._xlws.SORT(_xlfn.UNIQUE(_xlfn._xlws.FILTER(MasterFees[Source ID],MasterFees[Provider / Payer]=Contracts[[#This Row],[Contract Name]],""))))</f>
        <v>SRC-03, SRC-05, SRC-06, SRC-07</v>
      </c>
      <c r="E6" s="131" t="s">
        <v>4919</v>
      </c>
      <c r="F6" s="137"/>
      <c r="G6" s="138"/>
      <c r="H6" s="131" t="s">
        <v>4915</v>
      </c>
      <c r="I6" s="131" t="s">
        <v>4914</v>
      </c>
      <c r="J6" s="130" t="str" cm="1">
        <f t="array" ref="J6">_xlfn.TEXTJOIN(", ",TRUE,_xlfn.UNIQUE(_xlfn._xlws.FILTER(MasterFees[GST Basis],MasterFees[Provider / Payer]=Contracts[[#This Row],[Contract Name]],"")))</f>
        <v>Incl</v>
      </c>
      <c r="K6" s="139">
        <f>COUNTIFS(MasterFees[Provider / Payer],Contracts[[#This Row],[Contract Name]])</f>
        <v>28</v>
      </c>
      <c r="L6" s="139">
        <f>Contracts[[#This Row],[Master Lines]]-Contracts[[#This Row],[Add-on / Time-band Lines]]</f>
        <v>22</v>
      </c>
      <c r="M6" s="139">
        <f>COUNTIFS(MasterFees[Provider / Payer],Contracts[[#This Row],[Contract Name]],MasterFees[Fee Basis],"Add-on")+COUNTIFS(MasterFees[Provider / Payer],Contracts[[#This Row],[Contract Name]],MasterFees[Fee Basis],"Time band")</f>
        <v>6</v>
      </c>
      <c r="N6" s="131" t="s">
        <v>4916</v>
      </c>
      <c r="O6" s="131" t="s">
        <v>4920</v>
      </c>
    </row>
    <row r="7" spans="1:15" x14ac:dyDescent="0.2">
      <c r="A7" s="131" t="s">
        <v>4921</v>
      </c>
      <c r="B7" s="131" t="s">
        <v>4397</v>
      </c>
      <c r="C7" s="130" t="str">
        <f>_xlfn.XLOOKUP(_xlfn.TEXTBEFORE(Contracts[[#This Row],[Source IDs]]&amp;",",","),SourceRegister[Source ID],SourceRegister[Provider / issuer],"")</f>
        <v>Christchurch Eye Surgery (CESL)</v>
      </c>
      <c r="D7" s="130" t="str" cm="1">
        <f t="array" ref="D7">_xlfn.TEXTJOIN(", ",TRUE,_xlfn._xlws.SORT(_xlfn.UNIQUE(_xlfn._xlws.FILTER(MasterFees[Source ID],MasterFees[Provider / Payer]=Contracts[[#This Row],[Contract Name]],""))))</f>
        <v>SRC-02</v>
      </c>
      <c r="E7" s="131" t="s">
        <v>4919</v>
      </c>
      <c r="F7" s="137"/>
      <c r="G7" s="138"/>
      <c r="H7" s="131" t="s">
        <v>4915</v>
      </c>
      <c r="I7" s="131" t="s">
        <v>4914</v>
      </c>
      <c r="J7" s="130" t="str" cm="1">
        <f t="array" ref="J7">_xlfn.TEXTJOIN(", ",TRUE,_xlfn.UNIQUE(_xlfn._xlws.FILTER(MasterFees[GST Basis],MasterFees[Provider / Payer]=Contracts[[#This Row],[Contract Name]],"")))</f>
        <v>Excl</v>
      </c>
      <c r="K7" s="139">
        <f>COUNTIFS(MasterFees[Provider / Payer],Contracts[[#This Row],[Contract Name]])</f>
        <v>8</v>
      </c>
      <c r="L7" s="139">
        <f>Contracts[[#This Row],[Master Lines]]-Contracts[[#This Row],[Add-on / Time-band Lines]]</f>
        <v>1</v>
      </c>
      <c r="M7" s="139">
        <f>COUNTIFS(MasterFees[Provider / Payer],Contracts[[#This Row],[Contract Name]],MasterFees[Fee Basis],"Add-on")+COUNTIFS(MasterFees[Provider / Payer],Contracts[[#This Row],[Contract Name]],MasterFees[Fee Basis],"Time band")</f>
        <v>7</v>
      </c>
      <c r="N7" s="131" t="s">
        <v>4916</v>
      </c>
      <c r="O7" s="131"/>
    </row>
    <row r="8" spans="1:15" x14ac:dyDescent="0.2">
      <c r="A8" s="131" t="s">
        <v>4922</v>
      </c>
      <c r="B8" s="131" t="s">
        <v>4413</v>
      </c>
      <c r="C8" s="130" t="str">
        <f>_xlfn.XLOOKUP(_xlfn.TEXTBEFORE(Contracts[[#This Row],[Source IDs]]&amp;",",","),SourceRegister[Source ID],SourceRegister[Provider / issuer],"")</f>
        <v>Christchurch Eye Surgery (CESL)</v>
      </c>
      <c r="D8" s="130" t="str" cm="1">
        <f t="array" ref="D8">_xlfn.TEXTJOIN(", ",TRUE,_xlfn._xlws.SORT(_xlfn.UNIQUE(_xlfn._xlws.FILTER(MasterFees[Source ID],MasterFees[Provider / Payer]=Contracts[[#This Row],[Contract Name]],""))))</f>
        <v>SRC-02</v>
      </c>
      <c r="E8" s="131" t="s">
        <v>4919</v>
      </c>
      <c r="F8" s="137"/>
      <c r="G8" s="138"/>
      <c r="H8" s="131" t="s">
        <v>4915</v>
      </c>
      <c r="I8" s="131" t="s">
        <v>4914</v>
      </c>
      <c r="J8" s="130" t="str" cm="1">
        <f t="array" ref="J8">_xlfn.TEXTJOIN(", ",TRUE,_xlfn.UNIQUE(_xlfn._xlws.FILTER(MasterFees[GST Basis],MasterFees[Provider / Payer]=Contracts[[#This Row],[Contract Name]],"")))</f>
        <v>Excl</v>
      </c>
      <c r="K8" s="139">
        <f>COUNTIFS(MasterFees[Provider / Payer],Contracts[[#This Row],[Contract Name]])</f>
        <v>3</v>
      </c>
      <c r="L8" s="139">
        <f>Contracts[[#This Row],[Master Lines]]-Contracts[[#This Row],[Add-on / Time-band Lines]]</f>
        <v>1</v>
      </c>
      <c r="M8" s="139">
        <f>COUNTIFS(MasterFees[Provider / Payer],Contracts[[#This Row],[Contract Name]],MasterFees[Fee Basis],"Add-on")+COUNTIFS(MasterFees[Provider / Payer],Contracts[[#This Row],[Contract Name]],MasterFees[Fee Basis],"Time band")</f>
        <v>2</v>
      </c>
      <c r="N8" s="131" t="s">
        <v>4916</v>
      </c>
      <c r="O8" s="131" t="s">
        <v>4923</v>
      </c>
    </row>
    <row r="9" spans="1:15" x14ac:dyDescent="0.2">
      <c r="A9" s="131" t="s">
        <v>4924</v>
      </c>
      <c r="B9" s="131" t="s">
        <v>4622</v>
      </c>
      <c r="C9" s="130" t="str">
        <f>_xlfn.XLOOKUP(_xlfn.TEXTBEFORE(Contracts[[#This Row],[Source IDs]]&amp;",",","),SourceRegister[Source ID],SourceRegister[Provider / issuer],"")</f>
        <v>Christchurch Eye Surgery (CESL) – Health NZ contract</v>
      </c>
      <c r="D9" s="130" t="str" cm="1">
        <f t="array" ref="D9">_xlfn.TEXTJOIN(", ",TRUE,_xlfn._xlws.SORT(_xlfn.UNIQUE(_xlfn._xlws.FILTER(MasterFees[Source ID],MasterFees[Provider / Payer]=Contracts[[#This Row],[Contract Name]],""))))</f>
        <v>SRC-08</v>
      </c>
      <c r="E9" s="131" t="s">
        <v>4919</v>
      </c>
      <c r="F9" s="137"/>
      <c r="G9" s="138"/>
      <c r="H9" s="131" t="s">
        <v>4915</v>
      </c>
      <c r="I9" s="131" t="s">
        <v>4914</v>
      </c>
      <c r="J9" s="130" t="str" cm="1">
        <f t="array" ref="J9">_xlfn.TEXTJOIN(", ",TRUE,_xlfn.UNIQUE(_xlfn._xlws.FILTER(MasterFees[GST Basis],MasterFees[Provider / Payer]=Contracts[[#This Row],[Contract Name]],"")))</f>
        <v>Excl</v>
      </c>
      <c r="K9" s="139">
        <f>COUNTIFS(MasterFees[Provider / Payer],Contracts[[#This Row],[Contract Name]])</f>
        <v>59</v>
      </c>
      <c r="L9" s="139">
        <f>Contracts[[#This Row],[Master Lines]]-Contracts[[#This Row],[Add-on / Time-band Lines]]</f>
        <v>59</v>
      </c>
      <c r="M9" s="139">
        <f>COUNTIFS(MasterFees[Provider / Payer],Contracts[[#This Row],[Contract Name]],MasterFees[Fee Basis],"Add-on")+COUNTIFS(MasterFees[Provider / Payer],Contracts[[#This Row],[Contract Name]],MasterFees[Fee Basis],"Time band")</f>
        <v>0</v>
      </c>
      <c r="N9" s="131" t="s">
        <v>4916</v>
      </c>
      <c r="O9" s="131"/>
    </row>
    <row r="10" spans="1:15" x14ac:dyDescent="0.2">
      <c r="A10" s="131" t="s">
        <v>4925</v>
      </c>
      <c r="B10" s="131" t="s">
        <v>4625</v>
      </c>
      <c r="C10" s="130" t="str">
        <f>_xlfn.XLOOKUP(_xlfn.TEXTBEFORE(Contracts[[#This Row],[Source IDs]]&amp;",",","),SourceRegister[Source ID],SourceRegister[Provider / issuer],"")</f>
        <v>Christchurch Eye Surgery (CESL) – Health NZ contract</v>
      </c>
      <c r="D10" s="130" t="str" cm="1">
        <f t="array" ref="D10">_xlfn.TEXTJOIN(", ",TRUE,_xlfn._xlws.SORT(_xlfn.UNIQUE(_xlfn._xlws.FILTER(MasterFees[Source ID],MasterFees[Provider / Payer]=Contracts[[#This Row],[Contract Name]],""))))</f>
        <v>SRC-08</v>
      </c>
      <c r="E10" s="131" t="s">
        <v>4919</v>
      </c>
      <c r="F10" s="137"/>
      <c r="G10" s="138"/>
      <c r="H10" s="131" t="s">
        <v>4915</v>
      </c>
      <c r="I10" s="131" t="s">
        <v>4914</v>
      </c>
      <c r="J10" s="130" t="str" cm="1">
        <f t="array" ref="J10">_xlfn.TEXTJOIN(", ",TRUE,_xlfn.UNIQUE(_xlfn._xlws.FILTER(MasterFees[GST Basis],MasterFees[Provider / Payer]=Contracts[[#This Row],[Contract Name]],"")))</f>
        <v>Excl</v>
      </c>
      <c r="K10" s="139">
        <f>COUNTIFS(MasterFees[Provider / Payer],Contracts[[#This Row],[Contract Name]])</f>
        <v>59</v>
      </c>
      <c r="L10" s="139">
        <f>Contracts[[#This Row],[Master Lines]]-Contracts[[#This Row],[Add-on / Time-band Lines]]</f>
        <v>59</v>
      </c>
      <c r="M10" s="139">
        <f>COUNTIFS(MasterFees[Provider / Payer],Contracts[[#This Row],[Contract Name]],MasterFees[Fee Basis],"Add-on")+COUNTIFS(MasterFees[Provider / Payer],Contracts[[#This Row],[Contract Name]],MasterFees[Fee Basis],"Time band")</f>
        <v>0</v>
      </c>
      <c r="N10" s="131" t="s">
        <v>4916</v>
      </c>
      <c r="O10" s="131"/>
    </row>
    <row r="11" spans="1:15" x14ac:dyDescent="0.2">
      <c r="A11" s="131" t="s">
        <v>4926</v>
      </c>
      <c r="B11" s="131" t="s">
        <v>4417</v>
      </c>
      <c r="C11" s="130" t="str">
        <f>_xlfn.XLOOKUP(_xlfn.TEXTBEFORE(Contracts[[#This Row],[Source IDs]]&amp;",",","),SourceRegister[Source ID],SourceRegister[Provider / issuer],"")</f>
        <v>Christchurch Eye Surgery (CESL)</v>
      </c>
      <c r="D11" s="130" t="str" cm="1">
        <f t="array" ref="D11">_xlfn.TEXTJOIN(", ",TRUE,_xlfn._xlws.SORT(_xlfn.UNIQUE(_xlfn._xlws.FILTER(MasterFees[Source ID],MasterFees[Provider / Payer]=Contracts[[#This Row],[Contract Name]],""))))</f>
        <v>SRC-02</v>
      </c>
      <c r="E11" s="131" t="s">
        <v>4919</v>
      </c>
      <c r="F11" s="137"/>
      <c r="G11" s="138"/>
      <c r="H11" s="131" t="s">
        <v>4915</v>
      </c>
      <c r="I11" s="131" t="s">
        <v>4914</v>
      </c>
      <c r="J11" s="130" t="str" cm="1">
        <f t="array" ref="J11">_xlfn.TEXTJOIN(", ",TRUE,_xlfn.UNIQUE(_xlfn._xlws.FILTER(MasterFees[GST Basis],MasterFees[Provider / Payer]=Contracts[[#This Row],[Contract Name]],"")))</f>
        <v>Excl</v>
      </c>
      <c r="K11" s="139">
        <f>COUNTIFS(MasterFees[Provider / Payer],Contracts[[#This Row],[Contract Name]])</f>
        <v>1</v>
      </c>
      <c r="L11" s="139">
        <f>Contracts[[#This Row],[Master Lines]]-Contracts[[#This Row],[Add-on / Time-band Lines]]</f>
        <v>1</v>
      </c>
      <c r="M11" s="139">
        <f>COUNTIFS(MasterFees[Provider / Payer],Contracts[[#This Row],[Contract Name]],MasterFees[Fee Basis],"Add-on")+COUNTIFS(MasterFees[Provider / Payer],Contracts[[#This Row],[Contract Name]],MasterFees[Fee Basis],"Time band")</f>
        <v>0</v>
      </c>
      <c r="N11" s="131" t="s">
        <v>4916</v>
      </c>
      <c r="O11" s="131"/>
    </row>
    <row r="12" spans="1:15" x14ac:dyDescent="0.2">
      <c r="A12" s="131" t="s">
        <v>4927</v>
      </c>
      <c r="B12" s="131" t="s">
        <v>4069</v>
      </c>
      <c r="C12" s="130" t="str">
        <f>_xlfn.XLOOKUP(_xlfn.TEXTBEFORE(Contracts[[#This Row],[Source IDs]]&amp;",",","),SourceRegister[Source ID],SourceRegister[Provider / issuer],"")</f>
        <v>Merivale Plastic Surgery (Dr Kerri Mooney) / Anaesthesia Associates</v>
      </c>
      <c r="D12" s="130" t="str" cm="1">
        <f t="array" ref="D12">_xlfn.TEXTJOIN(", ",TRUE,_xlfn._xlws.SORT(_xlfn.UNIQUE(_xlfn._xlws.FILTER(MasterFees[Source ID],MasterFees[Provider / Payer]=Contracts[[#This Row],[Contract Name]],""))))</f>
        <v>SRC-04</v>
      </c>
      <c r="E12" s="131" t="s">
        <v>4919</v>
      </c>
      <c r="F12" s="137"/>
      <c r="G12" s="138"/>
      <c r="H12" s="131" t="s">
        <v>4915</v>
      </c>
      <c r="I12" s="131" t="s">
        <v>4914</v>
      </c>
      <c r="J12" s="130" t="str" cm="1">
        <f t="array" ref="J12">_xlfn.TEXTJOIN(", ",TRUE,_xlfn.UNIQUE(_xlfn._xlws.FILTER(MasterFees[GST Basis],MasterFees[Provider / Payer]=Contracts[[#This Row],[Contract Name]],"")))</f>
        <v>Incl</v>
      </c>
      <c r="K12" s="139">
        <f>COUNTIFS(MasterFees[Provider / Payer],Contracts[[#This Row],[Contract Name]])</f>
        <v>16</v>
      </c>
      <c r="L12" s="139">
        <f>Contracts[[#This Row],[Master Lines]]-Contracts[[#This Row],[Add-on / Time-band Lines]]</f>
        <v>15</v>
      </c>
      <c r="M12" s="139">
        <f>COUNTIFS(MasterFees[Provider / Payer],Contracts[[#This Row],[Contract Name]],MasterFees[Fee Basis],"Add-on")+COUNTIFS(MasterFees[Provider / Payer],Contracts[[#This Row],[Contract Name]],MasterFees[Fee Basis],"Time band")</f>
        <v>1</v>
      </c>
      <c r="N12" s="131" t="s">
        <v>4916</v>
      </c>
      <c r="O12" s="131"/>
    </row>
    <row r="13" spans="1:15" x14ac:dyDescent="0.2">
      <c r="A13" s="131" t="s">
        <v>4928</v>
      </c>
      <c r="B13" s="131" t="s">
        <v>2674</v>
      </c>
      <c r="C13" s="130" t="str">
        <f>_xlfn.XLOOKUP(_xlfn.TEXTBEFORE(Contracts[[#This Row],[Source IDs]]&amp;",",","),SourceRegister[Source ID],SourceRegister[Provider / issuer],"")</f>
        <v>NZ Society of Anaesthetists</v>
      </c>
      <c r="D13" s="130" t="str" cm="1">
        <f t="array" ref="D13">_xlfn.TEXTJOIN(", ",TRUE,_xlfn._xlws.SORT(_xlfn.UNIQUE(_xlfn._xlws.FILTER(MasterFees[Source ID],MasterFees[Provider / Payer]=Contracts[[#This Row],[Contract Name]],""))))</f>
        <v>SRC-01</v>
      </c>
      <c r="E13" s="131" t="s">
        <v>4914</v>
      </c>
      <c r="F13" s="137"/>
      <c r="G13" s="138"/>
      <c r="H13" s="131" t="s">
        <v>4915</v>
      </c>
      <c r="I13" s="131" t="s">
        <v>4914</v>
      </c>
      <c r="J13" s="130" t="str" cm="1">
        <f t="array" ref="J13">_xlfn.TEXTJOIN(", ",TRUE,_xlfn.UNIQUE(_xlfn._xlws.FILTER(MasterFees[GST Basis],MasterFees[Provider / Payer]=Contracts[[#This Row],[Contract Name]],"")))</f>
        <v/>
      </c>
      <c r="K13" s="139">
        <f>COUNTIFS(MasterFees[Provider / Payer],Contracts[[#This Row],[Contract Name]])</f>
        <v>3</v>
      </c>
      <c r="L13" s="139">
        <f>Contracts[[#This Row],[Master Lines]]-Contracts[[#This Row],[Add-on / Time-band Lines]]</f>
        <v>3</v>
      </c>
      <c r="M13" s="139">
        <f>COUNTIFS(MasterFees[Provider / Payer],Contracts[[#This Row],[Contract Name]],MasterFees[Fee Basis],"Add-on")+COUNTIFS(MasterFees[Provider / Payer],Contracts[[#This Row],[Contract Name]],MasterFees[Fee Basis],"Time band")</f>
        <v>0</v>
      </c>
      <c r="N13" s="131" t="s">
        <v>4916</v>
      </c>
      <c r="O13" s="131" t="s">
        <v>4929</v>
      </c>
    </row>
    <row r="14" spans="1:15" x14ac:dyDescent="0.2">
      <c r="A14" s="131" t="s">
        <v>4930</v>
      </c>
      <c r="B14" s="131" t="s">
        <v>2630</v>
      </c>
      <c r="C14" s="130" t="str">
        <f>_xlfn.XLOOKUP(_xlfn.TEXTBEFORE(Contracts[[#This Row],[Source IDs]]&amp;",",","),SourceRegister[Source ID],SourceRegister[Provider / issuer],"")</f>
        <v>NZ Society of Anaesthetists</v>
      </c>
      <c r="D14" s="130" t="str" cm="1">
        <f t="array" ref="D14">_xlfn.TEXTJOIN(", ",TRUE,_xlfn._xlws.SORT(_xlfn.UNIQUE(_xlfn._xlws.FILTER(MasterFees[Source ID],MasterFees[Provider / Payer]=Contracts[[#This Row],[Contract Name]],""))))</f>
        <v>SRC-01</v>
      </c>
      <c r="E14" s="131" t="s">
        <v>1019</v>
      </c>
      <c r="F14" s="137"/>
      <c r="G14" s="138"/>
      <c r="H14" s="131" t="s">
        <v>1020</v>
      </c>
      <c r="I14" s="131" t="s">
        <v>1020</v>
      </c>
      <c r="J14" s="130" t="str" cm="1">
        <f t="array" ref="J14">_xlfn.TEXTJOIN(", ",TRUE,_xlfn.UNIQUE(_xlfn._xlws.FILTER(MasterFees[GST Basis],MasterFees[Provider / Payer]=Contracts[[#This Row],[Contract Name]],"")))</f>
        <v/>
      </c>
      <c r="K14" s="139">
        <f>COUNTIFS(MasterFees[Provider / Payer],Contracts[[#This Row],[Contract Name]])</f>
        <v>138</v>
      </c>
      <c r="L14" s="139">
        <f>Contracts[[#This Row],[Master Lines]]-Contracts[[#This Row],[Add-on / Time-band Lines]]</f>
        <v>106</v>
      </c>
      <c r="M14" s="139">
        <f>COUNTIFS(MasterFees[Provider / Payer],Contracts[[#This Row],[Contract Name]],MasterFees[Fee Basis],"Add-on")+COUNTIFS(MasterFees[Provider / Payer],Contracts[[#This Row],[Contract Name]],MasterFees[Fee Basis],"Time band")</f>
        <v>32</v>
      </c>
      <c r="N14" s="131" t="s">
        <v>4931</v>
      </c>
      <c r="O14" s="131" t="s">
        <v>4932</v>
      </c>
    </row>
    <row r="16" spans="1:15" x14ac:dyDescent="0.2">
      <c r="A16" s="140" t="s">
        <v>4933</v>
      </c>
    </row>
  </sheetData>
  <conditionalFormatting sqref="E5:I14">
    <cfRule type="containsText" dxfId="2" priority="1" operator="containsText" text="To confirm">
      <formula>NOT(ISERROR(SEARCH("To confirm",E5)))</formula>
    </cfRule>
  </conditionalFormatting>
  <dataValidations count="2">
    <dataValidation type="list" allowBlank="1" showInputMessage="1" showErrorMessage="1" sqref="E5:E14" xr:uid="{54443327-0274-8048-8F13-CE8E9559D965}">
      <formula1>"RVG × own unit value,RVG × contract rate / discount,Fixed fee schedule,Rate × time,Reference – units only,To confirm"</formula1>
    </dataValidation>
    <dataValidation type="list" allowBlank="1" showInputMessage="1" showErrorMessage="1" sqref="I5:I14" xr:uid="{E98BA2DC-7642-5E47-A64B-4F6576A06F1A}">
      <formula1>"Not permitted,% discount,Fixed final price,% discount or fixed final price,To confirm,n/a"</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EB22B-BDBC-1945-A2DF-9056898D32C9}">
  <sheetPr>
    <tabColor theme="9"/>
  </sheetPr>
  <dimension ref="A1:I142"/>
  <sheetViews>
    <sheetView workbookViewId="0">
      <pane ySplit="4" topLeftCell="A5" activePane="bottomLeft" state="frozen"/>
      <selection pane="bottomLeft" activeCell="C11" sqref="C11"/>
    </sheetView>
  </sheetViews>
  <sheetFormatPr baseColWidth="10" defaultRowHeight="15" x14ac:dyDescent="0.2"/>
  <cols>
    <col min="1" max="2" width="12.5" customWidth="1"/>
    <col min="3" max="3" width="28.33203125" customWidth="1"/>
    <col min="4" max="4" width="20" customWidth="1"/>
    <col min="5" max="5" width="70" customWidth="1"/>
    <col min="6" max="7" width="10.83203125" customWidth="1"/>
    <col min="8" max="8" width="60" customWidth="1"/>
    <col min="9" max="9" width="10" customWidth="1"/>
  </cols>
  <sheetData>
    <row r="1" spans="1:9" ht="19" x14ac:dyDescent="0.25">
      <c r="A1" s="27" t="s">
        <v>1070</v>
      </c>
    </row>
    <row r="2" spans="1:9" x14ac:dyDescent="0.2">
      <c r="A2" s="11" t="s">
        <v>2562</v>
      </c>
    </row>
    <row r="4" spans="1:9" x14ac:dyDescent="0.2">
      <c r="A4" s="16" t="s">
        <v>1071</v>
      </c>
      <c r="B4" s="16" t="s">
        <v>2545</v>
      </c>
      <c r="C4" s="16" t="s">
        <v>1072</v>
      </c>
      <c r="D4" s="16" t="s">
        <v>1073</v>
      </c>
      <c r="E4" s="16" t="s">
        <v>1074</v>
      </c>
      <c r="F4" s="16" t="s">
        <v>1075</v>
      </c>
      <c r="G4" s="16" t="s">
        <v>1076</v>
      </c>
      <c r="H4" s="16" t="s">
        <v>1011</v>
      </c>
      <c r="I4" s="65" t="s">
        <v>1093</v>
      </c>
    </row>
    <row r="5" spans="1:9" ht="16" x14ac:dyDescent="0.2">
      <c r="A5" s="62" t="s">
        <v>2546</v>
      </c>
      <c r="B5" s="60" t="s">
        <v>2155</v>
      </c>
      <c r="C5" s="60" t="s">
        <v>2151</v>
      </c>
      <c r="D5" s="60"/>
      <c r="E5" s="61" t="s">
        <v>2153</v>
      </c>
      <c r="F5" s="66">
        <v>4</v>
      </c>
      <c r="G5" s="66"/>
      <c r="H5" s="61" t="s">
        <v>2547</v>
      </c>
      <c r="I5" s="60" t="s">
        <v>2548</v>
      </c>
    </row>
    <row r="6" spans="1:9" ht="16" x14ac:dyDescent="0.2">
      <c r="A6" s="62" t="s">
        <v>2157</v>
      </c>
      <c r="B6" s="60" t="s">
        <v>2155</v>
      </c>
      <c r="C6" s="60" t="s">
        <v>2156</v>
      </c>
      <c r="D6" s="60"/>
      <c r="E6" s="61" t="s">
        <v>2158</v>
      </c>
      <c r="F6" s="66">
        <v>4</v>
      </c>
      <c r="G6" s="66"/>
      <c r="H6" s="61"/>
      <c r="I6" s="60" t="s">
        <v>2548</v>
      </c>
    </row>
    <row r="7" spans="1:9" ht="32" x14ac:dyDescent="0.2">
      <c r="A7" s="62" t="s">
        <v>2159</v>
      </c>
      <c r="B7" s="60" t="s">
        <v>2155</v>
      </c>
      <c r="C7" s="60" t="s">
        <v>2156</v>
      </c>
      <c r="D7" s="60"/>
      <c r="E7" s="61" t="s">
        <v>2160</v>
      </c>
      <c r="F7" s="66">
        <v>5</v>
      </c>
      <c r="G7" s="66"/>
      <c r="H7" s="61"/>
      <c r="I7" s="60" t="s">
        <v>2548</v>
      </c>
    </row>
    <row r="8" spans="1:9" ht="32" x14ac:dyDescent="0.2">
      <c r="A8" s="62" t="s">
        <v>2162</v>
      </c>
      <c r="B8" s="60" t="s">
        <v>2155</v>
      </c>
      <c r="C8" s="60" t="s">
        <v>2156</v>
      </c>
      <c r="D8" s="60"/>
      <c r="E8" s="61" t="s">
        <v>2163</v>
      </c>
      <c r="F8" s="66">
        <v>6</v>
      </c>
      <c r="G8" s="66"/>
      <c r="H8" s="61"/>
      <c r="I8" s="60" t="s">
        <v>2548</v>
      </c>
    </row>
    <row r="9" spans="1:9" ht="32" x14ac:dyDescent="0.2">
      <c r="A9" s="62" t="s">
        <v>2165</v>
      </c>
      <c r="B9" s="60" t="s">
        <v>2155</v>
      </c>
      <c r="C9" s="60" t="s">
        <v>2156</v>
      </c>
      <c r="D9" s="60"/>
      <c r="E9" s="61" t="s">
        <v>2166</v>
      </c>
      <c r="F9" s="66">
        <v>10</v>
      </c>
      <c r="G9" s="66">
        <v>12</v>
      </c>
      <c r="H9" s="61" t="s">
        <v>2168</v>
      </c>
      <c r="I9" s="60" t="s">
        <v>2548</v>
      </c>
    </row>
    <row r="10" spans="1:9" ht="16" x14ac:dyDescent="0.2">
      <c r="A10" s="62" t="s">
        <v>2170</v>
      </c>
      <c r="B10" s="60" t="s">
        <v>2155</v>
      </c>
      <c r="C10" s="60" t="s">
        <v>2156</v>
      </c>
      <c r="D10" s="60" t="s">
        <v>2169</v>
      </c>
      <c r="E10" s="61" t="s">
        <v>2171</v>
      </c>
      <c r="F10" s="66">
        <v>5</v>
      </c>
      <c r="G10" s="66"/>
      <c r="H10" s="61"/>
      <c r="I10" s="60" t="s">
        <v>2548</v>
      </c>
    </row>
    <row r="11" spans="1:9" ht="16" x14ac:dyDescent="0.2">
      <c r="A11" s="62" t="s">
        <v>2173</v>
      </c>
      <c r="B11" s="60" t="s">
        <v>2155</v>
      </c>
      <c r="C11" s="60" t="s">
        <v>2156</v>
      </c>
      <c r="D11" s="60" t="s">
        <v>2172</v>
      </c>
      <c r="E11" s="61" t="s">
        <v>2174</v>
      </c>
      <c r="F11" s="66">
        <v>4</v>
      </c>
      <c r="G11" s="66"/>
      <c r="H11" s="61"/>
      <c r="I11" s="60" t="s">
        <v>2548</v>
      </c>
    </row>
    <row r="12" spans="1:9" ht="16" x14ac:dyDescent="0.2">
      <c r="A12" s="62" t="s">
        <v>2175</v>
      </c>
      <c r="B12" s="60" t="s">
        <v>2155</v>
      </c>
      <c r="C12" s="60" t="s">
        <v>2156</v>
      </c>
      <c r="D12" s="60" t="s">
        <v>2172</v>
      </c>
      <c r="E12" s="61" t="s">
        <v>2176</v>
      </c>
      <c r="F12" s="66">
        <v>5</v>
      </c>
      <c r="G12" s="66"/>
      <c r="H12" s="61"/>
      <c r="I12" s="60" t="s">
        <v>2548</v>
      </c>
    </row>
    <row r="13" spans="1:9" ht="32" x14ac:dyDescent="0.2">
      <c r="A13" s="62" t="s">
        <v>2185</v>
      </c>
      <c r="B13" s="60" t="s">
        <v>2155</v>
      </c>
      <c r="C13" s="60" t="s">
        <v>2156</v>
      </c>
      <c r="D13" s="60" t="s">
        <v>2177</v>
      </c>
      <c r="E13" s="61" t="s">
        <v>2186</v>
      </c>
      <c r="F13" s="66">
        <v>10</v>
      </c>
      <c r="G13" s="66"/>
      <c r="H13" s="61" t="s">
        <v>2188</v>
      </c>
      <c r="I13" s="60" t="s">
        <v>2548</v>
      </c>
    </row>
    <row r="14" spans="1:9" ht="32" x14ac:dyDescent="0.2">
      <c r="A14" s="62" t="s">
        <v>2189</v>
      </c>
      <c r="B14" s="60" t="s">
        <v>2155</v>
      </c>
      <c r="C14" s="60" t="s">
        <v>2156</v>
      </c>
      <c r="D14" s="60" t="s">
        <v>2177</v>
      </c>
      <c r="E14" s="61" t="s">
        <v>2190</v>
      </c>
      <c r="F14" s="66">
        <v>12</v>
      </c>
      <c r="G14" s="66"/>
      <c r="H14" s="61" t="s">
        <v>2192</v>
      </c>
      <c r="I14" s="60" t="s">
        <v>2548</v>
      </c>
    </row>
    <row r="15" spans="1:9" ht="16" x14ac:dyDescent="0.2">
      <c r="A15" s="62" t="s">
        <v>2195</v>
      </c>
      <c r="B15" s="60" t="s">
        <v>2155</v>
      </c>
      <c r="C15" s="60" t="s">
        <v>2156</v>
      </c>
      <c r="D15" s="60" t="s">
        <v>2177</v>
      </c>
      <c r="E15" s="61" t="s">
        <v>2196</v>
      </c>
      <c r="F15" s="66">
        <v>12</v>
      </c>
      <c r="G15" s="66"/>
      <c r="H15" s="61" t="s">
        <v>2192</v>
      </c>
      <c r="I15" s="60" t="s">
        <v>2548</v>
      </c>
    </row>
    <row r="16" spans="1:9" ht="16" x14ac:dyDescent="0.2">
      <c r="A16" s="62" t="s">
        <v>2197</v>
      </c>
      <c r="B16" s="60" t="s">
        <v>2155</v>
      </c>
      <c r="C16" s="60" t="s">
        <v>2156</v>
      </c>
      <c r="D16" s="60" t="s">
        <v>2177</v>
      </c>
      <c r="E16" s="61" t="s">
        <v>2198</v>
      </c>
      <c r="F16" s="66">
        <v>14</v>
      </c>
      <c r="G16" s="66"/>
      <c r="H16" s="61" t="s">
        <v>2192</v>
      </c>
      <c r="I16" s="60" t="s">
        <v>2548</v>
      </c>
    </row>
    <row r="17" spans="1:9" ht="16" x14ac:dyDescent="0.2">
      <c r="A17" s="62" t="s">
        <v>2202</v>
      </c>
      <c r="B17" s="60" t="s">
        <v>2155</v>
      </c>
      <c r="C17" s="60" t="s">
        <v>2156</v>
      </c>
      <c r="D17" s="60" t="s">
        <v>2177</v>
      </c>
      <c r="E17" s="61" t="s">
        <v>2203</v>
      </c>
      <c r="F17" s="66">
        <v>20</v>
      </c>
      <c r="G17" s="66"/>
      <c r="H17" s="61" t="s">
        <v>2192</v>
      </c>
      <c r="I17" s="60" t="s">
        <v>2548</v>
      </c>
    </row>
    <row r="18" spans="1:9" ht="16" x14ac:dyDescent="0.2">
      <c r="A18" s="62" t="s">
        <v>2205</v>
      </c>
      <c r="B18" s="60" t="s">
        <v>2155</v>
      </c>
      <c r="C18" s="60" t="s">
        <v>2156</v>
      </c>
      <c r="D18" s="60" t="s">
        <v>2177</v>
      </c>
      <c r="E18" s="61" t="s">
        <v>2206</v>
      </c>
      <c r="F18" s="66">
        <v>22</v>
      </c>
      <c r="G18" s="66"/>
      <c r="H18" s="61" t="s">
        <v>2192</v>
      </c>
      <c r="I18" s="60" t="s">
        <v>2548</v>
      </c>
    </row>
    <row r="19" spans="1:9" ht="16" x14ac:dyDescent="0.2">
      <c r="A19" s="62" t="s">
        <v>2209</v>
      </c>
      <c r="B19" s="60" t="s">
        <v>2155</v>
      </c>
      <c r="C19" s="60" t="s">
        <v>2208</v>
      </c>
      <c r="D19" s="60"/>
      <c r="E19" s="61" t="s">
        <v>2210</v>
      </c>
      <c r="F19" s="66">
        <v>4</v>
      </c>
      <c r="G19" s="66"/>
      <c r="H19" s="61"/>
      <c r="I19" s="60" t="s">
        <v>2548</v>
      </c>
    </row>
    <row r="20" spans="1:9" ht="16" x14ac:dyDescent="0.2">
      <c r="A20" s="62" t="s">
        <v>2211</v>
      </c>
      <c r="B20" s="60" t="s">
        <v>2155</v>
      </c>
      <c r="C20" s="60" t="s">
        <v>2208</v>
      </c>
      <c r="D20" s="60"/>
      <c r="E20" s="61" t="s">
        <v>2212</v>
      </c>
      <c r="F20" s="66">
        <v>5</v>
      </c>
      <c r="G20" s="66"/>
      <c r="H20" s="61"/>
      <c r="I20" s="60" t="s">
        <v>2548</v>
      </c>
    </row>
    <row r="21" spans="1:9" ht="32" x14ac:dyDescent="0.2">
      <c r="A21" s="62" t="s">
        <v>2213</v>
      </c>
      <c r="B21" s="60" t="s">
        <v>2155</v>
      </c>
      <c r="C21" s="60" t="s">
        <v>2208</v>
      </c>
      <c r="D21" s="60"/>
      <c r="E21" s="61" t="s">
        <v>2214</v>
      </c>
      <c r="F21" s="66">
        <v>6</v>
      </c>
      <c r="G21" s="66"/>
      <c r="H21" s="61"/>
      <c r="I21" s="60" t="s">
        <v>2548</v>
      </c>
    </row>
    <row r="22" spans="1:9" ht="32" x14ac:dyDescent="0.2">
      <c r="A22" s="62" t="s">
        <v>2215</v>
      </c>
      <c r="B22" s="60" t="s">
        <v>2155</v>
      </c>
      <c r="C22" s="60" t="s">
        <v>2208</v>
      </c>
      <c r="D22" s="60"/>
      <c r="E22" s="61" t="s">
        <v>2216</v>
      </c>
      <c r="F22" s="66">
        <v>10</v>
      </c>
      <c r="G22" s="66">
        <v>14</v>
      </c>
      <c r="H22" s="61" t="s">
        <v>2218</v>
      </c>
      <c r="I22" s="60" t="s">
        <v>2548</v>
      </c>
    </row>
    <row r="23" spans="1:9" ht="16" x14ac:dyDescent="0.2">
      <c r="A23" s="62" t="s">
        <v>2220</v>
      </c>
      <c r="B23" s="60" t="s">
        <v>2155</v>
      </c>
      <c r="C23" s="60" t="s">
        <v>2219</v>
      </c>
      <c r="D23" s="60"/>
      <c r="E23" s="61" t="s">
        <v>2221</v>
      </c>
      <c r="F23" s="66">
        <v>4</v>
      </c>
      <c r="G23" s="66"/>
      <c r="H23" s="61" t="s">
        <v>2222</v>
      </c>
      <c r="I23" s="60" t="s">
        <v>2549</v>
      </c>
    </row>
    <row r="24" spans="1:9" ht="32" x14ac:dyDescent="0.2">
      <c r="A24" s="62" t="s">
        <v>2223</v>
      </c>
      <c r="B24" s="60" t="s">
        <v>2155</v>
      </c>
      <c r="C24" s="60" t="s">
        <v>2219</v>
      </c>
      <c r="D24" s="60"/>
      <c r="E24" s="61" t="s">
        <v>2224</v>
      </c>
      <c r="F24" s="66">
        <v>5</v>
      </c>
      <c r="G24" s="66"/>
      <c r="H24" s="61" t="s">
        <v>2222</v>
      </c>
      <c r="I24" s="60" t="s">
        <v>2549</v>
      </c>
    </row>
    <row r="25" spans="1:9" ht="48" x14ac:dyDescent="0.2">
      <c r="A25" s="62" t="s">
        <v>2225</v>
      </c>
      <c r="B25" s="60" t="s">
        <v>2155</v>
      </c>
      <c r="C25" s="60" t="s">
        <v>2219</v>
      </c>
      <c r="D25" s="60"/>
      <c r="E25" s="61" t="s">
        <v>2226</v>
      </c>
      <c r="F25" s="66">
        <v>6</v>
      </c>
      <c r="G25" s="66"/>
      <c r="H25" s="61" t="s">
        <v>2222</v>
      </c>
      <c r="I25" s="60" t="s">
        <v>2549</v>
      </c>
    </row>
    <row r="26" spans="1:9" ht="16" x14ac:dyDescent="0.2">
      <c r="A26" s="62" t="s">
        <v>2227</v>
      </c>
      <c r="B26" s="60" t="s">
        <v>2155</v>
      </c>
      <c r="C26" s="60" t="s">
        <v>2219</v>
      </c>
      <c r="D26" s="60"/>
      <c r="E26" s="61" t="s">
        <v>2228</v>
      </c>
      <c r="F26" s="66">
        <v>8</v>
      </c>
      <c r="G26" s="66"/>
      <c r="H26" s="61" t="s">
        <v>2222</v>
      </c>
      <c r="I26" s="60" t="s">
        <v>2549</v>
      </c>
    </row>
    <row r="27" spans="1:9" ht="16" x14ac:dyDescent="0.2">
      <c r="A27" s="62" t="s">
        <v>2233</v>
      </c>
      <c r="B27" s="60" t="s">
        <v>2155</v>
      </c>
      <c r="C27" s="60" t="s">
        <v>2232</v>
      </c>
      <c r="D27" s="60"/>
      <c r="E27" s="61" t="s">
        <v>2234</v>
      </c>
      <c r="F27" s="66">
        <v>4</v>
      </c>
      <c r="G27" s="66"/>
      <c r="H27" s="61" t="s">
        <v>2235</v>
      </c>
      <c r="I27" s="60" t="s">
        <v>2549</v>
      </c>
    </row>
    <row r="28" spans="1:9" ht="32" x14ac:dyDescent="0.2">
      <c r="A28" s="62" t="s">
        <v>2237</v>
      </c>
      <c r="B28" s="60" t="s">
        <v>2155</v>
      </c>
      <c r="C28" s="60" t="s">
        <v>2232</v>
      </c>
      <c r="D28" s="60" t="s">
        <v>2236</v>
      </c>
      <c r="E28" s="61" t="s">
        <v>2238</v>
      </c>
      <c r="F28" s="66">
        <v>4</v>
      </c>
      <c r="G28" s="66"/>
      <c r="H28" s="61" t="s">
        <v>2239</v>
      </c>
      <c r="I28" s="60" t="s">
        <v>2549</v>
      </c>
    </row>
    <row r="29" spans="1:9" ht="32" x14ac:dyDescent="0.2">
      <c r="A29" s="62" t="s">
        <v>2237</v>
      </c>
      <c r="B29" s="60" t="s">
        <v>2155</v>
      </c>
      <c r="C29" s="60" t="s">
        <v>2232</v>
      </c>
      <c r="D29" s="60" t="s">
        <v>2236</v>
      </c>
      <c r="E29" s="61" t="s">
        <v>2240</v>
      </c>
      <c r="F29" s="66">
        <v>5</v>
      </c>
      <c r="G29" s="66"/>
      <c r="H29" s="61" t="s">
        <v>2241</v>
      </c>
      <c r="I29" s="60" t="s">
        <v>2549</v>
      </c>
    </row>
    <row r="30" spans="1:9" ht="32" x14ac:dyDescent="0.2">
      <c r="A30" s="62" t="s">
        <v>2242</v>
      </c>
      <c r="B30" s="60" t="s">
        <v>2155</v>
      </c>
      <c r="C30" s="60" t="s">
        <v>2232</v>
      </c>
      <c r="D30" s="60" t="s">
        <v>2236</v>
      </c>
      <c r="E30" s="61" t="s">
        <v>2243</v>
      </c>
      <c r="F30" s="66">
        <v>6</v>
      </c>
      <c r="G30" s="66"/>
      <c r="H30" s="61"/>
      <c r="I30" s="60" t="s">
        <v>2549</v>
      </c>
    </row>
    <row r="31" spans="1:9" ht="16" x14ac:dyDescent="0.2">
      <c r="A31" s="62" t="s">
        <v>2244</v>
      </c>
      <c r="B31" s="60" t="s">
        <v>2155</v>
      </c>
      <c r="C31" s="60" t="s">
        <v>2232</v>
      </c>
      <c r="D31" s="60" t="s">
        <v>2236</v>
      </c>
      <c r="E31" s="61" t="s">
        <v>2245</v>
      </c>
      <c r="F31" s="66">
        <v>8</v>
      </c>
      <c r="G31" s="66"/>
      <c r="H31" s="61"/>
      <c r="I31" s="60" t="s">
        <v>2549</v>
      </c>
    </row>
    <row r="32" spans="1:9" ht="16" x14ac:dyDescent="0.2">
      <c r="A32" s="62" t="s">
        <v>2247</v>
      </c>
      <c r="B32" s="60" t="s">
        <v>2155</v>
      </c>
      <c r="C32" s="60" t="s">
        <v>2232</v>
      </c>
      <c r="D32" s="60" t="s">
        <v>2246</v>
      </c>
      <c r="E32" s="61" t="s">
        <v>2248</v>
      </c>
      <c r="F32" s="66">
        <v>6</v>
      </c>
      <c r="G32" s="66"/>
      <c r="H32" s="61"/>
      <c r="I32" s="60" t="s">
        <v>2549</v>
      </c>
    </row>
    <row r="33" spans="1:9" ht="16" x14ac:dyDescent="0.2">
      <c r="A33" s="62" t="s">
        <v>2249</v>
      </c>
      <c r="B33" s="60" t="s">
        <v>2155</v>
      </c>
      <c r="C33" s="60" t="s">
        <v>2232</v>
      </c>
      <c r="D33" s="60" t="s">
        <v>2246</v>
      </c>
      <c r="E33" s="61" t="s">
        <v>2250</v>
      </c>
      <c r="F33" s="66">
        <v>8</v>
      </c>
      <c r="G33" s="66"/>
      <c r="H33" s="61"/>
      <c r="I33" s="60" t="s">
        <v>2549</v>
      </c>
    </row>
    <row r="34" spans="1:9" ht="16" x14ac:dyDescent="0.2">
      <c r="A34" s="62" t="s">
        <v>2251</v>
      </c>
      <c r="B34" s="60" t="s">
        <v>2155</v>
      </c>
      <c r="C34" s="60" t="s">
        <v>2232</v>
      </c>
      <c r="D34" s="60" t="s">
        <v>2246</v>
      </c>
      <c r="E34" s="61" t="s">
        <v>2252</v>
      </c>
      <c r="F34" s="66">
        <v>8</v>
      </c>
      <c r="G34" s="66">
        <v>10</v>
      </c>
      <c r="H34" s="61" t="s">
        <v>2254</v>
      </c>
      <c r="I34" s="60" t="s">
        <v>2549</v>
      </c>
    </row>
    <row r="35" spans="1:9" ht="16" x14ac:dyDescent="0.2">
      <c r="A35" s="62" t="s">
        <v>2255</v>
      </c>
      <c r="B35" s="60" t="s">
        <v>2155</v>
      </c>
      <c r="C35" s="60" t="s">
        <v>2232</v>
      </c>
      <c r="D35" s="60" t="s">
        <v>2246</v>
      </c>
      <c r="E35" s="61" t="s">
        <v>2256</v>
      </c>
      <c r="F35" s="66">
        <v>14</v>
      </c>
      <c r="G35" s="66"/>
      <c r="H35" s="61"/>
      <c r="I35" s="60" t="s">
        <v>2549</v>
      </c>
    </row>
    <row r="36" spans="1:9" ht="32" x14ac:dyDescent="0.2">
      <c r="A36" s="62" t="s">
        <v>2257</v>
      </c>
      <c r="B36" s="60" t="s">
        <v>2155</v>
      </c>
      <c r="C36" s="60" t="s">
        <v>2232</v>
      </c>
      <c r="D36" s="60" t="s">
        <v>2246</v>
      </c>
      <c r="E36" s="61" t="s">
        <v>2258</v>
      </c>
      <c r="F36" s="66">
        <v>20</v>
      </c>
      <c r="G36" s="66"/>
      <c r="H36" s="61"/>
      <c r="I36" s="60" t="s">
        <v>2549</v>
      </c>
    </row>
    <row r="37" spans="1:9" ht="16" x14ac:dyDescent="0.2">
      <c r="A37" s="62" t="s">
        <v>2260</v>
      </c>
      <c r="B37" s="60" t="s">
        <v>2155</v>
      </c>
      <c r="C37" s="60" t="s">
        <v>2232</v>
      </c>
      <c r="D37" s="60" t="s">
        <v>2259</v>
      </c>
      <c r="E37" s="61" t="s">
        <v>2261</v>
      </c>
      <c r="F37" s="66">
        <v>8</v>
      </c>
      <c r="G37" s="66"/>
      <c r="H37" s="61"/>
      <c r="I37" s="60" t="s">
        <v>2549</v>
      </c>
    </row>
    <row r="38" spans="1:9" ht="16" x14ac:dyDescent="0.2">
      <c r="A38" s="62" t="s">
        <v>2262</v>
      </c>
      <c r="B38" s="60" t="s">
        <v>2155</v>
      </c>
      <c r="C38" s="60" t="s">
        <v>2232</v>
      </c>
      <c r="D38" s="60" t="s">
        <v>2259</v>
      </c>
      <c r="E38" s="61" t="s">
        <v>2263</v>
      </c>
      <c r="F38" s="66">
        <v>16</v>
      </c>
      <c r="G38" s="66"/>
      <c r="H38" s="61"/>
      <c r="I38" s="60" t="s">
        <v>2549</v>
      </c>
    </row>
    <row r="39" spans="1:9" ht="16" x14ac:dyDescent="0.2">
      <c r="A39" s="62" t="s">
        <v>2265</v>
      </c>
      <c r="B39" s="60" t="s">
        <v>2155</v>
      </c>
      <c r="C39" s="60" t="s">
        <v>2232</v>
      </c>
      <c r="D39" s="60" t="s">
        <v>2259</v>
      </c>
      <c r="E39" s="61" t="s">
        <v>2266</v>
      </c>
      <c r="F39" s="66">
        <v>20</v>
      </c>
      <c r="G39" s="66"/>
      <c r="H39" s="61"/>
      <c r="I39" s="60" t="s">
        <v>2549</v>
      </c>
    </row>
    <row r="40" spans="1:9" ht="16" x14ac:dyDescent="0.2">
      <c r="A40" s="62" t="s">
        <v>2267</v>
      </c>
      <c r="B40" s="60" t="s">
        <v>2155</v>
      </c>
      <c r="C40" s="60" t="s">
        <v>2232</v>
      </c>
      <c r="D40" s="60" t="s">
        <v>2259</v>
      </c>
      <c r="E40" s="61" t="s">
        <v>2268</v>
      </c>
      <c r="F40" s="66">
        <v>15</v>
      </c>
      <c r="G40" s="66"/>
      <c r="H40" s="61"/>
      <c r="I40" s="60" t="s">
        <v>2549</v>
      </c>
    </row>
    <row r="41" spans="1:9" ht="16" x14ac:dyDescent="0.2">
      <c r="A41" s="62" t="s">
        <v>2271</v>
      </c>
      <c r="B41" s="60" t="s">
        <v>2155</v>
      </c>
      <c r="C41" s="60" t="s">
        <v>2232</v>
      </c>
      <c r="D41" s="60" t="s">
        <v>2270</v>
      </c>
      <c r="E41" s="61" t="s">
        <v>2272</v>
      </c>
      <c r="F41" s="66">
        <v>2</v>
      </c>
      <c r="G41" s="66"/>
      <c r="H41" s="61"/>
      <c r="I41" s="60" t="s">
        <v>2549</v>
      </c>
    </row>
    <row r="42" spans="1:9" ht="16" x14ac:dyDescent="0.2">
      <c r="A42" s="62" t="s">
        <v>2274</v>
      </c>
      <c r="B42" s="60" t="s">
        <v>2155</v>
      </c>
      <c r="C42" s="60" t="s">
        <v>2232</v>
      </c>
      <c r="D42" s="60" t="s">
        <v>2270</v>
      </c>
      <c r="E42" s="61" t="s">
        <v>2275</v>
      </c>
      <c r="F42" s="66">
        <v>6</v>
      </c>
      <c r="G42" s="66"/>
      <c r="H42" s="61" t="s">
        <v>2276</v>
      </c>
      <c r="I42" s="60" t="s">
        <v>2549</v>
      </c>
    </row>
    <row r="43" spans="1:9" ht="16" x14ac:dyDescent="0.2">
      <c r="A43" s="62" t="s">
        <v>2279</v>
      </c>
      <c r="B43" s="60" t="s">
        <v>2155</v>
      </c>
      <c r="C43" s="60" t="s">
        <v>2277</v>
      </c>
      <c r="D43" s="60"/>
      <c r="E43" s="61" t="s">
        <v>2280</v>
      </c>
      <c r="F43" s="66">
        <v>8</v>
      </c>
      <c r="G43" s="66"/>
      <c r="H43" s="61" t="s">
        <v>2281</v>
      </c>
      <c r="I43" s="60" t="s">
        <v>2550</v>
      </c>
    </row>
    <row r="44" spans="1:9" ht="16" x14ac:dyDescent="0.2">
      <c r="A44" s="62" t="s">
        <v>2283</v>
      </c>
      <c r="B44" s="60" t="s">
        <v>2155</v>
      </c>
      <c r="C44" s="60" t="s">
        <v>2277</v>
      </c>
      <c r="D44" s="60" t="s">
        <v>2282</v>
      </c>
      <c r="E44" s="61" t="s">
        <v>2284</v>
      </c>
      <c r="F44" s="66">
        <v>8</v>
      </c>
      <c r="G44" s="66"/>
      <c r="H44" s="61" t="s">
        <v>2281</v>
      </c>
      <c r="I44" s="60" t="s">
        <v>2550</v>
      </c>
    </row>
    <row r="45" spans="1:9" ht="16" x14ac:dyDescent="0.2">
      <c r="A45" s="62" t="s">
        <v>2285</v>
      </c>
      <c r="B45" s="60" t="s">
        <v>2155</v>
      </c>
      <c r="C45" s="60" t="s">
        <v>2277</v>
      </c>
      <c r="D45" s="60" t="s">
        <v>2282</v>
      </c>
      <c r="E45" s="61" t="s">
        <v>2286</v>
      </c>
      <c r="F45" s="66">
        <v>10</v>
      </c>
      <c r="G45" s="66"/>
      <c r="H45" s="61" t="s">
        <v>2281</v>
      </c>
      <c r="I45" s="60" t="s">
        <v>2550</v>
      </c>
    </row>
    <row r="46" spans="1:9" ht="16" x14ac:dyDescent="0.2">
      <c r="A46" s="62" t="s">
        <v>2287</v>
      </c>
      <c r="B46" s="60" t="s">
        <v>2155</v>
      </c>
      <c r="C46" s="60" t="s">
        <v>2277</v>
      </c>
      <c r="D46" s="60" t="s">
        <v>2282</v>
      </c>
      <c r="E46" s="61" t="s">
        <v>2288</v>
      </c>
      <c r="F46" s="66">
        <v>12</v>
      </c>
      <c r="G46" s="66"/>
      <c r="H46" s="61" t="s">
        <v>2281</v>
      </c>
      <c r="I46" s="60" t="s">
        <v>2550</v>
      </c>
    </row>
    <row r="47" spans="1:9" ht="16" x14ac:dyDescent="0.2">
      <c r="A47" s="62" t="s">
        <v>2289</v>
      </c>
      <c r="B47" s="60" t="s">
        <v>2155</v>
      </c>
      <c r="C47" s="60" t="s">
        <v>2277</v>
      </c>
      <c r="D47" s="60" t="s">
        <v>2246</v>
      </c>
      <c r="E47" s="61" t="s">
        <v>2290</v>
      </c>
      <c r="F47" s="66">
        <v>16</v>
      </c>
      <c r="G47" s="66"/>
      <c r="H47" s="61" t="s">
        <v>2281</v>
      </c>
      <c r="I47" s="60" t="s">
        <v>2550</v>
      </c>
    </row>
    <row r="48" spans="1:9" ht="16" x14ac:dyDescent="0.2">
      <c r="A48" s="62" t="s">
        <v>2291</v>
      </c>
      <c r="B48" s="60" t="s">
        <v>2155</v>
      </c>
      <c r="C48" s="60" t="s">
        <v>2277</v>
      </c>
      <c r="D48" s="60" t="s">
        <v>2246</v>
      </c>
      <c r="E48" s="61" t="s">
        <v>2292</v>
      </c>
      <c r="F48" s="66">
        <v>20</v>
      </c>
      <c r="G48" s="66"/>
      <c r="H48" s="61" t="s">
        <v>2281</v>
      </c>
      <c r="I48" s="60" t="s">
        <v>2550</v>
      </c>
    </row>
    <row r="49" spans="1:9" ht="16" x14ac:dyDescent="0.2">
      <c r="A49" s="62" t="s">
        <v>2294</v>
      </c>
      <c r="B49" s="60" t="s">
        <v>2155</v>
      </c>
      <c r="C49" s="60" t="s">
        <v>2277</v>
      </c>
      <c r="D49" s="60" t="s">
        <v>2293</v>
      </c>
      <c r="E49" s="61" t="s">
        <v>2295</v>
      </c>
      <c r="F49" s="66">
        <v>8</v>
      </c>
      <c r="G49" s="66"/>
      <c r="H49" s="61" t="s">
        <v>2281</v>
      </c>
      <c r="I49" s="60" t="s">
        <v>2550</v>
      </c>
    </row>
    <row r="50" spans="1:9" ht="16" x14ac:dyDescent="0.2">
      <c r="A50" s="62" t="s">
        <v>2296</v>
      </c>
      <c r="B50" s="60" t="s">
        <v>2155</v>
      </c>
      <c r="C50" s="60" t="s">
        <v>2277</v>
      </c>
      <c r="D50" s="60" t="s">
        <v>2293</v>
      </c>
      <c r="E50" s="61" t="s">
        <v>2297</v>
      </c>
      <c r="F50" s="66">
        <v>8</v>
      </c>
      <c r="G50" s="66"/>
      <c r="H50" s="61" t="s">
        <v>2281</v>
      </c>
      <c r="I50" s="60" t="s">
        <v>2550</v>
      </c>
    </row>
    <row r="51" spans="1:9" ht="16" x14ac:dyDescent="0.2">
      <c r="A51" s="62" t="s">
        <v>2298</v>
      </c>
      <c r="B51" s="60" t="s">
        <v>2155</v>
      </c>
      <c r="C51" s="60" t="s">
        <v>2277</v>
      </c>
      <c r="D51" s="60" t="s">
        <v>2293</v>
      </c>
      <c r="E51" s="61" t="s">
        <v>2299</v>
      </c>
      <c r="F51" s="66">
        <v>8</v>
      </c>
      <c r="G51" s="66"/>
      <c r="H51" s="61" t="s">
        <v>2281</v>
      </c>
      <c r="I51" s="60" t="s">
        <v>2550</v>
      </c>
    </row>
    <row r="52" spans="1:9" ht="16" x14ac:dyDescent="0.2">
      <c r="A52" s="62" t="s">
        <v>2300</v>
      </c>
      <c r="B52" s="60" t="s">
        <v>2155</v>
      </c>
      <c r="C52" s="60" t="s">
        <v>2277</v>
      </c>
      <c r="D52" s="60" t="s">
        <v>2293</v>
      </c>
      <c r="E52" s="61" t="s">
        <v>2301</v>
      </c>
      <c r="F52" s="66">
        <v>10</v>
      </c>
      <c r="G52" s="66"/>
      <c r="H52" s="61" t="s">
        <v>2281</v>
      </c>
      <c r="I52" s="60" t="s">
        <v>2550</v>
      </c>
    </row>
    <row r="53" spans="1:9" ht="16" x14ac:dyDescent="0.2">
      <c r="A53" s="62" t="s">
        <v>2302</v>
      </c>
      <c r="B53" s="60" t="s">
        <v>2155</v>
      </c>
      <c r="C53" s="60" t="s">
        <v>2277</v>
      </c>
      <c r="D53" s="60" t="s">
        <v>2293</v>
      </c>
      <c r="E53" s="61" t="s">
        <v>2303</v>
      </c>
      <c r="F53" s="66">
        <v>10</v>
      </c>
      <c r="G53" s="66"/>
      <c r="H53" s="61" t="s">
        <v>2281</v>
      </c>
      <c r="I53" s="60" t="s">
        <v>2550</v>
      </c>
    </row>
    <row r="54" spans="1:9" ht="16" x14ac:dyDescent="0.2">
      <c r="A54" s="62" t="s">
        <v>2304</v>
      </c>
      <c r="B54" s="60" t="s">
        <v>2155</v>
      </c>
      <c r="C54" s="60" t="s">
        <v>2277</v>
      </c>
      <c r="D54" s="60" t="s">
        <v>2293</v>
      </c>
      <c r="E54" s="61" t="s">
        <v>2305</v>
      </c>
      <c r="F54" s="66">
        <v>12</v>
      </c>
      <c r="G54" s="66"/>
      <c r="H54" s="61" t="s">
        <v>2281</v>
      </c>
      <c r="I54" s="60" t="s">
        <v>2550</v>
      </c>
    </row>
    <row r="55" spans="1:9" ht="16" x14ac:dyDescent="0.2">
      <c r="A55" s="62" t="s">
        <v>2306</v>
      </c>
      <c r="B55" s="60" t="s">
        <v>2155</v>
      </c>
      <c r="C55" s="60" t="s">
        <v>2277</v>
      </c>
      <c r="D55" s="60" t="s">
        <v>2293</v>
      </c>
      <c r="E55" s="61" t="s">
        <v>2307</v>
      </c>
      <c r="F55" s="66">
        <v>14</v>
      </c>
      <c r="G55" s="66"/>
      <c r="H55" s="61" t="s">
        <v>2281</v>
      </c>
      <c r="I55" s="60" t="s">
        <v>2550</v>
      </c>
    </row>
    <row r="56" spans="1:9" ht="16" x14ac:dyDescent="0.2">
      <c r="A56" s="62" t="s">
        <v>2308</v>
      </c>
      <c r="B56" s="60" t="s">
        <v>2155</v>
      </c>
      <c r="C56" s="60" t="s">
        <v>2277</v>
      </c>
      <c r="D56" s="60" t="s">
        <v>2293</v>
      </c>
      <c r="E56" s="61" t="s">
        <v>2309</v>
      </c>
      <c r="F56" s="66">
        <v>18</v>
      </c>
      <c r="G56" s="66"/>
      <c r="H56" s="61" t="s">
        <v>2281</v>
      </c>
      <c r="I56" s="60" t="s">
        <v>2550</v>
      </c>
    </row>
    <row r="57" spans="1:9" ht="16" x14ac:dyDescent="0.2">
      <c r="A57" s="62" t="s">
        <v>2312</v>
      </c>
      <c r="B57" s="60" t="s">
        <v>2155</v>
      </c>
      <c r="C57" s="60" t="s">
        <v>2311</v>
      </c>
      <c r="D57" s="60"/>
      <c r="E57" s="61" t="s">
        <v>2313</v>
      </c>
      <c r="F57" s="66">
        <v>4</v>
      </c>
      <c r="G57" s="66"/>
      <c r="H57" s="61" t="s">
        <v>2314</v>
      </c>
      <c r="I57" s="60" t="s">
        <v>2550</v>
      </c>
    </row>
    <row r="58" spans="1:9" ht="32" x14ac:dyDescent="0.2">
      <c r="A58" s="62" t="s">
        <v>2315</v>
      </c>
      <c r="B58" s="60" t="s">
        <v>2155</v>
      </c>
      <c r="C58" s="60" t="s">
        <v>2311</v>
      </c>
      <c r="D58" s="60"/>
      <c r="E58" s="61" t="s">
        <v>2316</v>
      </c>
      <c r="F58" s="66">
        <v>5</v>
      </c>
      <c r="G58" s="66"/>
      <c r="H58" s="61" t="s">
        <v>2317</v>
      </c>
      <c r="I58" s="60" t="s">
        <v>2550</v>
      </c>
    </row>
    <row r="59" spans="1:9" ht="32" x14ac:dyDescent="0.2">
      <c r="A59" s="62" t="s">
        <v>2318</v>
      </c>
      <c r="B59" s="60" t="s">
        <v>2155</v>
      </c>
      <c r="C59" s="60" t="s">
        <v>2311</v>
      </c>
      <c r="D59" s="60"/>
      <c r="E59" s="61" t="s">
        <v>2319</v>
      </c>
      <c r="F59" s="66">
        <v>6</v>
      </c>
      <c r="G59" s="66"/>
      <c r="H59" s="61"/>
      <c r="I59" s="60" t="s">
        <v>2550</v>
      </c>
    </row>
    <row r="60" spans="1:9" ht="32" x14ac:dyDescent="0.2">
      <c r="A60" s="62" t="s">
        <v>2320</v>
      </c>
      <c r="B60" s="60" t="s">
        <v>2155</v>
      </c>
      <c r="C60" s="60" t="s">
        <v>2311</v>
      </c>
      <c r="D60" s="60"/>
      <c r="E60" s="61" t="s">
        <v>2321</v>
      </c>
      <c r="F60" s="66">
        <v>6</v>
      </c>
      <c r="G60" s="66">
        <v>8</v>
      </c>
      <c r="H60" s="61" t="s">
        <v>2323</v>
      </c>
      <c r="I60" s="60" t="s">
        <v>2550</v>
      </c>
    </row>
    <row r="61" spans="1:9" ht="32" x14ac:dyDescent="0.2">
      <c r="A61" s="62" t="s">
        <v>2324</v>
      </c>
      <c r="B61" s="60" t="s">
        <v>2155</v>
      </c>
      <c r="C61" s="60" t="s">
        <v>2311</v>
      </c>
      <c r="D61" s="60"/>
      <c r="E61" s="61" t="s">
        <v>2325</v>
      </c>
      <c r="F61" s="66">
        <v>8</v>
      </c>
      <c r="G61" s="66"/>
      <c r="H61" s="61"/>
      <c r="I61" s="60" t="s">
        <v>2550</v>
      </c>
    </row>
    <row r="62" spans="1:9" ht="16" x14ac:dyDescent="0.2">
      <c r="A62" s="62" t="s">
        <v>2326</v>
      </c>
      <c r="B62" s="60" t="s">
        <v>2155</v>
      </c>
      <c r="C62" s="60" t="s">
        <v>2311</v>
      </c>
      <c r="D62" s="60"/>
      <c r="E62" s="61" t="s">
        <v>2327</v>
      </c>
      <c r="F62" s="66">
        <v>12</v>
      </c>
      <c r="G62" s="66">
        <v>14</v>
      </c>
      <c r="H62" s="61" t="s">
        <v>2329</v>
      </c>
      <c r="I62" s="60" t="s">
        <v>2550</v>
      </c>
    </row>
    <row r="63" spans="1:9" ht="32" x14ac:dyDescent="0.2">
      <c r="A63" s="62" t="s">
        <v>2331</v>
      </c>
      <c r="B63" s="60" t="s">
        <v>2155</v>
      </c>
      <c r="C63" s="60" t="s">
        <v>2311</v>
      </c>
      <c r="D63" s="60" t="s">
        <v>2330</v>
      </c>
      <c r="E63" s="61" t="s">
        <v>2332</v>
      </c>
      <c r="F63" s="66">
        <v>8</v>
      </c>
      <c r="G63" s="66"/>
      <c r="H63" s="61"/>
      <c r="I63" s="60" t="s">
        <v>2550</v>
      </c>
    </row>
    <row r="64" spans="1:9" ht="16" x14ac:dyDescent="0.2">
      <c r="A64" s="62" t="s">
        <v>2333</v>
      </c>
      <c r="B64" s="60" t="s">
        <v>2155</v>
      </c>
      <c r="C64" s="60" t="s">
        <v>2311</v>
      </c>
      <c r="D64" s="60" t="s">
        <v>2330</v>
      </c>
      <c r="E64" s="61" t="s">
        <v>2334</v>
      </c>
      <c r="F64" s="66">
        <v>10</v>
      </c>
      <c r="G64" s="66"/>
      <c r="H64" s="61"/>
      <c r="I64" s="60" t="s">
        <v>2550</v>
      </c>
    </row>
    <row r="65" spans="1:9" ht="16" x14ac:dyDescent="0.2">
      <c r="A65" s="62" t="s">
        <v>2335</v>
      </c>
      <c r="B65" s="60" t="s">
        <v>2155</v>
      </c>
      <c r="C65" s="60" t="s">
        <v>2311</v>
      </c>
      <c r="D65" s="60" t="s">
        <v>2330</v>
      </c>
      <c r="E65" s="61" t="s">
        <v>2336</v>
      </c>
      <c r="F65" s="66">
        <v>16</v>
      </c>
      <c r="G65" s="66"/>
      <c r="H65" s="61"/>
      <c r="I65" s="60" t="s">
        <v>2550</v>
      </c>
    </row>
    <row r="66" spans="1:9" ht="16" x14ac:dyDescent="0.2">
      <c r="A66" s="62" t="s">
        <v>2337</v>
      </c>
      <c r="B66" s="60" t="s">
        <v>2155</v>
      </c>
      <c r="C66" s="60" t="s">
        <v>2311</v>
      </c>
      <c r="D66" s="60" t="s">
        <v>2330</v>
      </c>
      <c r="E66" s="61" t="s">
        <v>2338</v>
      </c>
      <c r="F66" s="66">
        <v>20</v>
      </c>
      <c r="G66" s="66"/>
      <c r="H66" s="61"/>
      <c r="I66" s="60" t="s">
        <v>2550</v>
      </c>
    </row>
    <row r="67" spans="1:9" ht="16" x14ac:dyDescent="0.2">
      <c r="A67" s="62" t="s">
        <v>2340</v>
      </c>
      <c r="B67" s="60" t="s">
        <v>2155</v>
      </c>
      <c r="C67" s="60" t="s">
        <v>2311</v>
      </c>
      <c r="D67" s="60" t="s">
        <v>2339</v>
      </c>
      <c r="E67" s="61" t="s">
        <v>2341</v>
      </c>
      <c r="F67" s="66">
        <v>6</v>
      </c>
      <c r="G67" s="66"/>
      <c r="H67" s="61"/>
      <c r="I67" s="60" t="s">
        <v>2550</v>
      </c>
    </row>
    <row r="68" spans="1:9" ht="32" x14ac:dyDescent="0.2">
      <c r="A68" s="62" t="s">
        <v>2342</v>
      </c>
      <c r="B68" s="60" t="s">
        <v>2155</v>
      </c>
      <c r="C68" s="60" t="s">
        <v>2311</v>
      </c>
      <c r="D68" s="60" t="s">
        <v>2339</v>
      </c>
      <c r="E68" s="61" t="s">
        <v>2343</v>
      </c>
      <c r="F68" s="66">
        <v>8</v>
      </c>
      <c r="G68" s="66">
        <v>10</v>
      </c>
      <c r="H68" s="61" t="s">
        <v>2254</v>
      </c>
      <c r="I68" s="60" t="s">
        <v>2551</v>
      </c>
    </row>
    <row r="69" spans="1:9" ht="48" x14ac:dyDescent="0.2">
      <c r="A69" s="62" t="s">
        <v>2344</v>
      </c>
      <c r="B69" s="60" t="s">
        <v>2155</v>
      </c>
      <c r="C69" s="60" t="s">
        <v>2311</v>
      </c>
      <c r="D69" s="60" t="s">
        <v>2339</v>
      </c>
      <c r="E69" s="61" t="s">
        <v>2345</v>
      </c>
      <c r="F69" s="66">
        <v>12</v>
      </c>
      <c r="G69" s="66">
        <v>14</v>
      </c>
      <c r="H69" s="61" t="s">
        <v>2329</v>
      </c>
      <c r="I69" s="60" t="s">
        <v>2551</v>
      </c>
    </row>
    <row r="70" spans="1:9" ht="48" x14ac:dyDescent="0.2">
      <c r="A70" s="62" t="s">
        <v>2347</v>
      </c>
      <c r="B70" s="60" t="s">
        <v>2155</v>
      </c>
      <c r="C70" s="60" t="s">
        <v>2346</v>
      </c>
      <c r="D70" s="60"/>
      <c r="E70" s="61" t="s">
        <v>2348</v>
      </c>
      <c r="F70" s="66">
        <v>4</v>
      </c>
      <c r="G70" s="66"/>
      <c r="H70" s="61" t="s">
        <v>2349</v>
      </c>
      <c r="I70" s="60" t="s">
        <v>2551</v>
      </c>
    </row>
    <row r="71" spans="1:9" ht="48" x14ac:dyDescent="0.2">
      <c r="A71" s="62" t="s">
        <v>2350</v>
      </c>
      <c r="B71" s="60" t="s">
        <v>2155</v>
      </c>
      <c r="C71" s="60" t="s">
        <v>2346</v>
      </c>
      <c r="D71" s="60"/>
      <c r="E71" s="61" t="s">
        <v>2351</v>
      </c>
      <c r="F71" s="66">
        <v>5</v>
      </c>
      <c r="G71" s="66"/>
      <c r="H71" s="61"/>
      <c r="I71" s="60" t="s">
        <v>2551</v>
      </c>
    </row>
    <row r="72" spans="1:9" ht="32" x14ac:dyDescent="0.2">
      <c r="A72" s="62" t="s">
        <v>2353</v>
      </c>
      <c r="B72" s="60" t="s">
        <v>2155</v>
      </c>
      <c r="C72" s="60" t="s">
        <v>2346</v>
      </c>
      <c r="D72" s="60" t="s">
        <v>2352</v>
      </c>
      <c r="E72" s="61" t="s">
        <v>2354</v>
      </c>
      <c r="F72" s="66">
        <v>4</v>
      </c>
      <c r="G72" s="66"/>
      <c r="H72" s="61"/>
      <c r="I72" s="60" t="s">
        <v>2551</v>
      </c>
    </row>
    <row r="73" spans="1:9" ht="16" x14ac:dyDescent="0.2">
      <c r="A73" s="62" t="s">
        <v>2355</v>
      </c>
      <c r="B73" s="60" t="s">
        <v>2155</v>
      </c>
      <c r="C73" s="60" t="s">
        <v>2346</v>
      </c>
      <c r="D73" s="60" t="s">
        <v>2352</v>
      </c>
      <c r="E73" s="61" t="s">
        <v>2356</v>
      </c>
      <c r="F73" s="66">
        <v>6</v>
      </c>
      <c r="G73" s="66"/>
      <c r="H73" s="61"/>
      <c r="I73" s="60" t="s">
        <v>2551</v>
      </c>
    </row>
    <row r="74" spans="1:9" ht="16" x14ac:dyDescent="0.2">
      <c r="A74" s="62" t="s">
        <v>2357</v>
      </c>
      <c r="B74" s="60" t="s">
        <v>2155</v>
      </c>
      <c r="C74" s="60" t="s">
        <v>2346</v>
      </c>
      <c r="D74" s="60" t="s">
        <v>2352</v>
      </c>
      <c r="E74" s="61" t="s">
        <v>2358</v>
      </c>
      <c r="F74" s="66">
        <v>8</v>
      </c>
      <c r="G74" s="66"/>
      <c r="H74" s="61"/>
      <c r="I74" s="60" t="s">
        <v>2551</v>
      </c>
    </row>
    <row r="75" spans="1:9" ht="32" x14ac:dyDescent="0.2">
      <c r="A75" s="62" t="s">
        <v>2359</v>
      </c>
      <c r="B75" s="60" t="s">
        <v>2155</v>
      </c>
      <c r="C75" s="60" t="s">
        <v>2346</v>
      </c>
      <c r="D75" s="60" t="s">
        <v>2352</v>
      </c>
      <c r="E75" s="61" t="s">
        <v>2360</v>
      </c>
      <c r="F75" s="66">
        <v>10</v>
      </c>
      <c r="G75" s="66"/>
      <c r="H75" s="61" t="s">
        <v>2361</v>
      </c>
      <c r="I75" s="60" t="s">
        <v>2551</v>
      </c>
    </row>
    <row r="76" spans="1:9" ht="16" x14ac:dyDescent="0.2">
      <c r="A76" s="62" t="s">
        <v>2359</v>
      </c>
      <c r="B76" s="60" t="s">
        <v>2155</v>
      </c>
      <c r="C76" s="60" t="s">
        <v>2346</v>
      </c>
      <c r="D76" s="60" t="s">
        <v>2362</v>
      </c>
      <c r="E76" s="61" t="s">
        <v>2363</v>
      </c>
      <c r="F76" s="66">
        <v>4</v>
      </c>
      <c r="G76" s="66"/>
      <c r="H76" s="61" t="s">
        <v>2364</v>
      </c>
      <c r="I76" s="60" t="s">
        <v>2551</v>
      </c>
    </row>
    <row r="77" spans="1:9" ht="16" x14ac:dyDescent="0.2">
      <c r="A77" s="62" t="s">
        <v>2365</v>
      </c>
      <c r="B77" s="60" t="s">
        <v>2155</v>
      </c>
      <c r="C77" s="60" t="s">
        <v>2346</v>
      </c>
      <c r="D77" s="60" t="s">
        <v>2362</v>
      </c>
      <c r="E77" s="61" t="s">
        <v>2366</v>
      </c>
      <c r="F77" s="66">
        <v>5</v>
      </c>
      <c r="G77" s="66"/>
      <c r="H77" s="61"/>
      <c r="I77" s="60" t="s">
        <v>2551</v>
      </c>
    </row>
    <row r="78" spans="1:9" ht="16" x14ac:dyDescent="0.2">
      <c r="A78" s="62" t="s">
        <v>2367</v>
      </c>
      <c r="B78" s="60" t="s">
        <v>2155</v>
      </c>
      <c r="C78" s="60" t="s">
        <v>2346</v>
      </c>
      <c r="D78" s="60" t="s">
        <v>2362</v>
      </c>
      <c r="E78" s="61" t="s">
        <v>2368</v>
      </c>
      <c r="F78" s="66">
        <v>6</v>
      </c>
      <c r="G78" s="66"/>
      <c r="H78" s="61"/>
      <c r="I78" s="60" t="s">
        <v>2551</v>
      </c>
    </row>
    <row r="79" spans="1:9" ht="16" x14ac:dyDescent="0.2">
      <c r="A79" s="62" t="s">
        <v>2370</v>
      </c>
      <c r="B79" s="60" t="s">
        <v>2155</v>
      </c>
      <c r="C79" s="60" t="s">
        <v>2369</v>
      </c>
      <c r="D79" s="60"/>
      <c r="E79" s="61" t="s">
        <v>2371</v>
      </c>
      <c r="F79" s="66">
        <v>4</v>
      </c>
      <c r="G79" s="66"/>
      <c r="H79" s="61"/>
      <c r="I79" s="60" t="s">
        <v>2551</v>
      </c>
    </row>
    <row r="80" spans="1:9" ht="16" x14ac:dyDescent="0.2">
      <c r="A80" s="62" t="s">
        <v>2372</v>
      </c>
      <c r="B80" s="60" t="s">
        <v>2155</v>
      </c>
      <c r="C80" s="60" t="s">
        <v>2369</v>
      </c>
      <c r="D80" s="60"/>
      <c r="E80" s="61" t="s">
        <v>2373</v>
      </c>
      <c r="F80" s="66">
        <v>12</v>
      </c>
      <c r="G80" s="66"/>
      <c r="H80" s="61"/>
      <c r="I80" s="60" t="s">
        <v>2551</v>
      </c>
    </row>
    <row r="81" spans="1:9" ht="16" x14ac:dyDescent="0.2">
      <c r="A81" s="62" t="s">
        <v>2375</v>
      </c>
      <c r="B81" s="60" t="s">
        <v>2155</v>
      </c>
      <c r="C81" s="60" t="s">
        <v>2374</v>
      </c>
      <c r="D81" s="60"/>
      <c r="E81" s="61" t="s">
        <v>2376</v>
      </c>
      <c r="F81" s="66">
        <v>4</v>
      </c>
      <c r="G81" s="66"/>
      <c r="H81" s="61"/>
      <c r="I81" s="60" t="s">
        <v>2551</v>
      </c>
    </row>
    <row r="82" spans="1:9" ht="32" x14ac:dyDescent="0.2">
      <c r="A82" s="62" t="s">
        <v>2377</v>
      </c>
      <c r="B82" s="60" t="s">
        <v>2155</v>
      </c>
      <c r="C82" s="60" t="s">
        <v>2374</v>
      </c>
      <c r="D82" s="60"/>
      <c r="E82" s="61" t="s">
        <v>2378</v>
      </c>
      <c r="F82" s="66">
        <v>6</v>
      </c>
      <c r="G82" s="66"/>
      <c r="H82" s="61"/>
      <c r="I82" s="60" t="s">
        <v>2551</v>
      </c>
    </row>
    <row r="83" spans="1:9" ht="16" x14ac:dyDescent="0.2">
      <c r="A83" s="62" t="s">
        <v>2379</v>
      </c>
      <c r="B83" s="60" t="s">
        <v>2155</v>
      </c>
      <c r="C83" s="60" t="s">
        <v>2374</v>
      </c>
      <c r="D83" s="60"/>
      <c r="E83" s="61" t="s">
        <v>2380</v>
      </c>
      <c r="F83" s="66">
        <v>8</v>
      </c>
      <c r="G83" s="66"/>
      <c r="H83" s="61"/>
      <c r="I83" s="60" t="s">
        <v>2551</v>
      </c>
    </row>
    <row r="84" spans="1:9" ht="32" x14ac:dyDescent="0.2">
      <c r="A84" s="62" t="s">
        <v>2381</v>
      </c>
      <c r="B84" s="60" t="s">
        <v>2155</v>
      </c>
      <c r="C84" s="60" t="s">
        <v>2374</v>
      </c>
      <c r="D84" s="60"/>
      <c r="E84" s="61" t="s">
        <v>2382</v>
      </c>
      <c r="F84" s="66">
        <v>10</v>
      </c>
      <c r="G84" s="66"/>
      <c r="H84" s="61"/>
      <c r="I84" s="60" t="s">
        <v>2551</v>
      </c>
    </row>
    <row r="85" spans="1:9" ht="16" x14ac:dyDescent="0.2">
      <c r="A85" s="62" t="s">
        <v>2383</v>
      </c>
      <c r="B85" s="60" t="s">
        <v>2155</v>
      </c>
      <c r="C85" s="60" t="s">
        <v>2374</v>
      </c>
      <c r="D85" s="60"/>
      <c r="E85" s="61" t="s">
        <v>2384</v>
      </c>
      <c r="F85" s="66">
        <v>20</v>
      </c>
      <c r="G85" s="66"/>
      <c r="H85" s="61"/>
      <c r="I85" s="60" t="s">
        <v>2551</v>
      </c>
    </row>
    <row r="86" spans="1:9" ht="16" x14ac:dyDescent="0.2">
      <c r="A86" s="62" t="s">
        <v>2386</v>
      </c>
      <c r="B86" s="60" t="s">
        <v>2155</v>
      </c>
      <c r="C86" s="60" t="s">
        <v>2385</v>
      </c>
      <c r="D86" s="60"/>
      <c r="E86" s="61" t="s">
        <v>2387</v>
      </c>
      <c r="F86" s="66">
        <v>4</v>
      </c>
      <c r="G86" s="66"/>
      <c r="H86" s="61"/>
      <c r="I86" s="60" t="s">
        <v>2551</v>
      </c>
    </row>
    <row r="87" spans="1:9" ht="32" x14ac:dyDescent="0.2">
      <c r="A87" s="62" t="s">
        <v>2388</v>
      </c>
      <c r="B87" s="60" t="s">
        <v>2155</v>
      </c>
      <c r="C87" s="60" t="s">
        <v>2385</v>
      </c>
      <c r="D87" s="60"/>
      <c r="E87" s="61" t="s">
        <v>2389</v>
      </c>
      <c r="F87" s="66">
        <v>5</v>
      </c>
      <c r="G87" s="66"/>
      <c r="H87" s="61"/>
      <c r="I87" s="60" t="s">
        <v>2551</v>
      </c>
    </row>
    <row r="88" spans="1:9" ht="32" x14ac:dyDescent="0.2">
      <c r="A88" s="62" t="s">
        <v>2390</v>
      </c>
      <c r="B88" s="60" t="s">
        <v>2155</v>
      </c>
      <c r="C88" s="60" t="s">
        <v>2385</v>
      </c>
      <c r="D88" s="60"/>
      <c r="E88" s="61" t="s">
        <v>2391</v>
      </c>
      <c r="F88" s="66">
        <v>6</v>
      </c>
      <c r="G88" s="66"/>
      <c r="H88" s="61"/>
      <c r="I88" s="60" t="s">
        <v>2552</v>
      </c>
    </row>
    <row r="89" spans="1:9" ht="16" x14ac:dyDescent="0.2">
      <c r="A89" s="62" t="s">
        <v>2392</v>
      </c>
      <c r="B89" s="60" t="s">
        <v>2155</v>
      </c>
      <c r="C89" s="60" t="s">
        <v>2385</v>
      </c>
      <c r="D89" s="60"/>
      <c r="E89" s="61" t="s">
        <v>2393</v>
      </c>
      <c r="F89" s="66">
        <v>8</v>
      </c>
      <c r="G89" s="66"/>
      <c r="H89" s="61"/>
      <c r="I89" s="60" t="s">
        <v>2552</v>
      </c>
    </row>
    <row r="90" spans="1:9" ht="32" x14ac:dyDescent="0.2">
      <c r="A90" s="62" t="s">
        <v>2394</v>
      </c>
      <c r="B90" s="60" t="s">
        <v>2155</v>
      </c>
      <c r="C90" s="60" t="s">
        <v>2385</v>
      </c>
      <c r="D90" s="60"/>
      <c r="E90" s="61" t="s">
        <v>2395</v>
      </c>
      <c r="F90" s="66">
        <v>10</v>
      </c>
      <c r="G90" s="66"/>
      <c r="H90" s="61"/>
      <c r="I90" s="60" t="s">
        <v>2552</v>
      </c>
    </row>
    <row r="91" spans="1:9" ht="32" x14ac:dyDescent="0.2">
      <c r="A91" s="62" t="s">
        <v>2396</v>
      </c>
      <c r="B91" s="60" t="s">
        <v>2155</v>
      </c>
      <c r="C91" s="60" t="s">
        <v>2385</v>
      </c>
      <c r="D91" s="60"/>
      <c r="E91" s="61" t="s">
        <v>2397</v>
      </c>
      <c r="F91" s="66">
        <v>12</v>
      </c>
      <c r="G91" s="66"/>
      <c r="H91" s="61"/>
      <c r="I91" s="60" t="s">
        <v>2552</v>
      </c>
    </row>
    <row r="92" spans="1:9" ht="32" x14ac:dyDescent="0.2">
      <c r="A92" s="62" t="s">
        <v>2400</v>
      </c>
      <c r="B92" s="60" t="s">
        <v>2155</v>
      </c>
      <c r="C92" s="60" t="s">
        <v>2398</v>
      </c>
      <c r="D92" s="60" t="s">
        <v>2399</v>
      </c>
      <c r="E92" s="61" t="s">
        <v>2401</v>
      </c>
      <c r="F92" s="66">
        <v>4</v>
      </c>
      <c r="G92" s="66"/>
      <c r="H92" s="61"/>
      <c r="I92" s="60" t="s">
        <v>2552</v>
      </c>
    </row>
    <row r="93" spans="1:9" ht="16" x14ac:dyDescent="0.2">
      <c r="A93" s="62" t="s">
        <v>2402</v>
      </c>
      <c r="B93" s="60" t="s">
        <v>2155</v>
      </c>
      <c r="C93" s="60" t="s">
        <v>2398</v>
      </c>
      <c r="D93" s="60" t="s">
        <v>2399</v>
      </c>
      <c r="E93" s="61" t="s">
        <v>2403</v>
      </c>
      <c r="F93" s="66">
        <v>5</v>
      </c>
      <c r="G93" s="66"/>
      <c r="H93" s="61"/>
      <c r="I93" s="60" t="s">
        <v>2552</v>
      </c>
    </row>
    <row r="94" spans="1:9" ht="16" x14ac:dyDescent="0.2">
      <c r="A94" s="62" t="s">
        <v>2404</v>
      </c>
      <c r="B94" s="60" t="s">
        <v>2155</v>
      </c>
      <c r="C94" s="60" t="s">
        <v>2398</v>
      </c>
      <c r="D94" s="60" t="s">
        <v>2399</v>
      </c>
      <c r="E94" s="61" t="s">
        <v>2405</v>
      </c>
      <c r="F94" s="66">
        <v>6</v>
      </c>
      <c r="G94" s="66"/>
      <c r="H94" s="61"/>
      <c r="I94" s="60" t="s">
        <v>2552</v>
      </c>
    </row>
    <row r="95" spans="1:9" ht="16" x14ac:dyDescent="0.2">
      <c r="A95" s="62" t="s">
        <v>2407</v>
      </c>
      <c r="B95" s="60" t="s">
        <v>2155</v>
      </c>
      <c r="C95" s="60" t="s">
        <v>2398</v>
      </c>
      <c r="D95" s="60" t="s">
        <v>2406</v>
      </c>
      <c r="E95" s="61" t="s">
        <v>2408</v>
      </c>
      <c r="F95" s="66">
        <v>4</v>
      </c>
      <c r="G95" s="66"/>
      <c r="H95" s="61"/>
      <c r="I95" s="60" t="s">
        <v>2552</v>
      </c>
    </row>
    <row r="96" spans="1:9" ht="16" x14ac:dyDescent="0.2">
      <c r="A96" s="62" t="s">
        <v>2409</v>
      </c>
      <c r="B96" s="60" t="s">
        <v>2155</v>
      </c>
      <c r="C96" s="60" t="s">
        <v>2398</v>
      </c>
      <c r="D96" s="60" t="s">
        <v>2406</v>
      </c>
      <c r="E96" s="61" t="s">
        <v>2410</v>
      </c>
      <c r="F96" s="66">
        <v>6</v>
      </c>
      <c r="G96" s="66"/>
      <c r="H96" s="61"/>
      <c r="I96" s="60" t="s">
        <v>2552</v>
      </c>
    </row>
    <row r="97" spans="1:9" ht="16" x14ac:dyDescent="0.2">
      <c r="A97" s="62" t="s">
        <v>2411</v>
      </c>
      <c r="B97" s="60" t="s">
        <v>2155</v>
      </c>
      <c r="C97" s="60" t="s">
        <v>2398</v>
      </c>
      <c r="D97" s="60" t="s">
        <v>2406</v>
      </c>
      <c r="E97" s="61" t="s">
        <v>2412</v>
      </c>
      <c r="F97" s="66">
        <v>10</v>
      </c>
      <c r="G97" s="66"/>
      <c r="H97" s="61"/>
      <c r="I97" s="60" t="s">
        <v>2552</v>
      </c>
    </row>
    <row r="98" spans="1:9" ht="16" x14ac:dyDescent="0.2">
      <c r="A98" s="62" t="s">
        <v>2413</v>
      </c>
      <c r="B98" s="60" t="s">
        <v>2155</v>
      </c>
      <c r="C98" s="60" t="s">
        <v>2398</v>
      </c>
      <c r="D98" s="60" t="s">
        <v>2406</v>
      </c>
      <c r="E98" s="61" t="s">
        <v>2414</v>
      </c>
      <c r="F98" s="66">
        <v>12</v>
      </c>
      <c r="G98" s="66"/>
      <c r="H98" s="61"/>
      <c r="I98" s="60" t="s">
        <v>2552</v>
      </c>
    </row>
    <row r="99" spans="1:9" ht="16" x14ac:dyDescent="0.2">
      <c r="A99" s="62" t="s">
        <v>2416</v>
      </c>
      <c r="B99" s="60" t="s">
        <v>2155</v>
      </c>
      <c r="C99" s="60" t="s">
        <v>2398</v>
      </c>
      <c r="D99" s="60" t="s">
        <v>2415</v>
      </c>
      <c r="E99" s="61" t="s">
        <v>2417</v>
      </c>
      <c r="F99" s="66">
        <v>5</v>
      </c>
      <c r="G99" s="66"/>
      <c r="H99" s="61"/>
      <c r="I99" s="60" t="s">
        <v>2552</v>
      </c>
    </row>
    <row r="100" spans="1:9" ht="16" x14ac:dyDescent="0.2">
      <c r="A100" s="62" t="s">
        <v>2418</v>
      </c>
      <c r="B100" s="60" t="s">
        <v>2155</v>
      </c>
      <c r="C100" s="60" t="s">
        <v>2398</v>
      </c>
      <c r="D100" s="60" t="s">
        <v>2415</v>
      </c>
      <c r="E100" s="61" t="s">
        <v>2419</v>
      </c>
      <c r="F100" s="66">
        <v>6</v>
      </c>
      <c r="G100" s="66">
        <v>8</v>
      </c>
      <c r="H100" s="61" t="s">
        <v>2323</v>
      </c>
      <c r="I100" s="60" t="s">
        <v>2552</v>
      </c>
    </row>
    <row r="101" spans="1:9" ht="16" x14ac:dyDescent="0.2">
      <c r="A101" s="62" t="s">
        <v>2420</v>
      </c>
      <c r="B101" s="60" t="s">
        <v>2155</v>
      </c>
      <c r="C101" s="60" t="s">
        <v>2398</v>
      </c>
      <c r="D101" s="60" t="s">
        <v>2415</v>
      </c>
      <c r="E101" s="61" t="s">
        <v>2421</v>
      </c>
      <c r="F101" s="66">
        <v>10</v>
      </c>
      <c r="G101" s="66"/>
      <c r="H101" s="61"/>
      <c r="I101" s="60" t="s">
        <v>2552</v>
      </c>
    </row>
    <row r="102" spans="1:9" ht="16" x14ac:dyDescent="0.2">
      <c r="A102" s="62" t="s">
        <v>2423</v>
      </c>
      <c r="B102" s="60" t="s">
        <v>2155</v>
      </c>
      <c r="C102" s="60" t="s">
        <v>2398</v>
      </c>
      <c r="D102" s="60" t="s">
        <v>2422</v>
      </c>
      <c r="E102" s="61" t="s">
        <v>2424</v>
      </c>
      <c r="F102" s="66">
        <v>4</v>
      </c>
      <c r="G102" s="66"/>
      <c r="H102" s="61"/>
      <c r="I102" s="60" t="s">
        <v>2552</v>
      </c>
    </row>
    <row r="103" spans="1:9" ht="16" x14ac:dyDescent="0.2">
      <c r="A103" s="62" t="s">
        <v>2425</v>
      </c>
      <c r="B103" s="60" t="s">
        <v>2155</v>
      </c>
      <c r="C103" s="60" t="s">
        <v>2398</v>
      </c>
      <c r="D103" s="60" t="s">
        <v>2422</v>
      </c>
      <c r="E103" s="61" t="s">
        <v>2426</v>
      </c>
      <c r="F103" s="66">
        <v>6</v>
      </c>
      <c r="G103" s="66"/>
      <c r="H103" s="61"/>
      <c r="I103" s="60" t="s">
        <v>2552</v>
      </c>
    </row>
    <row r="104" spans="1:9" ht="16" x14ac:dyDescent="0.2">
      <c r="A104" s="62" t="s">
        <v>2427</v>
      </c>
      <c r="B104" s="60" t="s">
        <v>2155</v>
      </c>
      <c r="C104" s="60" t="s">
        <v>2398</v>
      </c>
      <c r="D104" s="60" t="s">
        <v>2422</v>
      </c>
      <c r="E104" s="61" t="s">
        <v>2428</v>
      </c>
      <c r="F104" s="66">
        <v>4</v>
      </c>
      <c r="G104" s="66"/>
      <c r="H104" s="61" t="s">
        <v>2430</v>
      </c>
      <c r="I104" s="60" t="s">
        <v>2552</v>
      </c>
    </row>
    <row r="105" spans="1:9" ht="32" x14ac:dyDescent="0.2">
      <c r="A105" s="62" t="s">
        <v>2433</v>
      </c>
      <c r="B105" s="60" t="s">
        <v>2155</v>
      </c>
      <c r="C105" s="60" t="s">
        <v>2431</v>
      </c>
      <c r="D105" s="60" t="s">
        <v>2432</v>
      </c>
      <c r="E105" s="61" t="s">
        <v>2434</v>
      </c>
      <c r="F105" s="66">
        <v>4</v>
      </c>
      <c r="G105" s="66"/>
      <c r="H105" s="61" t="s">
        <v>2435</v>
      </c>
      <c r="I105" s="60" t="s">
        <v>2552</v>
      </c>
    </row>
    <row r="106" spans="1:9" ht="32" x14ac:dyDescent="0.2">
      <c r="A106" s="62" t="s">
        <v>2436</v>
      </c>
      <c r="B106" s="60" t="s">
        <v>2155</v>
      </c>
      <c r="C106" s="60" t="s">
        <v>2431</v>
      </c>
      <c r="D106" s="60" t="s">
        <v>2432</v>
      </c>
      <c r="E106" s="61" t="s">
        <v>2437</v>
      </c>
      <c r="F106" s="66">
        <v>6</v>
      </c>
      <c r="G106" s="66"/>
      <c r="H106" s="61" t="s">
        <v>2435</v>
      </c>
      <c r="I106" s="60" t="s">
        <v>2552</v>
      </c>
    </row>
    <row r="107" spans="1:9" ht="32" x14ac:dyDescent="0.2">
      <c r="A107" s="62" t="s">
        <v>2439</v>
      </c>
      <c r="B107" s="60" t="s">
        <v>2155</v>
      </c>
      <c r="C107" s="60" t="s">
        <v>2431</v>
      </c>
      <c r="D107" s="60" t="s">
        <v>2432</v>
      </c>
      <c r="E107" s="61" t="s">
        <v>2440</v>
      </c>
      <c r="F107" s="66">
        <v>8</v>
      </c>
      <c r="G107" s="66"/>
      <c r="H107" s="61" t="s">
        <v>2435</v>
      </c>
      <c r="I107" s="60" t="s">
        <v>2552</v>
      </c>
    </row>
    <row r="108" spans="1:9" ht="32" x14ac:dyDescent="0.2">
      <c r="A108" s="62" t="s">
        <v>2443</v>
      </c>
      <c r="B108" s="60" t="s">
        <v>2155</v>
      </c>
      <c r="C108" s="60" t="s">
        <v>2431</v>
      </c>
      <c r="D108" s="60" t="s">
        <v>2442</v>
      </c>
      <c r="E108" s="61" t="s">
        <v>2444</v>
      </c>
      <c r="F108" s="66">
        <v>4</v>
      </c>
      <c r="G108" s="66"/>
      <c r="H108" s="61" t="s">
        <v>2445</v>
      </c>
      <c r="I108" s="60" t="s">
        <v>2552</v>
      </c>
    </row>
    <row r="109" spans="1:9" ht="32" x14ac:dyDescent="0.2">
      <c r="A109" s="62" t="s">
        <v>2446</v>
      </c>
      <c r="B109" s="60" t="s">
        <v>2155</v>
      </c>
      <c r="C109" s="60" t="s">
        <v>2431</v>
      </c>
      <c r="D109" s="60" t="s">
        <v>2442</v>
      </c>
      <c r="E109" s="61" t="s">
        <v>2447</v>
      </c>
      <c r="F109" s="66">
        <v>6</v>
      </c>
      <c r="G109" s="66"/>
      <c r="H109" s="61" t="s">
        <v>2445</v>
      </c>
      <c r="I109" s="60" t="s">
        <v>2552</v>
      </c>
    </row>
    <row r="110" spans="1:9" ht="32" x14ac:dyDescent="0.2">
      <c r="A110" s="62" t="s">
        <v>2448</v>
      </c>
      <c r="B110" s="60" t="s">
        <v>2155</v>
      </c>
      <c r="C110" s="60" t="s">
        <v>2431</v>
      </c>
      <c r="D110" s="60" t="s">
        <v>2442</v>
      </c>
      <c r="E110" s="61" t="s">
        <v>2449</v>
      </c>
      <c r="F110" s="66">
        <v>8</v>
      </c>
      <c r="G110" s="66"/>
      <c r="H110" s="61" t="s">
        <v>2445</v>
      </c>
      <c r="I110" s="60" t="s">
        <v>2552</v>
      </c>
    </row>
    <row r="111" spans="1:9" ht="16" x14ac:dyDescent="0.2">
      <c r="A111" s="62" t="s">
        <v>2553</v>
      </c>
      <c r="B111" s="60" t="s">
        <v>4</v>
      </c>
      <c r="C111" s="60" t="s">
        <v>2451</v>
      </c>
      <c r="D111" s="60"/>
      <c r="E111" s="61" t="s">
        <v>2452</v>
      </c>
      <c r="F111" s="66">
        <v>1</v>
      </c>
      <c r="G111" s="66"/>
      <c r="H111" s="61" t="s">
        <v>2454</v>
      </c>
      <c r="I111" s="60" t="s">
        <v>2554</v>
      </c>
    </row>
    <row r="112" spans="1:9" ht="16" x14ac:dyDescent="0.2">
      <c r="A112" s="62" t="s">
        <v>2555</v>
      </c>
      <c r="B112" s="60" t="s">
        <v>4</v>
      </c>
      <c r="C112" s="60" t="s">
        <v>2451</v>
      </c>
      <c r="D112" s="60"/>
      <c r="E112" s="61" t="s">
        <v>2455</v>
      </c>
      <c r="F112" s="66">
        <v>1</v>
      </c>
      <c r="G112" s="66"/>
      <c r="H112" s="61" t="s">
        <v>2456</v>
      </c>
      <c r="I112" s="60" t="s">
        <v>2554</v>
      </c>
    </row>
    <row r="113" spans="1:9" ht="16" x14ac:dyDescent="0.2">
      <c r="A113" s="62" t="s">
        <v>2458</v>
      </c>
      <c r="B113" s="60" t="s">
        <v>2460</v>
      </c>
      <c r="C113" s="60" t="s">
        <v>2457</v>
      </c>
      <c r="D113" s="60"/>
      <c r="E113" s="61" t="s">
        <v>2459</v>
      </c>
      <c r="F113" s="66">
        <v>1</v>
      </c>
      <c r="G113" s="66"/>
      <c r="H113" s="61"/>
      <c r="I113" s="60" t="s">
        <v>2554</v>
      </c>
    </row>
    <row r="114" spans="1:9" ht="16" x14ac:dyDescent="0.2">
      <c r="A114" s="62" t="s">
        <v>2461</v>
      </c>
      <c r="B114" s="60" t="s">
        <v>2460</v>
      </c>
      <c r="C114" s="60" t="s">
        <v>2457</v>
      </c>
      <c r="D114" s="60"/>
      <c r="E114" s="61" t="s">
        <v>2462</v>
      </c>
      <c r="F114" s="66">
        <v>2</v>
      </c>
      <c r="G114" s="66"/>
      <c r="H114" s="61"/>
      <c r="I114" s="60" t="s">
        <v>2554</v>
      </c>
    </row>
    <row r="115" spans="1:9" ht="16" x14ac:dyDescent="0.2">
      <c r="A115" s="62" t="s">
        <v>2463</v>
      </c>
      <c r="B115" s="60" t="s">
        <v>2460</v>
      </c>
      <c r="C115" s="60" t="s">
        <v>2457</v>
      </c>
      <c r="D115" s="60"/>
      <c r="E115" s="61" t="s">
        <v>2464</v>
      </c>
      <c r="F115" s="66">
        <v>2</v>
      </c>
      <c r="G115" s="66">
        <v>4</v>
      </c>
      <c r="H115" s="61" t="s">
        <v>2466</v>
      </c>
      <c r="I115" s="60" t="s">
        <v>2554</v>
      </c>
    </row>
    <row r="116" spans="1:9" ht="32" x14ac:dyDescent="0.2">
      <c r="A116" s="62" t="s">
        <v>2467</v>
      </c>
      <c r="B116" s="60" t="s">
        <v>2460</v>
      </c>
      <c r="C116" s="60" t="s">
        <v>2457</v>
      </c>
      <c r="D116" s="60"/>
      <c r="E116" s="61" t="s">
        <v>2468</v>
      </c>
      <c r="F116" s="66">
        <v>2</v>
      </c>
      <c r="G116" s="66"/>
      <c r="H116" s="61"/>
      <c r="I116" s="60" t="s">
        <v>2554</v>
      </c>
    </row>
    <row r="117" spans="1:9" ht="16" x14ac:dyDescent="0.2">
      <c r="A117" s="62" t="s">
        <v>2469</v>
      </c>
      <c r="B117" s="60" t="s">
        <v>2460</v>
      </c>
      <c r="C117" s="60" t="s">
        <v>2457</v>
      </c>
      <c r="D117" s="60"/>
      <c r="E117" s="61" t="s">
        <v>2470</v>
      </c>
      <c r="F117" s="66">
        <v>2</v>
      </c>
      <c r="G117" s="66">
        <v>2</v>
      </c>
      <c r="H117" s="61" t="s">
        <v>2472</v>
      </c>
      <c r="I117" s="60" t="s">
        <v>2554</v>
      </c>
    </row>
    <row r="118" spans="1:9" ht="16" x14ac:dyDescent="0.2">
      <c r="A118" s="62" t="s">
        <v>2556</v>
      </c>
      <c r="B118" s="60" t="s">
        <v>2460</v>
      </c>
      <c r="C118" s="60" t="s">
        <v>2457</v>
      </c>
      <c r="D118" s="60"/>
      <c r="E118" s="61" t="s">
        <v>2473</v>
      </c>
      <c r="F118" s="66">
        <v>1</v>
      </c>
      <c r="G118" s="66"/>
      <c r="H118" s="61" t="s">
        <v>2474</v>
      </c>
      <c r="I118" s="60" t="s">
        <v>2554</v>
      </c>
    </row>
    <row r="119" spans="1:9" ht="16" x14ac:dyDescent="0.2">
      <c r="A119" s="62" t="s">
        <v>2557</v>
      </c>
      <c r="B119" s="60" t="s">
        <v>2460</v>
      </c>
      <c r="C119" s="60" t="s">
        <v>2457</v>
      </c>
      <c r="D119" s="60"/>
      <c r="E119" s="61" t="s">
        <v>2475</v>
      </c>
      <c r="F119" s="66">
        <v>2</v>
      </c>
      <c r="G119" s="66"/>
      <c r="H119" s="61" t="s">
        <v>2476</v>
      </c>
      <c r="I119" s="60" t="s">
        <v>2554</v>
      </c>
    </row>
    <row r="120" spans="1:9" ht="16" x14ac:dyDescent="0.2">
      <c r="A120" s="62" t="s">
        <v>2477</v>
      </c>
      <c r="B120" s="60" t="s">
        <v>2460</v>
      </c>
      <c r="C120" s="60" t="s">
        <v>2457</v>
      </c>
      <c r="D120" s="60"/>
      <c r="E120" s="61" t="s">
        <v>2478</v>
      </c>
      <c r="F120" s="66">
        <v>0</v>
      </c>
      <c r="G120" s="66"/>
      <c r="H120" s="61"/>
      <c r="I120" s="60" t="s">
        <v>2554</v>
      </c>
    </row>
    <row r="121" spans="1:9" ht="16" x14ac:dyDescent="0.2">
      <c r="A121" s="62" t="s">
        <v>2480</v>
      </c>
      <c r="B121" s="60" t="s">
        <v>2460</v>
      </c>
      <c r="C121" s="60" t="s">
        <v>2457</v>
      </c>
      <c r="D121" s="60"/>
      <c r="E121" s="61" t="s">
        <v>2481</v>
      </c>
      <c r="F121" s="66">
        <v>2</v>
      </c>
      <c r="G121" s="66"/>
      <c r="H121" s="61"/>
      <c r="I121" s="60" t="s">
        <v>2554</v>
      </c>
    </row>
    <row r="122" spans="1:9" ht="16" x14ac:dyDescent="0.2">
      <c r="A122" s="62" t="s">
        <v>2482</v>
      </c>
      <c r="B122" s="60" t="s">
        <v>2460</v>
      </c>
      <c r="C122" s="60" t="s">
        <v>2457</v>
      </c>
      <c r="D122" s="60"/>
      <c r="E122" s="61" t="s">
        <v>2483</v>
      </c>
      <c r="F122" s="66">
        <v>4</v>
      </c>
      <c r="G122" s="66"/>
      <c r="H122" s="61"/>
      <c r="I122" s="60" t="s">
        <v>2554</v>
      </c>
    </row>
    <row r="123" spans="1:9" ht="16" x14ac:dyDescent="0.2">
      <c r="A123" s="62" t="s">
        <v>2484</v>
      </c>
      <c r="B123" s="60" t="s">
        <v>2460</v>
      </c>
      <c r="C123" s="60" t="s">
        <v>2457</v>
      </c>
      <c r="D123" s="60"/>
      <c r="E123" s="61" t="s">
        <v>2485</v>
      </c>
      <c r="F123" s="66">
        <v>2</v>
      </c>
      <c r="G123" s="66"/>
      <c r="H123" s="61"/>
      <c r="I123" s="60" t="s">
        <v>2554</v>
      </c>
    </row>
    <row r="124" spans="1:9" ht="16" x14ac:dyDescent="0.2">
      <c r="A124" s="62" t="s">
        <v>2486</v>
      </c>
      <c r="B124" s="60" t="s">
        <v>2460</v>
      </c>
      <c r="C124" s="60" t="s">
        <v>2457</v>
      </c>
      <c r="D124" s="60"/>
      <c r="E124" s="61" t="s">
        <v>2487</v>
      </c>
      <c r="F124" s="66">
        <v>0</v>
      </c>
      <c r="G124" s="66"/>
      <c r="H124" s="61"/>
      <c r="I124" s="60" t="s">
        <v>2554</v>
      </c>
    </row>
    <row r="125" spans="1:9" ht="16" x14ac:dyDescent="0.2">
      <c r="A125" s="62" t="s">
        <v>2488</v>
      </c>
      <c r="B125" s="60" t="s">
        <v>2460</v>
      </c>
      <c r="C125" s="60" t="s">
        <v>2457</v>
      </c>
      <c r="D125" s="60"/>
      <c r="E125" s="61" t="s">
        <v>2489</v>
      </c>
      <c r="F125" s="66">
        <v>1</v>
      </c>
      <c r="G125" s="66"/>
      <c r="H125" s="61"/>
      <c r="I125" s="60" t="s">
        <v>2554</v>
      </c>
    </row>
    <row r="126" spans="1:9" ht="16" x14ac:dyDescent="0.2">
      <c r="A126" s="62" t="s">
        <v>2490</v>
      </c>
      <c r="B126" s="60" t="s">
        <v>2460</v>
      </c>
      <c r="C126" s="60" t="s">
        <v>2457</v>
      </c>
      <c r="D126" s="60"/>
      <c r="E126" s="61" t="s">
        <v>2491</v>
      </c>
      <c r="F126" s="66">
        <v>2</v>
      </c>
      <c r="G126" s="66"/>
      <c r="H126" s="61"/>
      <c r="I126" s="60" t="s">
        <v>2554</v>
      </c>
    </row>
    <row r="127" spans="1:9" ht="16" x14ac:dyDescent="0.2">
      <c r="A127" s="62" t="s">
        <v>2492</v>
      </c>
      <c r="B127" s="60" t="s">
        <v>2460</v>
      </c>
      <c r="C127" s="60" t="s">
        <v>2457</v>
      </c>
      <c r="D127" s="60"/>
      <c r="E127" s="61" t="s">
        <v>2493</v>
      </c>
      <c r="F127" s="66">
        <v>3</v>
      </c>
      <c r="G127" s="66"/>
      <c r="H127" s="61"/>
      <c r="I127" s="60" t="s">
        <v>2554</v>
      </c>
    </row>
    <row r="128" spans="1:9" ht="16" x14ac:dyDescent="0.2">
      <c r="A128" s="62" t="s">
        <v>2495</v>
      </c>
      <c r="B128" s="60" t="s">
        <v>2460</v>
      </c>
      <c r="C128" s="60" t="s">
        <v>2457</v>
      </c>
      <c r="D128" s="60"/>
      <c r="E128" s="61" t="s">
        <v>2496</v>
      </c>
      <c r="F128" s="66">
        <v>2</v>
      </c>
      <c r="G128" s="66"/>
      <c r="H128" s="61"/>
      <c r="I128" s="60" t="s">
        <v>2554</v>
      </c>
    </row>
    <row r="129" spans="1:9" ht="32" x14ac:dyDescent="0.2">
      <c r="A129" s="62" t="s">
        <v>2558</v>
      </c>
      <c r="B129" s="60" t="s">
        <v>2460</v>
      </c>
      <c r="C129" s="60" t="s">
        <v>2457</v>
      </c>
      <c r="D129" s="60"/>
      <c r="E129" s="61" t="s">
        <v>2497</v>
      </c>
      <c r="F129" s="66">
        <v>2</v>
      </c>
      <c r="G129" s="66"/>
      <c r="H129" s="61" t="s">
        <v>2498</v>
      </c>
      <c r="I129" s="60" t="s">
        <v>2554</v>
      </c>
    </row>
    <row r="130" spans="1:9" ht="16" x14ac:dyDescent="0.2">
      <c r="A130" s="62" t="s">
        <v>2499</v>
      </c>
      <c r="B130" s="60" t="s">
        <v>2460</v>
      </c>
      <c r="C130" s="60" t="s">
        <v>2457</v>
      </c>
      <c r="D130" s="60"/>
      <c r="E130" s="61" t="s">
        <v>2500</v>
      </c>
      <c r="F130" s="66">
        <v>2</v>
      </c>
      <c r="G130" s="66"/>
      <c r="H130" s="61"/>
      <c r="I130" s="60" t="s">
        <v>2559</v>
      </c>
    </row>
    <row r="131" spans="1:9" ht="32" x14ac:dyDescent="0.2">
      <c r="A131" s="62" t="s">
        <v>2501</v>
      </c>
      <c r="B131" s="60" t="s">
        <v>2460</v>
      </c>
      <c r="C131" s="60" t="s">
        <v>2457</v>
      </c>
      <c r="D131" s="60"/>
      <c r="E131" s="61" t="s">
        <v>2502</v>
      </c>
      <c r="F131" s="66">
        <v>6</v>
      </c>
      <c r="G131" s="66"/>
      <c r="H131" s="61"/>
      <c r="I131" s="60" t="s">
        <v>2559</v>
      </c>
    </row>
    <row r="132" spans="1:9" ht="32" x14ac:dyDescent="0.2">
      <c r="A132" s="62" t="s">
        <v>2503</v>
      </c>
      <c r="B132" s="60" t="s">
        <v>2460</v>
      </c>
      <c r="C132" s="60" t="s">
        <v>2457</v>
      </c>
      <c r="D132" s="60"/>
      <c r="E132" s="61" t="s">
        <v>2504</v>
      </c>
      <c r="F132" s="66">
        <v>2</v>
      </c>
      <c r="G132" s="66"/>
      <c r="H132" s="61"/>
      <c r="I132" s="60" t="s">
        <v>2559</v>
      </c>
    </row>
    <row r="133" spans="1:9" ht="16" x14ac:dyDescent="0.2">
      <c r="A133" s="62" t="s">
        <v>2505</v>
      </c>
      <c r="B133" s="60" t="s">
        <v>2460</v>
      </c>
      <c r="C133" s="60" t="s">
        <v>2457</v>
      </c>
      <c r="D133" s="60"/>
      <c r="E133" s="61" t="s">
        <v>2506</v>
      </c>
      <c r="F133" s="66"/>
      <c r="G133" s="66"/>
      <c r="H133" s="61" t="s">
        <v>2508</v>
      </c>
      <c r="I133" s="60" t="s">
        <v>2559</v>
      </c>
    </row>
    <row r="134" spans="1:9" ht="32" x14ac:dyDescent="0.2">
      <c r="A134" s="62" t="s">
        <v>2509</v>
      </c>
      <c r="B134" s="60" t="s">
        <v>2460</v>
      </c>
      <c r="C134" s="60" t="s">
        <v>2457</v>
      </c>
      <c r="D134" s="60"/>
      <c r="E134" s="61" t="s">
        <v>2510</v>
      </c>
      <c r="F134" s="66">
        <v>4</v>
      </c>
      <c r="G134" s="66"/>
      <c r="H134" s="61"/>
      <c r="I134" s="60" t="s">
        <v>2559</v>
      </c>
    </row>
    <row r="135" spans="1:9" ht="16" x14ac:dyDescent="0.2">
      <c r="A135" s="62" t="s">
        <v>2560</v>
      </c>
      <c r="B135" s="60" t="s">
        <v>2460</v>
      </c>
      <c r="C135" s="60" t="s">
        <v>2457</v>
      </c>
      <c r="D135" s="60"/>
      <c r="E135" s="61" t="s">
        <v>2512</v>
      </c>
      <c r="F135" s="66">
        <v>25</v>
      </c>
      <c r="G135" s="66"/>
      <c r="H135" s="61" t="s">
        <v>2561</v>
      </c>
      <c r="I135" s="60" t="s">
        <v>2559</v>
      </c>
    </row>
    <row r="136" spans="1:9" ht="16" x14ac:dyDescent="0.2">
      <c r="A136" s="62" t="s">
        <v>2515</v>
      </c>
      <c r="B136" s="60" t="s">
        <v>2460</v>
      </c>
      <c r="C136" s="60" t="s">
        <v>2457</v>
      </c>
      <c r="D136" s="60"/>
      <c r="E136" s="61" t="s">
        <v>2516</v>
      </c>
      <c r="F136" s="66">
        <v>4</v>
      </c>
      <c r="G136" s="66">
        <v>6</v>
      </c>
      <c r="H136" s="61" t="s">
        <v>2518</v>
      </c>
      <c r="I136" s="60" t="s">
        <v>2559</v>
      </c>
    </row>
    <row r="137" spans="1:9" ht="16" x14ac:dyDescent="0.2">
      <c r="A137" s="62" t="s">
        <v>2519</v>
      </c>
      <c r="B137" s="60" t="s">
        <v>2460</v>
      </c>
      <c r="C137" s="60" t="s">
        <v>2457</v>
      </c>
      <c r="D137" s="60"/>
      <c r="E137" s="61" t="s">
        <v>2520</v>
      </c>
      <c r="F137" s="66">
        <v>1</v>
      </c>
      <c r="G137" s="66"/>
      <c r="H137" s="61" t="s">
        <v>2522</v>
      </c>
      <c r="I137" s="60" t="s">
        <v>2559</v>
      </c>
    </row>
    <row r="138" spans="1:9" ht="16" x14ac:dyDescent="0.2">
      <c r="A138" s="62" t="s">
        <v>2523</v>
      </c>
      <c r="B138" s="60" t="s">
        <v>2460</v>
      </c>
      <c r="C138" s="60" t="s">
        <v>2457</v>
      </c>
      <c r="D138" s="60"/>
      <c r="E138" s="61" t="s">
        <v>2524</v>
      </c>
      <c r="F138" s="66">
        <v>4</v>
      </c>
      <c r="G138" s="66"/>
      <c r="H138" s="61" t="s">
        <v>2430</v>
      </c>
      <c r="I138" s="60" t="s">
        <v>2559</v>
      </c>
    </row>
    <row r="139" spans="1:9" ht="16" x14ac:dyDescent="0.2">
      <c r="A139" s="62" t="s">
        <v>2525</v>
      </c>
      <c r="B139" s="60" t="s">
        <v>2460</v>
      </c>
      <c r="C139" s="60" t="s">
        <v>2457</v>
      </c>
      <c r="D139" s="60"/>
      <c r="E139" s="61" t="s">
        <v>2526</v>
      </c>
      <c r="F139" s="66">
        <v>1</v>
      </c>
      <c r="G139" s="66"/>
      <c r="H139" s="61" t="s">
        <v>2430</v>
      </c>
      <c r="I139" s="60" t="s">
        <v>2559</v>
      </c>
    </row>
    <row r="140" spans="1:9" ht="16" x14ac:dyDescent="0.2">
      <c r="A140" s="62" t="s">
        <v>2528</v>
      </c>
      <c r="B140" s="60" t="s">
        <v>2460</v>
      </c>
      <c r="C140" s="60" t="s">
        <v>2457</v>
      </c>
      <c r="D140" s="60"/>
      <c r="E140" s="61" t="s">
        <v>2529</v>
      </c>
      <c r="F140" s="66">
        <v>2</v>
      </c>
      <c r="G140" s="66"/>
      <c r="H140" s="61" t="s">
        <v>2430</v>
      </c>
      <c r="I140" s="60" t="s">
        <v>2559</v>
      </c>
    </row>
    <row r="141" spans="1:9" ht="16" x14ac:dyDescent="0.2">
      <c r="A141" s="62" t="s">
        <v>2530</v>
      </c>
      <c r="B141" s="60" t="s">
        <v>2460</v>
      </c>
      <c r="C141" s="60" t="s">
        <v>2457</v>
      </c>
      <c r="D141" s="60"/>
      <c r="E141" s="61" t="s">
        <v>2531</v>
      </c>
      <c r="F141" s="66">
        <v>1</v>
      </c>
      <c r="G141" s="66"/>
      <c r="H141" s="61"/>
      <c r="I141" s="60" t="s">
        <v>2559</v>
      </c>
    </row>
    <row r="142" spans="1:9" ht="16" x14ac:dyDescent="0.2">
      <c r="A142" s="62" t="s">
        <v>2532</v>
      </c>
      <c r="B142" s="60" t="s">
        <v>2460</v>
      </c>
      <c r="C142" s="60" t="s">
        <v>2457</v>
      </c>
      <c r="D142" s="60"/>
      <c r="E142" s="61" t="s">
        <v>2533</v>
      </c>
      <c r="F142" s="66">
        <v>1</v>
      </c>
      <c r="G142" s="66">
        <v>3</v>
      </c>
      <c r="H142" s="61" t="s">
        <v>2534</v>
      </c>
      <c r="I142" s="60" t="s">
        <v>2559</v>
      </c>
    </row>
  </sheetData>
  <conditionalFormatting sqref="A5:A142">
    <cfRule type="expression" dxfId="1" priority="1">
      <formula>AND($A5&lt;&gt;"",COUNTIF($A$5:$A$142,$A5)&gt;1)</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pageSetUpPr fitToPage="1"/>
  </sheetPr>
  <dimension ref="A1:H982"/>
  <sheetViews>
    <sheetView showGridLines="0" workbookViewId="0">
      <pane ySplit="1" topLeftCell="A101" activePane="bottomLeft" state="frozen"/>
      <selection activeCell="K58" sqref="K58"/>
      <selection pane="bottomLeft" activeCell="K58" sqref="K58"/>
    </sheetView>
  </sheetViews>
  <sheetFormatPr baseColWidth="10" defaultColWidth="8.83203125" defaultRowHeight="15" x14ac:dyDescent="0.2"/>
  <cols>
    <col min="1" max="1" width="12" customWidth="1"/>
    <col min="2" max="2" width="68" customWidth="1"/>
    <col min="3" max="5" width="11" customWidth="1"/>
    <col min="6" max="6" width="12" customWidth="1"/>
    <col min="7" max="7" width="11" customWidth="1"/>
    <col min="8" max="8" width="14" customWidth="1"/>
  </cols>
  <sheetData>
    <row r="1" spans="1:8" ht="24" customHeight="1" x14ac:dyDescent="0.2">
      <c r="A1" s="1" t="s">
        <v>0</v>
      </c>
      <c r="B1" s="1" t="s">
        <v>1</v>
      </c>
      <c r="C1" s="1" t="s">
        <v>2</v>
      </c>
      <c r="D1" s="1" t="s">
        <v>3</v>
      </c>
      <c r="E1" s="1" t="s">
        <v>4</v>
      </c>
      <c r="F1" s="1" t="s">
        <v>5</v>
      </c>
      <c r="G1" s="1" t="s">
        <v>6</v>
      </c>
      <c r="H1" s="1" t="s">
        <v>7</v>
      </c>
    </row>
    <row r="2" spans="1:8" x14ac:dyDescent="0.2">
      <c r="A2" s="2">
        <v>1</v>
      </c>
      <c r="B2" s="3" t="s">
        <v>8</v>
      </c>
      <c r="C2" s="2">
        <v>1</v>
      </c>
      <c r="D2" s="4">
        <v>0</v>
      </c>
      <c r="E2" s="4">
        <v>4</v>
      </c>
      <c r="F2" s="4">
        <v>0</v>
      </c>
      <c r="G2" s="4">
        <v>4</v>
      </c>
      <c r="H2" s="5">
        <v>220</v>
      </c>
    </row>
    <row r="3" spans="1:8" x14ac:dyDescent="0.2">
      <c r="A3" s="6">
        <v>1</v>
      </c>
      <c r="B3" s="7" t="s">
        <v>9</v>
      </c>
      <c r="C3" s="6">
        <v>2</v>
      </c>
      <c r="D3" s="8">
        <v>6</v>
      </c>
      <c r="E3" s="8">
        <v>3.5</v>
      </c>
      <c r="F3" s="8">
        <v>4</v>
      </c>
      <c r="G3" s="8">
        <v>13.5</v>
      </c>
      <c r="H3" s="9">
        <v>742.5</v>
      </c>
    </row>
    <row r="4" spans="1:8" x14ac:dyDescent="0.2">
      <c r="A4" s="2">
        <v>1</v>
      </c>
      <c r="B4" s="3" t="s">
        <v>10</v>
      </c>
      <c r="C4" s="2">
        <v>0</v>
      </c>
      <c r="D4" s="4">
        <v>0</v>
      </c>
      <c r="E4" s="4">
        <v>0</v>
      </c>
      <c r="F4" s="4">
        <v>0</v>
      </c>
      <c r="G4" s="4">
        <v>0</v>
      </c>
      <c r="H4" s="5">
        <v>0</v>
      </c>
    </row>
    <row r="5" spans="1:8" x14ac:dyDescent="0.2">
      <c r="A5" s="6">
        <v>1</v>
      </c>
      <c r="B5" s="7" t="s">
        <v>11</v>
      </c>
      <c r="C5" s="6">
        <v>1</v>
      </c>
      <c r="D5" s="8">
        <v>4</v>
      </c>
      <c r="E5" s="8">
        <v>5</v>
      </c>
      <c r="F5" s="8">
        <v>3</v>
      </c>
      <c r="G5" s="8">
        <v>12</v>
      </c>
      <c r="H5" s="9">
        <v>660</v>
      </c>
    </row>
    <row r="6" spans="1:8" x14ac:dyDescent="0.2">
      <c r="A6" s="2">
        <v>1</v>
      </c>
      <c r="B6" s="3" t="s">
        <v>12</v>
      </c>
      <c r="C6" s="2">
        <v>3</v>
      </c>
      <c r="D6" s="4">
        <v>5</v>
      </c>
      <c r="E6" s="4">
        <v>3</v>
      </c>
      <c r="F6" s="4">
        <v>0</v>
      </c>
      <c r="G6" s="4">
        <v>8</v>
      </c>
      <c r="H6" s="5">
        <v>440</v>
      </c>
    </row>
    <row r="7" spans="1:8" x14ac:dyDescent="0.2">
      <c r="A7" s="6">
        <v>1</v>
      </c>
      <c r="B7" s="7" t="s">
        <v>13</v>
      </c>
      <c r="C7" s="6">
        <v>1</v>
      </c>
      <c r="D7" s="8">
        <v>4</v>
      </c>
      <c r="E7" s="8">
        <v>5</v>
      </c>
      <c r="F7" s="8">
        <v>3</v>
      </c>
      <c r="G7" s="8">
        <v>12</v>
      </c>
      <c r="H7" s="9">
        <v>660</v>
      </c>
    </row>
    <row r="8" spans="1:8" x14ac:dyDescent="0.2">
      <c r="A8" s="2">
        <v>1</v>
      </c>
      <c r="B8" s="3" t="s">
        <v>14</v>
      </c>
      <c r="C8" s="2">
        <v>0</v>
      </c>
      <c r="D8" s="4">
        <v>0</v>
      </c>
      <c r="E8" s="4">
        <v>0</v>
      </c>
      <c r="F8" s="4">
        <v>0</v>
      </c>
      <c r="G8" s="4">
        <v>0</v>
      </c>
      <c r="H8" s="5">
        <v>0</v>
      </c>
    </row>
    <row r="9" spans="1:8" x14ac:dyDescent="0.2">
      <c r="A9" s="6">
        <v>1</v>
      </c>
      <c r="B9" s="7" t="s">
        <v>15</v>
      </c>
      <c r="C9" s="6">
        <v>0</v>
      </c>
      <c r="D9" s="8">
        <v>0</v>
      </c>
      <c r="E9" s="8">
        <v>0</v>
      </c>
      <c r="F9" s="8">
        <v>0</v>
      </c>
      <c r="G9" s="8">
        <v>0</v>
      </c>
      <c r="H9" s="9">
        <v>0</v>
      </c>
    </row>
    <row r="10" spans="1:8" x14ac:dyDescent="0.2">
      <c r="A10" s="2">
        <v>1</v>
      </c>
      <c r="B10" s="3" t="s">
        <v>16</v>
      </c>
      <c r="C10" s="2">
        <v>163</v>
      </c>
      <c r="D10" s="4">
        <v>6.2</v>
      </c>
      <c r="E10" s="4">
        <v>7.2</v>
      </c>
      <c r="F10" s="4">
        <v>0.5</v>
      </c>
      <c r="G10" s="4">
        <v>13.9</v>
      </c>
      <c r="H10" s="5">
        <v>761.75</v>
      </c>
    </row>
    <row r="11" spans="1:8" x14ac:dyDescent="0.2">
      <c r="A11" s="6">
        <v>1</v>
      </c>
      <c r="B11" s="7" t="s">
        <v>17</v>
      </c>
      <c r="C11" s="6">
        <v>6</v>
      </c>
      <c r="D11" s="8">
        <v>3.5</v>
      </c>
      <c r="E11" s="8">
        <v>5.2</v>
      </c>
      <c r="F11" s="8">
        <v>0.2</v>
      </c>
      <c r="G11" s="8">
        <v>8.8000000000000007</v>
      </c>
      <c r="H11" s="9">
        <v>485.1</v>
      </c>
    </row>
    <row r="12" spans="1:8" x14ac:dyDescent="0.2">
      <c r="A12" s="2">
        <v>1</v>
      </c>
      <c r="B12" s="3" t="s">
        <v>18</v>
      </c>
      <c r="C12" s="2">
        <v>1</v>
      </c>
      <c r="D12" s="4">
        <v>8</v>
      </c>
      <c r="E12" s="4">
        <v>14</v>
      </c>
      <c r="F12" s="4">
        <v>0</v>
      </c>
      <c r="G12" s="4">
        <v>22</v>
      </c>
      <c r="H12" s="5">
        <v>1210</v>
      </c>
    </row>
    <row r="13" spans="1:8" x14ac:dyDescent="0.2">
      <c r="A13" s="6">
        <v>1</v>
      </c>
      <c r="B13" s="7" t="s">
        <v>19</v>
      </c>
      <c r="C13" s="6">
        <v>5</v>
      </c>
      <c r="D13" s="8">
        <v>7</v>
      </c>
      <c r="E13" s="8">
        <v>13</v>
      </c>
      <c r="F13" s="8">
        <v>1.2</v>
      </c>
      <c r="G13" s="8">
        <v>21.2</v>
      </c>
      <c r="H13" s="9">
        <v>1166</v>
      </c>
    </row>
    <row r="14" spans="1:8" x14ac:dyDescent="0.2">
      <c r="A14" s="2">
        <v>1</v>
      </c>
      <c r="B14" s="3" t="s">
        <v>20</v>
      </c>
      <c r="C14" s="2">
        <v>341</v>
      </c>
      <c r="D14" s="4">
        <v>7.3</v>
      </c>
      <c r="E14" s="4">
        <v>12.1</v>
      </c>
      <c r="F14" s="4">
        <v>0.8</v>
      </c>
      <c r="G14" s="4">
        <v>20.100000000000001</v>
      </c>
      <c r="H14" s="5">
        <v>1104.4000000000001</v>
      </c>
    </row>
    <row r="15" spans="1:8" x14ac:dyDescent="0.2">
      <c r="A15" s="6">
        <v>1</v>
      </c>
      <c r="B15" s="7" t="s">
        <v>21</v>
      </c>
      <c r="C15" s="6">
        <v>1</v>
      </c>
      <c r="D15" s="8">
        <v>0</v>
      </c>
      <c r="E15" s="8">
        <v>13</v>
      </c>
      <c r="F15" s="8">
        <v>0</v>
      </c>
      <c r="G15" s="8">
        <v>13</v>
      </c>
      <c r="H15" s="9">
        <v>715</v>
      </c>
    </row>
    <row r="16" spans="1:8" x14ac:dyDescent="0.2">
      <c r="A16" s="2">
        <v>1</v>
      </c>
      <c r="B16" s="3" t="s">
        <v>22</v>
      </c>
      <c r="C16" s="2">
        <v>1</v>
      </c>
      <c r="D16" s="4">
        <v>8</v>
      </c>
      <c r="E16" s="4">
        <v>20</v>
      </c>
      <c r="F16" s="4">
        <v>2</v>
      </c>
      <c r="G16" s="4">
        <v>30</v>
      </c>
      <c r="H16" s="5">
        <v>1650</v>
      </c>
    </row>
    <row r="17" spans="1:8" x14ac:dyDescent="0.2">
      <c r="A17" s="6">
        <v>1</v>
      </c>
      <c r="B17" s="7" t="s">
        <v>23</v>
      </c>
      <c r="C17" s="6">
        <v>1</v>
      </c>
      <c r="D17" s="8">
        <v>8</v>
      </c>
      <c r="E17" s="8">
        <v>26</v>
      </c>
      <c r="F17" s="8">
        <v>2</v>
      </c>
      <c r="G17" s="8">
        <v>36</v>
      </c>
      <c r="H17" s="9">
        <v>1980</v>
      </c>
    </row>
    <row r="18" spans="1:8" x14ac:dyDescent="0.2">
      <c r="A18" s="2">
        <v>1</v>
      </c>
      <c r="B18" s="3" t="s">
        <v>24</v>
      </c>
      <c r="C18" s="2">
        <v>10</v>
      </c>
      <c r="D18" s="4">
        <v>7.5</v>
      </c>
      <c r="E18" s="4">
        <v>14.4</v>
      </c>
      <c r="F18" s="4">
        <v>0.9</v>
      </c>
      <c r="G18" s="4">
        <v>22.8</v>
      </c>
      <c r="H18" s="5">
        <v>1254</v>
      </c>
    </row>
    <row r="19" spans="1:8" x14ac:dyDescent="0.2">
      <c r="A19" s="6">
        <v>1</v>
      </c>
      <c r="B19" s="7" t="s">
        <v>25</v>
      </c>
      <c r="C19" s="6">
        <v>2</v>
      </c>
      <c r="D19" s="8">
        <v>8.5</v>
      </c>
      <c r="E19" s="8">
        <v>20</v>
      </c>
      <c r="F19" s="8">
        <v>2</v>
      </c>
      <c r="G19" s="8">
        <v>30.5</v>
      </c>
      <c r="H19" s="9">
        <v>1677.5</v>
      </c>
    </row>
    <row r="20" spans="1:8" x14ac:dyDescent="0.2">
      <c r="A20" s="2">
        <v>1</v>
      </c>
      <c r="B20" s="3" t="s">
        <v>26</v>
      </c>
      <c r="C20" s="2">
        <v>0</v>
      </c>
      <c r="D20" s="4">
        <v>0</v>
      </c>
      <c r="E20" s="4">
        <v>0</v>
      </c>
      <c r="F20" s="4">
        <v>0</v>
      </c>
      <c r="G20" s="4">
        <v>0</v>
      </c>
      <c r="H20" s="5">
        <v>0</v>
      </c>
    </row>
    <row r="21" spans="1:8" x14ac:dyDescent="0.2">
      <c r="A21" s="6">
        <v>1</v>
      </c>
      <c r="B21" s="7" t="s">
        <v>27</v>
      </c>
      <c r="C21" s="6">
        <v>238</v>
      </c>
      <c r="D21" s="8">
        <v>5.9</v>
      </c>
      <c r="E21" s="8">
        <v>6.6</v>
      </c>
      <c r="F21" s="8">
        <v>0.3</v>
      </c>
      <c r="G21" s="8">
        <v>12.7</v>
      </c>
      <c r="H21" s="9">
        <v>700.7</v>
      </c>
    </row>
    <row r="22" spans="1:8" x14ac:dyDescent="0.2">
      <c r="A22" s="2">
        <v>1</v>
      </c>
      <c r="B22" s="3" t="s">
        <v>28</v>
      </c>
      <c r="C22" s="2">
        <v>110</v>
      </c>
      <c r="D22" s="4">
        <v>5.9</v>
      </c>
      <c r="E22" s="4">
        <v>6.7</v>
      </c>
      <c r="F22" s="4">
        <v>0.3</v>
      </c>
      <c r="G22" s="4">
        <v>12.9</v>
      </c>
      <c r="H22" s="5">
        <v>709.5</v>
      </c>
    </row>
    <row r="23" spans="1:8" x14ac:dyDescent="0.2">
      <c r="A23" s="6">
        <v>1</v>
      </c>
      <c r="B23" s="7" t="s">
        <v>29</v>
      </c>
      <c r="C23" s="6">
        <v>2</v>
      </c>
      <c r="D23" s="8">
        <v>6</v>
      </c>
      <c r="E23" s="8">
        <v>4</v>
      </c>
      <c r="F23" s="8">
        <v>1</v>
      </c>
      <c r="G23" s="8">
        <v>11</v>
      </c>
      <c r="H23" s="9">
        <v>605</v>
      </c>
    </row>
    <row r="24" spans="1:8" x14ac:dyDescent="0.2">
      <c r="A24" s="2">
        <v>1</v>
      </c>
      <c r="B24" s="3" t="s">
        <v>30</v>
      </c>
      <c r="C24" s="2">
        <v>49</v>
      </c>
      <c r="D24" s="4">
        <v>4.7</v>
      </c>
      <c r="E24" s="4">
        <v>2.2999999999999998</v>
      </c>
      <c r="F24" s="4">
        <v>0.4</v>
      </c>
      <c r="G24" s="4">
        <v>7.5</v>
      </c>
      <c r="H24" s="5">
        <v>411.95</v>
      </c>
    </row>
    <row r="25" spans="1:8" x14ac:dyDescent="0.2">
      <c r="A25" s="6">
        <v>1</v>
      </c>
      <c r="B25" s="7" t="s">
        <v>31</v>
      </c>
      <c r="C25" s="6">
        <v>237</v>
      </c>
      <c r="D25" s="8">
        <v>4.8</v>
      </c>
      <c r="E25" s="8">
        <v>2.4</v>
      </c>
      <c r="F25" s="8">
        <v>0.2</v>
      </c>
      <c r="G25" s="8">
        <v>7.4</v>
      </c>
      <c r="H25" s="9">
        <v>406.45</v>
      </c>
    </row>
    <row r="26" spans="1:8" x14ac:dyDescent="0.2">
      <c r="A26" s="2">
        <v>1</v>
      </c>
      <c r="B26" s="3" t="s">
        <v>32</v>
      </c>
      <c r="C26" s="2">
        <v>23</v>
      </c>
      <c r="D26" s="4">
        <v>4.7</v>
      </c>
      <c r="E26" s="4">
        <v>2.5</v>
      </c>
      <c r="F26" s="4">
        <v>0</v>
      </c>
      <c r="G26" s="4">
        <v>7.3</v>
      </c>
      <c r="H26" s="5">
        <v>400.95</v>
      </c>
    </row>
    <row r="27" spans="1:8" x14ac:dyDescent="0.2">
      <c r="A27" s="6">
        <v>1</v>
      </c>
      <c r="B27" s="7" t="s">
        <v>33</v>
      </c>
      <c r="C27" s="6">
        <v>1</v>
      </c>
      <c r="D27" s="8">
        <v>5</v>
      </c>
      <c r="E27" s="8">
        <v>3</v>
      </c>
      <c r="F27" s="8">
        <v>2</v>
      </c>
      <c r="G27" s="8">
        <v>10</v>
      </c>
      <c r="H27" s="9">
        <v>550</v>
      </c>
    </row>
    <row r="28" spans="1:8" x14ac:dyDescent="0.2">
      <c r="A28" s="2">
        <v>1</v>
      </c>
      <c r="B28" s="3" t="s">
        <v>34</v>
      </c>
      <c r="C28" s="2">
        <v>974</v>
      </c>
      <c r="D28" s="4">
        <v>4.9000000000000004</v>
      </c>
      <c r="E28" s="4">
        <v>3.2</v>
      </c>
      <c r="F28" s="4">
        <v>0.2</v>
      </c>
      <c r="G28" s="4">
        <v>8.3000000000000007</v>
      </c>
      <c r="H28" s="5">
        <v>458.15</v>
      </c>
    </row>
    <row r="29" spans="1:8" x14ac:dyDescent="0.2">
      <c r="A29" s="6">
        <v>1</v>
      </c>
      <c r="B29" s="7" t="s">
        <v>35</v>
      </c>
      <c r="C29" s="6">
        <v>676</v>
      </c>
      <c r="D29" s="8">
        <v>5</v>
      </c>
      <c r="E29" s="8">
        <v>3.2</v>
      </c>
      <c r="F29" s="8">
        <v>0.2</v>
      </c>
      <c r="G29" s="8">
        <v>8.4</v>
      </c>
      <c r="H29" s="9">
        <v>459.8</v>
      </c>
    </row>
    <row r="30" spans="1:8" x14ac:dyDescent="0.2">
      <c r="A30" s="2">
        <v>1</v>
      </c>
      <c r="B30" s="3" t="s">
        <v>36</v>
      </c>
      <c r="C30" s="2">
        <v>0</v>
      </c>
      <c r="D30" s="4">
        <v>0</v>
      </c>
      <c r="E30" s="4">
        <v>0</v>
      </c>
      <c r="F30" s="4">
        <v>0</v>
      </c>
      <c r="G30" s="4">
        <v>0</v>
      </c>
      <c r="H30" s="5">
        <v>0</v>
      </c>
    </row>
    <row r="31" spans="1:8" x14ac:dyDescent="0.2">
      <c r="A31" s="6">
        <v>1</v>
      </c>
      <c r="B31" s="7" t="s">
        <v>37</v>
      </c>
      <c r="C31" s="6">
        <v>5</v>
      </c>
      <c r="D31" s="8">
        <v>1.6</v>
      </c>
      <c r="E31" s="8">
        <v>3.2</v>
      </c>
      <c r="F31" s="8">
        <v>0.4</v>
      </c>
      <c r="G31" s="8">
        <v>5.2</v>
      </c>
      <c r="H31" s="9">
        <v>286</v>
      </c>
    </row>
    <row r="32" spans="1:8" x14ac:dyDescent="0.2">
      <c r="A32" s="2">
        <v>1</v>
      </c>
      <c r="B32" s="3" t="s">
        <v>38</v>
      </c>
      <c r="C32" s="2">
        <v>1</v>
      </c>
      <c r="D32" s="4">
        <v>0</v>
      </c>
      <c r="E32" s="4">
        <v>1</v>
      </c>
      <c r="F32" s="4">
        <v>0</v>
      </c>
      <c r="G32" s="4">
        <v>1</v>
      </c>
      <c r="H32" s="5">
        <v>55</v>
      </c>
    </row>
    <row r="33" spans="1:8" x14ac:dyDescent="0.2">
      <c r="A33" s="6">
        <v>1</v>
      </c>
      <c r="B33" s="7" t="s">
        <v>39</v>
      </c>
      <c r="C33" s="6">
        <v>1</v>
      </c>
      <c r="D33" s="8">
        <v>12</v>
      </c>
      <c r="E33" s="8">
        <v>7</v>
      </c>
      <c r="F33" s="8">
        <v>2</v>
      </c>
      <c r="G33" s="8">
        <v>21</v>
      </c>
      <c r="H33" s="9">
        <v>1155</v>
      </c>
    </row>
    <row r="34" spans="1:8" x14ac:dyDescent="0.2">
      <c r="A34" s="2">
        <v>1</v>
      </c>
      <c r="B34" s="3" t="s">
        <v>40</v>
      </c>
      <c r="C34" s="2">
        <v>1</v>
      </c>
      <c r="D34" s="4">
        <v>6</v>
      </c>
      <c r="E34" s="4">
        <v>6</v>
      </c>
      <c r="F34" s="4">
        <v>2</v>
      </c>
      <c r="G34" s="4">
        <v>14</v>
      </c>
      <c r="H34" s="5">
        <v>770</v>
      </c>
    </row>
    <row r="35" spans="1:8" x14ac:dyDescent="0.2">
      <c r="A35" s="6">
        <v>1</v>
      </c>
      <c r="B35" s="7" t="s">
        <v>41</v>
      </c>
      <c r="C35" s="6">
        <v>1</v>
      </c>
      <c r="D35" s="8">
        <v>0</v>
      </c>
      <c r="E35" s="8">
        <v>0</v>
      </c>
      <c r="F35" s="8">
        <v>0</v>
      </c>
      <c r="G35" s="8">
        <v>0</v>
      </c>
      <c r="H35" s="9">
        <v>0</v>
      </c>
    </row>
    <row r="36" spans="1:8" x14ac:dyDescent="0.2">
      <c r="A36" s="2">
        <v>1</v>
      </c>
      <c r="B36" s="3" t="s">
        <v>42</v>
      </c>
      <c r="C36" s="2">
        <v>0</v>
      </c>
      <c r="D36" s="4">
        <v>0</v>
      </c>
      <c r="E36" s="4">
        <v>0</v>
      </c>
      <c r="F36" s="4">
        <v>0</v>
      </c>
      <c r="G36" s="4">
        <v>0</v>
      </c>
      <c r="H36" s="5">
        <v>0</v>
      </c>
    </row>
    <row r="37" spans="1:8" x14ac:dyDescent="0.2">
      <c r="A37" s="6">
        <v>1</v>
      </c>
      <c r="B37" s="7" t="s">
        <v>43</v>
      </c>
      <c r="C37" s="6">
        <v>16</v>
      </c>
      <c r="D37" s="8">
        <v>0</v>
      </c>
      <c r="E37" s="8">
        <v>0</v>
      </c>
      <c r="F37" s="8">
        <v>0</v>
      </c>
      <c r="G37" s="8">
        <v>0</v>
      </c>
      <c r="H37" s="9">
        <v>0</v>
      </c>
    </row>
    <row r="38" spans="1:8" x14ac:dyDescent="0.2">
      <c r="A38" s="2">
        <v>1</v>
      </c>
      <c r="B38" s="3" t="s">
        <v>44</v>
      </c>
      <c r="C38" s="2">
        <v>1</v>
      </c>
      <c r="D38" s="4">
        <v>5</v>
      </c>
      <c r="E38" s="4">
        <v>4</v>
      </c>
      <c r="F38" s="4">
        <v>0</v>
      </c>
      <c r="G38" s="4">
        <v>9</v>
      </c>
      <c r="H38" s="5">
        <v>495</v>
      </c>
    </row>
    <row r="39" spans="1:8" x14ac:dyDescent="0.2">
      <c r="A39" s="6">
        <v>1</v>
      </c>
      <c r="B39" s="7" t="s">
        <v>45</v>
      </c>
      <c r="C39" s="6">
        <v>1</v>
      </c>
      <c r="D39" s="8">
        <v>4</v>
      </c>
      <c r="E39" s="8">
        <v>1</v>
      </c>
      <c r="F39" s="8">
        <v>0</v>
      </c>
      <c r="G39" s="8">
        <v>5</v>
      </c>
      <c r="H39" s="9">
        <v>275</v>
      </c>
    </row>
    <row r="40" spans="1:8" x14ac:dyDescent="0.2">
      <c r="A40" s="2">
        <v>1</v>
      </c>
      <c r="B40" s="3" t="s">
        <v>46</v>
      </c>
      <c r="C40" s="2">
        <v>25</v>
      </c>
      <c r="D40" s="4">
        <v>4.7</v>
      </c>
      <c r="E40" s="4">
        <v>4.5999999999999996</v>
      </c>
      <c r="F40" s="4">
        <v>0.4</v>
      </c>
      <c r="G40" s="4">
        <v>9.6</v>
      </c>
      <c r="H40" s="5">
        <v>528</v>
      </c>
    </row>
    <row r="41" spans="1:8" x14ac:dyDescent="0.2">
      <c r="A41" s="6">
        <v>1</v>
      </c>
      <c r="B41" s="7" t="s">
        <v>47</v>
      </c>
      <c r="C41" s="6">
        <v>23</v>
      </c>
      <c r="D41" s="8">
        <v>6.2</v>
      </c>
      <c r="E41" s="8">
        <v>8.1999999999999993</v>
      </c>
      <c r="F41" s="8">
        <v>1.3</v>
      </c>
      <c r="G41" s="8">
        <v>15.6</v>
      </c>
      <c r="H41" s="9">
        <v>860.2</v>
      </c>
    </row>
    <row r="42" spans="1:8" x14ac:dyDescent="0.2">
      <c r="A42" s="2">
        <v>1</v>
      </c>
      <c r="B42" s="3" t="s">
        <v>48</v>
      </c>
      <c r="C42" s="2">
        <v>11</v>
      </c>
      <c r="D42" s="4">
        <v>5.4</v>
      </c>
      <c r="E42" s="4">
        <v>5.9</v>
      </c>
      <c r="F42" s="4">
        <v>0.9</v>
      </c>
      <c r="G42" s="4">
        <v>12.2</v>
      </c>
      <c r="H42" s="5">
        <v>668.8</v>
      </c>
    </row>
    <row r="43" spans="1:8" x14ac:dyDescent="0.2">
      <c r="A43" s="6">
        <v>1</v>
      </c>
      <c r="B43" s="7" t="s">
        <v>49</v>
      </c>
      <c r="C43" s="6">
        <v>8</v>
      </c>
      <c r="D43" s="8">
        <v>8.3000000000000007</v>
      </c>
      <c r="E43" s="8">
        <v>12.9</v>
      </c>
      <c r="F43" s="8">
        <v>1.3</v>
      </c>
      <c r="G43" s="8">
        <v>22.4</v>
      </c>
      <c r="H43" s="9">
        <v>1230.3499999999999</v>
      </c>
    </row>
    <row r="44" spans="1:8" x14ac:dyDescent="0.2">
      <c r="A44" s="2">
        <v>1</v>
      </c>
      <c r="B44" s="3" t="s">
        <v>50</v>
      </c>
      <c r="C44" s="2">
        <v>58</v>
      </c>
      <c r="D44" s="4">
        <v>5</v>
      </c>
      <c r="E44" s="4">
        <v>5.7</v>
      </c>
      <c r="F44" s="4">
        <v>0.8</v>
      </c>
      <c r="G44" s="4">
        <v>11.5</v>
      </c>
      <c r="H44" s="5">
        <v>634.70000000000005</v>
      </c>
    </row>
    <row r="45" spans="1:8" x14ac:dyDescent="0.2">
      <c r="A45" s="6">
        <v>1</v>
      </c>
      <c r="B45" s="7" t="s">
        <v>51</v>
      </c>
      <c r="C45" s="6">
        <v>32</v>
      </c>
      <c r="D45" s="8">
        <v>5</v>
      </c>
      <c r="E45" s="8">
        <v>4.3</v>
      </c>
      <c r="F45" s="8">
        <v>1.2</v>
      </c>
      <c r="G45" s="8">
        <v>10.5</v>
      </c>
      <c r="H45" s="9">
        <v>575.29999999999995</v>
      </c>
    </row>
    <row r="46" spans="1:8" x14ac:dyDescent="0.2">
      <c r="A46" s="2">
        <v>1</v>
      </c>
      <c r="B46" s="3" t="s">
        <v>52</v>
      </c>
      <c r="C46" s="2">
        <v>5</v>
      </c>
      <c r="D46" s="4">
        <v>6</v>
      </c>
      <c r="E46" s="4">
        <v>6.2</v>
      </c>
      <c r="F46" s="4">
        <v>0.2</v>
      </c>
      <c r="G46" s="4">
        <v>12.4</v>
      </c>
      <c r="H46" s="5">
        <v>682</v>
      </c>
    </row>
    <row r="47" spans="1:8" x14ac:dyDescent="0.2">
      <c r="A47" s="6">
        <v>1</v>
      </c>
      <c r="B47" s="7" t="s">
        <v>53</v>
      </c>
      <c r="C47" s="6">
        <v>12</v>
      </c>
      <c r="D47" s="8">
        <v>8.1</v>
      </c>
      <c r="E47" s="8">
        <v>12.9</v>
      </c>
      <c r="F47" s="8">
        <v>0.7</v>
      </c>
      <c r="G47" s="8">
        <v>21.7</v>
      </c>
      <c r="H47" s="9">
        <v>1190.75</v>
      </c>
    </row>
    <row r="48" spans="1:8" x14ac:dyDescent="0.2">
      <c r="A48" s="2">
        <v>1</v>
      </c>
      <c r="B48" s="3" t="s">
        <v>54</v>
      </c>
      <c r="C48" s="2">
        <v>51</v>
      </c>
      <c r="D48" s="4">
        <v>10.9</v>
      </c>
      <c r="E48" s="4">
        <v>10.199999999999999</v>
      </c>
      <c r="F48" s="4">
        <v>0.9</v>
      </c>
      <c r="G48" s="4">
        <v>22</v>
      </c>
      <c r="H48" s="5">
        <v>1207.25</v>
      </c>
    </row>
    <row r="49" spans="1:8" x14ac:dyDescent="0.2">
      <c r="A49" s="6">
        <v>1</v>
      </c>
      <c r="B49" s="7" t="s">
        <v>55</v>
      </c>
      <c r="C49" s="6">
        <v>1</v>
      </c>
      <c r="D49" s="8">
        <v>20</v>
      </c>
      <c r="E49" s="8">
        <v>24</v>
      </c>
      <c r="F49" s="8">
        <v>0</v>
      </c>
      <c r="G49" s="8">
        <v>44</v>
      </c>
      <c r="H49" s="9">
        <v>2420</v>
      </c>
    </row>
    <row r="50" spans="1:8" x14ac:dyDescent="0.2">
      <c r="A50" s="2">
        <v>2</v>
      </c>
      <c r="B50" s="3" t="s">
        <v>56</v>
      </c>
      <c r="C50" s="2">
        <v>21</v>
      </c>
      <c r="D50" s="4">
        <v>17</v>
      </c>
      <c r="E50" s="4">
        <v>17.8</v>
      </c>
      <c r="F50" s="4">
        <v>3.3</v>
      </c>
      <c r="G50" s="4">
        <v>38</v>
      </c>
      <c r="H50" s="5">
        <v>2091.65</v>
      </c>
    </row>
    <row r="51" spans="1:8" x14ac:dyDescent="0.2">
      <c r="A51" s="6">
        <v>2</v>
      </c>
      <c r="B51" s="7" t="s">
        <v>57</v>
      </c>
      <c r="C51" s="6">
        <v>9</v>
      </c>
      <c r="D51" s="8">
        <v>5.9</v>
      </c>
      <c r="E51" s="8">
        <v>6.2</v>
      </c>
      <c r="F51" s="8">
        <v>0.6</v>
      </c>
      <c r="G51" s="8">
        <v>12.7</v>
      </c>
      <c r="H51" s="9">
        <v>695.75</v>
      </c>
    </row>
    <row r="52" spans="1:8" x14ac:dyDescent="0.2">
      <c r="A52" s="2">
        <v>2</v>
      </c>
      <c r="B52" s="3" t="s">
        <v>58</v>
      </c>
      <c r="C52" s="2">
        <v>1</v>
      </c>
      <c r="D52" s="4">
        <v>5</v>
      </c>
      <c r="E52" s="4">
        <v>7</v>
      </c>
      <c r="F52" s="4">
        <v>0</v>
      </c>
      <c r="G52" s="4">
        <v>12</v>
      </c>
      <c r="H52" s="5">
        <v>660</v>
      </c>
    </row>
    <row r="53" spans="1:8" x14ac:dyDescent="0.2">
      <c r="A53" s="6">
        <v>2</v>
      </c>
      <c r="B53" s="7" t="s">
        <v>59</v>
      </c>
      <c r="C53" s="6">
        <v>726</v>
      </c>
      <c r="D53" s="8">
        <v>4.0999999999999996</v>
      </c>
      <c r="E53" s="8">
        <v>2.4</v>
      </c>
      <c r="F53" s="8">
        <v>0.5</v>
      </c>
      <c r="G53" s="8">
        <v>7</v>
      </c>
      <c r="H53" s="9">
        <v>386.1</v>
      </c>
    </row>
    <row r="54" spans="1:8" x14ac:dyDescent="0.2">
      <c r="A54" s="2">
        <v>2</v>
      </c>
      <c r="B54" s="3" t="s">
        <v>60</v>
      </c>
      <c r="C54" s="2">
        <v>10</v>
      </c>
      <c r="D54" s="4">
        <v>5.5</v>
      </c>
      <c r="E54" s="4">
        <v>4</v>
      </c>
      <c r="F54" s="4">
        <v>0.3</v>
      </c>
      <c r="G54" s="4">
        <v>9.8000000000000007</v>
      </c>
      <c r="H54" s="5">
        <v>539</v>
      </c>
    </row>
    <row r="55" spans="1:8" x14ac:dyDescent="0.2">
      <c r="A55" s="6">
        <v>2</v>
      </c>
      <c r="B55" s="7" t="s">
        <v>61</v>
      </c>
      <c r="C55" s="6">
        <v>7</v>
      </c>
      <c r="D55" s="8">
        <v>6</v>
      </c>
      <c r="E55" s="8">
        <v>6.7</v>
      </c>
      <c r="F55" s="8">
        <v>0.1</v>
      </c>
      <c r="G55" s="8">
        <v>12.9</v>
      </c>
      <c r="H55" s="9">
        <v>706.75</v>
      </c>
    </row>
    <row r="56" spans="1:8" x14ac:dyDescent="0.2">
      <c r="A56" s="2">
        <v>2</v>
      </c>
      <c r="B56" s="3" t="s">
        <v>62</v>
      </c>
      <c r="C56" s="2">
        <v>163</v>
      </c>
      <c r="D56" s="4">
        <v>4</v>
      </c>
      <c r="E56" s="4">
        <v>2.5</v>
      </c>
      <c r="F56" s="4">
        <v>0.5</v>
      </c>
      <c r="G56" s="4">
        <v>7</v>
      </c>
      <c r="H56" s="5">
        <v>386.1</v>
      </c>
    </row>
    <row r="57" spans="1:8" x14ac:dyDescent="0.2">
      <c r="A57" s="6">
        <v>2</v>
      </c>
      <c r="B57" s="7" t="s">
        <v>63</v>
      </c>
      <c r="C57" s="6">
        <v>9</v>
      </c>
      <c r="D57" s="8">
        <v>5</v>
      </c>
      <c r="E57" s="8">
        <v>5.6</v>
      </c>
      <c r="F57" s="8">
        <v>1.2</v>
      </c>
      <c r="G57" s="8">
        <v>11.8</v>
      </c>
      <c r="H57" s="9">
        <v>647.35</v>
      </c>
    </row>
    <row r="58" spans="1:8" x14ac:dyDescent="0.2">
      <c r="A58" s="2">
        <v>2</v>
      </c>
      <c r="B58" s="3" t="s">
        <v>64</v>
      </c>
      <c r="C58" s="2">
        <v>8</v>
      </c>
      <c r="D58" s="4">
        <v>21</v>
      </c>
      <c r="E58" s="4">
        <v>23.3</v>
      </c>
      <c r="F58" s="4">
        <v>3.8</v>
      </c>
      <c r="G58" s="4">
        <v>48</v>
      </c>
      <c r="H58" s="5">
        <v>2640</v>
      </c>
    </row>
    <row r="59" spans="1:8" x14ac:dyDescent="0.2">
      <c r="A59" s="6">
        <v>2</v>
      </c>
      <c r="B59" s="7" t="s">
        <v>65</v>
      </c>
      <c r="C59" s="6">
        <v>1</v>
      </c>
      <c r="D59" s="8">
        <v>0</v>
      </c>
      <c r="E59" s="8">
        <v>1</v>
      </c>
      <c r="F59" s="8">
        <v>0</v>
      </c>
      <c r="G59" s="8">
        <v>1</v>
      </c>
      <c r="H59" s="9">
        <v>55</v>
      </c>
    </row>
    <row r="60" spans="1:8" x14ac:dyDescent="0.2">
      <c r="A60" s="2">
        <v>2</v>
      </c>
      <c r="B60" s="3" t="s">
        <v>66</v>
      </c>
      <c r="C60" s="2">
        <v>2</v>
      </c>
      <c r="D60" s="4">
        <v>2.5</v>
      </c>
      <c r="E60" s="4">
        <v>2</v>
      </c>
      <c r="F60" s="4">
        <v>0</v>
      </c>
      <c r="G60" s="4">
        <v>4.5</v>
      </c>
      <c r="H60" s="5">
        <v>247.5</v>
      </c>
    </row>
    <row r="61" spans="1:8" x14ac:dyDescent="0.2">
      <c r="A61" s="6">
        <v>2</v>
      </c>
      <c r="B61" s="7" t="s">
        <v>67</v>
      </c>
      <c r="C61" s="6">
        <v>8</v>
      </c>
      <c r="D61" s="8">
        <v>4</v>
      </c>
      <c r="E61" s="8">
        <v>2.4</v>
      </c>
      <c r="F61" s="8">
        <v>0.4</v>
      </c>
      <c r="G61" s="8">
        <v>6.7</v>
      </c>
      <c r="H61" s="9">
        <v>370.7</v>
      </c>
    </row>
    <row r="62" spans="1:8" x14ac:dyDescent="0.2">
      <c r="A62" s="2">
        <v>2</v>
      </c>
      <c r="B62" s="3" t="s">
        <v>68</v>
      </c>
      <c r="C62" s="2">
        <v>1</v>
      </c>
      <c r="D62" s="4">
        <v>5</v>
      </c>
      <c r="E62" s="4">
        <v>9</v>
      </c>
      <c r="F62" s="4">
        <v>0</v>
      </c>
      <c r="G62" s="4">
        <v>14</v>
      </c>
      <c r="H62" s="5">
        <v>770</v>
      </c>
    </row>
    <row r="63" spans="1:8" x14ac:dyDescent="0.2">
      <c r="A63" s="6">
        <v>2</v>
      </c>
      <c r="B63" s="7" t="s">
        <v>69</v>
      </c>
      <c r="C63" s="6">
        <v>0</v>
      </c>
      <c r="D63" s="8">
        <v>0</v>
      </c>
      <c r="E63" s="8">
        <v>0</v>
      </c>
      <c r="F63" s="8">
        <v>0</v>
      </c>
      <c r="G63" s="8">
        <v>0</v>
      </c>
      <c r="H63" s="9">
        <v>0</v>
      </c>
    </row>
    <row r="64" spans="1:8" x14ac:dyDescent="0.2">
      <c r="A64" s="2">
        <v>2</v>
      </c>
      <c r="B64" s="3" t="s">
        <v>70</v>
      </c>
      <c r="C64" s="2">
        <v>6</v>
      </c>
      <c r="D64" s="4">
        <v>2.7</v>
      </c>
      <c r="E64" s="4">
        <v>2.5</v>
      </c>
      <c r="F64" s="4">
        <v>0.2</v>
      </c>
      <c r="G64" s="4">
        <v>5.3</v>
      </c>
      <c r="H64" s="5">
        <v>292.60000000000002</v>
      </c>
    </row>
    <row r="65" spans="1:8" x14ac:dyDescent="0.2">
      <c r="A65" s="6">
        <v>2</v>
      </c>
      <c r="B65" s="7" t="s">
        <v>71</v>
      </c>
      <c r="C65" s="6">
        <v>10</v>
      </c>
      <c r="D65" s="8">
        <v>5.8</v>
      </c>
      <c r="E65" s="8">
        <v>10.7</v>
      </c>
      <c r="F65" s="8">
        <v>0.7</v>
      </c>
      <c r="G65" s="8">
        <v>17.2</v>
      </c>
      <c r="H65" s="9">
        <v>946</v>
      </c>
    </row>
    <row r="66" spans="1:8" x14ac:dyDescent="0.2">
      <c r="A66" s="2">
        <v>2</v>
      </c>
      <c r="B66" s="3" t="s">
        <v>72</v>
      </c>
      <c r="C66" s="2">
        <v>317</v>
      </c>
      <c r="D66" s="4">
        <v>4.5</v>
      </c>
      <c r="E66" s="4">
        <v>6.5</v>
      </c>
      <c r="F66" s="4">
        <v>0.8</v>
      </c>
      <c r="G66" s="4">
        <v>11.8</v>
      </c>
      <c r="H66" s="5">
        <v>646.79999999999995</v>
      </c>
    </row>
    <row r="67" spans="1:8" x14ac:dyDescent="0.2">
      <c r="A67" s="6">
        <v>2</v>
      </c>
      <c r="B67" s="7" t="s">
        <v>73</v>
      </c>
      <c r="C67" s="6">
        <v>2</v>
      </c>
      <c r="D67" s="8">
        <v>7</v>
      </c>
      <c r="E67" s="8">
        <v>29</v>
      </c>
      <c r="F67" s="8">
        <v>2</v>
      </c>
      <c r="G67" s="8">
        <v>38</v>
      </c>
      <c r="H67" s="9">
        <v>2090</v>
      </c>
    </row>
    <row r="68" spans="1:8" x14ac:dyDescent="0.2">
      <c r="A68" s="2">
        <v>2</v>
      </c>
      <c r="B68" s="3" t="s">
        <v>74</v>
      </c>
      <c r="C68" s="2">
        <v>4</v>
      </c>
      <c r="D68" s="4">
        <v>6</v>
      </c>
      <c r="E68" s="4">
        <v>17.3</v>
      </c>
      <c r="F68" s="4">
        <v>1.5</v>
      </c>
      <c r="G68" s="4">
        <v>24.8</v>
      </c>
      <c r="H68" s="5">
        <v>1361.25</v>
      </c>
    </row>
    <row r="69" spans="1:8" x14ac:dyDescent="0.2">
      <c r="A69" s="6">
        <v>2</v>
      </c>
      <c r="B69" s="7" t="s">
        <v>75</v>
      </c>
      <c r="C69" s="6">
        <v>6</v>
      </c>
      <c r="D69" s="8">
        <v>5.7</v>
      </c>
      <c r="E69" s="8">
        <v>14.8</v>
      </c>
      <c r="F69" s="8">
        <v>1.3</v>
      </c>
      <c r="G69" s="8">
        <v>21.8</v>
      </c>
      <c r="H69" s="9">
        <v>1200.0999999999999</v>
      </c>
    </row>
    <row r="70" spans="1:8" x14ac:dyDescent="0.2">
      <c r="A70" s="2">
        <v>2</v>
      </c>
      <c r="B70" s="3" t="s">
        <v>76</v>
      </c>
      <c r="C70" s="2">
        <v>0</v>
      </c>
      <c r="D70" s="4">
        <v>0</v>
      </c>
      <c r="E70" s="4">
        <v>0</v>
      </c>
      <c r="F70" s="4">
        <v>0</v>
      </c>
      <c r="G70" s="4">
        <v>0</v>
      </c>
      <c r="H70" s="5">
        <v>0</v>
      </c>
    </row>
    <row r="71" spans="1:8" x14ac:dyDescent="0.2">
      <c r="A71" s="6">
        <v>2</v>
      </c>
      <c r="B71" s="7" t="s">
        <v>77</v>
      </c>
      <c r="C71" s="6">
        <v>1103</v>
      </c>
      <c r="D71" s="8">
        <v>5.7</v>
      </c>
      <c r="E71" s="8">
        <v>14.4</v>
      </c>
      <c r="F71" s="8">
        <v>1</v>
      </c>
      <c r="G71" s="8">
        <v>21</v>
      </c>
      <c r="H71" s="9">
        <v>1154.45</v>
      </c>
    </row>
    <row r="72" spans="1:8" x14ac:dyDescent="0.2">
      <c r="A72" s="2">
        <v>2</v>
      </c>
      <c r="B72" s="3" t="s">
        <v>78</v>
      </c>
      <c r="C72" s="2">
        <v>3</v>
      </c>
      <c r="D72" s="4">
        <v>5.7</v>
      </c>
      <c r="E72" s="4">
        <v>14.3</v>
      </c>
      <c r="F72" s="4">
        <v>0</v>
      </c>
      <c r="G72" s="4">
        <v>20</v>
      </c>
      <c r="H72" s="5">
        <v>1099.45</v>
      </c>
    </row>
    <row r="73" spans="1:8" x14ac:dyDescent="0.2">
      <c r="A73" s="6">
        <v>2</v>
      </c>
      <c r="B73" s="7" t="s">
        <v>79</v>
      </c>
      <c r="C73" s="6">
        <v>18</v>
      </c>
      <c r="D73" s="8">
        <v>6.1</v>
      </c>
      <c r="E73" s="8">
        <v>17.7</v>
      </c>
      <c r="F73" s="8">
        <v>0.1</v>
      </c>
      <c r="G73" s="8">
        <v>23.9</v>
      </c>
      <c r="H73" s="9">
        <v>1313.4</v>
      </c>
    </row>
    <row r="74" spans="1:8" x14ac:dyDescent="0.2">
      <c r="A74" s="2">
        <v>2</v>
      </c>
      <c r="B74" s="3" t="s">
        <v>80</v>
      </c>
      <c r="C74" s="2">
        <v>15</v>
      </c>
      <c r="D74" s="4">
        <v>8.3000000000000007</v>
      </c>
      <c r="E74" s="4">
        <v>22.3</v>
      </c>
      <c r="F74" s="4">
        <v>1.3</v>
      </c>
      <c r="G74" s="4">
        <v>31.9</v>
      </c>
      <c r="H74" s="5">
        <v>1751.75</v>
      </c>
    </row>
    <row r="75" spans="1:8" x14ac:dyDescent="0.2">
      <c r="A75" s="6">
        <v>2</v>
      </c>
      <c r="B75" s="7" t="s">
        <v>81</v>
      </c>
      <c r="C75" s="6">
        <v>28</v>
      </c>
      <c r="D75" s="8">
        <v>5.7</v>
      </c>
      <c r="E75" s="8">
        <v>10.9</v>
      </c>
      <c r="F75" s="8">
        <v>0.5</v>
      </c>
      <c r="G75" s="8">
        <v>17.100000000000001</v>
      </c>
      <c r="H75" s="9">
        <v>939.95</v>
      </c>
    </row>
    <row r="76" spans="1:8" x14ac:dyDescent="0.2">
      <c r="A76" s="2">
        <v>2</v>
      </c>
      <c r="B76" s="3" t="s">
        <v>82</v>
      </c>
      <c r="C76" s="2">
        <v>1</v>
      </c>
      <c r="D76" s="4">
        <v>6</v>
      </c>
      <c r="E76" s="4">
        <v>11</v>
      </c>
      <c r="F76" s="4">
        <v>3</v>
      </c>
      <c r="G76" s="4">
        <v>20</v>
      </c>
      <c r="H76" s="5">
        <v>1100</v>
      </c>
    </row>
    <row r="77" spans="1:8" x14ac:dyDescent="0.2">
      <c r="A77" s="6">
        <v>2</v>
      </c>
      <c r="B77" s="7" t="s">
        <v>83</v>
      </c>
      <c r="C77" s="6">
        <v>8</v>
      </c>
      <c r="D77" s="8">
        <v>6.8</v>
      </c>
      <c r="E77" s="8">
        <v>15.5</v>
      </c>
      <c r="F77" s="8">
        <v>1.8</v>
      </c>
      <c r="G77" s="8">
        <v>24</v>
      </c>
      <c r="H77" s="9">
        <v>1320</v>
      </c>
    </row>
    <row r="78" spans="1:8" x14ac:dyDescent="0.2">
      <c r="A78" s="2">
        <v>2</v>
      </c>
      <c r="B78" s="3" t="s">
        <v>84</v>
      </c>
      <c r="C78" s="2">
        <v>39</v>
      </c>
      <c r="D78" s="4">
        <v>3.6</v>
      </c>
      <c r="E78" s="4">
        <v>3.8</v>
      </c>
      <c r="F78" s="4">
        <v>0.9</v>
      </c>
      <c r="G78" s="4">
        <v>8.4</v>
      </c>
      <c r="H78" s="5">
        <v>460.35</v>
      </c>
    </row>
    <row r="79" spans="1:8" x14ac:dyDescent="0.2">
      <c r="A79" s="6">
        <v>2</v>
      </c>
      <c r="B79" s="7" t="s">
        <v>85</v>
      </c>
      <c r="C79" s="6">
        <v>211</v>
      </c>
      <c r="D79" s="8">
        <v>1.4</v>
      </c>
      <c r="E79" s="8">
        <v>1.4</v>
      </c>
      <c r="F79" s="8">
        <v>0.4</v>
      </c>
      <c r="G79" s="8">
        <v>3.1</v>
      </c>
      <c r="H79" s="9">
        <v>171.6</v>
      </c>
    </row>
    <row r="80" spans="1:8" x14ac:dyDescent="0.2">
      <c r="A80" s="2">
        <v>2</v>
      </c>
      <c r="B80" s="3" t="s">
        <v>86</v>
      </c>
      <c r="C80" s="2">
        <v>333</v>
      </c>
      <c r="D80" s="4">
        <v>2.1</v>
      </c>
      <c r="E80" s="4">
        <v>1.8</v>
      </c>
      <c r="F80" s="4">
        <v>0.4</v>
      </c>
      <c r="G80" s="4">
        <v>4.4000000000000004</v>
      </c>
      <c r="H80" s="5">
        <v>239.8</v>
      </c>
    </row>
    <row r="81" spans="1:8" x14ac:dyDescent="0.2">
      <c r="A81" s="6">
        <v>2</v>
      </c>
      <c r="B81" s="7" t="s">
        <v>87</v>
      </c>
      <c r="C81" s="6">
        <v>86</v>
      </c>
      <c r="D81" s="8">
        <v>6.4</v>
      </c>
      <c r="E81" s="8">
        <v>21.3</v>
      </c>
      <c r="F81" s="8">
        <v>1.2</v>
      </c>
      <c r="G81" s="8">
        <v>28.8</v>
      </c>
      <c r="H81" s="9">
        <v>1584.55</v>
      </c>
    </row>
    <row r="82" spans="1:8" x14ac:dyDescent="0.2">
      <c r="A82" s="2">
        <v>2</v>
      </c>
      <c r="B82" s="3" t="s">
        <v>88</v>
      </c>
      <c r="C82" s="2">
        <v>90</v>
      </c>
      <c r="D82" s="4">
        <v>6.1</v>
      </c>
      <c r="E82" s="4">
        <v>8</v>
      </c>
      <c r="F82" s="4">
        <v>0.3</v>
      </c>
      <c r="G82" s="4">
        <v>14.4</v>
      </c>
      <c r="H82" s="5">
        <v>789.8</v>
      </c>
    </row>
    <row r="83" spans="1:8" x14ac:dyDescent="0.2">
      <c r="A83" s="6">
        <v>2</v>
      </c>
      <c r="B83" s="7" t="s">
        <v>89</v>
      </c>
      <c r="C83" s="6">
        <v>15</v>
      </c>
      <c r="D83" s="8">
        <v>1.8</v>
      </c>
      <c r="E83" s="8">
        <v>2</v>
      </c>
      <c r="F83" s="8">
        <v>0.5</v>
      </c>
      <c r="G83" s="8">
        <v>4.3</v>
      </c>
      <c r="H83" s="9">
        <v>234.3</v>
      </c>
    </row>
    <row r="84" spans="1:8" x14ac:dyDescent="0.2">
      <c r="A84" s="2">
        <v>2</v>
      </c>
      <c r="B84" s="3" t="s">
        <v>90</v>
      </c>
      <c r="C84" s="2">
        <v>132</v>
      </c>
      <c r="D84" s="4">
        <v>5.2</v>
      </c>
      <c r="E84" s="4">
        <v>3.7</v>
      </c>
      <c r="F84" s="4">
        <v>0.2</v>
      </c>
      <c r="G84" s="4">
        <v>9.1</v>
      </c>
      <c r="H84" s="5">
        <v>498.85</v>
      </c>
    </row>
    <row r="85" spans="1:8" x14ac:dyDescent="0.2">
      <c r="A85" s="6">
        <v>2</v>
      </c>
      <c r="B85" s="7" t="s">
        <v>91</v>
      </c>
      <c r="C85" s="6">
        <v>1</v>
      </c>
      <c r="D85" s="8">
        <v>6</v>
      </c>
      <c r="E85" s="8">
        <v>8</v>
      </c>
      <c r="F85" s="8">
        <v>0</v>
      </c>
      <c r="G85" s="8">
        <v>14</v>
      </c>
      <c r="H85" s="9">
        <v>770</v>
      </c>
    </row>
    <row r="86" spans="1:8" x14ac:dyDescent="0.2">
      <c r="A86" s="2">
        <v>2</v>
      </c>
      <c r="B86" s="3" t="s">
        <v>92</v>
      </c>
      <c r="C86" s="2">
        <v>2</v>
      </c>
      <c r="D86" s="4">
        <v>6</v>
      </c>
      <c r="E86" s="4">
        <v>5.5</v>
      </c>
      <c r="F86" s="4">
        <v>1</v>
      </c>
      <c r="G86" s="4">
        <v>12.5</v>
      </c>
      <c r="H86" s="5">
        <v>687.5</v>
      </c>
    </row>
    <row r="87" spans="1:8" x14ac:dyDescent="0.2">
      <c r="A87" s="6">
        <v>2</v>
      </c>
      <c r="B87" s="7" t="s">
        <v>93</v>
      </c>
      <c r="C87" s="6">
        <v>1</v>
      </c>
      <c r="D87" s="8">
        <v>6</v>
      </c>
      <c r="E87" s="8">
        <v>6</v>
      </c>
      <c r="F87" s="8">
        <v>2</v>
      </c>
      <c r="G87" s="8">
        <v>14</v>
      </c>
      <c r="H87" s="9">
        <v>770</v>
      </c>
    </row>
    <row r="88" spans="1:8" x14ac:dyDescent="0.2">
      <c r="A88" s="2">
        <v>2</v>
      </c>
      <c r="B88" s="3" t="s">
        <v>94</v>
      </c>
      <c r="C88" s="2">
        <v>0</v>
      </c>
      <c r="D88" s="4">
        <v>0</v>
      </c>
      <c r="E88" s="4">
        <v>0</v>
      </c>
      <c r="F88" s="4">
        <v>0</v>
      </c>
      <c r="G88" s="4">
        <v>0</v>
      </c>
      <c r="H88" s="5">
        <v>0</v>
      </c>
    </row>
    <row r="89" spans="1:8" x14ac:dyDescent="0.2">
      <c r="A89" s="6">
        <v>2</v>
      </c>
      <c r="B89" s="7" t="s">
        <v>95</v>
      </c>
      <c r="C89" s="6">
        <v>59</v>
      </c>
      <c r="D89" s="8">
        <v>3.8</v>
      </c>
      <c r="E89" s="8">
        <v>1.7</v>
      </c>
      <c r="F89" s="8">
        <v>0.4</v>
      </c>
      <c r="G89" s="8">
        <v>5.9</v>
      </c>
      <c r="H89" s="9">
        <v>323.39999999999998</v>
      </c>
    </row>
    <row r="90" spans="1:8" x14ac:dyDescent="0.2">
      <c r="A90" s="2">
        <v>2</v>
      </c>
      <c r="B90" s="3" t="s">
        <v>96</v>
      </c>
      <c r="C90" s="2">
        <v>186</v>
      </c>
      <c r="D90" s="4">
        <v>4</v>
      </c>
      <c r="E90" s="4">
        <v>1.5</v>
      </c>
      <c r="F90" s="4">
        <v>0.6</v>
      </c>
      <c r="G90" s="4">
        <v>6.1</v>
      </c>
      <c r="H90" s="5">
        <v>332.75</v>
      </c>
    </row>
    <row r="91" spans="1:8" x14ac:dyDescent="0.2">
      <c r="A91" s="6">
        <v>2</v>
      </c>
      <c r="B91" s="7" t="s">
        <v>97</v>
      </c>
      <c r="C91" s="6">
        <v>13</v>
      </c>
      <c r="D91" s="8">
        <v>5.6</v>
      </c>
      <c r="E91" s="8">
        <v>12.2</v>
      </c>
      <c r="F91" s="8">
        <v>1.3</v>
      </c>
      <c r="G91" s="8">
        <v>19.100000000000001</v>
      </c>
      <c r="H91" s="9">
        <v>1048.3</v>
      </c>
    </row>
    <row r="92" spans="1:8" x14ac:dyDescent="0.2">
      <c r="A92" s="2">
        <v>2</v>
      </c>
      <c r="B92" s="3" t="s">
        <v>98</v>
      </c>
      <c r="C92" s="2">
        <v>2</v>
      </c>
      <c r="D92" s="4">
        <v>5</v>
      </c>
      <c r="E92" s="4">
        <v>8.5</v>
      </c>
      <c r="F92" s="4">
        <v>2</v>
      </c>
      <c r="G92" s="4">
        <v>15.5</v>
      </c>
      <c r="H92" s="5">
        <v>852.5</v>
      </c>
    </row>
    <row r="93" spans="1:8" x14ac:dyDescent="0.2">
      <c r="A93" s="6">
        <v>2</v>
      </c>
      <c r="B93" s="7" t="s">
        <v>99</v>
      </c>
      <c r="C93" s="6">
        <v>1</v>
      </c>
      <c r="D93" s="8">
        <v>7</v>
      </c>
      <c r="E93" s="8">
        <v>8</v>
      </c>
      <c r="F93" s="8">
        <v>2</v>
      </c>
      <c r="G93" s="8">
        <v>17</v>
      </c>
      <c r="H93" s="9">
        <v>935</v>
      </c>
    </row>
    <row r="94" spans="1:8" x14ac:dyDescent="0.2">
      <c r="A94" s="2">
        <v>2</v>
      </c>
      <c r="B94" s="3" t="s">
        <v>100</v>
      </c>
      <c r="C94" s="2">
        <v>122</v>
      </c>
      <c r="D94" s="4">
        <v>5.0999999999999996</v>
      </c>
      <c r="E94" s="4">
        <v>3.5</v>
      </c>
      <c r="F94" s="4">
        <v>0.1</v>
      </c>
      <c r="G94" s="4">
        <v>8.8000000000000007</v>
      </c>
      <c r="H94" s="5">
        <v>482.35</v>
      </c>
    </row>
    <row r="95" spans="1:8" x14ac:dyDescent="0.2">
      <c r="A95" s="6">
        <v>2</v>
      </c>
      <c r="B95" s="7" t="s">
        <v>101</v>
      </c>
      <c r="C95" s="6">
        <v>1</v>
      </c>
      <c r="D95" s="8">
        <v>7</v>
      </c>
      <c r="E95" s="8">
        <v>6</v>
      </c>
      <c r="F95" s="8">
        <v>0</v>
      </c>
      <c r="G95" s="8">
        <v>13</v>
      </c>
      <c r="H95" s="9">
        <v>715</v>
      </c>
    </row>
    <row r="96" spans="1:8" x14ac:dyDescent="0.2">
      <c r="A96" s="2">
        <v>2</v>
      </c>
      <c r="B96" s="3" t="s">
        <v>70</v>
      </c>
      <c r="C96" s="2">
        <v>5</v>
      </c>
      <c r="D96" s="4">
        <v>1.6</v>
      </c>
      <c r="E96" s="4">
        <v>2.4</v>
      </c>
      <c r="F96" s="4">
        <v>0</v>
      </c>
      <c r="G96" s="4">
        <v>4</v>
      </c>
      <c r="H96" s="5">
        <v>220</v>
      </c>
    </row>
    <row r="97" spans="1:8" x14ac:dyDescent="0.2">
      <c r="A97" s="6">
        <v>2</v>
      </c>
      <c r="B97" s="7" t="s">
        <v>102</v>
      </c>
      <c r="C97" s="6">
        <v>71</v>
      </c>
      <c r="D97" s="8">
        <v>5.6</v>
      </c>
      <c r="E97" s="8">
        <v>16.2</v>
      </c>
      <c r="F97" s="8">
        <v>1.8</v>
      </c>
      <c r="G97" s="8">
        <v>23.7</v>
      </c>
      <c r="H97" s="9">
        <v>1301.3</v>
      </c>
    </row>
    <row r="98" spans="1:8" x14ac:dyDescent="0.2">
      <c r="A98" s="2">
        <v>2</v>
      </c>
      <c r="B98" s="3" t="s">
        <v>102</v>
      </c>
      <c r="C98" s="2">
        <v>71</v>
      </c>
      <c r="D98" s="4">
        <v>5.6</v>
      </c>
      <c r="E98" s="4">
        <v>16.2</v>
      </c>
      <c r="F98" s="4">
        <v>1.8</v>
      </c>
      <c r="G98" s="4">
        <v>23.7</v>
      </c>
      <c r="H98" s="5">
        <v>1301.3</v>
      </c>
    </row>
    <row r="99" spans="1:8" x14ac:dyDescent="0.2">
      <c r="A99" s="6">
        <v>2</v>
      </c>
      <c r="B99" s="7" t="s">
        <v>103</v>
      </c>
      <c r="C99" s="6">
        <v>47</v>
      </c>
      <c r="D99" s="8">
        <v>6.1</v>
      </c>
      <c r="E99" s="8">
        <v>14.1</v>
      </c>
      <c r="F99" s="8">
        <v>2.1</v>
      </c>
      <c r="G99" s="8">
        <v>22.3</v>
      </c>
      <c r="H99" s="9">
        <v>1228.7</v>
      </c>
    </row>
    <row r="100" spans="1:8" x14ac:dyDescent="0.2">
      <c r="A100" s="2">
        <v>2</v>
      </c>
      <c r="B100" s="3" t="s">
        <v>104</v>
      </c>
      <c r="C100" s="2">
        <v>21</v>
      </c>
      <c r="D100" s="4">
        <v>6.4</v>
      </c>
      <c r="E100" s="4">
        <v>14</v>
      </c>
      <c r="F100" s="4">
        <v>2</v>
      </c>
      <c r="G100" s="4">
        <v>22.4</v>
      </c>
      <c r="H100" s="5">
        <v>1233.0999999999999</v>
      </c>
    </row>
    <row r="101" spans="1:8" x14ac:dyDescent="0.2">
      <c r="A101" s="6">
        <v>2</v>
      </c>
      <c r="B101" s="7" t="s">
        <v>105</v>
      </c>
      <c r="C101" s="6">
        <v>23</v>
      </c>
      <c r="D101" s="8">
        <v>6</v>
      </c>
      <c r="E101" s="8">
        <v>15</v>
      </c>
      <c r="F101" s="8">
        <v>2.1</v>
      </c>
      <c r="G101" s="8">
        <v>23.2</v>
      </c>
      <c r="H101" s="9">
        <v>1276.55</v>
      </c>
    </row>
    <row r="102" spans="1:8" x14ac:dyDescent="0.2">
      <c r="A102" s="2">
        <v>3</v>
      </c>
      <c r="B102" s="3" t="s">
        <v>106</v>
      </c>
      <c r="C102" s="2">
        <v>11</v>
      </c>
      <c r="D102" s="4">
        <v>5.8</v>
      </c>
      <c r="E102" s="4">
        <v>13.4</v>
      </c>
      <c r="F102" s="4">
        <v>1.6</v>
      </c>
      <c r="G102" s="4">
        <v>20.8</v>
      </c>
      <c r="H102" s="5">
        <v>1144</v>
      </c>
    </row>
    <row r="103" spans="1:8" x14ac:dyDescent="0.2">
      <c r="A103" s="6">
        <v>3</v>
      </c>
      <c r="B103" s="7" t="s">
        <v>107</v>
      </c>
      <c r="C103" s="6">
        <v>1</v>
      </c>
      <c r="D103" s="8">
        <v>6</v>
      </c>
      <c r="E103" s="8">
        <v>31</v>
      </c>
      <c r="F103" s="8">
        <v>1</v>
      </c>
      <c r="G103" s="8">
        <v>38</v>
      </c>
      <c r="H103" s="9">
        <v>2090</v>
      </c>
    </row>
    <row r="104" spans="1:8" x14ac:dyDescent="0.2">
      <c r="A104" s="2">
        <v>3</v>
      </c>
      <c r="B104" s="3" t="s">
        <v>108</v>
      </c>
      <c r="C104" s="2">
        <v>766</v>
      </c>
      <c r="D104" s="4">
        <v>4</v>
      </c>
      <c r="E104" s="4">
        <v>1.3</v>
      </c>
      <c r="F104" s="4">
        <v>0.3</v>
      </c>
      <c r="G104" s="4">
        <v>5.6</v>
      </c>
      <c r="H104" s="5">
        <v>307.45</v>
      </c>
    </row>
    <row r="105" spans="1:8" x14ac:dyDescent="0.2">
      <c r="A105" s="6">
        <v>3</v>
      </c>
      <c r="B105" s="7" t="s">
        <v>109</v>
      </c>
      <c r="C105" s="6">
        <v>5</v>
      </c>
      <c r="D105" s="8">
        <v>4</v>
      </c>
      <c r="E105" s="8">
        <v>1.4</v>
      </c>
      <c r="F105" s="8">
        <v>0.4</v>
      </c>
      <c r="G105" s="8">
        <v>5.8</v>
      </c>
      <c r="H105" s="9">
        <v>319</v>
      </c>
    </row>
    <row r="106" spans="1:8" x14ac:dyDescent="0.2">
      <c r="A106" s="2">
        <v>3</v>
      </c>
      <c r="B106" s="3" t="s">
        <v>110</v>
      </c>
      <c r="C106" s="2">
        <v>69</v>
      </c>
      <c r="D106" s="4">
        <v>4.8</v>
      </c>
      <c r="E106" s="4">
        <v>7.6</v>
      </c>
      <c r="F106" s="4">
        <v>0.3</v>
      </c>
      <c r="G106" s="4">
        <v>12.7</v>
      </c>
      <c r="H106" s="5">
        <v>700.7</v>
      </c>
    </row>
    <row r="107" spans="1:8" x14ac:dyDescent="0.2">
      <c r="A107" s="6">
        <v>3</v>
      </c>
      <c r="B107" s="7" t="s">
        <v>111</v>
      </c>
      <c r="C107" s="6">
        <v>234</v>
      </c>
      <c r="D107" s="8">
        <v>2.5</v>
      </c>
      <c r="E107" s="8">
        <v>2.4</v>
      </c>
      <c r="F107" s="8">
        <v>0.1</v>
      </c>
      <c r="G107" s="8">
        <v>5</v>
      </c>
      <c r="H107" s="9">
        <v>274.45</v>
      </c>
    </row>
    <row r="108" spans="1:8" x14ac:dyDescent="0.2">
      <c r="A108" s="2">
        <v>3</v>
      </c>
      <c r="B108" s="3" t="s">
        <v>112</v>
      </c>
      <c r="C108" s="2">
        <v>4</v>
      </c>
      <c r="D108" s="4">
        <v>13.5</v>
      </c>
      <c r="E108" s="4">
        <v>7.3</v>
      </c>
      <c r="F108" s="4">
        <v>1</v>
      </c>
      <c r="G108" s="4">
        <v>21.8</v>
      </c>
      <c r="H108" s="5">
        <v>1196.25</v>
      </c>
    </row>
    <row r="109" spans="1:8" x14ac:dyDescent="0.2">
      <c r="A109" s="6">
        <v>3</v>
      </c>
      <c r="B109" s="7" t="s">
        <v>113</v>
      </c>
      <c r="C109" s="6">
        <v>1</v>
      </c>
      <c r="D109" s="8">
        <v>5</v>
      </c>
      <c r="E109" s="8">
        <v>4</v>
      </c>
      <c r="F109" s="8">
        <v>0</v>
      </c>
      <c r="G109" s="8">
        <v>9</v>
      </c>
      <c r="H109" s="9">
        <v>495</v>
      </c>
    </row>
    <row r="110" spans="1:8" x14ac:dyDescent="0.2">
      <c r="A110" s="2">
        <v>3</v>
      </c>
      <c r="B110" s="3" t="s">
        <v>114</v>
      </c>
      <c r="C110" s="2">
        <v>62</v>
      </c>
      <c r="D110" s="4">
        <v>5.6</v>
      </c>
      <c r="E110" s="4">
        <v>6.2</v>
      </c>
      <c r="F110" s="4">
        <v>0.4</v>
      </c>
      <c r="G110" s="4">
        <v>12.1</v>
      </c>
      <c r="H110" s="5">
        <v>667.7</v>
      </c>
    </row>
    <row r="111" spans="1:8" x14ac:dyDescent="0.2">
      <c r="A111" s="6">
        <v>3</v>
      </c>
      <c r="B111" s="7" t="s">
        <v>115</v>
      </c>
      <c r="C111" s="6">
        <v>176</v>
      </c>
      <c r="D111" s="8">
        <v>5</v>
      </c>
      <c r="E111" s="8">
        <v>3.4</v>
      </c>
      <c r="F111" s="8">
        <v>0.3</v>
      </c>
      <c r="G111" s="8">
        <v>8.6999999999999993</v>
      </c>
      <c r="H111" s="9">
        <v>477.95</v>
      </c>
    </row>
    <row r="112" spans="1:8" x14ac:dyDescent="0.2">
      <c r="A112" s="2">
        <v>3</v>
      </c>
      <c r="B112" s="3" t="s">
        <v>116</v>
      </c>
      <c r="C112" s="2">
        <v>88</v>
      </c>
      <c r="D112" s="4">
        <v>10</v>
      </c>
      <c r="E112" s="4">
        <v>14.8</v>
      </c>
      <c r="F112" s="4">
        <v>0.9</v>
      </c>
      <c r="G112" s="4">
        <v>25.7</v>
      </c>
      <c r="H112" s="5">
        <v>1413.5</v>
      </c>
    </row>
    <row r="113" spans="1:8" x14ac:dyDescent="0.2">
      <c r="A113" s="6">
        <v>3</v>
      </c>
      <c r="B113" s="7" t="s">
        <v>117</v>
      </c>
      <c r="C113" s="6">
        <v>13</v>
      </c>
      <c r="D113" s="8">
        <v>9.8000000000000007</v>
      </c>
      <c r="E113" s="8">
        <v>12.1</v>
      </c>
      <c r="F113" s="8">
        <v>1.8</v>
      </c>
      <c r="G113" s="8">
        <v>23.7</v>
      </c>
      <c r="H113" s="9">
        <v>1301.8499999999999</v>
      </c>
    </row>
    <row r="114" spans="1:8" x14ac:dyDescent="0.2">
      <c r="A114" s="2">
        <v>3</v>
      </c>
      <c r="B114" s="3" t="s">
        <v>118</v>
      </c>
      <c r="C114" s="2">
        <v>48</v>
      </c>
      <c r="D114" s="4">
        <v>4.7</v>
      </c>
      <c r="E114" s="4">
        <v>2.9</v>
      </c>
      <c r="F114" s="4">
        <v>0.3</v>
      </c>
      <c r="G114" s="4">
        <v>7.8</v>
      </c>
      <c r="H114" s="5">
        <v>431.2</v>
      </c>
    </row>
    <row r="115" spans="1:8" x14ac:dyDescent="0.2">
      <c r="A115" s="6">
        <v>3</v>
      </c>
      <c r="B115" s="7" t="s">
        <v>119</v>
      </c>
      <c r="C115" s="6">
        <v>55</v>
      </c>
      <c r="D115" s="8">
        <v>3.7</v>
      </c>
      <c r="E115" s="8">
        <v>2.7</v>
      </c>
      <c r="F115" s="8">
        <v>0.3</v>
      </c>
      <c r="G115" s="8">
        <v>6.7</v>
      </c>
      <c r="H115" s="9">
        <v>367.4</v>
      </c>
    </row>
    <row r="116" spans="1:8" x14ac:dyDescent="0.2">
      <c r="A116" s="2">
        <v>3</v>
      </c>
      <c r="B116" s="3" t="s">
        <v>120</v>
      </c>
      <c r="C116" s="2">
        <v>20</v>
      </c>
      <c r="D116" s="4">
        <v>1.8</v>
      </c>
      <c r="E116" s="4">
        <v>1.4</v>
      </c>
      <c r="F116" s="4">
        <v>0.5</v>
      </c>
      <c r="G116" s="4">
        <v>3.7</v>
      </c>
      <c r="H116" s="5">
        <v>200.75</v>
      </c>
    </row>
    <row r="117" spans="1:8" x14ac:dyDescent="0.2">
      <c r="A117" s="6">
        <v>3</v>
      </c>
      <c r="B117" s="7" t="s">
        <v>121</v>
      </c>
      <c r="C117" s="6">
        <v>34</v>
      </c>
      <c r="D117" s="8">
        <v>3.9</v>
      </c>
      <c r="E117" s="8">
        <v>3.3</v>
      </c>
      <c r="F117" s="8">
        <v>0.4</v>
      </c>
      <c r="G117" s="8">
        <v>7.5</v>
      </c>
      <c r="H117" s="9">
        <v>413.6</v>
      </c>
    </row>
    <row r="118" spans="1:8" x14ac:dyDescent="0.2">
      <c r="A118" s="2">
        <v>3</v>
      </c>
      <c r="B118" s="3" t="s">
        <v>122</v>
      </c>
      <c r="C118" s="2">
        <v>128</v>
      </c>
      <c r="D118" s="4">
        <v>3.1</v>
      </c>
      <c r="E118" s="4">
        <v>2.6</v>
      </c>
      <c r="F118" s="4">
        <v>0.3</v>
      </c>
      <c r="G118" s="4">
        <v>6</v>
      </c>
      <c r="H118" s="5">
        <v>328.9</v>
      </c>
    </row>
    <row r="119" spans="1:8" x14ac:dyDescent="0.2">
      <c r="A119" s="6">
        <v>3</v>
      </c>
      <c r="B119" s="7" t="s">
        <v>119</v>
      </c>
      <c r="C119" s="6">
        <v>216</v>
      </c>
      <c r="D119" s="8">
        <v>3.2</v>
      </c>
      <c r="E119" s="8">
        <v>2.6</v>
      </c>
      <c r="F119" s="8">
        <v>0.3</v>
      </c>
      <c r="G119" s="8">
        <v>6.2</v>
      </c>
      <c r="H119" s="9">
        <v>338.25</v>
      </c>
    </row>
    <row r="120" spans="1:8" x14ac:dyDescent="0.2">
      <c r="A120" s="2">
        <v>3</v>
      </c>
      <c r="B120" s="3" t="s">
        <v>123</v>
      </c>
      <c r="C120" s="2">
        <v>378</v>
      </c>
      <c r="D120" s="4">
        <v>4</v>
      </c>
      <c r="E120" s="4">
        <v>1.4</v>
      </c>
      <c r="F120" s="4">
        <v>0.3</v>
      </c>
      <c r="G120" s="4">
        <v>5.6</v>
      </c>
      <c r="H120" s="5">
        <v>310.2</v>
      </c>
    </row>
    <row r="121" spans="1:8" x14ac:dyDescent="0.2">
      <c r="A121" s="6">
        <v>3</v>
      </c>
      <c r="B121" s="7" t="s">
        <v>124</v>
      </c>
      <c r="C121" s="6">
        <v>625</v>
      </c>
      <c r="D121" s="8">
        <v>4</v>
      </c>
      <c r="E121" s="8">
        <v>1.4</v>
      </c>
      <c r="F121" s="8">
        <v>0.4</v>
      </c>
      <c r="G121" s="8">
        <v>5.8</v>
      </c>
      <c r="H121" s="9">
        <v>317.89999999999998</v>
      </c>
    </row>
    <row r="122" spans="1:8" x14ac:dyDescent="0.2">
      <c r="A122" s="2">
        <v>3</v>
      </c>
      <c r="B122" s="3" t="s">
        <v>125</v>
      </c>
      <c r="C122" s="2">
        <v>15</v>
      </c>
      <c r="D122" s="4">
        <v>4.9000000000000004</v>
      </c>
      <c r="E122" s="4">
        <v>2.2999999999999998</v>
      </c>
      <c r="F122" s="4">
        <v>0.3</v>
      </c>
      <c r="G122" s="4">
        <v>7.5</v>
      </c>
      <c r="H122" s="5">
        <v>413.6</v>
      </c>
    </row>
    <row r="123" spans="1:8" x14ac:dyDescent="0.2">
      <c r="A123" s="6">
        <v>3</v>
      </c>
      <c r="B123" s="7" t="s">
        <v>126</v>
      </c>
      <c r="C123" s="6">
        <v>305</v>
      </c>
      <c r="D123" s="8">
        <v>4</v>
      </c>
      <c r="E123" s="8">
        <v>1.5</v>
      </c>
      <c r="F123" s="8">
        <v>0.3</v>
      </c>
      <c r="G123" s="8">
        <v>5.8</v>
      </c>
      <c r="H123" s="9">
        <v>316.25</v>
      </c>
    </row>
    <row r="124" spans="1:8" x14ac:dyDescent="0.2">
      <c r="A124" s="2">
        <v>3</v>
      </c>
      <c r="B124" s="3" t="s">
        <v>127</v>
      </c>
      <c r="C124" s="2">
        <v>4</v>
      </c>
      <c r="D124" s="4">
        <v>5</v>
      </c>
      <c r="E124" s="4">
        <v>2.5</v>
      </c>
      <c r="F124" s="4">
        <v>0.3</v>
      </c>
      <c r="G124" s="4">
        <v>7.8</v>
      </c>
      <c r="H124" s="5">
        <v>426.25</v>
      </c>
    </row>
    <row r="125" spans="1:8" x14ac:dyDescent="0.2">
      <c r="A125" s="6">
        <v>3</v>
      </c>
      <c r="B125" s="7" t="s">
        <v>128</v>
      </c>
      <c r="C125" s="6">
        <v>8</v>
      </c>
      <c r="D125" s="8">
        <v>12</v>
      </c>
      <c r="E125" s="8">
        <v>12.9</v>
      </c>
      <c r="F125" s="8">
        <v>1.1000000000000001</v>
      </c>
      <c r="G125" s="8">
        <v>26</v>
      </c>
      <c r="H125" s="9">
        <v>1429.45</v>
      </c>
    </row>
    <row r="126" spans="1:8" x14ac:dyDescent="0.2">
      <c r="A126" s="2">
        <v>3</v>
      </c>
      <c r="B126" s="3" t="s">
        <v>129</v>
      </c>
      <c r="C126" s="2">
        <v>1</v>
      </c>
      <c r="D126" s="4">
        <v>5</v>
      </c>
      <c r="E126" s="4">
        <v>2</v>
      </c>
      <c r="F126" s="4">
        <v>1</v>
      </c>
      <c r="G126" s="4">
        <v>8</v>
      </c>
      <c r="H126" s="5">
        <v>440</v>
      </c>
    </row>
    <row r="127" spans="1:8" x14ac:dyDescent="0.2">
      <c r="A127" s="6">
        <v>3</v>
      </c>
      <c r="B127" s="7" t="s">
        <v>130</v>
      </c>
      <c r="C127" s="6">
        <v>2</v>
      </c>
      <c r="D127" s="8">
        <v>3</v>
      </c>
      <c r="E127" s="8">
        <v>2</v>
      </c>
      <c r="F127" s="8">
        <v>1</v>
      </c>
      <c r="G127" s="8">
        <v>6</v>
      </c>
      <c r="H127" s="9">
        <v>330</v>
      </c>
    </row>
    <row r="128" spans="1:8" x14ac:dyDescent="0.2">
      <c r="A128" s="2">
        <v>3</v>
      </c>
      <c r="B128" s="3" t="s">
        <v>131</v>
      </c>
      <c r="C128" s="2">
        <v>4</v>
      </c>
      <c r="D128" s="4">
        <v>5.5</v>
      </c>
      <c r="E128" s="4">
        <v>5</v>
      </c>
      <c r="F128" s="4">
        <v>0</v>
      </c>
      <c r="G128" s="4">
        <v>10.5</v>
      </c>
      <c r="H128" s="5">
        <v>577.5</v>
      </c>
    </row>
    <row r="129" spans="1:8" x14ac:dyDescent="0.2">
      <c r="A129" s="6">
        <v>3</v>
      </c>
      <c r="B129" s="7" t="s">
        <v>132</v>
      </c>
      <c r="C129" s="6">
        <v>67</v>
      </c>
      <c r="D129" s="8">
        <v>4.4000000000000004</v>
      </c>
      <c r="E129" s="8">
        <v>2.7</v>
      </c>
      <c r="F129" s="8">
        <v>1</v>
      </c>
      <c r="G129" s="8">
        <v>8</v>
      </c>
      <c r="H129" s="9">
        <v>441.65</v>
      </c>
    </row>
    <row r="130" spans="1:8" x14ac:dyDescent="0.2">
      <c r="A130" s="2">
        <v>3</v>
      </c>
      <c r="B130" s="3" t="s">
        <v>133</v>
      </c>
      <c r="C130" s="2">
        <v>1</v>
      </c>
      <c r="D130" s="4">
        <v>0</v>
      </c>
      <c r="E130" s="4">
        <v>0</v>
      </c>
      <c r="F130" s="4">
        <v>0</v>
      </c>
      <c r="G130" s="4">
        <v>0</v>
      </c>
      <c r="H130" s="5">
        <v>0</v>
      </c>
    </row>
    <row r="131" spans="1:8" x14ac:dyDescent="0.2">
      <c r="A131" s="6">
        <v>3</v>
      </c>
      <c r="B131" s="7" t="s">
        <v>134</v>
      </c>
      <c r="C131" s="6">
        <v>5</v>
      </c>
      <c r="D131" s="8">
        <v>3</v>
      </c>
      <c r="E131" s="8">
        <v>1</v>
      </c>
      <c r="F131" s="8">
        <v>1</v>
      </c>
      <c r="G131" s="8">
        <v>5</v>
      </c>
      <c r="H131" s="9">
        <v>275</v>
      </c>
    </row>
    <row r="132" spans="1:8" x14ac:dyDescent="0.2">
      <c r="A132" s="2">
        <v>3</v>
      </c>
      <c r="B132" s="3" t="s">
        <v>135</v>
      </c>
      <c r="C132" s="2">
        <v>3</v>
      </c>
      <c r="D132" s="4">
        <v>0</v>
      </c>
      <c r="E132" s="4">
        <v>1.3</v>
      </c>
      <c r="F132" s="4">
        <v>0</v>
      </c>
      <c r="G132" s="4">
        <v>1.3</v>
      </c>
      <c r="H132" s="5">
        <v>73.150000000000006</v>
      </c>
    </row>
    <row r="133" spans="1:8" x14ac:dyDescent="0.2">
      <c r="A133" s="6">
        <v>3</v>
      </c>
      <c r="B133" s="7" t="s">
        <v>136</v>
      </c>
      <c r="C133" s="6">
        <v>1</v>
      </c>
      <c r="D133" s="8">
        <v>5</v>
      </c>
      <c r="E133" s="8">
        <v>4</v>
      </c>
      <c r="F133" s="8">
        <v>0</v>
      </c>
      <c r="G133" s="8">
        <v>9</v>
      </c>
      <c r="H133" s="9">
        <v>495</v>
      </c>
    </row>
    <row r="134" spans="1:8" x14ac:dyDescent="0.2">
      <c r="A134" s="2">
        <v>3</v>
      </c>
      <c r="B134" s="3" t="s">
        <v>137</v>
      </c>
      <c r="C134" s="2">
        <v>3</v>
      </c>
      <c r="D134" s="4">
        <v>6</v>
      </c>
      <c r="E134" s="4">
        <v>15.3</v>
      </c>
      <c r="F134" s="4">
        <v>1.7</v>
      </c>
      <c r="G134" s="4">
        <v>23</v>
      </c>
      <c r="H134" s="5">
        <v>1264.45</v>
      </c>
    </row>
    <row r="135" spans="1:8" x14ac:dyDescent="0.2">
      <c r="A135" s="6">
        <v>3</v>
      </c>
      <c r="B135" s="7" t="s">
        <v>138</v>
      </c>
      <c r="C135" s="6">
        <v>27</v>
      </c>
      <c r="D135" s="8">
        <v>4.3</v>
      </c>
      <c r="E135" s="8">
        <v>5</v>
      </c>
      <c r="F135" s="8">
        <v>0.5</v>
      </c>
      <c r="G135" s="8">
        <v>9.8000000000000007</v>
      </c>
      <c r="H135" s="9">
        <v>539</v>
      </c>
    </row>
    <row r="136" spans="1:8" x14ac:dyDescent="0.2">
      <c r="A136" s="2">
        <v>3</v>
      </c>
      <c r="B136" s="3" t="s">
        <v>139</v>
      </c>
      <c r="C136" s="2">
        <v>283</v>
      </c>
      <c r="D136" s="4">
        <v>2.2000000000000002</v>
      </c>
      <c r="E136" s="4">
        <v>2.6</v>
      </c>
      <c r="F136" s="4">
        <v>0.1</v>
      </c>
      <c r="G136" s="4">
        <v>4.9000000000000004</v>
      </c>
      <c r="H136" s="5">
        <v>269.5</v>
      </c>
    </row>
    <row r="137" spans="1:8" x14ac:dyDescent="0.2">
      <c r="A137" s="6">
        <v>3</v>
      </c>
      <c r="B137" s="7" t="s">
        <v>139</v>
      </c>
      <c r="C137" s="6">
        <v>283</v>
      </c>
      <c r="D137" s="8">
        <v>2.2000000000000002</v>
      </c>
      <c r="E137" s="8">
        <v>2.6</v>
      </c>
      <c r="F137" s="8">
        <v>0.1</v>
      </c>
      <c r="G137" s="8">
        <v>4.9000000000000004</v>
      </c>
      <c r="H137" s="9">
        <v>269.5</v>
      </c>
    </row>
    <row r="138" spans="1:8" x14ac:dyDescent="0.2">
      <c r="A138" s="2">
        <v>3</v>
      </c>
      <c r="B138" s="3" t="s">
        <v>140</v>
      </c>
      <c r="C138" s="2">
        <v>1</v>
      </c>
      <c r="D138" s="4">
        <v>6</v>
      </c>
      <c r="E138" s="4">
        <v>8</v>
      </c>
      <c r="F138" s="4">
        <v>2</v>
      </c>
      <c r="G138" s="4">
        <v>16</v>
      </c>
      <c r="H138" s="5">
        <v>880</v>
      </c>
    </row>
    <row r="139" spans="1:8" x14ac:dyDescent="0.2">
      <c r="A139" s="6">
        <v>3</v>
      </c>
      <c r="B139" s="7" t="s">
        <v>141</v>
      </c>
      <c r="C139" s="6">
        <v>1</v>
      </c>
      <c r="D139" s="8">
        <v>7</v>
      </c>
      <c r="E139" s="8">
        <v>14</v>
      </c>
      <c r="F139" s="8">
        <v>2</v>
      </c>
      <c r="G139" s="8">
        <v>23</v>
      </c>
      <c r="H139" s="9">
        <v>1265</v>
      </c>
    </row>
    <row r="140" spans="1:8" x14ac:dyDescent="0.2">
      <c r="A140" s="2">
        <v>3</v>
      </c>
      <c r="B140" s="3" t="s">
        <v>142</v>
      </c>
      <c r="C140" s="2">
        <v>164</v>
      </c>
      <c r="D140" s="4">
        <v>5.6</v>
      </c>
      <c r="E140" s="4">
        <v>12.4</v>
      </c>
      <c r="F140" s="4">
        <v>0.9</v>
      </c>
      <c r="G140" s="4">
        <v>18.899999999999999</v>
      </c>
      <c r="H140" s="5">
        <v>1038.4000000000001</v>
      </c>
    </row>
    <row r="141" spans="1:8" x14ac:dyDescent="0.2">
      <c r="A141" s="6">
        <v>3</v>
      </c>
      <c r="B141" s="7" t="s">
        <v>143</v>
      </c>
      <c r="C141" s="6">
        <v>0</v>
      </c>
      <c r="D141" s="8">
        <v>0</v>
      </c>
      <c r="E141" s="8">
        <v>0</v>
      </c>
      <c r="F141" s="8">
        <v>0</v>
      </c>
      <c r="G141" s="8">
        <v>0</v>
      </c>
      <c r="H141" s="9">
        <v>0</v>
      </c>
    </row>
    <row r="142" spans="1:8" x14ac:dyDescent="0.2">
      <c r="A142" s="2">
        <v>3</v>
      </c>
      <c r="B142" s="3" t="s">
        <v>144</v>
      </c>
      <c r="C142" s="2">
        <v>3</v>
      </c>
      <c r="D142" s="4">
        <v>1.3</v>
      </c>
      <c r="E142" s="4">
        <v>7.3</v>
      </c>
      <c r="F142" s="4">
        <v>0.3</v>
      </c>
      <c r="G142" s="4">
        <v>9</v>
      </c>
      <c r="H142" s="5">
        <v>494.45</v>
      </c>
    </row>
    <row r="143" spans="1:8" x14ac:dyDescent="0.2">
      <c r="A143" s="6">
        <v>3</v>
      </c>
      <c r="B143" s="7" t="s">
        <v>145</v>
      </c>
      <c r="C143" s="6">
        <v>13</v>
      </c>
      <c r="D143" s="8">
        <v>11.7</v>
      </c>
      <c r="E143" s="8">
        <v>8.1999999999999993</v>
      </c>
      <c r="F143" s="8">
        <v>0.9</v>
      </c>
      <c r="G143" s="8">
        <v>20.8</v>
      </c>
      <c r="H143" s="9">
        <v>1146.2</v>
      </c>
    </row>
    <row r="144" spans="1:8" x14ac:dyDescent="0.2">
      <c r="A144" s="2">
        <v>3</v>
      </c>
      <c r="B144" s="3" t="s">
        <v>146</v>
      </c>
      <c r="C144" s="2">
        <v>13</v>
      </c>
      <c r="D144" s="4">
        <v>12.3</v>
      </c>
      <c r="E144" s="4">
        <v>5.5</v>
      </c>
      <c r="F144" s="4">
        <v>1.3</v>
      </c>
      <c r="G144" s="4">
        <v>19.100000000000001</v>
      </c>
      <c r="H144" s="5">
        <v>1048.3</v>
      </c>
    </row>
    <row r="145" spans="1:8" x14ac:dyDescent="0.2">
      <c r="A145" s="6">
        <v>3</v>
      </c>
      <c r="B145" s="7" t="s">
        <v>147</v>
      </c>
      <c r="C145" s="6">
        <v>5</v>
      </c>
      <c r="D145" s="8">
        <v>4</v>
      </c>
      <c r="E145" s="8">
        <v>4.2</v>
      </c>
      <c r="F145" s="8">
        <v>0.6</v>
      </c>
      <c r="G145" s="8">
        <v>8.8000000000000007</v>
      </c>
      <c r="H145" s="9">
        <v>484</v>
      </c>
    </row>
    <row r="146" spans="1:8" x14ac:dyDescent="0.2">
      <c r="A146" s="2">
        <v>3</v>
      </c>
      <c r="B146" s="3" t="s">
        <v>148</v>
      </c>
      <c r="C146" s="2">
        <v>2</v>
      </c>
      <c r="D146" s="4">
        <v>8</v>
      </c>
      <c r="E146" s="4">
        <v>9.5</v>
      </c>
      <c r="F146" s="4">
        <v>0</v>
      </c>
      <c r="G146" s="4">
        <v>17.5</v>
      </c>
      <c r="H146" s="5">
        <v>962.5</v>
      </c>
    </row>
    <row r="147" spans="1:8" x14ac:dyDescent="0.2">
      <c r="A147" s="6">
        <v>3</v>
      </c>
      <c r="B147" s="7" t="s">
        <v>149</v>
      </c>
      <c r="C147" s="6">
        <v>30</v>
      </c>
      <c r="D147" s="8">
        <v>8.1999999999999993</v>
      </c>
      <c r="E147" s="8">
        <v>14</v>
      </c>
      <c r="F147" s="8">
        <v>1</v>
      </c>
      <c r="G147" s="8">
        <v>23.2</v>
      </c>
      <c r="H147" s="9">
        <v>1275.45</v>
      </c>
    </row>
    <row r="148" spans="1:8" x14ac:dyDescent="0.2">
      <c r="A148" s="2">
        <v>3</v>
      </c>
      <c r="B148" s="3" t="s">
        <v>150</v>
      </c>
      <c r="C148" s="2">
        <v>154</v>
      </c>
      <c r="D148" s="4">
        <v>17</v>
      </c>
      <c r="E148" s="4">
        <v>20.9</v>
      </c>
      <c r="F148" s="4">
        <v>3.1</v>
      </c>
      <c r="G148" s="4">
        <v>41</v>
      </c>
      <c r="H148" s="5">
        <v>2257.1999999999998</v>
      </c>
    </row>
    <row r="149" spans="1:8" x14ac:dyDescent="0.2">
      <c r="A149" s="6">
        <v>3</v>
      </c>
      <c r="B149" s="7" t="s">
        <v>151</v>
      </c>
      <c r="C149" s="6">
        <v>9</v>
      </c>
      <c r="D149" s="8">
        <v>3.6</v>
      </c>
      <c r="E149" s="8">
        <v>1</v>
      </c>
      <c r="F149" s="8">
        <v>2.1</v>
      </c>
      <c r="G149" s="8">
        <v>6.7</v>
      </c>
      <c r="H149" s="9">
        <v>366.3</v>
      </c>
    </row>
    <row r="150" spans="1:8" x14ac:dyDescent="0.2">
      <c r="A150" s="2">
        <v>3</v>
      </c>
      <c r="B150" s="3" t="s">
        <v>152</v>
      </c>
      <c r="C150" s="2">
        <v>3</v>
      </c>
      <c r="D150" s="4">
        <v>7</v>
      </c>
      <c r="E150" s="4">
        <v>12.7</v>
      </c>
      <c r="F150" s="4">
        <v>1.7</v>
      </c>
      <c r="G150" s="4">
        <v>21.3</v>
      </c>
      <c r="H150" s="5">
        <v>1172.5999999999999</v>
      </c>
    </row>
    <row r="151" spans="1:8" x14ac:dyDescent="0.2">
      <c r="A151" s="6">
        <v>3</v>
      </c>
      <c r="B151" s="7" t="s">
        <v>153</v>
      </c>
      <c r="C151" s="6">
        <v>49</v>
      </c>
      <c r="D151" s="8">
        <v>3.5</v>
      </c>
      <c r="E151" s="8">
        <v>2.9</v>
      </c>
      <c r="F151" s="8">
        <v>0.4</v>
      </c>
      <c r="G151" s="8">
        <v>6.8</v>
      </c>
      <c r="H151" s="9">
        <v>372.9</v>
      </c>
    </row>
    <row r="152" spans="1:8" x14ac:dyDescent="0.2">
      <c r="A152" s="2">
        <v>3</v>
      </c>
      <c r="B152" s="3" t="s">
        <v>154</v>
      </c>
      <c r="C152" s="2">
        <v>62</v>
      </c>
      <c r="D152" s="4">
        <v>0.9</v>
      </c>
      <c r="E152" s="4">
        <v>0.6</v>
      </c>
      <c r="F152" s="4">
        <v>0.3</v>
      </c>
      <c r="G152" s="4">
        <v>1.7</v>
      </c>
      <c r="H152" s="5">
        <v>95.15</v>
      </c>
    </row>
    <row r="153" spans="1:8" x14ac:dyDescent="0.2">
      <c r="A153" s="6">
        <v>3</v>
      </c>
      <c r="B153" s="7" t="s">
        <v>155</v>
      </c>
      <c r="C153" s="6">
        <v>241</v>
      </c>
      <c r="D153" s="8">
        <v>1.2</v>
      </c>
      <c r="E153" s="8">
        <v>0.6</v>
      </c>
      <c r="F153" s="8">
        <v>0.4</v>
      </c>
      <c r="G153" s="8">
        <v>2.1</v>
      </c>
      <c r="H153" s="9">
        <v>116.6</v>
      </c>
    </row>
    <row r="154" spans="1:8" x14ac:dyDescent="0.2">
      <c r="A154" s="2">
        <v>4</v>
      </c>
      <c r="B154" s="3" t="s">
        <v>156</v>
      </c>
      <c r="C154" s="2">
        <v>5</v>
      </c>
      <c r="D154" s="4">
        <v>0</v>
      </c>
      <c r="E154" s="4">
        <v>0</v>
      </c>
      <c r="F154" s="4">
        <v>0</v>
      </c>
      <c r="G154" s="4">
        <v>0</v>
      </c>
      <c r="H154" s="5">
        <v>0</v>
      </c>
    </row>
    <row r="155" spans="1:8" x14ac:dyDescent="0.2">
      <c r="A155" s="6">
        <v>4</v>
      </c>
      <c r="B155" s="7" t="s">
        <v>157</v>
      </c>
      <c r="C155" s="6">
        <v>193</v>
      </c>
      <c r="D155" s="8">
        <v>1.8</v>
      </c>
      <c r="E155" s="8">
        <v>0.6</v>
      </c>
      <c r="F155" s="8">
        <v>0.4</v>
      </c>
      <c r="G155" s="8">
        <v>2.8</v>
      </c>
      <c r="H155" s="9">
        <v>153.44999999999999</v>
      </c>
    </row>
    <row r="156" spans="1:8" x14ac:dyDescent="0.2">
      <c r="A156" s="2">
        <v>4</v>
      </c>
      <c r="B156" s="3" t="s">
        <v>158</v>
      </c>
      <c r="C156" s="2">
        <v>28</v>
      </c>
      <c r="D156" s="4">
        <v>0.3</v>
      </c>
      <c r="E156" s="4">
        <v>0.2</v>
      </c>
      <c r="F156" s="4">
        <v>0.1</v>
      </c>
      <c r="G156" s="4">
        <v>0.5</v>
      </c>
      <c r="H156" s="5">
        <v>28.6</v>
      </c>
    </row>
    <row r="157" spans="1:8" x14ac:dyDescent="0.2">
      <c r="A157" s="6">
        <v>4</v>
      </c>
      <c r="B157" s="7" t="s">
        <v>159</v>
      </c>
      <c r="C157" s="6">
        <v>1</v>
      </c>
      <c r="D157" s="8">
        <v>0</v>
      </c>
      <c r="E157" s="8">
        <v>0</v>
      </c>
      <c r="F157" s="8">
        <v>0</v>
      </c>
      <c r="G157" s="8">
        <v>0</v>
      </c>
      <c r="H157" s="9">
        <v>0</v>
      </c>
    </row>
    <row r="158" spans="1:8" x14ac:dyDescent="0.2">
      <c r="A158" s="2">
        <v>4</v>
      </c>
      <c r="B158" s="3" t="s">
        <v>155</v>
      </c>
      <c r="C158" s="2">
        <v>361</v>
      </c>
      <c r="D158" s="4">
        <v>0.8</v>
      </c>
      <c r="E158" s="4">
        <v>0.5</v>
      </c>
      <c r="F158" s="4">
        <v>0.3</v>
      </c>
      <c r="G158" s="4">
        <v>1.6</v>
      </c>
      <c r="H158" s="5">
        <v>87.45</v>
      </c>
    </row>
    <row r="159" spans="1:8" x14ac:dyDescent="0.2">
      <c r="A159" s="6">
        <v>4</v>
      </c>
      <c r="B159" s="7" t="s">
        <v>160</v>
      </c>
      <c r="C159" s="6">
        <v>524</v>
      </c>
      <c r="D159" s="8">
        <v>0.8</v>
      </c>
      <c r="E159" s="8">
        <v>0.4</v>
      </c>
      <c r="F159" s="8">
        <v>0.2</v>
      </c>
      <c r="G159" s="8">
        <v>1.4</v>
      </c>
      <c r="H159" s="9">
        <v>76.45</v>
      </c>
    </row>
    <row r="160" spans="1:8" x14ac:dyDescent="0.2">
      <c r="A160" s="2">
        <v>4</v>
      </c>
      <c r="B160" s="3" t="s">
        <v>161</v>
      </c>
      <c r="C160" s="2">
        <v>6</v>
      </c>
      <c r="D160" s="4">
        <v>4.3</v>
      </c>
      <c r="E160" s="4">
        <v>2.2000000000000002</v>
      </c>
      <c r="F160" s="4">
        <v>0.5</v>
      </c>
      <c r="G160" s="4">
        <v>7</v>
      </c>
      <c r="H160" s="5">
        <v>384.45</v>
      </c>
    </row>
    <row r="161" spans="1:8" x14ac:dyDescent="0.2">
      <c r="A161" s="6">
        <v>4</v>
      </c>
      <c r="B161" s="7" t="s">
        <v>162</v>
      </c>
      <c r="C161" s="6">
        <v>1</v>
      </c>
      <c r="D161" s="8">
        <v>5</v>
      </c>
      <c r="E161" s="8">
        <v>15</v>
      </c>
      <c r="F161" s="8">
        <v>0</v>
      </c>
      <c r="G161" s="8">
        <v>20</v>
      </c>
      <c r="H161" s="9">
        <v>1100</v>
      </c>
    </row>
    <row r="162" spans="1:8" x14ac:dyDescent="0.2">
      <c r="A162" s="2">
        <v>4</v>
      </c>
      <c r="B162" s="3" t="s">
        <v>163</v>
      </c>
      <c r="C162" s="2">
        <v>26</v>
      </c>
      <c r="D162" s="4">
        <v>1.2</v>
      </c>
      <c r="E162" s="4">
        <v>0.7</v>
      </c>
      <c r="F162" s="4">
        <v>0.5</v>
      </c>
      <c r="G162" s="4">
        <v>2.4</v>
      </c>
      <c r="H162" s="5">
        <v>130.9</v>
      </c>
    </row>
    <row r="163" spans="1:8" x14ac:dyDescent="0.2">
      <c r="A163" s="6">
        <v>4</v>
      </c>
      <c r="B163" s="7" t="s">
        <v>164</v>
      </c>
      <c r="C163" s="6">
        <v>1</v>
      </c>
      <c r="D163" s="8">
        <v>10</v>
      </c>
      <c r="E163" s="8">
        <v>12</v>
      </c>
      <c r="F163" s="8">
        <v>4</v>
      </c>
      <c r="G163" s="8">
        <v>26</v>
      </c>
      <c r="H163" s="9">
        <v>1430</v>
      </c>
    </row>
    <row r="164" spans="1:8" x14ac:dyDescent="0.2">
      <c r="A164" s="2">
        <v>4</v>
      </c>
      <c r="B164" s="3" t="s">
        <v>165</v>
      </c>
      <c r="C164" s="2">
        <v>0</v>
      </c>
      <c r="D164" s="4">
        <v>0</v>
      </c>
      <c r="E164" s="4">
        <v>0</v>
      </c>
      <c r="F164" s="4">
        <v>0</v>
      </c>
      <c r="G164" s="4">
        <v>0</v>
      </c>
      <c r="H164" s="5">
        <v>0</v>
      </c>
    </row>
    <row r="165" spans="1:8" x14ac:dyDescent="0.2">
      <c r="A165" s="6">
        <v>4</v>
      </c>
      <c r="B165" s="7" t="s">
        <v>166</v>
      </c>
      <c r="C165" s="6">
        <v>3</v>
      </c>
      <c r="D165" s="8">
        <v>0</v>
      </c>
      <c r="E165" s="8">
        <v>2.2999999999999998</v>
      </c>
      <c r="F165" s="8">
        <v>0</v>
      </c>
      <c r="G165" s="8">
        <v>2.2999999999999998</v>
      </c>
      <c r="H165" s="9">
        <v>128.15</v>
      </c>
    </row>
    <row r="166" spans="1:8" x14ac:dyDescent="0.2">
      <c r="A166" s="2">
        <v>4</v>
      </c>
      <c r="B166" s="3" t="s">
        <v>167</v>
      </c>
      <c r="C166" s="2">
        <v>1342</v>
      </c>
      <c r="D166" s="4">
        <v>4.0999999999999996</v>
      </c>
      <c r="E166" s="4">
        <v>3</v>
      </c>
      <c r="F166" s="4">
        <v>0.3</v>
      </c>
      <c r="G166" s="4">
        <v>7.3</v>
      </c>
      <c r="H166" s="5">
        <v>401.5</v>
      </c>
    </row>
    <row r="167" spans="1:8" x14ac:dyDescent="0.2">
      <c r="A167" s="6">
        <v>4</v>
      </c>
      <c r="B167" s="7" t="s">
        <v>168</v>
      </c>
      <c r="C167" s="6">
        <v>1</v>
      </c>
      <c r="D167" s="8">
        <v>4</v>
      </c>
      <c r="E167" s="8">
        <v>2</v>
      </c>
      <c r="F167" s="8">
        <v>0</v>
      </c>
      <c r="G167" s="8">
        <v>6</v>
      </c>
      <c r="H167" s="9">
        <v>330</v>
      </c>
    </row>
    <row r="168" spans="1:8" x14ac:dyDescent="0.2">
      <c r="A168" s="2">
        <v>4</v>
      </c>
      <c r="B168" s="3" t="s">
        <v>169</v>
      </c>
      <c r="C168" s="2">
        <v>1</v>
      </c>
      <c r="D168" s="4">
        <v>6</v>
      </c>
      <c r="E168" s="4">
        <v>8</v>
      </c>
      <c r="F168" s="4">
        <v>0</v>
      </c>
      <c r="G168" s="4">
        <v>14</v>
      </c>
      <c r="H168" s="5">
        <v>770</v>
      </c>
    </row>
    <row r="169" spans="1:8" x14ac:dyDescent="0.2">
      <c r="A169" s="6">
        <v>4</v>
      </c>
      <c r="B169" s="7" t="s">
        <v>170</v>
      </c>
      <c r="C169" s="6">
        <v>5</v>
      </c>
      <c r="D169" s="8">
        <v>6.8</v>
      </c>
      <c r="E169" s="8">
        <v>8</v>
      </c>
      <c r="F169" s="8">
        <v>1.8</v>
      </c>
      <c r="G169" s="8">
        <v>16.600000000000001</v>
      </c>
      <c r="H169" s="9">
        <v>913</v>
      </c>
    </row>
    <row r="170" spans="1:8" x14ac:dyDescent="0.2">
      <c r="A170" s="2">
        <v>4</v>
      </c>
      <c r="B170" s="3" t="s">
        <v>171</v>
      </c>
      <c r="C170" s="2">
        <v>49</v>
      </c>
      <c r="D170" s="4">
        <v>6.4</v>
      </c>
      <c r="E170" s="4">
        <v>6.4</v>
      </c>
      <c r="F170" s="4">
        <v>1</v>
      </c>
      <c r="G170" s="4">
        <v>13.8</v>
      </c>
      <c r="H170" s="5">
        <v>759</v>
      </c>
    </row>
    <row r="171" spans="1:8" x14ac:dyDescent="0.2">
      <c r="A171" s="6">
        <v>4</v>
      </c>
      <c r="B171" s="7" t="s">
        <v>172</v>
      </c>
      <c r="C171" s="6">
        <v>3</v>
      </c>
      <c r="D171" s="8">
        <v>8</v>
      </c>
      <c r="E171" s="8">
        <v>5.3</v>
      </c>
      <c r="F171" s="8">
        <v>0.7</v>
      </c>
      <c r="G171" s="8">
        <v>14</v>
      </c>
      <c r="H171" s="9">
        <v>769.45</v>
      </c>
    </row>
    <row r="172" spans="1:8" x14ac:dyDescent="0.2">
      <c r="A172" s="2">
        <v>4</v>
      </c>
      <c r="B172" s="3" t="s">
        <v>173</v>
      </c>
      <c r="C172" s="2">
        <v>5</v>
      </c>
      <c r="D172" s="4">
        <v>6</v>
      </c>
      <c r="E172" s="4">
        <v>6.4</v>
      </c>
      <c r="F172" s="4">
        <v>0.2</v>
      </c>
      <c r="G172" s="4">
        <v>12.6</v>
      </c>
      <c r="H172" s="5">
        <v>693</v>
      </c>
    </row>
    <row r="173" spans="1:8" x14ac:dyDescent="0.2">
      <c r="A173" s="6">
        <v>4</v>
      </c>
      <c r="B173" s="7" t="s">
        <v>174</v>
      </c>
      <c r="C173" s="6">
        <v>257</v>
      </c>
      <c r="D173" s="8">
        <v>5</v>
      </c>
      <c r="E173" s="8">
        <v>3.4</v>
      </c>
      <c r="F173" s="8">
        <v>0.1</v>
      </c>
      <c r="G173" s="8">
        <v>8.4</v>
      </c>
      <c r="H173" s="9">
        <v>461.45</v>
      </c>
    </row>
    <row r="174" spans="1:8" x14ac:dyDescent="0.2">
      <c r="A174" s="2">
        <v>4</v>
      </c>
      <c r="B174" s="3" t="s">
        <v>175</v>
      </c>
      <c r="C174" s="2">
        <v>20</v>
      </c>
      <c r="D174" s="4">
        <v>5</v>
      </c>
      <c r="E174" s="4">
        <v>3.9</v>
      </c>
      <c r="F174" s="4">
        <v>1.1000000000000001</v>
      </c>
      <c r="G174" s="4">
        <v>10</v>
      </c>
      <c r="H174" s="5">
        <v>547.25</v>
      </c>
    </row>
    <row r="175" spans="1:8" x14ac:dyDescent="0.2">
      <c r="A175" s="6">
        <v>4</v>
      </c>
      <c r="B175" s="7" t="s">
        <v>176</v>
      </c>
      <c r="C175" s="6">
        <v>77</v>
      </c>
      <c r="D175" s="8">
        <v>7.6</v>
      </c>
      <c r="E175" s="8">
        <v>5.7</v>
      </c>
      <c r="F175" s="8">
        <v>1</v>
      </c>
      <c r="G175" s="8">
        <v>14.3</v>
      </c>
      <c r="H175" s="9">
        <v>787.6</v>
      </c>
    </row>
    <row r="176" spans="1:8" x14ac:dyDescent="0.2">
      <c r="A176" s="2">
        <v>4</v>
      </c>
      <c r="B176" s="3" t="s">
        <v>177</v>
      </c>
      <c r="C176" s="2">
        <v>167</v>
      </c>
      <c r="D176" s="4">
        <v>6.1</v>
      </c>
      <c r="E176" s="4">
        <v>10.6</v>
      </c>
      <c r="F176" s="4">
        <v>1.5</v>
      </c>
      <c r="G176" s="4">
        <v>18.100000000000001</v>
      </c>
      <c r="H176" s="5">
        <v>994.95</v>
      </c>
    </row>
    <row r="177" spans="1:8" x14ac:dyDescent="0.2">
      <c r="A177" s="6">
        <v>4</v>
      </c>
      <c r="B177" s="7" t="s">
        <v>178</v>
      </c>
      <c r="C177" s="6">
        <v>8</v>
      </c>
      <c r="D177" s="8">
        <v>7.1</v>
      </c>
      <c r="E177" s="8">
        <v>7.1</v>
      </c>
      <c r="F177" s="8">
        <v>1.3</v>
      </c>
      <c r="G177" s="8">
        <v>15.5</v>
      </c>
      <c r="H177" s="9">
        <v>851.95</v>
      </c>
    </row>
    <row r="178" spans="1:8" x14ac:dyDescent="0.2">
      <c r="A178" s="2">
        <v>4</v>
      </c>
      <c r="B178" s="3" t="s">
        <v>179</v>
      </c>
      <c r="C178" s="2">
        <v>4916</v>
      </c>
      <c r="D178" s="4">
        <v>4.3</v>
      </c>
      <c r="E178" s="4">
        <v>2.5</v>
      </c>
      <c r="F178" s="4">
        <v>0.5</v>
      </c>
      <c r="G178" s="4">
        <v>7.4</v>
      </c>
      <c r="H178" s="5">
        <v>406.45</v>
      </c>
    </row>
    <row r="179" spans="1:8" x14ac:dyDescent="0.2">
      <c r="A179" s="6">
        <v>4</v>
      </c>
      <c r="B179" s="7" t="s">
        <v>180</v>
      </c>
      <c r="C179" s="6">
        <v>40</v>
      </c>
      <c r="D179" s="8">
        <v>4.8</v>
      </c>
      <c r="E179" s="8">
        <v>3.4</v>
      </c>
      <c r="F179" s="8">
        <v>1</v>
      </c>
      <c r="G179" s="8">
        <v>9.1</v>
      </c>
      <c r="H179" s="9">
        <v>501.6</v>
      </c>
    </row>
    <row r="180" spans="1:8" x14ac:dyDescent="0.2">
      <c r="A180" s="2">
        <v>4</v>
      </c>
      <c r="B180" s="3" t="s">
        <v>181</v>
      </c>
      <c r="C180" s="2">
        <v>2</v>
      </c>
      <c r="D180" s="4">
        <v>4.5</v>
      </c>
      <c r="E180" s="4">
        <v>3</v>
      </c>
      <c r="F180" s="4">
        <v>0</v>
      </c>
      <c r="G180" s="4">
        <v>7.5</v>
      </c>
      <c r="H180" s="5">
        <v>412.5</v>
      </c>
    </row>
    <row r="181" spans="1:8" x14ac:dyDescent="0.2">
      <c r="A181" s="6">
        <v>4</v>
      </c>
      <c r="B181" s="7" t="s">
        <v>182</v>
      </c>
      <c r="C181" s="6">
        <v>24</v>
      </c>
      <c r="D181" s="8">
        <v>4.8</v>
      </c>
      <c r="E181" s="8">
        <v>2.9</v>
      </c>
      <c r="F181" s="8">
        <v>0.3</v>
      </c>
      <c r="G181" s="8">
        <v>8</v>
      </c>
      <c r="H181" s="9">
        <v>441.65</v>
      </c>
    </row>
    <row r="182" spans="1:8" x14ac:dyDescent="0.2">
      <c r="A182" s="2">
        <v>4</v>
      </c>
      <c r="B182" s="3" t="s">
        <v>183</v>
      </c>
      <c r="C182" s="2">
        <v>236</v>
      </c>
      <c r="D182" s="4">
        <v>4.9000000000000004</v>
      </c>
      <c r="E182" s="4">
        <v>3</v>
      </c>
      <c r="F182" s="4">
        <v>0.4</v>
      </c>
      <c r="G182" s="4">
        <v>8.3000000000000007</v>
      </c>
      <c r="H182" s="5">
        <v>457.05</v>
      </c>
    </row>
    <row r="183" spans="1:8" x14ac:dyDescent="0.2">
      <c r="A183" s="6">
        <v>4</v>
      </c>
      <c r="B183" s="7" t="s">
        <v>184</v>
      </c>
      <c r="C183" s="6">
        <v>234</v>
      </c>
      <c r="D183" s="8">
        <v>4.4000000000000004</v>
      </c>
      <c r="E183" s="8">
        <v>3</v>
      </c>
      <c r="F183" s="8">
        <v>0.7</v>
      </c>
      <c r="G183" s="8">
        <v>8.1999999999999993</v>
      </c>
      <c r="H183" s="9">
        <v>448.25</v>
      </c>
    </row>
    <row r="184" spans="1:8" x14ac:dyDescent="0.2">
      <c r="A184" s="2">
        <v>4</v>
      </c>
      <c r="B184" s="3" t="s">
        <v>185</v>
      </c>
      <c r="C184" s="2">
        <v>160</v>
      </c>
      <c r="D184" s="4">
        <v>4.7</v>
      </c>
      <c r="E184" s="4">
        <v>4.3</v>
      </c>
      <c r="F184" s="4">
        <v>0.5</v>
      </c>
      <c r="G184" s="4">
        <v>9.5</v>
      </c>
      <c r="H184" s="5">
        <v>521.4</v>
      </c>
    </row>
    <row r="185" spans="1:8" x14ac:dyDescent="0.2">
      <c r="A185" s="6">
        <v>4</v>
      </c>
      <c r="B185" s="7" t="s">
        <v>186</v>
      </c>
      <c r="C185" s="6">
        <v>0</v>
      </c>
      <c r="D185" s="8">
        <v>0</v>
      </c>
      <c r="E185" s="8">
        <v>0</v>
      </c>
      <c r="F185" s="8">
        <v>0</v>
      </c>
      <c r="G185" s="8">
        <v>0</v>
      </c>
      <c r="H185" s="9">
        <v>0</v>
      </c>
    </row>
    <row r="186" spans="1:8" x14ac:dyDescent="0.2">
      <c r="A186" s="2">
        <v>4</v>
      </c>
      <c r="B186" s="3" t="s">
        <v>187</v>
      </c>
      <c r="C186" s="2">
        <v>0</v>
      </c>
      <c r="D186" s="4">
        <v>0</v>
      </c>
      <c r="E186" s="4">
        <v>0</v>
      </c>
      <c r="F186" s="4">
        <v>0</v>
      </c>
      <c r="G186" s="4">
        <v>0</v>
      </c>
      <c r="H186" s="5">
        <v>0</v>
      </c>
    </row>
    <row r="187" spans="1:8" x14ac:dyDescent="0.2">
      <c r="A187" s="6">
        <v>4</v>
      </c>
      <c r="B187" s="7" t="s">
        <v>188</v>
      </c>
      <c r="C187" s="6">
        <v>0</v>
      </c>
      <c r="D187" s="8">
        <v>0</v>
      </c>
      <c r="E187" s="8">
        <v>0</v>
      </c>
      <c r="F187" s="8">
        <v>0</v>
      </c>
      <c r="G187" s="8">
        <v>0</v>
      </c>
      <c r="H187" s="9">
        <v>0</v>
      </c>
    </row>
    <row r="188" spans="1:8" x14ac:dyDescent="0.2">
      <c r="A188" s="2">
        <v>4</v>
      </c>
      <c r="B188" s="3" t="s">
        <v>189</v>
      </c>
      <c r="C188" s="2">
        <v>1</v>
      </c>
      <c r="D188" s="4">
        <v>4</v>
      </c>
      <c r="E188" s="4">
        <v>3</v>
      </c>
      <c r="F188" s="4">
        <v>0</v>
      </c>
      <c r="G188" s="4">
        <v>7</v>
      </c>
      <c r="H188" s="5">
        <v>385</v>
      </c>
    </row>
    <row r="189" spans="1:8" x14ac:dyDescent="0.2">
      <c r="A189" s="6">
        <v>4</v>
      </c>
      <c r="B189" s="7" t="s">
        <v>190</v>
      </c>
      <c r="C189" s="6">
        <v>2</v>
      </c>
      <c r="D189" s="8">
        <v>5</v>
      </c>
      <c r="E189" s="8">
        <v>3.5</v>
      </c>
      <c r="F189" s="8">
        <v>0</v>
      </c>
      <c r="G189" s="8">
        <v>8.5</v>
      </c>
      <c r="H189" s="9">
        <v>467.5</v>
      </c>
    </row>
    <row r="190" spans="1:8" x14ac:dyDescent="0.2">
      <c r="A190" s="2">
        <v>4</v>
      </c>
      <c r="B190" s="3" t="s">
        <v>191</v>
      </c>
      <c r="C190" s="2">
        <v>45</v>
      </c>
      <c r="D190" s="4">
        <v>4.4000000000000004</v>
      </c>
      <c r="E190" s="4">
        <v>2.5</v>
      </c>
      <c r="F190" s="4">
        <v>0.5</v>
      </c>
      <c r="G190" s="4">
        <v>7.5</v>
      </c>
      <c r="H190" s="5">
        <v>410.3</v>
      </c>
    </row>
    <row r="191" spans="1:8" x14ac:dyDescent="0.2">
      <c r="A191" s="6">
        <v>4</v>
      </c>
      <c r="B191" s="7" t="s">
        <v>192</v>
      </c>
      <c r="C191" s="6">
        <v>34</v>
      </c>
      <c r="D191" s="8">
        <v>4.9000000000000004</v>
      </c>
      <c r="E191" s="8">
        <v>2.9</v>
      </c>
      <c r="F191" s="8">
        <v>0.4</v>
      </c>
      <c r="G191" s="8">
        <v>8.1</v>
      </c>
      <c r="H191" s="9">
        <v>447.7</v>
      </c>
    </row>
    <row r="192" spans="1:8" x14ac:dyDescent="0.2">
      <c r="A192" s="2">
        <v>4</v>
      </c>
      <c r="B192" s="3" t="s">
        <v>193</v>
      </c>
      <c r="C192" s="2">
        <v>1</v>
      </c>
      <c r="D192" s="4">
        <v>5</v>
      </c>
      <c r="E192" s="4">
        <v>2</v>
      </c>
      <c r="F192" s="4">
        <v>0</v>
      </c>
      <c r="G192" s="4">
        <v>7</v>
      </c>
      <c r="H192" s="5">
        <v>385</v>
      </c>
    </row>
    <row r="193" spans="1:8" x14ac:dyDescent="0.2">
      <c r="A193" s="6">
        <v>4</v>
      </c>
      <c r="B193" s="7" t="s">
        <v>194</v>
      </c>
      <c r="C193" s="6">
        <v>1</v>
      </c>
      <c r="D193" s="8">
        <v>5</v>
      </c>
      <c r="E193" s="8">
        <v>2</v>
      </c>
      <c r="F193" s="8">
        <v>0</v>
      </c>
      <c r="G193" s="8">
        <v>7</v>
      </c>
      <c r="H193" s="9">
        <v>385</v>
      </c>
    </row>
    <row r="194" spans="1:8" x14ac:dyDescent="0.2">
      <c r="A194" s="2">
        <v>4</v>
      </c>
      <c r="B194" s="3" t="s">
        <v>195</v>
      </c>
      <c r="C194" s="2">
        <v>10</v>
      </c>
      <c r="D194" s="4">
        <v>4.8</v>
      </c>
      <c r="E194" s="4">
        <v>4.0999999999999996</v>
      </c>
      <c r="F194" s="4">
        <v>1</v>
      </c>
      <c r="G194" s="4">
        <v>9.9</v>
      </c>
      <c r="H194" s="5">
        <v>544.5</v>
      </c>
    </row>
    <row r="195" spans="1:8" x14ac:dyDescent="0.2">
      <c r="A195" s="6">
        <v>4</v>
      </c>
      <c r="B195" s="7" t="s">
        <v>196</v>
      </c>
      <c r="C195" s="6">
        <v>11</v>
      </c>
      <c r="D195" s="8">
        <v>4.5</v>
      </c>
      <c r="E195" s="8">
        <v>2.5</v>
      </c>
      <c r="F195" s="8">
        <v>0.7</v>
      </c>
      <c r="G195" s="8">
        <v>7.6</v>
      </c>
      <c r="H195" s="9">
        <v>419.1</v>
      </c>
    </row>
    <row r="196" spans="1:8" x14ac:dyDescent="0.2">
      <c r="A196" s="2">
        <v>4</v>
      </c>
      <c r="B196" s="3" t="s">
        <v>197</v>
      </c>
      <c r="C196" s="2">
        <v>1</v>
      </c>
      <c r="D196" s="4">
        <v>4</v>
      </c>
      <c r="E196" s="4">
        <v>3</v>
      </c>
      <c r="F196" s="4">
        <v>0</v>
      </c>
      <c r="G196" s="4">
        <v>7</v>
      </c>
      <c r="H196" s="5">
        <v>385</v>
      </c>
    </row>
    <row r="197" spans="1:8" x14ac:dyDescent="0.2">
      <c r="A197" s="6">
        <v>4</v>
      </c>
      <c r="B197" s="7" t="s">
        <v>198</v>
      </c>
      <c r="C197" s="6">
        <v>1</v>
      </c>
      <c r="D197" s="8">
        <v>5</v>
      </c>
      <c r="E197" s="8">
        <v>2</v>
      </c>
      <c r="F197" s="8">
        <v>4</v>
      </c>
      <c r="G197" s="8">
        <v>11</v>
      </c>
      <c r="H197" s="9">
        <v>605</v>
      </c>
    </row>
    <row r="198" spans="1:8" x14ac:dyDescent="0.2">
      <c r="A198" s="2">
        <v>4</v>
      </c>
      <c r="B198" s="3" t="s">
        <v>199</v>
      </c>
      <c r="C198" s="2">
        <v>0</v>
      </c>
      <c r="D198" s="4">
        <v>0</v>
      </c>
      <c r="E198" s="4">
        <v>0</v>
      </c>
      <c r="F198" s="4">
        <v>0</v>
      </c>
      <c r="G198" s="4">
        <v>0</v>
      </c>
      <c r="H198" s="5">
        <v>0</v>
      </c>
    </row>
    <row r="199" spans="1:8" x14ac:dyDescent="0.2">
      <c r="A199" s="6">
        <v>4</v>
      </c>
      <c r="B199" s="7" t="s">
        <v>200</v>
      </c>
      <c r="C199" s="6">
        <v>1</v>
      </c>
      <c r="D199" s="8">
        <v>4</v>
      </c>
      <c r="E199" s="8">
        <v>2</v>
      </c>
      <c r="F199" s="8">
        <v>2</v>
      </c>
      <c r="G199" s="8">
        <v>8</v>
      </c>
      <c r="H199" s="9">
        <v>440</v>
      </c>
    </row>
    <row r="200" spans="1:8" x14ac:dyDescent="0.2">
      <c r="A200" s="2">
        <v>4</v>
      </c>
      <c r="B200" s="3" t="s">
        <v>201</v>
      </c>
      <c r="C200" s="2">
        <v>0</v>
      </c>
      <c r="D200" s="4">
        <v>0</v>
      </c>
      <c r="E200" s="4">
        <v>0</v>
      </c>
      <c r="F200" s="4">
        <v>0</v>
      </c>
      <c r="G200" s="4">
        <v>0</v>
      </c>
      <c r="H200" s="5">
        <v>0</v>
      </c>
    </row>
    <row r="201" spans="1:8" x14ac:dyDescent="0.2">
      <c r="A201" s="6">
        <v>4</v>
      </c>
      <c r="B201" s="7" t="s">
        <v>202</v>
      </c>
      <c r="C201" s="6">
        <v>7</v>
      </c>
      <c r="D201" s="8">
        <v>4.5999999999999996</v>
      </c>
      <c r="E201" s="8">
        <v>2.7</v>
      </c>
      <c r="F201" s="8">
        <v>0.3</v>
      </c>
      <c r="G201" s="8">
        <v>7.6</v>
      </c>
      <c r="H201" s="9">
        <v>415.8</v>
      </c>
    </row>
    <row r="202" spans="1:8" x14ac:dyDescent="0.2">
      <c r="A202" s="2">
        <v>4</v>
      </c>
      <c r="B202" s="3" t="s">
        <v>203</v>
      </c>
      <c r="C202" s="2">
        <v>7</v>
      </c>
      <c r="D202" s="4">
        <v>4.0999999999999996</v>
      </c>
      <c r="E202" s="4">
        <v>2.7</v>
      </c>
      <c r="F202" s="4">
        <v>0.9</v>
      </c>
      <c r="G202" s="4">
        <v>7.7</v>
      </c>
      <c r="H202" s="5">
        <v>423.5</v>
      </c>
    </row>
    <row r="203" spans="1:8" x14ac:dyDescent="0.2">
      <c r="A203" s="6">
        <v>4</v>
      </c>
      <c r="B203" s="7" t="s">
        <v>204</v>
      </c>
      <c r="C203" s="6">
        <v>0</v>
      </c>
      <c r="D203" s="8">
        <v>0</v>
      </c>
      <c r="E203" s="8">
        <v>0</v>
      </c>
      <c r="F203" s="8">
        <v>0</v>
      </c>
      <c r="G203" s="8">
        <v>0</v>
      </c>
      <c r="H203" s="9">
        <v>0</v>
      </c>
    </row>
    <row r="204" spans="1:8" x14ac:dyDescent="0.2">
      <c r="A204" s="2">
        <v>4</v>
      </c>
      <c r="B204" s="3" t="s">
        <v>205</v>
      </c>
      <c r="C204" s="2">
        <v>26</v>
      </c>
      <c r="D204" s="4">
        <v>4.2</v>
      </c>
      <c r="E204" s="4">
        <v>2.7</v>
      </c>
      <c r="F204" s="4">
        <v>0.2</v>
      </c>
      <c r="G204" s="4">
        <v>7.1</v>
      </c>
      <c r="H204" s="5">
        <v>388.85</v>
      </c>
    </row>
    <row r="205" spans="1:8" x14ac:dyDescent="0.2">
      <c r="A205" s="6">
        <v>4</v>
      </c>
      <c r="B205" s="7" t="s">
        <v>206</v>
      </c>
      <c r="C205" s="6">
        <v>2</v>
      </c>
      <c r="D205" s="8">
        <v>5</v>
      </c>
      <c r="E205" s="8">
        <v>4.5</v>
      </c>
      <c r="F205" s="8">
        <v>2</v>
      </c>
      <c r="G205" s="8">
        <v>11.5</v>
      </c>
      <c r="H205" s="9">
        <v>632.5</v>
      </c>
    </row>
    <row r="206" spans="1:8" x14ac:dyDescent="0.2">
      <c r="A206" s="2">
        <v>5</v>
      </c>
      <c r="B206" s="3" t="s">
        <v>207</v>
      </c>
      <c r="C206" s="2">
        <v>0</v>
      </c>
      <c r="D206" s="4">
        <v>0</v>
      </c>
      <c r="E206" s="4">
        <v>0</v>
      </c>
      <c r="F206" s="4">
        <v>0</v>
      </c>
      <c r="G206" s="4">
        <v>0</v>
      </c>
      <c r="H206" s="5">
        <v>0</v>
      </c>
    </row>
    <row r="207" spans="1:8" x14ac:dyDescent="0.2">
      <c r="A207" s="6">
        <v>5</v>
      </c>
      <c r="B207" s="7" t="s">
        <v>208</v>
      </c>
      <c r="C207" s="6">
        <v>1</v>
      </c>
      <c r="D207" s="8">
        <v>10</v>
      </c>
      <c r="E207" s="8">
        <v>5</v>
      </c>
      <c r="F207" s="8">
        <v>3</v>
      </c>
      <c r="G207" s="8">
        <v>18</v>
      </c>
      <c r="H207" s="9">
        <v>990</v>
      </c>
    </row>
    <row r="208" spans="1:8" x14ac:dyDescent="0.2">
      <c r="A208" s="2">
        <v>5</v>
      </c>
      <c r="B208" s="3" t="s">
        <v>209</v>
      </c>
      <c r="C208" s="2">
        <v>3</v>
      </c>
      <c r="D208" s="4">
        <v>4.3</v>
      </c>
      <c r="E208" s="4">
        <v>2</v>
      </c>
      <c r="F208" s="4">
        <v>1.3</v>
      </c>
      <c r="G208" s="4">
        <v>7.7</v>
      </c>
      <c r="H208" s="5">
        <v>421.3</v>
      </c>
    </row>
    <row r="209" spans="1:8" x14ac:dyDescent="0.2">
      <c r="A209" s="6">
        <v>5</v>
      </c>
      <c r="B209" s="7" t="s">
        <v>210</v>
      </c>
      <c r="C209" s="6">
        <v>1</v>
      </c>
      <c r="D209" s="8">
        <v>0</v>
      </c>
      <c r="E209" s="8">
        <v>3</v>
      </c>
      <c r="F209" s="8">
        <v>0</v>
      </c>
      <c r="G209" s="8">
        <v>3</v>
      </c>
      <c r="H209" s="9">
        <v>165</v>
      </c>
    </row>
    <row r="210" spans="1:8" x14ac:dyDescent="0.2">
      <c r="A210" s="2">
        <v>5</v>
      </c>
      <c r="B210" s="3" t="s">
        <v>211</v>
      </c>
      <c r="C210" s="2">
        <v>0</v>
      </c>
      <c r="D210" s="4">
        <v>0</v>
      </c>
      <c r="E210" s="4">
        <v>0</v>
      </c>
      <c r="F210" s="4">
        <v>0</v>
      </c>
      <c r="G210" s="4">
        <v>0</v>
      </c>
      <c r="H210" s="5">
        <v>0</v>
      </c>
    </row>
    <row r="211" spans="1:8" x14ac:dyDescent="0.2">
      <c r="A211" s="6">
        <v>5</v>
      </c>
      <c r="B211" s="7" t="s">
        <v>212</v>
      </c>
      <c r="C211" s="6">
        <v>1</v>
      </c>
      <c r="D211" s="8">
        <v>0</v>
      </c>
      <c r="E211" s="8">
        <v>4</v>
      </c>
      <c r="F211" s="8">
        <v>2</v>
      </c>
      <c r="G211" s="8">
        <v>6</v>
      </c>
      <c r="H211" s="9">
        <v>330</v>
      </c>
    </row>
    <row r="212" spans="1:8" x14ac:dyDescent="0.2">
      <c r="A212" s="2">
        <v>5</v>
      </c>
      <c r="B212" s="3" t="s">
        <v>213</v>
      </c>
      <c r="C212" s="2">
        <v>1</v>
      </c>
      <c r="D212" s="4">
        <v>4</v>
      </c>
      <c r="E212" s="4">
        <v>2</v>
      </c>
      <c r="F212" s="4">
        <v>0</v>
      </c>
      <c r="G212" s="4">
        <v>6</v>
      </c>
      <c r="H212" s="5">
        <v>330</v>
      </c>
    </row>
    <row r="213" spans="1:8" x14ac:dyDescent="0.2">
      <c r="A213" s="6">
        <v>5</v>
      </c>
      <c r="B213" s="7" t="s">
        <v>214</v>
      </c>
      <c r="C213" s="6">
        <v>6</v>
      </c>
      <c r="D213" s="8">
        <v>3.8</v>
      </c>
      <c r="E213" s="8">
        <v>5.2</v>
      </c>
      <c r="F213" s="8">
        <v>1.2</v>
      </c>
      <c r="G213" s="8">
        <v>10.199999999999999</v>
      </c>
      <c r="H213" s="9">
        <v>558.25</v>
      </c>
    </row>
    <row r="214" spans="1:8" x14ac:dyDescent="0.2">
      <c r="A214" s="2">
        <v>5</v>
      </c>
      <c r="B214" s="3" t="s">
        <v>215</v>
      </c>
      <c r="C214" s="2">
        <v>3</v>
      </c>
      <c r="D214" s="4">
        <v>17.3</v>
      </c>
      <c r="E214" s="4">
        <v>20</v>
      </c>
      <c r="F214" s="4">
        <v>2.7</v>
      </c>
      <c r="G214" s="4">
        <v>40</v>
      </c>
      <c r="H214" s="5">
        <v>2199.4499999999998</v>
      </c>
    </row>
    <row r="215" spans="1:8" x14ac:dyDescent="0.2">
      <c r="A215" s="6">
        <v>5</v>
      </c>
      <c r="B215" s="7" t="s">
        <v>216</v>
      </c>
      <c r="C215" s="6">
        <v>2</v>
      </c>
      <c r="D215" s="8">
        <v>5.5</v>
      </c>
      <c r="E215" s="8">
        <v>6.5</v>
      </c>
      <c r="F215" s="8">
        <v>1</v>
      </c>
      <c r="G215" s="8">
        <v>13</v>
      </c>
      <c r="H215" s="9">
        <v>715</v>
      </c>
    </row>
    <row r="216" spans="1:8" x14ac:dyDescent="0.2">
      <c r="A216" s="2">
        <v>5</v>
      </c>
      <c r="B216" s="3" t="s">
        <v>217</v>
      </c>
      <c r="C216" s="2">
        <v>2</v>
      </c>
      <c r="D216" s="4">
        <v>5</v>
      </c>
      <c r="E216" s="4">
        <v>7</v>
      </c>
      <c r="F216" s="4">
        <v>0.5</v>
      </c>
      <c r="G216" s="4">
        <v>12.5</v>
      </c>
      <c r="H216" s="5">
        <v>687.5</v>
      </c>
    </row>
    <row r="217" spans="1:8" x14ac:dyDescent="0.2">
      <c r="A217" s="6">
        <v>5</v>
      </c>
      <c r="B217" s="7" t="s">
        <v>218</v>
      </c>
      <c r="C217" s="6">
        <v>1</v>
      </c>
      <c r="D217" s="8">
        <v>4</v>
      </c>
      <c r="E217" s="8">
        <v>3</v>
      </c>
      <c r="F217" s="8">
        <v>0</v>
      </c>
      <c r="G217" s="8">
        <v>7</v>
      </c>
      <c r="H217" s="9">
        <v>385</v>
      </c>
    </row>
    <row r="218" spans="1:8" x14ac:dyDescent="0.2">
      <c r="A218" s="2">
        <v>5</v>
      </c>
      <c r="B218" s="3" t="s">
        <v>219</v>
      </c>
      <c r="C218" s="2">
        <v>1</v>
      </c>
      <c r="D218" s="4">
        <v>6</v>
      </c>
      <c r="E218" s="4">
        <v>16</v>
      </c>
      <c r="F218" s="4">
        <v>2</v>
      </c>
      <c r="G218" s="4">
        <v>24</v>
      </c>
      <c r="H218" s="5">
        <v>1320</v>
      </c>
    </row>
    <row r="219" spans="1:8" x14ac:dyDescent="0.2">
      <c r="A219" s="6">
        <v>5</v>
      </c>
      <c r="B219" s="7" t="s">
        <v>220</v>
      </c>
      <c r="C219" s="6">
        <v>11</v>
      </c>
      <c r="D219" s="8">
        <v>12.2</v>
      </c>
      <c r="E219" s="8">
        <v>22.3</v>
      </c>
      <c r="F219" s="8">
        <v>2</v>
      </c>
      <c r="G219" s="8">
        <v>36.5</v>
      </c>
      <c r="H219" s="9">
        <v>2004.75</v>
      </c>
    </row>
    <row r="220" spans="1:8" x14ac:dyDescent="0.2">
      <c r="A220" s="2">
        <v>5</v>
      </c>
      <c r="B220" s="3" t="s">
        <v>221</v>
      </c>
      <c r="C220" s="2">
        <v>40</v>
      </c>
      <c r="D220" s="4">
        <v>6</v>
      </c>
      <c r="E220" s="4">
        <v>5.6</v>
      </c>
      <c r="F220" s="4">
        <v>0.1</v>
      </c>
      <c r="G220" s="4">
        <v>11.6</v>
      </c>
      <c r="H220" s="5">
        <v>639.1</v>
      </c>
    </row>
    <row r="221" spans="1:8" x14ac:dyDescent="0.2">
      <c r="A221" s="6">
        <v>5</v>
      </c>
      <c r="B221" s="7" t="s">
        <v>222</v>
      </c>
      <c r="C221" s="6">
        <v>111</v>
      </c>
      <c r="D221" s="8">
        <v>5.9</v>
      </c>
      <c r="E221" s="8">
        <v>5.8</v>
      </c>
      <c r="F221" s="8">
        <v>0.1</v>
      </c>
      <c r="G221" s="8">
        <v>11.8</v>
      </c>
      <c r="H221" s="9">
        <v>651.20000000000005</v>
      </c>
    </row>
    <row r="222" spans="1:8" x14ac:dyDescent="0.2">
      <c r="A222" s="2">
        <v>5</v>
      </c>
      <c r="B222" s="3" t="s">
        <v>223</v>
      </c>
      <c r="C222" s="2">
        <v>9</v>
      </c>
      <c r="D222" s="4">
        <v>0</v>
      </c>
      <c r="E222" s="4">
        <v>0.2</v>
      </c>
      <c r="F222" s="4">
        <v>0</v>
      </c>
      <c r="G222" s="4">
        <v>0.2</v>
      </c>
      <c r="H222" s="5">
        <v>12.1</v>
      </c>
    </row>
    <row r="223" spans="1:8" x14ac:dyDescent="0.2">
      <c r="A223" s="6">
        <v>5</v>
      </c>
      <c r="B223" s="7" t="s">
        <v>224</v>
      </c>
      <c r="C223" s="6">
        <v>20</v>
      </c>
      <c r="D223" s="8">
        <v>0</v>
      </c>
      <c r="E223" s="8">
        <v>0</v>
      </c>
      <c r="F223" s="8">
        <v>0.1</v>
      </c>
      <c r="G223" s="8">
        <v>0.1</v>
      </c>
      <c r="H223" s="9">
        <v>5.5</v>
      </c>
    </row>
    <row r="224" spans="1:8" x14ac:dyDescent="0.2">
      <c r="A224" s="2">
        <v>5</v>
      </c>
      <c r="B224" s="3" t="s">
        <v>225</v>
      </c>
      <c r="C224" s="2">
        <v>1</v>
      </c>
      <c r="D224" s="4">
        <v>0</v>
      </c>
      <c r="E224" s="4">
        <v>0</v>
      </c>
      <c r="F224" s="4">
        <v>0</v>
      </c>
      <c r="G224" s="4">
        <v>0</v>
      </c>
      <c r="H224" s="5">
        <v>0</v>
      </c>
    </row>
    <row r="225" spans="1:8" x14ac:dyDescent="0.2">
      <c r="A225" s="6">
        <v>5</v>
      </c>
      <c r="B225" s="7" t="s">
        <v>226</v>
      </c>
      <c r="C225" s="6">
        <v>60</v>
      </c>
      <c r="D225" s="8">
        <v>5</v>
      </c>
      <c r="E225" s="8">
        <v>4.7</v>
      </c>
      <c r="F225" s="8">
        <v>0.5</v>
      </c>
      <c r="G225" s="8">
        <v>10.1</v>
      </c>
      <c r="H225" s="9">
        <v>557.70000000000005</v>
      </c>
    </row>
    <row r="226" spans="1:8" x14ac:dyDescent="0.2">
      <c r="A226" s="2">
        <v>5</v>
      </c>
      <c r="B226" s="3" t="s">
        <v>227</v>
      </c>
      <c r="C226" s="2">
        <v>83</v>
      </c>
      <c r="D226" s="4">
        <v>4.0999999999999996</v>
      </c>
      <c r="E226" s="4">
        <v>2.7</v>
      </c>
      <c r="F226" s="4">
        <v>0.8</v>
      </c>
      <c r="G226" s="4">
        <v>7.6</v>
      </c>
      <c r="H226" s="5">
        <v>419.1</v>
      </c>
    </row>
    <row r="227" spans="1:8" x14ac:dyDescent="0.2">
      <c r="A227" s="6">
        <v>5</v>
      </c>
      <c r="B227" s="7" t="s">
        <v>228</v>
      </c>
      <c r="C227" s="6">
        <v>3</v>
      </c>
      <c r="D227" s="8">
        <v>4.3</v>
      </c>
      <c r="E227" s="8">
        <v>3.7</v>
      </c>
      <c r="F227" s="8">
        <v>0.3</v>
      </c>
      <c r="G227" s="8">
        <v>8.3000000000000007</v>
      </c>
      <c r="H227" s="9">
        <v>457.6</v>
      </c>
    </row>
    <row r="228" spans="1:8" x14ac:dyDescent="0.2">
      <c r="A228" s="2">
        <v>5</v>
      </c>
      <c r="B228" s="3" t="s">
        <v>229</v>
      </c>
      <c r="C228" s="2">
        <v>1</v>
      </c>
      <c r="D228" s="4">
        <v>0</v>
      </c>
      <c r="E228" s="4">
        <v>1</v>
      </c>
      <c r="F228" s="4">
        <v>0</v>
      </c>
      <c r="G228" s="4">
        <v>1</v>
      </c>
      <c r="H228" s="5">
        <v>55</v>
      </c>
    </row>
    <row r="229" spans="1:8" x14ac:dyDescent="0.2">
      <c r="A229" s="6">
        <v>5</v>
      </c>
      <c r="B229" s="7" t="s">
        <v>230</v>
      </c>
      <c r="C229" s="6">
        <v>25</v>
      </c>
      <c r="D229" s="8">
        <v>4</v>
      </c>
      <c r="E229" s="8">
        <v>1.8</v>
      </c>
      <c r="F229" s="8">
        <v>0.4</v>
      </c>
      <c r="G229" s="8">
        <v>6.1</v>
      </c>
      <c r="H229" s="9">
        <v>336.6</v>
      </c>
    </row>
    <row r="230" spans="1:8" x14ac:dyDescent="0.2">
      <c r="A230" s="2">
        <v>5</v>
      </c>
      <c r="B230" s="3" t="s">
        <v>231</v>
      </c>
      <c r="C230" s="2">
        <v>4</v>
      </c>
      <c r="D230" s="4">
        <v>4.3</v>
      </c>
      <c r="E230" s="4">
        <v>2</v>
      </c>
      <c r="F230" s="4">
        <v>0</v>
      </c>
      <c r="G230" s="4">
        <v>6.3</v>
      </c>
      <c r="H230" s="5">
        <v>343.75</v>
      </c>
    </row>
    <row r="231" spans="1:8" x14ac:dyDescent="0.2">
      <c r="A231" s="6">
        <v>5</v>
      </c>
      <c r="B231" s="7" t="s">
        <v>232</v>
      </c>
      <c r="C231" s="6">
        <v>1</v>
      </c>
      <c r="D231" s="8">
        <v>5</v>
      </c>
      <c r="E231" s="8">
        <v>16</v>
      </c>
      <c r="F231" s="8">
        <v>0</v>
      </c>
      <c r="G231" s="8">
        <v>21</v>
      </c>
      <c r="H231" s="9">
        <v>1155</v>
      </c>
    </row>
    <row r="232" spans="1:8" x14ac:dyDescent="0.2">
      <c r="A232" s="2">
        <v>5</v>
      </c>
      <c r="B232" s="3" t="s">
        <v>233</v>
      </c>
      <c r="C232" s="2">
        <v>11</v>
      </c>
      <c r="D232" s="4">
        <v>4.5999999999999996</v>
      </c>
      <c r="E232" s="4">
        <v>5.5</v>
      </c>
      <c r="F232" s="4">
        <v>1.5</v>
      </c>
      <c r="G232" s="4">
        <v>11.5</v>
      </c>
      <c r="H232" s="5">
        <v>634.15</v>
      </c>
    </row>
    <row r="233" spans="1:8" x14ac:dyDescent="0.2">
      <c r="A233" s="6">
        <v>5</v>
      </c>
      <c r="B233" s="7" t="s">
        <v>234</v>
      </c>
      <c r="C233" s="6">
        <v>6</v>
      </c>
      <c r="D233" s="8">
        <v>3.8</v>
      </c>
      <c r="E233" s="8">
        <v>2.8</v>
      </c>
      <c r="F233" s="8">
        <v>0.8</v>
      </c>
      <c r="G233" s="8">
        <v>7.6</v>
      </c>
      <c r="H233" s="9">
        <v>411.95</v>
      </c>
    </row>
    <row r="234" spans="1:8" x14ac:dyDescent="0.2">
      <c r="A234" s="2">
        <v>5</v>
      </c>
      <c r="B234" s="3" t="s">
        <v>235</v>
      </c>
      <c r="C234" s="2">
        <v>1</v>
      </c>
      <c r="D234" s="4">
        <v>4</v>
      </c>
      <c r="E234" s="4">
        <v>6</v>
      </c>
      <c r="F234" s="4">
        <v>0</v>
      </c>
      <c r="G234" s="4">
        <v>10</v>
      </c>
      <c r="H234" s="5">
        <v>550</v>
      </c>
    </row>
    <row r="235" spans="1:8" x14ac:dyDescent="0.2">
      <c r="A235" s="6">
        <v>5</v>
      </c>
      <c r="B235" s="7" t="s">
        <v>236</v>
      </c>
      <c r="C235" s="6">
        <v>1</v>
      </c>
      <c r="D235" s="8">
        <v>5</v>
      </c>
      <c r="E235" s="8">
        <v>3</v>
      </c>
      <c r="F235" s="8">
        <v>1</v>
      </c>
      <c r="G235" s="8">
        <v>9</v>
      </c>
      <c r="H235" s="9">
        <v>495</v>
      </c>
    </row>
    <row r="236" spans="1:8" x14ac:dyDescent="0.2">
      <c r="A236" s="2">
        <v>5</v>
      </c>
      <c r="B236" s="3" t="s">
        <v>237</v>
      </c>
      <c r="C236" s="2">
        <v>4</v>
      </c>
      <c r="D236" s="4">
        <v>4</v>
      </c>
      <c r="E236" s="4">
        <v>4.3</v>
      </c>
      <c r="F236" s="4">
        <v>0.3</v>
      </c>
      <c r="G236" s="4">
        <v>8.5</v>
      </c>
      <c r="H236" s="5">
        <v>467.5</v>
      </c>
    </row>
    <row r="237" spans="1:8" x14ac:dyDescent="0.2">
      <c r="A237" s="6">
        <v>5</v>
      </c>
      <c r="B237" s="7" t="s">
        <v>238</v>
      </c>
      <c r="C237" s="6">
        <v>8</v>
      </c>
      <c r="D237" s="8">
        <v>5.0999999999999996</v>
      </c>
      <c r="E237" s="8">
        <v>4.5999999999999996</v>
      </c>
      <c r="F237" s="8">
        <v>0.9</v>
      </c>
      <c r="G237" s="8">
        <v>10.6</v>
      </c>
      <c r="H237" s="9">
        <v>583.54999999999995</v>
      </c>
    </row>
    <row r="238" spans="1:8" x14ac:dyDescent="0.2">
      <c r="A238" s="2">
        <v>5</v>
      </c>
      <c r="B238" s="3" t="s">
        <v>239</v>
      </c>
      <c r="C238" s="2">
        <v>453</v>
      </c>
      <c r="D238" s="4">
        <v>5</v>
      </c>
      <c r="E238" s="4">
        <v>4.3</v>
      </c>
      <c r="F238" s="4">
        <v>0.4</v>
      </c>
      <c r="G238" s="4">
        <v>9.6999999999999993</v>
      </c>
      <c r="H238" s="5">
        <v>532.4</v>
      </c>
    </row>
    <row r="239" spans="1:8" x14ac:dyDescent="0.2">
      <c r="A239" s="6">
        <v>5</v>
      </c>
      <c r="B239" s="7" t="s">
        <v>240</v>
      </c>
      <c r="C239" s="6">
        <v>6</v>
      </c>
      <c r="D239" s="8">
        <v>3.3</v>
      </c>
      <c r="E239" s="8">
        <v>4.5</v>
      </c>
      <c r="F239" s="8">
        <v>0.3</v>
      </c>
      <c r="G239" s="8">
        <v>8.1999999999999993</v>
      </c>
      <c r="H239" s="9">
        <v>448.8</v>
      </c>
    </row>
    <row r="240" spans="1:8" x14ac:dyDescent="0.2">
      <c r="A240" s="2">
        <v>5</v>
      </c>
      <c r="B240" s="3" t="s">
        <v>241</v>
      </c>
      <c r="C240" s="2">
        <v>1</v>
      </c>
      <c r="D240" s="4">
        <v>5</v>
      </c>
      <c r="E240" s="4">
        <v>4</v>
      </c>
      <c r="F240" s="4">
        <v>0</v>
      </c>
      <c r="G240" s="4">
        <v>9</v>
      </c>
      <c r="H240" s="5">
        <v>495</v>
      </c>
    </row>
    <row r="241" spans="1:8" x14ac:dyDescent="0.2">
      <c r="A241" s="6">
        <v>5</v>
      </c>
      <c r="B241" s="7" t="s">
        <v>242</v>
      </c>
      <c r="C241" s="6">
        <v>279</v>
      </c>
      <c r="D241" s="8">
        <v>0.7</v>
      </c>
      <c r="E241" s="8">
        <v>0.6</v>
      </c>
      <c r="F241" s="8">
        <v>0</v>
      </c>
      <c r="G241" s="8">
        <v>1.3</v>
      </c>
      <c r="H241" s="9">
        <v>72.599999999999994</v>
      </c>
    </row>
    <row r="242" spans="1:8" x14ac:dyDescent="0.2">
      <c r="A242" s="2">
        <v>5</v>
      </c>
      <c r="B242" s="3" t="s">
        <v>243</v>
      </c>
      <c r="C242" s="2">
        <v>1</v>
      </c>
      <c r="D242" s="4">
        <v>0</v>
      </c>
      <c r="E242" s="4">
        <v>1</v>
      </c>
      <c r="F242" s="4">
        <v>0</v>
      </c>
      <c r="G242" s="4">
        <v>1</v>
      </c>
      <c r="H242" s="5">
        <v>55</v>
      </c>
    </row>
    <row r="243" spans="1:8" x14ac:dyDescent="0.2">
      <c r="A243" s="6">
        <v>5</v>
      </c>
      <c r="B243" s="7" t="s">
        <v>244</v>
      </c>
      <c r="C243" s="6">
        <v>48</v>
      </c>
      <c r="D243" s="8">
        <v>5</v>
      </c>
      <c r="E243" s="8">
        <v>3.4</v>
      </c>
      <c r="F243" s="8">
        <v>0.6</v>
      </c>
      <c r="G243" s="8">
        <v>9</v>
      </c>
      <c r="H243" s="9">
        <v>495.55</v>
      </c>
    </row>
    <row r="244" spans="1:8" x14ac:dyDescent="0.2">
      <c r="A244" s="2">
        <v>5</v>
      </c>
      <c r="B244" s="3" t="s">
        <v>245</v>
      </c>
      <c r="C244" s="2">
        <v>1</v>
      </c>
      <c r="D244" s="4">
        <v>5</v>
      </c>
      <c r="E244" s="4">
        <v>6</v>
      </c>
      <c r="F244" s="4">
        <v>2</v>
      </c>
      <c r="G244" s="4">
        <v>13</v>
      </c>
      <c r="H244" s="5">
        <v>715</v>
      </c>
    </row>
    <row r="245" spans="1:8" x14ac:dyDescent="0.2">
      <c r="A245" s="6">
        <v>5</v>
      </c>
      <c r="B245" s="7" t="s">
        <v>246</v>
      </c>
      <c r="C245" s="6">
        <v>1</v>
      </c>
      <c r="D245" s="8">
        <v>5</v>
      </c>
      <c r="E245" s="8">
        <v>5</v>
      </c>
      <c r="F245" s="8">
        <v>2</v>
      </c>
      <c r="G245" s="8">
        <v>12</v>
      </c>
      <c r="H245" s="9">
        <v>660</v>
      </c>
    </row>
    <row r="246" spans="1:8" x14ac:dyDescent="0.2">
      <c r="A246" s="2">
        <v>5</v>
      </c>
      <c r="B246" s="3" t="s">
        <v>247</v>
      </c>
      <c r="C246" s="2">
        <v>96</v>
      </c>
      <c r="D246" s="4">
        <v>0.8</v>
      </c>
      <c r="E246" s="4">
        <v>0.4</v>
      </c>
      <c r="F246" s="4">
        <v>0.3</v>
      </c>
      <c r="G246" s="4">
        <v>1.5</v>
      </c>
      <c r="H246" s="5">
        <v>81.95</v>
      </c>
    </row>
    <row r="247" spans="1:8" x14ac:dyDescent="0.2">
      <c r="A247" s="6">
        <v>5</v>
      </c>
      <c r="B247" s="7" t="s">
        <v>248</v>
      </c>
      <c r="C247" s="6">
        <v>14</v>
      </c>
      <c r="D247" s="8">
        <v>5</v>
      </c>
      <c r="E247" s="8">
        <v>5.0999999999999996</v>
      </c>
      <c r="F247" s="8">
        <v>0.6</v>
      </c>
      <c r="G247" s="8">
        <v>10.7</v>
      </c>
      <c r="H247" s="9">
        <v>589.6</v>
      </c>
    </row>
    <row r="248" spans="1:8" x14ac:dyDescent="0.2">
      <c r="A248" s="2">
        <v>5</v>
      </c>
      <c r="B248" s="3" t="s">
        <v>249</v>
      </c>
      <c r="C248" s="2">
        <v>1</v>
      </c>
      <c r="D248" s="4">
        <v>6</v>
      </c>
      <c r="E248" s="4">
        <v>16</v>
      </c>
      <c r="F248" s="4">
        <v>0</v>
      </c>
      <c r="G248" s="4">
        <v>22</v>
      </c>
      <c r="H248" s="5">
        <v>1210</v>
      </c>
    </row>
    <row r="249" spans="1:8" x14ac:dyDescent="0.2">
      <c r="A249" s="6">
        <v>5</v>
      </c>
      <c r="B249" s="7" t="s">
        <v>250</v>
      </c>
      <c r="C249" s="6">
        <v>2</v>
      </c>
      <c r="D249" s="8">
        <v>5</v>
      </c>
      <c r="E249" s="8">
        <v>3</v>
      </c>
      <c r="F249" s="8">
        <v>1</v>
      </c>
      <c r="G249" s="8">
        <v>9</v>
      </c>
      <c r="H249" s="9">
        <v>495</v>
      </c>
    </row>
    <row r="250" spans="1:8" x14ac:dyDescent="0.2">
      <c r="A250" s="2">
        <v>5</v>
      </c>
      <c r="B250" s="3" t="s">
        <v>251</v>
      </c>
      <c r="C250" s="2">
        <v>1</v>
      </c>
      <c r="D250" s="4">
        <v>5</v>
      </c>
      <c r="E250" s="4">
        <v>4</v>
      </c>
      <c r="F250" s="4">
        <v>0</v>
      </c>
      <c r="G250" s="4">
        <v>9</v>
      </c>
      <c r="H250" s="5">
        <v>495</v>
      </c>
    </row>
    <row r="251" spans="1:8" x14ac:dyDescent="0.2">
      <c r="A251" s="6">
        <v>5</v>
      </c>
      <c r="B251" s="7" t="s">
        <v>252</v>
      </c>
      <c r="C251" s="6">
        <v>9</v>
      </c>
      <c r="D251" s="8">
        <v>4.3</v>
      </c>
      <c r="E251" s="8">
        <v>3.3</v>
      </c>
      <c r="F251" s="8">
        <v>0.1</v>
      </c>
      <c r="G251" s="8">
        <v>7.8</v>
      </c>
      <c r="H251" s="9">
        <v>427.35</v>
      </c>
    </row>
    <row r="252" spans="1:8" x14ac:dyDescent="0.2">
      <c r="A252" s="2">
        <v>5</v>
      </c>
      <c r="B252" s="3" t="s">
        <v>253</v>
      </c>
      <c r="C252" s="2">
        <v>3</v>
      </c>
      <c r="D252" s="4">
        <v>4</v>
      </c>
      <c r="E252" s="4">
        <v>2</v>
      </c>
      <c r="F252" s="4">
        <v>0.3</v>
      </c>
      <c r="G252" s="4">
        <v>6.3</v>
      </c>
      <c r="H252" s="5">
        <v>348.15</v>
      </c>
    </row>
    <row r="253" spans="1:8" x14ac:dyDescent="0.2">
      <c r="A253" s="6">
        <v>5</v>
      </c>
      <c r="B253" s="7" t="s">
        <v>254</v>
      </c>
      <c r="C253" s="6">
        <v>112</v>
      </c>
      <c r="D253" s="8">
        <v>4.8</v>
      </c>
      <c r="E253" s="8">
        <v>3.7</v>
      </c>
      <c r="F253" s="8">
        <v>0.4</v>
      </c>
      <c r="G253" s="8">
        <v>8.9</v>
      </c>
      <c r="H253" s="9">
        <v>487.3</v>
      </c>
    </row>
    <row r="254" spans="1:8" x14ac:dyDescent="0.2">
      <c r="A254" s="2">
        <v>5</v>
      </c>
      <c r="B254" s="3" t="s">
        <v>255</v>
      </c>
      <c r="C254" s="2">
        <v>1</v>
      </c>
      <c r="D254" s="4">
        <v>5</v>
      </c>
      <c r="E254" s="4">
        <v>2</v>
      </c>
      <c r="F254" s="4">
        <v>0</v>
      </c>
      <c r="G254" s="4">
        <v>7</v>
      </c>
      <c r="H254" s="5">
        <v>385</v>
      </c>
    </row>
    <row r="255" spans="1:8" x14ac:dyDescent="0.2">
      <c r="A255" s="6">
        <v>5</v>
      </c>
      <c r="B255" s="7" t="s">
        <v>256</v>
      </c>
      <c r="C255" s="6">
        <v>1</v>
      </c>
      <c r="D255" s="8">
        <v>0</v>
      </c>
      <c r="E255" s="8">
        <v>1</v>
      </c>
      <c r="F255" s="8">
        <v>0</v>
      </c>
      <c r="G255" s="8">
        <v>1</v>
      </c>
      <c r="H255" s="9">
        <v>55</v>
      </c>
    </row>
    <row r="256" spans="1:8" x14ac:dyDescent="0.2">
      <c r="A256" s="2">
        <v>5</v>
      </c>
      <c r="B256" s="3" t="s">
        <v>257</v>
      </c>
      <c r="C256" s="2">
        <v>295</v>
      </c>
      <c r="D256" s="4">
        <v>7.5</v>
      </c>
      <c r="E256" s="4">
        <v>3.9</v>
      </c>
      <c r="F256" s="4">
        <v>0.5</v>
      </c>
      <c r="G256" s="4">
        <v>11.9</v>
      </c>
      <c r="H256" s="5">
        <v>652.29999999999995</v>
      </c>
    </row>
    <row r="257" spans="1:8" x14ac:dyDescent="0.2">
      <c r="A257" s="6">
        <v>5</v>
      </c>
      <c r="B257" s="7" t="s">
        <v>258</v>
      </c>
      <c r="C257" s="6">
        <v>85</v>
      </c>
      <c r="D257" s="8">
        <v>8</v>
      </c>
      <c r="E257" s="8">
        <v>6.9</v>
      </c>
      <c r="F257" s="8">
        <v>1.1000000000000001</v>
      </c>
      <c r="G257" s="8">
        <v>15.9</v>
      </c>
      <c r="H257" s="9">
        <v>875.6</v>
      </c>
    </row>
    <row r="258" spans="1:8" x14ac:dyDescent="0.2">
      <c r="A258" s="2">
        <v>6</v>
      </c>
      <c r="B258" s="3" t="s">
        <v>259</v>
      </c>
      <c r="C258" s="2">
        <v>4</v>
      </c>
      <c r="D258" s="4">
        <v>4</v>
      </c>
      <c r="E258" s="4">
        <v>2</v>
      </c>
      <c r="F258" s="4">
        <v>0</v>
      </c>
      <c r="G258" s="4">
        <v>6</v>
      </c>
      <c r="H258" s="5">
        <v>330</v>
      </c>
    </row>
    <row r="259" spans="1:8" x14ac:dyDescent="0.2">
      <c r="A259" s="6">
        <v>6</v>
      </c>
      <c r="B259" s="7" t="s">
        <v>260</v>
      </c>
      <c r="C259" s="6">
        <v>7</v>
      </c>
      <c r="D259" s="8">
        <v>4.5999999999999996</v>
      </c>
      <c r="E259" s="8">
        <v>1.6</v>
      </c>
      <c r="F259" s="8">
        <v>0</v>
      </c>
      <c r="G259" s="8">
        <v>6.1</v>
      </c>
      <c r="H259" s="9">
        <v>337.7</v>
      </c>
    </row>
    <row r="260" spans="1:8" x14ac:dyDescent="0.2">
      <c r="A260" s="2">
        <v>6</v>
      </c>
      <c r="B260" s="3" t="s">
        <v>261</v>
      </c>
      <c r="C260" s="2">
        <v>1</v>
      </c>
      <c r="D260" s="4">
        <v>4</v>
      </c>
      <c r="E260" s="4">
        <v>2</v>
      </c>
      <c r="F260" s="4">
        <v>0</v>
      </c>
      <c r="G260" s="4">
        <v>6</v>
      </c>
      <c r="H260" s="5">
        <v>330</v>
      </c>
    </row>
    <row r="261" spans="1:8" x14ac:dyDescent="0.2">
      <c r="A261" s="6">
        <v>6</v>
      </c>
      <c r="B261" s="7" t="s">
        <v>262</v>
      </c>
      <c r="C261" s="6">
        <v>3</v>
      </c>
      <c r="D261" s="8">
        <v>4.7</v>
      </c>
      <c r="E261" s="8">
        <v>2.7</v>
      </c>
      <c r="F261" s="8">
        <v>0.3</v>
      </c>
      <c r="G261" s="8">
        <v>7.7</v>
      </c>
      <c r="H261" s="9">
        <v>420.75</v>
      </c>
    </row>
    <row r="262" spans="1:8" x14ac:dyDescent="0.2">
      <c r="A262" s="2">
        <v>6</v>
      </c>
      <c r="B262" s="3" t="s">
        <v>263</v>
      </c>
      <c r="C262" s="2">
        <v>42</v>
      </c>
      <c r="D262" s="4">
        <v>4.2</v>
      </c>
      <c r="E262" s="4">
        <v>6.1</v>
      </c>
      <c r="F262" s="4">
        <v>0.6</v>
      </c>
      <c r="G262" s="4">
        <v>10.8</v>
      </c>
      <c r="H262" s="5">
        <v>595.65</v>
      </c>
    </row>
    <row r="263" spans="1:8" x14ac:dyDescent="0.2">
      <c r="A263" s="6">
        <v>6</v>
      </c>
      <c r="B263" s="7" t="s">
        <v>264</v>
      </c>
      <c r="C263" s="6">
        <v>0</v>
      </c>
      <c r="D263" s="8">
        <v>0</v>
      </c>
      <c r="E263" s="8">
        <v>0</v>
      </c>
      <c r="F263" s="8">
        <v>0</v>
      </c>
      <c r="G263" s="8">
        <v>0</v>
      </c>
      <c r="H263" s="9">
        <v>0</v>
      </c>
    </row>
    <row r="264" spans="1:8" x14ac:dyDescent="0.2">
      <c r="A264" s="2">
        <v>6</v>
      </c>
      <c r="B264" s="3" t="s">
        <v>265</v>
      </c>
      <c r="C264" s="2">
        <v>46</v>
      </c>
      <c r="D264" s="4">
        <v>4.2</v>
      </c>
      <c r="E264" s="4">
        <v>6.1</v>
      </c>
      <c r="F264" s="4">
        <v>0.6</v>
      </c>
      <c r="G264" s="4">
        <v>10.9</v>
      </c>
      <c r="H264" s="5">
        <v>600.6</v>
      </c>
    </row>
    <row r="265" spans="1:8" x14ac:dyDescent="0.2">
      <c r="A265" s="6">
        <v>6</v>
      </c>
      <c r="B265" s="7" t="s">
        <v>266</v>
      </c>
      <c r="C265" s="6">
        <v>67</v>
      </c>
      <c r="D265" s="8">
        <v>4.3</v>
      </c>
      <c r="E265" s="8">
        <v>7.1</v>
      </c>
      <c r="F265" s="8">
        <v>1.1000000000000001</v>
      </c>
      <c r="G265" s="8">
        <v>12.5</v>
      </c>
      <c r="H265" s="9">
        <v>685.85</v>
      </c>
    </row>
    <row r="266" spans="1:8" x14ac:dyDescent="0.2">
      <c r="A266" s="2">
        <v>6</v>
      </c>
      <c r="B266" s="3" t="s">
        <v>267</v>
      </c>
      <c r="C266" s="2">
        <v>2</v>
      </c>
      <c r="D266" s="4">
        <v>6</v>
      </c>
      <c r="E266" s="4">
        <v>5.5</v>
      </c>
      <c r="F266" s="4">
        <v>1</v>
      </c>
      <c r="G266" s="4">
        <v>12.5</v>
      </c>
      <c r="H266" s="5">
        <v>687.5</v>
      </c>
    </row>
    <row r="267" spans="1:8" x14ac:dyDescent="0.2">
      <c r="A267" s="6">
        <v>6</v>
      </c>
      <c r="B267" s="7" t="s">
        <v>268</v>
      </c>
      <c r="C267" s="6">
        <v>0</v>
      </c>
      <c r="D267" s="8">
        <v>0</v>
      </c>
      <c r="E267" s="8">
        <v>0</v>
      </c>
      <c r="F267" s="8">
        <v>0</v>
      </c>
      <c r="G267" s="8">
        <v>0</v>
      </c>
      <c r="H267" s="9">
        <v>0</v>
      </c>
    </row>
    <row r="268" spans="1:8" x14ac:dyDescent="0.2">
      <c r="A268" s="2">
        <v>6</v>
      </c>
      <c r="B268" s="3" t="s">
        <v>269</v>
      </c>
      <c r="C268" s="2">
        <v>0</v>
      </c>
      <c r="D268" s="4">
        <v>0</v>
      </c>
      <c r="E268" s="4">
        <v>0</v>
      </c>
      <c r="F268" s="4">
        <v>0</v>
      </c>
      <c r="G268" s="4">
        <v>0</v>
      </c>
      <c r="H268" s="5">
        <v>0</v>
      </c>
    </row>
    <row r="269" spans="1:8" x14ac:dyDescent="0.2">
      <c r="A269" s="6">
        <v>6</v>
      </c>
      <c r="B269" s="7" t="s">
        <v>270</v>
      </c>
      <c r="C269" s="6">
        <v>2</v>
      </c>
      <c r="D269" s="8">
        <v>6</v>
      </c>
      <c r="E269" s="8">
        <v>13</v>
      </c>
      <c r="F269" s="8">
        <v>7</v>
      </c>
      <c r="G269" s="8">
        <v>26</v>
      </c>
      <c r="H269" s="9">
        <v>1430</v>
      </c>
    </row>
    <row r="270" spans="1:8" x14ac:dyDescent="0.2">
      <c r="A270" s="2">
        <v>6</v>
      </c>
      <c r="B270" s="3" t="s">
        <v>271</v>
      </c>
      <c r="C270" s="2">
        <v>2</v>
      </c>
      <c r="D270" s="4">
        <v>14</v>
      </c>
      <c r="E270" s="4">
        <v>20</v>
      </c>
      <c r="F270" s="4">
        <v>1</v>
      </c>
      <c r="G270" s="4">
        <v>35</v>
      </c>
      <c r="H270" s="5">
        <v>1925</v>
      </c>
    </row>
    <row r="271" spans="1:8" x14ac:dyDescent="0.2">
      <c r="A271" s="6">
        <v>6</v>
      </c>
      <c r="B271" s="7" t="s">
        <v>272</v>
      </c>
      <c r="C271" s="6">
        <v>19</v>
      </c>
      <c r="D271" s="8">
        <v>4.5999999999999996</v>
      </c>
      <c r="E271" s="8">
        <v>3.3</v>
      </c>
      <c r="F271" s="8">
        <v>0.4</v>
      </c>
      <c r="G271" s="8">
        <v>8.3000000000000007</v>
      </c>
      <c r="H271" s="9">
        <v>453.75</v>
      </c>
    </row>
    <row r="272" spans="1:8" x14ac:dyDescent="0.2">
      <c r="A272" s="2">
        <v>6</v>
      </c>
      <c r="B272" s="3" t="s">
        <v>273</v>
      </c>
      <c r="C272" s="2">
        <v>7</v>
      </c>
      <c r="D272" s="4">
        <v>4.5999999999999996</v>
      </c>
      <c r="E272" s="4">
        <v>3.6</v>
      </c>
      <c r="F272" s="4">
        <v>0.7</v>
      </c>
      <c r="G272" s="4">
        <v>8.9</v>
      </c>
      <c r="H272" s="5">
        <v>486.75</v>
      </c>
    </row>
    <row r="273" spans="1:8" x14ac:dyDescent="0.2">
      <c r="A273" s="6">
        <v>6</v>
      </c>
      <c r="B273" s="7" t="s">
        <v>274</v>
      </c>
      <c r="C273" s="6">
        <v>2</v>
      </c>
      <c r="D273" s="8">
        <v>5</v>
      </c>
      <c r="E273" s="8">
        <v>5.5</v>
      </c>
      <c r="F273" s="8">
        <v>0</v>
      </c>
      <c r="G273" s="8">
        <v>10.5</v>
      </c>
      <c r="H273" s="9">
        <v>577.5</v>
      </c>
    </row>
    <row r="274" spans="1:8" x14ac:dyDescent="0.2">
      <c r="A274" s="2">
        <v>6</v>
      </c>
      <c r="B274" s="3" t="s">
        <v>275</v>
      </c>
      <c r="C274" s="2">
        <v>12</v>
      </c>
      <c r="D274" s="4">
        <v>5.7</v>
      </c>
      <c r="E274" s="4">
        <v>5.9</v>
      </c>
      <c r="F274" s="4">
        <v>0.2</v>
      </c>
      <c r="G274" s="4">
        <v>11.7</v>
      </c>
      <c r="H274" s="5">
        <v>645.15</v>
      </c>
    </row>
    <row r="275" spans="1:8" x14ac:dyDescent="0.2">
      <c r="A275" s="6">
        <v>6</v>
      </c>
      <c r="B275" s="7" t="s">
        <v>276</v>
      </c>
      <c r="C275" s="6">
        <v>293</v>
      </c>
      <c r="D275" s="8">
        <v>6.3</v>
      </c>
      <c r="E275" s="8">
        <v>6.1</v>
      </c>
      <c r="F275" s="8">
        <v>0.5</v>
      </c>
      <c r="G275" s="8">
        <v>12.8</v>
      </c>
      <c r="H275" s="9">
        <v>702.9</v>
      </c>
    </row>
    <row r="276" spans="1:8" x14ac:dyDescent="0.2">
      <c r="A276" s="2">
        <v>6</v>
      </c>
      <c r="B276" s="3" t="s">
        <v>277</v>
      </c>
      <c r="C276" s="2">
        <v>1</v>
      </c>
      <c r="D276" s="4">
        <v>6</v>
      </c>
      <c r="E276" s="4">
        <v>8</v>
      </c>
      <c r="F276" s="4">
        <v>0</v>
      </c>
      <c r="G276" s="4">
        <v>14</v>
      </c>
      <c r="H276" s="5">
        <v>770</v>
      </c>
    </row>
    <row r="277" spans="1:8" x14ac:dyDescent="0.2">
      <c r="A277" s="6">
        <v>6</v>
      </c>
      <c r="B277" s="7" t="s">
        <v>278</v>
      </c>
      <c r="C277" s="6">
        <v>1</v>
      </c>
      <c r="D277" s="8">
        <v>5</v>
      </c>
      <c r="E277" s="8">
        <v>4</v>
      </c>
      <c r="F277" s="8">
        <v>1</v>
      </c>
      <c r="G277" s="8">
        <v>10</v>
      </c>
      <c r="H277" s="9">
        <v>550</v>
      </c>
    </row>
    <row r="278" spans="1:8" x14ac:dyDescent="0.2">
      <c r="A278" s="2">
        <v>6</v>
      </c>
      <c r="B278" s="3" t="s">
        <v>279</v>
      </c>
      <c r="C278" s="2">
        <v>1</v>
      </c>
      <c r="D278" s="4">
        <v>0</v>
      </c>
      <c r="E278" s="4">
        <v>2</v>
      </c>
      <c r="F278" s="4">
        <v>0</v>
      </c>
      <c r="G278" s="4">
        <v>2</v>
      </c>
      <c r="H278" s="5">
        <v>110</v>
      </c>
    </row>
    <row r="279" spans="1:8" x14ac:dyDescent="0.2">
      <c r="A279" s="6">
        <v>6</v>
      </c>
      <c r="B279" s="7" t="s">
        <v>280</v>
      </c>
      <c r="C279" s="6">
        <v>17</v>
      </c>
      <c r="D279" s="8">
        <v>4</v>
      </c>
      <c r="E279" s="8">
        <v>2.2000000000000002</v>
      </c>
      <c r="F279" s="8">
        <v>0.2</v>
      </c>
      <c r="G279" s="8">
        <v>6.5</v>
      </c>
      <c r="H279" s="9">
        <v>355.3</v>
      </c>
    </row>
    <row r="280" spans="1:8" x14ac:dyDescent="0.2">
      <c r="A280" s="2">
        <v>6</v>
      </c>
      <c r="B280" s="3" t="s">
        <v>281</v>
      </c>
      <c r="C280" s="2">
        <v>8</v>
      </c>
      <c r="D280" s="4">
        <v>4.5</v>
      </c>
      <c r="E280" s="4">
        <v>3</v>
      </c>
      <c r="F280" s="4">
        <v>0.1</v>
      </c>
      <c r="G280" s="4">
        <v>7.6</v>
      </c>
      <c r="H280" s="5">
        <v>419.1</v>
      </c>
    </row>
    <row r="281" spans="1:8" x14ac:dyDescent="0.2">
      <c r="A281" s="6">
        <v>6</v>
      </c>
      <c r="B281" s="7" t="s">
        <v>282</v>
      </c>
      <c r="C281" s="6">
        <v>21</v>
      </c>
      <c r="D281" s="8">
        <v>4.2</v>
      </c>
      <c r="E281" s="8">
        <v>3</v>
      </c>
      <c r="F281" s="8">
        <v>0.3</v>
      </c>
      <c r="G281" s="8">
        <v>7.6</v>
      </c>
      <c r="H281" s="9">
        <v>415.8</v>
      </c>
    </row>
    <row r="282" spans="1:8" x14ac:dyDescent="0.2">
      <c r="A282" s="2">
        <v>6</v>
      </c>
      <c r="B282" s="3" t="s">
        <v>283</v>
      </c>
      <c r="C282" s="2">
        <v>1</v>
      </c>
      <c r="D282" s="4">
        <v>0</v>
      </c>
      <c r="E282" s="4">
        <v>0</v>
      </c>
      <c r="F282" s="4">
        <v>1</v>
      </c>
      <c r="G282" s="4">
        <v>1</v>
      </c>
      <c r="H282" s="5">
        <v>55</v>
      </c>
    </row>
    <row r="283" spans="1:8" x14ac:dyDescent="0.2">
      <c r="A283" s="6">
        <v>6</v>
      </c>
      <c r="B283" s="7" t="s">
        <v>284</v>
      </c>
      <c r="C283" s="6">
        <v>77</v>
      </c>
      <c r="D283" s="8">
        <v>5</v>
      </c>
      <c r="E283" s="8">
        <v>3.8</v>
      </c>
      <c r="F283" s="8">
        <v>1.1000000000000001</v>
      </c>
      <c r="G283" s="8">
        <v>9.9</v>
      </c>
      <c r="H283" s="9">
        <v>545.6</v>
      </c>
    </row>
    <row r="284" spans="1:8" x14ac:dyDescent="0.2">
      <c r="A284" s="2">
        <v>6</v>
      </c>
      <c r="B284" s="3" t="s">
        <v>285</v>
      </c>
      <c r="C284" s="2">
        <v>148</v>
      </c>
      <c r="D284" s="4">
        <v>4</v>
      </c>
      <c r="E284" s="4">
        <v>2.1</v>
      </c>
      <c r="F284" s="4">
        <v>0.1</v>
      </c>
      <c r="G284" s="4">
        <v>6.2</v>
      </c>
      <c r="H284" s="5">
        <v>340.45</v>
      </c>
    </row>
    <row r="285" spans="1:8" x14ac:dyDescent="0.2">
      <c r="A285" s="6">
        <v>6</v>
      </c>
      <c r="B285" s="7" t="s">
        <v>286</v>
      </c>
      <c r="C285" s="6">
        <v>1</v>
      </c>
      <c r="D285" s="8">
        <v>4</v>
      </c>
      <c r="E285" s="8">
        <v>3</v>
      </c>
      <c r="F285" s="8">
        <v>0</v>
      </c>
      <c r="G285" s="8">
        <v>7</v>
      </c>
      <c r="H285" s="9">
        <v>385</v>
      </c>
    </row>
    <row r="286" spans="1:8" x14ac:dyDescent="0.2">
      <c r="A286" s="2">
        <v>6</v>
      </c>
      <c r="B286" s="3" t="s">
        <v>287</v>
      </c>
      <c r="C286" s="2">
        <v>98</v>
      </c>
      <c r="D286" s="4">
        <v>5.4</v>
      </c>
      <c r="E286" s="4">
        <v>4.8</v>
      </c>
      <c r="F286" s="4">
        <v>0.9</v>
      </c>
      <c r="G286" s="4">
        <v>11.2</v>
      </c>
      <c r="H286" s="5">
        <v>613.25</v>
      </c>
    </row>
    <row r="287" spans="1:8" x14ac:dyDescent="0.2">
      <c r="A287" s="6">
        <v>6</v>
      </c>
      <c r="B287" s="7" t="s">
        <v>288</v>
      </c>
      <c r="C287" s="6">
        <v>22</v>
      </c>
      <c r="D287" s="8">
        <v>5.9</v>
      </c>
      <c r="E287" s="8">
        <v>5.0999999999999996</v>
      </c>
      <c r="F287" s="8">
        <v>0.6</v>
      </c>
      <c r="G287" s="8">
        <v>11.6</v>
      </c>
      <c r="H287" s="9">
        <v>636.9</v>
      </c>
    </row>
    <row r="288" spans="1:8" x14ac:dyDescent="0.2">
      <c r="A288" s="2">
        <v>6</v>
      </c>
      <c r="B288" s="3" t="s">
        <v>289</v>
      </c>
      <c r="C288" s="2">
        <v>17</v>
      </c>
      <c r="D288" s="4">
        <v>5.8</v>
      </c>
      <c r="E288" s="4">
        <v>4.9000000000000004</v>
      </c>
      <c r="F288" s="4">
        <v>0.6</v>
      </c>
      <c r="G288" s="4">
        <v>11.4</v>
      </c>
      <c r="H288" s="5">
        <v>627</v>
      </c>
    </row>
    <row r="289" spans="1:8" x14ac:dyDescent="0.2">
      <c r="A289" s="6">
        <v>6</v>
      </c>
      <c r="B289" s="7" t="s">
        <v>290</v>
      </c>
      <c r="C289" s="6">
        <v>1</v>
      </c>
      <c r="D289" s="8">
        <v>6</v>
      </c>
      <c r="E289" s="8">
        <v>5</v>
      </c>
      <c r="F289" s="8">
        <v>0</v>
      </c>
      <c r="G289" s="8">
        <v>11</v>
      </c>
      <c r="H289" s="9">
        <v>605</v>
      </c>
    </row>
    <row r="290" spans="1:8" x14ac:dyDescent="0.2">
      <c r="A290" s="2">
        <v>6</v>
      </c>
      <c r="B290" s="3" t="s">
        <v>291</v>
      </c>
      <c r="C290" s="2">
        <v>59</v>
      </c>
      <c r="D290" s="4">
        <v>3</v>
      </c>
      <c r="E290" s="4">
        <v>2.1</v>
      </c>
      <c r="F290" s="4">
        <v>0.5</v>
      </c>
      <c r="G290" s="4">
        <v>5.7</v>
      </c>
      <c r="H290" s="5">
        <v>310.75</v>
      </c>
    </row>
    <row r="291" spans="1:8" x14ac:dyDescent="0.2">
      <c r="A291" s="6">
        <v>6</v>
      </c>
      <c r="B291" s="7" t="s">
        <v>292</v>
      </c>
      <c r="C291" s="6">
        <v>4</v>
      </c>
      <c r="D291" s="8">
        <v>3.8</v>
      </c>
      <c r="E291" s="8">
        <v>3</v>
      </c>
      <c r="F291" s="8">
        <v>0</v>
      </c>
      <c r="G291" s="8">
        <v>6.8</v>
      </c>
      <c r="H291" s="9">
        <v>371.25</v>
      </c>
    </row>
    <row r="292" spans="1:8" x14ac:dyDescent="0.2">
      <c r="A292" s="2">
        <v>6</v>
      </c>
      <c r="B292" s="3" t="s">
        <v>293</v>
      </c>
      <c r="C292" s="2">
        <v>3</v>
      </c>
      <c r="D292" s="4">
        <v>4.7</v>
      </c>
      <c r="E292" s="4">
        <v>3.7</v>
      </c>
      <c r="F292" s="4">
        <v>0</v>
      </c>
      <c r="G292" s="4">
        <v>8.3000000000000007</v>
      </c>
      <c r="H292" s="5">
        <v>457.6</v>
      </c>
    </row>
    <row r="293" spans="1:8" x14ac:dyDescent="0.2">
      <c r="A293" s="6">
        <v>6</v>
      </c>
      <c r="B293" s="7" t="s">
        <v>294</v>
      </c>
      <c r="C293" s="6">
        <v>6</v>
      </c>
      <c r="D293" s="8">
        <v>3.7</v>
      </c>
      <c r="E293" s="8">
        <v>2.5</v>
      </c>
      <c r="F293" s="8">
        <v>0</v>
      </c>
      <c r="G293" s="8">
        <v>6.2</v>
      </c>
      <c r="H293" s="9">
        <v>338.8</v>
      </c>
    </row>
    <row r="294" spans="1:8" x14ac:dyDescent="0.2">
      <c r="A294" s="2">
        <v>6</v>
      </c>
      <c r="B294" s="3" t="s">
        <v>295</v>
      </c>
      <c r="C294" s="2">
        <v>2</v>
      </c>
      <c r="D294" s="4">
        <v>4</v>
      </c>
      <c r="E294" s="4">
        <v>3</v>
      </c>
      <c r="F294" s="4">
        <v>0</v>
      </c>
      <c r="G294" s="4">
        <v>7</v>
      </c>
      <c r="H294" s="5">
        <v>385</v>
      </c>
    </row>
    <row r="295" spans="1:8" x14ac:dyDescent="0.2">
      <c r="A295" s="6">
        <v>6</v>
      </c>
      <c r="B295" s="7" t="s">
        <v>296</v>
      </c>
      <c r="C295" s="6">
        <v>7</v>
      </c>
      <c r="D295" s="8">
        <v>2.2999999999999998</v>
      </c>
      <c r="E295" s="8">
        <v>1.6</v>
      </c>
      <c r="F295" s="8">
        <v>0</v>
      </c>
      <c r="G295" s="8">
        <v>3.9</v>
      </c>
      <c r="H295" s="9">
        <v>211.75</v>
      </c>
    </row>
    <row r="296" spans="1:8" x14ac:dyDescent="0.2">
      <c r="A296" s="2">
        <v>6</v>
      </c>
      <c r="B296" s="3" t="s">
        <v>297</v>
      </c>
      <c r="C296" s="2">
        <v>1</v>
      </c>
      <c r="D296" s="4">
        <v>5</v>
      </c>
      <c r="E296" s="4">
        <v>3</v>
      </c>
      <c r="F296" s="4">
        <v>0</v>
      </c>
      <c r="G296" s="4">
        <v>8</v>
      </c>
      <c r="H296" s="5">
        <v>440</v>
      </c>
    </row>
    <row r="297" spans="1:8" x14ac:dyDescent="0.2">
      <c r="A297" s="6">
        <v>6</v>
      </c>
      <c r="B297" s="7" t="s">
        <v>298</v>
      </c>
      <c r="C297" s="6">
        <v>1</v>
      </c>
      <c r="D297" s="8">
        <v>4</v>
      </c>
      <c r="E297" s="8">
        <v>4</v>
      </c>
      <c r="F297" s="8">
        <v>2</v>
      </c>
      <c r="G297" s="8">
        <v>10</v>
      </c>
      <c r="H297" s="9">
        <v>550</v>
      </c>
    </row>
    <row r="298" spans="1:8" x14ac:dyDescent="0.2">
      <c r="A298" s="2">
        <v>6</v>
      </c>
      <c r="B298" s="3" t="s">
        <v>299</v>
      </c>
      <c r="C298" s="2">
        <v>6</v>
      </c>
      <c r="D298" s="4">
        <v>4</v>
      </c>
      <c r="E298" s="4">
        <v>2.7</v>
      </c>
      <c r="F298" s="4">
        <v>0.8</v>
      </c>
      <c r="G298" s="4">
        <v>7.5</v>
      </c>
      <c r="H298" s="5">
        <v>411.95</v>
      </c>
    </row>
    <row r="299" spans="1:8" x14ac:dyDescent="0.2">
      <c r="A299" s="6">
        <v>6</v>
      </c>
      <c r="B299" s="7" t="s">
        <v>300</v>
      </c>
      <c r="C299" s="6">
        <v>1</v>
      </c>
      <c r="D299" s="8">
        <v>0</v>
      </c>
      <c r="E299" s="8">
        <v>1</v>
      </c>
      <c r="F299" s="8">
        <v>0</v>
      </c>
      <c r="G299" s="8">
        <v>1</v>
      </c>
      <c r="H299" s="9">
        <v>55</v>
      </c>
    </row>
    <row r="300" spans="1:8" x14ac:dyDescent="0.2">
      <c r="A300" s="2">
        <v>6</v>
      </c>
      <c r="B300" s="3" t="s">
        <v>301</v>
      </c>
      <c r="C300" s="2">
        <v>1</v>
      </c>
      <c r="D300" s="4">
        <v>0</v>
      </c>
      <c r="E300" s="4">
        <v>1</v>
      </c>
      <c r="F300" s="4">
        <v>0</v>
      </c>
      <c r="G300" s="4">
        <v>1</v>
      </c>
      <c r="H300" s="5">
        <v>55</v>
      </c>
    </row>
    <row r="301" spans="1:8" x14ac:dyDescent="0.2">
      <c r="A301" s="6">
        <v>6</v>
      </c>
      <c r="B301" s="7" t="s">
        <v>302</v>
      </c>
      <c r="C301" s="6">
        <v>3</v>
      </c>
      <c r="D301" s="8">
        <v>4</v>
      </c>
      <c r="E301" s="8">
        <v>3.7</v>
      </c>
      <c r="F301" s="8">
        <v>1</v>
      </c>
      <c r="G301" s="8">
        <v>8.6999999999999993</v>
      </c>
      <c r="H301" s="9">
        <v>476.3</v>
      </c>
    </row>
    <row r="302" spans="1:8" x14ac:dyDescent="0.2">
      <c r="A302" s="2">
        <v>6</v>
      </c>
      <c r="B302" s="3" t="s">
        <v>303</v>
      </c>
      <c r="C302" s="2">
        <v>13</v>
      </c>
      <c r="D302" s="4">
        <v>3.7</v>
      </c>
      <c r="E302" s="4">
        <v>2.1</v>
      </c>
      <c r="F302" s="4">
        <v>0.1</v>
      </c>
      <c r="G302" s="4">
        <v>5.8</v>
      </c>
      <c r="H302" s="5">
        <v>320.64999999999998</v>
      </c>
    </row>
    <row r="303" spans="1:8" x14ac:dyDescent="0.2">
      <c r="A303" s="6">
        <v>6</v>
      </c>
      <c r="B303" s="7" t="s">
        <v>304</v>
      </c>
      <c r="C303" s="6">
        <v>1</v>
      </c>
      <c r="D303" s="8">
        <v>4</v>
      </c>
      <c r="E303" s="8">
        <v>6</v>
      </c>
      <c r="F303" s="8">
        <v>3</v>
      </c>
      <c r="G303" s="8">
        <v>13</v>
      </c>
      <c r="H303" s="9">
        <v>715</v>
      </c>
    </row>
    <row r="304" spans="1:8" x14ac:dyDescent="0.2">
      <c r="A304" s="2">
        <v>6</v>
      </c>
      <c r="B304" s="3" t="s">
        <v>305</v>
      </c>
      <c r="C304" s="2">
        <v>1</v>
      </c>
      <c r="D304" s="4">
        <v>5</v>
      </c>
      <c r="E304" s="4">
        <v>5</v>
      </c>
      <c r="F304" s="4">
        <v>1</v>
      </c>
      <c r="G304" s="4">
        <v>11</v>
      </c>
      <c r="H304" s="5">
        <v>605</v>
      </c>
    </row>
    <row r="305" spans="1:8" x14ac:dyDescent="0.2">
      <c r="A305" s="6">
        <v>6</v>
      </c>
      <c r="B305" s="7" t="s">
        <v>306</v>
      </c>
      <c r="C305" s="6">
        <v>2</v>
      </c>
      <c r="D305" s="8">
        <v>4</v>
      </c>
      <c r="E305" s="8">
        <v>3</v>
      </c>
      <c r="F305" s="8">
        <v>0.5</v>
      </c>
      <c r="G305" s="8">
        <v>7.5</v>
      </c>
      <c r="H305" s="9">
        <v>412.5</v>
      </c>
    </row>
    <row r="306" spans="1:8" x14ac:dyDescent="0.2">
      <c r="A306" s="2">
        <v>6</v>
      </c>
      <c r="B306" s="3" t="s">
        <v>307</v>
      </c>
      <c r="C306" s="2">
        <v>1</v>
      </c>
      <c r="D306" s="4">
        <v>4</v>
      </c>
      <c r="E306" s="4">
        <v>4</v>
      </c>
      <c r="F306" s="4">
        <v>0</v>
      </c>
      <c r="G306" s="4">
        <v>8</v>
      </c>
      <c r="H306" s="5">
        <v>440</v>
      </c>
    </row>
    <row r="307" spans="1:8" x14ac:dyDescent="0.2">
      <c r="A307" s="6">
        <v>6</v>
      </c>
      <c r="B307" s="7" t="s">
        <v>308</v>
      </c>
      <c r="C307" s="6">
        <v>16</v>
      </c>
      <c r="D307" s="8">
        <v>4</v>
      </c>
      <c r="E307" s="8">
        <v>2.9</v>
      </c>
      <c r="F307" s="8">
        <v>0.5</v>
      </c>
      <c r="G307" s="8">
        <v>7.4</v>
      </c>
      <c r="H307" s="9">
        <v>408.65</v>
      </c>
    </row>
    <row r="308" spans="1:8" x14ac:dyDescent="0.2">
      <c r="A308" s="2">
        <v>6</v>
      </c>
      <c r="B308" s="3" t="s">
        <v>309</v>
      </c>
      <c r="C308" s="2">
        <v>5</v>
      </c>
      <c r="D308" s="4">
        <v>4.2</v>
      </c>
      <c r="E308" s="4">
        <v>3.6</v>
      </c>
      <c r="F308" s="4">
        <v>0.6</v>
      </c>
      <c r="G308" s="4">
        <v>8.4</v>
      </c>
      <c r="H308" s="5">
        <v>462</v>
      </c>
    </row>
    <row r="309" spans="1:8" x14ac:dyDescent="0.2">
      <c r="A309" s="6">
        <v>6</v>
      </c>
      <c r="B309" s="7" t="s">
        <v>310</v>
      </c>
      <c r="C309" s="6">
        <v>1</v>
      </c>
      <c r="D309" s="8">
        <v>6</v>
      </c>
      <c r="E309" s="8">
        <v>8</v>
      </c>
      <c r="F309" s="8">
        <v>0</v>
      </c>
      <c r="G309" s="8">
        <v>14</v>
      </c>
      <c r="H309" s="9">
        <v>770</v>
      </c>
    </row>
    <row r="310" spans="1:8" x14ac:dyDescent="0.2">
      <c r="A310" s="2">
        <v>7</v>
      </c>
      <c r="B310" s="3" t="s">
        <v>311</v>
      </c>
      <c r="C310" s="2">
        <v>10</v>
      </c>
      <c r="D310" s="4">
        <v>3.9</v>
      </c>
      <c r="E310" s="4">
        <v>3.7</v>
      </c>
      <c r="F310" s="4">
        <v>0.3</v>
      </c>
      <c r="G310" s="4">
        <v>7.9</v>
      </c>
      <c r="H310" s="5">
        <v>434.5</v>
      </c>
    </row>
    <row r="311" spans="1:8" x14ac:dyDescent="0.2">
      <c r="A311" s="6">
        <v>7</v>
      </c>
      <c r="B311" s="7" t="s">
        <v>312</v>
      </c>
      <c r="C311" s="6">
        <v>3</v>
      </c>
      <c r="D311" s="8">
        <v>4</v>
      </c>
      <c r="E311" s="8">
        <v>4</v>
      </c>
      <c r="F311" s="8">
        <v>0.3</v>
      </c>
      <c r="G311" s="8">
        <v>8.3000000000000007</v>
      </c>
      <c r="H311" s="9">
        <v>458.15</v>
      </c>
    </row>
    <row r="312" spans="1:8" x14ac:dyDescent="0.2">
      <c r="A312" s="2">
        <v>7</v>
      </c>
      <c r="B312" s="3" t="s">
        <v>313</v>
      </c>
      <c r="C312" s="2">
        <v>15</v>
      </c>
      <c r="D312" s="4">
        <v>4</v>
      </c>
      <c r="E312" s="4">
        <v>3.7</v>
      </c>
      <c r="F312" s="4">
        <v>0.3</v>
      </c>
      <c r="G312" s="4">
        <v>8.1</v>
      </c>
      <c r="H312" s="5">
        <v>443.3</v>
      </c>
    </row>
    <row r="313" spans="1:8" x14ac:dyDescent="0.2">
      <c r="A313" s="6">
        <v>7</v>
      </c>
      <c r="B313" s="7" t="s">
        <v>314</v>
      </c>
      <c r="C313" s="6">
        <v>4</v>
      </c>
      <c r="D313" s="8">
        <v>2</v>
      </c>
      <c r="E313" s="8">
        <v>2.2999999999999998</v>
      </c>
      <c r="F313" s="8">
        <v>0.5</v>
      </c>
      <c r="G313" s="8">
        <v>4.8</v>
      </c>
      <c r="H313" s="9">
        <v>261.25</v>
      </c>
    </row>
    <row r="314" spans="1:8" x14ac:dyDescent="0.2">
      <c r="A314" s="2">
        <v>7</v>
      </c>
      <c r="B314" s="3" t="s">
        <v>315</v>
      </c>
      <c r="C314" s="2">
        <v>12</v>
      </c>
      <c r="D314" s="4">
        <v>3.6</v>
      </c>
      <c r="E314" s="4">
        <v>4.7</v>
      </c>
      <c r="F314" s="4">
        <v>0.7</v>
      </c>
      <c r="G314" s="4">
        <v>8.9</v>
      </c>
      <c r="H314" s="5">
        <v>489.5</v>
      </c>
    </row>
    <row r="315" spans="1:8" x14ac:dyDescent="0.2">
      <c r="A315" s="6">
        <v>7</v>
      </c>
      <c r="B315" s="7" t="s">
        <v>316</v>
      </c>
      <c r="C315" s="6">
        <v>1</v>
      </c>
      <c r="D315" s="8">
        <v>6</v>
      </c>
      <c r="E315" s="8">
        <v>4</v>
      </c>
      <c r="F315" s="8">
        <v>2</v>
      </c>
      <c r="G315" s="8">
        <v>12</v>
      </c>
      <c r="H315" s="9">
        <v>660</v>
      </c>
    </row>
    <row r="316" spans="1:8" x14ac:dyDescent="0.2">
      <c r="A316" s="2">
        <v>7</v>
      </c>
      <c r="B316" s="3" t="s">
        <v>317</v>
      </c>
      <c r="C316" s="2">
        <v>3</v>
      </c>
      <c r="D316" s="4">
        <v>4</v>
      </c>
      <c r="E316" s="4">
        <v>4</v>
      </c>
      <c r="F316" s="4">
        <v>0.7</v>
      </c>
      <c r="G316" s="4">
        <v>8.6999999999999993</v>
      </c>
      <c r="H316" s="5">
        <v>476.3</v>
      </c>
    </row>
    <row r="317" spans="1:8" x14ac:dyDescent="0.2">
      <c r="A317" s="6">
        <v>7</v>
      </c>
      <c r="B317" s="7" t="s">
        <v>318</v>
      </c>
      <c r="C317" s="6">
        <v>13</v>
      </c>
      <c r="D317" s="8">
        <v>6.9</v>
      </c>
      <c r="E317" s="8">
        <v>3.9</v>
      </c>
      <c r="F317" s="8">
        <v>0.7</v>
      </c>
      <c r="G317" s="8">
        <v>11.5</v>
      </c>
      <c r="H317" s="9">
        <v>634.15</v>
      </c>
    </row>
    <row r="318" spans="1:8" x14ac:dyDescent="0.2">
      <c r="A318" s="2">
        <v>7</v>
      </c>
      <c r="B318" s="3" t="s">
        <v>319</v>
      </c>
      <c r="C318" s="2">
        <v>1</v>
      </c>
      <c r="D318" s="4">
        <v>6</v>
      </c>
      <c r="E318" s="4">
        <v>4</v>
      </c>
      <c r="F318" s="4">
        <v>2</v>
      </c>
      <c r="G318" s="4">
        <v>12</v>
      </c>
      <c r="H318" s="5">
        <v>660</v>
      </c>
    </row>
    <row r="319" spans="1:8" x14ac:dyDescent="0.2">
      <c r="A319" s="6">
        <v>7</v>
      </c>
      <c r="B319" s="7" t="s">
        <v>320</v>
      </c>
      <c r="C319" s="6">
        <v>1</v>
      </c>
      <c r="D319" s="8">
        <v>4</v>
      </c>
      <c r="E319" s="8">
        <v>3</v>
      </c>
      <c r="F319" s="8">
        <v>0</v>
      </c>
      <c r="G319" s="8">
        <v>7</v>
      </c>
      <c r="H319" s="9">
        <v>385</v>
      </c>
    </row>
    <row r="320" spans="1:8" x14ac:dyDescent="0.2">
      <c r="A320" s="2">
        <v>7</v>
      </c>
      <c r="B320" s="3" t="s">
        <v>321</v>
      </c>
      <c r="C320" s="2">
        <v>1</v>
      </c>
      <c r="D320" s="4">
        <v>4</v>
      </c>
      <c r="E320" s="4">
        <v>5</v>
      </c>
      <c r="F320" s="4">
        <v>1</v>
      </c>
      <c r="G320" s="4">
        <v>10</v>
      </c>
      <c r="H320" s="5">
        <v>550</v>
      </c>
    </row>
    <row r="321" spans="1:8" x14ac:dyDescent="0.2">
      <c r="A321" s="6">
        <v>7</v>
      </c>
      <c r="B321" s="7" t="s">
        <v>322</v>
      </c>
      <c r="C321" s="6">
        <v>0</v>
      </c>
      <c r="D321" s="8">
        <v>0</v>
      </c>
      <c r="E321" s="8">
        <v>0</v>
      </c>
      <c r="F321" s="8">
        <v>0</v>
      </c>
      <c r="G321" s="8">
        <v>0</v>
      </c>
      <c r="H321" s="9">
        <v>0</v>
      </c>
    </row>
    <row r="322" spans="1:8" x14ac:dyDescent="0.2">
      <c r="A322" s="2">
        <v>7</v>
      </c>
      <c r="B322" s="3" t="s">
        <v>323</v>
      </c>
      <c r="C322" s="2">
        <v>8</v>
      </c>
      <c r="D322" s="4">
        <v>4.5</v>
      </c>
      <c r="E322" s="4">
        <v>3.3</v>
      </c>
      <c r="F322" s="4">
        <v>1</v>
      </c>
      <c r="G322" s="4">
        <v>8.8000000000000007</v>
      </c>
      <c r="H322" s="5">
        <v>481.25</v>
      </c>
    </row>
    <row r="323" spans="1:8" x14ac:dyDescent="0.2">
      <c r="A323" s="6">
        <v>7</v>
      </c>
      <c r="B323" s="7" t="s">
        <v>324</v>
      </c>
      <c r="C323" s="6">
        <v>10</v>
      </c>
      <c r="D323" s="8">
        <v>3.3</v>
      </c>
      <c r="E323" s="8">
        <v>2.6</v>
      </c>
      <c r="F323" s="8">
        <v>0.3</v>
      </c>
      <c r="G323" s="8">
        <v>6.2</v>
      </c>
      <c r="H323" s="9">
        <v>341</v>
      </c>
    </row>
    <row r="324" spans="1:8" x14ac:dyDescent="0.2">
      <c r="A324" s="2">
        <v>7</v>
      </c>
      <c r="B324" s="3" t="s">
        <v>325</v>
      </c>
      <c r="C324" s="2">
        <v>2</v>
      </c>
      <c r="D324" s="4">
        <v>2</v>
      </c>
      <c r="E324" s="4">
        <v>2</v>
      </c>
      <c r="F324" s="4">
        <v>0</v>
      </c>
      <c r="G324" s="4">
        <v>4</v>
      </c>
      <c r="H324" s="5">
        <v>220</v>
      </c>
    </row>
    <row r="325" spans="1:8" x14ac:dyDescent="0.2">
      <c r="A325" s="6">
        <v>7</v>
      </c>
      <c r="B325" s="7" t="s">
        <v>326</v>
      </c>
      <c r="C325" s="6">
        <v>1</v>
      </c>
      <c r="D325" s="8">
        <v>0</v>
      </c>
      <c r="E325" s="8">
        <v>2</v>
      </c>
      <c r="F325" s="8">
        <v>0</v>
      </c>
      <c r="G325" s="8">
        <v>2</v>
      </c>
      <c r="H325" s="9">
        <v>110</v>
      </c>
    </row>
    <row r="326" spans="1:8" x14ac:dyDescent="0.2">
      <c r="A326" s="2">
        <v>7</v>
      </c>
      <c r="B326" s="3" t="s">
        <v>327</v>
      </c>
      <c r="C326" s="2">
        <v>0</v>
      </c>
      <c r="D326" s="4">
        <v>0</v>
      </c>
      <c r="E326" s="4">
        <v>0</v>
      </c>
      <c r="F326" s="4">
        <v>0</v>
      </c>
      <c r="G326" s="4">
        <v>0</v>
      </c>
      <c r="H326" s="5">
        <v>0</v>
      </c>
    </row>
    <row r="327" spans="1:8" x14ac:dyDescent="0.2">
      <c r="A327" s="6">
        <v>7</v>
      </c>
      <c r="B327" s="7" t="s">
        <v>328</v>
      </c>
      <c r="C327" s="6">
        <v>1</v>
      </c>
      <c r="D327" s="8">
        <v>0</v>
      </c>
      <c r="E327" s="8">
        <v>1</v>
      </c>
      <c r="F327" s="8">
        <v>0</v>
      </c>
      <c r="G327" s="8">
        <v>1</v>
      </c>
      <c r="H327" s="9">
        <v>55</v>
      </c>
    </row>
    <row r="328" spans="1:8" x14ac:dyDescent="0.2">
      <c r="A328" s="2">
        <v>7</v>
      </c>
      <c r="B328" s="3" t="s">
        <v>329</v>
      </c>
      <c r="C328" s="2">
        <v>7</v>
      </c>
      <c r="D328" s="4">
        <v>8.1</v>
      </c>
      <c r="E328" s="4">
        <v>24.6</v>
      </c>
      <c r="F328" s="4">
        <v>2</v>
      </c>
      <c r="G328" s="4">
        <v>34.700000000000003</v>
      </c>
      <c r="H328" s="5">
        <v>1909.05</v>
      </c>
    </row>
    <row r="329" spans="1:8" x14ac:dyDescent="0.2">
      <c r="A329" s="6">
        <v>7</v>
      </c>
      <c r="B329" s="7" t="s">
        <v>330</v>
      </c>
      <c r="C329" s="6">
        <v>6</v>
      </c>
      <c r="D329" s="8">
        <v>2.7</v>
      </c>
      <c r="E329" s="8">
        <v>8.8000000000000007</v>
      </c>
      <c r="F329" s="8">
        <v>0.2</v>
      </c>
      <c r="G329" s="8">
        <v>11.7</v>
      </c>
      <c r="H329" s="9">
        <v>640.75</v>
      </c>
    </row>
    <row r="330" spans="1:8" x14ac:dyDescent="0.2">
      <c r="A330" s="2">
        <v>7</v>
      </c>
      <c r="B330" s="3" t="s">
        <v>331</v>
      </c>
      <c r="C330" s="2">
        <v>287</v>
      </c>
      <c r="D330" s="4">
        <v>5.8</v>
      </c>
      <c r="E330" s="4">
        <v>10.6</v>
      </c>
      <c r="F330" s="4">
        <v>0.2</v>
      </c>
      <c r="G330" s="4">
        <v>16.5</v>
      </c>
      <c r="H330" s="5">
        <v>908.6</v>
      </c>
    </row>
    <row r="331" spans="1:8" x14ac:dyDescent="0.2">
      <c r="A331" s="6">
        <v>7</v>
      </c>
      <c r="B331" s="7" t="s">
        <v>331</v>
      </c>
      <c r="C331" s="6">
        <v>287</v>
      </c>
      <c r="D331" s="8">
        <v>5.8</v>
      </c>
      <c r="E331" s="8">
        <v>10.6</v>
      </c>
      <c r="F331" s="8">
        <v>0.2</v>
      </c>
      <c r="G331" s="8">
        <v>16.5</v>
      </c>
      <c r="H331" s="9">
        <v>908.6</v>
      </c>
    </row>
    <row r="332" spans="1:8" x14ac:dyDescent="0.2">
      <c r="A332" s="2">
        <v>7</v>
      </c>
      <c r="B332" s="3" t="s">
        <v>332</v>
      </c>
      <c r="C332" s="2">
        <v>5</v>
      </c>
      <c r="D332" s="4">
        <v>6</v>
      </c>
      <c r="E332" s="4">
        <v>9</v>
      </c>
      <c r="F332" s="4">
        <v>0.4</v>
      </c>
      <c r="G332" s="4">
        <v>15.4</v>
      </c>
      <c r="H332" s="5">
        <v>847</v>
      </c>
    </row>
    <row r="333" spans="1:8" x14ac:dyDescent="0.2">
      <c r="A333" s="6">
        <v>7</v>
      </c>
      <c r="B333" s="7" t="s">
        <v>333</v>
      </c>
      <c r="C333" s="6">
        <v>0</v>
      </c>
      <c r="D333" s="8">
        <v>0</v>
      </c>
      <c r="E333" s="8">
        <v>0</v>
      </c>
      <c r="F333" s="8">
        <v>0</v>
      </c>
      <c r="G333" s="8">
        <v>0</v>
      </c>
      <c r="H333" s="9">
        <v>0</v>
      </c>
    </row>
    <row r="334" spans="1:8" x14ac:dyDescent="0.2">
      <c r="A334" s="2">
        <v>7</v>
      </c>
      <c r="B334" s="3" t="s">
        <v>334</v>
      </c>
      <c r="C334" s="2">
        <v>11</v>
      </c>
      <c r="D334" s="4">
        <v>5.3</v>
      </c>
      <c r="E334" s="4">
        <v>8.5</v>
      </c>
      <c r="F334" s="4">
        <v>0.4</v>
      </c>
      <c r="G334" s="4">
        <v>14.1</v>
      </c>
      <c r="H334" s="5">
        <v>774.4</v>
      </c>
    </row>
    <row r="335" spans="1:8" x14ac:dyDescent="0.2">
      <c r="A335" s="6">
        <v>7</v>
      </c>
      <c r="B335" s="7" t="s">
        <v>335</v>
      </c>
      <c r="C335" s="6">
        <v>495</v>
      </c>
      <c r="D335" s="8">
        <v>4.4000000000000004</v>
      </c>
      <c r="E335" s="8">
        <v>2.7</v>
      </c>
      <c r="F335" s="8">
        <v>0.1</v>
      </c>
      <c r="G335" s="8">
        <v>7.2</v>
      </c>
      <c r="H335" s="9">
        <v>396.55</v>
      </c>
    </row>
    <row r="336" spans="1:8" x14ac:dyDescent="0.2">
      <c r="A336" s="2">
        <v>7</v>
      </c>
      <c r="B336" s="3" t="s">
        <v>336</v>
      </c>
      <c r="C336" s="2">
        <v>2</v>
      </c>
      <c r="D336" s="4">
        <v>8.5</v>
      </c>
      <c r="E336" s="4">
        <v>3</v>
      </c>
      <c r="F336" s="4">
        <v>0</v>
      </c>
      <c r="G336" s="4">
        <v>11.5</v>
      </c>
      <c r="H336" s="5">
        <v>632.5</v>
      </c>
    </row>
    <row r="337" spans="1:8" x14ac:dyDescent="0.2">
      <c r="A337" s="6">
        <v>7</v>
      </c>
      <c r="B337" s="7" t="s">
        <v>337</v>
      </c>
      <c r="C337" s="6">
        <v>0</v>
      </c>
      <c r="D337" s="8">
        <v>0</v>
      </c>
      <c r="E337" s="8">
        <v>0</v>
      </c>
      <c r="F337" s="8">
        <v>0</v>
      </c>
      <c r="G337" s="8">
        <v>0</v>
      </c>
      <c r="H337" s="9">
        <v>0</v>
      </c>
    </row>
    <row r="338" spans="1:8" x14ac:dyDescent="0.2">
      <c r="A338" s="2">
        <v>7</v>
      </c>
      <c r="B338" s="3" t="s">
        <v>338</v>
      </c>
      <c r="C338" s="2">
        <v>1</v>
      </c>
      <c r="D338" s="4">
        <v>5</v>
      </c>
      <c r="E338" s="4">
        <v>3</v>
      </c>
      <c r="F338" s="4">
        <v>0</v>
      </c>
      <c r="G338" s="4">
        <v>8</v>
      </c>
      <c r="H338" s="5">
        <v>440</v>
      </c>
    </row>
    <row r="339" spans="1:8" x14ac:dyDescent="0.2">
      <c r="A339" s="6">
        <v>7</v>
      </c>
      <c r="B339" s="7" t="s">
        <v>339</v>
      </c>
      <c r="C339" s="6">
        <v>1</v>
      </c>
      <c r="D339" s="8">
        <v>0</v>
      </c>
      <c r="E339" s="8">
        <v>0</v>
      </c>
      <c r="F339" s="8">
        <v>0</v>
      </c>
      <c r="G339" s="8">
        <v>0</v>
      </c>
      <c r="H339" s="9">
        <v>0</v>
      </c>
    </row>
    <row r="340" spans="1:8" x14ac:dyDescent="0.2">
      <c r="A340" s="2">
        <v>7</v>
      </c>
      <c r="B340" s="3" t="s">
        <v>340</v>
      </c>
      <c r="C340" s="2">
        <v>13</v>
      </c>
      <c r="D340" s="4">
        <v>2.7</v>
      </c>
      <c r="E340" s="4">
        <v>1.5</v>
      </c>
      <c r="F340" s="4">
        <v>0</v>
      </c>
      <c r="G340" s="4">
        <v>4.2</v>
      </c>
      <c r="H340" s="5">
        <v>232.1</v>
      </c>
    </row>
    <row r="341" spans="1:8" x14ac:dyDescent="0.2">
      <c r="A341" s="6">
        <v>7</v>
      </c>
      <c r="B341" s="7" t="s">
        <v>341</v>
      </c>
      <c r="C341" s="6">
        <v>171</v>
      </c>
      <c r="D341" s="8">
        <v>4.3</v>
      </c>
      <c r="E341" s="8">
        <v>2.9</v>
      </c>
      <c r="F341" s="8">
        <v>0.1</v>
      </c>
      <c r="G341" s="8">
        <v>7.3</v>
      </c>
      <c r="H341" s="9">
        <v>402.05</v>
      </c>
    </row>
    <row r="342" spans="1:8" x14ac:dyDescent="0.2">
      <c r="A342" s="2">
        <v>7</v>
      </c>
      <c r="B342" s="3" t="s">
        <v>342</v>
      </c>
      <c r="C342" s="2">
        <v>4</v>
      </c>
      <c r="D342" s="4">
        <v>5</v>
      </c>
      <c r="E342" s="4">
        <v>3</v>
      </c>
      <c r="F342" s="4">
        <v>0.5</v>
      </c>
      <c r="G342" s="4">
        <v>8.5</v>
      </c>
      <c r="H342" s="5">
        <v>467.5</v>
      </c>
    </row>
    <row r="343" spans="1:8" x14ac:dyDescent="0.2">
      <c r="A343" s="6">
        <v>7</v>
      </c>
      <c r="B343" s="7" t="s">
        <v>343</v>
      </c>
      <c r="C343" s="6">
        <v>12</v>
      </c>
      <c r="D343" s="8">
        <v>5</v>
      </c>
      <c r="E343" s="8">
        <v>3.1</v>
      </c>
      <c r="F343" s="8">
        <v>0.2</v>
      </c>
      <c r="G343" s="8">
        <v>8.1999999999999993</v>
      </c>
      <c r="H343" s="9">
        <v>453.2</v>
      </c>
    </row>
    <row r="344" spans="1:8" x14ac:dyDescent="0.2">
      <c r="A344" s="2">
        <v>7</v>
      </c>
      <c r="B344" s="3" t="s">
        <v>344</v>
      </c>
      <c r="C344" s="2">
        <v>2</v>
      </c>
      <c r="D344" s="4">
        <v>5</v>
      </c>
      <c r="E344" s="4">
        <v>2</v>
      </c>
      <c r="F344" s="4">
        <v>0.5</v>
      </c>
      <c r="G344" s="4">
        <v>7.5</v>
      </c>
      <c r="H344" s="5">
        <v>412.5</v>
      </c>
    </row>
    <row r="345" spans="1:8" x14ac:dyDescent="0.2">
      <c r="A345" s="6">
        <v>7</v>
      </c>
      <c r="B345" s="7" t="s">
        <v>345</v>
      </c>
      <c r="C345" s="6">
        <v>10</v>
      </c>
      <c r="D345" s="8">
        <v>3.5</v>
      </c>
      <c r="E345" s="8">
        <v>2.6</v>
      </c>
      <c r="F345" s="8">
        <v>0.3</v>
      </c>
      <c r="G345" s="8">
        <v>6.4</v>
      </c>
      <c r="H345" s="9">
        <v>352</v>
      </c>
    </row>
    <row r="346" spans="1:8" x14ac:dyDescent="0.2">
      <c r="A346" s="2">
        <v>7</v>
      </c>
      <c r="B346" s="3" t="s">
        <v>346</v>
      </c>
      <c r="C346" s="2">
        <v>1</v>
      </c>
      <c r="D346" s="4">
        <v>0</v>
      </c>
      <c r="E346" s="4">
        <v>1</v>
      </c>
      <c r="F346" s="4">
        <v>0</v>
      </c>
      <c r="G346" s="4">
        <v>1</v>
      </c>
      <c r="H346" s="5">
        <v>55</v>
      </c>
    </row>
    <row r="347" spans="1:8" x14ac:dyDescent="0.2">
      <c r="A347" s="6">
        <v>7</v>
      </c>
      <c r="B347" s="7" t="s">
        <v>347</v>
      </c>
      <c r="C347" s="6">
        <v>6</v>
      </c>
      <c r="D347" s="8">
        <v>5</v>
      </c>
      <c r="E347" s="8">
        <v>2.8</v>
      </c>
      <c r="F347" s="8">
        <v>0.3</v>
      </c>
      <c r="G347" s="8">
        <v>8.1999999999999993</v>
      </c>
      <c r="H347" s="9">
        <v>448.8</v>
      </c>
    </row>
    <row r="348" spans="1:8" x14ac:dyDescent="0.2">
      <c r="A348" s="2">
        <v>7</v>
      </c>
      <c r="B348" s="3" t="s">
        <v>348</v>
      </c>
      <c r="C348" s="2">
        <v>1</v>
      </c>
      <c r="D348" s="4">
        <v>5</v>
      </c>
      <c r="E348" s="4">
        <v>5</v>
      </c>
      <c r="F348" s="4">
        <v>1</v>
      </c>
      <c r="G348" s="4">
        <v>11</v>
      </c>
      <c r="H348" s="5">
        <v>605</v>
      </c>
    </row>
    <row r="349" spans="1:8" x14ac:dyDescent="0.2">
      <c r="A349" s="6">
        <v>7</v>
      </c>
      <c r="B349" s="7" t="s">
        <v>349</v>
      </c>
      <c r="C349" s="6">
        <v>7</v>
      </c>
      <c r="D349" s="8">
        <v>3.6</v>
      </c>
      <c r="E349" s="8">
        <v>1.9</v>
      </c>
      <c r="F349" s="8">
        <v>0</v>
      </c>
      <c r="G349" s="8">
        <v>5.4</v>
      </c>
      <c r="H349" s="9">
        <v>298.10000000000002</v>
      </c>
    </row>
    <row r="350" spans="1:8" x14ac:dyDescent="0.2">
      <c r="A350" s="2">
        <v>7</v>
      </c>
      <c r="B350" s="3" t="s">
        <v>350</v>
      </c>
      <c r="C350" s="2">
        <v>8</v>
      </c>
      <c r="D350" s="4">
        <v>5</v>
      </c>
      <c r="E350" s="4">
        <v>3.1</v>
      </c>
      <c r="F350" s="4">
        <v>0.4</v>
      </c>
      <c r="G350" s="4">
        <v>8.5</v>
      </c>
      <c r="H350" s="5">
        <v>466.95</v>
      </c>
    </row>
    <row r="351" spans="1:8" x14ac:dyDescent="0.2">
      <c r="A351" s="6">
        <v>7</v>
      </c>
      <c r="B351" s="7" t="s">
        <v>351</v>
      </c>
      <c r="C351" s="6">
        <v>2</v>
      </c>
      <c r="D351" s="8">
        <v>5</v>
      </c>
      <c r="E351" s="8">
        <v>3</v>
      </c>
      <c r="F351" s="8">
        <v>0</v>
      </c>
      <c r="G351" s="8">
        <v>8</v>
      </c>
      <c r="H351" s="9">
        <v>440</v>
      </c>
    </row>
    <row r="352" spans="1:8" x14ac:dyDescent="0.2">
      <c r="A352" s="2">
        <v>7</v>
      </c>
      <c r="B352" s="3" t="s">
        <v>352</v>
      </c>
      <c r="C352" s="2">
        <v>1</v>
      </c>
      <c r="D352" s="4">
        <v>0</v>
      </c>
      <c r="E352" s="4">
        <v>1</v>
      </c>
      <c r="F352" s="4">
        <v>0</v>
      </c>
      <c r="G352" s="4">
        <v>1</v>
      </c>
      <c r="H352" s="5">
        <v>55</v>
      </c>
    </row>
    <row r="353" spans="1:8" x14ac:dyDescent="0.2">
      <c r="A353" s="6">
        <v>7</v>
      </c>
      <c r="B353" s="7" t="s">
        <v>353</v>
      </c>
      <c r="C353" s="6">
        <v>13</v>
      </c>
      <c r="D353" s="8">
        <v>5</v>
      </c>
      <c r="E353" s="8">
        <v>4.2</v>
      </c>
      <c r="F353" s="8">
        <v>0.1</v>
      </c>
      <c r="G353" s="8">
        <v>9.1999999999999993</v>
      </c>
      <c r="H353" s="9">
        <v>507.1</v>
      </c>
    </row>
    <row r="354" spans="1:8" x14ac:dyDescent="0.2">
      <c r="A354" s="2">
        <v>7</v>
      </c>
      <c r="B354" s="3" t="s">
        <v>354</v>
      </c>
      <c r="C354" s="2">
        <v>0</v>
      </c>
      <c r="D354" s="4">
        <v>0</v>
      </c>
      <c r="E354" s="4">
        <v>0</v>
      </c>
      <c r="F354" s="4">
        <v>0</v>
      </c>
      <c r="G354" s="4">
        <v>0</v>
      </c>
      <c r="H354" s="5">
        <v>0</v>
      </c>
    </row>
    <row r="355" spans="1:8" x14ac:dyDescent="0.2">
      <c r="A355" s="6">
        <v>7</v>
      </c>
      <c r="B355" s="7" t="s">
        <v>355</v>
      </c>
      <c r="C355" s="6">
        <v>0</v>
      </c>
      <c r="D355" s="8">
        <v>0</v>
      </c>
      <c r="E355" s="8">
        <v>0</v>
      </c>
      <c r="F355" s="8">
        <v>0</v>
      </c>
      <c r="G355" s="8">
        <v>0</v>
      </c>
      <c r="H355" s="9">
        <v>0</v>
      </c>
    </row>
    <row r="356" spans="1:8" x14ac:dyDescent="0.2">
      <c r="A356" s="2">
        <v>7</v>
      </c>
      <c r="B356" s="3" t="s">
        <v>356</v>
      </c>
      <c r="C356" s="2">
        <v>4</v>
      </c>
      <c r="D356" s="4">
        <v>7.5</v>
      </c>
      <c r="E356" s="4">
        <v>25</v>
      </c>
      <c r="F356" s="4">
        <v>2</v>
      </c>
      <c r="G356" s="4">
        <v>34.5</v>
      </c>
      <c r="H356" s="5">
        <v>1897.5</v>
      </c>
    </row>
    <row r="357" spans="1:8" x14ac:dyDescent="0.2">
      <c r="A357" s="6">
        <v>7</v>
      </c>
      <c r="B357" s="7" t="s">
        <v>357</v>
      </c>
      <c r="C357" s="6">
        <v>40</v>
      </c>
      <c r="D357" s="8">
        <v>7.1</v>
      </c>
      <c r="E357" s="8">
        <v>23.9</v>
      </c>
      <c r="F357" s="8">
        <v>1.7</v>
      </c>
      <c r="G357" s="8">
        <v>32.6</v>
      </c>
      <c r="H357" s="9">
        <v>1794.1</v>
      </c>
    </row>
    <row r="358" spans="1:8" x14ac:dyDescent="0.2">
      <c r="A358" s="2">
        <v>7</v>
      </c>
      <c r="B358" s="3" t="s">
        <v>358</v>
      </c>
      <c r="C358" s="2">
        <v>21</v>
      </c>
      <c r="D358" s="4">
        <v>5.9</v>
      </c>
      <c r="E358" s="4">
        <v>20</v>
      </c>
      <c r="F358" s="4">
        <v>1</v>
      </c>
      <c r="G358" s="4">
        <v>26.8</v>
      </c>
      <c r="H358" s="5">
        <v>1474</v>
      </c>
    </row>
    <row r="359" spans="1:8" x14ac:dyDescent="0.2">
      <c r="A359" s="6">
        <v>7</v>
      </c>
      <c r="B359" s="7" t="s">
        <v>359</v>
      </c>
      <c r="C359" s="6">
        <v>2</v>
      </c>
      <c r="D359" s="8">
        <v>8.5</v>
      </c>
      <c r="E359" s="8">
        <v>24.5</v>
      </c>
      <c r="F359" s="8">
        <v>2</v>
      </c>
      <c r="G359" s="8">
        <v>35</v>
      </c>
      <c r="H359" s="9">
        <v>1925</v>
      </c>
    </row>
    <row r="360" spans="1:8" x14ac:dyDescent="0.2">
      <c r="A360" s="2">
        <v>7</v>
      </c>
      <c r="B360" s="3" t="s">
        <v>360</v>
      </c>
      <c r="C360" s="2">
        <v>2</v>
      </c>
      <c r="D360" s="4">
        <v>4.5</v>
      </c>
      <c r="E360" s="4">
        <v>4.5</v>
      </c>
      <c r="F360" s="4">
        <v>0</v>
      </c>
      <c r="G360" s="4">
        <v>9</v>
      </c>
      <c r="H360" s="5">
        <v>495</v>
      </c>
    </row>
    <row r="361" spans="1:8" x14ac:dyDescent="0.2">
      <c r="A361" s="6">
        <v>7</v>
      </c>
      <c r="B361" s="7" t="s">
        <v>361</v>
      </c>
      <c r="C361" s="6">
        <v>1</v>
      </c>
      <c r="D361" s="8">
        <v>5</v>
      </c>
      <c r="E361" s="8">
        <v>10</v>
      </c>
      <c r="F361" s="8">
        <v>0</v>
      </c>
      <c r="G361" s="8">
        <v>15</v>
      </c>
      <c r="H361" s="9">
        <v>825</v>
      </c>
    </row>
    <row r="362" spans="1:8" x14ac:dyDescent="0.2">
      <c r="A362" s="2">
        <v>8</v>
      </c>
      <c r="B362" s="3" t="s">
        <v>362</v>
      </c>
      <c r="C362" s="2">
        <v>0</v>
      </c>
      <c r="D362" s="4">
        <v>0</v>
      </c>
      <c r="E362" s="4">
        <v>0</v>
      </c>
      <c r="F362" s="4">
        <v>0</v>
      </c>
      <c r="G362" s="4">
        <v>0</v>
      </c>
      <c r="H362" s="5">
        <v>0</v>
      </c>
    </row>
    <row r="363" spans="1:8" x14ac:dyDescent="0.2">
      <c r="A363" s="6">
        <v>8</v>
      </c>
      <c r="B363" s="7" t="s">
        <v>363</v>
      </c>
      <c r="C363" s="6">
        <v>1</v>
      </c>
      <c r="D363" s="8">
        <v>8</v>
      </c>
      <c r="E363" s="8">
        <v>16</v>
      </c>
      <c r="F363" s="8">
        <v>0</v>
      </c>
      <c r="G363" s="8">
        <v>24</v>
      </c>
      <c r="H363" s="9">
        <v>1320</v>
      </c>
    </row>
    <row r="364" spans="1:8" x14ac:dyDescent="0.2">
      <c r="A364" s="2">
        <v>8</v>
      </c>
      <c r="B364" s="3" t="s">
        <v>364</v>
      </c>
      <c r="C364" s="2">
        <v>105</v>
      </c>
      <c r="D364" s="4">
        <v>4.2</v>
      </c>
      <c r="E364" s="4">
        <v>2.7</v>
      </c>
      <c r="F364" s="4">
        <v>0.2</v>
      </c>
      <c r="G364" s="4">
        <v>7</v>
      </c>
      <c r="H364" s="5">
        <v>392.7</v>
      </c>
    </row>
    <row r="365" spans="1:8" x14ac:dyDescent="0.2">
      <c r="A365" s="6">
        <v>8</v>
      </c>
      <c r="B365" s="7" t="s">
        <v>365</v>
      </c>
      <c r="C365" s="6">
        <v>62</v>
      </c>
      <c r="D365" s="8">
        <v>5.0999999999999996</v>
      </c>
      <c r="E365" s="8">
        <v>5.9</v>
      </c>
      <c r="F365" s="8">
        <v>0.7</v>
      </c>
      <c r="G365" s="8">
        <v>11.7</v>
      </c>
      <c r="H365" s="9">
        <v>645.15</v>
      </c>
    </row>
    <row r="366" spans="1:8" x14ac:dyDescent="0.2">
      <c r="A366" s="2">
        <v>8</v>
      </c>
      <c r="B366" s="3" t="s">
        <v>366</v>
      </c>
      <c r="C366" s="2">
        <v>1</v>
      </c>
      <c r="D366" s="4">
        <v>5</v>
      </c>
      <c r="E366" s="4">
        <v>3</v>
      </c>
      <c r="F366" s="4">
        <v>0</v>
      </c>
      <c r="G366" s="4">
        <v>8</v>
      </c>
      <c r="H366" s="5">
        <v>440</v>
      </c>
    </row>
    <row r="367" spans="1:8" x14ac:dyDescent="0.2">
      <c r="A367" s="6">
        <v>8</v>
      </c>
      <c r="B367" s="7" t="s">
        <v>367</v>
      </c>
      <c r="C367" s="6">
        <v>9</v>
      </c>
      <c r="D367" s="8">
        <v>4.2</v>
      </c>
      <c r="E367" s="8">
        <v>3.2</v>
      </c>
      <c r="F367" s="8">
        <v>1</v>
      </c>
      <c r="G367" s="8">
        <v>8.4</v>
      </c>
      <c r="H367" s="9">
        <v>464.2</v>
      </c>
    </row>
    <row r="368" spans="1:8" x14ac:dyDescent="0.2">
      <c r="A368" s="2">
        <v>8</v>
      </c>
      <c r="B368" s="3" t="s">
        <v>368</v>
      </c>
      <c r="C368" s="2">
        <v>1</v>
      </c>
      <c r="D368" s="4">
        <v>5</v>
      </c>
      <c r="E368" s="4">
        <v>2</v>
      </c>
      <c r="F368" s="4">
        <v>2</v>
      </c>
      <c r="G368" s="4">
        <v>9</v>
      </c>
      <c r="H368" s="5">
        <v>495</v>
      </c>
    </row>
    <row r="369" spans="1:8" x14ac:dyDescent="0.2">
      <c r="A369" s="6">
        <v>8</v>
      </c>
      <c r="B369" s="7" t="s">
        <v>369</v>
      </c>
      <c r="C369" s="6">
        <v>91</v>
      </c>
      <c r="D369" s="8">
        <v>4.3</v>
      </c>
      <c r="E369" s="8">
        <v>2.2000000000000002</v>
      </c>
      <c r="F369" s="8">
        <v>0.6</v>
      </c>
      <c r="G369" s="8">
        <v>7.2</v>
      </c>
      <c r="H369" s="9">
        <v>393.8</v>
      </c>
    </row>
    <row r="370" spans="1:8" x14ac:dyDescent="0.2">
      <c r="A370" s="2">
        <v>8</v>
      </c>
      <c r="B370" s="3" t="s">
        <v>370</v>
      </c>
      <c r="C370" s="2">
        <v>4</v>
      </c>
      <c r="D370" s="4">
        <v>6</v>
      </c>
      <c r="E370" s="4">
        <v>6</v>
      </c>
      <c r="F370" s="4">
        <v>1.5</v>
      </c>
      <c r="G370" s="4">
        <v>13.5</v>
      </c>
      <c r="H370" s="5">
        <v>742.5</v>
      </c>
    </row>
    <row r="371" spans="1:8" x14ac:dyDescent="0.2">
      <c r="A371" s="6">
        <v>8</v>
      </c>
      <c r="B371" s="7" t="s">
        <v>371</v>
      </c>
      <c r="C371" s="6">
        <v>1</v>
      </c>
      <c r="D371" s="8">
        <v>5</v>
      </c>
      <c r="E371" s="8">
        <v>2</v>
      </c>
      <c r="F371" s="8">
        <v>1</v>
      </c>
      <c r="G371" s="8">
        <v>8</v>
      </c>
      <c r="H371" s="9">
        <v>440</v>
      </c>
    </row>
    <row r="372" spans="1:8" x14ac:dyDescent="0.2">
      <c r="A372" s="2">
        <v>8</v>
      </c>
      <c r="B372" s="3" t="s">
        <v>372</v>
      </c>
      <c r="C372" s="2">
        <v>3</v>
      </c>
      <c r="D372" s="4">
        <v>4</v>
      </c>
      <c r="E372" s="4">
        <v>1.7</v>
      </c>
      <c r="F372" s="4">
        <v>1</v>
      </c>
      <c r="G372" s="4">
        <v>6.7</v>
      </c>
      <c r="H372" s="5">
        <v>366.3</v>
      </c>
    </row>
    <row r="373" spans="1:8" x14ac:dyDescent="0.2">
      <c r="A373" s="6">
        <v>8</v>
      </c>
      <c r="B373" s="7" t="s">
        <v>373</v>
      </c>
      <c r="C373" s="6">
        <v>0</v>
      </c>
      <c r="D373" s="8">
        <v>0</v>
      </c>
      <c r="E373" s="8">
        <v>0</v>
      </c>
      <c r="F373" s="8">
        <v>0</v>
      </c>
      <c r="G373" s="8">
        <v>0</v>
      </c>
      <c r="H373" s="9">
        <v>0</v>
      </c>
    </row>
    <row r="374" spans="1:8" x14ac:dyDescent="0.2">
      <c r="A374" s="2">
        <v>8</v>
      </c>
      <c r="B374" s="3" t="s">
        <v>374</v>
      </c>
      <c r="C374" s="2">
        <v>1</v>
      </c>
      <c r="D374" s="4">
        <v>6</v>
      </c>
      <c r="E374" s="4">
        <v>5</v>
      </c>
      <c r="F374" s="4">
        <v>3</v>
      </c>
      <c r="G374" s="4">
        <v>14</v>
      </c>
      <c r="H374" s="5">
        <v>770</v>
      </c>
    </row>
    <row r="375" spans="1:8" x14ac:dyDescent="0.2">
      <c r="A375" s="6">
        <v>8</v>
      </c>
      <c r="B375" s="7" t="s">
        <v>375</v>
      </c>
      <c r="C375" s="6">
        <v>2</v>
      </c>
      <c r="D375" s="8">
        <v>4</v>
      </c>
      <c r="E375" s="8">
        <v>2</v>
      </c>
      <c r="F375" s="8">
        <v>1</v>
      </c>
      <c r="G375" s="8">
        <v>7</v>
      </c>
      <c r="H375" s="9">
        <v>385</v>
      </c>
    </row>
    <row r="376" spans="1:8" x14ac:dyDescent="0.2">
      <c r="A376" s="2">
        <v>8</v>
      </c>
      <c r="B376" s="3" t="s">
        <v>376</v>
      </c>
      <c r="C376" s="2">
        <v>75</v>
      </c>
      <c r="D376" s="4">
        <v>4.0999999999999996</v>
      </c>
      <c r="E376" s="4">
        <v>2.2999999999999998</v>
      </c>
      <c r="F376" s="4">
        <v>0.1</v>
      </c>
      <c r="G376" s="4">
        <v>6.6</v>
      </c>
      <c r="H376" s="5">
        <v>361.35</v>
      </c>
    </row>
    <row r="377" spans="1:8" x14ac:dyDescent="0.2">
      <c r="A377" s="6">
        <v>8</v>
      </c>
      <c r="B377" s="7" t="s">
        <v>377</v>
      </c>
      <c r="C377" s="6">
        <v>43</v>
      </c>
      <c r="D377" s="8">
        <v>4.9000000000000004</v>
      </c>
      <c r="E377" s="8">
        <v>4</v>
      </c>
      <c r="F377" s="8">
        <v>0.1</v>
      </c>
      <c r="G377" s="8">
        <v>9</v>
      </c>
      <c r="H377" s="9">
        <v>493.9</v>
      </c>
    </row>
    <row r="378" spans="1:8" x14ac:dyDescent="0.2">
      <c r="A378" s="2">
        <v>8</v>
      </c>
      <c r="B378" s="3" t="s">
        <v>378</v>
      </c>
      <c r="C378" s="2">
        <v>5</v>
      </c>
      <c r="D378" s="4">
        <v>6.2</v>
      </c>
      <c r="E378" s="4">
        <v>11.6</v>
      </c>
      <c r="F378" s="4">
        <v>1</v>
      </c>
      <c r="G378" s="4">
        <v>18.8</v>
      </c>
      <c r="H378" s="5">
        <v>1034</v>
      </c>
    </row>
    <row r="379" spans="1:8" x14ac:dyDescent="0.2">
      <c r="A379" s="6">
        <v>8</v>
      </c>
      <c r="B379" s="7" t="s">
        <v>379</v>
      </c>
      <c r="C379" s="6">
        <v>1</v>
      </c>
      <c r="D379" s="8">
        <v>12</v>
      </c>
      <c r="E379" s="8">
        <v>20</v>
      </c>
      <c r="F379" s="8">
        <v>0</v>
      </c>
      <c r="G379" s="8">
        <v>32</v>
      </c>
      <c r="H379" s="9">
        <v>1760</v>
      </c>
    </row>
    <row r="380" spans="1:8" x14ac:dyDescent="0.2">
      <c r="A380" s="2">
        <v>8</v>
      </c>
      <c r="B380" s="3" t="s">
        <v>380</v>
      </c>
      <c r="C380" s="2">
        <v>779</v>
      </c>
      <c r="D380" s="4">
        <v>4.4000000000000004</v>
      </c>
      <c r="E380" s="4">
        <v>2</v>
      </c>
      <c r="F380" s="4">
        <v>0.5</v>
      </c>
      <c r="G380" s="4">
        <v>6.9</v>
      </c>
      <c r="H380" s="5">
        <v>379.5</v>
      </c>
    </row>
    <row r="381" spans="1:8" x14ac:dyDescent="0.2">
      <c r="A381" s="6">
        <v>8</v>
      </c>
      <c r="B381" s="7" t="s">
        <v>381</v>
      </c>
      <c r="C381" s="6">
        <v>1</v>
      </c>
      <c r="D381" s="8">
        <v>5</v>
      </c>
      <c r="E381" s="8">
        <v>2</v>
      </c>
      <c r="F381" s="8">
        <v>0</v>
      </c>
      <c r="G381" s="8">
        <v>7</v>
      </c>
      <c r="H381" s="9">
        <v>385</v>
      </c>
    </row>
    <row r="382" spans="1:8" x14ac:dyDescent="0.2">
      <c r="A382" s="2">
        <v>8</v>
      </c>
      <c r="B382" s="3" t="s">
        <v>382</v>
      </c>
      <c r="C382" s="2">
        <v>447</v>
      </c>
      <c r="D382" s="4">
        <v>4.5</v>
      </c>
      <c r="E382" s="4">
        <v>3.3</v>
      </c>
      <c r="F382" s="4">
        <v>0.5</v>
      </c>
      <c r="G382" s="4">
        <v>8.1999999999999993</v>
      </c>
      <c r="H382" s="5">
        <v>453.2</v>
      </c>
    </row>
    <row r="383" spans="1:8" x14ac:dyDescent="0.2">
      <c r="A383" s="6">
        <v>8</v>
      </c>
      <c r="B383" s="7" t="s">
        <v>383</v>
      </c>
      <c r="C383" s="6">
        <v>90</v>
      </c>
      <c r="D383" s="8">
        <v>4.9000000000000004</v>
      </c>
      <c r="E383" s="8">
        <v>3.2</v>
      </c>
      <c r="F383" s="8">
        <v>0.3</v>
      </c>
      <c r="G383" s="8">
        <v>8.4</v>
      </c>
      <c r="H383" s="9">
        <v>464.2</v>
      </c>
    </row>
    <row r="384" spans="1:8" x14ac:dyDescent="0.2">
      <c r="A384" s="2">
        <v>8</v>
      </c>
      <c r="B384" s="3" t="s">
        <v>384</v>
      </c>
      <c r="C384" s="2">
        <v>1</v>
      </c>
      <c r="D384" s="4">
        <v>6</v>
      </c>
      <c r="E384" s="4">
        <v>3</v>
      </c>
      <c r="F384" s="4">
        <v>2</v>
      </c>
      <c r="G384" s="4">
        <v>11</v>
      </c>
      <c r="H384" s="5">
        <v>605</v>
      </c>
    </row>
    <row r="385" spans="1:8" x14ac:dyDescent="0.2">
      <c r="A385" s="6">
        <v>8</v>
      </c>
      <c r="B385" s="7" t="s">
        <v>385</v>
      </c>
      <c r="C385" s="6">
        <v>1</v>
      </c>
      <c r="D385" s="8">
        <v>4</v>
      </c>
      <c r="E385" s="8">
        <v>2</v>
      </c>
      <c r="F385" s="8">
        <v>0</v>
      </c>
      <c r="G385" s="8">
        <v>6</v>
      </c>
      <c r="H385" s="9">
        <v>330</v>
      </c>
    </row>
    <row r="386" spans="1:8" x14ac:dyDescent="0.2">
      <c r="A386" s="2">
        <v>8</v>
      </c>
      <c r="B386" s="3" t="s">
        <v>386</v>
      </c>
      <c r="C386" s="2">
        <v>97</v>
      </c>
      <c r="D386" s="4">
        <v>4.8</v>
      </c>
      <c r="E386" s="4">
        <v>3.7</v>
      </c>
      <c r="F386" s="4">
        <v>0.8</v>
      </c>
      <c r="G386" s="4">
        <v>9.1999999999999993</v>
      </c>
      <c r="H386" s="5">
        <v>507.65</v>
      </c>
    </row>
    <row r="387" spans="1:8" x14ac:dyDescent="0.2">
      <c r="A387" s="6">
        <v>8</v>
      </c>
      <c r="B387" s="7" t="s">
        <v>387</v>
      </c>
      <c r="C387" s="6">
        <v>1</v>
      </c>
      <c r="D387" s="8">
        <v>5</v>
      </c>
      <c r="E387" s="8">
        <v>3</v>
      </c>
      <c r="F387" s="8">
        <v>0</v>
      </c>
      <c r="G387" s="8">
        <v>8</v>
      </c>
      <c r="H387" s="9">
        <v>440</v>
      </c>
    </row>
    <row r="388" spans="1:8" x14ac:dyDescent="0.2">
      <c r="A388" s="2">
        <v>8</v>
      </c>
      <c r="B388" s="3" t="s">
        <v>388</v>
      </c>
      <c r="C388" s="2">
        <v>0</v>
      </c>
      <c r="D388" s="4">
        <v>0</v>
      </c>
      <c r="E388" s="4">
        <v>0</v>
      </c>
      <c r="F388" s="4">
        <v>0</v>
      </c>
      <c r="G388" s="4">
        <v>0</v>
      </c>
      <c r="H388" s="5">
        <v>0</v>
      </c>
    </row>
    <row r="389" spans="1:8" x14ac:dyDescent="0.2">
      <c r="A389" s="6">
        <v>8</v>
      </c>
      <c r="B389" s="7" t="s">
        <v>389</v>
      </c>
      <c r="C389" s="6">
        <v>8</v>
      </c>
      <c r="D389" s="8">
        <v>5</v>
      </c>
      <c r="E389" s="8">
        <v>4</v>
      </c>
      <c r="F389" s="8">
        <v>0.1</v>
      </c>
      <c r="G389" s="8">
        <v>9.1</v>
      </c>
      <c r="H389" s="9">
        <v>501.6</v>
      </c>
    </row>
    <row r="390" spans="1:8" x14ac:dyDescent="0.2">
      <c r="A390" s="2">
        <v>8</v>
      </c>
      <c r="B390" s="3" t="s">
        <v>390</v>
      </c>
      <c r="C390" s="2">
        <v>2</v>
      </c>
      <c r="D390" s="4">
        <v>8</v>
      </c>
      <c r="E390" s="4">
        <v>7</v>
      </c>
      <c r="F390" s="4">
        <v>1.5</v>
      </c>
      <c r="G390" s="4">
        <v>16.5</v>
      </c>
      <c r="H390" s="5">
        <v>907.5</v>
      </c>
    </row>
    <row r="391" spans="1:8" x14ac:dyDescent="0.2">
      <c r="A391" s="6">
        <v>8</v>
      </c>
      <c r="B391" s="7" t="s">
        <v>391</v>
      </c>
      <c r="C391" s="6">
        <v>1</v>
      </c>
      <c r="D391" s="8">
        <v>0</v>
      </c>
      <c r="E391" s="8">
        <v>1</v>
      </c>
      <c r="F391" s="8">
        <v>1</v>
      </c>
      <c r="G391" s="8">
        <v>2</v>
      </c>
      <c r="H391" s="9">
        <v>110</v>
      </c>
    </row>
    <row r="392" spans="1:8" x14ac:dyDescent="0.2">
      <c r="A392" s="2">
        <v>8</v>
      </c>
      <c r="B392" s="3" t="s">
        <v>392</v>
      </c>
      <c r="C392" s="2">
        <v>454</v>
      </c>
      <c r="D392" s="4">
        <v>3.9</v>
      </c>
      <c r="E392" s="4">
        <v>1.2</v>
      </c>
      <c r="F392" s="4">
        <v>0.1</v>
      </c>
      <c r="G392" s="4">
        <v>5.2</v>
      </c>
      <c r="H392" s="5">
        <v>286.55</v>
      </c>
    </row>
    <row r="393" spans="1:8" x14ac:dyDescent="0.2">
      <c r="A393" s="6">
        <v>8</v>
      </c>
      <c r="B393" s="7" t="s">
        <v>393</v>
      </c>
      <c r="C393" s="6">
        <v>29</v>
      </c>
      <c r="D393" s="8">
        <v>5.0999999999999996</v>
      </c>
      <c r="E393" s="8">
        <v>6.4</v>
      </c>
      <c r="F393" s="8">
        <v>1.2</v>
      </c>
      <c r="G393" s="8">
        <v>12.7</v>
      </c>
      <c r="H393" s="9">
        <v>696.85</v>
      </c>
    </row>
    <row r="394" spans="1:8" x14ac:dyDescent="0.2">
      <c r="A394" s="2">
        <v>8</v>
      </c>
      <c r="B394" s="3" t="s">
        <v>394</v>
      </c>
      <c r="C394" s="2">
        <v>737</v>
      </c>
      <c r="D394" s="4">
        <v>4</v>
      </c>
      <c r="E394" s="4">
        <v>3.6</v>
      </c>
      <c r="F394" s="4">
        <v>0.8</v>
      </c>
      <c r="G394" s="4">
        <v>8.3000000000000007</v>
      </c>
      <c r="H394" s="5">
        <v>457.6</v>
      </c>
    </row>
    <row r="395" spans="1:8" x14ac:dyDescent="0.2">
      <c r="A395" s="6">
        <v>8</v>
      </c>
      <c r="B395" s="7" t="s">
        <v>395</v>
      </c>
      <c r="C395" s="6">
        <v>1</v>
      </c>
      <c r="D395" s="8">
        <v>5</v>
      </c>
      <c r="E395" s="8">
        <v>8</v>
      </c>
      <c r="F395" s="8">
        <v>0</v>
      </c>
      <c r="G395" s="8">
        <v>13</v>
      </c>
      <c r="H395" s="9">
        <v>715</v>
      </c>
    </row>
    <row r="396" spans="1:8" x14ac:dyDescent="0.2">
      <c r="A396" s="2">
        <v>8</v>
      </c>
      <c r="B396" s="3" t="s">
        <v>396</v>
      </c>
      <c r="C396" s="2">
        <v>1</v>
      </c>
      <c r="D396" s="4">
        <v>4</v>
      </c>
      <c r="E396" s="4">
        <v>4</v>
      </c>
      <c r="F396" s="4">
        <v>0</v>
      </c>
      <c r="G396" s="4">
        <v>8</v>
      </c>
      <c r="H396" s="5">
        <v>440</v>
      </c>
    </row>
    <row r="397" spans="1:8" x14ac:dyDescent="0.2">
      <c r="A397" s="6">
        <v>8</v>
      </c>
      <c r="B397" s="7" t="s">
        <v>397</v>
      </c>
      <c r="C397" s="6">
        <v>1</v>
      </c>
      <c r="D397" s="8">
        <v>0</v>
      </c>
      <c r="E397" s="8">
        <v>2</v>
      </c>
      <c r="F397" s="8">
        <v>0</v>
      </c>
      <c r="G397" s="8">
        <v>2</v>
      </c>
      <c r="H397" s="9">
        <v>110</v>
      </c>
    </row>
    <row r="398" spans="1:8" x14ac:dyDescent="0.2">
      <c r="A398" s="2">
        <v>8</v>
      </c>
      <c r="B398" s="3" t="s">
        <v>398</v>
      </c>
      <c r="C398" s="2">
        <v>6</v>
      </c>
      <c r="D398" s="4">
        <v>2.2000000000000002</v>
      </c>
      <c r="E398" s="4">
        <v>2</v>
      </c>
      <c r="F398" s="4">
        <v>0.3</v>
      </c>
      <c r="G398" s="4">
        <v>4.5</v>
      </c>
      <c r="H398" s="5">
        <v>246.95</v>
      </c>
    </row>
    <row r="399" spans="1:8" x14ac:dyDescent="0.2">
      <c r="A399" s="6">
        <v>8</v>
      </c>
      <c r="B399" s="7" t="s">
        <v>399</v>
      </c>
      <c r="C399" s="6">
        <v>5</v>
      </c>
      <c r="D399" s="8">
        <v>4</v>
      </c>
      <c r="E399" s="8">
        <v>5.8</v>
      </c>
      <c r="F399" s="8">
        <v>0.6</v>
      </c>
      <c r="G399" s="8">
        <v>10.4</v>
      </c>
      <c r="H399" s="9">
        <v>572</v>
      </c>
    </row>
    <row r="400" spans="1:8" x14ac:dyDescent="0.2">
      <c r="A400" s="2">
        <v>8</v>
      </c>
      <c r="B400" s="3" t="s">
        <v>400</v>
      </c>
      <c r="C400" s="2">
        <v>5</v>
      </c>
      <c r="D400" s="4">
        <v>4.8</v>
      </c>
      <c r="E400" s="4">
        <v>5.4</v>
      </c>
      <c r="F400" s="4">
        <v>0</v>
      </c>
      <c r="G400" s="4">
        <v>10.199999999999999</v>
      </c>
      <c r="H400" s="5">
        <v>561</v>
      </c>
    </row>
    <row r="401" spans="1:8" x14ac:dyDescent="0.2">
      <c r="A401" s="6">
        <v>8</v>
      </c>
      <c r="B401" s="7" t="s">
        <v>401</v>
      </c>
      <c r="C401" s="6">
        <v>1</v>
      </c>
      <c r="D401" s="8">
        <v>0</v>
      </c>
      <c r="E401" s="8">
        <v>2</v>
      </c>
      <c r="F401" s="8">
        <v>0</v>
      </c>
      <c r="G401" s="8">
        <v>2</v>
      </c>
      <c r="H401" s="9">
        <v>110</v>
      </c>
    </row>
    <row r="402" spans="1:8" x14ac:dyDescent="0.2">
      <c r="A402" s="2">
        <v>8</v>
      </c>
      <c r="B402" s="3" t="s">
        <v>402</v>
      </c>
      <c r="C402" s="2">
        <v>7</v>
      </c>
      <c r="D402" s="4">
        <v>4</v>
      </c>
      <c r="E402" s="4">
        <v>4</v>
      </c>
      <c r="F402" s="4">
        <v>1</v>
      </c>
      <c r="G402" s="4">
        <v>9</v>
      </c>
      <c r="H402" s="5">
        <v>495</v>
      </c>
    </row>
    <row r="403" spans="1:8" x14ac:dyDescent="0.2">
      <c r="A403" s="6">
        <v>8</v>
      </c>
      <c r="B403" s="7" t="s">
        <v>403</v>
      </c>
      <c r="C403" s="6">
        <v>14</v>
      </c>
      <c r="D403" s="8">
        <v>9.8000000000000007</v>
      </c>
      <c r="E403" s="8">
        <v>10.5</v>
      </c>
      <c r="F403" s="8">
        <v>2.5</v>
      </c>
      <c r="G403" s="8">
        <v>22.8</v>
      </c>
      <c r="H403" s="9">
        <v>1254</v>
      </c>
    </row>
    <row r="404" spans="1:8" x14ac:dyDescent="0.2">
      <c r="A404" s="2">
        <v>8</v>
      </c>
      <c r="B404" s="3" t="s">
        <v>404</v>
      </c>
      <c r="C404" s="2">
        <v>19</v>
      </c>
      <c r="D404" s="4">
        <v>10.3</v>
      </c>
      <c r="E404" s="4">
        <v>8.6999999999999993</v>
      </c>
      <c r="F404" s="4">
        <v>2.1</v>
      </c>
      <c r="G404" s="4">
        <v>21.1</v>
      </c>
      <c r="H404" s="5">
        <v>1159.95</v>
      </c>
    </row>
    <row r="405" spans="1:8" x14ac:dyDescent="0.2">
      <c r="A405" s="6">
        <v>8</v>
      </c>
      <c r="B405" s="7" t="s">
        <v>405</v>
      </c>
      <c r="C405" s="6">
        <v>0</v>
      </c>
      <c r="D405" s="8">
        <v>0</v>
      </c>
      <c r="E405" s="8">
        <v>0</v>
      </c>
      <c r="F405" s="8">
        <v>0</v>
      </c>
      <c r="G405" s="8">
        <v>0</v>
      </c>
      <c r="H405" s="9">
        <v>0</v>
      </c>
    </row>
    <row r="406" spans="1:8" x14ac:dyDescent="0.2">
      <c r="A406" s="2">
        <v>8</v>
      </c>
      <c r="B406" s="3" t="s">
        <v>406</v>
      </c>
      <c r="C406" s="2">
        <v>8</v>
      </c>
      <c r="D406" s="4">
        <v>8</v>
      </c>
      <c r="E406" s="4">
        <v>6.9</v>
      </c>
      <c r="F406" s="4">
        <v>1</v>
      </c>
      <c r="G406" s="4">
        <v>15.9</v>
      </c>
      <c r="H406" s="5">
        <v>872.85</v>
      </c>
    </row>
    <row r="407" spans="1:8" x14ac:dyDescent="0.2">
      <c r="A407" s="6">
        <v>8</v>
      </c>
      <c r="B407" s="7" t="s">
        <v>407</v>
      </c>
      <c r="C407" s="6">
        <v>121</v>
      </c>
      <c r="D407" s="8">
        <v>8</v>
      </c>
      <c r="E407" s="8">
        <v>6.4</v>
      </c>
      <c r="F407" s="8">
        <v>1.6</v>
      </c>
      <c r="G407" s="8">
        <v>15.9</v>
      </c>
      <c r="H407" s="9">
        <v>875.05</v>
      </c>
    </row>
    <row r="408" spans="1:8" x14ac:dyDescent="0.2">
      <c r="A408" s="2">
        <v>8</v>
      </c>
      <c r="B408" s="3" t="s">
        <v>408</v>
      </c>
      <c r="C408" s="2">
        <v>9</v>
      </c>
      <c r="D408" s="4">
        <v>7.2</v>
      </c>
      <c r="E408" s="4">
        <v>9.6</v>
      </c>
      <c r="F408" s="4">
        <v>2.2999999999999998</v>
      </c>
      <c r="G408" s="4">
        <v>19.100000000000001</v>
      </c>
      <c r="H408" s="5">
        <v>1050.5</v>
      </c>
    </row>
    <row r="409" spans="1:8" x14ac:dyDescent="0.2">
      <c r="A409" s="6">
        <v>8</v>
      </c>
      <c r="B409" s="7" t="s">
        <v>409</v>
      </c>
      <c r="C409" s="6">
        <v>6</v>
      </c>
      <c r="D409" s="8">
        <v>3.8</v>
      </c>
      <c r="E409" s="8">
        <v>3.8</v>
      </c>
      <c r="F409" s="8">
        <v>0.5</v>
      </c>
      <c r="G409" s="8">
        <v>8.1999999999999993</v>
      </c>
      <c r="H409" s="9">
        <v>448.8</v>
      </c>
    </row>
    <row r="410" spans="1:8" x14ac:dyDescent="0.2">
      <c r="A410" s="2">
        <v>8</v>
      </c>
      <c r="B410" s="3" t="s">
        <v>410</v>
      </c>
      <c r="C410" s="2">
        <v>15</v>
      </c>
      <c r="D410" s="4">
        <v>2.9</v>
      </c>
      <c r="E410" s="4">
        <v>3</v>
      </c>
      <c r="F410" s="4">
        <v>0.1</v>
      </c>
      <c r="G410" s="4">
        <v>6.1</v>
      </c>
      <c r="H410" s="5">
        <v>333.3</v>
      </c>
    </row>
    <row r="411" spans="1:8" x14ac:dyDescent="0.2">
      <c r="A411" s="6">
        <v>8</v>
      </c>
      <c r="B411" s="7" t="s">
        <v>411</v>
      </c>
      <c r="C411" s="6">
        <v>0</v>
      </c>
      <c r="D411" s="8">
        <v>0</v>
      </c>
      <c r="E411" s="8">
        <v>0</v>
      </c>
      <c r="F411" s="8">
        <v>0</v>
      </c>
      <c r="G411" s="8">
        <v>0</v>
      </c>
      <c r="H411" s="9">
        <v>0</v>
      </c>
    </row>
    <row r="412" spans="1:8" x14ac:dyDescent="0.2">
      <c r="A412" s="2">
        <v>8</v>
      </c>
      <c r="B412" s="3" t="s">
        <v>412</v>
      </c>
      <c r="C412" s="2">
        <v>14</v>
      </c>
      <c r="D412" s="4">
        <v>3.1</v>
      </c>
      <c r="E412" s="4">
        <v>3.4</v>
      </c>
      <c r="F412" s="4">
        <v>1.1000000000000001</v>
      </c>
      <c r="G412" s="4">
        <v>7.6</v>
      </c>
      <c r="H412" s="5">
        <v>419.65</v>
      </c>
    </row>
    <row r="413" spans="1:8" x14ac:dyDescent="0.2">
      <c r="A413" s="6">
        <v>8</v>
      </c>
      <c r="B413" s="7" t="s">
        <v>413</v>
      </c>
      <c r="C413" s="6">
        <v>304</v>
      </c>
      <c r="D413" s="8">
        <v>7.5</v>
      </c>
      <c r="E413" s="8">
        <v>10.5</v>
      </c>
      <c r="F413" s="8">
        <v>1</v>
      </c>
      <c r="G413" s="8">
        <v>18.899999999999999</v>
      </c>
      <c r="H413" s="9">
        <v>1037.8499999999999</v>
      </c>
    </row>
    <row r="414" spans="1:8" x14ac:dyDescent="0.2">
      <c r="A414" s="2">
        <v>9</v>
      </c>
      <c r="B414" s="3" t="s">
        <v>414</v>
      </c>
      <c r="C414" s="2">
        <v>0</v>
      </c>
      <c r="D414" s="4">
        <v>0</v>
      </c>
      <c r="E414" s="4">
        <v>0</v>
      </c>
      <c r="F414" s="4">
        <v>0</v>
      </c>
      <c r="G414" s="4">
        <v>0</v>
      </c>
      <c r="H414" s="5">
        <v>0</v>
      </c>
    </row>
    <row r="415" spans="1:8" x14ac:dyDescent="0.2">
      <c r="A415" s="6">
        <v>9</v>
      </c>
      <c r="B415" s="7" t="s">
        <v>415</v>
      </c>
      <c r="C415" s="6">
        <v>29</v>
      </c>
      <c r="D415" s="8">
        <v>8</v>
      </c>
      <c r="E415" s="8">
        <v>6.9</v>
      </c>
      <c r="F415" s="8">
        <v>1.8</v>
      </c>
      <c r="G415" s="8">
        <v>16.7</v>
      </c>
      <c r="H415" s="9">
        <v>919.6</v>
      </c>
    </row>
    <row r="416" spans="1:8" x14ac:dyDescent="0.2">
      <c r="A416" s="2">
        <v>9</v>
      </c>
      <c r="B416" s="3" t="s">
        <v>416</v>
      </c>
      <c r="C416" s="2">
        <v>7</v>
      </c>
      <c r="D416" s="4">
        <v>10</v>
      </c>
      <c r="E416" s="4">
        <v>12.1</v>
      </c>
      <c r="F416" s="4">
        <v>1.6</v>
      </c>
      <c r="G416" s="4">
        <v>23.7</v>
      </c>
      <c r="H416" s="5">
        <v>1304.05</v>
      </c>
    </row>
    <row r="417" spans="1:8" x14ac:dyDescent="0.2">
      <c r="A417" s="6">
        <v>9</v>
      </c>
      <c r="B417" s="7" t="s">
        <v>417</v>
      </c>
      <c r="C417" s="6">
        <v>102</v>
      </c>
      <c r="D417" s="8">
        <v>5.9</v>
      </c>
      <c r="E417" s="8">
        <v>5</v>
      </c>
      <c r="F417" s="8">
        <v>1</v>
      </c>
      <c r="G417" s="8">
        <v>12</v>
      </c>
      <c r="H417" s="9">
        <v>657.8</v>
      </c>
    </row>
    <row r="418" spans="1:8" x14ac:dyDescent="0.2">
      <c r="A418" s="2">
        <v>9</v>
      </c>
      <c r="B418" s="3" t="s">
        <v>418</v>
      </c>
      <c r="C418" s="2">
        <v>1</v>
      </c>
      <c r="D418" s="4">
        <v>5</v>
      </c>
      <c r="E418" s="4">
        <v>6</v>
      </c>
      <c r="F418" s="4">
        <v>1</v>
      </c>
      <c r="G418" s="4">
        <v>12</v>
      </c>
      <c r="H418" s="5">
        <v>660</v>
      </c>
    </row>
    <row r="419" spans="1:8" x14ac:dyDescent="0.2">
      <c r="A419" s="6">
        <v>9</v>
      </c>
      <c r="B419" s="7" t="s">
        <v>419</v>
      </c>
      <c r="C419" s="6">
        <v>39</v>
      </c>
      <c r="D419" s="8">
        <v>4.4000000000000004</v>
      </c>
      <c r="E419" s="8">
        <v>3.5</v>
      </c>
      <c r="F419" s="8">
        <v>0.7</v>
      </c>
      <c r="G419" s="8">
        <v>8.6</v>
      </c>
      <c r="H419" s="9">
        <v>474.65</v>
      </c>
    </row>
    <row r="420" spans="1:8" x14ac:dyDescent="0.2">
      <c r="A420" s="2">
        <v>9</v>
      </c>
      <c r="B420" s="3" t="s">
        <v>420</v>
      </c>
      <c r="C420" s="2">
        <v>10</v>
      </c>
      <c r="D420" s="4">
        <v>4.8</v>
      </c>
      <c r="E420" s="4">
        <v>6.5</v>
      </c>
      <c r="F420" s="4">
        <v>0.4</v>
      </c>
      <c r="G420" s="4">
        <v>11.7</v>
      </c>
      <c r="H420" s="5">
        <v>643.5</v>
      </c>
    </row>
    <row r="421" spans="1:8" x14ac:dyDescent="0.2">
      <c r="A421" s="6">
        <v>9</v>
      </c>
      <c r="B421" s="7" t="s">
        <v>421</v>
      </c>
      <c r="C421" s="6">
        <v>22</v>
      </c>
      <c r="D421" s="8">
        <v>6.4</v>
      </c>
      <c r="E421" s="8">
        <v>8</v>
      </c>
      <c r="F421" s="8">
        <v>0.7</v>
      </c>
      <c r="G421" s="8">
        <v>15.2</v>
      </c>
      <c r="H421" s="9">
        <v>833.8</v>
      </c>
    </row>
    <row r="422" spans="1:8" x14ac:dyDescent="0.2">
      <c r="A422" s="2">
        <v>9</v>
      </c>
      <c r="B422" s="3" t="s">
        <v>422</v>
      </c>
      <c r="C422" s="2">
        <v>1</v>
      </c>
      <c r="D422" s="4">
        <v>0</v>
      </c>
      <c r="E422" s="4">
        <v>9</v>
      </c>
      <c r="F422" s="4">
        <v>0</v>
      </c>
      <c r="G422" s="4">
        <v>9</v>
      </c>
      <c r="H422" s="5">
        <v>495</v>
      </c>
    </row>
    <row r="423" spans="1:8" x14ac:dyDescent="0.2">
      <c r="A423" s="6">
        <v>9</v>
      </c>
      <c r="B423" s="7" t="s">
        <v>423</v>
      </c>
      <c r="C423" s="6">
        <v>1</v>
      </c>
      <c r="D423" s="8">
        <v>6</v>
      </c>
      <c r="E423" s="8">
        <v>8</v>
      </c>
      <c r="F423" s="8">
        <v>0</v>
      </c>
      <c r="G423" s="8">
        <v>14</v>
      </c>
      <c r="H423" s="9">
        <v>770</v>
      </c>
    </row>
    <row r="424" spans="1:8" x14ac:dyDescent="0.2">
      <c r="A424" s="2">
        <v>9</v>
      </c>
      <c r="B424" s="3" t="s">
        <v>424</v>
      </c>
      <c r="C424" s="2">
        <v>439</v>
      </c>
      <c r="D424" s="4">
        <v>4</v>
      </c>
      <c r="E424" s="4">
        <v>2.2000000000000002</v>
      </c>
      <c r="F424" s="4">
        <v>0.5</v>
      </c>
      <c r="G424" s="4">
        <v>6.7</v>
      </c>
      <c r="H424" s="5">
        <v>370.15</v>
      </c>
    </row>
    <row r="425" spans="1:8" x14ac:dyDescent="0.2">
      <c r="A425" s="6">
        <v>9</v>
      </c>
      <c r="B425" s="7" t="s">
        <v>425</v>
      </c>
      <c r="C425" s="6">
        <v>2</v>
      </c>
      <c r="D425" s="8">
        <v>4</v>
      </c>
      <c r="E425" s="8">
        <v>2</v>
      </c>
      <c r="F425" s="8">
        <v>0</v>
      </c>
      <c r="G425" s="8">
        <v>6</v>
      </c>
      <c r="H425" s="9">
        <v>330</v>
      </c>
    </row>
    <row r="426" spans="1:8" x14ac:dyDescent="0.2">
      <c r="A426" s="2">
        <v>9</v>
      </c>
      <c r="B426" s="3" t="s">
        <v>426</v>
      </c>
      <c r="C426" s="2">
        <v>1</v>
      </c>
      <c r="D426" s="4">
        <v>4</v>
      </c>
      <c r="E426" s="4">
        <v>3</v>
      </c>
      <c r="F426" s="4">
        <v>0</v>
      </c>
      <c r="G426" s="4">
        <v>7</v>
      </c>
      <c r="H426" s="5">
        <v>385</v>
      </c>
    </row>
    <row r="427" spans="1:8" x14ac:dyDescent="0.2">
      <c r="A427" s="6">
        <v>9</v>
      </c>
      <c r="B427" s="7" t="s">
        <v>427</v>
      </c>
      <c r="C427" s="6">
        <v>85</v>
      </c>
      <c r="D427" s="8">
        <v>4.0999999999999996</v>
      </c>
      <c r="E427" s="8">
        <v>2.8</v>
      </c>
      <c r="F427" s="8">
        <v>0.2</v>
      </c>
      <c r="G427" s="8">
        <v>7.1</v>
      </c>
      <c r="H427" s="9">
        <v>391.6</v>
      </c>
    </row>
    <row r="428" spans="1:8" x14ac:dyDescent="0.2">
      <c r="A428" s="2">
        <v>9</v>
      </c>
      <c r="B428" s="3" t="s">
        <v>428</v>
      </c>
      <c r="C428" s="2">
        <v>10</v>
      </c>
      <c r="D428" s="4">
        <v>4</v>
      </c>
      <c r="E428" s="4">
        <v>3.2</v>
      </c>
      <c r="F428" s="4">
        <v>0.9</v>
      </c>
      <c r="G428" s="4">
        <v>8.1</v>
      </c>
      <c r="H428" s="5">
        <v>445.5</v>
      </c>
    </row>
    <row r="429" spans="1:8" x14ac:dyDescent="0.2">
      <c r="A429" s="6">
        <v>9</v>
      </c>
      <c r="B429" s="7" t="s">
        <v>429</v>
      </c>
      <c r="C429" s="6">
        <v>82</v>
      </c>
      <c r="D429" s="8">
        <v>4</v>
      </c>
      <c r="E429" s="8">
        <v>2.9</v>
      </c>
      <c r="F429" s="8">
        <v>0.5</v>
      </c>
      <c r="G429" s="8">
        <v>7.3</v>
      </c>
      <c r="H429" s="9">
        <v>401.5</v>
      </c>
    </row>
    <row r="430" spans="1:8" x14ac:dyDescent="0.2">
      <c r="A430" s="2">
        <v>9</v>
      </c>
      <c r="B430" s="3" t="s">
        <v>430</v>
      </c>
      <c r="C430" s="2">
        <v>1</v>
      </c>
      <c r="D430" s="4">
        <v>4</v>
      </c>
      <c r="E430" s="4">
        <v>2</v>
      </c>
      <c r="F430" s="4">
        <v>0</v>
      </c>
      <c r="G430" s="4">
        <v>6</v>
      </c>
      <c r="H430" s="5">
        <v>330</v>
      </c>
    </row>
    <row r="431" spans="1:8" x14ac:dyDescent="0.2">
      <c r="A431" s="6">
        <v>9</v>
      </c>
      <c r="B431" s="7" t="s">
        <v>431</v>
      </c>
      <c r="C431" s="6">
        <v>616</v>
      </c>
      <c r="D431" s="8">
        <v>4</v>
      </c>
      <c r="E431" s="8">
        <v>2.1</v>
      </c>
      <c r="F431" s="8">
        <v>0.5</v>
      </c>
      <c r="G431" s="8">
        <v>6.5</v>
      </c>
      <c r="H431" s="9">
        <v>359.7</v>
      </c>
    </row>
    <row r="432" spans="1:8" x14ac:dyDescent="0.2">
      <c r="A432" s="2">
        <v>9</v>
      </c>
      <c r="B432" s="3" t="s">
        <v>432</v>
      </c>
      <c r="C432" s="2">
        <v>11</v>
      </c>
      <c r="D432" s="4">
        <v>3.6</v>
      </c>
      <c r="E432" s="4">
        <v>2.6</v>
      </c>
      <c r="F432" s="4">
        <v>0.4</v>
      </c>
      <c r="G432" s="4">
        <v>6.6</v>
      </c>
      <c r="H432" s="5">
        <v>364.1</v>
      </c>
    </row>
    <row r="433" spans="1:8" x14ac:dyDescent="0.2">
      <c r="A433" s="6">
        <v>9</v>
      </c>
      <c r="B433" s="7" t="s">
        <v>433</v>
      </c>
      <c r="C433" s="6">
        <v>243</v>
      </c>
      <c r="D433" s="8">
        <v>4</v>
      </c>
      <c r="E433" s="8">
        <v>2.1</v>
      </c>
      <c r="F433" s="8">
        <v>0.3</v>
      </c>
      <c r="G433" s="8">
        <v>6.4</v>
      </c>
      <c r="H433" s="9">
        <v>353.65</v>
      </c>
    </row>
    <row r="434" spans="1:8" x14ac:dyDescent="0.2">
      <c r="A434" s="2">
        <v>9</v>
      </c>
      <c r="B434" s="3" t="s">
        <v>434</v>
      </c>
      <c r="C434" s="2">
        <v>143</v>
      </c>
      <c r="D434" s="4">
        <v>5.9</v>
      </c>
      <c r="E434" s="4">
        <v>7</v>
      </c>
      <c r="F434" s="4">
        <v>1.1000000000000001</v>
      </c>
      <c r="G434" s="4">
        <v>14</v>
      </c>
      <c r="H434" s="5">
        <v>767.25</v>
      </c>
    </row>
    <row r="435" spans="1:8" x14ac:dyDescent="0.2">
      <c r="A435" s="6">
        <v>9</v>
      </c>
      <c r="B435" s="7" t="s">
        <v>435</v>
      </c>
      <c r="C435" s="6">
        <v>14</v>
      </c>
      <c r="D435" s="8">
        <v>4.9000000000000004</v>
      </c>
      <c r="E435" s="8">
        <v>3.8</v>
      </c>
      <c r="F435" s="8">
        <v>0.1</v>
      </c>
      <c r="G435" s="8">
        <v>8.8000000000000007</v>
      </c>
      <c r="H435" s="9">
        <v>482.35</v>
      </c>
    </row>
    <row r="436" spans="1:8" x14ac:dyDescent="0.2">
      <c r="A436" s="2">
        <v>9</v>
      </c>
      <c r="B436" s="3" t="s">
        <v>436</v>
      </c>
      <c r="C436" s="2">
        <v>109</v>
      </c>
      <c r="D436" s="4">
        <v>3.8</v>
      </c>
      <c r="E436" s="4">
        <v>4.0999999999999996</v>
      </c>
      <c r="F436" s="4">
        <v>0.8</v>
      </c>
      <c r="G436" s="4">
        <v>8.6999999999999993</v>
      </c>
      <c r="H436" s="5">
        <v>476.3</v>
      </c>
    </row>
    <row r="437" spans="1:8" x14ac:dyDescent="0.2">
      <c r="A437" s="6">
        <v>9</v>
      </c>
      <c r="B437" s="7" t="s">
        <v>437</v>
      </c>
      <c r="C437" s="6">
        <v>1</v>
      </c>
      <c r="D437" s="8">
        <v>5</v>
      </c>
      <c r="E437" s="8">
        <v>4</v>
      </c>
      <c r="F437" s="8">
        <v>3</v>
      </c>
      <c r="G437" s="8">
        <v>12</v>
      </c>
      <c r="H437" s="9">
        <v>660</v>
      </c>
    </row>
    <row r="438" spans="1:8" x14ac:dyDescent="0.2">
      <c r="A438" s="2">
        <v>9</v>
      </c>
      <c r="B438" s="3" t="s">
        <v>438</v>
      </c>
      <c r="C438" s="2">
        <v>0</v>
      </c>
      <c r="D438" s="4">
        <v>0</v>
      </c>
      <c r="E438" s="4">
        <v>0</v>
      </c>
      <c r="F438" s="4">
        <v>0</v>
      </c>
      <c r="G438" s="4">
        <v>0</v>
      </c>
      <c r="H438" s="5">
        <v>0</v>
      </c>
    </row>
    <row r="439" spans="1:8" x14ac:dyDescent="0.2">
      <c r="A439" s="6">
        <v>9</v>
      </c>
      <c r="B439" s="7" t="s">
        <v>439</v>
      </c>
      <c r="C439" s="6">
        <v>1</v>
      </c>
      <c r="D439" s="8">
        <v>6</v>
      </c>
      <c r="E439" s="8">
        <v>5</v>
      </c>
      <c r="F439" s="8">
        <v>2</v>
      </c>
      <c r="G439" s="8">
        <v>13</v>
      </c>
      <c r="H439" s="9">
        <v>715</v>
      </c>
    </row>
    <row r="440" spans="1:8" x14ac:dyDescent="0.2">
      <c r="A440" s="2">
        <v>9</v>
      </c>
      <c r="B440" s="3" t="s">
        <v>440</v>
      </c>
      <c r="C440" s="2">
        <v>1</v>
      </c>
      <c r="D440" s="4">
        <v>0</v>
      </c>
      <c r="E440" s="4">
        <v>4</v>
      </c>
      <c r="F440" s="4">
        <v>0</v>
      </c>
      <c r="G440" s="4">
        <v>4</v>
      </c>
      <c r="H440" s="5">
        <v>220</v>
      </c>
    </row>
    <row r="441" spans="1:8" x14ac:dyDescent="0.2">
      <c r="A441" s="6">
        <v>9</v>
      </c>
      <c r="B441" s="7" t="s">
        <v>441</v>
      </c>
      <c r="C441" s="6">
        <v>1</v>
      </c>
      <c r="D441" s="8">
        <v>4</v>
      </c>
      <c r="E441" s="8">
        <v>2</v>
      </c>
      <c r="F441" s="8">
        <v>1</v>
      </c>
      <c r="G441" s="8">
        <v>7</v>
      </c>
      <c r="H441" s="9">
        <v>385</v>
      </c>
    </row>
    <row r="442" spans="1:8" x14ac:dyDescent="0.2">
      <c r="A442" s="2">
        <v>9</v>
      </c>
      <c r="B442" s="3" t="s">
        <v>442</v>
      </c>
      <c r="C442" s="2">
        <v>0</v>
      </c>
      <c r="D442" s="4">
        <v>0</v>
      </c>
      <c r="E442" s="4">
        <v>0</v>
      </c>
      <c r="F442" s="4">
        <v>0</v>
      </c>
      <c r="G442" s="4">
        <v>0</v>
      </c>
      <c r="H442" s="5">
        <v>0</v>
      </c>
    </row>
    <row r="443" spans="1:8" x14ac:dyDescent="0.2">
      <c r="A443" s="6">
        <v>9</v>
      </c>
      <c r="B443" s="7" t="s">
        <v>443</v>
      </c>
      <c r="C443" s="6">
        <v>0</v>
      </c>
      <c r="D443" s="8">
        <v>0</v>
      </c>
      <c r="E443" s="8">
        <v>0</v>
      </c>
      <c r="F443" s="8">
        <v>0</v>
      </c>
      <c r="G443" s="8">
        <v>0</v>
      </c>
      <c r="H443" s="9">
        <v>0</v>
      </c>
    </row>
    <row r="444" spans="1:8" x14ac:dyDescent="0.2">
      <c r="A444" s="2">
        <v>9</v>
      </c>
      <c r="B444" s="3" t="s">
        <v>444</v>
      </c>
      <c r="C444" s="2">
        <v>2</v>
      </c>
      <c r="D444" s="4">
        <v>8</v>
      </c>
      <c r="E444" s="4">
        <v>9</v>
      </c>
      <c r="F444" s="4">
        <v>0.5</v>
      </c>
      <c r="G444" s="4">
        <v>17.5</v>
      </c>
      <c r="H444" s="5">
        <v>962.5</v>
      </c>
    </row>
    <row r="445" spans="1:8" x14ac:dyDescent="0.2">
      <c r="A445" s="6">
        <v>9</v>
      </c>
      <c r="B445" s="7" t="s">
        <v>445</v>
      </c>
      <c r="C445" s="6">
        <v>1</v>
      </c>
      <c r="D445" s="8">
        <v>5</v>
      </c>
      <c r="E445" s="8">
        <v>14</v>
      </c>
      <c r="F445" s="8">
        <v>4</v>
      </c>
      <c r="G445" s="8">
        <v>23</v>
      </c>
      <c r="H445" s="9">
        <v>1265</v>
      </c>
    </row>
    <row r="446" spans="1:8" x14ac:dyDescent="0.2">
      <c r="A446" s="2">
        <v>9</v>
      </c>
      <c r="B446" s="3" t="s">
        <v>446</v>
      </c>
      <c r="C446" s="2">
        <v>2</v>
      </c>
      <c r="D446" s="4">
        <v>2</v>
      </c>
      <c r="E446" s="4">
        <v>2</v>
      </c>
      <c r="F446" s="4">
        <v>1</v>
      </c>
      <c r="G446" s="4">
        <v>5</v>
      </c>
      <c r="H446" s="5">
        <v>275</v>
      </c>
    </row>
    <row r="447" spans="1:8" x14ac:dyDescent="0.2">
      <c r="A447" s="6">
        <v>9</v>
      </c>
      <c r="B447" s="7" t="s">
        <v>447</v>
      </c>
      <c r="C447" s="6">
        <v>6</v>
      </c>
      <c r="D447" s="8">
        <v>4</v>
      </c>
      <c r="E447" s="8">
        <v>3</v>
      </c>
      <c r="F447" s="8">
        <v>0.2</v>
      </c>
      <c r="G447" s="8">
        <v>7.2</v>
      </c>
      <c r="H447" s="9">
        <v>393.8</v>
      </c>
    </row>
    <row r="448" spans="1:8" x14ac:dyDescent="0.2">
      <c r="A448" s="2">
        <v>9</v>
      </c>
      <c r="B448" s="3" t="s">
        <v>448</v>
      </c>
      <c r="C448" s="2">
        <v>1</v>
      </c>
      <c r="D448" s="4">
        <v>4</v>
      </c>
      <c r="E448" s="4">
        <v>3</v>
      </c>
      <c r="F448" s="4">
        <v>0</v>
      </c>
      <c r="G448" s="4">
        <v>7</v>
      </c>
      <c r="H448" s="5">
        <v>385</v>
      </c>
    </row>
    <row r="449" spans="1:8" x14ac:dyDescent="0.2">
      <c r="A449" s="6">
        <v>9</v>
      </c>
      <c r="B449" s="7" t="s">
        <v>449</v>
      </c>
      <c r="C449" s="6">
        <v>599</v>
      </c>
      <c r="D449" s="8">
        <v>4.0999999999999996</v>
      </c>
      <c r="E449" s="8">
        <v>3.2</v>
      </c>
      <c r="F449" s="8">
        <v>0.7</v>
      </c>
      <c r="G449" s="8">
        <v>8</v>
      </c>
      <c r="H449" s="9">
        <v>438.9</v>
      </c>
    </row>
    <row r="450" spans="1:8" x14ac:dyDescent="0.2">
      <c r="A450" s="2">
        <v>9</v>
      </c>
      <c r="B450" s="3" t="s">
        <v>450</v>
      </c>
      <c r="C450" s="2">
        <v>2</v>
      </c>
      <c r="D450" s="4">
        <v>8</v>
      </c>
      <c r="E450" s="4">
        <v>7</v>
      </c>
      <c r="F450" s="4">
        <v>0</v>
      </c>
      <c r="G450" s="4">
        <v>15</v>
      </c>
      <c r="H450" s="5">
        <v>825</v>
      </c>
    </row>
    <row r="451" spans="1:8" x14ac:dyDescent="0.2">
      <c r="A451" s="6">
        <v>9</v>
      </c>
      <c r="B451" s="7" t="s">
        <v>451</v>
      </c>
      <c r="C451" s="6">
        <v>1</v>
      </c>
      <c r="D451" s="8">
        <v>8</v>
      </c>
      <c r="E451" s="8">
        <v>11</v>
      </c>
      <c r="F451" s="8">
        <v>0</v>
      </c>
      <c r="G451" s="8">
        <v>19</v>
      </c>
      <c r="H451" s="9">
        <v>1045</v>
      </c>
    </row>
    <row r="452" spans="1:8" x14ac:dyDescent="0.2">
      <c r="A452" s="2">
        <v>9</v>
      </c>
      <c r="B452" s="3" t="s">
        <v>452</v>
      </c>
      <c r="C452" s="2">
        <v>190</v>
      </c>
      <c r="D452" s="4">
        <v>8.9</v>
      </c>
      <c r="E452" s="4">
        <v>9.4</v>
      </c>
      <c r="F452" s="4">
        <v>0.6</v>
      </c>
      <c r="G452" s="4">
        <v>18.899999999999999</v>
      </c>
      <c r="H452" s="5">
        <v>1037.8499999999999</v>
      </c>
    </row>
    <row r="453" spans="1:8" x14ac:dyDescent="0.2">
      <c r="A453" s="6">
        <v>9</v>
      </c>
      <c r="B453" s="7" t="s">
        <v>453</v>
      </c>
      <c r="C453" s="6">
        <v>154</v>
      </c>
      <c r="D453" s="8">
        <v>8</v>
      </c>
      <c r="E453" s="8">
        <v>7.2</v>
      </c>
      <c r="F453" s="8">
        <v>0.8</v>
      </c>
      <c r="G453" s="8">
        <v>16</v>
      </c>
      <c r="H453" s="9">
        <v>880</v>
      </c>
    </row>
    <row r="454" spans="1:8" x14ac:dyDescent="0.2">
      <c r="A454" s="2">
        <v>9</v>
      </c>
      <c r="B454" s="3" t="s">
        <v>454</v>
      </c>
      <c r="C454" s="2">
        <v>5</v>
      </c>
      <c r="D454" s="4">
        <v>3.2</v>
      </c>
      <c r="E454" s="4">
        <v>3.8</v>
      </c>
      <c r="F454" s="4">
        <v>0</v>
      </c>
      <c r="G454" s="4">
        <v>7</v>
      </c>
      <c r="H454" s="5">
        <v>385</v>
      </c>
    </row>
    <row r="455" spans="1:8" x14ac:dyDescent="0.2">
      <c r="A455" s="6">
        <v>9</v>
      </c>
      <c r="B455" s="7" t="s">
        <v>455</v>
      </c>
      <c r="C455" s="6">
        <v>12</v>
      </c>
      <c r="D455" s="8">
        <v>3.9</v>
      </c>
      <c r="E455" s="8">
        <v>3.7</v>
      </c>
      <c r="F455" s="8">
        <v>0.2</v>
      </c>
      <c r="G455" s="8">
        <v>7.7</v>
      </c>
      <c r="H455" s="9">
        <v>425.15</v>
      </c>
    </row>
    <row r="456" spans="1:8" x14ac:dyDescent="0.2">
      <c r="A456" s="2">
        <v>9</v>
      </c>
      <c r="B456" s="3" t="s">
        <v>456</v>
      </c>
      <c r="C456" s="2">
        <v>1</v>
      </c>
      <c r="D456" s="4">
        <v>0</v>
      </c>
      <c r="E456" s="4">
        <v>0</v>
      </c>
      <c r="F456" s="4">
        <v>0</v>
      </c>
      <c r="G456" s="4">
        <v>0</v>
      </c>
      <c r="H456" s="5">
        <v>0</v>
      </c>
    </row>
    <row r="457" spans="1:8" x14ac:dyDescent="0.2">
      <c r="A457" s="6">
        <v>9</v>
      </c>
      <c r="B457" s="7" t="s">
        <v>457</v>
      </c>
      <c r="C457" s="6">
        <v>15</v>
      </c>
      <c r="D457" s="8">
        <v>8</v>
      </c>
      <c r="E457" s="8">
        <v>9.3000000000000007</v>
      </c>
      <c r="F457" s="8">
        <v>1.1000000000000001</v>
      </c>
      <c r="G457" s="8">
        <v>18.399999999999999</v>
      </c>
      <c r="H457" s="9">
        <v>1011.45</v>
      </c>
    </row>
    <row r="458" spans="1:8" x14ac:dyDescent="0.2">
      <c r="A458" s="2">
        <v>9</v>
      </c>
      <c r="B458" s="3" t="s">
        <v>458</v>
      </c>
      <c r="C458" s="2">
        <v>29</v>
      </c>
      <c r="D458" s="4">
        <v>5.0999999999999996</v>
      </c>
      <c r="E458" s="4">
        <v>4.5</v>
      </c>
      <c r="F458" s="4">
        <v>0.9</v>
      </c>
      <c r="G458" s="4">
        <v>10.4</v>
      </c>
      <c r="H458" s="5">
        <v>572</v>
      </c>
    </row>
    <row r="459" spans="1:8" x14ac:dyDescent="0.2">
      <c r="A459" s="6">
        <v>9</v>
      </c>
      <c r="B459" s="7" t="s">
        <v>459</v>
      </c>
      <c r="C459" s="6">
        <v>4</v>
      </c>
      <c r="D459" s="8">
        <v>8</v>
      </c>
      <c r="E459" s="8">
        <v>9.3000000000000007</v>
      </c>
      <c r="F459" s="8">
        <v>2</v>
      </c>
      <c r="G459" s="8">
        <v>19.3</v>
      </c>
      <c r="H459" s="9">
        <v>1058.75</v>
      </c>
    </row>
    <row r="460" spans="1:8" x14ac:dyDescent="0.2">
      <c r="A460" s="2">
        <v>9</v>
      </c>
      <c r="B460" s="3" t="s">
        <v>460</v>
      </c>
      <c r="C460" s="2">
        <v>1</v>
      </c>
      <c r="D460" s="4">
        <v>4</v>
      </c>
      <c r="E460" s="4">
        <v>2</v>
      </c>
      <c r="F460" s="4">
        <v>0</v>
      </c>
      <c r="G460" s="4">
        <v>6</v>
      </c>
      <c r="H460" s="5">
        <v>330</v>
      </c>
    </row>
    <row r="461" spans="1:8" x14ac:dyDescent="0.2">
      <c r="A461" s="6">
        <v>9</v>
      </c>
      <c r="B461" s="7" t="s">
        <v>461</v>
      </c>
      <c r="C461" s="6">
        <v>118</v>
      </c>
      <c r="D461" s="8">
        <v>6.4</v>
      </c>
      <c r="E461" s="8">
        <v>4.8</v>
      </c>
      <c r="F461" s="8">
        <v>0.9</v>
      </c>
      <c r="G461" s="8">
        <v>12.1</v>
      </c>
      <c r="H461" s="9">
        <v>666.05</v>
      </c>
    </row>
    <row r="462" spans="1:8" x14ac:dyDescent="0.2">
      <c r="A462" s="2">
        <v>9</v>
      </c>
      <c r="B462" s="3" t="s">
        <v>462</v>
      </c>
      <c r="C462" s="2">
        <v>34</v>
      </c>
      <c r="D462" s="4">
        <v>6</v>
      </c>
      <c r="E462" s="4">
        <v>6</v>
      </c>
      <c r="F462" s="4">
        <v>0.2</v>
      </c>
      <c r="G462" s="4">
        <v>12.2</v>
      </c>
      <c r="H462" s="5">
        <v>669.35</v>
      </c>
    </row>
    <row r="463" spans="1:8" x14ac:dyDescent="0.2">
      <c r="A463" s="6">
        <v>9</v>
      </c>
      <c r="B463" s="7" t="s">
        <v>463</v>
      </c>
      <c r="C463" s="6">
        <v>63</v>
      </c>
      <c r="D463" s="8">
        <v>5.7</v>
      </c>
      <c r="E463" s="8">
        <v>5.3</v>
      </c>
      <c r="F463" s="8">
        <v>0.7</v>
      </c>
      <c r="G463" s="8">
        <v>11.6</v>
      </c>
      <c r="H463" s="9">
        <v>636.35</v>
      </c>
    </row>
    <row r="464" spans="1:8" x14ac:dyDescent="0.2">
      <c r="A464" s="2">
        <v>9</v>
      </c>
      <c r="B464" s="3" t="s">
        <v>464</v>
      </c>
      <c r="C464" s="2">
        <v>31</v>
      </c>
      <c r="D464" s="4">
        <v>7.1</v>
      </c>
      <c r="E464" s="4">
        <v>8.1999999999999993</v>
      </c>
      <c r="F464" s="4">
        <v>0.6</v>
      </c>
      <c r="G464" s="4">
        <v>15.9</v>
      </c>
      <c r="H464" s="5">
        <v>873.95</v>
      </c>
    </row>
    <row r="465" spans="1:8" x14ac:dyDescent="0.2">
      <c r="A465" s="6">
        <v>9</v>
      </c>
      <c r="B465" s="7" t="s">
        <v>465</v>
      </c>
      <c r="C465" s="6">
        <v>2507</v>
      </c>
      <c r="D465" s="8">
        <v>6</v>
      </c>
      <c r="E465" s="8">
        <v>5.8</v>
      </c>
      <c r="F465" s="8">
        <v>0.7</v>
      </c>
      <c r="G465" s="8">
        <v>12.4</v>
      </c>
      <c r="H465" s="9">
        <v>684.2</v>
      </c>
    </row>
    <row r="466" spans="1:8" x14ac:dyDescent="0.2">
      <c r="A466" s="2">
        <v>10</v>
      </c>
      <c r="B466" s="3" t="s">
        <v>466</v>
      </c>
      <c r="C466" s="2">
        <v>304</v>
      </c>
      <c r="D466" s="4">
        <v>6.2</v>
      </c>
      <c r="E466" s="4">
        <v>5.6</v>
      </c>
      <c r="F466" s="4">
        <v>0.8</v>
      </c>
      <c r="G466" s="4">
        <v>12.6</v>
      </c>
      <c r="H466" s="5">
        <v>693</v>
      </c>
    </row>
    <row r="467" spans="1:8" x14ac:dyDescent="0.2">
      <c r="A467" s="6">
        <v>10</v>
      </c>
      <c r="B467" s="7" t="s">
        <v>467</v>
      </c>
      <c r="C467" s="6">
        <v>1</v>
      </c>
      <c r="D467" s="8">
        <v>6</v>
      </c>
      <c r="E467" s="8">
        <v>6</v>
      </c>
      <c r="F467" s="8">
        <v>0</v>
      </c>
      <c r="G467" s="8">
        <v>12</v>
      </c>
      <c r="H467" s="9">
        <v>660</v>
      </c>
    </row>
    <row r="468" spans="1:8" x14ac:dyDescent="0.2">
      <c r="A468" s="2">
        <v>10</v>
      </c>
      <c r="B468" s="3" t="s">
        <v>468</v>
      </c>
      <c r="C468" s="2">
        <v>125</v>
      </c>
      <c r="D468" s="4">
        <v>6</v>
      </c>
      <c r="E468" s="4">
        <v>6.6</v>
      </c>
      <c r="F468" s="4">
        <v>0.6</v>
      </c>
      <c r="G468" s="4">
        <v>13.2</v>
      </c>
      <c r="H468" s="5">
        <v>728.2</v>
      </c>
    </row>
    <row r="469" spans="1:8" x14ac:dyDescent="0.2">
      <c r="A469" s="6">
        <v>10</v>
      </c>
      <c r="B469" s="7" t="s">
        <v>469</v>
      </c>
      <c r="C469" s="6">
        <v>25</v>
      </c>
      <c r="D469" s="8">
        <v>6</v>
      </c>
      <c r="E469" s="8">
        <v>6.4</v>
      </c>
      <c r="F469" s="8">
        <v>0.6</v>
      </c>
      <c r="G469" s="8">
        <v>13</v>
      </c>
      <c r="H469" s="9">
        <v>712.8</v>
      </c>
    </row>
    <row r="470" spans="1:8" x14ac:dyDescent="0.2">
      <c r="A470" s="2">
        <v>10</v>
      </c>
      <c r="B470" s="3" t="s">
        <v>470</v>
      </c>
      <c r="C470" s="2">
        <v>1</v>
      </c>
      <c r="D470" s="4">
        <v>8</v>
      </c>
      <c r="E470" s="4">
        <v>7</v>
      </c>
      <c r="F470" s="4">
        <v>3</v>
      </c>
      <c r="G470" s="4">
        <v>18</v>
      </c>
      <c r="H470" s="5">
        <v>990</v>
      </c>
    </row>
    <row r="471" spans="1:8" x14ac:dyDescent="0.2">
      <c r="A471" s="6">
        <v>10</v>
      </c>
      <c r="B471" s="7" t="s">
        <v>471</v>
      </c>
      <c r="C471" s="6">
        <v>1</v>
      </c>
      <c r="D471" s="8">
        <v>6</v>
      </c>
      <c r="E471" s="8">
        <v>5</v>
      </c>
      <c r="F471" s="8">
        <v>1</v>
      </c>
      <c r="G471" s="8">
        <v>12</v>
      </c>
      <c r="H471" s="9">
        <v>660</v>
      </c>
    </row>
    <row r="472" spans="1:8" x14ac:dyDescent="0.2">
      <c r="A472" s="2">
        <v>10</v>
      </c>
      <c r="B472" s="3" t="s">
        <v>472</v>
      </c>
      <c r="C472" s="2">
        <v>6</v>
      </c>
      <c r="D472" s="4">
        <v>6.3</v>
      </c>
      <c r="E472" s="4">
        <v>12.5</v>
      </c>
      <c r="F472" s="4">
        <v>1.2</v>
      </c>
      <c r="G472" s="4">
        <v>20</v>
      </c>
      <c r="H472" s="5">
        <v>1099.45</v>
      </c>
    </row>
    <row r="473" spans="1:8" x14ac:dyDescent="0.2">
      <c r="A473" s="6">
        <v>10</v>
      </c>
      <c r="B473" s="7" t="s">
        <v>473</v>
      </c>
      <c r="C473" s="6">
        <v>3</v>
      </c>
      <c r="D473" s="8">
        <v>7</v>
      </c>
      <c r="E473" s="8">
        <v>8.6999999999999993</v>
      </c>
      <c r="F473" s="8">
        <v>0.3</v>
      </c>
      <c r="G473" s="8">
        <v>16</v>
      </c>
      <c r="H473" s="9">
        <v>879.45</v>
      </c>
    </row>
    <row r="474" spans="1:8" x14ac:dyDescent="0.2">
      <c r="A474" s="2">
        <v>10</v>
      </c>
      <c r="B474" s="3" t="s">
        <v>474</v>
      </c>
      <c r="C474" s="2">
        <v>2</v>
      </c>
      <c r="D474" s="4">
        <v>6.5</v>
      </c>
      <c r="E474" s="4">
        <v>7</v>
      </c>
      <c r="F474" s="4">
        <v>0</v>
      </c>
      <c r="G474" s="4">
        <v>13.5</v>
      </c>
      <c r="H474" s="5">
        <v>742.5</v>
      </c>
    </row>
    <row r="475" spans="1:8" x14ac:dyDescent="0.2">
      <c r="A475" s="6">
        <v>10</v>
      </c>
      <c r="B475" s="7" t="s">
        <v>475</v>
      </c>
      <c r="C475" s="6">
        <v>2</v>
      </c>
      <c r="D475" s="8">
        <v>8</v>
      </c>
      <c r="E475" s="8">
        <v>5</v>
      </c>
      <c r="F475" s="8">
        <v>0</v>
      </c>
      <c r="G475" s="8">
        <v>13</v>
      </c>
      <c r="H475" s="9">
        <v>715</v>
      </c>
    </row>
    <row r="476" spans="1:8" x14ac:dyDescent="0.2">
      <c r="A476" s="2">
        <v>10</v>
      </c>
      <c r="B476" s="3" t="s">
        <v>476</v>
      </c>
      <c r="C476" s="2">
        <v>30</v>
      </c>
      <c r="D476" s="4">
        <v>7.8</v>
      </c>
      <c r="E476" s="4">
        <v>8.3000000000000007</v>
      </c>
      <c r="F476" s="4">
        <v>0.8</v>
      </c>
      <c r="G476" s="4">
        <v>16.899999999999999</v>
      </c>
      <c r="H476" s="5">
        <v>929.5</v>
      </c>
    </row>
    <row r="477" spans="1:8" x14ac:dyDescent="0.2">
      <c r="A477" s="6">
        <v>10</v>
      </c>
      <c r="B477" s="7" t="s">
        <v>477</v>
      </c>
      <c r="C477" s="6">
        <v>14</v>
      </c>
      <c r="D477" s="8">
        <v>4</v>
      </c>
      <c r="E477" s="8">
        <v>4.4000000000000004</v>
      </c>
      <c r="F477" s="8">
        <v>1</v>
      </c>
      <c r="G477" s="8">
        <v>9.4</v>
      </c>
      <c r="H477" s="9">
        <v>518.1</v>
      </c>
    </row>
    <row r="478" spans="1:8" x14ac:dyDescent="0.2">
      <c r="A478" s="2">
        <v>10</v>
      </c>
      <c r="B478" s="3" t="s">
        <v>478</v>
      </c>
      <c r="C478" s="2">
        <v>53</v>
      </c>
      <c r="D478" s="4">
        <v>3.4</v>
      </c>
      <c r="E478" s="4">
        <v>2.6</v>
      </c>
      <c r="F478" s="4">
        <v>0.7</v>
      </c>
      <c r="G478" s="4">
        <v>6.7</v>
      </c>
      <c r="H478" s="5">
        <v>369.05</v>
      </c>
    </row>
    <row r="479" spans="1:8" x14ac:dyDescent="0.2">
      <c r="A479" s="6">
        <v>10</v>
      </c>
      <c r="B479" s="7" t="s">
        <v>479</v>
      </c>
      <c r="C479" s="6">
        <v>80</v>
      </c>
      <c r="D479" s="8">
        <v>3.9</v>
      </c>
      <c r="E479" s="8">
        <v>3.1</v>
      </c>
      <c r="F479" s="8">
        <v>1.3</v>
      </c>
      <c r="G479" s="8">
        <v>8.1999999999999993</v>
      </c>
      <c r="H479" s="9">
        <v>450.45</v>
      </c>
    </row>
    <row r="480" spans="1:8" x14ac:dyDescent="0.2">
      <c r="A480" s="2">
        <v>10</v>
      </c>
      <c r="B480" s="3" t="s">
        <v>480</v>
      </c>
      <c r="C480" s="2">
        <v>930</v>
      </c>
      <c r="D480" s="4">
        <v>4.8</v>
      </c>
      <c r="E480" s="4">
        <v>5.3</v>
      </c>
      <c r="F480" s="4">
        <v>0.8</v>
      </c>
      <c r="G480" s="4">
        <v>10.9</v>
      </c>
      <c r="H480" s="5">
        <v>598.4</v>
      </c>
    </row>
    <row r="481" spans="1:8" x14ac:dyDescent="0.2">
      <c r="A481" s="6">
        <v>10</v>
      </c>
      <c r="B481" s="7" t="s">
        <v>481</v>
      </c>
      <c r="C481" s="6">
        <v>1</v>
      </c>
      <c r="D481" s="8">
        <v>8</v>
      </c>
      <c r="E481" s="8">
        <v>8</v>
      </c>
      <c r="F481" s="8">
        <v>0</v>
      </c>
      <c r="G481" s="8">
        <v>16</v>
      </c>
      <c r="H481" s="9">
        <v>880</v>
      </c>
    </row>
    <row r="482" spans="1:8" x14ac:dyDescent="0.2">
      <c r="A482" s="2">
        <v>10</v>
      </c>
      <c r="B482" s="3" t="s">
        <v>482</v>
      </c>
      <c r="C482" s="2">
        <v>1</v>
      </c>
      <c r="D482" s="4">
        <v>8</v>
      </c>
      <c r="E482" s="4">
        <v>27</v>
      </c>
      <c r="F482" s="4">
        <v>0</v>
      </c>
      <c r="G482" s="4">
        <v>35</v>
      </c>
      <c r="H482" s="5">
        <v>1925</v>
      </c>
    </row>
    <row r="483" spans="1:8" x14ac:dyDescent="0.2">
      <c r="A483" s="6">
        <v>10</v>
      </c>
      <c r="B483" s="7" t="s">
        <v>483</v>
      </c>
      <c r="C483" s="6">
        <v>13</v>
      </c>
      <c r="D483" s="8">
        <v>8.1999999999999993</v>
      </c>
      <c r="E483" s="8">
        <v>12.8</v>
      </c>
      <c r="F483" s="8">
        <v>1.3</v>
      </c>
      <c r="G483" s="8">
        <v>22.2</v>
      </c>
      <c r="H483" s="9">
        <v>1221.55</v>
      </c>
    </row>
    <row r="484" spans="1:8" x14ac:dyDescent="0.2">
      <c r="A484" s="2">
        <v>10</v>
      </c>
      <c r="B484" s="3" t="s">
        <v>484</v>
      </c>
      <c r="C484" s="2">
        <v>160</v>
      </c>
      <c r="D484" s="4">
        <v>5.4</v>
      </c>
      <c r="E484" s="4">
        <v>4.4000000000000004</v>
      </c>
      <c r="F484" s="4">
        <v>0.7</v>
      </c>
      <c r="G484" s="4">
        <v>10.5</v>
      </c>
      <c r="H484" s="5">
        <v>576.95000000000005</v>
      </c>
    </row>
    <row r="485" spans="1:8" x14ac:dyDescent="0.2">
      <c r="A485" s="6">
        <v>10</v>
      </c>
      <c r="B485" s="7" t="s">
        <v>485</v>
      </c>
      <c r="C485" s="6">
        <v>107</v>
      </c>
      <c r="D485" s="8">
        <v>6.3</v>
      </c>
      <c r="E485" s="8">
        <v>8.6999999999999993</v>
      </c>
      <c r="F485" s="8">
        <v>0.4</v>
      </c>
      <c r="G485" s="8">
        <v>15.3</v>
      </c>
      <c r="H485" s="9">
        <v>842.05</v>
      </c>
    </row>
    <row r="486" spans="1:8" x14ac:dyDescent="0.2">
      <c r="A486" s="2">
        <v>10</v>
      </c>
      <c r="B486" s="3" t="s">
        <v>486</v>
      </c>
      <c r="C486" s="2">
        <v>0</v>
      </c>
      <c r="D486" s="4">
        <v>0</v>
      </c>
      <c r="E486" s="4">
        <v>0</v>
      </c>
      <c r="F486" s="4">
        <v>0</v>
      </c>
      <c r="G486" s="4">
        <v>0</v>
      </c>
      <c r="H486" s="5">
        <v>0</v>
      </c>
    </row>
    <row r="487" spans="1:8" x14ac:dyDescent="0.2">
      <c r="A487" s="6">
        <v>10</v>
      </c>
      <c r="B487" s="7" t="s">
        <v>487</v>
      </c>
      <c r="C487" s="6">
        <v>185</v>
      </c>
      <c r="D487" s="8">
        <v>5.2</v>
      </c>
      <c r="E487" s="8">
        <v>4.7</v>
      </c>
      <c r="F487" s="8">
        <v>0.7</v>
      </c>
      <c r="G487" s="8">
        <v>10.5</v>
      </c>
      <c r="H487" s="9">
        <v>577.5</v>
      </c>
    </row>
    <row r="488" spans="1:8" x14ac:dyDescent="0.2">
      <c r="A488" s="2">
        <v>10</v>
      </c>
      <c r="B488" s="3" t="s">
        <v>488</v>
      </c>
      <c r="C488" s="2">
        <v>94</v>
      </c>
      <c r="D488" s="4">
        <v>5</v>
      </c>
      <c r="E488" s="4">
        <v>5.0999999999999996</v>
      </c>
      <c r="F488" s="4">
        <v>0.6</v>
      </c>
      <c r="G488" s="4">
        <v>10.7</v>
      </c>
      <c r="H488" s="5">
        <v>589.04999999999995</v>
      </c>
    </row>
    <row r="489" spans="1:8" x14ac:dyDescent="0.2">
      <c r="A489" s="6">
        <v>10</v>
      </c>
      <c r="B489" s="7" t="s">
        <v>489</v>
      </c>
      <c r="C489" s="6">
        <v>5</v>
      </c>
      <c r="D489" s="8">
        <v>4.8</v>
      </c>
      <c r="E489" s="8">
        <v>4.8</v>
      </c>
      <c r="F489" s="8">
        <v>0.4</v>
      </c>
      <c r="G489" s="8">
        <v>10</v>
      </c>
      <c r="H489" s="9">
        <v>550</v>
      </c>
    </row>
    <row r="490" spans="1:8" x14ac:dyDescent="0.2">
      <c r="A490" s="2">
        <v>10</v>
      </c>
      <c r="B490" s="3" t="s">
        <v>490</v>
      </c>
      <c r="C490" s="2">
        <v>2</v>
      </c>
      <c r="D490" s="4">
        <v>14</v>
      </c>
      <c r="E490" s="4">
        <v>16</v>
      </c>
      <c r="F490" s="4">
        <v>4</v>
      </c>
      <c r="G490" s="4">
        <v>34</v>
      </c>
      <c r="H490" s="5">
        <v>1870</v>
      </c>
    </row>
    <row r="491" spans="1:8" x14ac:dyDescent="0.2">
      <c r="A491" s="6">
        <v>10</v>
      </c>
      <c r="B491" s="7" t="s">
        <v>491</v>
      </c>
      <c r="C491" s="6">
        <v>1</v>
      </c>
      <c r="D491" s="8">
        <v>5</v>
      </c>
      <c r="E491" s="8">
        <v>6</v>
      </c>
      <c r="F491" s="8">
        <v>0</v>
      </c>
      <c r="G491" s="8">
        <v>11</v>
      </c>
      <c r="H491" s="9">
        <v>605</v>
      </c>
    </row>
    <row r="492" spans="1:8" x14ac:dyDescent="0.2">
      <c r="A492" s="2">
        <v>10</v>
      </c>
      <c r="B492" s="3" t="s">
        <v>492</v>
      </c>
      <c r="C492" s="2">
        <v>1</v>
      </c>
      <c r="D492" s="4">
        <v>5</v>
      </c>
      <c r="E492" s="4">
        <v>6</v>
      </c>
      <c r="F492" s="4">
        <v>0</v>
      </c>
      <c r="G492" s="4">
        <v>11</v>
      </c>
      <c r="H492" s="5">
        <v>605</v>
      </c>
    </row>
    <row r="493" spans="1:8" x14ac:dyDescent="0.2">
      <c r="A493" s="6">
        <v>10</v>
      </c>
      <c r="B493" s="7" t="s">
        <v>493</v>
      </c>
      <c r="C493" s="6">
        <v>144</v>
      </c>
      <c r="D493" s="8">
        <v>7.3</v>
      </c>
      <c r="E493" s="8">
        <v>8</v>
      </c>
      <c r="F493" s="8">
        <v>0.9</v>
      </c>
      <c r="G493" s="8">
        <v>16.2</v>
      </c>
      <c r="H493" s="9">
        <v>891.55</v>
      </c>
    </row>
    <row r="494" spans="1:8" x14ac:dyDescent="0.2">
      <c r="A494" s="2">
        <v>10</v>
      </c>
      <c r="B494" s="3" t="s">
        <v>494</v>
      </c>
      <c r="C494" s="2">
        <v>494</v>
      </c>
      <c r="D494" s="4">
        <v>5.2</v>
      </c>
      <c r="E494" s="4">
        <v>7.1</v>
      </c>
      <c r="F494" s="4">
        <v>1</v>
      </c>
      <c r="G494" s="4">
        <v>13.3</v>
      </c>
      <c r="H494" s="5">
        <v>730.4</v>
      </c>
    </row>
    <row r="495" spans="1:8" x14ac:dyDescent="0.2">
      <c r="A495" s="6">
        <v>10</v>
      </c>
      <c r="B495" s="7" t="s">
        <v>495</v>
      </c>
      <c r="C495" s="6">
        <v>30</v>
      </c>
      <c r="D495" s="8">
        <v>5.7</v>
      </c>
      <c r="E495" s="8">
        <v>5.0999999999999996</v>
      </c>
      <c r="F495" s="8">
        <v>0.5</v>
      </c>
      <c r="G495" s="8">
        <v>11.3</v>
      </c>
      <c r="H495" s="9">
        <v>619.29999999999995</v>
      </c>
    </row>
    <row r="496" spans="1:8" x14ac:dyDescent="0.2">
      <c r="A496" s="2">
        <v>10</v>
      </c>
      <c r="B496" s="3" t="s">
        <v>496</v>
      </c>
      <c r="C496" s="2">
        <v>70</v>
      </c>
      <c r="D496" s="4">
        <v>6.4</v>
      </c>
      <c r="E496" s="4">
        <v>5.0999999999999996</v>
      </c>
      <c r="F496" s="4">
        <v>0.7</v>
      </c>
      <c r="G496" s="4">
        <v>12.2</v>
      </c>
      <c r="H496" s="5">
        <v>673.2</v>
      </c>
    </row>
    <row r="497" spans="1:8" x14ac:dyDescent="0.2">
      <c r="A497" s="6">
        <v>10</v>
      </c>
      <c r="B497" s="7" t="s">
        <v>497</v>
      </c>
      <c r="C497" s="6">
        <v>12</v>
      </c>
      <c r="D497" s="8">
        <v>9.3000000000000007</v>
      </c>
      <c r="E497" s="8">
        <v>11.3</v>
      </c>
      <c r="F497" s="8">
        <v>0.8</v>
      </c>
      <c r="G497" s="8">
        <v>21.3</v>
      </c>
      <c r="H497" s="9">
        <v>1173.1500000000001</v>
      </c>
    </row>
    <row r="498" spans="1:8" x14ac:dyDescent="0.2">
      <c r="A498" s="2">
        <v>10</v>
      </c>
      <c r="B498" s="3" t="s">
        <v>498</v>
      </c>
      <c r="C498" s="2">
        <v>15</v>
      </c>
      <c r="D498" s="4">
        <v>7.1</v>
      </c>
      <c r="E498" s="4">
        <v>4.7</v>
      </c>
      <c r="F498" s="4">
        <v>0.7</v>
      </c>
      <c r="G498" s="4">
        <v>12.5</v>
      </c>
      <c r="H498" s="5">
        <v>684.75</v>
      </c>
    </row>
    <row r="499" spans="1:8" x14ac:dyDescent="0.2">
      <c r="A499" s="6">
        <v>10</v>
      </c>
      <c r="B499" s="7" t="s">
        <v>499</v>
      </c>
      <c r="C499" s="6">
        <v>294</v>
      </c>
      <c r="D499" s="8">
        <v>5.3</v>
      </c>
      <c r="E499" s="8">
        <v>4.5</v>
      </c>
      <c r="F499" s="8">
        <v>0.7</v>
      </c>
      <c r="G499" s="8">
        <v>10.5</v>
      </c>
      <c r="H499" s="9">
        <v>576.95000000000005</v>
      </c>
    </row>
    <row r="500" spans="1:8" x14ac:dyDescent="0.2">
      <c r="A500" s="2">
        <v>10</v>
      </c>
      <c r="B500" s="3" t="s">
        <v>500</v>
      </c>
      <c r="C500" s="2">
        <v>567</v>
      </c>
      <c r="D500" s="4">
        <v>5.0999999999999996</v>
      </c>
      <c r="E500" s="4">
        <v>5</v>
      </c>
      <c r="F500" s="4">
        <v>0.6</v>
      </c>
      <c r="G500" s="4">
        <v>10.7</v>
      </c>
      <c r="H500" s="5">
        <v>590.70000000000005</v>
      </c>
    </row>
    <row r="501" spans="1:8" x14ac:dyDescent="0.2">
      <c r="A501" s="6">
        <v>10</v>
      </c>
      <c r="B501" s="7" t="s">
        <v>501</v>
      </c>
      <c r="C501" s="6">
        <v>12</v>
      </c>
      <c r="D501" s="8">
        <v>5.0999999999999996</v>
      </c>
      <c r="E501" s="8">
        <v>4.7</v>
      </c>
      <c r="F501" s="8">
        <v>0.3</v>
      </c>
      <c r="G501" s="8">
        <v>10</v>
      </c>
      <c r="H501" s="9">
        <v>549.45000000000005</v>
      </c>
    </row>
    <row r="502" spans="1:8" x14ac:dyDescent="0.2">
      <c r="A502" s="2">
        <v>10</v>
      </c>
      <c r="B502" s="3" t="s">
        <v>502</v>
      </c>
      <c r="C502" s="2">
        <v>119</v>
      </c>
      <c r="D502" s="4">
        <v>4.8</v>
      </c>
      <c r="E502" s="4">
        <v>6.9</v>
      </c>
      <c r="F502" s="4">
        <v>0.7</v>
      </c>
      <c r="G502" s="4">
        <v>12.4</v>
      </c>
      <c r="H502" s="5">
        <v>680.9</v>
      </c>
    </row>
    <row r="503" spans="1:8" x14ac:dyDescent="0.2">
      <c r="A503" s="6">
        <v>10</v>
      </c>
      <c r="B503" s="7" t="s">
        <v>503</v>
      </c>
      <c r="C503" s="6">
        <v>1</v>
      </c>
      <c r="D503" s="8">
        <v>10</v>
      </c>
      <c r="E503" s="8">
        <v>10</v>
      </c>
      <c r="F503" s="8">
        <v>4</v>
      </c>
      <c r="G503" s="8">
        <v>24</v>
      </c>
      <c r="H503" s="9">
        <v>1320</v>
      </c>
    </row>
    <row r="504" spans="1:8" x14ac:dyDescent="0.2">
      <c r="A504" s="2">
        <v>10</v>
      </c>
      <c r="B504" s="3" t="s">
        <v>504</v>
      </c>
      <c r="C504" s="2">
        <v>40</v>
      </c>
      <c r="D504" s="4">
        <v>8.3000000000000007</v>
      </c>
      <c r="E504" s="4">
        <v>16.399999999999999</v>
      </c>
      <c r="F504" s="4">
        <v>1.4</v>
      </c>
      <c r="G504" s="4">
        <v>26</v>
      </c>
      <c r="H504" s="5">
        <v>1432.2</v>
      </c>
    </row>
    <row r="505" spans="1:8" x14ac:dyDescent="0.2">
      <c r="A505" s="6">
        <v>10</v>
      </c>
      <c r="B505" s="7" t="s">
        <v>505</v>
      </c>
      <c r="C505" s="6">
        <v>1</v>
      </c>
      <c r="D505" s="8">
        <v>10</v>
      </c>
      <c r="E505" s="8">
        <v>16</v>
      </c>
      <c r="F505" s="8">
        <v>3</v>
      </c>
      <c r="G505" s="8">
        <v>29</v>
      </c>
      <c r="H505" s="9">
        <v>1595</v>
      </c>
    </row>
    <row r="506" spans="1:8" x14ac:dyDescent="0.2">
      <c r="A506" s="2">
        <v>10</v>
      </c>
      <c r="B506" s="3" t="s">
        <v>506</v>
      </c>
      <c r="C506" s="2">
        <v>2</v>
      </c>
      <c r="D506" s="4">
        <v>6.5</v>
      </c>
      <c r="E506" s="4">
        <v>6</v>
      </c>
      <c r="F506" s="4">
        <v>0</v>
      </c>
      <c r="G506" s="4">
        <v>12.5</v>
      </c>
      <c r="H506" s="5">
        <v>687.5</v>
      </c>
    </row>
    <row r="507" spans="1:8" x14ac:dyDescent="0.2">
      <c r="A507" s="6">
        <v>10</v>
      </c>
      <c r="B507" s="7" t="s">
        <v>507</v>
      </c>
      <c r="C507" s="6">
        <v>1</v>
      </c>
      <c r="D507" s="8">
        <v>5</v>
      </c>
      <c r="E507" s="8">
        <v>6</v>
      </c>
      <c r="F507" s="8">
        <v>1</v>
      </c>
      <c r="G507" s="8">
        <v>12</v>
      </c>
      <c r="H507" s="9">
        <v>660</v>
      </c>
    </row>
    <row r="508" spans="1:8" x14ac:dyDescent="0.2">
      <c r="A508" s="2">
        <v>10</v>
      </c>
      <c r="B508" s="3" t="s">
        <v>508</v>
      </c>
      <c r="C508" s="2">
        <v>1581</v>
      </c>
      <c r="D508" s="4">
        <v>5.4</v>
      </c>
      <c r="E508" s="4">
        <v>4.9000000000000004</v>
      </c>
      <c r="F508" s="4">
        <v>0.7</v>
      </c>
      <c r="G508" s="4">
        <v>11.1</v>
      </c>
      <c r="H508" s="5">
        <v>608.29999999999995</v>
      </c>
    </row>
    <row r="509" spans="1:8" x14ac:dyDescent="0.2">
      <c r="A509" s="6">
        <v>10</v>
      </c>
      <c r="B509" s="7" t="s">
        <v>509</v>
      </c>
      <c r="C509" s="6">
        <v>113</v>
      </c>
      <c r="D509" s="8">
        <v>5.4</v>
      </c>
      <c r="E509" s="8">
        <v>5.4</v>
      </c>
      <c r="F509" s="8">
        <v>1.4</v>
      </c>
      <c r="G509" s="8">
        <v>12.2</v>
      </c>
      <c r="H509" s="9">
        <v>671</v>
      </c>
    </row>
    <row r="510" spans="1:8" x14ac:dyDescent="0.2">
      <c r="A510" s="2">
        <v>10</v>
      </c>
      <c r="B510" s="3" t="s">
        <v>510</v>
      </c>
      <c r="C510" s="2">
        <v>6</v>
      </c>
      <c r="D510" s="4">
        <v>6</v>
      </c>
      <c r="E510" s="4">
        <v>7.3</v>
      </c>
      <c r="F510" s="4">
        <v>0.2</v>
      </c>
      <c r="G510" s="4">
        <v>13.5</v>
      </c>
      <c r="H510" s="5">
        <v>742.5</v>
      </c>
    </row>
    <row r="511" spans="1:8" x14ac:dyDescent="0.2">
      <c r="A511" s="6">
        <v>10</v>
      </c>
      <c r="B511" s="7" t="s">
        <v>511</v>
      </c>
      <c r="C511" s="6">
        <v>7</v>
      </c>
      <c r="D511" s="8">
        <v>9</v>
      </c>
      <c r="E511" s="8">
        <v>12</v>
      </c>
      <c r="F511" s="8">
        <v>2.9</v>
      </c>
      <c r="G511" s="8">
        <v>23.9</v>
      </c>
      <c r="H511" s="9">
        <v>1311.75</v>
      </c>
    </row>
    <row r="512" spans="1:8" x14ac:dyDescent="0.2">
      <c r="A512" s="2">
        <v>10</v>
      </c>
      <c r="B512" s="3" t="s">
        <v>512</v>
      </c>
      <c r="C512" s="2">
        <v>11</v>
      </c>
      <c r="D512" s="4">
        <v>4.5</v>
      </c>
      <c r="E512" s="4">
        <v>3.2</v>
      </c>
      <c r="F512" s="4">
        <v>0.4</v>
      </c>
      <c r="G512" s="4">
        <v>8.1</v>
      </c>
      <c r="H512" s="5">
        <v>444.4</v>
      </c>
    </row>
    <row r="513" spans="1:8" x14ac:dyDescent="0.2">
      <c r="A513" s="6">
        <v>10</v>
      </c>
      <c r="B513" s="7" t="s">
        <v>513</v>
      </c>
      <c r="C513" s="6">
        <v>136</v>
      </c>
      <c r="D513" s="8">
        <v>6.7</v>
      </c>
      <c r="E513" s="8">
        <v>8.6999999999999993</v>
      </c>
      <c r="F513" s="8">
        <v>0.4</v>
      </c>
      <c r="G513" s="8">
        <v>15.8</v>
      </c>
      <c r="H513" s="9">
        <v>867.35</v>
      </c>
    </row>
    <row r="514" spans="1:8" x14ac:dyDescent="0.2">
      <c r="A514" s="2">
        <v>10</v>
      </c>
      <c r="B514" s="3" t="s">
        <v>514</v>
      </c>
      <c r="C514" s="2">
        <v>831</v>
      </c>
      <c r="D514" s="4">
        <v>5.6</v>
      </c>
      <c r="E514" s="4">
        <v>4.2</v>
      </c>
      <c r="F514" s="4">
        <v>0.3</v>
      </c>
      <c r="G514" s="4">
        <v>10.1</v>
      </c>
      <c r="H514" s="5">
        <v>557.70000000000005</v>
      </c>
    </row>
    <row r="515" spans="1:8" x14ac:dyDescent="0.2">
      <c r="A515" s="6">
        <v>10</v>
      </c>
      <c r="B515" s="7" t="s">
        <v>515</v>
      </c>
      <c r="C515" s="6">
        <v>2</v>
      </c>
      <c r="D515" s="8">
        <v>8</v>
      </c>
      <c r="E515" s="8">
        <v>5</v>
      </c>
      <c r="F515" s="8">
        <v>0</v>
      </c>
      <c r="G515" s="8">
        <v>13</v>
      </c>
      <c r="H515" s="9">
        <v>715</v>
      </c>
    </row>
    <row r="516" spans="1:8" x14ac:dyDescent="0.2">
      <c r="A516" s="2">
        <v>10</v>
      </c>
      <c r="B516" s="3" t="s">
        <v>516</v>
      </c>
      <c r="C516" s="2">
        <v>1</v>
      </c>
      <c r="D516" s="4">
        <v>6</v>
      </c>
      <c r="E516" s="4">
        <v>3</v>
      </c>
      <c r="F516" s="4">
        <v>0</v>
      </c>
      <c r="G516" s="4">
        <v>9</v>
      </c>
      <c r="H516" s="5">
        <v>495</v>
      </c>
    </row>
    <row r="517" spans="1:8" x14ac:dyDescent="0.2">
      <c r="A517" s="6">
        <v>10</v>
      </c>
      <c r="B517" s="7" t="s">
        <v>517</v>
      </c>
      <c r="C517" s="6">
        <v>1</v>
      </c>
      <c r="D517" s="8">
        <v>6</v>
      </c>
      <c r="E517" s="8">
        <v>8</v>
      </c>
      <c r="F517" s="8">
        <v>1</v>
      </c>
      <c r="G517" s="8">
        <v>15</v>
      </c>
      <c r="H517" s="9">
        <v>825</v>
      </c>
    </row>
    <row r="518" spans="1:8" x14ac:dyDescent="0.2">
      <c r="A518" s="2">
        <v>11</v>
      </c>
      <c r="B518" s="3" t="s">
        <v>518</v>
      </c>
      <c r="C518" s="2">
        <v>11</v>
      </c>
      <c r="D518" s="4">
        <v>6.5</v>
      </c>
      <c r="E518" s="4">
        <v>7.6</v>
      </c>
      <c r="F518" s="4">
        <v>1.1000000000000001</v>
      </c>
      <c r="G518" s="4">
        <v>15.3</v>
      </c>
      <c r="H518" s="5">
        <v>839.3</v>
      </c>
    </row>
    <row r="519" spans="1:8" x14ac:dyDescent="0.2">
      <c r="A519" s="6">
        <v>11</v>
      </c>
      <c r="B519" s="7" t="s">
        <v>519</v>
      </c>
      <c r="C519" s="6">
        <v>1</v>
      </c>
      <c r="D519" s="8">
        <v>6</v>
      </c>
      <c r="E519" s="8">
        <v>6</v>
      </c>
      <c r="F519" s="8">
        <v>0</v>
      </c>
      <c r="G519" s="8">
        <v>12</v>
      </c>
      <c r="H519" s="9">
        <v>660</v>
      </c>
    </row>
    <row r="520" spans="1:8" x14ac:dyDescent="0.2">
      <c r="A520" s="2">
        <v>11</v>
      </c>
      <c r="B520" s="3" t="s">
        <v>520</v>
      </c>
      <c r="C520" s="2">
        <v>1</v>
      </c>
      <c r="D520" s="4">
        <v>7</v>
      </c>
      <c r="E520" s="4">
        <v>21</v>
      </c>
      <c r="F520" s="4">
        <v>3</v>
      </c>
      <c r="G520" s="4">
        <v>31</v>
      </c>
      <c r="H520" s="5">
        <v>1705</v>
      </c>
    </row>
    <row r="521" spans="1:8" x14ac:dyDescent="0.2">
      <c r="A521" s="6">
        <v>11</v>
      </c>
      <c r="B521" s="7" t="s">
        <v>521</v>
      </c>
      <c r="C521" s="6">
        <v>3</v>
      </c>
      <c r="D521" s="8">
        <v>5.3</v>
      </c>
      <c r="E521" s="8">
        <v>4.7</v>
      </c>
      <c r="F521" s="8">
        <v>1.3</v>
      </c>
      <c r="G521" s="8">
        <v>11.3</v>
      </c>
      <c r="H521" s="9">
        <v>622.6</v>
      </c>
    </row>
    <row r="522" spans="1:8" x14ac:dyDescent="0.2">
      <c r="A522" s="2">
        <v>11</v>
      </c>
      <c r="B522" s="3" t="s">
        <v>522</v>
      </c>
      <c r="C522" s="2">
        <v>400</v>
      </c>
      <c r="D522" s="4">
        <v>6.1</v>
      </c>
      <c r="E522" s="4">
        <v>7.7</v>
      </c>
      <c r="F522" s="4">
        <v>0.5</v>
      </c>
      <c r="G522" s="4">
        <v>14.3</v>
      </c>
      <c r="H522" s="5">
        <v>785.4</v>
      </c>
    </row>
    <row r="523" spans="1:8" x14ac:dyDescent="0.2">
      <c r="A523" s="6">
        <v>11</v>
      </c>
      <c r="B523" s="7" t="s">
        <v>523</v>
      </c>
      <c r="C523" s="6">
        <v>1</v>
      </c>
      <c r="D523" s="8">
        <v>4</v>
      </c>
      <c r="E523" s="8">
        <v>2</v>
      </c>
      <c r="F523" s="8">
        <v>0</v>
      </c>
      <c r="G523" s="8">
        <v>6</v>
      </c>
      <c r="H523" s="9">
        <v>330</v>
      </c>
    </row>
    <row r="524" spans="1:8" x14ac:dyDescent="0.2">
      <c r="A524" s="2">
        <v>11</v>
      </c>
      <c r="B524" s="3" t="s">
        <v>524</v>
      </c>
      <c r="C524" s="2">
        <v>1</v>
      </c>
      <c r="D524" s="4">
        <v>10</v>
      </c>
      <c r="E524" s="4">
        <v>12</v>
      </c>
      <c r="F524" s="4">
        <v>0</v>
      </c>
      <c r="G524" s="4">
        <v>22</v>
      </c>
      <c r="H524" s="5">
        <v>1210</v>
      </c>
    </row>
    <row r="525" spans="1:8" x14ac:dyDescent="0.2">
      <c r="A525" s="6">
        <v>11</v>
      </c>
      <c r="B525" s="7" t="s">
        <v>525</v>
      </c>
      <c r="C525" s="6">
        <v>4</v>
      </c>
      <c r="D525" s="8">
        <v>4</v>
      </c>
      <c r="E525" s="8">
        <v>3.3</v>
      </c>
      <c r="F525" s="8">
        <v>0.5</v>
      </c>
      <c r="G525" s="8">
        <v>7.8</v>
      </c>
      <c r="H525" s="9">
        <v>426.25</v>
      </c>
    </row>
    <row r="526" spans="1:8" x14ac:dyDescent="0.2">
      <c r="A526" s="2">
        <v>11</v>
      </c>
      <c r="B526" s="3" t="s">
        <v>526</v>
      </c>
      <c r="C526" s="2">
        <v>4</v>
      </c>
      <c r="D526" s="4">
        <v>5.3</v>
      </c>
      <c r="E526" s="4">
        <v>6</v>
      </c>
      <c r="F526" s="4">
        <v>0.5</v>
      </c>
      <c r="G526" s="4">
        <v>11.8</v>
      </c>
      <c r="H526" s="5">
        <v>646.25</v>
      </c>
    </row>
    <row r="527" spans="1:8" x14ac:dyDescent="0.2">
      <c r="A527" s="6">
        <v>11</v>
      </c>
      <c r="B527" s="7" t="s">
        <v>527</v>
      </c>
      <c r="C527" s="6">
        <v>1</v>
      </c>
      <c r="D527" s="8">
        <v>5</v>
      </c>
      <c r="E527" s="8">
        <v>5</v>
      </c>
      <c r="F527" s="8">
        <v>0</v>
      </c>
      <c r="G527" s="8">
        <v>10</v>
      </c>
      <c r="H527" s="9">
        <v>550</v>
      </c>
    </row>
    <row r="528" spans="1:8" x14ac:dyDescent="0.2">
      <c r="A528" s="2">
        <v>11</v>
      </c>
      <c r="B528" s="3" t="s">
        <v>528</v>
      </c>
      <c r="C528" s="2">
        <v>1</v>
      </c>
      <c r="D528" s="4">
        <v>8</v>
      </c>
      <c r="E528" s="4">
        <v>44</v>
      </c>
      <c r="F528" s="4">
        <v>2</v>
      </c>
      <c r="G528" s="4">
        <v>54</v>
      </c>
      <c r="H528" s="5">
        <v>2970</v>
      </c>
    </row>
    <row r="529" spans="1:8" x14ac:dyDescent="0.2">
      <c r="A529" s="6">
        <v>11</v>
      </c>
      <c r="B529" s="7" t="s">
        <v>529</v>
      </c>
      <c r="C529" s="6">
        <v>2</v>
      </c>
      <c r="D529" s="8">
        <v>5</v>
      </c>
      <c r="E529" s="8">
        <v>13</v>
      </c>
      <c r="F529" s="8">
        <v>0</v>
      </c>
      <c r="G529" s="8">
        <v>18</v>
      </c>
      <c r="H529" s="9">
        <v>990</v>
      </c>
    </row>
    <row r="530" spans="1:8" x14ac:dyDescent="0.2">
      <c r="A530" s="2">
        <v>11</v>
      </c>
      <c r="B530" s="3" t="s">
        <v>530</v>
      </c>
      <c r="C530" s="2">
        <v>1</v>
      </c>
      <c r="D530" s="4">
        <v>7</v>
      </c>
      <c r="E530" s="4">
        <v>8</v>
      </c>
      <c r="F530" s="4">
        <v>2</v>
      </c>
      <c r="G530" s="4">
        <v>17</v>
      </c>
      <c r="H530" s="5">
        <v>935</v>
      </c>
    </row>
    <row r="531" spans="1:8" x14ac:dyDescent="0.2">
      <c r="A531" s="6">
        <v>11</v>
      </c>
      <c r="B531" s="7" t="s">
        <v>531</v>
      </c>
      <c r="C531" s="6">
        <v>1</v>
      </c>
      <c r="D531" s="8">
        <v>5</v>
      </c>
      <c r="E531" s="8">
        <v>11</v>
      </c>
      <c r="F531" s="8">
        <v>0</v>
      </c>
      <c r="G531" s="8">
        <v>16</v>
      </c>
      <c r="H531" s="9">
        <v>880</v>
      </c>
    </row>
    <row r="532" spans="1:8" x14ac:dyDescent="0.2">
      <c r="A532" s="2">
        <v>11</v>
      </c>
      <c r="B532" s="3" t="s">
        <v>532</v>
      </c>
      <c r="C532" s="2">
        <v>4</v>
      </c>
      <c r="D532" s="4">
        <v>4.5</v>
      </c>
      <c r="E532" s="4">
        <v>5</v>
      </c>
      <c r="F532" s="4">
        <v>0.5</v>
      </c>
      <c r="G532" s="4">
        <v>10</v>
      </c>
      <c r="H532" s="5">
        <v>550</v>
      </c>
    </row>
    <row r="533" spans="1:8" x14ac:dyDescent="0.2">
      <c r="A533" s="6">
        <v>11</v>
      </c>
      <c r="B533" s="7" t="s">
        <v>533</v>
      </c>
      <c r="C533" s="6">
        <v>42</v>
      </c>
      <c r="D533" s="8">
        <v>3.4</v>
      </c>
      <c r="E533" s="8">
        <v>2.7</v>
      </c>
      <c r="F533" s="8">
        <v>0.5</v>
      </c>
      <c r="G533" s="8">
        <v>6.7</v>
      </c>
      <c r="H533" s="9">
        <v>366.85</v>
      </c>
    </row>
    <row r="534" spans="1:8" x14ac:dyDescent="0.2">
      <c r="A534" s="2">
        <v>11</v>
      </c>
      <c r="B534" s="3" t="s">
        <v>534</v>
      </c>
      <c r="C534" s="2">
        <v>112</v>
      </c>
      <c r="D534" s="4">
        <v>3.6</v>
      </c>
      <c r="E534" s="4">
        <v>2.7</v>
      </c>
      <c r="F534" s="4">
        <v>0.7</v>
      </c>
      <c r="G534" s="4">
        <v>7</v>
      </c>
      <c r="H534" s="5">
        <v>385</v>
      </c>
    </row>
    <row r="535" spans="1:8" x14ac:dyDescent="0.2">
      <c r="A535" s="6">
        <v>11</v>
      </c>
      <c r="B535" s="7" t="s">
        <v>535</v>
      </c>
      <c r="C535" s="6">
        <v>8316</v>
      </c>
      <c r="D535" s="8">
        <v>1.4</v>
      </c>
      <c r="E535" s="8">
        <v>0.7</v>
      </c>
      <c r="F535" s="8">
        <v>0.3</v>
      </c>
      <c r="G535" s="8">
        <v>2.2999999999999998</v>
      </c>
      <c r="H535" s="9">
        <v>126.5</v>
      </c>
    </row>
    <row r="536" spans="1:8" x14ac:dyDescent="0.2">
      <c r="A536" s="2">
        <v>11</v>
      </c>
      <c r="B536" s="3" t="s">
        <v>536</v>
      </c>
      <c r="C536" s="2">
        <v>212</v>
      </c>
      <c r="D536" s="4">
        <v>2</v>
      </c>
      <c r="E536" s="4">
        <v>0.9</v>
      </c>
      <c r="F536" s="4">
        <v>0.5</v>
      </c>
      <c r="G536" s="4">
        <v>3.4</v>
      </c>
      <c r="H536" s="5">
        <v>187</v>
      </c>
    </row>
    <row r="537" spans="1:8" x14ac:dyDescent="0.2">
      <c r="A537" s="6">
        <v>11</v>
      </c>
      <c r="B537" s="7" t="s">
        <v>537</v>
      </c>
      <c r="C537" s="6">
        <v>1458</v>
      </c>
      <c r="D537" s="8">
        <v>1.2</v>
      </c>
      <c r="E537" s="8">
        <v>0.6</v>
      </c>
      <c r="F537" s="8">
        <v>0.3</v>
      </c>
      <c r="G537" s="8">
        <v>2.1</v>
      </c>
      <c r="H537" s="9">
        <v>112.75</v>
      </c>
    </row>
    <row r="538" spans="1:8" x14ac:dyDescent="0.2">
      <c r="A538" s="2">
        <v>11</v>
      </c>
      <c r="B538" s="3" t="s">
        <v>538</v>
      </c>
      <c r="C538" s="2">
        <v>104</v>
      </c>
      <c r="D538" s="4">
        <v>0.6</v>
      </c>
      <c r="E538" s="4">
        <v>0.3</v>
      </c>
      <c r="F538" s="4">
        <v>0.3</v>
      </c>
      <c r="G538" s="4">
        <v>1.1000000000000001</v>
      </c>
      <c r="H538" s="5">
        <v>62.15</v>
      </c>
    </row>
    <row r="539" spans="1:8" x14ac:dyDescent="0.2">
      <c r="A539" s="6">
        <v>11</v>
      </c>
      <c r="B539" s="7" t="s">
        <v>539</v>
      </c>
      <c r="C539" s="6">
        <v>117</v>
      </c>
      <c r="D539" s="8">
        <v>1.8</v>
      </c>
      <c r="E539" s="8">
        <v>0.9</v>
      </c>
      <c r="F539" s="8">
        <v>0.7</v>
      </c>
      <c r="G539" s="8">
        <v>3.5</v>
      </c>
      <c r="H539" s="9">
        <v>190.85</v>
      </c>
    </row>
    <row r="540" spans="1:8" x14ac:dyDescent="0.2">
      <c r="A540" s="2">
        <v>11</v>
      </c>
      <c r="B540" s="3" t="s">
        <v>540</v>
      </c>
      <c r="C540" s="2">
        <v>1</v>
      </c>
      <c r="D540" s="4">
        <v>4</v>
      </c>
      <c r="E540" s="4">
        <v>5</v>
      </c>
      <c r="F540" s="4">
        <v>0</v>
      </c>
      <c r="G540" s="4">
        <v>9</v>
      </c>
      <c r="H540" s="5">
        <v>495</v>
      </c>
    </row>
    <row r="541" spans="1:8" x14ac:dyDescent="0.2">
      <c r="A541" s="6">
        <v>11</v>
      </c>
      <c r="B541" s="7" t="s">
        <v>541</v>
      </c>
      <c r="C541" s="6">
        <v>230</v>
      </c>
      <c r="D541" s="8">
        <v>2.2000000000000002</v>
      </c>
      <c r="E541" s="8">
        <v>1.1000000000000001</v>
      </c>
      <c r="F541" s="8">
        <v>0.8</v>
      </c>
      <c r="G541" s="8">
        <v>4.0999999999999996</v>
      </c>
      <c r="H541" s="9">
        <v>227.7</v>
      </c>
    </row>
    <row r="542" spans="1:8" x14ac:dyDescent="0.2">
      <c r="A542" s="2">
        <v>11</v>
      </c>
      <c r="B542" s="3" t="s">
        <v>542</v>
      </c>
      <c r="C542" s="2">
        <v>32</v>
      </c>
      <c r="D542" s="4">
        <v>0.1</v>
      </c>
      <c r="E542" s="4">
        <v>0.1</v>
      </c>
      <c r="F542" s="4">
        <v>0.1</v>
      </c>
      <c r="G542" s="4">
        <v>0.3</v>
      </c>
      <c r="H542" s="5">
        <v>16.5</v>
      </c>
    </row>
    <row r="543" spans="1:8" x14ac:dyDescent="0.2">
      <c r="A543" s="6">
        <v>11</v>
      </c>
      <c r="B543" s="7" t="s">
        <v>543</v>
      </c>
      <c r="C543" s="6">
        <v>221</v>
      </c>
      <c r="D543" s="8">
        <v>2.5</v>
      </c>
      <c r="E543" s="8">
        <v>1.3</v>
      </c>
      <c r="F543" s="8">
        <v>0.5</v>
      </c>
      <c r="G543" s="8">
        <v>4.2</v>
      </c>
      <c r="H543" s="9">
        <v>231.55</v>
      </c>
    </row>
    <row r="544" spans="1:8" x14ac:dyDescent="0.2">
      <c r="A544" s="2">
        <v>11</v>
      </c>
      <c r="B544" s="3" t="s">
        <v>544</v>
      </c>
      <c r="C544" s="2">
        <v>1</v>
      </c>
      <c r="D544" s="4">
        <v>0</v>
      </c>
      <c r="E544" s="4">
        <v>0</v>
      </c>
      <c r="F544" s="4">
        <v>0</v>
      </c>
      <c r="G544" s="4">
        <v>0</v>
      </c>
      <c r="H544" s="5">
        <v>0</v>
      </c>
    </row>
    <row r="545" spans="1:8" x14ac:dyDescent="0.2">
      <c r="A545" s="6">
        <v>11</v>
      </c>
      <c r="B545" s="7" t="s">
        <v>545</v>
      </c>
      <c r="C545" s="6">
        <v>31</v>
      </c>
      <c r="D545" s="8">
        <v>1.8</v>
      </c>
      <c r="E545" s="8">
        <v>0.8</v>
      </c>
      <c r="F545" s="8">
        <v>0.4</v>
      </c>
      <c r="G545" s="8">
        <v>3</v>
      </c>
      <c r="H545" s="9">
        <v>163.9</v>
      </c>
    </row>
    <row r="546" spans="1:8" x14ac:dyDescent="0.2">
      <c r="A546" s="2">
        <v>11</v>
      </c>
      <c r="B546" s="3" t="s">
        <v>544</v>
      </c>
      <c r="C546" s="2">
        <v>22</v>
      </c>
      <c r="D546" s="4">
        <v>2.6</v>
      </c>
      <c r="E546" s="4">
        <v>1.2</v>
      </c>
      <c r="F546" s="4">
        <v>1.1000000000000001</v>
      </c>
      <c r="G546" s="4">
        <v>4.9000000000000004</v>
      </c>
      <c r="H546" s="5">
        <v>271.7</v>
      </c>
    </row>
    <row r="547" spans="1:8" x14ac:dyDescent="0.2">
      <c r="A547" s="6">
        <v>11</v>
      </c>
      <c r="B547" s="7" t="s">
        <v>546</v>
      </c>
      <c r="C547" s="6">
        <v>3</v>
      </c>
      <c r="D547" s="8">
        <v>0</v>
      </c>
      <c r="E547" s="8">
        <v>0</v>
      </c>
      <c r="F547" s="8">
        <v>0</v>
      </c>
      <c r="G547" s="8">
        <v>0</v>
      </c>
      <c r="H547" s="9">
        <v>0</v>
      </c>
    </row>
    <row r="548" spans="1:8" x14ac:dyDescent="0.2">
      <c r="A548" s="2">
        <v>11</v>
      </c>
      <c r="B548" s="3" t="s">
        <v>547</v>
      </c>
      <c r="C548" s="2">
        <v>4</v>
      </c>
      <c r="D548" s="4">
        <v>5</v>
      </c>
      <c r="E548" s="4">
        <v>4</v>
      </c>
      <c r="F548" s="4">
        <v>1</v>
      </c>
      <c r="G548" s="4">
        <v>10</v>
      </c>
      <c r="H548" s="5">
        <v>550</v>
      </c>
    </row>
    <row r="549" spans="1:8" x14ac:dyDescent="0.2">
      <c r="A549" s="6">
        <v>11</v>
      </c>
      <c r="B549" s="7" t="s">
        <v>548</v>
      </c>
      <c r="C549" s="6">
        <v>1</v>
      </c>
      <c r="D549" s="8">
        <v>0</v>
      </c>
      <c r="E549" s="8">
        <v>8</v>
      </c>
      <c r="F549" s="8">
        <v>0</v>
      </c>
      <c r="G549" s="8">
        <v>8</v>
      </c>
      <c r="H549" s="9">
        <v>440</v>
      </c>
    </row>
    <row r="550" spans="1:8" x14ac:dyDescent="0.2">
      <c r="A550" s="2">
        <v>11</v>
      </c>
      <c r="B550" s="3" t="s">
        <v>549</v>
      </c>
      <c r="C550" s="2">
        <v>281</v>
      </c>
      <c r="D550" s="4">
        <v>5.9</v>
      </c>
      <c r="E550" s="4">
        <v>10.8</v>
      </c>
      <c r="F550" s="4">
        <v>1.3</v>
      </c>
      <c r="G550" s="4">
        <v>18</v>
      </c>
      <c r="H550" s="5">
        <v>987.25</v>
      </c>
    </row>
    <row r="551" spans="1:8" x14ac:dyDescent="0.2">
      <c r="A551" s="6">
        <v>11</v>
      </c>
      <c r="B551" s="7" t="s">
        <v>550</v>
      </c>
      <c r="C551" s="6">
        <v>1</v>
      </c>
      <c r="D551" s="8">
        <v>4</v>
      </c>
      <c r="E551" s="8">
        <v>7</v>
      </c>
      <c r="F551" s="8">
        <v>0</v>
      </c>
      <c r="G551" s="8">
        <v>11</v>
      </c>
      <c r="H551" s="9">
        <v>605</v>
      </c>
    </row>
    <row r="552" spans="1:8" x14ac:dyDescent="0.2">
      <c r="A552" s="2">
        <v>11</v>
      </c>
      <c r="B552" s="3" t="s">
        <v>551</v>
      </c>
      <c r="C552" s="2">
        <v>1</v>
      </c>
      <c r="D552" s="4">
        <v>4</v>
      </c>
      <c r="E552" s="4">
        <v>7</v>
      </c>
      <c r="F552" s="4">
        <v>0</v>
      </c>
      <c r="G552" s="4">
        <v>11</v>
      </c>
      <c r="H552" s="5">
        <v>605</v>
      </c>
    </row>
    <row r="553" spans="1:8" x14ac:dyDescent="0.2">
      <c r="A553" s="6">
        <v>11</v>
      </c>
      <c r="B553" s="7" t="s">
        <v>552</v>
      </c>
      <c r="C553" s="6">
        <v>115</v>
      </c>
      <c r="D553" s="8">
        <v>7.9</v>
      </c>
      <c r="E553" s="8">
        <v>7.5</v>
      </c>
      <c r="F553" s="8">
        <v>0.9</v>
      </c>
      <c r="G553" s="8">
        <v>16.399999999999999</v>
      </c>
      <c r="H553" s="9">
        <v>900.35</v>
      </c>
    </row>
    <row r="554" spans="1:8" x14ac:dyDescent="0.2">
      <c r="A554" s="2">
        <v>11</v>
      </c>
      <c r="B554" s="3" t="s">
        <v>553</v>
      </c>
      <c r="C554" s="2">
        <v>136</v>
      </c>
      <c r="D554" s="4">
        <v>5.7</v>
      </c>
      <c r="E554" s="4">
        <v>4.8</v>
      </c>
      <c r="F554" s="4">
        <v>0.6</v>
      </c>
      <c r="G554" s="4">
        <v>11.2</v>
      </c>
      <c r="H554" s="5">
        <v>613.25</v>
      </c>
    </row>
    <row r="555" spans="1:8" x14ac:dyDescent="0.2">
      <c r="A555" s="6">
        <v>11</v>
      </c>
      <c r="B555" s="7" t="s">
        <v>554</v>
      </c>
      <c r="C555" s="6">
        <v>135</v>
      </c>
      <c r="D555" s="8">
        <v>5.9</v>
      </c>
      <c r="E555" s="8">
        <v>4.8</v>
      </c>
      <c r="F555" s="8">
        <v>0.7</v>
      </c>
      <c r="G555" s="8">
        <v>11.4</v>
      </c>
      <c r="H555" s="9">
        <v>624.79999999999995</v>
      </c>
    </row>
    <row r="556" spans="1:8" x14ac:dyDescent="0.2">
      <c r="A556" s="2">
        <v>11</v>
      </c>
      <c r="B556" s="3" t="s">
        <v>555</v>
      </c>
      <c r="C556" s="2">
        <v>5</v>
      </c>
      <c r="D556" s="4">
        <v>5</v>
      </c>
      <c r="E556" s="4">
        <v>2.4</v>
      </c>
      <c r="F556" s="4">
        <v>0</v>
      </c>
      <c r="G556" s="4">
        <v>7.4</v>
      </c>
      <c r="H556" s="5">
        <v>407</v>
      </c>
    </row>
    <row r="557" spans="1:8" x14ac:dyDescent="0.2">
      <c r="A557" s="6">
        <v>11</v>
      </c>
      <c r="B557" s="7" t="s">
        <v>556</v>
      </c>
      <c r="C557" s="6">
        <v>4</v>
      </c>
      <c r="D557" s="8">
        <v>6</v>
      </c>
      <c r="E557" s="8">
        <v>7.5</v>
      </c>
      <c r="F557" s="8">
        <v>0.8</v>
      </c>
      <c r="G557" s="8">
        <v>14.3</v>
      </c>
      <c r="H557" s="9">
        <v>783.75</v>
      </c>
    </row>
    <row r="558" spans="1:8" x14ac:dyDescent="0.2">
      <c r="A558" s="2">
        <v>11</v>
      </c>
      <c r="B558" s="3" t="s">
        <v>557</v>
      </c>
      <c r="C558" s="2">
        <v>11</v>
      </c>
      <c r="D558" s="4">
        <v>8.5</v>
      </c>
      <c r="E558" s="4">
        <v>12.5</v>
      </c>
      <c r="F558" s="4">
        <v>1.3</v>
      </c>
      <c r="G558" s="4">
        <v>22.3</v>
      </c>
      <c r="H558" s="5">
        <v>1224.3</v>
      </c>
    </row>
    <row r="559" spans="1:8" x14ac:dyDescent="0.2">
      <c r="A559" s="6">
        <v>11</v>
      </c>
      <c r="B559" s="7" t="s">
        <v>558</v>
      </c>
      <c r="C559" s="6">
        <v>1</v>
      </c>
      <c r="D559" s="8">
        <v>4</v>
      </c>
      <c r="E559" s="8">
        <v>3</v>
      </c>
      <c r="F559" s="8">
        <v>0</v>
      </c>
      <c r="G559" s="8">
        <v>7</v>
      </c>
      <c r="H559" s="9">
        <v>385</v>
      </c>
    </row>
    <row r="560" spans="1:8" x14ac:dyDescent="0.2">
      <c r="A560" s="2">
        <v>11</v>
      </c>
      <c r="B560" s="3" t="s">
        <v>559</v>
      </c>
      <c r="C560" s="2">
        <v>164</v>
      </c>
      <c r="D560" s="4">
        <v>8</v>
      </c>
      <c r="E560" s="4">
        <v>7.3</v>
      </c>
      <c r="F560" s="4">
        <v>1.8</v>
      </c>
      <c r="G560" s="4">
        <v>17.100000000000001</v>
      </c>
      <c r="H560" s="5">
        <v>938.85</v>
      </c>
    </row>
    <row r="561" spans="1:8" x14ac:dyDescent="0.2">
      <c r="A561" s="6">
        <v>11</v>
      </c>
      <c r="B561" s="7" t="s">
        <v>560</v>
      </c>
      <c r="C561" s="6">
        <v>1</v>
      </c>
      <c r="D561" s="8">
        <v>4</v>
      </c>
      <c r="E561" s="8">
        <v>5</v>
      </c>
      <c r="F561" s="8">
        <v>0</v>
      </c>
      <c r="G561" s="8">
        <v>9</v>
      </c>
      <c r="H561" s="9">
        <v>495</v>
      </c>
    </row>
    <row r="562" spans="1:8" x14ac:dyDescent="0.2">
      <c r="A562" s="2">
        <v>11</v>
      </c>
      <c r="B562" s="3" t="s">
        <v>561</v>
      </c>
      <c r="C562" s="2">
        <v>21</v>
      </c>
      <c r="D562" s="4">
        <v>4.8</v>
      </c>
      <c r="E562" s="4">
        <v>4.3</v>
      </c>
      <c r="F562" s="4">
        <v>0.6</v>
      </c>
      <c r="G562" s="4">
        <v>9.6</v>
      </c>
      <c r="H562" s="5">
        <v>528.54999999999995</v>
      </c>
    </row>
    <row r="563" spans="1:8" x14ac:dyDescent="0.2">
      <c r="A563" s="6">
        <v>11</v>
      </c>
      <c r="B563" s="7" t="s">
        <v>562</v>
      </c>
      <c r="C563" s="6">
        <v>140</v>
      </c>
      <c r="D563" s="8">
        <v>4.5</v>
      </c>
      <c r="E563" s="8">
        <v>4.8</v>
      </c>
      <c r="F563" s="8">
        <v>0.9</v>
      </c>
      <c r="G563" s="8">
        <v>10.199999999999999</v>
      </c>
      <c r="H563" s="9">
        <v>559.9</v>
      </c>
    </row>
    <row r="564" spans="1:8" x14ac:dyDescent="0.2">
      <c r="A564" s="2">
        <v>11</v>
      </c>
      <c r="B564" s="3" t="s">
        <v>563</v>
      </c>
      <c r="C564" s="2">
        <v>7</v>
      </c>
      <c r="D564" s="4">
        <v>6</v>
      </c>
      <c r="E564" s="4">
        <v>6.3</v>
      </c>
      <c r="F564" s="4">
        <v>0.3</v>
      </c>
      <c r="G564" s="4">
        <v>12.6</v>
      </c>
      <c r="H564" s="5">
        <v>690.8</v>
      </c>
    </row>
    <row r="565" spans="1:8" x14ac:dyDescent="0.2">
      <c r="A565" s="6">
        <v>11</v>
      </c>
      <c r="B565" s="7" t="s">
        <v>564</v>
      </c>
      <c r="C565" s="6">
        <v>37</v>
      </c>
      <c r="D565" s="8">
        <v>4.0999999999999996</v>
      </c>
      <c r="E565" s="8">
        <v>3.2</v>
      </c>
      <c r="F565" s="8">
        <v>0.3</v>
      </c>
      <c r="G565" s="8">
        <v>7.5</v>
      </c>
      <c r="H565" s="9">
        <v>412.5</v>
      </c>
    </row>
    <row r="566" spans="1:8" x14ac:dyDescent="0.2">
      <c r="A566" s="2">
        <v>11</v>
      </c>
      <c r="B566" s="3" t="s">
        <v>565</v>
      </c>
      <c r="C566" s="2">
        <v>250</v>
      </c>
      <c r="D566" s="4">
        <v>4</v>
      </c>
      <c r="E566" s="4">
        <v>2.9</v>
      </c>
      <c r="F566" s="4">
        <v>0.2</v>
      </c>
      <c r="G566" s="4">
        <v>7.2</v>
      </c>
      <c r="H566" s="5">
        <v>396</v>
      </c>
    </row>
    <row r="567" spans="1:8" x14ac:dyDescent="0.2">
      <c r="A567" s="6">
        <v>11</v>
      </c>
      <c r="B567" s="7" t="s">
        <v>566</v>
      </c>
      <c r="C567" s="6">
        <v>522</v>
      </c>
      <c r="D567" s="8">
        <v>3.9</v>
      </c>
      <c r="E567" s="8">
        <v>2.5</v>
      </c>
      <c r="F567" s="8">
        <v>0.6</v>
      </c>
      <c r="G567" s="8">
        <v>6.9</v>
      </c>
      <c r="H567" s="9">
        <v>381.15</v>
      </c>
    </row>
    <row r="568" spans="1:8" x14ac:dyDescent="0.2">
      <c r="A568" s="2">
        <v>11</v>
      </c>
      <c r="B568" s="3" t="s">
        <v>567</v>
      </c>
      <c r="C568" s="2">
        <v>1528</v>
      </c>
      <c r="D568" s="4">
        <v>4.0999999999999996</v>
      </c>
      <c r="E568" s="4">
        <v>3.1</v>
      </c>
      <c r="F568" s="4">
        <v>0.6</v>
      </c>
      <c r="G568" s="4">
        <v>7.7</v>
      </c>
      <c r="H568" s="5">
        <v>425.7</v>
      </c>
    </row>
    <row r="569" spans="1:8" x14ac:dyDescent="0.2">
      <c r="A569" s="6">
        <v>11</v>
      </c>
      <c r="B569" s="7" t="s">
        <v>568</v>
      </c>
      <c r="C569" s="6">
        <v>269</v>
      </c>
      <c r="D569" s="8">
        <v>4.2</v>
      </c>
      <c r="E569" s="8">
        <v>3.6</v>
      </c>
      <c r="F569" s="8">
        <v>0.3</v>
      </c>
      <c r="G569" s="8">
        <v>8.1</v>
      </c>
      <c r="H569" s="9">
        <v>442.75</v>
      </c>
    </row>
    <row r="570" spans="1:8" x14ac:dyDescent="0.2">
      <c r="A570" s="2">
        <v>12</v>
      </c>
      <c r="B570" s="3" t="s">
        <v>569</v>
      </c>
      <c r="C570" s="2">
        <v>27</v>
      </c>
      <c r="D570" s="4">
        <v>4.0999999999999996</v>
      </c>
      <c r="E570" s="4">
        <v>2.8</v>
      </c>
      <c r="F570" s="4">
        <v>0.5</v>
      </c>
      <c r="G570" s="4">
        <v>7.4</v>
      </c>
      <c r="H570" s="5">
        <v>406.45</v>
      </c>
    </row>
    <row r="571" spans="1:8" x14ac:dyDescent="0.2">
      <c r="A571" s="6">
        <v>12</v>
      </c>
      <c r="B571" s="7" t="s">
        <v>570</v>
      </c>
      <c r="C571" s="6">
        <v>1</v>
      </c>
      <c r="D571" s="8">
        <v>2</v>
      </c>
      <c r="E571" s="8">
        <v>5</v>
      </c>
      <c r="F571" s="8">
        <v>0</v>
      </c>
      <c r="G571" s="8">
        <v>7</v>
      </c>
      <c r="H571" s="9">
        <v>385</v>
      </c>
    </row>
    <row r="572" spans="1:8" x14ac:dyDescent="0.2">
      <c r="A572" s="2">
        <v>12</v>
      </c>
      <c r="B572" s="3" t="s">
        <v>571</v>
      </c>
      <c r="C572" s="2">
        <v>33</v>
      </c>
      <c r="D572" s="4">
        <v>4.2</v>
      </c>
      <c r="E572" s="4">
        <v>1.9</v>
      </c>
      <c r="F572" s="4">
        <v>0.5</v>
      </c>
      <c r="G572" s="4">
        <v>6.6</v>
      </c>
      <c r="H572" s="5">
        <v>362.45</v>
      </c>
    </row>
    <row r="573" spans="1:8" x14ac:dyDescent="0.2">
      <c r="A573" s="6">
        <v>12</v>
      </c>
      <c r="B573" s="7" t="s">
        <v>572</v>
      </c>
      <c r="C573" s="6">
        <v>276</v>
      </c>
      <c r="D573" s="8">
        <v>7.9</v>
      </c>
      <c r="E573" s="8">
        <v>7.7</v>
      </c>
      <c r="F573" s="8">
        <v>1.4</v>
      </c>
      <c r="G573" s="8">
        <v>17</v>
      </c>
      <c r="H573" s="9">
        <v>937.2</v>
      </c>
    </row>
    <row r="574" spans="1:8" x14ac:dyDescent="0.2">
      <c r="A574" s="2">
        <v>12</v>
      </c>
      <c r="B574" s="3" t="s">
        <v>573</v>
      </c>
      <c r="C574" s="2">
        <v>1</v>
      </c>
      <c r="D574" s="4">
        <v>8</v>
      </c>
      <c r="E574" s="4">
        <v>4</v>
      </c>
      <c r="F574" s="4">
        <v>1</v>
      </c>
      <c r="G574" s="4">
        <v>13</v>
      </c>
      <c r="H574" s="5">
        <v>715</v>
      </c>
    </row>
    <row r="575" spans="1:8" x14ac:dyDescent="0.2">
      <c r="A575" s="6">
        <v>12</v>
      </c>
      <c r="B575" s="7" t="s">
        <v>574</v>
      </c>
      <c r="C575" s="6">
        <v>304</v>
      </c>
      <c r="D575" s="8">
        <v>8</v>
      </c>
      <c r="E575" s="8">
        <v>6.7</v>
      </c>
      <c r="F575" s="8">
        <v>0.5</v>
      </c>
      <c r="G575" s="8">
        <v>15.1</v>
      </c>
      <c r="H575" s="9">
        <v>832.15</v>
      </c>
    </row>
    <row r="576" spans="1:8" x14ac:dyDescent="0.2">
      <c r="A576" s="2">
        <v>12</v>
      </c>
      <c r="B576" s="3" t="s">
        <v>575</v>
      </c>
      <c r="C576" s="2">
        <v>41</v>
      </c>
      <c r="D576" s="4">
        <v>8</v>
      </c>
      <c r="E576" s="4">
        <v>5.7</v>
      </c>
      <c r="F576" s="4">
        <v>0.4</v>
      </c>
      <c r="G576" s="4">
        <v>14.1</v>
      </c>
      <c r="H576" s="5">
        <v>775.5</v>
      </c>
    </row>
    <row r="577" spans="1:8" x14ac:dyDescent="0.2">
      <c r="A577" s="6">
        <v>12</v>
      </c>
      <c r="B577" s="7" t="s">
        <v>576</v>
      </c>
      <c r="C577" s="6">
        <v>2</v>
      </c>
      <c r="D577" s="8">
        <v>2</v>
      </c>
      <c r="E577" s="8">
        <v>2.5</v>
      </c>
      <c r="F577" s="8">
        <v>0</v>
      </c>
      <c r="G577" s="8">
        <v>4.5</v>
      </c>
      <c r="H577" s="9">
        <v>247.5</v>
      </c>
    </row>
    <row r="578" spans="1:8" x14ac:dyDescent="0.2">
      <c r="A578" s="2">
        <v>12</v>
      </c>
      <c r="B578" s="3" t="s">
        <v>577</v>
      </c>
      <c r="C578" s="2">
        <v>1</v>
      </c>
      <c r="D578" s="4">
        <v>0</v>
      </c>
      <c r="E578" s="4">
        <v>3</v>
      </c>
      <c r="F578" s="4">
        <v>0</v>
      </c>
      <c r="G578" s="4">
        <v>3</v>
      </c>
      <c r="H578" s="5">
        <v>165</v>
      </c>
    </row>
    <row r="579" spans="1:8" x14ac:dyDescent="0.2">
      <c r="A579" s="6">
        <v>12</v>
      </c>
      <c r="B579" s="7" t="s">
        <v>578</v>
      </c>
      <c r="C579" s="6">
        <v>1</v>
      </c>
      <c r="D579" s="8">
        <v>5</v>
      </c>
      <c r="E579" s="8">
        <v>5</v>
      </c>
      <c r="F579" s="8">
        <v>0</v>
      </c>
      <c r="G579" s="8">
        <v>10</v>
      </c>
      <c r="H579" s="9">
        <v>550</v>
      </c>
    </row>
    <row r="580" spans="1:8" x14ac:dyDescent="0.2">
      <c r="A580" s="2">
        <v>12</v>
      </c>
      <c r="B580" s="3" t="s">
        <v>579</v>
      </c>
      <c r="C580" s="2">
        <v>0</v>
      </c>
      <c r="D580" s="4">
        <v>0</v>
      </c>
      <c r="E580" s="4">
        <v>0</v>
      </c>
      <c r="F580" s="4">
        <v>0</v>
      </c>
      <c r="G580" s="4">
        <v>0</v>
      </c>
      <c r="H580" s="5">
        <v>0</v>
      </c>
    </row>
    <row r="581" spans="1:8" x14ac:dyDescent="0.2">
      <c r="A581" s="6">
        <v>12</v>
      </c>
      <c r="B581" s="7" t="s">
        <v>580</v>
      </c>
      <c r="C581" s="6">
        <v>2</v>
      </c>
      <c r="D581" s="8">
        <v>4.5</v>
      </c>
      <c r="E581" s="8">
        <v>6</v>
      </c>
      <c r="F581" s="8">
        <v>0.5</v>
      </c>
      <c r="G581" s="8">
        <v>11</v>
      </c>
      <c r="H581" s="9">
        <v>605</v>
      </c>
    </row>
    <row r="582" spans="1:8" x14ac:dyDescent="0.2">
      <c r="A582" s="2">
        <v>12</v>
      </c>
      <c r="B582" s="3" t="s">
        <v>581</v>
      </c>
      <c r="C582" s="2">
        <v>1</v>
      </c>
      <c r="D582" s="4">
        <v>5</v>
      </c>
      <c r="E582" s="4">
        <v>5</v>
      </c>
      <c r="F582" s="4">
        <v>0</v>
      </c>
      <c r="G582" s="4">
        <v>10</v>
      </c>
      <c r="H582" s="5">
        <v>550</v>
      </c>
    </row>
    <row r="583" spans="1:8" x14ac:dyDescent="0.2">
      <c r="A583" s="6">
        <v>12</v>
      </c>
      <c r="B583" s="7" t="s">
        <v>582</v>
      </c>
      <c r="C583" s="6">
        <v>1</v>
      </c>
      <c r="D583" s="8">
        <v>4</v>
      </c>
      <c r="E583" s="8">
        <v>4</v>
      </c>
      <c r="F583" s="8">
        <v>0</v>
      </c>
      <c r="G583" s="8">
        <v>8</v>
      </c>
      <c r="H583" s="9">
        <v>440</v>
      </c>
    </row>
    <row r="584" spans="1:8" x14ac:dyDescent="0.2">
      <c r="A584" s="2">
        <v>12</v>
      </c>
      <c r="B584" s="3" t="s">
        <v>583</v>
      </c>
      <c r="C584" s="2">
        <v>1</v>
      </c>
      <c r="D584" s="4">
        <v>4</v>
      </c>
      <c r="E584" s="4">
        <v>20</v>
      </c>
      <c r="F584" s="4">
        <v>1</v>
      </c>
      <c r="G584" s="4">
        <v>25</v>
      </c>
      <c r="H584" s="5">
        <v>1375</v>
      </c>
    </row>
    <row r="585" spans="1:8" x14ac:dyDescent="0.2">
      <c r="A585" s="6">
        <v>12</v>
      </c>
      <c r="B585" s="7" t="s">
        <v>584</v>
      </c>
      <c r="C585" s="6">
        <v>1</v>
      </c>
      <c r="D585" s="8">
        <v>4</v>
      </c>
      <c r="E585" s="8">
        <v>5</v>
      </c>
      <c r="F585" s="8">
        <v>0</v>
      </c>
      <c r="G585" s="8">
        <v>9</v>
      </c>
      <c r="H585" s="9">
        <v>495</v>
      </c>
    </row>
    <row r="586" spans="1:8" x14ac:dyDescent="0.2">
      <c r="A586" s="2">
        <v>12</v>
      </c>
      <c r="B586" s="3" t="s">
        <v>585</v>
      </c>
      <c r="C586" s="2">
        <v>735</v>
      </c>
      <c r="D586" s="4">
        <v>1.9</v>
      </c>
      <c r="E586" s="4">
        <v>1</v>
      </c>
      <c r="F586" s="4">
        <v>0.1</v>
      </c>
      <c r="G586" s="4">
        <v>2.9</v>
      </c>
      <c r="H586" s="5">
        <v>161.69999999999999</v>
      </c>
    </row>
    <row r="587" spans="1:8" x14ac:dyDescent="0.2">
      <c r="A587" s="6">
        <v>12</v>
      </c>
      <c r="B587" s="7" t="s">
        <v>586</v>
      </c>
      <c r="C587" s="6">
        <v>0</v>
      </c>
      <c r="D587" s="8">
        <v>0</v>
      </c>
      <c r="E587" s="8">
        <v>0</v>
      </c>
      <c r="F587" s="8">
        <v>0</v>
      </c>
      <c r="G587" s="8">
        <v>0</v>
      </c>
      <c r="H587" s="9">
        <v>0</v>
      </c>
    </row>
    <row r="588" spans="1:8" x14ac:dyDescent="0.2">
      <c r="A588" s="2">
        <v>12</v>
      </c>
      <c r="B588" s="3" t="s">
        <v>587</v>
      </c>
      <c r="C588" s="2">
        <v>13</v>
      </c>
      <c r="D588" s="4">
        <v>4.8</v>
      </c>
      <c r="E588" s="4">
        <v>4.8</v>
      </c>
      <c r="F588" s="4">
        <v>0.7</v>
      </c>
      <c r="G588" s="4">
        <v>10.4</v>
      </c>
      <c r="H588" s="5">
        <v>570.35</v>
      </c>
    </row>
    <row r="589" spans="1:8" x14ac:dyDescent="0.2">
      <c r="A589" s="6">
        <v>12</v>
      </c>
      <c r="B589" s="7" t="s">
        <v>588</v>
      </c>
      <c r="C589" s="6">
        <v>9</v>
      </c>
      <c r="D589" s="8">
        <v>4.4000000000000004</v>
      </c>
      <c r="E589" s="8">
        <v>3.4</v>
      </c>
      <c r="F589" s="8">
        <v>0.1</v>
      </c>
      <c r="G589" s="8">
        <v>8</v>
      </c>
      <c r="H589" s="9">
        <v>439.45</v>
      </c>
    </row>
    <row r="590" spans="1:8" x14ac:dyDescent="0.2">
      <c r="A590" s="2">
        <v>12</v>
      </c>
      <c r="B590" s="3" t="s">
        <v>589</v>
      </c>
      <c r="C590" s="2">
        <v>1</v>
      </c>
      <c r="D590" s="4">
        <v>6</v>
      </c>
      <c r="E590" s="4">
        <v>5.3</v>
      </c>
      <c r="F590" s="4">
        <v>2</v>
      </c>
      <c r="G590" s="4">
        <v>13.3</v>
      </c>
      <c r="H590" s="5">
        <v>729.85</v>
      </c>
    </row>
    <row r="591" spans="1:8" x14ac:dyDescent="0.2">
      <c r="A591" s="6">
        <v>12</v>
      </c>
      <c r="B591" s="7" t="s">
        <v>590</v>
      </c>
      <c r="C591" s="6">
        <v>1</v>
      </c>
      <c r="D591" s="8">
        <v>8</v>
      </c>
      <c r="E591" s="8">
        <v>16</v>
      </c>
      <c r="F591" s="8">
        <v>2</v>
      </c>
      <c r="G591" s="8">
        <v>26</v>
      </c>
      <c r="H591" s="9">
        <v>1430</v>
      </c>
    </row>
    <row r="592" spans="1:8" x14ac:dyDescent="0.2">
      <c r="A592" s="2">
        <v>12</v>
      </c>
      <c r="B592" s="3" t="s">
        <v>591</v>
      </c>
      <c r="C592" s="2">
        <v>1</v>
      </c>
      <c r="D592" s="4">
        <v>6</v>
      </c>
      <c r="E592" s="4">
        <v>12</v>
      </c>
      <c r="F592" s="4">
        <v>0</v>
      </c>
      <c r="G592" s="4">
        <v>18</v>
      </c>
      <c r="H592" s="5">
        <v>990</v>
      </c>
    </row>
    <row r="593" spans="1:8" x14ac:dyDescent="0.2">
      <c r="A593" s="6">
        <v>12</v>
      </c>
      <c r="B593" s="7" t="s">
        <v>592</v>
      </c>
      <c r="C593" s="6">
        <v>1</v>
      </c>
      <c r="D593" s="8">
        <v>6</v>
      </c>
      <c r="E593" s="8">
        <v>11</v>
      </c>
      <c r="F593" s="8">
        <v>0</v>
      </c>
      <c r="G593" s="8">
        <v>17</v>
      </c>
      <c r="H593" s="9">
        <v>935</v>
      </c>
    </row>
    <row r="594" spans="1:8" x14ac:dyDescent="0.2">
      <c r="A594" s="2">
        <v>12</v>
      </c>
      <c r="B594" s="3" t="s">
        <v>593</v>
      </c>
      <c r="C594" s="2">
        <v>2</v>
      </c>
      <c r="D594" s="4">
        <v>3</v>
      </c>
      <c r="E594" s="4">
        <v>3</v>
      </c>
      <c r="F594" s="4">
        <v>1</v>
      </c>
      <c r="G594" s="4">
        <v>7</v>
      </c>
      <c r="H594" s="5">
        <v>385</v>
      </c>
    </row>
    <row r="595" spans="1:8" x14ac:dyDescent="0.2">
      <c r="A595" s="6">
        <v>12</v>
      </c>
      <c r="B595" s="7" t="s">
        <v>594</v>
      </c>
      <c r="C595" s="6">
        <v>53</v>
      </c>
      <c r="D595" s="8">
        <v>7.6</v>
      </c>
      <c r="E595" s="8">
        <v>12.5</v>
      </c>
      <c r="F595" s="8">
        <v>1.3</v>
      </c>
      <c r="G595" s="8">
        <v>21.5</v>
      </c>
      <c r="H595" s="9">
        <v>1181.95</v>
      </c>
    </row>
    <row r="596" spans="1:8" x14ac:dyDescent="0.2">
      <c r="A596" s="2">
        <v>12</v>
      </c>
      <c r="B596" s="3" t="s">
        <v>595</v>
      </c>
      <c r="C596" s="2">
        <v>1040</v>
      </c>
      <c r="D596" s="4">
        <v>8</v>
      </c>
      <c r="E596" s="4">
        <v>8</v>
      </c>
      <c r="F596" s="4">
        <v>1.6</v>
      </c>
      <c r="G596" s="4">
        <v>17.600000000000001</v>
      </c>
      <c r="H596" s="5">
        <v>966.9</v>
      </c>
    </row>
    <row r="597" spans="1:8" x14ac:dyDescent="0.2">
      <c r="A597" s="6">
        <v>12</v>
      </c>
      <c r="B597" s="7" t="s">
        <v>596</v>
      </c>
      <c r="C597" s="6">
        <v>4480</v>
      </c>
      <c r="D597" s="8">
        <v>7.9</v>
      </c>
      <c r="E597" s="8">
        <v>7.9</v>
      </c>
      <c r="F597" s="8">
        <v>1.4</v>
      </c>
      <c r="G597" s="8">
        <v>17.2</v>
      </c>
      <c r="H597" s="9">
        <v>947.1</v>
      </c>
    </row>
    <row r="598" spans="1:8" x14ac:dyDescent="0.2">
      <c r="A598" s="2">
        <v>12</v>
      </c>
      <c r="B598" s="3" t="s">
        <v>597</v>
      </c>
      <c r="C598" s="2">
        <v>33</v>
      </c>
      <c r="D598" s="4">
        <v>8.1</v>
      </c>
      <c r="E598" s="4">
        <v>8.8000000000000007</v>
      </c>
      <c r="F598" s="4">
        <v>1.8</v>
      </c>
      <c r="G598" s="4">
        <v>18.600000000000001</v>
      </c>
      <c r="H598" s="5">
        <v>1024.0999999999999</v>
      </c>
    </row>
    <row r="599" spans="1:8" x14ac:dyDescent="0.2">
      <c r="A599" s="6">
        <v>12</v>
      </c>
      <c r="B599" s="7" t="s">
        <v>598</v>
      </c>
      <c r="C599" s="6">
        <v>1</v>
      </c>
      <c r="D599" s="8">
        <v>8</v>
      </c>
      <c r="E599" s="8">
        <v>7</v>
      </c>
      <c r="F599" s="8">
        <v>1</v>
      </c>
      <c r="G599" s="8">
        <v>16</v>
      </c>
      <c r="H599" s="9">
        <v>880</v>
      </c>
    </row>
    <row r="600" spans="1:8" x14ac:dyDescent="0.2">
      <c r="A600" s="2">
        <v>12</v>
      </c>
      <c r="B600" s="3" t="s">
        <v>599</v>
      </c>
      <c r="C600" s="2">
        <v>10</v>
      </c>
      <c r="D600" s="4">
        <v>8</v>
      </c>
      <c r="E600" s="4">
        <v>10.199999999999999</v>
      </c>
      <c r="F600" s="4">
        <v>2.1</v>
      </c>
      <c r="G600" s="4">
        <v>20.3</v>
      </c>
      <c r="H600" s="5">
        <v>1116.5</v>
      </c>
    </row>
    <row r="601" spans="1:8" x14ac:dyDescent="0.2">
      <c r="A601" s="6">
        <v>12</v>
      </c>
      <c r="B601" s="7" t="s">
        <v>600</v>
      </c>
      <c r="C601" s="6">
        <v>8</v>
      </c>
      <c r="D601" s="8">
        <v>8</v>
      </c>
      <c r="E601" s="8">
        <v>13.8</v>
      </c>
      <c r="F601" s="8">
        <v>2.8</v>
      </c>
      <c r="G601" s="8">
        <v>24.5</v>
      </c>
      <c r="H601" s="9">
        <v>1347.5</v>
      </c>
    </row>
    <row r="602" spans="1:8" x14ac:dyDescent="0.2">
      <c r="A602" s="2">
        <v>12</v>
      </c>
      <c r="B602" s="3" t="s">
        <v>601</v>
      </c>
      <c r="C602" s="2">
        <v>1053</v>
      </c>
      <c r="D602" s="4">
        <v>8</v>
      </c>
      <c r="E602" s="4">
        <v>8.6</v>
      </c>
      <c r="F602" s="4">
        <v>1.7</v>
      </c>
      <c r="G602" s="4">
        <v>18.2</v>
      </c>
      <c r="H602" s="5">
        <v>1001</v>
      </c>
    </row>
    <row r="603" spans="1:8" x14ac:dyDescent="0.2">
      <c r="A603" s="6">
        <v>12</v>
      </c>
      <c r="B603" s="7" t="s">
        <v>602</v>
      </c>
      <c r="C603" s="6">
        <v>2409</v>
      </c>
      <c r="D603" s="8">
        <v>8</v>
      </c>
      <c r="E603" s="8">
        <v>8.1</v>
      </c>
      <c r="F603" s="8">
        <v>1.5</v>
      </c>
      <c r="G603" s="8">
        <v>17.600000000000001</v>
      </c>
      <c r="H603" s="9">
        <v>965.8</v>
      </c>
    </row>
    <row r="604" spans="1:8" x14ac:dyDescent="0.2">
      <c r="A604" s="2">
        <v>12</v>
      </c>
      <c r="B604" s="3" t="s">
        <v>602</v>
      </c>
      <c r="C604" s="2">
        <v>2409</v>
      </c>
      <c r="D604" s="4">
        <v>8</v>
      </c>
      <c r="E604" s="4">
        <v>8.1</v>
      </c>
      <c r="F604" s="4">
        <v>1.5</v>
      </c>
      <c r="G604" s="4">
        <v>17.600000000000001</v>
      </c>
      <c r="H604" s="5">
        <v>965.8</v>
      </c>
    </row>
    <row r="605" spans="1:8" x14ac:dyDescent="0.2">
      <c r="A605" s="6">
        <v>12</v>
      </c>
      <c r="B605" s="7" t="s">
        <v>603</v>
      </c>
      <c r="C605" s="6">
        <v>1</v>
      </c>
      <c r="D605" s="8">
        <v>5</v>
      </c>
      <c r="E605" s="8">
        <v>3</v>
      </c>
      <c r="F605" s="8">
        <v>0</v>
      </c>
      <c r="G605" s="8">
        <v>8</v>
      </c>
      <c r="H605" s="9">
        <v>440</v>
      </c>
    </row>
    <row r="606" spans="1:8" x14ac:dyDescent="0.2">
      <c r="A606" s="2">
        <v>12</v>
      </c>
      <c r="B606" s="3" t="s">
        <v>604</v>
      </c>
      <c r="C606" s="2">
        <v>272</v>
      </c>
      <c r="D606" s="4">
        <v>3.6</v>
      </c>
      <c r="E606" s="4">
        <v>3.8</v>
      </c>
      <c r="F606" s="4">
        <v>0.6</v>
      </c>
      <c r="G606" s="4">
        <v>7.9</v>
      </c>
      <c r="H606" s="5">
        <v>436.7</v>
      </c>
    </row>
    <row r="607" spans="1:8" x14ac:dyDescent="0.2">
      <c r="A607" s="6">
        <v>12</v>
      </c>
      <c r="B607" s="7" t="s">
        <v>605</v>
      </c>
      <c r="C607" s="6">
        <v>1</v>
      </c>
      <c r="D607" s="8">
        <v>6</v>
      </c>
      <c r="E607" s="8">
        <v>5</v>
      </c>
      <c r="F607" s="8">
        <v>3</v>
      </c>
      <c r="G607" s="8">
        <v>14</v>
      </c>
      <c r="H607" s="9">
        <v>770</v>
      </c>
    </row>
    <row r="608" spans="1:8" x14ac:dyDescent="0.2">
      <c r="A608" s="2">
        <v>12</v>
      </c>
      <c r="B608" s="3" t="s">
        <v>606</v>
      </c>
      <c r="C608" s="2">
        <v>5</v>
      </c>
      <c r="D608" s="4">
        <v>4</v>
      </c>
      <c r="E608" s="4">
        <v>2</v>
      </c>
      <c r="F608" s="4">
        <v>0.2</v>
      </c>
      <c r="G608" s="4">
        <v>6.2</v>
      </c>
      <c r="H608" s="5">
        <v>341</v>
      </c>
    </row>
    <row r="609" spans="1:8" x14ac:dyDescent="0.2">
      <c r="A609" s="6">
        <v>12</v>
      </c>
      <c r="B609" s="7" t="s">
        <v>607</v>
      </c>
      <c r="C609" s="6">
        <v>3</v>
      </c>
      <c r="D609" s="8">
        <v>3.7</v>
      </c>
      <c r="E609" s="8">
        <v>3.3</v>
      </c>
      <c r="F609" s="8">
        <v>0.3</v>
      </c>
      <c r="G609" s="8">
        <v>7.3</v>
      </c>
      <c r="H609" s="9">
        <v>402.6</v>
      </c>
    </row>
    <row r="610" spans="1:8" x14ac:dyDescent="0.2">
      <c r="A610" s="2">
        <v>12</v>
      </c>
      <c r="B610" s="3" t="s">
        <v>608</v>
      </c>
      <c r="C610" s="2">
        <v>1</v>
      </c>
      <c r="D610" s="4">
        <v>4</v>
      </c>
      <c r="E610" s="4">
        <v>5</v>
      </c>
      <c r="F610" s="4">
        <v>0</v>
      </c>
      <c r="G610" s="4">
        <v>9</v>
      </c>
      <c r="H610" s="5">
        <v>495</v>
      </c>
    </row>
    <row r="611" spans="1:8" x14ac:dyDescent="0.2">
      <c r="A611" s="6">
        <v>12</v>
      </c>
      <c r="B611" s="7" t="s">
        <v>609</v>
      </c>
      <c r="C611" s="6">
        <v>1</v>
      </c>
      <c r="D611" s="8">
        <v>6</v>
      </c>
      <c r="E611" s="8">
        <v>12</v>
      </c>
      <c r="F611" s="8">
        <v>0</v>
      </c>
      <c r="G611" s="8">
        <v>18</v>
      </c>
      <c r="H611" s="9">
        <v>990</v>
      </c>
    </row>
    <row r="612" spans="1:8" x14ac:dyDescent="0.2">
      <c r="A612" s="2">
        <v>12</v>
      </c>
      <c r="B612" s="3" t="s">
        <v>610</v>
      </c>
      <c r="C612" s="2">
        <v>1</v>
      </c>
      <c r="D612" s="4">
        <v>8</v>
      </c>
      <c r="E612" s="4">
        <v>13</v>
      </c>
      <c r="F612" s="4">
        <v>0</v>
      </c>
      <c r="G612" s="4">
        <v>21</v>
      </c>
      <c r="H612" s="5">
        <v>1155</v>
      </c>
    </row>
    <row r="613" spans="1:8" x14ac:dyDescent="0.2">
      <c r="A613" s="6">
        <v>12</v>
      </c>
      <c r="B613" s="7" t="s">
        <v>611</v>
      </c>
      <c r="C613" s="6">
        <v>0</v>
      </c>
      <c r="D613" s="8">
        <v>0</v>
      </c>
      <c r="E613" s="8">
        <v>0</v>
      </c>
      <c r="F613" s="8">
        <v>0</v>
      </c>
      <c r="G613" s="8">
        <v>0</v>
      </c>
      <c r="H613" s="9">
        <v>0</v>
      </c>
    </row>
    <row r="614" spans="1:8" x14ac:dyDescent="0.2">
      <c r="A614" s="2">
        <v>12</v>
      </c>
      <c r="B614" s="3" t="s">
        <v>612</v>
      </c>
      <c r="C614" s="2">
        <v>8</v>
      </c>
      <c r="D614" s="4">
        <v>5.0999999999999996</v>
      </c>
      <c r="E614" s="4">
        <v>8.5</v>
      </c>
      <c r="F614" s="4">
        <v>0.9</v>
      </c>
      <c r="G614" s="4">
        <v>14.5</v>
      </c>
      <c r="H614" s="5">
        <v>796.95</v>
      </c>
    </row>
    <row r="615" spans="1:8" x14ac:dyDescent="0.2">
      <c r="A615" s="6">
        <v>12</v>
      </c>
      <c r="B615" s="7" t="s">
        <v>613</v>
      </c>
      <c r="C615" s="6">
        <v>1</v>
      </c>
      <c r="D615" s="8">
        <v>0</v>
      </c>
      <c r="E615" s="8">
        <v>3</v>
      </c>
      <c r="F615" s="8">
        <v>0</v>
      </c>
      <c r="G615" s="8">
        <v>3</v>
      </c>
      <c r="H615" s="9">
        <v>165</v>
      </c>
    </row>
    <row r="616" spans="1:8" x14ac:dyDescent="0.2">
      <c r="A616" s="2">
        <v>12</v>
      </c>
      <c r="B616" s="3" t="s">
        <v>614</v>
      </c>
      <c r="C616" s="2">
        <v>1</v>
      </c>
      <c r="D616" s="4">
        <v>6</v>
      </c>
      <c r="E616" s="4">
        <v>3</v>
      </c>
      <c r="F616" s="4">
        <v>0</v>
      </c>
      <c r="G616" s="4">
        <v>9</v>
      </c>
      <c r="H616" s="5">
        <v>495</v>
      </c>
    </row>
    <row r="617" spans="1:8" x14ac:dyDescent="0.2">
      <c r="A617" s="6">
        <v>12</v>
      </c>
      <c r="B617" s="7" t="s">
        <v>615</v>
      </c>
      <c r="C617" s="6">
        <v>53</v>
      </c>
      <c r="D617" s="8">
        <v>4.8</v>
      </c>
      <c r="E617" s="8">
        <v>5</v>
      </c>
      <c r="F617" s="8">
        <v>0.8</v>
      </c>
      <c r="G617" s="8">
        <v>10.6</v>
      </c>
      <c r="H617" s="9">
        <v>580.79999999999995</v>
      </c>
    </row>
    <row r="618" spans="1:8" x14ac:dyDescent="0.2">
      <c r="A618" s="2">
        <v>12</v>
      </c>
      <c r="B618" s="3" t="s">
        <v>616</v>
      </c>
      <c r="C618" s="2">
        <v>52</v>
      </c>
      <c r="D618" s="4">
        <v>4.2</v>
      </c>
      <c r="E618" s="4">
        <v>2.5</v>
      </c>
      <c r="F618" s="4">
        <v>0.2</v>
      </c>
      <c r="G618" s="4">
        <v>6.8</v>
      </c>
      <c r="H618" s="5">
        <v>372.9</v>
      </c>
    </row>
    <row r="619" spans="1:8" x14ac:dyDescent="0.2">
      <c r="A619" s="6">
        <v>12</v>
      </c>
      <c r="B619" s="7" t="s">
        <v>617</v>
      </c>
      <c r="C619" s="6">
        <v>4</v>
      </c>
      <c r="D619" s="8">
        <v>10</v>
      </c>
      <c r="E619" s="8">
        <v>15.5</v>
      </c>
      <c r="F619" s="8">
        <v>0.5</v>
      </c>
      <c r="G619" s="8">
        <v>26</v>
      </c>
      <c r="H619" s="9">
        <v>1430</v>
      </c>
    </row>
    <row r="620" spans="1:8" x14ac:dyDescent="0.2">
      <c r="A620" s="2">
        <v>12</v>
      </c>
      <c r="B620" s="3" t="s">
        <v>618</v>
      </c>
      <c r="C620" s="2">
        <v>24</v>
      </c>
      <c r="D620" s="4">
        <v>9</v>
      </c>
      <c r="E620" s="4">
        <v>27.2</v>
      </c>
      <c r="F620" s="4">
        <v>2.2999999999999998</v>
      </c>
      <c r="G620" s="4">
        <v>38.5</v>
      </c>
      <c r="H620" s="5">
        <v>2119.15</v>
      </c>
    </row>
    <row r="621" spans="1:8" x14ac:dyDescent="0.2">
      <c r="A621" s="6">
        <v>12</v>
      </c>
      <c r="B621" s="7" t="s">
        <v>619</v>
      </c>
      <c r="C621" s="6">
        <v>3</v>
      </c>
      <c r="D621" s="8">
        <v>3</v>
      </c>
      <c r="E621" s="8">
        <v>5.7</v>
      </c>
      <c r="F621" s="8">
        <v>0.3</v>
      </c>
      <c r="G621" s="8">
        <v>9</v>
      </c>
      <c r="H621" s="9">
        <v>494.45</v>
      </c>
    </row>
    <row r="622" spans="1:8" x14ac:dyDescent="0.2">
      <c r="A622" s="2">
        <v>13</v>
      </c>
      <c r="B622" s="3" t="s">
        <v>620</v>
      </c>
      <c r="C622" s="2">
        <v>42</v>
      </c>
      <c r="D622" s="4">
        <v>8.1999999999999993</v>
      </c>
      <c r="E622" s="4">
        <v>7.8</v>
      </c>
      <c r="F622" s="4">
        <v>1.5</v>
      </c>
      <c r="G622" s="4">
        <v>17.399999999999999</v>
      </c>
      <c r="H622" s="5">
        <v>955.35</v>
      </c>
    </row>
    <row r="623" spans="1:8" x14ac:dyDescent="0.2">
      <c r="A623" s="6">
        <v>13</v>
      </c>
      <c r="B623" s="7" t="s">
        <v>621</v>
      </c>
      <c r="C623" s="6">
        <v>441</v>
      </c>
      <c r="D623" s="8">
        <v>8</v>
      </c>
      <c r="E623" s="8">
        <v>7.1</v>
      </c>
      <c r="F623" s="8">
        <v>0.8</v>
      </c>
      <c r="G623" s="8">
        <v>15.9</v>
      </c>
      <c r="H623" s="9">
        <v>872.85</v>
      </c>
    </row>
    <row r="624" spans="1:8" x14ac:dyDescent="0.2">
      <c r="A624" s="2">
        <v>13</v>
      </c>
      <c r="B624" s="3" t="s">
        <v>622</v>
      </c>
      <c r="C624" s="2">
        <v>81</v>
      </c>
      <c r="D624" s="4">
        <v>9.6</v>
      </c>
      <c r="E624" s="4">
        <v>21.6</v>
      </c>
      <c r="F624" s="4">
        <v>0.9</v>
      </c>
      <c r="G624" s="4">
        <v>32.200000000000003</v>
      </c>
      <c r="H624" s="5">
        <v>1768.25</v>
      </c>
    </row>
    <row r="625" spans="1:8" x14ac:dyDescent="0.2">
      <c r="A625" s="6">
        <v>13</v>
      </c>
      <c r="B625" s="7" t="s">
        <v>623</v>
      </c>
      <c r="C625" s="6">
        <v>21</v>
      </c>
      <c r="D625" s="8">
        <v>8.9</v>
      </c>
      <c r="E625" s="8">
        <v>11</v>
      </c>
      <c r="F625" s="8">
        <v>1.4</v>
      </c>
      <c r="G625" s="8">
        <v>21.3</v>
      </c>
      <c r="H625" s="9">
        <v>1172.05</v>
      </c>
    </row>
    <row r="626" spans="1:8" x14ac:dyDescent="0.2">
      <c r="A626" s="2">
        <v>13</v>
      </c>
      <c r="B626" s="3" t="s">
        <v>624</v>
      </c>
      <c r="C626" s="2">
        <v>2</v>
      </c>
      <c r="D626" s="4">
        <v>10</v>
      </c>
      <c r="E626" s="4">
        <v>24</v>
      </c>
      <c r="F626" s="4">
        <v>0.5</v>
      </c>
      <c r="G626" s="4">
        <v>34.5</v>
      </c>
      <c r="H626" s="5">
        <v>1897.5</v>
      </c>
    </row>
    <row r="627" spans="1:8" x14ac:dyDescent="0.2">
      <c r="A627" s="6">
        <v>13</v>
      </c>
      <c r="B627" s="7" t="s">
        <v>625</v>
      </c>
      <c r="C627" s="6">
        <v>0</v>
      </c>
      <c r="D627" s="8">
        <v>0</v>
      </c>
      <c r="E627" s="8">
        <v>0</v>
      </c>
      <c r="F627" s="8">
        <v>0</v>
      </c>
      <c r="G627" s="8">
        <v>0</v>
      </c>
      <c r="H627" s="9">
        <v>0</v>
      </c>
    </row>
    <row r="628" spans="1:8" x14ac:dyDescent="0.2">
      <c r="A628" s="2">
        <v>13</v>
      </c>
      <c r="B628" s="3" t="s">
        <v>626</v>
      </c>
      <c r="C628" s="2">
        <v>3</v>
      </c>
      <c r="D628" s="4">
        <v>7.3</v>
      </c>
      <c r="E628" s="4">
        <v>4.3</v>
      </c>
      <c r="F628" s="4">
        <v>1.7</v>
      </c>
      <c r="G628" s="4">
        <v>13.3</v>
      </c>
      <c r="H628" s="5">
        <v>732.6</v>
      </c>
    </row>
    <row r="629" spans="1:8" x14ac:dyDescent="0.2">
      <c r="A629" s="6">
        <v>13</v>
      </c>
      <c r="B629" s="7" t="s">
        <v>627</v>
      </c>
      <c r="C629" s="6">
        <v>0</v>
      </c>
      <c r="D629" s="8">
        <v>0</v>
      </c>
      <c r="E629" s="8">
        <v>0</v>
      </c>
      <c r="F629" s="8">
        <v>0</v>
      </c>
      <c r="G629" s="8">
        <v>0</v>
      </c>
      <c r="H629" s="9">
        <v>0</v>
      </c>
    </row>
    <row r="630" spans="1:8" x14ac:dyDescent="0.2">
      <c r="A630" s="2">
        <v>13</v>
      </c>
      <c r="B630" s="3" t="s">
        <v>628</v>
      </c>
      <c r="C630" s="2">
        <v>27</v>
      </c>
      <c r="D630" s="4">
        <v>5.0999999999999996</v>
      </c>
      <c r="E630" s="4">
        <v>7.3</v>
      </c>
      <c r="F630" s="4">
        <v>1.9</v>
      </c>
      <c r="G630" s="4">
        <v>14.3</v>
      </c>
      <c r="H630" s="5">
        <v>783.75</v>
      </c>
    </row>
    <row r="631" spans="1:8" x14ac:dyDescent="0.2">
      <c r="A631" s="6">
        <v>13</v>
      </c>
      <c r="B631" s="7" t="s">
        <v>629</v>
      </c>
      <c r="C631" s="6">
        <v>3</v>
      </c>
      <c r="D631" s="8">
        <v>6</v>
      </c>
      <c r="E631" s="8">
        <v>16.3</v>
      </c>
      <c r="F631" s="8">
        <v>0.3</v>
      </c>
      <c r="G631" s="8">
        <v>22.7</v>
      </c>
      <c r="H631" s="9">
        <v>1246.3</v>
      </c>
    </row>
    <row r="632" spans="1:8" x14ac:dyDescent="0.2">
      <c r="A632" s="2">
        <v>13</v>
      </c>
      <c r="B632" s="3" t="s">
        <v>630</v>
      </c>
      <c r="C632" s="2">
        <v>35</v>
      </c>
      <c r="D632" s="4">
        <v>5.2</v>
      </c>
      <c r="E632" s="4">
        <v>12.6</v>
      </c>
      <c r="F632" s="4">
        <v>1.1000000000000001</v>
      </c>
      <c r="G632" s="4">
        <v>18.899999999999999</v>
      </c>
      <c r="H632" s="5">
        <v>1037.8499999999999</v>
      </c>
    </row>
    <row r="633" spans="1:8" x14ac:dyDescent="0.2">
      <c r="A633" s="6">
        <v>13</v>
      </c>
      <c r="B633" s="7" t="s">
        <v>631</v>
      </c>
      <c r="C633" s="6">
        <v>0</v>
      </c>
      <c r="D633" s="8">
        <v>0</v>
      </c>
      <c r="E633" s="8">
        <v>0</v>
      </c>
      <c r="F633" s="8">
        <v>0</v>
      </c>
      <c r="G633" s="8">
        <v>0</v>
      </c>
      <c r="H633" s="9">
        <v>0</v>
      </c>
    </row>
    <row r="634" spans="1:8" x14ac:dyDescent="0.2">
      <c r="A634" s="2">
        <v>13</v>
      </c>
      <c r="B634" s="3" t="s">
        <v>632</v>
      </c>
      <c r="C634" s="2">
        <v>16</v>
      </c>
      <c r="D634" s="4">
        <v>4.3</v>
      </c>
      <c r="E634" s="4">
        <v>2.2999999999999998</v>
      </c>
      <c r="F634" s="4">
        <v>0.2</v>
      </c>
      <c r="G634" s="4">
        <v>6.8</v>
      </c>
      <c r="H634" s="5">
        <v>374</v>
      </c>
    </row>
    <row r="635" spans="1:8" x14ac:dyDescent="0.2">
      <c r="A635" s="6">
        <v>13</v>
      </c>
      <c r="B635" s="7" t="s">
        <v>633</v>
      </c>
      <c r="C635" s="6">
        <v>1</v>
      </c>
      <c r="D635" s="8">
        <v>4</v>
      </c>
      <c r="E635" s="8">
        <v>3</v>
      </c>
      <c r="F635" s="8">
        <v>0</v>
      </c>
      <c r="G635" s="8">
        <v>7</v>
      </c>
      <c r="H635" s="9">
        <v>385</v>
      </c>
    </row>
    <row r="636" spans="1:8" x14ac:dyDescent="0.2">
      <c r="A636" s="2">
        <v>13</v>
      </c>
      <c r="B636" s="3" t="s">
        <v>634</v>
      </c>
      <c r="C636" s="2">
        <v>2</v>
      </c>
      <c r="D636" s="4">
        <v>8</v>
      </c>
      <c r="E636" s="4">
        <v>10.5</v>
      </c>
      <c r="F636" s="4">
        <v>2</v>
      </c>
      <c r="G636" s="4">
        <v>20.5</v>
      </c>
      <c r="H636" s="5">
        <v>1127.5</v>
      </c>
    </row>
    <row r="637" spans="1:8" x14ac:dyDescent="0.2">
      <c r="A637" s="6">
        <v>13</v>
      </c>
      <c r="B637" s="7" t="s">
        <v>635</v>
      </c>
      <c r="C637" s="6">
        <v>11</v>
      </c>
      <c r="D637" s="8">
        <v>4.0999999999999996</v>
      </c>
      <c r="E637" s="8">
        <v>3.2</v>
      </c>
      <c r="F637" s="8">
        <v>0.8</v>
      </c>
      <c r="G637" s="8">
        <v>8.1</v>
      </c>
      <c r="H637" s="9">
        <v>444.4</v>
      </c>
    </row>
    <row r="638" spans="1:8" x14ac:dyDescent="0.2">
      <c r="A638" s="2">
        <v>13</v>
      </c>
      <c r="B638" s="3" t="s">
        <v>636</v>
      </c>
      <c r="C638" s="2">
        <v>14</v>
      </c>
      <c r="D638" s="4">
        <v>4.5</v>
      </c>
      <c r="E638" s="4">
        <v>4</v>
      </c>
      <c r="F638" s="4">
        <v>1.6</v>
      </c>
      <c r="G638" s="4">
        <v>10.1</v>
      </c>
      <c r="H638" s="5">
        <v>553.85</v>
      </c>
    </row>
    <row r="639" spans="1:8" x14ac:dyDescent="0.2">
      <c r="A639" s="6">
        <v>13</v>
      </c>
      <c r="B639" s="7" t="s">
        <v>637</v>
      </c>
      <c r="C639" s="6">
        <v>1</v>
      </c>
      <c r="D639" s="8">
        <v>8</v>
      </c>
      <c r="E639" s="8">
        <v>6</v>
      </c>
      <c r="F639" s="8">
        <v>1</v>
      </c>
      <c r="G639" s="8">
        <v>15</v>
      </c>
      <c r="H639" s="9">
        <v>825</v>
      </c>
    </row>
    <row r="640" spans="1:8" x14ac:dyDescent="0.2">
      <c r="A640" s="2">
        <v>13</v>
      </c>
      <c r="B640" s="3" t="s">
        <v>638</v>
      </c>
      <c r="C640" s="2">
        <v>5</v>
      </c>
      <c r="D640" s="4">
        <v>4.5999999999999996</v>
      </c>
      <c r="E640" s="4">
        <v>4.4000000000000004</v>
      </c>
      <c r="F640" s="4">
        <v>0.6</v>
      </c>
      <c r="G640" s="4">
        <v>9.6</v>
      </c>
      <c r="H640" s="5">
        <v>528</v>
      </c>
    </row>
    <row r="641" spans="1:8" x14ac:dyDescent="0.2">
      <c r="A641" s="6">
        <v>13</v>
      </c>
      <c r="B641" s="7" t="s">
        <v>639</v>
      </c>
      <c r="C641" s="6">
        <v>93</v>
      </c>
      <c r="D641" s="8">
        <v>5.3</v>
      </c>
      <c r="E641" s="8">
        <v>2.8</v>
      </c>
      <c r="F641" s="8">
        <v>0.7</v>
      </c>
      <c r="G641" s="8">
        <v>8.8000000000000007</v>
      </c>
      <c r="H641" s="9">
        <v>484</v>
      </c>
    </row>
    <row r="642" spans="1:8" x14ac:dyDescent="0.2">
      <c r="A642" s="2">
        <v>13</v>
      </c>
      <c r="B642" s="3" t="s">
        <v>640</v>
      </c>
      <c r="C642" s="2">
        <v>6</v>
      </c>
      <c r="D642" s="4">
        <v>1.2</v>
      </c>
      <c r="E642" s="4">
        <v>1.3</v>
      </c>
      <c r="F642" s="4">
        <v>0</v>
      </c>
      <c r="G642" s="4">
        <v>2.5</v>
      </c>
      <c r="H642" s="5">
        <v>136.94999999999999</v>
      </c>
    </row>
    <row r="643" spans="1:8" x14ac:dyDescent="0.2">
      <c r="A643" s="6">
        <v>13</v>
      </c>
      <c r="B643" s="7" t="s">
        <v>641</v>
      </c>
      <c r="C643" s="6">
        <v>11</v>
      </c>
      <c r="D643" s="8">
        <v>17.5</v>
      </c>
      <c r="E643" s="8">
        <v>21.2</v>
      </c>
      <c r="F643" s="8">
        <v>3.5</v>
      </c>
      <c r="G643" s="8">
        <v>42.1</v>
      </c>
      <c r="H643" s="9">
        <v>2314.4</v>
      </c>
    </row>
    <row r="644" spans="1:8" x14ac:dyDescent="0.2">
      <c r="A644" s="2">
        <v>13</v>
      </c>
      <c r="B644" s="3" t="s">
        <v>642</v>
      </c>
      <c r="C644" s="2">
        <v>7</v>
      </c>
      <c r="D644" s="4">
        <v>16.3</v>
      </c>
      <c r="E644" s="4">
        <v>19.3</v>
      </c>
      <c r="F644" s="4">
        <v>2.4</v>
      </c>
      <c r="G644" s="4">
        <v>38</v>
      </c>
      <c r="H644" s="5">
        <v>2088.9</v>
      </c>
    </row>
    <row r="645" spans="1:8" x14ac:dyDescent="0.2">
      <c r="A645" s="6">
        <v>13</v>
      </c>
      <c r="B645" s="7" t="s">
        <v>643</v>
      </c>
      <c r="C645" s="6">
        <v>5</v>
      </c>
      <c r="D645" s="8">
        <v>5.4</v>
      </c>
      <c r="E645" s="8">
        <v>6.8</v>
      </c>
      <c r="F645" s="8">
        <v>2</v>
      </c>
      <c r="G645" s="8">
        <v>14.2</v>
      </c>
      <c r="H645" s="9">
        <v>781</v>
      </c>
    </row>
    <row r="646" spans="1:8" x14ac:dyDescent="0.2">
      <c r="A646" s="2">
        <v>13</v>
      </c>
      <c r="B646" s="3" t="s">
        <v>644</v>
      </c>
      <c r="C646" s="2">
        <v>0</v>
      </c>
      <c r="D646" s="4">
        <v>0</v>
      </c>
      <c r="E646" s="4">
        <v>0</v>
      </c>
      <c r="F646" s="4">
        <v>0</v>
      </c>
      <c r="G646" s="4">
        <v>0</v>
      </c>
      <c r="H646" s="5">
        <v>0</v>
      </c>
    </row>
    <row r="647" spans="1:8" x14ac:dyDescent="0.2">
      <c r="A647" s="6">
        <v>13</v>
      </c>
      <c r="B647" s="7" t="s">
        <v>645</v>
      </c>
      <c r="C647" s="6">
        <v>5</v>
      </c>
      <c r="D647" s="8">
        <v>3.2</v>
      </c>
      <c r="E647" s="8">
        <v>2</v>
      </c>
      <c r="F647" s="8">
        <v>0.4</v>
      </c>
      <c r="G647" s="8">
        <v>5.6</v>
      </c>
      <c r="H647" s="9">
        <v>308</v>
      </c>
    </row>
    <row r="648" spans="1:8" x14ac:dyDescent="0.2">
      <c r="A648" s="2">
        <v>13</v>
      </c>
      <c r="B648" s="3" t="s">
        <v>646</v>
      </c>
      <c r="C648" s="2">
        <v>2</v>
      </c>
      <c r="D648" s="4">
        <v>5</v>
      </c>
      <c r="E648" s="4">
        <v>8.5</v>
      </c>
      <c r="F648" s="4">
        <v>3</v>
      </c>
      <c r="G648" s="4">
        <v>16.5</v>
      </c>
      <c r="H648" s="5">
        <v>907.5</v>
      </c>
    </row>
    <row r="649" spans="1:8" x14ac:dyDescent="0.2">
      <c r="A649" s="6">
        <v>13</v>
      </c>
      <c r="B649" s="7" t="s">
        <v>647</v>
      </c>
      <c r="C649" s="6">
        <v>1</v>
      </c>
      <c r="D649" s="8">
        <v>5</v>
      </c>
      <c r="E649" s="8">
        <v>6</v>
      </c>
      <c r="F649" s="8">
        <v>5</v>
      </c>
      <c r="G649" s="8">
        <v>16</v>
      </c>
      <c r="H649" s="9">
        <v>880</v>
      </c>
    </row>
    <row r="650" spans="1:8" x14ac:dyDescent="0.2">
      <c r="A650" s="2">
        <v>13</v>
      </c>
      <c r="B650" s="3" t="s">
        <v>648</v>
      </c>
      <c r="C650" s="2">
        <v>1</v>
      </c>
      <c r="D650" s="4">
        <v>4</v>
      </c>
      <c r="E650" s="4">
        <v>2</v>
      </c>
      <c r="F650" s="4">
        <v>0</v>
      </c>
      <c r="G650" s="4">
        <v>6</v>
      </c>
      <c r="H650" s="5">
        <v>330</v>
      </c>
    </row>
    <row r="651" spans="1:8" x14ac:dyDescent="0.2">
      <c r="A651" s="6">
        <v>13</v>
      </c>
      <c r="B651" s="7" t="s">
        <v>649</v>
      </c>
      <c r="C651" s="6">
        <v>3</v>
      </c>
      <c r="D651" s="8">
        <v>18</v>
      </c>
      <c r="E651" s="8">
        <v>17.7</v>
      </c>
      <c r="F651" s="8">
        <v>3.3</v>
      </c>
      <c r="G651" s="8">
        <v>39</v>
      </c>
      <c r="H651" s="9">
        <v>2144.4499999999998</v>
      </c>
    </row>
    <row r="652" spans="1:8" x14ac:dyDescent="0.2">
      <c r="A652" s="2">
        <v>13</v>
      </c>
      <c r="B652" s="3" t="s">
        <v>650</v>
      </c>
      <c r="C652" s="2">
        <v>2</v>
      </c>
      <c r="D652" s="4">
        <v>6</v>
      </c>
      <c r="E652" s="4">
        <v>8.5</v>
      </c>
      <c r="F652" s="4">
        <v>1</v>
      </c>
      <c r="G652" s="4">
        <v>15.5</v>
      </c>
      <c r="H652" s="5">
        <v>852.5</v>
      </c>
    </row>
    <row r="653" spans="1:8" x14ac:dyDescent="0.2">
      <c r="A653" s="6">
        <v>13</v>
      </c>
      <c r="B653" s="7" t="s">
        <v>651</v>
      </c>
      <c r="C653" s="6">
        <v>33</v>
      </c>
      <c r="D653" s="8">
        <v>5.3</v>
      </c>
      <c r="E653" s="8">
        <v>6.1</v>
      </c>
      <c r="F653" s="8">
        <v>0.4</v>
      </c>
      <c r="G653" s="8">
        <v>11.8</v>
      </c>
      <c r="H653" s="9">
        <v>647.9</v>
      </c>
    </row>
    <row r="654" spans="1:8" x14ac:dyDescent="0.2">
      <c r="A654" s="2">
        <v>13</v>
      </c>
      <c r="B654" s="3" t="s">
        <v>652</v>
      </c>
      <c r="C654" s="2">
        <v>4</v>
      </c>
      <c r="D654" s="4">
        <v>7.8</v>
      </c>
      <c r="E654" s="4">
        <v>7.3</v>
      </c>
      <c r="F654" s="4">
        <v>1</v>
      </c>
      <c r="G654" s="4">
        <v>16</v>
      </c>
      <c r="H654" s="5">
        <v>880</v>
      </c>
    </row>
    <row r="655" spans="1:8" x14ac:dyDescent="0.2">
      <c r="A655" s="6">
        <v>13</v>
      </c>
      <c r="B655" s="7" t="s">
        <v>653</v>
      </c>
      <c r="C655" s="6">
        <v>0</v>
      </c>
      <c r="D655" s="8">
        <v>0</v>
      </c>
      <c r="E655" s="8">
        <v>0</v>
      </c>
      <c r="F655" s="8">
        <v>0</v>
      </c>
      <c r="G655" s="8">
        <v>0</v>
      </c>
      <c r="H655" s="9">
        <v>0</v>
      </c>
    </row>
    <row r="656" spans="1:8" x14ac:dyDescent="0.2">
      <c r="A656" s="2">
        <v>13</v>
      </c>
      <c r="B656" s="3" t="s">
        <v>654</v>
      </c>
      <c r="C656" s="2">
        <v>1</v>
      </c>
      <c r="D656" s="4">
        <v>4</v>
      </c>
      <c r="E656" s="4">
        <v>3</v>
      </c>
      <c r="F656" s="4">
        <v>1</v>
      </c>
      <c r="G656" s="4">
        <v>8</v>
      </c>
      <c r="H656" s="5">
        <v>440</v>
      </c>
    </row>
    <row r="657" spans="1:8" x14ac:dyDescent="0.2">
      <c r="A657" s="6">
        <v>13</v>
      </c>
      <c r="B657" s="7" t="s">
        <v>655</v>
      </c>
      <c r="C657" s="6">
        <v>18</v>
      </c>
      <c r="D657" s="8">
        <v>16</v>
      </c>
      <c r="E657" s="8">
        <v>22</v>
      </c>
      <c r="F657" s="8">
        <v>2.9</v>
      </c>
      <c r="G657" s="8">
        <v>40.9</v>
      </c>
      <c r="H657" s="9">
        <v>2251.6999999999998</v>
      </c>
    </row>
    <row r="658" spans="1:8" x14ac:dyDescent="0.2">
      <c r="A658" s="2">
        <v>13</v>
      </c>
      <c r="B658" s="3" t="s">
        <v>656</v>
      </c>
      <c r="C658" s="2">
        <v>49</v>
      </c>
      <c r="D658" s="4">
        <v>3.1</v>
      </c>
      <c r="E658" s="4">
        <v>3.4</v>
      </c>
      <c r="F658" s="4">
        <v>0.6</v>
      </c>
      <c r="G658" s="4">
        <v>7.1</v>
      </c>
      <c r="H658" s="5">
        <v>389.95</v>
      </c>
    </row>
    <row r="659" spans="1:8" x14ac:dyDescent="0.2">
      <c r="A659" s="6">
        <v>13</v>
      </c>
      <c r="B659" s="7" t="s">
        <v>657</v>
      </c>
      <c r="C659" s="6">
        <v>1</v>
      </c>
      <c r="D659" s="8">
        <v>6</v>
      </c>
      <c r="E659" s="8">
        <v>6</v>
      </c>
      <c r="F659" s="8">
        <v>0</v>
      </c>
      <c r="G659" s="8">
        <v>12</v>
      </c>
      <c r="H659" s="9">
        <v>660</v>
      </c>
    </row>
    <row r="660" spans="1:8" x14ac:dyDescent="0.2">
      <c r="A660" s="2">
        <v>13</v>
      </c>
      <c r="B660" s="3" t="s">
        <v>658</v>
      </c>
      <c r="C660" s="2">
        <v>2</v>
      </c>
      <c r="D660" s="4">
        <v>17</v>
      </c>
      <c r="E660" s="4">
        <v>27</v>
      </c>
      <c r="F660" s="4">
        <v>5</v>
      </c>
      <c r="G660" s="4">
        <v>49</v>
      </c>
      <c r="H660" s="5">
        <v>2695</v>
      </c>
    </row>
    <row r="661" spans="1:8" x14ac:dyDescent="0.2">
      <c r="A661" s="6">
        <v>13</v>
      </c>
      <c r="B661" s="7" t="s">
        <v>659</v>
      </c>
      <c r="C661" s="6">
        <v>0</v>
      </c>
      <c r="D661" s="8">
        <v>0</v>
      </c>
      <c r="E661" s="8">
        <v>0</v>
      </c>
      <c r="F661" s="8">
        <v>0</v>
      </c>
      <c r="G661" s="8">
        <v>0</v>
      </c>
      <c r="H661" s="9">
        <v>0</v>
      </c>
    </row>
    <row r="662" spans="1:8" x14ac:dyDescent="0.2">
      <c r="A662" s="2">
        <v>13</v>
      </c>
      <c r="B662" s="3" t="s">
        <v>660</v>
      </c>
      <c r="C662" s="2">
        <v>1</v>
      </c>
      <c r="D662" s="4">
        <v>0</v>
      </c>
      <c r="E662" s="4">
        <v>2</v>
      </c>
      <c r="F662" s="4">
        <v>0</v>
      </c>
      <c r="G662" s="4">
        <v>2</v>
      </c>
      <c r="H662" s="5">
        <v>110</v>
      </c>
    </row>
    <row r="663" spans="1:8" x14ac:dyDescent="0.2">
      <c r="A663" s="6">
        <v>13</v>
      </c>
      <c r="B663" s="7" t="s">
        <v>661</v>
      </c>
      <c r="C663" s="6">
        <v>78</v>
      </c>
      <c r="D663" s="8">
        <v>4.9000000000000004</v>
      </c>
      <c r="E663" s="8">
        <v>5.5</v>
      </c>
      <c r="F663" s="8">
        <v>1.1000000000000001</v>
      </c>
      <c r="G663" s="8">
        <v>11.6</v>
      </c>
      <c r="H663" s="9">
        <v>635.79999999999995</v>
      </c>
    </row>
    <row r="664" spans="1:8" x14ac:dyDescent="0.2">
      <c r="A664" s="2">
        <v>13</v>
      </c>
      <c r="B664" s="3" t="s">
        <v>662</v>
      </c>
      <c r="C664" s="2">
        <v>2</v>
      </c>
      <c r="D664" s="4">
        <v>5</v>
      </c>
      <c r="E664" s="4">
        <v>7</v>
      </c>
      <c r="F664" s="4">
        <v>0</v>
      </c>
      <c r="G664" s="4">
        <v>12</v>
      </c>
      <c r="H664" s="5">
        <v>660</v>
      </c>
    </row>
    <row r="665" spans="1:8" x14ac:dyDescent="0.2">
      <c r="A665" s="6">
        <v>13</v>
      </c>
      <c r="B665" s="7" t="s">
        <v>663</v>
      </c>
      <c r="C665" s="6">
        <v>42</v>
      </c>
      <c r="D665" s="8">
        <v>5</v>
      </c>
      <c r="E665" s="8">
        <v>4.9000000000000004</v>
      </c>
      <c r="F665" s="8">
        <v>1.2</v>
      </c>
      <c r="G665" s="8">
        <v>11</v>
      </c>
      <c r="H665" s="9">
        <v>607.20000000000005</v>
      </c>
    </row>
    <row r="666" spans="1:8" x14ac:dyDescent="0.2">
      <c r="A666" s="2">
        <v>13</v>
      </c>
      <c r="B666" s="3" t="s">
        <v>664</v>
      </c>
      <c r="C666" s="2">
        <v>73</v>
      </c>
      <c r="D666" s="4">
        <v>4.9000000000000004</v>
      </c>
      <c r="E666" s="4">
        <v>4.5999999999999996</v>
      </c>
      <c r="F666" s="4">
        <v>1.1000000000000001</v>
      </c>
      <c r="G666" s="4">
        <v>10.6</v>
      </c>
      <c r="H666" s="5">
        <v>582.45000000000005</v>
      </c>
    </row>
    <row r="667" spans="1:8" x14ac:dyDescent="0.2">
      <c r="A667" s="6">
        <v>13</v>
      </c>
      <c r="B667" s="7" t="s">
        <v>665</v>
      </c>
      <c r="C667" s="6">
        <v>1</v>
      </c>
      <c r="D667" s="8">
        <v>5</v>
      </c>
      <c r="E667" s="8">
        <v>8</v>
      </c>
      <c r="F667" s="8">
        <v>1</v>
      </c>
      <c r="G667" s="8">
        <v>14</v>
      </c>
      <c r="H667" s="9">
        <v>770</v>
      </c>
    </row>
    <row r="668" spans="1:8" x14ac:dyDescent="0.2">
      <c r="A668" s="2">
        <v>13</v>
      </c>
      <c r="B668" s="3" t="s">
        <v>666</v>
      </c>
      <c r="C668" s="2">
        <v>0</v>
      </c>
      <c r="D668" s="4">
        <v>0</v>
      </c>
      <c r="E668" s="4">
        <v>0</v>
      </c>
      <c r="F668" s="4">
        <v>0</v>
      </c>
      <c r="G668" s="4">
        <v>0</v>
      </c>
      <c r="H668" s="5">
        <v>0</v>
      </c>
    </row>
    <row r="669" spans="1:8" x14ac:dyDescent="0.2">
      <c r="A669" s="6">
        <v>13</v>
      </c>
      <c r="B669" s="7" t="s">
        <v>667</v>
      </c>
      <c r="C669" s="6">
        <v>27</v>
      </c>
      <c r="D669" s="8">
        <v>3.8</v>
      </c>
      <c r="E669" s="8">
        <v>7.9</v>
      </c>
      <c r="F669" s="8">
        <v>0.1</v>
      </c>
      <c r="G669" s="8">
        <v>11.8</v>
      </c>
      <c r="H669" s="9">
        <v>649</v>
      </c>
    </row>
    <row r="670" spans="1:8" x14ac:dyDescent="0.2">
      <c r="A670" s="2">
        <v>13</v>
      </c>
      <c r="B670" s="3" t="s">
        <v>668</v>
      </c>
      <c r="C670" s="2">
        <v>1</v>
      </c>
      <c r="D670" s="4">
        <v>6</v>
      </c>
      <c r="E670" s="4">
        <v>4</v>
      </c>
      <c r="F670" s="4">
        <v>0</v>
      </c>
      <c r="G670" s="4">
        <v>10</v>
      </c>
      <c r="H670" s="5">
        <v>550</v>
      </c>
    </row>
    <row r="671" spans="1:8" x14ac:dyDescent="0.2">
      <c r="A671" s="6">
        <v>13</v>
      </c>
      <c r="B671" s="7" t="s">
        <v>669</v>
      </c>
      <c r="C671" s="6">
        <v>5</v>
      </c>
      <c r="D671" s="8">
        <v>5.8</v>
      </c>
      <c r="E671" s="8">
        <v>8.6</v>
      </c>
      <c r="F671" s="8">
        <v>0</v>
      </c>
      <c r="G671" s="8">
        <v>14.4</v>
      </c>
      <c r="H671" s="9">
        <v>792</v>
      </c>
    </row>
    <row r="672" spans="1:8" x14ac:dyDescent="0.2">
      <c r="A672" s="2">
        <v>13</v>
      </c>
      <c r="B672" s="3" t="s">
        <v>670</v>
      </c>
      <c r="C672" s="2">
        <v>88</v>
      </c>
      <c r="D672" s="4">
        <v>6.1</v>
      </c>
      <c r="E672" s="4">
        <v>9.5</v>
      </c>
      <c r="F672" s="4">
        <v>0.3</v>
      </c>
      <c r="G672" s="4">
        <v>15.8</v>
      </c>
      <c r="H672" s="5">
        <v>867.9</v>
      </c>
    </row>
    <row r="673" spans="1:8" x14ac:dyDescent="0.2">
      <c r="A673" s="6">
        <v>13</v>
      </c>
      <c r="B673" s="7" t="s">
        <v>671</v>
      </c>
      <c r="C673" s="6">
        <v>1</v>
      </c>
      <c r="D673" s="8">
        <v>6</v>
      </c>
      <c r="E673" s="8">
        <v>8</v>
      </c>
      <c r="F673" s="8">
        <v>0</v>
      </c>
      <c r="G673" s="8">
        <v>14</v>
      </c>
      <c r="H673" s="9">
        <v>770</v>
      </c>
    </row>
    <row r="674" spans="1:8" x14ac:dyDescent="0.2">
      <c r="A674" s="2">
        <v>14</v>
      </c>
      <c r="B674" s="3" t="s">
        <v>672</v>
      </c>
      <c r="C674" s="2">
        <v>14</v>
      </c>
      <c r="D674" s="4">
        <v>4.9000000000000004</v>
      </c>
      <c r="E674" s="4">
        <v>4.0999999999999996</v>
      </c>
      <c r="F674" s="4">
        <v>0.6</v>
      </c>
      <c r="G674" s="4">
        <v>9.5</v>
      </c>
      <c r="H674" s="5">
        <v>521.95000000000005</v>
      </c>
    </row>
    <row r="675" spans="1:8" x14ac:dyDescent="0.2">
      <c r="A675" s="6">
        <v>14</v>
      </c>
      <c r="B675" s="7" t="s">
        <v>673</v>
      </c>
      <c r="C675" s="6">
        <v>0</v>
      </c>
      <c r="D675" s="8">
        <v>0</v>
      </c>
      <c r="E675" s="8">
        <v>0</v>
      </c>
      <c r="F675" s="8">
        <v>0</v>
      </c>
      <c r="G675" s="8">
        <v>0</v>
      </c>
      <c r="H675" s="9">
        <v>0</v>
      </c>
    </row>
    <row r="676" spans="1:8" x14ac:dyDescent="0.2">
      <c r="A676" s="2">
        <v>14</v>
      </c>
      <c r="B676" s="3" t="s">
        <v>674</v>
      </c>
      <c r="C676" s="2">
        <v>0</v>
      </c>
      <c r="D676" s="4">
        <v>0</v>
      </c>
      <c r="E676" s="4">
        <v>0</v>
      </c>
      <c r="F676" s="4">
        <v>0</v>
      </c>
      <c r="G676" s="4">
        <v>0</v>
      </c>
      <c r="H676" s="5">
        <v>0</v>
      </c>
    </row>
    <row r="677" spans="1:8" x14ac:dyDescent="0.2">
      <c r="A677" s="6">
        <v>14</v>
      </c>
      <c r="B677" s="7" t="s">
        <v>675</v>
      </c>
      <c r="C677" s="6">
        <v>0</v>
      </c>
      <c r="D677" s="8">
        <v>0</v>
      </c>
      <c r="E677" s="8">
        <v>0</v>
      </c>
      <c r="F677" s="8">
        <v>0</v>
      </c>
      <c r="G677" s="8">
        <v>0</v>
      </c>
      <c r="H677" s="9">
        <v>0</v>
      </c>
    </row>
    <row r="678" spans="1:8" x14ac:dyDescent="0.2">
      <c r="A678" s="2">
        <v>14</v>
      </c>
      <c r="B678" s="3" t="s">
        <v>676</v>
      </c>
      <c r="C678" s="2">
        <v>137</v>
      </c>
      <c r="D678" s="4">
        <v>4.2</v>
      </c>
      <c r="E678" s="4">
        <v>2.5</v>
      </c>
      <c r="F678" s="4">
        <v>1.2</v>
      </c>
      <c r="G678" s="4">
        <v>8</v>
      </c>
      <c r="H678" s="5">
        <v>438.9</v>
      </c>
    </row>
    <row r="679" spans="1:8" x14ac:dyDescent="0.2">
      <c r="A679" s="6">
        <v>14</v>
      </c>
      <c r="B679" s="7" t="s">
        <v>677</v>
      </c>
      <c r="C679" s="6">
        <v>1</v>
      </c>
      <c r="D679" s="8">
        <v>4</v>
      </c>
      <c r="E679" s="8">
        <v>4</v>
      </c>
      <c r="F679" s="8">
        <v>0</v>
      </c>
      <c r="G679" s="8">
        <v>8</v>
      </c>
      <c r="H679" s="9">
        <v>440</v>
      </c>
    </row>
    <row r="680" spans="1:8" x14ac:dyDescent="0.2">
      <c r="A680" s="2">
        <v>14</v>
      </c>
      <c r="B680" s="3" t="s">
        <v>678</v>
      </c>
      <c r="C680" s="2">
        <v>1</v>
      </c>
      <c r="D680" s="4">
        <v>4</v>
      </c>
      <c r="E680" s="4">
        <v>1</v>
      </c>
      <c r="F680" s="4">
        <v>0</v>
      </c>
      <c r="G680" s="4">
        <v>5</v>
      </c>
      <c r="H680" s="5">
        <v>275</v>
      </c>
    </row>
    <row r="681" spans="1:8" x14ac:dyDescent="0.2">
      <c r="A681" s="6">
        <v>14</v>
      </c>
      <c r="B681" s="7" t="s">
        <v>679</v>
      </c>
      <c r="C681" s="6">
        <v>12</v>
      </c>
      <c r="D681" s="8">
        <v>4</v>
      </c>
      <c r="E681" s="8">
        <v>3.6</v>
      </c>
      <c r="F681" s="8">
        <v>1.1000000000000001</v>
      </c>
      <c r="G681" s="8">
        <v>8.6999999999999993</v>
      </c>
      <c r="H681" s="9">
        <v>476.3</v>
      </c>
    </row>
    <row r="682" spans="1:8" x14ac:dyDescent="0.2">
      <c r="A682" s="2">
        <v>14</v>
      </c>
      <c r="B682" s="3" t="s">
        <v>680</v>
      </c>
      <c r="C682" s="2">
        <v>26</v>
      </c>
      <c r="D682" s="4">
        <v>3.9</v>
      </c>
      <c r="E682" s="4">
        <v>3.5</v>
      </c>
      <c r="F682" s="4">
        <v>0.5</v>
      </c>
      <c r="G682" s="4">
        <v>8</v>
      </c>
      <c r="H682" s="5">
        <v>438.9</v>
      </c>
    </row>
    <row r="683" spans="1:8" x14ac:dyDescent="0.2">
      <c r="A683" s="6">
        <v>14</v>
      </c>
      <c r="B683" s="7" t="s">
        <v>681</v>
      </c>
      <c r="C683" s="6">
        <v>4</v>
      </c>
      <c r="D683" s="8">
        <v>5.5</v>
      </c>
      <c r="E683" s="8">
        <v>10.8</v>
      </c>
      <c r="F683" s="8">
        <v>0.3</v>
      </c>
      <c r="G683" s="8">
        <v>16.5</v>
      </c>
      <c r="H683" s="9">
        <v>907.5</v>
      </c>
    </row>
    <row r="684" spans="1:8" x14ac:dyDescent="0.2">
      <c r="A684" s="2">
        <v>14</v>
      </c>
      <c r="B684" s="3" t="s">
        <v>682</v>
      </c>
      <c r="C684" s="2">
        <v>1</v>
      </c>
      <c r="D684" s="4">
        <v>16</v>
      </c>
      <c r="E684" s="4">
        <v>19</v>
      </c>
      <c r="F684" s="4">
        <v>3</v>
      </c>
      <c r="G684" s="4">
        <v>38</v>
      </c>
      <c r="H684" s="5">
        <v>2090</v>
      </c>
    </row>
    <row r="685" spans="1:8" x14ac:dyDescent="0.2">
      <c r="A685" s="6">
        <v>14</v>
      </c>
      <c r="B685" s="7" t="s">
        <v>683</v>
      </c>
      <c r="C685" s="6">
        <v>1</v>
      </c>
      <c r="D685" s="8">
        <v>6</v>
      </c>
      <c r="E685" s="8">
        <v>6</v>
      </c>
      <c r="F685" s="8">
        <v>0</v>
      </c>
      <c r="G685" s="8">
        <v>12</v>
      </c>
      <c r="H685" s="9">
        <v>660</v>
      </c>
    </row>
    <row r="686" spans="1:8" x14ac:dyDescent="0.2">
      <c r="A686" s="2">
        <v>14</v>
      </c>
      <c r="B686" s="3" t="s">
        <v>684</v>
      </c>
      <c r="C686" s="2">
        <v>8</v>
      </c>
      <c r="D686" s="4">
        <v>4</v>
      </c>
      <c r="E686" s="4">
        <v>6</v>
      </c>
      <c r="F686" s="4">
        <v>0.5</v>
      </c>
      <c r="G686" s="4">
        <v>10.5</v>
      </c>
      <c r="H686" s="5">
        <v>577.5</v>
      </c>
    </row>
    <row r="687" spans="1:8" x14ac:dyDescent="0.2">
      <c r="A687" s="6">
        <v>14</v>
      </c>
      <c r="B687" s="7" t="s">
        <v>685</v>
      </c>
      <c r="C687" s="6">
        <v>1</v>
      </c>
      <c r="D687" s="8">
        <v>5</v>
      </c>
      <c r="E687" s="8">
        <v>11</v>
      </c>
      <c r="F687" s="8">
        <v>0</v>
      </c>
      <c r="G687" s="8">
        <v>16</v>
      </c>
      <c r="H687" s="9">
        <v>880</v>
      </c>
    </row>
    <row r="688" spans="1:8" x14ac:dyDescent="0.2">
      <c r="A688" s="2">
        <v>14</v>
      </c>
      <c r="B688" s="3" t="s">
        <v>686</v>
      </c>
      <c r="C688" s="2">
        <v>1</v>
      </c>
      <c r="D688" s="4">
        <v>0</v>
      </c>
      <c r="E688" s="4">
        <v>1</v>
      </c>
      <c r="F688" s="4">
        <v>0</v>
      </c>
      <c r="G688" s="4">
        <v>1</v>
      </c>
      <c r="H688" s="5">
        <v>55</v>
      </c>
    </row>
    <row r="689" spans="1:8" x14ac:dyDescent="0.2">
      <c r="A689" s="6">
        <v>14</v>
      </c>
      <c r="B689" s="7" t="s">
        <v>687</v>
      </c>
      <c r="C689" s="6">
        <v>6</v>
      </c>
      <c r="D689" s="8">
        <v>12.7</v>
      </c>
      <c r="E689" s="8">
        <v>18</v>
      </c>
      <c r="F689" s="8">
        <v>2.8</v>
      </c>
      <c r="G689" s="8">
        <v>33.5</v>
      </c>
      <c r="H689" s="9">
        <v>1841.95</v>
      </c>
    </row>
    <row r="690" spans="1:8" x14ac:dyDescent="0.2">
      <c r="A690" s="2">
        <v>14</v>
      </c>
      <c r="B690" s="3" t="s">
        <v>688</v>
      </c>
      <c r="C690" s="2">
        <v>10</v>
      </c>
      <c r="D690" s="4">
        <v>6.5</v>
      </c>
      <c r="E690" s="4">
        <v>7.1</v>
      </c>
      <c r="F690" s="4">
        <v>0.9</v>
      </c>
      <c r="G690" s="4">
        <v>14.5</v>
      </c>
      <c r="H690" s="5">
        <v>797.5</v>
      </c>
    </row>
    <row r="691" spans="1:8" x14ac:dyDescent="0.2">
      <c r="A691" s="6">
        <v>14</v>
      </c>
      <c r="B691" s="7" t="s">
        <v>689</v>
      </c>
      <c r="C691" s="6">
        <v>59</v>
      </c>
      <c r="D691" s="8">
        <v>6.1</v>
      </c>
      <c r="E691" s="8">
        <v>6.9</v>
      </c>
      <c r="F691" s="8">
        <v>0.8</v>
      </c>
      <c r="G691" s="8">
        <v>13.8</v>
      </c>
      <c r="H691" s="9">
        <v>757.9</v>
      </c>
    </row>
    <row r="692" spans="1:8" x14ac:dyDescent="0.2">
      <c r="A692" s="2">
        <v>14</v>
      </c>
      <c r="B692" s="3" t="s">
        <v>690</v>
      </c>
      <c r="C692" s="2">
        <v>11</v>
      </c>
      <c r="D692" s="4">
        <v>5.9</v>
      </c>
      <c r="E692" s="4">
        <v>5.2</v>
      </c>
      <c r="F692" s="4">
        <v>0.9</v>
      </c>
      <c r="G692" s="4">
        <v>12</v>
      </c>
      <c r="H692" s="5">
        <v>658.9</v>
      </c>
    </row>
    <row r="693" spans="1:8" x14ac:dyDescent="0.2">
      <c r="A693" s="6">
        <v>14</v>
      </c>
      <c r="B693" s="7" t="s">
        <v>691</v>
      </c>
      <c r="C693" s="6">
        <v>15</v>
      </c>
      <c r="D693" s="8">
        <v>6</v>
      </c>
      <c r="E693" s="8">
        <v>9.9</v>
      </c>
      <c r="F693" s="8">
        <v>1.4</v>
      </c>
      <c r="G693" s="8">
        <v>17.3</v>
      </c>
      <c r="H693" s="9">
        <v>953.15</v>
      </c>
    </row>
    <row r="694" spans="1:8" x14ac:dyDescent="0.2">
      <c r="A694" s="2">
        <v>14</v>
      </c>
      <c r="B694" s="3" t="s">
        <v>692</v>
      </c>
      <c r="C694" s="2">
        <v>2</v>
      </c>
      <c r="D694" s="4">
        <v>6</v>
      </c>
      <c r="E694" s="4">
        <v>5.5</v>
      </c>
      <c r="F694" s="4">
        <v>0</v>
      </c>
      <c r="G694" s="4">
        <v>11.5</v>
      </c>
      <c r="H694" s="5">
        <v>632.5</v>
      </c>
    </row>
    <row r="695" spans="1:8" x14ac:dyDescent="0.2">
      <c r="A695" s="6">
        <v>14</v>
      </c>
      <c r="B695" s="7" t="s">
        <v>693</v>
      </c>
      <c r="C695" s="6">
        <v>7</v>
      </c>
      <c r="D695" s="8">
        <v>4.5999999999999996</v>
      </c>
      <c r="E695" s="8">
        <v>4.5999999999999996</v>
      </c>
      <c r="F695" s="8">
        <v>0.7</v>
      </c>
      <c r="G695" s="8">
        <v>9.9</v>
      </c>
      <c r="H695" s="9">
        <v>541.75</v>
      </c>
    </row>
    <row r="696" spans="1:8" x14ac:dyDescent="0.2">
      <c r="A696" s="2">
        <v>14</v>
      </c>
      <c r="B696" s="3" t="s">
        <v>694</v>
      </c>
      <c r="C696" s="2">
        <v>28</v>
      </c>
      <c r="D696" s="4">
        <v>4.2</v>
      </c>
      <c r="E696" s="4">
        <v>3.2</v>
      </c>
      <c r="F696" s="4">
        <v>0.8</v>
      </c>
      <c r="G696" s="4">
        <v>8.1</v>
      </c>
      <c r="H696" s="5">
        <v>447.15</v>
      </c>
    </row>
    <row r="697" spans="1:8" x14ac:dyDescent="0.2">
      <c r="A697" s="6">
        <v>14</v>
      </c>
      <c r="B697" s="7" t="s">
        <v>695</v>
      </c>
      <c r="C697" s="6">
        <v>3</v>
      </c>
      <c r="D697" s="8">
        <v>5</v>
      </c>
      <c r="E697" s="8">
        <v>16.7</v>
      </c>
      <c r="F697" s="8">
        <v>1</v>
      </c>
      <c r="G697" s="8">
        <v>22.7</v>
      </c>
      <c r="H697" s="9">
        <v>1246.3</v>
      </c>
    </row>
    <row r="698" spans="1:8" x14ac:dyDescent="0.2">
      <c r="A698" s="2">
        <v>14</v>
      </c>
      <c r="B698" s="3" t="s">
        <v>696</v>
      </c>
      <c r="C698" s="2">
        <v>1</v>
      </c>
      <c r="D698" s="4">
        <v>8</v>
      </c>
      <c r="E698" s="4">
        <v>8</v>
      </c>
      <c r="F698" s="4">
        <v>1</v>
      </c>
      <c r="G698" s="4">
        <v>17</v>
      </c>
      <c r="H698" s="5">
        <v>935</v>
      </c>
    </row>
    <row r="699" spans="1:8" x14ac:dyDescent="0.2">
      <c r="A699" s="6">
        <v>14</v>
      </c>
      <c r="B699" s="7" t="s">
        <v>697</v>
      </c>
      <c r="C699" s="6">
        <v>7</v>
      </c>
      <c r="D699" s="8">
        <v>1.3</v>
      </c>
      <c r="E699" s="8">
        <v>1.6</v>
      </c>
      <c r="F699" s="8">
        <v>0.3</v>
      </c>
      <c r="G699" s="8">
        <v>3.1</v>
      </c>
      <c r="H699" s="9">
        <v>172.15</v>
      </c>
    </row>
    <row r="700" spans="1:8" x14ac:dyDescent="0.2">
      <c r="A700" s="2">
        <v>14</v>
      </c>
      <c r="B700" s="3" t="s">
        <v>698</v>
      </c>
      <c r="C700" s="2">
        <v>1</v>
      </c>
      <c r="D700" s="4">
        <v>8</v>
      </c>
      <c r="E700" s="4">
        <v>20</v>
      </c>
      <c r="F700" s="4">
        <v>2</v>
      </c>
      <c r="G700" s="4">
        <v>30</v>
      </c>
      <c r="H700" s="5">
        <v>1650</v>
      </c>
    </row>
    <row r="701" spans="1:8" x14ac:dyDescent="0.2">
      <c r="A701" s="6">
        <v>14</v>
      </c>
      <c r="B701" s="7" t="s">
        <v>699</v>
      </c>
      <c r="C701" s="6">
        <v>103</v>
      </c>
      <c r="D701" s="8">
        <v>5</v>
      </c>
      <c r="E701" s="8">
        <v>4.3</v>
      </c>
      <c r="F701" s="8">
        <v>1</v>
      </c>
      <c r="G701" s="8">
        <v>10.199999999999999</v>
      </c>
      <c r="H701" s="9">
        <v>562.1</v>
      </c>
    </row>
    <row r="702" spans="1:8" x14ac:dyDescent="0.2">
      <c r="A702" s="2">
        <v>14</v>
      </c>
      <c r="B702" s="3" t="s">
        <v>700</v>
      </c>
      <c r="C702" s="2">
        <v>0</v>
      </c>
      <c r="D702" s="4">
        <v>0</v>
      </c>
      <c r="E702" s="4">
        <v>0</v>
      </c>
      <c r="F702" s="4">
        <v>0</v>
      </c>
      <c r="G702" s="4">
        <v>0</v>
      </c>
      <c r="H702" s="5">
        <v>0</v>
      </c>
    </row>
    <row r="703" spans="1:8" x14ac:dyDescent="0.2">
      <c r="A703" s="6">
        <v>14</v>
      </c>
      <c r="B703" s="7" t="s">
        <v>701</v>
      </c>
      <c r="C703" s="6">
        <v>2</v>
      </c>
      <c r="D703" s="8">
        <v>0</v>
      </c>
      <c r="E703" s="8">
        <v>0</v>
      </c>
      <c r="F703" s="8">
        <v>0</v>
      </c>
      <c r="G703" s="8">
        <v>0</v>
      </c>
      <c r="H703" s="9">
        <v>0</v>
      </c>
    </row>
    <row r="704" spans="1:8" x14ac:dyDescent="0.2">
      <c r="A704" s="2">
        <v>14</v>
      </c>
      <c r="B704" s="3" t="s">
        <v>702</v>
      </c>
      <c r="C704" s="2">
        <v>1</v>
      </c>
      <c r="D704" s="4">
        <v>12</v>
      </c>
      <c r="E704" s="4">
        <v>49</v>
      </c>
      <c r="F704" s="4">
        <v>0</v>
      </c>
      <c r="G704" s="4">
        <v>61</v>
      </c>
      <c r="H704" s="5">
        <v>3355</v>
      </c>
    </row>
    <row r="705" spans="1:8" x14ac:dyDescent="0.2">
      <c r="A705" s="6">
        <v>14</v>
      </c>
      <c r="B705" s="7" t="s">
        <v>703</v>
      </c>
      <c r="C705" s="6">
        <v>1</v>
      </c>
      <c r="D705" s="8">
        <v>0</v>
      </c>
      <c r="E705" s="8">
        <v>1</v>
      </c>
      <c r="F705" s="8">
        <v>0</v>
      </c>
      <c r="G705" s="8">
        <v>1</v>
      </c>
      <c r="H705" s="9">
        <v>55</v>
      </c>
    </row>
    <row r="706" spans="1:8" x14ac:dyDescent="0.2">
      <c r="A706" s="2">
        <v>14</v>
      </c>
      <c r="B706" s="3" t="s">
        <v>704</v>
      </c>
      <c r="C706" s="2">
        <v>0</v>
      </c>
      <c r="D706" s="4">
        <v>0</v>
      </c>
      <c r="E706" s="4">
        <v>0</v>
      </c>
      <c r="F706" s="4">
        <v>0</v>
      </c>
      <c r="G706" s="4">
        <v>0</v>
      </c>
      <c r="H706" s="5">
        <v>0</v>
      </c>
    </row>
    <row r="707" spans="1:8" x14ac:dyDescent="0.2">
      <c r="A707" s="6">
        <v>14</v>
      </c>
      <c r="B707" s="7" t="s">
        <v>705</v>
      </c>
      <c r="C707" s="6">
        <v>51</v>
      </c>
      <c r="D707" s="8">
        <v>4.0999999999999996</v>
      </c>
      <c r="E707" s="8">
        <v>3.4</v>
      </c>
      <c r="F707" s="8">
        <v>0.3</v>
      </c>
      <c r="G707" s="8">
        <v>7.9</v>
      </c>
      <c r="H707" s="9">
        <v>431.75</v>
      </c>
    </row>
    <row r="708" spans="1:8" x14ac:dyDescent="0.2">
      <c r="A708" s="2">
        <v>14</v>
      </c>
      <c r="B708" s="3" t="s">
        <v>706</v>
      </c>
      <c r="C708" s="2">
        <v>1</v>
      </c>
      <c r="D708" s="4">
        <v>5</v>
      </c>
      <c r="E708" s="4">
        <v>7</v>
      </c>
      <c r="F708" s="4">
        <v>0</v>
      </c>
      <c r="G708" s="4">
        <v>12</v>
      </c>
      <c r="H708" s="5">
        <v>660</v>
      </c>
    </row>
    <row r="709" spans="1:8" x14ac:dyDescent="0.2">
      <c r="A709" s="6">
        <v>14</v>
      </c>
      <c r="B709" s="7" t="s">
        <v>707</v>
      </c>
      <c r="C709" s="6">
        <v>1</v>
      </c>
      <c r="D709" s="8">
        <v>4</v>
      </c>
      <c r="E709" s="8">
        <v>3</v>
      </c>
      <c r="F709" s="8">
        <v>2</v>
      </c>
      <c r="G709" s="8">
        <v>9</v>
      </c>
      <c r="H709" s="9">
        <v>495</v>
      </c>
    </row>
    <row r="710" spans="1:8" x14ac:dyDescent="0.2">
      <c r="A710" s="2">
        <v>14</v>
      </c>
      <c r="B710" s="3" t="s">
        <v>708</v>
      </c>
      <c r="C710" s="2">
        <v>124</v>
      </c>
      <c r="D710" s="4">
        <v>9.1999999999999993</v>
      </c>
      <c r="E710" s="4">
        <v>9.8000000000000007</v>
      </c>
      <c r="F710" s="4">
        <v>0.8</v>
      </c>
      <c r="G710" s="4">
        <v>19.8</v>
      </c>
      <c r="H710" s="5">
        <v>1086.8</v>
      </c>
    </row>
    <row r="711" spans="1:8" x14ac:dyDescent="0.2">
      <c r="A711" s="6">
        <v>14</v>
      </c>
      <c r="B711" s="7" t="s">
        <v>709</v>
      </c>
      <c r="C711" s="6">
        <v>11</v>
      </c>
      <c r="D711" s="8">
        <v>4.0999999999999996</v>
      </c>
      <c r="E711" s="8">
        <v>2.2000000000000002</v>
      </c>
      <c r="F711" s="8">
        <v>0.4</v>
      </c>
      <c r="G711" s="8">
        <v>6.6</v>
      </c>
      <c r="H711" s="9">
        <v>364.65</v>
      </c>
    </row>
    <row r="712" spans="1:8" x14ac:dyDescent="0.2">
      <c r="A712" s="2">
        <v>14</v>
      </c>
      <c r="B712" s="3" t="s">
        <v>710</v>
      </c>
      <c r="C712" s="2">
        <v>0</v>
      </c>
      <c r="D712" s="4">
        <v>0</v>
      </c>
      <c r="E712" s="4">
        <v>0</v>
      </c>
      <c r="F712" s="4">
        <v>0</v>
      </c>
      <c r="G712" s="4">
        <v>0</v>
      </c>
      <c r="H712" s="5">
        <v>0</v>
      </c>
    </row>
    <row r="713" spans="1:8" x14ac:dyDescent="0.2">
      <c r="A713" s="6">
        <v>14</v>
      </c>
      <c r="B713" s="7" t="s">
        <v>711</v>
      </c>
      <c r="C713" s="6">
        <v>9</v>
      </c>
      <c r="D713" s="8">
        <v>8</v>
      </c>
      <c r="E713" s="8">
        <v>8.6</v>
      </c>
      <c r="F713" s="8">
        <v>1.4</v>
      </c>
      <c r="G713" s="8">
        <v>18</v>
      </c>
      <c r="H713" s="9">
        <v>989.45</v>
      </c>
    </row>
    <row r="714" spans="1:8" x14ac:dyDescent="0.2">
      <c r="A714" s="2">
        <v>14</v>
      </c>
      <c r="B714" s="3" t="s">
        <v>712</v>
      </c>
      <c r="C714" s="2">
        <v>16</v>
      </c>
      <c r="D714" s="4">
        <v>4.5999999999999996</v>
      </c>
      <c r="E714" s="4">
        <v>2.2000000000000002</v>
      </c>
      <c r="F714" s="4">
        <v>0.6</v>
      </c>
      <c r="G714" s="4">
        <v>7.3</v>
      </c>
      <c r="H714" s="5">
        <v>401.5</v>
      </c>
    </row>
    <row r="715" spans="1:8" x14ac:dyDescent="0.2">
      <c r="A715" s="6">
        <v>14</v>
      </c>
      <c r="B715" s="7" t="s">
        <v>713</v>
      </c>
      <c r="C715" s="6">
        <v>0</v>
      </c>
      <c r="D715" s="8">
        <v>0</v>
      </c>
      <c r="E715" s="8">
        <v>0</v>
      </c>
      <c r="F715" s="8">
        <v>0</v>
      </c>
      <c r="G715" s="8">
        <v>0</v>
      </c>
      <c r="H715" s="9">
        <v>0</v>
      </c>
    </row>
    <row r="716" spans="1:8" x14ac:dyDescent="0.2">
      <c r="A716" s="2">
        <v>14</v>
      </c>
      <c r="B716" s="3" t="s">
        <v>714</v>
      </c>
      <c r="C716" s="2">
        <v>1</v>
      </c>
      <c r="D716" s="4">
        <v>0</v>
      </c>
      <c r="E716" s="4">
        <v>3</v>
      </c>
      <c r="F716" s="4">
        <v>0</v>
      </c>
      <c r="G716" s="4">
        <v>3</v>
      </c>
      <c r="H716" s="5">
        <v>165</v>
      </c>
    </row>
    <row r="717" spans="1:8" x14ac:dyDescent="0.2">
      <c r="A717" s="6">
        <v>14</v>
      </c>
      <c r="B717" s="7" t="s">
        <v>715</v>
      </c>
      <c r="C717" s="6">
        <v>1</v>
      </c>
      <c r="D717" s="8">
        <v>6</v>
      </c>
      <c r="E717" s="8">
        <v>5</v>
      </c>
      <c r="F717" s="8">
        <v>0</v>
      </c>
      <c r="G717" s="8">
        <v>11</v>
      </c>
      <c r="H717" s="9">
        <v>605</v>
      </c>
    </row>
    <row r="718" spans="1:8" x14ac:dyDescent="0.2">
      <c r="A718" s="2">
        <v>14</v>
      </c>
      <c r="B718" s="3" t="s">
        <v>716</v>
      </c>
      <c r="C718" s="2">
        <v>230</v>
      </c>
      <c r="D718" s="4">
        <v>5</v>
      </c>
      <c r="E718" s="4">
        <v>4.5</v>
      </c>
      <c r="F718" s="4">
        <v>0.3</v>
      </c>
      <c r="G718" s="4">
        <v>9.8000000000000007</v>
      </c>
      <c r="H718" s="5">
        <v>538.45000000000005</v>
      </c>
    </row>
    <row r="719" spans="1:8" x14ac:dyDescent="0.2">
      <c r="A719" s="6">
        <v>14</v>
      </c>
      <c r="B719" s="7" t="s">
        <v>717</v>
      </c>
      <c r="C719" s="6">
        <v>3</v>
      </c>
      <c r="D719" s="8">
        <v>3.3</v>
      </c>
      <c r="E719" s="8">
        <v>4.3</v>
      </c>
      <c r="F719" s="8">
        <v>0.3</v>
      </c>
      <c r="G719" s="8">
        <v>8</v>
      </c>
      <c r="H719" s="9">
        <v>439.45</v>
      </c>
    </row>
    <row r="720" spans="1:8" x14ac:dyDescent="0.2">
      <c r="A720" s="2">
        <v>14</v>
      </c>
      <c r="B720" s="3" t="s">
        <v>718</v>
      </c>
      <c r="C720" s="2">
        <v>39</v>
      </c>
      <c r="D720" s="4">
        <v>5</v>
      </c>
      <c r="E720" s="4">
        <v>4.3</v>
      </c>
      <c r="F720" s="4">
        <v>0.3</v>
      </c>
      <c r="G720" s="4">
        <v>9.6</v>
      </c>
      <c r="H720" s="5">
        <v>525.25</v>
      </c>
    </row>
    <row r="721" spans="1:8" x14ac:dyDescent="0.2">
      <c r="A721" s="6">
        <v>14</v>
      </c>
      <c r="B721" s="7" t="s">
        <v>719</v>
      </c>
      <c r="C721" s="6">
        <v>1</v>
      </c>
      <c r="D721" s="8">
        <v>5</v>
      </c>
      <c r="E721" s="8">
        <v>3</v>
      </c>
      <c r="F721" s="8">
        <v>0</v>
      </c>
      <c r="G721" s="8">
        <v>8</v>
      </c>
      <c r="H721" s="9">
        <v>440</v>
      </c>
    </row>
    <row r="722" spans="1:8" x14ac:dyDescent="0.2">
      <c r="A722" s="2">
        <v>14</v>
      </c>
      <c r="B722" s="3" t="s">
        <v>720</v>
      </c>
      <c r="C722" s="2">
        <v>1</v>
      </c>
      <c r="D722" s="4">
        <v>5</v>
      </c>
      <c r="E722" s="4">
        <v>5</v>
      </c>
      <c r="F722" s="4">
        <v>0</v>
      </c>
      <c r="G722" s="4">
        <v>10</v>
      </c>
      <c r="H722" s="5">
        <v>550</v>
      </c>
    </row>
    <row r="723" spans="1:8" x14ac:dyDescent="0.2">
      <c r="A723" s="6">
        <v>14</v>
      </c>
      <c r="B723" s="7" t="s">
        <v>721</v>
      </c>
      <c r="C723" s="6">
        <v>5</v>
      </c>
      <c r="D723" s="8">
        <v>5.2</v>
      </c>
      <c r="E723" s="8">
        <v>6.2</v>
      </c>
      <c r="F723" s="8">
        <v>0.6</v>
      </c>
      <c r="G723" s="8">
        <v>12</v>
      </c>
      <c r="H723" s="9">
        <v>660</v>
      </c>
    </row>
    <row r="724" spans="1:8" x14ac:dyDescent="0.2">
      <c r="A724" s="2">
        <v>14</v>
      </c>
      <c r="B724" s="3" t="s">
        <v>722</v>
      </c>
      <c r="C724" s="2">
        <v>7</v>
      </c>
      <c r="D724" s="4">
        <v>0.4</v>
      </c>
      <c r="E724" s="4">
        <v>2.1</v>
      </c>
      <c r="F724" s="4">
        <v>0.3</v>
      </c>
      <c r="G724" s="4">
        <v>2.8</v>
      </c>
      <c r="H724" s="5">
        <v>156.19999999999999</v>
      </c>
    </row>
    <row r="725" spans="1:8" x14ac:dyDescent="0.2">
      <c r="A725" s="6">
        <v>14</v>
      </c>
      <c r="B725" s="7" t="s">
        <v>723</v>
      </c>
      <c r="C725" s="6">
        <v>1</v>
      </c>
      <c r="D725" s="8">
        <v>5</v>
      </c>
      <c r="E725" s="8">
        <v>4</v>
      </c>
      <c r="F725" s="8">
        <v>0</v>
      </c>
      <c r="G725" s="8">
        <v>9</v>
      </c>
      <c r="H725" s="9">
        <v>495</v>
      </c>
    </row>
    <row r="726" spans="1:8" x14ac:dyDescent="0.2">
      <c r="A726" s="2">
        <v>15</v>
      </c>
      <c r="B726" s="3" t="s">
        <v>724</v>
      </c>
      <c r="C726" s="2">
        <v>1</v>
      </c>
      <c r="D726" s="4">
        <v>0</v>
      </c>
      <c r="E726" s="4">
        <v>1</v>
      </c>
      <c r="F726" s="4">
        <v>0</v>
      </c>
      <c r="G726" s="4">
        <v>1</v>
      </c>
      <c r="H726" s="5">
        <v>55</v>
      </c>
    </row>
    <row r="727" spans="1:8" x14ac:dyDescent="0.2">
      <c r="A727" s="6">
        <v>15</v>
      </c>
      <c r="B727" s="7" t="s">
        <v>725</v>
      </c>
      <c r="C727" s="6">
        <v>6</v>
      </c>
      <c r="D727" s="8">
        <v>5</v>
      </c>
      <c r="E727" s="8">
        <v>4.5</v>
      </c>
      <c r="F727" s="8">
        <v>0.3</v>
      </c>
      <c r="G727" s="8">
        <v>9.8000000000000007</v>
      </c>
      <c r="H727" s="9">
        <v>540.65</v>
      </c>
    </row>
    <row r="728" spans="1:8" x14ac:dyDescent="0.2">
      <c r="A728" s="2">
        <v>15</v>
      </c>
      <c r="B728" s="3" t="s">
        <v>726</v>
      </c>
      <c r="C728" s="2">
        <v>3</v>
      </c>
      <c r="D728" s="4">
        <v>4</v>
      </c>
      <c r="E728" s="4">
        <v>4.7</v>
      </c>
      <c r="F728" s="4">
        <v>1</v>
      </c>
      <c r="G728" s="4">
        <v>9.6999999999999993</v>
      </c>
      <c r="H728" s="5">
        <v>531.29999999999995</v>
      </c>
    </row>
    <row r="729" spans="1:8" x14ac:dyDescent="0.2">
      <c r="A729" s="6">
        <v>15</v>
      </c>
      <c r="B729" s="7" t="s">
        <v>727</v>
      </c>
      <c r="C729" s="6">
        <v>6</v>
      </c>
      <c r="D729" s="8">
        <v>5</v>
      </c>
      <c r="E729" s="8">
        <v>4.3</v>
      </c>
      <c r="F729" s="8">
        <v>0</v>
      </c>
      <c r="G729" s="8">
        <v>9.3000000000000007</v>
      </c>
      <c r="H729" s="9">
        <v>513.15</v>
      </c>
    </row>
    <row r="730" spans="1:8" x14ac:dyDescent="0.2">
      <c r="A730" s="2">
        <v>15</v>
      </c>
      <c r="B730" s="3" t="s">
        <v>728</v>
      </c>
      <c r="C730" s="2">
        <v>0</v>
      </c>
      <c r="D730" s="4">
        <v>0</v>
      </c>
      <c r="E730" s="4">
        <v>0</v>
      </c>
      <c r="F730" s="4">
        <v>0</v>
      </c>
      <c r="G730" s="4">
        <v>0</v>
      </c>
      <c r="H730" s="5">
        <v>0</v>
      </c>
    </row>
    <row r="731" spans="1:8" x14ac:dyDescent="0.2">
      <c r="A731" s="6">
        <v>15</v>
      </c>
      <c r="B731" s="7" t="s">
        <v>729</v>
      </c>
      <c r="C731" s="6">
        <v>1</v>
      </c>
      <c r="D731" s="8">
        <v>5</v>
      </c>
      <c r="E731" s="8">
        <v>4</v>
      </c>
      <c r="F731" s="8">
        <v>0</v>
      </c>
      <c r="G731" s="8">
        <v>9</v>
      </c>
      <c r="H731" s="9">
        <v>495</v>
      </c>
    </row>
    <row r="732" spans="1:8" x14ac:dyDescent="0.2">
      <c r="A732" s="2">
        <v>15</v>
      </c>
      <c r="B732" s="3" t="s">
        <v>730</v>
      </c>
      <c r="C732" s="2">
        <v>2</v>
      </c>
      <c r="D732" s="4">
        <v>4</v>
      </c>
      <c r="E732" s="4">
        <v>5.5</v>
      </c>
      <c r="F732" s="4">
        <v>0</v>
      </c>
      <c r="G732" s="4">
        <v>9.5</v>
      </c>
      <c r="H732" s="5">
        <v>522.5</v>
      </c>
    </row>
    <row r="733" spans="1:8" x14ac:dyDescent="0.2">
      <c r="A733" s="6">
        <v>15</v>
      </c>
      <c r="B733" s="7" t="s">
        <v>731</v>
      </c>
      <c r="C733" s="6">
        <v>18</v>
      </c>
      <c r="D733" s="8">
        <v>4</v>
      </c>
      <c r="E733" s="8">
        <v>3.6</v>
      </c>
      <c r="F733" s="8">
        <v>0</v>
      </c>
      <c r="G733" s="8">
        <v>7.6</v>
      </c>
      <c r="H733" s="9">
        <v>418.55</v>
      </c>
    </row>
    <row r="734" spans="1:8" x14ac:dyDescent="0.2">
      <c r="A734" s="2">
        <v>15</v>
      </c>
      <c r="B734" s="3" t="s">
        <v>732</v>
      </c>
      <c r="C734" s="2">
        <v>2</v>
      </c>
      <c r="D734" s="4">
        <v>5</v>
      </c>
      <c r="E734" s="4">
        <v>3.5</v>
      </c>
      <c r="F734" s="4">
        <v>0</v>
      </c>
      <c r="G734" s="4">
        <v>8.5</v>
      </c>
      <c r="H734" s="5">
        <v>467.5</v>
      </c>
    </row>
    <row r="735" spans="1:8" x14ac:dyDescent="0.2">
      <c r="A735" s="6">
        <v>15</v>
      </c>
      <c r="B735" s="7" t="s">
        <v>733</v>
      </c>
      <c r="C735" s="6">
        <v>5</v>
      </c>
      <c r="D735" s="8">
        <v>5</v>
      </c>
      <c r="E735" s="8">
        <v>3.8</v>
      </c>
      <c r="F735" s="8">
        <v>0.2</v>
      </c>
      <c r="G735" s="8">
        <v>9</v>
      </c>
      <c r="H735" s="9">
        <v>495</v>
      </c>
    </row>
    <row r="736" spans="1:8" x14ac:dyDescent="0.2">
      <c r="A736" s="2">
        <v>15</v>
      </c>
      <c r="B736" s="3" t="s">
        <v>734</v>
      </c>
      <c r="C736" s="2">
        <v>1</v>
      </c>
      <c r="D736" s="4">
        <v>7</v>
      </c>
      <c r="E736" s="4">
        <v>4</v>
      </c>
      <c r="F736" s="4">
        <v>0</v>
      </c>
      <c r="G736" s="4">
        <v>11</v>
      </c>
      <c r="H736" s="5">
        <v>605</v>
      </c>
    </row>
    <row r="737" spans="1:8" x14ac:dyDescent="0.2">
      <c r="A737" s="6">
        <v>15</v>
      </c>
      <c r="B737" s="7" t="s">
        <v>735</v>
      </c>
      <c r="C737" s="6">
        <v>1</v>
      </c>
      <c r="D737" s="8">
        <v>0</v>
      </c>
      <c r="E737" s="8">
        <v>4</v>
      </c>
      <c r="F737" s="8">
        <v>0</v>
      </c>
      <c r="G737" s="8">
        <v>4</v>
      </c>
      <c r="H737" s="9">
        <v>220</v>
      </c>
    </row>
    <row r="738" spans="1:8" x14ac:dyDescent="0.2">
      <c r="A738" s="2">
        <v>15</v>
      </c>
      <c r="B738" s="3" t="s">
        <v>736</v>
      </c>
      <c r="C738" s="2">
        <v>1</v>
      </c>
      <c r="D738" s="4">
        <v>0</v>
      </c>
      <c r="E738" s="4">
        <v>1</v>
      </c>
      <c r="F738" s="4">
        <v>0</v>
      </c>
      <c r="G738" s="4">
        <v>1</v>
      </c>
      <c r="H738" s="5">
        <v>55</v>
      </c>
    </row>
    <row r="739" spans="1:8" x14ac:dyDescent="0.2">
      <c r="A739" s="6">
        <v>15</v>
      </c>
      <c r="B739" s="7" t="s">
        <v>737</v>
      </c>
      <c r="C739" s="6">
        <v>1</v>
      </c>
      <c r="D739" s="8">
        <v>6</v>
      </c>
      <c r="E739" s="8">
        <v>7</v>
      </c>
      <c r="F739" s="8">
        <v>0</v>
      </c>
      <c r="G739" s="8">
        <v>13</v>
      </c>
      <c r="H739" s="9">
        <v>715</v>
      </c>
    </row>
    <row r="740" spans="1:8" x14ac:dyDescent="0.2">
      <c r="A740" s="2">
        <v>15</v>
      </c>
      <c r="B740" s="3" t="s">
        <v>738</v>
      </c>
      <c r="C740" s="2">
        <v>1</v>
      </c>
      <c r="D740" s="4">
        <v>5</v>
      </c>
      <c r="E740" s="4">
        <v>6</v>
      </c>
      <c r="F740" s="4">
        <v>0</v>
      </c>
      <c r="G740" s="4">
        <v>11</v>
      </c>
      <c r="H740" s="5">
        <v>605</v>
      </c>
    </row>
    <row r="741" spans="1:8" x14ac:dyDescent="0.2">
      <c r="A741" s="6">
        <v>15</v>
      </c>
      <c r="B741" s="7" t="s">
        <v>739</v>
      </c>
      <c r="C741" s="6">
        <v>0</v>
      </c>
      <c r="D741" s="8">
        <v>0</v>
      </c>
      <c r="E741" s="8">
        <v>0</v>
      </c>
      <c r="F741" s="8">
        <v>0</v>
      </c>
      <c r="G741" s="8">
        <v>0</v>
      </c>
      <c r="H741" s="9">
        <v>0</v>
      </c>
    </row>
    <row r="742" spans="1:8" x14ac:dyDescent="0.2">
      <c r="A742" s="2">
        <v>15</v>
      </c>
      <c r="B742" s="3" t="s">
        <v>740</v>
      </c>
      <c r="C742" s="2">
        <v>1</v>
      </c>
      <c r="D742" s="4">
        <v>0</v>
      </c>
      <c r="E742" s="4">
        <v>0</v>
      </c>
      <c r="F742" s="4">
        <v>0</v>
      </c>
      <c r="G742" s="4">
        <v>0</v>
      </c>
      <c r="H742" s="5">
        <v>0</v>
      </c>
    </row>
    <row r="743" spans="1:8" x14ac:dyDescent="0.2">
      <c r="A743" s="6">
        <v>15</v>
      </c>
      <c r="B743" s="7" t="s">
        <v>741</v>
      </c>
      <c r="C743" s="6">
        <v>2</v>
      </c>
      <c r="D743" s="8">
        <v>0</v>
      </c>
      <c r="E743" s="8">
        <v>6</v>
      </c>
      <c r="F743" s="8">
        <v>0</v>
      </c>
      <c r="G743" s="8">
        <v>6</v>
      </c>
      <c r="H743" s="9">
        <v>330</v>
      </c>
    </row>
    <row r="744" spans="1:8" x14ac:dyDescent="0.2">
      <c r="A744" s="2">
        <v>15</v>
      </c>
      <c r="B744" s="3" t="s">
        <v>742</v>
      </c>
      <c r="C744" s="2">
        <v>1</v>
      </c>
      <c r="D744" s="4">
        <v>5</v>
      </c>
      <c r="E744" s="4">
        <v>6</v>
      </c>
      <c r="F744" s="4">
        <v>0</v>
      </c>
      <c r="G744" s="4">
        <v>11</v>
      </c>
      <c r="H744" s="5">
        <v>605</v>
      </c>
    </row>
    <row r="745" spans="1:8" x14ac:dyDescent="0.2">
      <c r="A745" s="6">
        <v>15</v>
      </c>
      <c r="B745" s="7" t="s">
        <v>743</v>
      </c>
      <c r="C745" s="6">
        <v>4</v>
      </c>
      <c r="D745" s="8">
        <v>5</v>
      </c>
      <c r="E745" s="8">
        <v>8</v>
      </c>
      <c r="F745" s="8">
        <v>1.8</v>
      </c>
      <c r="G745" s="8">
        <v>14.8</v>
      </c>
      <c r="H745" s="9">
        <v>811.25</v>
      </c>
    </row>
    <row r="746" spans="1:8" x14ac:dyDescent="0.2">
      <c r="A746" s="2">
        <v>15</v>
      </c>
      <c r="B746" s="3" t="s">
        <v>744</v>
      </c>
      <c r="C746" s="2">
        <v>1</v>
      </c>
      <c r="D746" s="4">
        <v>5</v>
      </c>
      <c r="E746" s="4">
        <v>4</v>
      </c>
      <c r="F746" s="4">
        <v>0</v>
      </c>
      <c r="G746" s="4">
        <v>9</v>
      </c>
      <c r="H746" s="5">
        <v>495</v>
      </c>
    </row>
    <row r="747" spans="1:8" x14ac:dyDescent="0.2">
      <c r="A747" s="6">
        <v>15</v>
      </c>
      <c r="B747" s="7" t="s">
        <v>745</v>
      </c>
      <c r="C747" s="6">
        <v>1</v>
      </c>
      <c r="D747" s="8">
        <v>6</v>
      </c>
      <c r="E747" s="8">
        <v>9</v>
      </c>
      <c r="F747" s="8">
        <v>6</v>
      </c>
      <c r="G747" s="8">
        <v>21</v>
      </c>
      <c r="H747" s="9">
        <v>1155</v>
      </c>
    </row>
    <row r="748" spans="1:8" x14ac:dyDescent="0.2">
      <c r="A748" s="2">
        <v>15</v>
      </c>
      <c r="B748" s="3" t="s">
        <v>746</v>
      </c>
      <c r="C748" s="2">
        <v>1</v>
      </c>
      <c r="D748" s="4">
        <v>14</v>
      </c>
      <c r="E748" s="4">
        <v>14</v>
      </c>
      <c r="F748" s="4">
        <v>10</v>
      </c>
      <c r="G748" s="4">
        <v>38</v>
      </c>
      <c r="H748" s="5">
        <v>2090</v>
      </c>
    </row>
    <row r="749" spans="1:8" x14ac:dyDescent="0.2">
      <c r="A749" s="6">
        <v>15</v>
      </c>
      <c r="B749" s="7" t="s">
        <v>747</v>
      </c>
      <c r="C749" s="6">
        <v>11</v>
      </c>
      <c r="D749" s="8">
        <v>9.4</v>
      </c>
      <c r="E749" s="8">
        <v>16.8</v>
      </c>
      <c r="F749" s="8">
        <v>0.8</v>
      </c>
      <c r="G749" s="8">
        <v>27</v>
      </c>
      <c r="H749" s="9">
        <v>1483.9</v>
      </c>
    </row>
    <row r="750" spans="1:8" x14ac:dyDescent="0.2">
      <c r="A750" s="2">
        <v>15</v>
      </c>
      <c r="B750" s="3" t="s">
        <v>748</v>
      </c>
      <c r="C750" s="2">
        <v>40</v>
      </c>
      <c r="D750" s="4">
        <v>6.6</v>
      </c>
      <c r="E750" s="4">
        <v>6.8</v>
      </c>
      <c r="F750" s="4">
        <v>0.8</v>
      </c>
      <c r="G750" s="4">
        <v>14.1</v>
      </c>
      <c r="H750" s="5">
        <v>776.6</v>
      </c>
    </row>
    <row r="751" spans="1:8" x14ac:dyDescent="0.2">
      <c r="A751" s="6">
        <v>15</v>
      </c>
      <c r="B751" s="7" t="s">
        <v>749</v>
      </c>
      <c r="C751" s="6">
        <v>2</v>
      </c>
      <c r="D751" s="8">
        <v>5.5</v>
      </c>
      <c r="E751" s="8">
        <v>8.5</v>
      </c>
      <c r="F751" s="8">
        <v>0</v>
      </c>
      <c r="G751" s="8">
        <v>14</v>
      </c>
      <c r="H751" s="9">
        <v>770</v>
      </c>
    </row>
    <row r="752" spans="1:8" x14ac:dyDescent="0.2">
      <c r="A752" s="2">
        <v>15</v>
      </c>
      <c r="B752" s="3" t="s">
        <v>750</v>
      </c>
      <c r="C752" s="2">
        <v>9</v>
      </c>
      <c r="D752" s="4">
        <v>6</v>
      </c>
      <c r="E752" s="4">
        <v>8.3000000000000007</v>
      </c>
      <c r="F752" s="4">
        <v>0.4</v>
      </c>
      <c r="G752" s="4">
        <v>14.8</v>
      </c>
      <c r="H752" s="5">
        <v>812.35</v>
      </c>
    </row>
    <row r="753" spans="1:8" x14ac:dyDescent="0.2">
      <c r="A753" s="6">
        <v>15</v>
      </c>
      <c r="B753" s="7" t="s">
        <v>751</v>
      </c>
      <c r="C753" s="6">
        <v>5</v>
      </c>
      <c r="D753" s="8">
        <v>6.4</v>
      </c>
      <c r="E753" s="8">
        <v>16.399999999999999</v>
      </c>
      <c r="F753" s="8">
        <v>2</v>
      </c>
      <c r="G753" s="8">
        <v>24.8</v>
      </c>
      <c r="H753" s="9">
        <v>1364</v>
      </c>
    </row>
    <row r="754" spans="1:8" x14ac:dyDescent="0.2">
      <c r="A754" s="2">
        <v>15</v>
      </c>
      <c r="B754" s="3" t="s">
        <v>752</v>
      </c>
      <c r="C754" s="2">
        <v>6</v>
      </c>
      <c r="D754" s="4">
        <v>7.2</v>
      </c>
      <c r="E754" s="4">
        <v>7.2</v>
      </c>
      <c r="F754" s="4">
        <v>0.7</v>
      </c>
      <c r="G754" s="4">
        <v>15</v>
      </c>
      <c r="H754" s="5">
        <v>823.9</v>
      </c>
    </row>
    <row r="755" spans="1:8" x14ac:dyDescent="0.2">
      <c r="A755" s="6">
        <v>15</v>
      </c>
      <c r="B755" s="7" t="s">
        <v>753</v>
      </c>
      <c r="C755" s="6">
        <v>1</v>
      </c>
      <c r="D755" s="8">
        <v>0</v>
      </c>
      <c r="E755" s="8">
        <v>2</v>
      </c>
      <c r="F755" s="8">
        <v>0</v>
      </c>
      <c r="G755" s="8">
        <v>2</v>
      </c>
      <c r="H755" s="9">
        <v>110</v>
      </c>
    </row>
    <row r="756" spans="1:8" x14ac:dyDescent="0.2">
      <c r="A756" s="2">
        <v>15</v>
      </c>
      <c r="B756" s="3" t="s">
        <v>754</v>
      </c>
      <c r="C756" s="2">
        <v>10</v>
      </c>
      <c r="D756" s="4">
        <v>8.6</v>
      </c>
      <c r="E756" s="4">
        <v>7.6</v>
      </c>
      <c r="F756" s="4">
        <v>0.4</v>
      </c>
      <c r="G756" s="4">
        <v>16.600000000000001</v>
      </c>
      <c r="H756" s="5">
        <v>913</v>
      </c>
    </row>
    <row r="757" spans="1:8" x14ac:dyDescent="0.2">
      <c r="A757" s="6">
        <v>15</v>
      </c>
      <c r="B757" s="7" t="s">
        <v>755</v>
      </c>
      <c r="C757" s="6">
        <v>1</v>
      </c>
      <c r="D757" s="8">
        <v>12</v>
      </c>
      <c r="E757" s="8">
        <v>14</v>
      </c>
      <c r="F757" s="8">
        <v>1</v>
      </c>
      <c r="G757" s="8">
        <v>27</v>
      </c>
      <c r="H757" s="9">
        <v>1485</v>
      </c>
    </row>
    <row r="758" spans="1:8" x14ac:dyDescent="0.2">
      <c r="A758" s="2">
        <v>15</v>
      </c>
      <c r="B758" s="3" t="s">
        <v>756</v>
      </c>
      <c r="C758" s="2">
        <v>4</v>
      </c>
      <c r="D758" s="4">
        <v>6</v>
      </c>
      <c r="E758" s="4">
        <v>13.3</v>
      </c>
      <c r="F758" s="4">
        <v>0.3</v>
      </c>
      <c r="G758" s="4">
        <v>19.5</v>
      </c>
      <c r="H758" s="5">
        <v>1072.5</v>
      </c>
    </row>
    <row r="759" spans="1:8" x14ac:dyDescent="0.2">
      <c r="A759" s="6">
        <v>15</v>
      </c>
      <c r="B759" s="7" t="s">
        <v>757</v>
      </c>
      <c r="C759" s="6">
        <v>69</v>
      </c>
      <c r="D759" s="8">
        <v>10.1</v>
      </c>
      <c r="E759" s="8">
        <v>13.1</v>
      </c>
      <c r="F759" s="8">
        <v>1.9</v>
      </c>
      <c r="G759" s="8">
        <v>25</v>
      </c>
      <c r="H759" s="9">
        <v>1374.45</v>
      </c>
    </row>
    <row r="760" spans="1:8" x14ac:dyDescent="0.2">
      <c r="A760" s="2">
        <v>15</v>
      </c>
      <c r="B760" s="3" t="s">
        <v>758</v>
      </c>
      <c r="C760" s="2">
        <v>33</v>
      </c>
      <c r="D760" s="4">
        <v>9.6999999999999993</v>
      </c>
      <c r="E760" s="4">
        <v>12.1</v>
      </c>
      <c r="F760" s="4">
        <v>2.1</v>
      </c>
      <c r="G760" s="4">
        <v>23.9</v>
      </c>
      <c r="H760" s="5">
        <v>1312.85</v>
      </c>
    </row>
    <row r="761" spans="1:8" x14ac:dyDescent="0.2">
      <c r="A761" s="6">
        <v>15</v>
      </c>
      <c r="B761" s="7" t="s">
        <v>759</v>
      </c>
      <c r="C761" s="6">
        <v>1</v>
      </c>
      <c r="D761" s="8">
        <v>6</v>
      </c>
      <c r="E761" s="8">
        <v>6</v>
      </c>
      <c r="F761" s="8">
        <v>0</v>
      </c>
      <c r="G761" s="8">
        <v>12</v>
      </c>
      <c r="H761" s="9">
        <v>660</v>
      </c>
    </row>
    <row r="762" spans="1:8" x14ac:dyDescent="0.2">
      <c r="A762" s="2">
        <v>15</v>
      </c>
      <c r="B762" s="3" t="s">
        <v>760</v>
      </c>
      <c r="C762" s="2">
        <v>94</v>
      </c>
      <c r="D762" s="4">
        <v>3.7</v>
      </c>
      <c r="E762" s="4">
        <v>7.4</v>
      </c>
      <c r="F762" s="4">
        <v>0.2</v>
      </c>
      <c r="G762" s="4">
        <v>11.3</v>
      </c>
      <c r="H762" s="5">
        <v>619.85</v>
      </c>
    </row>
    <row r="763" spans="1:8" x14ac:dyDescent="0.2">
      <c r="A763" s="6">
        <v>15</v>
      </c>
      <c r="B763" s="7" t="s">
        <v>760</v>
      </c>
      <c r="C763" s="6">
        <v>94</v>
      </c>
      <c r="D763" s="8">
        <v>3.7</v>
      </c>
      <c r="E763" s="8">
        <v>7.4</v>
      </c>
      <c r="F763" s="8">
        <v>0.2</v>
      </c>
      <c r="G763" s="8">
        <v>11.3</v>
      </c>
      <c r="H763" s="9">
        <v>619.85</v>
      </c>
    </row>
    <row r="764" spans="1:8" x14ac:dyDescent="0.2">
      <c r="A764" s="2">
        <v>15</v>
      </c>
      <c r="B764" s="3" t="s">
        <v>761</v>
      </c>
      <c r="C764" s="2">
        <v>1</v>
      </c>
      <c r="D764" s="4">
        <v>0</v>
      </c>
      <c r="E764" s="4">
        <v>4</v>
      </c>
      <c r="F764" s="4">
        <v>0</v>
      </c>
      <c r="G764" s="4">
        <v>4</v>
      </c>
      <c r="H764" s="5">
        <v>220</v>
      </c>
    </row>
    <row r="765" spans="1:8" x14ac:dyDescent="0.2">
      <c r="A765" s="6">
        <v>15</v>
      </c>
      <c r="B765" s="7" t="s">
        <v>762</v>
      </c>
      <c r="C765" s="6">
        <v>3</v>
      </c>
      <c r="D765" s="8">
        <v>0</v>
      </c>
      <c r="E765" s="8">
        <v>0</v>
      </c>
      <c r="F765" s="8">
        <v>0</v>
      </c>
      <c r="G765" s="8">
        <v>0</v>
      </c>
      <c r="H765" s="9">
        <v>0</v>
      </c>
    </row>
    <row r="766" spans="1:8" x14ac:dyDescent="0.2">
      <c r="A766" s="2">
        <v>15</v>
      </c>
      <c r="B766" s="3" t="s">
        <v>763</v>
      </c>
      <c r="C766" s="2">
        <v>36</v>
      </c>
      <c r="D766" s="4">
        <v>4.8</v>
      </c>
      <c r="E766" s="4">
        <v>4.7</v>
      </c>
      <c r="F766" s="4">
        <v>0.7</v>
      </c>
      <c r="G766" s="4">
        <v>10.1</v>
      </c>
      <c r="H766" s="5">
        <v>556.6</v>
      </c>
    </row>
    <row r="767" spans="1:8" x14ac:dyDescent="0.2">
      <c r="A767" s="6">
        <v>15</v>
      </c>
      <c r="B767" s="7" t="s">
        <v>764</v>
      </c>
      <c r="C767" s="6">
        <v>1</v>
      </c>
      <c r="D767" s="8">
        <v>6</v>
      </c>
      <c r="E767" s="8">
        <v>8</v>
      </c>
      <c r="F767" s="8">
        <v>0</v>
      </c>
      <c r="G767" s="8">
        <v>14</v>
      </c>
      <c r="H767" s="9">
        <v>770</v>
      </c>
    </row>
    <row r="768" spans="1:8" x14ac:dyDescent="0.2">
      <c r="A768" s="2">
        <v>15</v>
      </c>
      <c r="B768" s="3" t="s">
        <v>765</v>
      </c>
      <c r="C768" s="2">
        <v>38</v>
      </c>
      <c r="D768" s="4">
        <v>4.5999999999999996</v>
      </c>
      <c r="E768" s="4">
        <v>3.8</v>
      </c>
      <c r="F768" s="4">
        <v>0.5</v>
      </c>
      <c r="G768" s="4">
        <v>8.8000000000000007</v>
      </c>
      <c r="H768" s="5">
        <v>485.65</v>
      </c>
    </row>
    <row r="769" spans="1:8" x14ac:dyDescent="0.2">
      <c r="A769" s="6">
        <v>15</v>
      </c>
      <c r="B769" s="7" t="s">
        <v>766</v>
      </c>
      <c r="C769" s="6">
        <v>1</v>
      </c>
      <c r="D769" s="8">
        <v>0</v>
      </c>
      <c r="E769" s="8">
        <v>7</v>
      </c>
      <c r="F769" s="8">
        <v>0</v>
      </c>
      <c r="G769" s="8">
        <v>7</v>
      </c>
      <c r="H769" s="9">
        <v>385</v>
      </c>
    </row>
    <row r="770" spans="1:8" x14ac:dyDescent="0.2">
      <c r="A770" s="2">
        <v>15</v>
      </c>
      <c r="B770" s="3" t="s">
        <v>767</v>
      </c>
      <c r="C770" s="2">
        <v>21</v>
      </c>
      <c r="D770" s="4">
        <v>3.5</v>
      </c>
      <c r="E770" s="4">
        <v>3</v>
      </c>
      <c r="F770" s="4">
        <v>0.4</v>
      </c>
      <c r="G770" s="4">
        <v>6.9</v>
      </c>
      <c r="H770" s="5">
        <v>381.7</v>
      </c>
    </row>
    <row r="771" spans="1:8" x14ac:dyDescent="0.2">
      <c r="A771" s="6">
        <v>15</v>
      </c>
      <c r="B771" s="7" t="s">
        <v>768</v>
      </c>
      <c r="C771" s="6">
        <v>52</v>
      </c>
      <c r="D771" s="8">
        <v>3.7</v>
      </c>
      <c r="E771" s="8">
        <v>2.7</v>
      </c>
      <c r="F771" s="8">
        <v>0.5</v>
      </c>
      <c r="G771" s="8">
        <v>6.9</v>
      </c>
      <c r="H771" s="9">
        <v>376.75</v>
      </c>
    </row>
    <row r="772" spans="1:8" x14ac:dyDescent="0.2">
      <c r="A772" s="2">
        <v>15</v>
      </c>
      <c r="B772" s="3" t="s">
        <v>769</v>
      </c>
      <c r="C772" s="2">
        <v>172</v>
      </c>
      <c r="D772" s="4">
        <v>3.6</v>
      </c>
      <c r="E772" s="4">
        <v>2.9</v>
      </c>
      <c r="F772" s="4">
        <v>0.7</v>
      </c>
      <c r="G772" s="4">
        <v>7.2</v>
      </c>
      <c r="H772" s="5">
        <v>397.65</v>
      </c>
    </row>
    <row r="773" spans="1:8" x14ac:dyDescent="0.2">
      <c r="A773" s="6">
        <v>15</v>
      </c>
      <c r="B773" s="7" t="s">
        <v>770</v>
      </c>
      <c r="C773" s="6">
        <v>0</v>
      </c>
      <c r="D773" s="8">
        <v>0</v>
      </c>
      <c r="E773" s="8">
        <v>0</v>
      </c>
      <c r="F773" s="8">
        <v>0</v>
      </c>
      <c r="G773" s="8">
        <v>0</v>
      </c>
      <c r="H773" s="9">
        <v>0</v>
      </c>
    </row>
    <row r="774" spans="1:8" x14ac:dyDescent="0.2">
      <c r="A774" s="2">
        <v>15</v>
      </c>
      <c r="B774" s="3" t="s">
        <v>771</v>
      </c>
      <c r="C774" s="2">
        <v>8288</v>
      </c>
      <c r="D774" s="4">
        <v>1.4</v>
      </c>
      <c r="E774" s="4">
        <v>0.7</v>
      </c>
      <c r="F774" s="4">
        <v>0.3</v>
      </c>
      <c r="G774" s="4">
        <v>2.2999999999999998</v>
      </c>
      <c r="H774" s="5">
        <v>128.15</v>
      </c>
    </row>
    <row r="775" spans="1:8" x14ac:dyDescent="0.2">
      <c r="A775" s="6">
        <v>15</v>
      </c>
      <c r="B775" s="7" t="s">
        <v>771</v>
      </c>
      <c r="C775" s="6">
        <v>8288</v>
      </c>
      <c r="D775" s="8">
        <v>1.4</v>
      </c>
      <c r="E775" s="8">
        <v>0.7</v>
      </c>
      <c r="F775" s="8">
        <v>0.3</v>
      </c>
      <c r="G775" s="8">
        <v>2.2999999999999998</v>
      </c>
      <c r="H775" s="9">
        <v>128.15</v>
      </c>
    </row>
    <row r="776" spans="1:8" x14ac:dyDescent="0.2">
      <c r="A776" s="2">
        <v>15</v>
      </c>
      <c r="B776" s="3" t="s">
        <v>772</v>
      </c>
      <c r="C776" s="2">
        <v>115</v>
      </c>
      <c r="D776" s="4">
        <v>1.3</v>
      </c>
      <c r="E776" s="4">
        <v>0.6</v>
      </c>
      <c r="F776" s="4">
        <v>0.4</v>
      </c>
      <c r="G776" s="4">
        <v>2.2999999999999998</v>
      </c>
      <c r="H776" s="5">
        <v>124.85</v>
      </c>
    </row>
    <row r="777" spans="1:8" x14ac:dyDescent="0.2">
      <c r="A777" s="6">
        <v>15</v>
      </c>
      <c r="B777" s="7" t="s">
        <v>773</v>
      </c>
      <c r="C777" s="6">
        <v>249</v>
      </c>
      <c r="D777" s="8">
        <v>1.8</v>
      </c>
      <c r="E777" s="8">
        <v>0.8</v>
      </c>
      <c r="F777" s="8">
        <v>0.5</v>
      </c>
      <c r="G777" s="8">
        <v>3</v>
      </c>
      <c r="H777" s="9">
        <v>166.65</v>
      </c>
    </row>
    <row r="778" spans="1:8" x14ac:dyDescent="0.2">
      <c r="A778" s="2">
        <v>16</v>
      </c>
      <c r="B778" s="3" t="s">
        <v>774</v>
      </c>
      <c r="C778" s="2">
        <v>737</v>
      </c>
      <c r="D778" s="4">
        <v>1.6</v>
      </c>
      <c r="E778" s="4">
        <v>0.7</v>
      </c>
      <c r="F778" s="4">
        <v>0.4</v>
      </c>
      <c r="G778" s="4">
        <v>2.7</v>
      </c>
      <c r="H778" s="5">
        <v>147.4</v>
      </c>
    </row>
    <row r="779" spans="1:8" x14ac:dyDescent="0.2">
      <c r="A779" s="6">
        <v>16</v>
      </c>
      <c r="B779" s="7" t="s">
        <v>772</v>
      </c>
      <c r="C779" s="6">
        <v>154</v>
      </c>
      <c r="D779" s="8">
        <v>1.5</v>
      </c>
      <c r="E779" s="8">
        <v>0.7</v>
      </c>
      <c r="F779" s="8">
        <v>0.4</v>
      </c>
      <c r="G779" s="8">
        <v>2.7</v>
      </c>
      <c r="H779" s="9">
        <v>145.75</v>
      </c>
    </row>
    <row r="780" spans="1:8" x14ac:dyDescent="0.2">
      <c r="A780" s="2">
        <v>16</v>
      </c>
      <c r="B780" s="3" t="s">
        <v>775</v>
      </c>
      <c r="C780" s="2">
        <v>1396</v>
      </c>
      <c r="D780" s="4">
        <v>1</v>
      </c>
      <c r="E780" s="4">
        <v>0.5</v>
      </c>
      <c r="F780" s="4">
        <v>0.3</v>
      </c>
      <c r="G780" s="4">
        <v>1.8</v>
      </c>
      <c r="H780" s="5">
        <v>98.45</v>
      </c>
    </row>
    <row r="781" spans="1:8" x14ac:dyDescent="0.2">
      <c r="A781" s="6">
        <v>16</v>
      </c>
      <c r="B781" s="7" t="s">
        <v>776</v>
      </c>
      <c r="C781" s="6">
        <v>24</v>
      </c>
      <c r="D781" s="8">
        <v>1.8</v>
      </c>
      <c r="E781" s="8">
        <v>1</v>
      </c>
      <c r="F781" s="8">
        <v>0.3</v>
      </c>
      <c r="G781" s="8">
        <v>3.2</v>
      </c>
      <c r="H781" s="9">
        <v>173.8</v>
      </c>
    </row>
    <row r="782" spans="1:8" x14ac:dyDescent="0.2">
      <c r="A782" s="2">
        <v>16</v>
      </c>
      <c r="B782" s="3" t="s">
        <v>777</v>
      </c>
      <c r="C782" s="2">
        <v>124</v>
      </c>
      <c r="D782" s="4">
        <v>1.8</v>
      </c>
      <c r="E782" s="4">
        <v>0.9</v>
      </c>
      <c r="F782" s="4">
        <v>0.7</v>
      </c>
      <c r="G782" s="4">
        <v>3.4</v>
      </c>
      <c r="H782" s="5">
        <v>185.35</v>
      </c>
    </row>
    <row r="783" spans="1:8" x14ac:dyDescent="0.2">
      <c r="A783" s="6">
        <v>16</v>
      </c>
      <c r="B783" s="7" t="s">
        <v>778</v>
      </c>
      <c r="C783" s="6">
        <v>3</v>
      </c>
      <c r="D783" s="8">
        <v>2.7</v>
      </c>
      <c r="E783" s="8">
        <v>4.3</v>
      </c>
      <c r="F783" s="8">
        <v>1</v>
      </c>
      <c r="G783" s="8">
        <v>8</v>
      </c>
      <c r="H783" s="9">
        <v>439.45</v>
      </c>
    </row>
    <row r="784" spans="1:8" x14ac:dyDescent="0.2">
      <c r="A784" s="2">
        <v>16</v>
      </c>
      <c r="B784" s="3" t="s">
        <v>774</v>
      </c>
      <c r="C784" s="2">
        <v>263</v>
      </c>
      <c r="D784" s="4">
        <v>2</v>
      </c>
      <c r="E784" s="4">
        <v>1</v>
      </c>
      <c r="F784" s="4">
        <v>0.7</v>
      </c>
      <c r="G784" s="4">
        <v>3.6</v>
      </c>
      <c r="H784" s="5">
        <v>198</v>
      </c>
    </row>
    <row r="785" spans="1:8" x14ac:dyDescent="0.2">
      <c r="A785" s="6">
        <v>16</v>
      </c>
      <c r="B785" s="7" t="s">
        <v>779</v>
      </c>
      <c r="C785" s="6">
        <v>58</v>
      </c>
      <c r="D785" s="8">
        <v>0.8</v>
      </c>
      <c r="E785" s="8">
        <v>0.4</v>
      </c>
      <c r="F785" s="8">
        <v>0.3</v>
      </c>
      <c r="G785" s="8">
        <v>1.5</v>
      </c>
      <c r="H785" s="9">
        <v>81.400000000000006</v>
      </c>
    </row>
    <row r="786" spans="1:8" x14ac:dyDescent="0.2">
      <c r="A786" s="2">
        <v>16</v>
      </c>
      <c r="B786" s="3" t="s">
        <v>780</v>
      </c>
      <c r="C786" s="2">
        <v>51</v>
      </c>
      <c r="D786" s="4">
        <v>2</v>
      </c>
      <c r="E786" s="4">
        <v>1.1000000000000001</v>
      </c>
      <c r="F786" s="4">
        <v>0.5</v>
      </c>
      <c r="G786" s="4">
        <v>3.6</v>
      </c>
      <c r="H786" s="5">
        <v>200.2</v>
      </c>
    </row>
    <row r="787" spans="1:8" x14ac:dyDescent="0.2">
      <c r="A787" s="6">
        <v>16</v>
      </c>
      <c r="B787" s="7" t="s">
        <v>780</v>
      </c>
      <c r="C787" s="6">
        <v>18</v>
      </c>
      <c r="D787" s="8">
        <v>0</v>
      </c>
      <c r="E787" s="8">
        <v>0.1</v>
      </c>
      <c r="F787" s="8">
        <v>0.1</v>
      </c>
      <c r="G787" s="8">
        <v>0.2</v>
      </c>
      <c r="H787" s="9">
        <v>12.1</v>
      </c>
    </row>
    <row r="788" spans="1:8" x14ac:dyDescent="0.2">
      <c r="A788" s="2">
        <v>16</v>
      </c>
      <c r="B788" s="3" t="s">
        <v>781</v>
      </c>
      <c r="C788" s="2">
        <v>20</v>
      </c>
      <c r="D788" s="4">
        <v>2.5</v>
      </c>
      <c r="E788" s="4">
        <v>1.3</v>
      </c>
      <c r="F788" s="4">
        <v>1.2</v>
      </c>
      <c r="G788" s="4">
        <v>4.9000000000000004</v>
      </c>
      <c r="H788" s="5">
        <v>269.5</v>
      </c>
    </row>
    <row r="789" spans="1:8" x14ac:dyDescent="0.2">
      <c r="A789" s="6">
        <v>16</v>
      </c>
      <c r="B789" s="7" t="s">
        <v>782</v>
      </c>
      <c r="C789" s="6">
        <v>4</v>
      </c>
      <c r="D789" s="8">
        <v>0</v>
      </c>
      <c r="E789" s="8">
        <v>0</v>
      </c>
      <c r="F789" s="8">
        <v>0</v>
      </c>
      <c r="G789" s="8">
        <v>0</v>
      </c>
      <c r="H789" s="9">
        <v>0</v>
      </c>
    </row>
    <row r="790" spans="1:8" x14ac:dyDescent="0.2">
      <c r="A790" s="2">
        <v>16</v>
      </c>
      <c r="B790" s="3" t="s">
        <v>773</v>
      </c>
      <c r="C790" s="2">
        <v>53</v>
      </c>
      <c r="D790" s="4">
        <v>1.6</v>
      </c>
      <c r="E790" s="4">
        <v>0.9</v>
      </c>
      <c r="F790" s="4">
        <v>0.8</v>
      </c>
      <c r="G790" s="4">
        <v>3.3</v>
      </c>
      <c r="H790" s="5">
        <v>178.75</v>
      </c>
    </row>
    <row r="791" spans="1:8" x14ac:dyDescent="0.2">
      <c r="A791" s="6">
        <v>16</v>
      </c>
      <c r="B791" s="7" t="s">
        <v>783</v>
      </c>
      <c r="C791" s="6">
        <v>1</v>
      </c>
      <c r="D791" s="8">
        <v>6</v>
      </c>
      <c r="E791" s="8">
        <v>13</v>
      </c>
      <c r="F791" s="8">
        <v>0</v>
      </c>
      <c r="G791" s="8">
        <v>19</v>
      </c>
      <c r="H791" s="9">
        <v>1045</v>
      </c>
    </row>
    <row r="792" spans="1:8" x14ac:dyDescent="0.2">
      <c r="A792" s="2">
        <v>16</v>
      </c>
      <c r="B792" s="3" t="s">
        <v>784</v>
      </c>
      <c r="C792" s="2">
        <v>24</v>
      </c>
      <c r="D792" s="4">
        <v>4.2</v>
      </c>
      <c r="E792" s="4">
        <v>5.3</v>
      </c>
      <c r="F792" s="4">
        <v>0.5</v>
      </c>
      <c r="G792" s="4">
        <v>10</v>
      </c>
      <c r="H792" s="5">
        <v>549.45000000000005</v>
      </c>
    </row>
    <row r="793" spans="1:8" x14ac:dyDescent="0.2">
      <c r="A793" s="6">
        <v>16</v>
      </c>
      <c r="B793" s="7" t="s">
        <v>785</v>
      </c>
      <c r="C793" s="6">
        <v>136</v>
      </c>
      <c r="D793" s="8">
        <v>8</v>
      </c>
      <c r="E793" s="8">
        <v>8.1</v>
      </c>
      <c r="F793" s="8">
        <v>1</v>
      </c>
      <c r="G793" s="8">
        <v>17.100000000000001</v>
      </c>
      <c r="H793" s="9">
        <v>939.4</v>
      </c>
    </row>
    <row r="794" spans="1:8" x14ac:dyDescent="0.2">
      <c r="A794" s="2">
        <v>16</v>
      </c>
      <c r="B794" s="3" t="s">
        <v>786</v>
      </c>
      <c r="C794" s="2">
        <v>2</v>
      </c>
      <c r="D794" s="4">
        <v>4</v>
      </c>
      <c r="E794" s="4">
        <v>4.5</v>
      </c>
      <c r="F794" s="4">
        <v>0</v>
      </c>
      <c r="G794" s="4">
        <v>8.5</v>
      </c>
      <c r="H794" s="5">
        <v>467.5</v>
      </c>
    </row>
    <row r="795" spans="1:8" x14ac:dyDescent="0.2">
      <c r="A795" s="6">
        <v>16</v>
      </c>
      <c r="B795" s="7" t="s">
        <v>787</v>
      </c>
      <c r="C795" s="6">
        <v>3</v>
      </c>
      <c r="D795" s="8">
        <v>5.3</v>
      </c>
      <c r="E795" s="8">
        <v>7</v>
      </c>
      <c r="F795" s="8">
        <v>0.3</v>
      </c>
      <c r="G795" s="8">
        <v>12.7</v>
      </c>
      <c r="H795" s="9">
        <v>696.3</v>
      </c>
    </row>
    <row r="796" spans="1:8" x14ac:dyDescent="0.2">
      <c r="A796" s="2">
        <v>16</v>
      </c>
      <c r="B796" s="3" t="s">
        <v>788</v>
      </c>
      <c r="C796" s="2">
        <v>1</v>
      </c>
      <c r="D796" s="4">
        <v>6</v>
      </c>
      <c r="E796" s="4">
        <v>8</v>
      </c>
      <c r="F796" s="4">
        <v>0</v>
      </c>
      <c r="G796" s="4">
        <v>14</v>
      </c>
      <c r="H796" s="5">
        <v>770</v>
      </c>
    </row>
    <row r="797" spans="1:8" x14ac:dyDescent="0.2">
      <c r="A797" s="6">
        <v>16</v>
      </c>
      <c r="B797" s="7" t="s">
        <v>789</v>
      </c>
      <c r="C797" s="6">
        <v>3</v>
      </c>
      <c r="D797" s="8">
        <v>6</v>
      </c>
      <c r="E797" s="8">
        <v>6</v>
      </c>
      <c r="F797" s="8">
        <v>1</v>
      </c>
      <c r="G797" s="8">
        <v>13</v>
      </c>
      <c r="H797" s="9">
        <v>715</v>
      </c>
    </row>
    <row r="798" spans="1:8" x14ac:dyDescent="0.2">
      <c r="A798" s="2">
        <v>16</v>
      </c>
      <c r="B798" s="3" t="s">
        <v>790</v>
      </c>
      <c r="C798" s="2">
        <v>99</v>
      </c>
      <c r="D798" s="4">
        <v>5.8</v>
      </c>
      <c r="E798" s="4">
        <v>4.9000000000000004</v>
      </c>
      <c r="F798" s="4">
        <v>0.5</v>
      </c>
      <c r="G798" s="4">
        <v>11.2</v>
      </c>
      <c r="H798" s="5">
        <v>614.9</v>
      </c>
    </row>
    <row r="799" spans="1:8" x14ac:dyDescent="0.2">
      <c r="A799" s="6">
        <v>16</v>
      </c>
      <c r="B799" s="7" t="s">
        <v>791</v>
      </c>
      <c r="C799" s="6">
        <v>20</v>
      </c>
      <c r="D799" s="8">
        <v>5.8</v>
      </c>
      <c r="E799" s="8">
        <v>4.7</v>
      </c>
      <c r="F799" s="8">
        <v>0.1</v>
      </c>
      <c r="G799" s="8">
        <v>10.5</v>
      </c>
      <c r="H799" s="9">
        <v>577.5</v>
      </c>
    </row>
    <row r="800" spans="1:8" x14ac:dyDescent="0.2">
      <c r="A800" s="2">
        <v>16</v>
      </c>
      <c r="B800" s="3" t="s">
        <v>792</v>
      </c>
      <c r="C800" s="2">
        <v>0</v>
      </c>
      <c r="D800" s="4">
        <v>0</v>
      </c>
      <c r="E800" s="4">
        <v>0</v>
      </c>
      <c r="F800" s="4">
        <v>0</v>
      </c>
      <c r="G800" s="4">
        <v>0</v>
      </c>
      <c r="H800" s="5">
        <v>0</v>
      </c>
    </row>
    <row r="801" spans="1:8" x14ac:dyDescent="0.2">
      <c r="A801" s="6">
        <v>16</v>
      </c>
      <c r="B801" s="7" t="s">
        <v>793</v>
      </c>
      <c r="C801" s="6">
        <v>172</v>
      </c>
      <c r="D801" s="8">
        <v>7.9</v>
      </c>
      <c r="E801" s="8">
        <v>6.7</v>
      </c>
      <c r="F801" s="8">
        <v>1.4</v>
      </c>
      <c r="G801" s="8">
        <v>16</v>
      </c>
      <c r="H801" s="9">
        <v>877.25</v>
      </c>
    </row>
    <row r="802" spans="1:8" x14ac:dyDescent="0.2">
      <c r="A802" s="2">
        <v>16</v>
      </c>
      <c r="B802" s="3" t="s">
        <v>794</v>
      </c>
      <c r="C802" s="2">
        <v>173</v>
      </c>
      <c r="D802" s="4">
        <v>7.9</v>
      </c>
      <c r="E802" s="4">
        <v>7.2</v>
      </c>
      <c r="F802" s="4">
        <v>1.6</v>
      </c>
      <c r="G802" s="4">
        <v>16.7</v>
      </c>
      <c r="H802" s="5">
        <v>917.4</v>
      </c>
    </row>
    <row r="803" spans="1:8" x14ac:dyDescent="0.2">
      <c r="A803" s="6">
        <v>16</v>
      </c>
      <c r="B803" s="7" t="s">
        <v>795</v>
      </c>
      <c r="C803" s="6">
        <v>0</v>
      </c>
      <c r="D803" s="8">
        <v>0</v>
      </c>
      <c r="E803" s="8">
        <v>0</v>
      </c>
      <c r="F803" s="8">
        <v>0</v>
      </c>
      <c r="G803" s="8">
        <v>0</v>
      </c>
      <c r="H803" s="9">
        <v>0</v>
      </c>
    </row>
    <row r="804" spans="1:8" x14ac:dyDescent="0.2">
      <c r="A804" s="2">
        <v>16</v>
      </c>
      <c r="B804" s="3" t="s">
        <v>796</v>
      </c>
      <c r="C804" s="2">
        <v>1</v>
      </c>
      <c r="D804" s="4">
        <v>5</v>
      </c>
      <c r="E804" s="4">
        <v>3</v>
      </c>
      <c r="F804" s="4">
        <v>0</v>
      </c>
      <c r="G804" s="4">
        <v>8</v>
      </c>
      <c r="H804" s="5">
        <v>440</v>
      </c>
    </row>
    <row r="805" spans="1:8" x14ac:dyDescent="0.2">
      <c r="A805" s="6">
        <v>16</v>
      </c>
      <c r="B805" s="7" t="s">
        <v>797</v>
      </c>
      <c r="C805" s="6">
        <v>327</v>
      </c>
      <c r="D805" s="8">
        <v>6</v>
      </c>
      <c r="E805" s="8">
        <v>6.3</v>
      </c>
      <c r="F805" s="8">
        <v>0.2</v>
      </c>
      <c r="G805" s="8">
        <v>12.4</v>
      </c>
      <c r="H805" s="9">
        <v>682</v>
      </c>
    </row>
    <row r="806" spans="1:8" x14ac:dyDescent="0.2">
      <c r="A806" s="2">
        <v>16</v>
      </c>
      <c r="B806" s="3" t="s">
        <v>798</v>
      </c>
      <c r="C806" s="2">
        <v>613</v>
      </c>
      <c r="D806" s="4">
        <v>4</v>
      </c>
      <c r="E806" s="4">
        <v>2.5</v>
      </c>
      <c r="F806" s="4">
        <v>0.5</v>
      </c>
      <c r="G806" s="4">
        <v>7</v>
      </c>
      <c r="H806" s="5">
        <v>382.25</v>
      </c>
    </row>
    <row r="807" spans="1:8" x14ac:dyDescent="0.2">
      <c r="A807" s="6">
        <v>16</v>
      </c>
      <c r="B807" s="7" t="s">
        <v>799</v>
      </c>
      <c r="C807" s="6">
        <v>7</v>
      </c>
      <c r="D807" s="8">
        <v>4</v>
      </c>
      <c r="E807" s="8">
        <v>2.9</v>
      </c>
      <c r="F807" s="8">
        <v>0.3</v>
      </c>
      <c r="G807" s="8">
        <v>7.1</v>
      </c>
      <c r="H807" s="9">
        <v>392.15</v>
      </c>
    </row>
    <row r="808" spans="1:8" x14ac:dyDescent="0.2">
      <c r="A808" s="2">
        <v>16</v>
      </c>
      <c r="B808" s="3" t="s">
        <v>800</v>
      </c>
      <c r="C808" s="2">
        <v>22</v>
      </c>
      <c r="D808" s="4">
        <v>8</v>
      </c>
      <c r="E808" s="4">
        <v>5</v>
      </c>
      <c r="F808" s="4">
        <v>0.2</v>
      </c>
      <c r="G808" s="4">
        <v>13.2</v>
      </c>
      <c r="H808" s="5">
        <v>727.1</v>
      </c>
    </row>
    <row r="809" spans="1:8" x14ac:dyDescent="0.2">
      <c r="A809" s="6">
        <v>16</v>
      </c>
      <c r="B809" s="7" t="s">
        <v>801</v>
      </c>
      <c r="C809" s="6">
        <v>301</v>
      </c>
      <c r="D809" s="8">
        <v>7.9</v>
      </c>
      <c r="E809" s="8">
        <v>7.4</v>
      </c>
      <c r="F809" s="8">
        <v>1.4</v>
      </c>
      <c r="G809" s="8">
        <v>16.7</v>
      </c>
      <c r="H809" s="9">
        <v>917.95</v>
      </c>
    </row>
    <row r="810" spans="1:8" x14ac:dyDescent="0.2">
      <c r="A810" s="2">
        <v>16</v>
      </c>
      <c r="B810" s="3" t="s">
        <v>802</v>
      </c>
      <c r="C810" s="2">
        <v>1</v>
      </c>
      <c r="D810" s="4">
        <v>8</v>
      </c>
      <c r="E810" s="4">
        <v>9</v>
      </c>
      <c r="F810" s="4">
        <v>0</v>
      </c>
      <c r="G810" s="4">
        <v>17</v>
      </c>
      <c r="H810" s="5">
        <v>935</v>
      </c>
    </row>
    <row r="811" spans="1:8" x14ac:dyDescent="0.2">
      <c r="A811" s="6">
        <v>16</v>
      </c>
      <c r="B811" s="7" t="s">
        <v>803</v>
      </c>
      <c r="C811" s="6">
        <v>1</v>
      </c>
      <c r="D811" s="8">
        <v>8</v>
      </c>
      <c r="E811" s="8">
        <v>21</v>
      </c>
      <c r="F811" s="8">
        <v>0</v>
      </c>
      <c r="G811" s="8">
        <v>29</v>
      </c>
      <c r="H811" s="9">
        <v>1595</v>
      </c>
    </row>
    <row r="812" spans="1:8" x14ac:dyDescent="0.2">
      <c r="A812" s="2">
        <v>16</v>
      </c>
      <c r="B812" s="3" t="s">
        <v>804</v>
      </c>
      <c r="C812" s="2">
        <v>44</v>
      </c>
      <c r="D812" s="4">
        <v>4.7</v>
      </c>
      <c r="E812" s="4">
        <v>6.7</v>
      </c>
      <c r="F812" s="4">
        <v>0.9</v>
      </c>
      <c r="G812" s="4">
        <v>12.3</v>
      </c>
      <c r="H812" s="5">
        <v>677.05</v>
      </c>
    </row>
    <row r="813" spans="1:8" x14ac:dyDescent="0.2">
      <c r="A813" s="6">
        <v>16</v>
      </c>
      <c r="B813" s="7" t="s">
        <v>805</v>
      </c>
      <c r="C813" s="6">
        <v>2</v>
      </c>
      <c r="D813" s="8">
        <v>6</v>
      </c>
      <c r="E813" s="8">
        <v>10.5</v>
      </c>
      <c r="F813" s="8">
        <v>0</v>
      </c>
      <c r="G813" s="8">
        <v>16.5</v>
      </c>
      <c r="H813" s="9">
        <v>907.5</v>
      </c>
    </row>
    <row r="814" spans="1:8" x14ac:dyDescent="0.2">
      <c r="A814" s="2">
        <v>16</v>
      </c>
      <c r="B814" s="3" t="s">
        <v>806</v>
      </c>
      <c r="C814" s="2">
        <v>1</v>
      </c>
      <c r="D814" s="4">
        <v>8</v>
      </c>
      <c r="E814" s="4">
        <v>6</v>
      </c>
      <c r="F814" s="4">
        <v>0</v>
      </c>
      <c r="G814" s="4">
        <v>14</v>
      </c>
      <c r="H814" s="5">
        <v>770</v>
      </c>
    </row>
    <row r="815" spans="1:8" x14ac:dyDescent="0.2">
      <c r="A815" s="6">
        <v>16</v>
      </c>
      <c r="B815" s="7" t="s">
        <v>807</v>
      </c>
      <c r="C815" s="6">
        <v>2</v>
      </c>
      <c r="D815" s="8">
        <v>5</v>
      </c>
      <c r="E815" s="8">
        <v>1.5</v>
      </c>
      <c r="F815" s="8">
        <v>0.5</v>
      </c>
      <c r="G815" s="8">
        <v>7</v>
      </c>
      <c r="H815" s="9">
        <v>385</v>
      </c>
    </row>
    <row r="816" spans="1:8" x14ac:dyDescent="0.2">
      <c r="A816" s="2">
        <v>16</v>
      </c>
      <c r="B816" s="3" t="s">
        <v>808</v>
      </c>
      <c r="C816" s="2">
        <v>88</v>
      </c>
      <c r="D816" s="4">
        <v>8</v>
      </c>
      <c r="E816" s="4">
        <v>4.9000000000000004</v>
      </c>
      <c r="F816" s="4">
        <v>0.6</v>
      </c>
      <c r="G816" s="4">
        <v>13.5</v>
      </c>
      <c r="H816" s="5">
        <v>741.95</v>
      </c>
    </row>
    <row r="817" spans="1:8" x14ac:dyDescent="0.2">
      <c r="A817" s="6">
        <v>16</v>
      </c>
      <c r="B817" s="7" t="s">
        <v>809</v>
      </c>
      <c r="C817" s="6">
        <v>675</v>
      </c>
      <c r="D817" s="8">
        <v>2</v>
      </c>
      <c r="E817" s="8">
        <v>1</v>
      </c>
      <c r="F817" s="8">
        <v>0.1</v>
      </c>
      <c r="G817" s="8">
        <v>3.1</v>
      </c>
      <c r="H817" s="9">
        <v>168.3</v>
      </c>
    </row>
    <row r="818" spans="1:8" x14ac:dyDescent="0.2">
      <c r="A818" s="2">
        <v>16</v>
      </c>
      <c r="B818" s="3" t="s">
        <v>810</v>
      </c>
      <c r="C818" s="2">
        <v>18</v>
      </c>
      <c r="D818" s="4">
        <v>5.6</v>
      </c>
      <c r="E818" s="4">
        <v>7.9</v>
      </c>
      <c r="F818" s="4">
        <v>1.1000000000000001</v>
      </c>
      <c r="G818" s="4">
        <v>14.5</v>
      </c>
      <c r="H818" s="5">
        <v>796.4</v>
      </c>
    </row>
    <row r="819" spans="1:8" x14ac:dyDescent="0.2">
      <c r="A819" s="6">
        <v>16</v>
      </c>
      <c r="B819" s="7" t="s">
        <v>811</v>
      </c>
      <c r="C819" s="6">
        <v>7</v>
      </c>
      <c r="D819" s="8">
        <v>6</v>
      </c>
      <c r="E819" s="8">
        <v>5.7</v>
      </c>
      <c r="F819" s="8">
        <v>0.7</v>
      </c>
      <c r="G819" s="8">
        <v>12.4</v>
      </c>
      <c r="H819" s="9">
        <v>683.1</v>
      </c>
    </row>
    <row r="820" spans="1:8" x14ac:dyDescent="0.2">
      <c r="A820" s="2">
        <v>16</v>
      </c>
      <c r="B820" s="3" t="s">
        <v>812</v>
      </c>
      <c r="C820" s="2">
        <v>26</v>
      </c>
      <c r="D820" s="4">
        <v>6</v>
      </c>
      <c r="E820" s="4">
        <v>5.5</v>
      </c>
      <c r="F820" s="4">
        <v>2.2999999999999998</v>
      </c>
      <c r="G820" s="4">
        <v>13.8</v>
      </c>
      <c r="H820" s="5">
        <v>759</v>
      </c>
    </row>
    <row r="821" spans="1:8" x14ac:dyDescent="0.2">
      <c r="A821" s="6">
        <v>16</v>
      </c>
      <c r="B821" s="7" t="s">
        <v>813</v>
      </c>
      <c r="C821" s="6">
        <v>1</v>
      </c>
      <c r="D821" s="8">
        <v>6</v>
      </c>
      <c r="E821" s="8">
        <v>9</v>
      </c>
      <c r="F821" s="8">
        <v>2</v>
      </c>
      <c r="G821" s="8">
        <v>17</v>
      </c>
      <c r="H821" s="9">
        <v>935</v>
      </c>
    </row>
    <row r="822" spans="1:8" x14ac:dyDescent="0.2">
      <c r="A822" s="2">
        <v>16</v>
      </c>
      <c r="B822" s="3" t="s">
        <v>814</v>
      </c>
      <c r="C822" s="2">
        <v>4</v>
      </c>
      <c r="D822" s="4">
        <v>11</v>
      </c>
      <c r="E822" s="4">
        <v>28.5</v>
      </c>
      <c r="F822" s="4">
        <v>0.3</v>
      </c>
      <c r="G822" s="4">
        <v>39.799999999999997</v>
      </c>
      <c r="H822" s="5">
        <v>2186.25</v>
      </c>
    </row>
    <row r="823" spans="1:8" x14ac:dyDescent="0.2">
      <c r="A823" s="6">
        <v>16</v>
      </c>
      <c r="B823" s="7" t="s">
        <v>815</v>
      </c>
      <c r="C823" s="6">
        <v>3</v>
      </c>
      <c r="D823" s="8">
        <v>4</v>
      </c>
      <c r="E823" s="8">
        <v>8.6999999999999993</v>
      </c>
      <c r="F823" s="8">
        <v>1</v>
      </c>
      <c r="G823" s="8">
        <v>13.7</v>
      </c>
      <c r="H823" s="9">
        <v>751.3</v>
      </c>
    </row>
    <row r="824" spans="1:8" x14ac:dyDescent="0.2">
      <c r="A824" s="2">
        <v>16</v>
      </c>
      <c r="B824" s="3" t="s">
        <v>816</v>
      </c>
      <c r="C824" s="2">
        <v>1640</v>
      </c>
      <c r="D824" s="4">
        <v>8</v>
      </c>
      <c r="E824" s="4">
        <v>7.9</v>
      </c>
      <c r="F824" s="4">
        <v>1.6</v>
      </c>
      <c r="G824" s="4">
        <v>17.399999999999999</v>
      </c>
      <c r="H824" s="5">
        <v>959.2</v>
      </c>
    </row>
    <row r="825" spans="1:8" x14ac:dyDescent="0.2">
      <c r="A825" s="6">
        <v>16</v>
      </c>
      <c r="B825" s="7" t="s">
        <v>817</v>
      </c>
      <c r="C825" s="6">
        <v>4828</v>
      </c>
      <c r="D825" s="8">
        <v>8</v>
      </c>
      <c r="E825" s="8">
        <v>7.9</v>
      </c>
      <c r="F825" s="8">
        <v>1.4</v>
      </c>
      <c r="G825" s="8">
        <v>17.3</v>
      </c>
      <c r="H825" s="9">
        <v>952.05</v>
      </c>
    </row>
    <row r="826" spans="1:8" x14ac:dyDescent="0.2">
      <c r="A826" s="2">
        <v>16</v>
      </c>
      <c r="B826" s="3" t="s">
        <v>818</v>
      </c>
      <c r="C826" s="2">
        <v>1</v>
      </c>
      <c r="D826" s="4">
        <v>8</v>
      </c>
      <c r="E826" s="4">
        <v>8</v>
      </c>
      <c r="F826" s="4">
        <v>0</v>
      </c>
      <c r="G826" s="4">
        <v>16</v>
      </c>
      <c r="H826" s="5">
        <v>880</v>
      </c>
    </row>
    <row r="827" spans="1:8" x14ac:dyDescent="0.2">
      <c r="A827" s="6">
        <v>16</v>
      </c>
      <c r="B827" s="7" t="s">
        <v>819</v>
      </c>
      <c r="C827" s="6">
        <v>1</v>
      </c>
      <c r="D827" s="8">
        <v>8</v>
      </c>
      <c r="E827" s="8">
        <v>7</v>
      </c>
      <c r="F827" s="8">
        <v>4</v>
      </c>
      <c r="G827" s="8">
        <v>19</v>
      </c>
      <c r="H827" s="9">
        <v>1045</v>
      </c>
    </row>
    <row r="828" spans="1:8" x14ac:dyDescent="0.2">
      <c r="A828" s="2">
        <v>16</v>
      </c>
      <c r="B828" s="3" t="s">
        <v>820</v>
      </c>
      <c r="C828" s="2">
        <v>16</v>
      </c>
      <c r="D828" s="4">
        <v>8</v>
      </c>
      <c r="E828" s="4">
        <v>8.4</v>
      </c>
      <c r="F828" s="4">
        <v>1.6</v>
      </c>
      <c r="G828" s="4">
        <v>18</v>
      </c>
      <c r="H828" s="5">
        <v>989.45</v>
      </c>
    </row>
    <row r="829" spans="1:8" x14ac:dyDescent="0.2">
      <c r="A829" s="6">
        <v>16</v>
      </c>
      <c r="B829" s="7" t="s">
        <v>821</v>
      </c>
      <c r="C829" s="6">
        <v>3</v>
      </c>
      <c r="D829" s="8">
        <v>8</v>
      </c>
      <c r="E829" s="8">
        <v>11.7</v>
      </c>
      <c r="F829" s="8">
        <v>1</v>
      </c>
      <c r="G829" s="8">
        <v>20.7</v>
      </c>
      <c r="H829" s="9">
        <v>1136.3</v>
      </c>
    </row>
    <row r="830" spans="1:8" x14ac:dyDescent="0.2">
      <c r="A830" s="2">
        <v>17</v>
      </c>
      <c r="B830" s="3" t="s">
        <v>822</v>
      </c>
      <c r="C830" s="2">
        <v>1230</v>
      </c>
      <c r="D830" s="4">
        <v>7.9</v>
      </c>
      <c r="E830" s="4">
        <v>8.4</v>
      </c>
      <c r="F830" s="4">
        <v>1.7</v>
      </c>
      <c r="G830" s="4">
        <v>18.100000000000001</v>
      </c>
      <c r="H830" s="5">
        <v>993.3</v>
      </c>
    </row>
    <row r="831" spans="1:8" x14ac:dyDescent="0.2">
      <c r="A831" s="6">
        <v>17</v>
      </c>
      <c r="B831" s="7" t="s">
        <v>823</v>
      </c>
      <c r="C831" s="6">
        <v>2831</v>
      </c>
      <c r="D831" s="8">
        <v>8</v>
      </c>
      <c r="E831" s="8">
        <v>8.1</v>
      </c>
      <c r="F831" s="8">
        <v>1.5</v>
      </c>
      <c r="G831" s="8">
        <v>17.600000000000001</v>
      </c>
      <c r="H831" s="9">
        <v>967.45</v>
      </c>
    </row>
    <row r="832" spans="1:8" x14ac:dyDescent="0.2">
      <c r="A832" s="2">
        <v>17</v>
      </c>
      <c r="B832" s="3" t="s">
        <v>824</v>
      </c>
      <c r="C832" s="2">
        <v>56</v>
      </c>
      <c r="D832" s="4">
        <v>8.1</v>
      </c>
      <c r="E832" s="4">
        <v>12.5</v>
      </c>
      <c r="F832" s="4">
        <v>2.2999999999999998</v>
      </c>
      <c r="G832" s="4">
        <v>22.9</v>
      </c>
      <c r="H832" s="5">
        <v>1258.95</v>
      </c>
    </row>
    <row r="833" spans="1:8" x14ac:dyDescent="0.2">
      <c r="A833" s="6">
        <v>17</v>
      </c>
      <c r="B833" s="7" t="s">
        <v>825</v>
      </c>
      <c r="C833" s="6">
        <v>1</v>
      </c>
      <c r="D833" s="8">
        <v>0</v>
      </c>
      <c r="E833" s="8">
        <v>3</v>
      </c>
      <c r="F833" s="8">
        <v>0</v>
      </c>
      <c r="G833" s="8">
        <v>3</v>
      </c>
      <c r="H833" s="9">
        <v>165</v>
      </c>
    </row>
    <row r="834" spans="1:8" x14ac:dyDescent="0.2">
      <c r="A834" s="2">
        <v>17</v>
      </c>
      <c r="B834" s="3" t="s">
        <v>826</v>
      </c>
      <c r="C834" s="2">
        <v>2</v>
      </c>
      <c r="D834" s="4">
        <v>8</v>
      </c>
      <c r="E834" s="4">
        <v>6</v>
      </c>
      <c r="F834" s="4">
        <v>1</v>
      </c>
      <c r="G834" s="4">
        <v>15</v>
      </c>
      <c r="H834" s="5">
        <v>825</v>
      </c>
    </row>
    <row r="835" spans="1:8" x14ac:dyDescent="0.2">
      <c r="A835" s="6">
        <v>17</v>
      </c>
      <c r="B835" s="7" t="s">
        <v>827</v>
      </c>
      <c r="C835" s="6">
        <v>105</v>
      </c>
      <c r="D835" s="8">
        <v>8</v>
      </c>
      <c r="E835" s="8">
        <v>6.4</v>
      </c>
      <c r="F835" s="8">
        <v>1.4</v>
      </c>
      <c r="G835" s="8">
        <v>15.8</v>
      </c>
      <c r="H835" s="9">
        <v>867.35</v>
      </c>
    </row>
    <row r="836" spans="1:8" x14ac:dyDescent="0.2">
      <c r="A836" s="2">
        <v>17</v>
      </c>
      <c r="B836" s="3" t="s">
        <v>828</v>
      </c>
      <c r="C836" s="2">
        <v>2</v>
      </c>
      <c r="D836" s="4">
        <v>8</v>
      </c>
      <c r="E836" s="4">
        <v>4</v>
      </c>
      <c r="F836" s="4">
        <v>1</v>
      </c>
      <c r="G836" s="4">
        <v>13</v>
      </c>
      <c r="H836" s="5">
        <v>715</v>
      </c>
    </row>
    <row r="837" spans="1:8" x14ac:dyDescent="0.2">
      <c r="A837" s="6">
        <v>17</v>
      </c>
      <c r="B837" s="7" t="s">
        <v>829</v>
      </c>
      <c r="C837" s="6">
        <v>6</v>
      </c>
      <c r="D837" s="8">
        <v>8</v>
      </c>
      <c r="E837" s="8">
        <v>7.3</v>
      </c>
      <c r="F837" s="8">
        <v>2.8</v>
      </c>
      <c r="G837" s="8">
        <v>18.2</v>
      </c>
      <c r="H837" s="9">
        <v>998.8</v>
      </c>
    </row>
    <row r="838" spans="1:8" x14ac:dyDescent="0.2">
      <c r="A838" s="2">
        <v>17</v>
      </c>
      <c r="B838" s="3" t="s">
        <v>830</v>
      </c>
      <c r="C838" s="2">
        <v>2</v>
      </c>
      <c r="D838" s="4">
        <v>2</v>
      </c>
      <c r="E838" s="4">
        <v>2</v>
      </c>
      <c r="F838" s="4">
        <v>0</v>
      </c>
      <c r="G838" s="4">
        <v>4</v>
      </c>
      <c r="H838" s="5">
        <v>220</v>
      </c>
    </row>
    <row r="839" spans="1:8" x14ac:dyDescent="0.2">
      <c r="A839" s="6">
        <v>17</v>
      </c>
      <c r="B839" s="7" t="s">
        <v>831</v>
      </c>
      <c r="C839" s="6">
        <v>1</v>
      </c>
      <c r="D839" s="8">
        <v>4</v>
      </c>
      <c r="E839" s="8">
        <v>2</v>
      </c>
      <c r="F839" s="8">
        <v>0</v>
      </c>
      <c r="G839" s="8">
        <v>6</v>
      </c>
      <c r="H839" s="9">
        <v>330</v>
      </c>
    </row>
    <row r="840" spans="1:8" x14ac:dyDescent="0.2">
      <c r="A840" s="2">
        <v>17</v>
      </c>
      <c r="B840" s="3" t="s">
        <v>832</v>
      </c>
      <c r="C840" s="2">
        <v>1</v>
      </c>
      <c r="D840" s="4">
        <v>14</v>
      </c>
      <c r="E840" s="4">
        <v>21</v>
      </c>
      <c r="F840" s="4">
        <v>1</v>
      </c>
      <c r="G840" s="4">
        <v>36</v>
      </c>
      <c r="H840" s="5">
        <v>1980</v>
      </c>
    </row>
    <row r="841" spans="1:8" x14ac:dyDescent="0.2">
      <c r="A841" s="6">
        <v>17</v>
      </c>
      <c r="B841" s="7" t="s">
        <v>833</v>
      </c>
      <c r="C841" s="6">
        <v>12</v>
      </c>
      <c r="D841" s="8">
        <v>3.7</v>
      </c>
      <c r="E841" s="8">
        <v>4</v>
      </c>
      <c r="F841" s="8">
        <v>0.2</v>
      </c>
      <c r="G841" s="8">
        <v>7.8</v>
      </c>
      <c r="H841" s="9">
        <v>430.1</v>
      </c>
    </row>
    <row r="842" spans="1:8" x14ac:dyDescent="0.2">
      <c r="A842" s="2">
        <v>17</v>
      </c>
      <c r="B842" s="3" t="s">
        <v>834</v>
      </c>
      <c r="C842" s="2">
        <v>275</v>
      </c>
      <c r="D842" s="4">
        <v>3.7</v>
      </c>
      <c r="E842" s="4">
        <v>3.7</v>
      </c>
      <c r="F842" s="4">
        <v>0.7</v>
      </c>
      <c r="G842" s="4">
        <v>8.1</v>
      </c>
      <c r="H842" s="5">
        <v>445.5</v>
      </c>
    </row>
    <row r="843" spans="1:8" x14ac:dyDescent="0.2">
      <c r="A843" s="6">
        <v>17</v>
      </c>
      <c r="B843" s="7" t="s">
        <v>835</v>
      </c>
      <c r="C843" s="6">
        <v>1</v>
      </c>
      <c r="D843" s="8">
        <v>0</v>
      </c>
      <c r="E843" s="8">
        <v>6</v>
      </c>
      <c r="F843" s="8">
        <v>0</v>
      </c>
      <c r="G843" s="8">
        <v>6</v>
      </c>
      <c r="H843" s="9">
        <v>330</v>
      </c>
    </row>
    <row r="844" spans="1:8" x14ac:dyDescent="0.2">
      <c r="A844" s="2">
        <v>17</v>
      </c>
      <c r="B844" s="3" t="s">
        <v>836</v>
      </c>
      <c r="C844" s="2">
        <v>2</v>
      </c>
      <c r="D844" s="4">
        <v>4</v>
      </c>
      <c r="E844" s="4">
        <v>4</v>
      </c>
      <c r="F844" s="4">
        <v>0.5</v>
      </c>
      <c r="G844" s="4">
        <v>8.5</v>
      </c>
      <c r="H844" s="5">
        <v>467.5</v>
      </c>
    </row>
    <row r="845" spans="1:8" x14ac:dyDescent="0.2">
      <c r="A845" s="6">
        <v>17</v>
      </c>
      <c r="B845" s="7" t="s">
        <v>837</v>
      </c>
      <c r="C845" s="6">
        <v>52</v>
      </c>
      <c r="D845" s="8">
        <v>10</v>
      </c>
      <c r="E845" s="8">
        <v>15.2</v>
      </c>
      <c r="F845" s="8">
        <v>0.4</v>
      </c>
      <c r="G845" s="8">
        <v>25.6</v>
      </c>
      <c r="H845" s="9">
        <v>1409.65</v>
      </c>
    </row>
    <row r="846" spans="1:8" x14ac:dyDescent="0.2">
      <c r="A846" s="2">
        <v>17</v>
      </c>
      <c r="B846" s="3" t="s">
        <v>838</v>
      </c>
      <c r="C846" s="2">
        <v>645</v>
      </c>
      <c r="D846" s="4">
        <v>9.9</v>
      </c>
      <c r="E846" s="4">
        <v>15.4</v>
      </c>
      <c r="F846" s="4">
        <v>0.6</v>
      </c>
      <c r="G846" s="4">
        <v>25.9</v>
      </c>
      <c r="H846" s="5">
        <v>1423.95</v>
      </c>
    </row>
    <row r="847" spans="1:8" x14ac:dyDescent="0.2">
      <c r="A847" s="6">
        <v>17</v>
      </c>
      <c r="B847" s="7" t="s">
        <v>839</v>
      </c>
      <c r="C847" s="6">
        <v>18</v>
      </c>
      <c r="D847" s="8">
        <v>10</v>
      </c>
      <c r="E847" s="8">
        <v>16.5</v>
      </c>
      <c r="F847" s="8">
        <v>0.5</v>
      </c>
      <c r="G847" s="8">
        <v>27</v>
      </c>
      <c r="H847" s="9">
        <v>1485</v>
      </c>
    </row>
    <row r="848" spans="1:8" x14ac:dyDescent="0.2">
      <c r="A848" s="2">
        <v>17</v>
      </c>
      <c r="B848" s="3" t="s">
        <v>840</v>
      </c>
      <c r="C848" s="2">
        <v>28</v>
      </c>
      <c r="D848" s="4">
        <v>9.9</v>
      </c>
      <c r="E848" s="4">
        <v>17.5</v>
      </c>
      <c r="F848" s="4">
        <v>0.5</v>
      </c>
      <c r="G848" s="4">
        <v>28</v>
      </c>
      <c r="H848" s="5">
        <v>1537.25</v>
      </c>
    </row>
    <row r="849" spans="1:8" x14ac:dyDescent="0.2">
      <c r="A849" s="6">
        <v>17</v>
      </c>
      <c r="B849" s="7" t="s">
        <v>841</v>
      </c>
      <c r="C849" s="6">
        <v>32</v>
      </c>
      <c r="D849" s="8">
        <v>9.8000000000000007</v>
      </c>
      <c r="E849" s="8">
        <v>15.1</v>
      </c>
      <c r="F849" s="8">
        <v>0.4</v>
      </c>
      <c r="G849" s="8">
        <v>25.4</v>
      </c>
      <c r="H849" s="9">
        <v>1394.8</v>
      </c>
    </row>
    <row r="850" spans="1:8" x14ac:dyDescent="0.2">
      <c r="A850" s="2">
        <v>17</v>
      </c>
      <c r="B850" s="3" t="s">
        <v>842</v>
      </c>
      <c r="C850" s="2">
        <v>410</v>
      </c>
      <c r="D850" s="4">
        <v>9.5</v>
      </c>
      <c r="E850" s="4">
        <v>15.5</v>
      </c>
      <c r="F850" s="4">
        <v>0.7</v>
      </c>
      <c r="G850" s="4">
        <v>25.8</v>
      </c>
      <c r="H850" s="5">
        <v>1418.45</v>
      </c>
    </row>
    <row r="851" spans="1:8" x14ac:dyDescent="0.2">
      <c r="A851" s="6">
        <v>17</v>
      </c>
      <c r="B851" s="7" t="s">
        <v>843</v>
      </c>
      <c r="C851" s="6">
        <v>65</v>
      </c>
      <c r="D851" s="8">
        <v>5.8</v>
      </c>
      <c r="E851" s="8">
        <v>6.1</v>
      </c>
      <c r="F851" s="8">
        <v>1</v>
      </c>
      <c r="G851" s="8">
        <v>12.9</v>
      </c>
      <c r="H851" s="9">
        <v>711.15</v>
      </c>
    </row>
    <row r="852" spans="1:8" x14ac:dyDescent="0.2">
      <c r="A852" s="2">
        <v>17</v>
      </c>
      <c r="B852" s="3" t="s">
        <v>844</v>
      </c>
      <c r="C852" s="2">
        <v>2</v>
      </c>
      <c r="D852" s="4">
        <v>4.5</v>
      </c>
      <c r="E852" s="4">
        <v>7</v>
      </c>
      <c r="F852" s="4">
        <v>3</v>
      </c>
      <c r="G852" s="4">
        <v>14.5</v>
      </c>
      <c r="H852" s="5">
        <v>797.5</v>
      </c>
    </row>
    <row r="853" spans="1:8" x14ac:dyDescent="0.2">
      <c r="A853" s="6">
        <v>17</v>
      </c>
      <c r="B853" s="7" t="s">
        <v>845</v>
      </c>
      <c r="C853" s="6">
        <v>0</v>
      </c>
      <c r="D853" s="8">
        <v>0</v>
      </c>
      <c r="E853" s="8">
        <v>0</v>
      </c>
      <c r="F853" s="8">
        <v>0</v>
      </c>
      <c r="G853" s="8">
        <v>0</v>
      </c>
      <c r="H853" s="9">
        <v>0</v>
      </c>
    </row>
    <row r="854" spans="1:8" x14ac:dyDescent="0.2">
      <c r="A854" s="2">
        <v>17</v>
      </c>
      <c r="B854" s="3" t="s">
        <v>846</v>
      </c>
      <c r="C854" s="2">
        <v>1</v>
      </c>
      <c r="D854" s="4">
        <v>10</v>
      </c>
      <c r="E854" s="4">
        <v>12</v>
      </c>
      <c r="F854" s="4">
        <v>1</v>
      </c>
      <c r="G854" s="4">
        <v>23</v>
      </c>
      <c r="H854" s="5">
        <v>1265</v>
      </c>
    </row>
    <row r="855" spans="1:8" x14ac:dyDescent="0.2">
      <c r="A855" s="6">
        <v>17</v>
      </c>
      <c r="B855" s="7" t="s">
        <v>847</v>
      </c>
      <c r="C855" s="6">
        <v>2</v>
      </c>
      <c r="D855" s="8">
        <v>5</v>
      </c>
      <c r="E855" s="8">
        <v>6.5</v>
      </c>
      <c r="F855" s="8">
        <v>0</v>
      </c>
      <c r="G855" s="8">
        <v>11.5</v>
      </c>
      <c r="H855" s="9">
        <v>632.5</v>
      </c>
    </row>
    <row r="856" spans="1:8" x14ac:dyDescent="0.2">
      <c r="A856" s="2">
        <v>17</v>
      </c>
      <c r="B856" s="3" t="s">
        <v>848</v>
      </c>
      <c r="C856" s="2">
        <v>1</v>
      </c>
      <c r="D856" s="4">
        <v>4</v>
      </c>
      <c r="E856" s="4">
        <v>4</v>
      </c>
      <c r="F856" s="4">
        <v>0</v>
      </c>
      <c r="G856" s="4">
        <v>8</v>
      </c>
      <c r="H856" s="5">
        <v>440</v>
      </c>
    </row>
    <row r="857" spans="1:8" x14ac:dyDescent="0.2">
      <c r="A857" s="6">
        <v>17</v>
      </c>
      <c r="B857" s="7" t="s">
        <v>849</v>
      </c>
      <c r="C857" s="6">
        <v>1</v>
      </c>
      <c r="D857" s="8">
        <v>0</v>
      </c>
      <c r="E857" s="8">
        <v>6</v>
      </c>
      <c r="F857" s="8">
        <v>0</v>
      </c>
      <c r="G857" s="8">
        <v>6</v>
      </c>
      <c r="H857" s="9">
        <v>330</v>
      </c>
    </row>
    <row r="858" spans="1:8" x14ac:dyDescent="0.2">
      <c r="A858" s="2">
        <v>17</v>
      </c>
      <c r="B858" s="3" t="s">
        <v>850</v>
      </c>
      <c r="C858" s="2">
        <v>0</v>
      </c>
      <c r="D858" s="4">
        <v>0</v>
      </c>
      <c r="E858" s="4">
        <v>0</v>
      </c>
      <c r="F858" s="4">
        <v>0</v>
      </c>
      <c r="G858" s="4">
        <v>0</v>
      </c>
      <c r="H858" s="5">
        <v>0</v>
      </c>
    </row>
    <row r="859" spans="1:8" x14ac:dyDescent="0.2">
      <c r="A859" s="6">
        <v>17</v>
      </c>
      <c r="B859" s="7" t="s">
        <v>851</v>
      </c>
      <c r="C859" s="6">
        <v>5</v>
      </c>
      <c r="D859" s="8">
        <v>3.4</v>
      </c>
      <c r="E859" s="8">
        <v>3.6</v>
      </c>
      <c r="F859" s="8">
        <v>0.2</v>
      </c>
      <c r="G859" s="8">
        <v>7.2</v>
      </c>
      <c r="H859" s="9">
        <v>396</v>
      </c>
    </row>
    <row r="860" spans="1:8" x14ac:dyDescent="0.2">
      <c r="A860" s="2">
        <v>17</v>
      </c>
      <c r="B860" s="3" t="s">
        <v>852</v>
      </c>
      <c r="C860" s="2">
        <v>3</v>
      </c>
      <c r="D860" s="4">
        <v>6.3</v>
      </c>
      <c r="E860" s="4">
        <v>6.3</v>
      </c>
      <c r="F860" s="4">
        <v>0</v>
      </c>
      <c r="G860" s="4">
        <v>12.7</v>
      </c>
      <c r="H860" s="5">
        <v>696.3</v>
      </c>
    </row>
    <row r="861" spans="1:8" x14ac:dyDescent="0.2">
      <c r="A861" s="6">
        <v>17</v>
      </c>
      <c r="B861" s="7" t="s">
        <v>853</v>
      </c>
      <c r="C861" s="6">
        <v>265</v>
      </c>
      <c r="D861" s="8">
        <v>5.3</v>
      </c>
      <c r="E861" s="8">
        <v>4.4000000000000004</v>
      </c>
      <c r="F861" s="8">
        <v>0.3</v>
      </c>
      <c r="G861" s="8">
        <v>10.1</v>
      </c>
      <c r="H861" s="9">
        <v>556.04999999999995</v>
      </c>
    </row>
    <row r="862" spans="1:8" x14ac:dyDescent="0.2">
      <c r="A862" s="2">
        <v>17</v>
      </c>
      <c r="B862" s="3" t="s">
        <v>854</v>
      </c>
      <c r="C862" s="2">
        <v>31</v>
      </c>
      <c r="D862" s="4">
        <v>5.3</v>
      </c>
      <c r="E862" s="4">
        <v>4.7</v>
      </c>
      <c r="F862" s="4">
        <v>0.3</v>
      </c>
      <c r="G862" s="4">
        <v>10.3</v>
      </c>
      <c r="H862" s="5">
        <v>563.75</v>
      </c>
    </row>
    <row r="863" spans="1:8" x14ac:dyDescent="0.2">
      <c r="A863" s="6">
        <v>17</v>
      </c>
      <c r="B863" s="7" t="s">
        <v>855</v>
      </c>
      <c r="C863" s="6">
        <v>16</v>
      </c>
      <c r="D863" s="8">
        <v>5.7</v>
      </c>
      <c r="E863" s="8">
        <v>6.2</v>
      </c>
      <c r="F863" s="8">
        <v>0.1</v>
      </c>
      <c r="G863" s="8">
        <v>12</v>
      </c>
      <c r="H863" s="9">
        <v>658.9</v>
      </c>
    </row>
    <row r="864" spans="1:8" x14ac:dyDescent="0.2">
      <c r="A864" s="2">
        <v>17</v>
      </c>
      <c r="B864" s="3" t="s">
        <v>856</v>
      </c>
      <c r="C864" s="2">
        <v>6</v>
      </c>
      <c r="D864" s="4">
        <v>5.5</v>
      </c>
      <c r="E864" s="4">
        <v>4.3</v>
      </c>
      <c r="F864" s="4">
        <v>0.2</v>
      </c>
      <c r="G864" s="4">
        <v>10</v>
      </c>
      <c r="H864" s="5">
        <v>549.45000000000005</v>
      </c>
    </row>
    <row r="865" spans="1:8" x14ac:dyDescent="0.2">
      <c r="A865" s="6">
        <v>17</v>
      </c>
      <c r="B865" s="7" t="s">
        <v>857</v>
      </c>
      <c r="C865" s="6">
        <v>233</v>
      </c>
      <c r="D865" s="8">
        <v>5.4</v>
      </c>
      <c r="E865" s="8">
        <v>4.5999999999999996</v>
      </c>
      <c r="F865" s="8">
        <v>0.4</v>
      </c>
      <c r="G865" s="8">
        <v>10.4</v>
      </c>
      <c r="H865" s="9">
        <v>574.20000000000005</v>
      </c>
    </row>
    <row r="866" spans="1:8" x14ac:dyDescent="0.2">
      <c r="A866" s="2">
        <v>17</v>
      </c>
      <c r="B866" s="3" t="s">
        <v>858</v>
      </c>
      <c r="C866" s="2">
        <v>10</v>
      </c>
      <c r="D866" s="4">
        <v>5.6</v>
      </c>
      <c r="E866" s="4">
        <v>5.0999999999999996</v>
      </c>
      <c r="F866" s="4">
        <v>0</v>
      </c>
      <c r="G866" s="4">
        <v>10.7</v>
      </c>
      <c r="H866" s="5">
        <v>588.5</v>
      </c>
    </row>
    <row r="867" spans="1:8" x14ac:dyDescent="0.2">
      <c r="A867" s="6">
        <v>17</v>
      </c>
      <c r="B867" s="7" t="s">
        <v>859</v>
      </c>
      <c r="C867" s="6">
        <v>1</v>
      </c>
      <c r="D867" s="8">
        <v>5</v>
      </c>
      <c r="E867" s="8">
        <v>6</v>
      </c>
      <c r="F867" s="8">
        <v>1</v>
      </c>
      <c r="G867" s="8">
        <v>12</v>
      </c>
      <c r="H867" s="9">
        <v>660</v>
      </c>
    </row>
    <row r="868" spans="1:8" x14ac:dyDescent="0.2">
      <c r="A868" s="2">
        <v>17</v>
      </c>
      <c r="B868" s="3" t="s">
        <v>860</v>
      </c>
      <c r="C868" s="2">
        <v>2</v>
      </c>
      <c r="D868" s="4">
        <v>5.5</v>
      </c>
      <c r="E868" s="4">
        <v>8</v>
      </c>
      <c r="F868" s="4">
        <v>1</v>
      </c>
      <c r="G868" s="4">
        <v>14.5</v>
      </c>
      <c r="H868" s="5">
        <v>797.5</v>
      </c>
    </row>
    <row r="869" spans="1:8" x14ac:dyDescent="0.2">
      <c r="A869" s="6">
        <v>17</v>
      </c>
      <c r="B869" s="7" t="s">
        <v>861</v>
      </c>
      <c r="C869" s="6">
        <v>379</v>
      </c>
      <c r="D869" s="8">
        <v>5.8</v>
      </c>
      <c r="E869" s="8">
        <v>7.7</v>
      </c>
      <c r="F869" s="8">
        <v>0.2</v>
      </c>
      <c r="G869" s="8">
        <v>13.7</v>
      </c>
      <c r="H869" s="9">
        <v>754.6</v>
      </c>
    </row>
    <row r="870" spans="1:8" x14ac:dyDescent="0.2">
      <c r="A870" s="2">
        <v>17</v>
      </c>
      <c r="B870" s="3" t="s">
        <v>862</v>
      </c>
      <c r="C870" s="2">
        <v>1</v>
      </c>
      <c r="D870" s="4">
        <v>4</v>
      </c>
      <c r="E870" s="4">
        <v>3</v>
      </c>
      <c r="F870" s="4">
        <v>0</v>
      </c>
      <c r="G870" s="4">
        <v>7</v>
      </c>
      <c r="H870" s="5">
        <v>385</v>
      </c>
    </row>
    <row r="871" spans="1:8" x14ac:dyDescent="0.2">
      <c r="A871" s="6">
        <v>17</v>
      </c>
      <c r="B871" s="7" t="s">
        <v>863</v>
      </c>
      <c r="C871" s="6">
        <v>20</v>
      </c>
      <c r="D871" s="8">
        <v>5.8</v>
      </c>
      <c r="E871" s="8">
        <v>5.0999999999999996</v>
      </c>
      <c r="F871" s="8">
        <v>0.7</v>
      </c>
      <c r="G871" s="8">
        <v>11.6</v>
      </c>
      <c r="H871" s="9">
        <v>638</v>
      </c>
    </row>
    <row r="872" spans="1:8" x14ac:dyDescent="0.2">
      <c r="A872" s="2">
        <v>17</v>
      </c>
      <c r="B872" s="3" t="s">
        <v>864</v>
      </c>
      <c r="C872" s="2">
        <v>183</v>
      </c>
      <c r="D872" s="4">
        <v>5.9</v>
      </c>
      <c r="E872" s="4">
        <v>6.9</v>
      </c>
      <c r="F872" s="4">
        <v>0.8</v>
      </c>
      <c r="G872" s="4">
        <v>13.6</v>
      </c>
      <c r="H872" s="5">
        <v>749.1</v>
      </c>
    </row>
    <row r="873" spans="1:8" x14ac:dyDescent="0.2">
      <c r="A873" s="6">
        <v>17</v>
      </c>
      <c r="B873" s="7" t="s">
        <v>865</v>
      </c>
      <c r="C873" s="6">
        <v>26</v>
      </c>
      <c r="D873" s="8">
        <v>4.4000000000000004</v>
      </c>
      <c r="E873" s="8">
        <v>3</v>
      </c>
      <c r="F873" s="8">
        <v>0.7</v>
      </c>
      <c r="G873" s="8">
        <v>8.1</v>
      </c>
      <c r="H873" s="9">
        <v>447.7</v>
      </c>
    </row>
    <row r="874" spans="1:8" x14ac:dyDescent="0.2">
      <c r="A874" s="2">
        <v>17</v>
      </c>
      <c r="B874" s="3" t="s">
        <v>866</v>
      </c>
      <c r="C874" s="2">
        <v>1</v>
      </c>
      <c r="D874" s="4">
        <v>0</v>
      </c>
      <c r="E874" s="4">
        <v>4</v>
      </c>
      <c r="F874" s="4">
        <v>0</v>
      </c>
      <c r="G874" s="4">
        <v>4</v>
      </c>
      <c r="H874" s="5">
        <v>220</v>
      </c>
    </row>
    <row r="875" spans="1:8" x14ac:dyDescent="0.2">
      <c r="A875" s="6">
        <v>17</v>
      </c>
      <c r="B875" s="7" t="s">
        <v>867</v>
      </c>
      <c r="C875" s="6">
        <v>2</v>
      </c>
      <c r="D875" s="8">
        <v>5</v>
      </c>
      <c r="E875" s="8">
        <v>3</v>
      </c>
      <c r="F875" s="8">
        <v>0</v>
      </c>
      <c r="G875" s="8">
        <v>8</v>
      </c>
      <c r="H875" s="9">
        <v>440</v>
      </c>
    </row>
    <row r="876" spans="1:8" x14ac:dyDescent="0.2">
      <c r="A876" s="2">
        <v>17</v>
      </c>
      <c r="B876" s="3" t="s">
        <v>868</v>
      </c>
      <c r="C876" s="2">
        <v>2</v>
      </c>
      <c r="D876" s="4">
        <v>9</v>
      </c>
      <c r="E876" s="4">
        <v>6.5</v>
      </c>
      <c r="F876" s="4">
        <v>2.5</v>
      </c>
      <c r="G876" s="4">
        <v>18</v>
      </c>
      <c r="H876" s="5">
        <v>990</v>
      </c>
    </row>
    <row r="877" spans="1:8" x14ac:dyDescent="0.2">
      <c r="A877" s="6">
        <v>17</v>
      </c>
      <c r="B877" s="7" t="s">
        <v>869</v>
      </c>
      <c r="C877" s="6">
        <v>381</v>
      </c>
      <c r="D877" s="8">
        <v>3.9</v>
      </c>
      <c r="E877" s="8">
        <v>2.6</v>
      </c>
      <c r="F877" s="8">
        <v>0.7</v>
      </c>
      <c r="G877" s="8">
        <v>7.2</v>
      </c>
      <c r="H877" s="9">
        <v>396.55</v>
      </c>
    </row>
    <row r="878" spans="1:8" x14ac:dyDescent="0.2">
      <c r="A878" s="2">
        <v>17</v>
      </c>
      <c r="B878" s="3" t="s">
        <v>870</v>
      </c>
      <c r="C878" s="2">
        <v>1</v>
      </c>
      <c r="D878" s="4">
        <v>0</v>
      </c>
      <c r="E878" s="4">
        <v>0</v>
      </c>
      <c r="F878" s="4">
        <v>0</v>
      </c>
      <c r="G878" s="4">
        <v>0</v>
      </c>
      <c r="H878" s="5">
        <v>0</v>
      </c>
    </row>
    <row r="879" spans="1:8" x14ac:dyDescent="0.2">
      <c r="A879" s="6">
        <v>17</v>
      </c>
      <c r="B879" s="7" t="s">
        <v>871</v>
      </c>
      <c r="C879" s="6">
        <v>49</v>
      </c>
      <c r="D879" s="8">
        <v>5.0999999999999996</v>
      </c>
      <c r="E879" s="8">
        <v>4</v>
      </c>
      <c r="F879" s="8">
        <v>1.1000000000000001</v>
      </c>
      <c r="G879" s="8">
        <v>10.199999999999999</v>
      </c>
      <c r="H879" s="9">
        <v>558.25</v>
      </c>
    </row>
    <row r="880" spans="1:8" x14ac:dyDescent="0.2">
      <c r="A880" s="2">
        <v>17</v>
      </c>
      <c r="B880" s="3" t="s">
        <v>872</v>
      </c>
      <c r="C880" s="2">
        <v>1</v>
      </c>
      <c r="D880" s="4">
        <v>10</v>
      </c>
      <c r="E880" s="4">
        <v>5</v>
      </c>
      <c r="F880" s="4">
        <v>0</v>
      </c>
      <c r="G880" s="4">
        <v>15</v>
      </c>
      <c r="H880" s="5">
        <v>825</v>
      </c>
    </row>
    <row r="881" spans="1:8" x14ac:dyDescent="0.2">
      <c r="A881" s="6">
        <v>17</v>
      </c>
      <c r="B881" s="7" t="s">
        <v>873</v>
      </c>
      <c r="C881" s="6">
        <v>28</v>
      </c>
      <c r="D881" s="8">
        <v>5.0999999999999996</v>
      </c>
      <c r="E881" s="8">
        <v>5.9</v>
      </c>
      <c r="F881" s="8">
        <v>0.4</v>
      </c>
      <c r="G881" s="8">
        <v>11.3</v>
      </c>
      <c r="H881" s="9">
        <v>623.70000000000005</v>
      </c>
    </row>
    <row r="882" spans="1:8" x14ac:dyDescent="0.2">
      <c r="A882" s="2">
        <v>18</v>
      </c>
      <c r="B882" s="3" t="s">
        <v>874</v>
      </c>
      <c r="C882" s="2">
        <v>5</v>
      </c>
      <c r="D882" s="4">
        <v>4.2</v>
      </c>
      <c r="E882" s="4">
        <v>2</v>
      </c>
      <c r="F882" s="4">
        <v>0.2</v>
      </c>
      <c r="G882" s="4">
        <v>6.4</v>
      </c>
      <c r="H882" s="5">
        <v>352</v>
      </c>
    </row>
    <row r="883" spans="1:8" x14ac:dyDescent="0.2">
      <c r="A883" s="6">
        <v>18</v>
      </c>
      <c r="B883" s="7" t="s">
        <v>875</v>
      </c>
      <c r="C883" s="6">
        <v>39</v>
      </c>
      <c r="D883" s="8">
        <v>8</v>
      </c>
      <c r="E883" s="8">
        <v>7.3</v>
      </c>
      <c r="F883" s="8">
        <v>1.3</v>
      </c>
      <c r="G883" s="8">
        <v>16.600000000000001</v>
      </c>
      <c r="H883" s="9">
        <v>911.9</v>
      </c>
    </row>
    <row r="884" spans="1:8" x14ac:dyDescent="0.2">
      <c r="A884" s="2">
        <v>18</v>
      </c>
      <c r="B884" s="3" t="s">
        <v>876</v>
      </c>
      <c r="C884" s="2">
        <v>6</v>
      </c>
      <c r="D884" s="4">
        <v>6.7</v>
      </c>
      <c r="E884" s="4">
        <v>15.8</v>
      </c>
      <c r="F884" s="4">
        <v>1.2</v>
      </c>
      <c r="G884" s="4">
        <v>23.7</v>
      </c>
      <c r="H884" s="5">
        <v>1300.75</v>
      </c>
    </row>
    <row r="885" spans="1:8" x14ac:dyDescent="0.2">
      <c r="A885" s="6">
        <v>18</v>
      </c>
      <c r="B885" s="7" t="s">
        <v>877</v>
      </c>
      <c r="C885" s="6">
        <v>2</v>
      </c>
      <c r="D885" s="8">
        <v>10</v>
      </c>
      <c r="E885" s="8">
        <v>11.5</v>
      </c>
      <c r="F885" s="8">
        <v>1.5</v>
      </c>
      <c r="G885" s="8">
        <v>23</v>
      </c>
      <c r="H885" s="9">
        <v>1265</v>
      </c>
    </row>
    <row r="886" spans="1:8" x14ac:dyDescent="0.2">
      <c r="A886" s="2">
        <v>18</v>
      </c>
      <c r="B886" s="3" t="s">
        <v>878</v>
      </c>
      <c r="C886" s="2">
        <v>2</v>
      </c>
      <c r="D886" s="4">
        <v>8</v>
      </c>
      <c r="E886" s="4">
        <v>7</v>
      </c>
      <c r="F886" s="4">
        <v>1.5</v>
      </c>
      <c r="G886" s="4">
        <v>16.5</v>
      </c>
      <c r="H886" s="5">
        <v>907.5</v>
      </c>
    </row>
    <row r="887" spans="1:8" x14ac:dyDescent="0.2">
      <c r="A887" s="6">
        <v>18</v>
      </c>
      <c r="B887" s="7" t="s">
        <v>879</v>
      </c>
      <c r="C887" s="6">
        <v>1</v>
      </c>
      <c r="D887" s="8">
        <v>6</v>
      </c>
      <c r="E887" s="8">
        <v>3</v>
      </c>
      <c r="F887" s="8">
        <v>2</v>
      </c>
      <c r="G887" s="8">
        <v>11</v>
      </c>
      <c r="H887" s="9">
        <v>605</v>
      </c>
    </row>
    <row r="888" spans="1:8" x14ac:dyDescent="0.2">
      <c r="A888" s="2">
        <v>18</v>
      </c>
      <c r="B888" s="3" t="s">
        <v>880</v>
      </c>
      <c r="C888" s="2">
        <v>1</v>
      </c>
      <c r="D888" s="4">
        <v>4</v>
      </c>
      <c r="E888" s="4">
        <v>2</v>
      </c>
      <c r="F888" s="4">
        <v>0</v>
      </c>
      <c r="G888" s="4">
        <v>6</v>
      </c>
      <c r="H888" s="5">
        <v>330</v>
      </c>
    </row>
    <row r="889" spans="1:8" x14ac:dyDescent="0.2">
      <c r="A889" s="6">
        <v>18</v>
      </c>
      <c r="B889" s="7" t="s">
        <v>881</v>
      </c>
      <c r="C889" s="6">
        <v>23</v>
      </c>
      <c r="D889" s="8">
        <v>4.5999999999999996</v>
      </c>
      <c r="E889" s="8">
        <v>2.7</v>
      </c>
      <c r="F889" s="8">
        <v>0.4</v>
      </c>
      <c r="G889" s="8">
        <v>7.6</v>
      </c>
      <c r="H889" s="9">
        <v>420.2</v>
      </c>
    </row>
    <row r="890" spans="1:8" x14ac:dyDescent="0.2">
      <c r="A890" s="2">
        <v>18</v>
      </c>
      <c r="B890" s="3" t="s">
        <v>882</v>
      </c>
      <c r="C890" s="2">
        <v>1</v>
      </c>
      <c r="D890" s="4">
        <v>5</v>
      </c>
      <c r="E890" s="4">
        <v>2</v>
      </c>
      <c r="F890" s="4">
        <v>0</v>
      </c>
      <c r="G890" s="4">
        <v>7</v>
      </c>
      <c r="H890" s="5">
        <v>385</v>
      </c>
    </row>
    <row r="891" spans="1:8" x14ac:dyDescent="0.2">
      <c r="A891" s="6">
        <v>18</v>
      </c>
      <c r="B891" s="7" t="s">
        <v>883</v>
      </c>
      <c r="C891" s="6">
        <v>1</v>
      </c>
      <c r="D891" s="8">
        <v>5</v>
      </c>
      <c r="E891" s="8">
        <v>5</v>
      </c>
      <c r="F891" s="8">
        <v>0</v>
      </c>
      <c r="G891" s="8">
        <v>10</v>
      </c>
      <c r="H891" s="9">
        <v>550</v>
      </c>
    </row>
    <row r="892" spans="1:8" x14ac:dyDescent="0.2">
      <c r="A892" s="2">
        <v>18</v>
      </c>
      <c r="B892" s="3" t="s">
        <v>884</v>
      </c>
      <c r="C892" s="2">
        <v>1</v>
      </c>
      <c r="D892" s="4">
        <v>0</v>
      </c>
      <c r="E892" s="4">
        <v>4</v>
      </c>
      <c r="F892" s="4">
        <v>0</v>
      </c>
      <c r="G892" s="4">
        <v>4</v>
      </c>
      <c r="H892" s="5">
        <v>220</v>
      </c>
    </row>
    <row r="893" spans="1:8" x14ac:dyDescent="0.2">
      <c r="A893" s="6">
        <v>18</v>
      </c>
      <c r="B893" s="7" t="s">
        <v>885</v>
      </c>
      <c r="C893" s="6">
        <v>0</v>
      </c>
      <c r="D893" s="8">
        <v>0</v>
      </c>
      <c r="E893" s="8">
        <v>0</v>
      </c>
      <c r="F893" s="8">
        <v>0</v>
      </c>
      <c r="G893" s="8">
        <v>0</v>
      </c>
      <c r="H893" s="9">
        <v>0</v>
      </c>
    </row>
    <row r="894" spans="1:8" x14ac:dyDescent="0.2">
      <c r="A894" s="2">
        <v>18</v>
      </c>
      <c r="B894" s="3" t="s">
        <v>886</v>
      </c>
      <c r="C894" s="2">
        <v>3</v>
      </c>
      <c r="D894" s="4">
        <v>3</v>
      </c>
      <c r="E894" s="4">
        <v>2.7</v>
      </c>
      <c r="F894" s="4">
        <v>0</v>
      </c>
      <c r="G894" s="4">
        <v>5.7</v>
      </c>
      <c r="H894" s="5">
        <v>311.3</v>
      </c>
    </row>
    <row r="895" spans="1:8" x14ac:dyDescent="0.2">
      <c r="A895" s="6">
        <v>18</v>
      </c>
      <c r="B895" s="7" t="s">
        <v>887</v>
      </c>
      <c r="C895" s="6">
        <v>2</v>
      </c>
      <c r="D895" s="8">
        <v>5</v>
      </c>
      <c r="E895" s="8">
        <v>2.5</v>
      </c>
      <c r="F895" s="8">
        <v>0</v>
      </c>
      <c r="G895" s="8">
        <v>7.5</v>
      </c>
      <c r="H895" s="9">
        <v>412.5</v>
      </c>
    </row>
    <row r="896" spans="1:8" x14ac:dyDescent="0.2">
      <c r="A896" s="2">
        <v>18</v>
      </c>
      <c r="B896" s="3" t="s">
        <v>888</v>
      </c>
      <c r="C896" s="2">
        <v>1</v>
      </c>
      <c r="D896" s="4">
        <v>8</v>
      </c>
      <c r="E896" s="4">
        <v>10</v>
      </c>
      <c r="F896" s="4">
        <v>1</v>
      </c>
      <c r="G896" s="4">
        <v>19</v>
      </c>
      <c r="H896" s="5">
        <v>1045</v>
      </c>
    </row>
    <row r="897" spans="1:8" x14ac:dyDescent="0.2">
      <c r="A897" s="6">
        <v>18</v>
      </c>
      <c r="B897" s="7" t="s">
        <v>889</v>
      </c>
      <c r="C897" s="6">
        <v>1</v>
      </c>
      <c r="D897" s="8">
        <v>0</v>
      </c>
      <c r="E897" s="8">
        <v>2</v>
      </c>
      <c r="F897" s="8">
        <v>0</v>
      </c>
      <c r="G897" s="8">
        <v>2</v>
      </c>
      <c r="H897" s="9">
        <v>110</v>
      </c>
    </row>
    <row r="898" spans="1:8" x14ac:dyDescent="0.2">
      <c r="A898" s="2">
        <v>18</v>
      </c>
      <c r="B898" s="3" t="s">
        <v>890</v>
      </c>
      <c r="C898" s="2">
        <v>1</v>
      </c>
      <c r="D898" s="4">
        <v>5</v>
      </c>
      <c r="E898" s="4">
        <v>2</v>
      </c>
      <c r="F898" s="4">
        <v>0</v>
      </c>
      <c r="G898" s="4">
        <v>7</v>
      </c>
      <c r="H898" s="5">
        <v>385</v>
      </c>
    </row>
    <row r="899" spans="1:8" x14ac:dyDescent="0.2">
      <c r="A899" s="6">
        <v>18</v>
      </c>
      <c r="B899" s="7" t="s">
        <v>891</v>
      </c>
      <c r="C899" s="6">
        <v>1</v>
      </c>
      <c r="D899" s="8">
        <v>2</v>
      </c>
      <c r="E899" s="8">
        <v>2</v>
      </c>
      <c r="F899" s="8">
        <v>1</v>
      </c>
      <c r="G899" s="8">
        <v>5</v>
      </c>
      <c r="H899" s="9">
        <v>275</v>
      </c>
    </row>
    <row r="900" spans="1:8" x14ac:dyDescent="0.2">
      <c r="A900" s="2">
        <v>18</v>
      </c>
      <c r="B900" s="3" t="s">
        <v>892</v>
      </c>
      <c r="C900" s="2">
        <v>1</v>
      </c>
      <c r="D900" s="4">
        <v>6</v>
      </c>
      <c r="E900" s="4">
        <v>4</v>
      </c>
      <c r="F900" s="4">
        <v>2</v>
      </c>
      <c r="G900" s="4">
        <v>12</v>
      </c>
      <c r="H900" s="5">
        <v>660</v>
      </c>
    </row>
    <row r="901" spans="1:8" x14ac:dyDescent="0.2">
      <c r="A901" s="6">
        <v>18</v>
      </c>
      <c r="B901" s="7" t="s">
        <v>893</v>
      </c>
      <c r="C901" s="6">
        <v>1</v>
      </c>
      <c r="D901" s="8">
        <v>6</v>
      </c>
      <c r="E901" s="8">
        <v>4</v>
      </c>
      <c r="F901" s="8">
        <v>0</v>
      </c>
      <c r="G901" s="8">
        <v>10</v>
      </c>
      <c r="H901" s="9">
        <v>550</v>
      </c>
    </row>
    <row r="902" spans="1:8" x14ac:dyDescent="0.2">
      <c r="A902" s="2">
        <v>18</v>
      </c>
      <c r="B902" s="3" t="s">
        <v>894</v>
      </c>
      <c r="C902" s="2">
        <v>23</v>
      </c>
      <c r="D902" s="4">
        <v>4.7</v>
      </c>
      <c r="E902" s="4">
        <v>3.8</v>
      </c>
      <c r="F902" s="4">
        <v>0.3</v>
      </c>
      <c r="G902" s="4">
        <v>8.8000000000000007</v>
      </c>
      <c r="H902" s="5">
        <v>484.55</v>
      </c>
    </row>
    <row r="903" spans="1:8" x14ac:dyDescent="0.2">
      <c r="A903" s="6">
        <v>18</v>
      </c>
      <c r="B903" s="7" t="s">
        <v>895</v>
      </c>
      <c r="C903" s="6">
        <v>8</v>
      </c>
      <c r="D903" s="8">
        <v>3.9</v>
      </c>
      <c r="E903" s="8">
        <v>3.9</v>
      </c>
      <c r="F903" s="8">
        <v>1.1000000000000001</v>
      </c>
      <c r="G903" s="8">
        <v>8.9</v>
      </c>
      <c r="H903" s="9">
        <v>487.3</v>
      </c>
    </row>
    <row r="904" spans="1:8" x14ac:dyDescent="0.2">
      <c r="A904" s="2">
        <v>18</v>
      </c>
      <c r="B904" s="3" t="s">
        <v>896</v>
      </c>
      <c r="C904" s="2">
        <v>41</v>
      </c>
      <c r="D904" s="4">
        <v>6.2</v>
      </c>
      <c r="E904" s="4">
        <v>5.6</v>
      </c>
      <c r="F904" s="4">
        <v>0.7</v>
      </c>
      <c r="G904" s="4">
        <v>12.5</v>
      </c>
      <c r="H904" s="5">
        <v>686.4</v>
      </c>
    </row>
    <row r="905" spans="1:8" x14ac:dyDescent="0.2">
      <c r="A905" s="6">
        <v>18</v>
      </c>
      <c r="B905" s="7" t="s">
        <v>897</v>
      </c>
      <c r="C905" s="6">
        <v>15</v>
      </c>
      <c r="D905" s="8">
        <v>4.5</v>
      </c>
      <c r="E905" s="8">
        <v>4.8</v>
      </c>
      <c r="F905" s="8">
        <v>0.7</v>
      </c>
      <c r="G905" s="8">
        <v>10.1</v>
      </c>
      <c r="H905" s="9">
        <v>553.29999999999995</v>
      </c>
    </row>
    <row r="906" spans="1:8" x14ac:dyDescent="0.2">
      <c r="A906" s="2">
        <v>18</v>
      </c>
      <c r="B906" s="3" t="s">
        <v>898</v>
      </c>
      <c r="C906" s="2">
        <v>5</v>
      </c>
      <c r="D906" s="4">
        <v>6</v>
      </c>
      <c r="E906" s="4">
        <v>4.8</v>
      </c>
      <c r="F906" s="4">
        <v>0.6</v>
      </c>
      <c r="G906" s="4">
        <v>11.4</v>
      </c>
      <c r="H906" s="5">
        <v>627</v>
      </c>
    </row>
    <row r="907" spans="1:8" x14ac:dyDescent="0.2">
      <c r="A907" s="6">
        <v>18</v>
      </c>
      <c r="B907" s="7" t="s">
        <v>899</v>
      </c>
      <c r="C907" s="6">
        <v>1</v>
      </c>
      <c r="D907" s="8">
        <v>4</v>
      </c>
      <c r="E907" s="8">
        <v>4</v>
      </c>
      <c r="F907" s="8">
        <v>4</v>
      </c>
      <c r="G907" s="8">
        <v>12</v>
      </c>
      <c r="H907" s="9">
        <v>660</v>
      </c>
    </row>
    <row r="908" spans="1:8" x14ac:dyDescent="0.2">
      <c r="A908" s="2">
        <v>18</v>
      </c>
      <c r="B908" s="3" t="s">
        <v>900</v>
      </c>
      <c r="C908" s="2">
        <v>2</v>
      </c>
      <c r="D908" s="4">
        <v>9</v>
      </c>
      <c r="E908" s="4">
        <v>11</v>
      </c>
      <c r="F908" s="4">
        <v>2.5</v>
      </c>
      <c r="G908" s="4">
        <v>22.5</v>
      </c>
      <c r="H908" s="5">
        <v>1237.5</v>
      </c>
    </row>
    <row r="909" spans="1:8" x14ac:dyDescent="0.2">
      <c r="A909" s="6">
        <v>18</v>
      </c>
      <c r="B909" s="7" t="s">
        <v>901</v>
      </c>
      <c r="C909" s="6">
        <v>4</v>
      </c>
      <c r="D909" s="8">
        <v>4.5</v>
      </c>
      <c r="E909" s="8">
        <v>3.3</v>
      </c>
      <c r="F909" s="8">
        <v>0</v>
      </c>
      <c r="G909" s="8">
        <v>7.8</v>
      </c>
      <c r="H909" s="9">
        <v>426.25</v>
      </c>
    </row>
    <row r="910" spans="1:8" x14ac:dyDescent="0.2">
      <c r="A910" s="2">
        <v>18</v>
      </c>
      <c r="B910" s="3" t="s">
        <v>902</v>
      </c>
      <c r="C910" s="2">
        <v>3</v>
      </c>
      <c r="D910" s="4">
        <v>5</v>
      </c>
      <c r="E910" s="4">
        <v>4.3</v>
      </c>
      <c r="F910" s="4">
        <v>0</v>
      </c>
      <c r="G910" s="4">
        <v>9.3000000000000007</v>
      </c>
      <c r="H910" s="5">
        <v>513.15</v>
      </c>
    </row>
    <row r="911" spans="1:8" x14ac:dyDescent="0.2">
      <c r="A911" s="6">
        <v>18</v>
      </c>
      <c r="B911" s="7" t="s">
        <v>903</v>
      </c>
      <c r="C911" s="6">
        <v>1</v>
      </c>
      <c r="D911" s="8">
        <v>5</v>
      </c>
      <c r="E911" s="8">
        <v>4</v>
      </c>
      <c r="F911" s="8">
        <v>0</v>
      </c>
      <c r="G911" s="8">
        <v>9</v>
      </c>
      <c r="H911" s="9">
        <v>495</v>
      </c>
    </row>
    <row r="912" spans="1:8" x14ac:dyDescent="0.2">
      <c r="A912" s="2">
        <v>18</v>
      </c>
      <c r="B912" s="3" t="s">
        <v>904</v>
      </c>
      <c r="C912" s="2">
        <v>1</v>
      </c>
      <c r="D912" s="4">
        <v>8</v>
      </c>
      <c r="E912" s="4">
        <v>7</v>
      </c>
      <c r="F912" s="4">
        <v>0</v>
      </c>
      <c r="G912" s="4">
        <v>15</v>
      </c>
      <c r="H912" s="5">
        <v>825</v>
      </c>
    </row>
    <row r="913" spans="1:8" x14ac:dyDescent="0.2">
      <c r="A913" s="6">
        <v>18</v>
      </c>
      <c r="B913" s="7" t="s">
        <v>905</v>
      </c>
      <c r="C913" s="6">
        <v>1</v>
      </c>
      <c r="D913" s="8">
        <v>0</v>
      </c>
      <c r="E913" s="8">
        <v>3</v>
      </c>
      <c r="F913" s="8">
        <v>0</v>
      </c>
      <c r="G913" s="8">
        <v>3</v>
      </c>
      <c r="H913" s="9">
        <v>165</v>
      </c>
    </row>
    <row r="914" spans="1:8" x14ac:dyDescent="0.2">
      <c r="A914" s="2">
        <v>18</v>
      </c>
      <c r="B914" s="3" t="s">
        <v>906</v>
      </c>
      <c r="C914" s="2">
        <v>2</v>
      </c>
      <c r="D914" s="4">
        <v>5</v>
      </c>
      <c r="E914" s="4">
        <v>2</v>
      </c>
      <c r="F914" s="4">
        <v>0</v>
      </c>
      <c r="G914" s="4">
        <v>7</v>
      </c>
      <c r="H914" s="5">
        <v>385</v>
      </c>
    </row>
    <row r="915" spans="1:8" x14ac:dyDescent="0.2">
      <c r="A915" s="6">
        <v>18</v>
      </c>
      <c r="B915" s="7" t="s">
        <v>907</v>
      </c>
      <c r="C915" s="6">
        <v>1</v>
      </c>
      <c r="D915" s="8">
        <v>8</v>
      </c>
      <c r="E915" s="8">
        <v>28</v>
      </c>
      <c r="F915" s="8">
        <v>0</v>
      </c>
      <c r="G915" s="8">
        <v>36</v>
      </c>
      <c r="H915" s="9">
        <v>1980</v>
      </c>
    </row>
    <row r="916" spans="1:8" x14ac:dyDescent="0.2">
      <c r="A916" s="2">
        <v>18</v>
      </c>
      <c r="B916" s="3" t="s">
        <v>908</v>
      </c>
      <c r="C916" s="2">
        <v>10</v>
      </c>
      <c r="D916" s="4">
        <v>5.2</v>
      </c>
      <c r="E916" s="4">
        <v>5.8</v>
      </c>
      <c r="F916" s="4">
        <v>1</v>
      </c>
      <c r="G916" s="4">
        <v>12</v>
      </c>
      <c r="H916" s="5">
        <v>660</v>
      </c>
    </row>
    <row r="917" spans="1:8" x14ac:dyDescent="0.2">
      <c r="A917" s="6">
        <v>18</v>
      </c>
      <c r="B917" s="7" t="s">
        <v>909</v>
      </c>
      <c r="C917" s="6">
        <v>6</v>
      </c>
      <c r="D917" s="8">
        <v>4</v>
      </c>
      <c r="E917" s="8">
        <v>2</v>
      </c>
      <c r="F917" s="8">
        <v>0.2</v>
      </c>
      <c r="G917" s="8">
        <v>6.2</v>
      </c>
      <c r="H917" s="9">
        <v>338.8</v>
      </c>
    </row>
    <row r="918" spans="1:8" x14ac:dyDescent="0.2">
      <c r="A918" s="2">
        <v>18</v>
      </c>
      <c r="B918" s="3" t="s">
        <v>910</v>
      </c>
      <c r="C918" s="2">
        <v>2</v>
      </c>
      <c r="D918" s="4">
        <v>4</v>
      </c>
      <c r="E918" s="4">
        <v>7</v>
      </c>
      <c r="F918" s="4">
        <v>0.5</v>
      </c>
      <c r="G918" s="4">
        <v>11.5</v>
      </c>
      <c r="H918" s="5">
        <v>632.5</v>
      </c>
    </row>
    <row r="919" spans="1:8" x14ac:dyDescent="0.2">
      <c r="A919" s="6">
        <v>18</v>
      </c>
      <c r="B919" s="7" t="s">
        <v>911</v>
      </c>
      <c r="C919" s="6">
        <v>1</v>
      </c>
      <c r="D919" s="8">
        <v>0</v>
      </c>
      <c r="E919" s="8">
        <v>2</v>
      </c>
      <c r="F919" s="8">
        <v>0</v>
      </c>
      <c r="G919" s="8">
        <v>2</v>
      </c>
      <c r="H919" s="9">
        <v>110</v>
      </c>
    </row>
    <row r="920" spans="1:8" x14ac:dyDescent="0.2">
      <c r="A920" s="2">
        <v>18</v>
      </c>
      <c r="B920" s="3" t="s">
        <v>912</v>
      </c>
      <c r="C920" s="2">
        <v>7</v>
      </c>
      <c r="D920" s="4">
        <v>12.9</v>
      </c>
      <c r="E920" s="4">
        <v>9.4</v>
      </c>
      <c r="F920" s="4">
        <v>1.3</v>
      </c>
      <c r="G920" s="4">
        <v>23.6</v>
      </c>
      <c r="H920" s="5">
        <v>1295.25</v>
      </c>
    </row>
    <row r="921" spans="1:8" x14ac:dyDescent="0.2">
      <c r="A921" s="6">
        <v>18</v>
      </c>
      <c r="B921" s="7" t="s">
        <v>913</v>
      </c>
      <c r="C921" s="6">
        <v>47</v>
      </c>
      <c r="D921" s="8">
        <v>5.9</v>
      </c>
      <c r="E921" s="8">
        <v>8.8000000000000007</v>
      </c>
      <c r="F921" s="8">
        <v>0.6</v>
      </c>
      <c r="G921" s="8">
        <v>15.3</v>
      </c>
      <c r="H921" s="9">
        <v>839.3</v>
      </c>
    </row>
    <row r="922" spans="1:8" x14ac:dyDescent="0.2">
      <c r="A922" s="2">
        <v>18</v>
      </c>
      <c r="B922" s="3" t="s">
        <v>914</v>
      </c>
      <c r="C922" s="2">
        <v>34</v>
      </c>
      <c r="D922" s="4">
        <v>6</v>
      </c>
      <c r="E922" s="4">
        <v>11.1</v>
      </c>
      <c r="F922" s="4">
        <v>1.1000000000000001</v>
      </c>
      <c r="G922" s="4">
        <v>18.2</v>
      </c>
      <c r="H922" s="5">
        <v>1001.55</v>
      </c>
    </row>
    <row r="923" spans="1:8" x14ac:dyDescent="0.2">
      <c r="A923" s="6">
        <v>18</v>
      </c>
      <c r="B923" s="7" t="s">
        <v>915</v>
      </c>
      <c r="C923" s="6">
        <v>9</v>
      </c>
      <c r="D923" s="8">
        <v>6</v>
      </c>
      <c r="E923" s="8">
        <v>6.2</v>
      </c>
      <c r="F923" s="8">
        <v>0.2</v>
      </c>
      <c r="G923" s="8">
        <v>12.4</v>
      </c>
      <c r="H923" s="9">
        <v>684.2</v>
      </c>
    </row>
    <row r="924" spans="1:8" x14ac:dyDescent="0.2">
      <c r="A924" s="2">
        <v>18</v>
      </c>
      <c r="B924" s="3" t="s">
        <v>916</v>
      </c>
      <c r="C924" s="2">
        <v>0</v>
      </c>
      <c r="D924" s="4">
        <v>0</v>
      </c>
      <c r="E924" s="4">
        <v>0</v>
      </c>
      <c r="F924" s="4">
        <v>0</v>
      </c>
      <c r="G924" s="4">
        <v>0</v>
      </c>
      <c r="H924" s="5">
        <v>0</v>
      </c>
    </row>
    <row r="925" spans="1:8" x14ac:dyDescent="0.2">
      <c r="A925" s="6">
        <v>18</v>
      </c>
      <c r="B925" s="7" t="s">
        <v>917</v>
      </c>
      <c r="C925" s="6">
        <v>16</v>
      </c>
      <c r="D925" s="8">
        <v>4.4000000000000004</v>
      </c>
      <c r="E925" s="8">
        <v>2.2999999999999998</v>
      </c>
      <c r="F925" s="8">
        <v>0.3</v>
      </c>
      <c r="G925" s="8">
        <v>6.9</v>
      </c>
      <c r="H925" s="9">
        <v>381.15</v>
      </c>
    </row>
    <row r="926" spans="1:8" x14ac:dyDescent="0.2">
      <c r="A926" s="2">
        <v>18</v>
      </c>
      <c r="B926" s="3" t="s">
        <v>918</v>
      </c>
      <c r="C926" s="2">
        <v>2480</v>
      </c>
      <c r="D926" s="4">
        <v>4.9000000000000004</v>
      </c>
      <c r="E926" s="4">
        <v>3.1</v>
      </c>
      <c r="F926" s="4">
        <v>0.2</v>
      </c>
      <c r="G926" s="4">
        <v>8.1999999999999993</v>
      </c>
      <c r="H926" s="5">
        <v>450.45</v>
      </c>
    </row>
    <row r="927" spans="1:8" x14ac:dyDescent="0.2">
      <c r="A927" s="6">
        <v>18</v>
      </c>
      <c r="B927" s="7" t="s">
        <v>919</v>
      </c>
      <c r="C927" s="6">
        <v>177</v>
      </c>
      <c r="D927" s="8">
        <v>4.9000000000000004</v>
      </c>
      <c r="E927" s="8">
        <v>3.1</v>
      </c>
      <c r="F927" s="8">
        <v>0.2</v>
      </c>
      <c r="G927" s="8">
        <v>8.1999999999999993</v>
      </c>
      <c r="H927" s="9">
        <v>449.35</v>
      </c>
    </row>
    <row r="928" spans="1:8" x14ac:dyDescent="0.2">
      <c r="A928" s="2">
        <v>18</v>
      </c>
      <c r="B928" s="3" t="s">
        <v>920</v>
      </c>
      <c r="C928" s="2">
        <v>1</v>
      </c>
      <c r="D928" s="4">
        <v>5</v>
      </c>
      <c r="E928" s="4">
        <v>2</v>
      </c>
      <c r="F928" s="4">
        <v>0</v>
      </c>
      <c r="G928" s="4">
        <v>7</v>
      </c>
      <c r="H928" s="5">
        <v>385</v>
      </c>
    </row>
    <row r="929" spans="1:8" x14ac:dyDescent="0.2">
      <c r="A929" s="6">
        <v>18</v>
      </c>
      <c r="B929" s="7" t="s">
        <v>921</v>
      </c>
      <c r="C929" s="6">
        <v>0</v>
      </c>
      <c r="D929" s="8">
        <v>0</v>
      </c>
      <c r="E929" s="8">
        <v>0</v>
      </c>
      <c r="F929" s="8">
        <v>0</v>
      </c>
      <c r="G929" s="8">
        <v>0</v>
      </c>
      <c r="H929" s="9">
        <v>0</v>
      </c>
    </row>
    <row r="930" spans="1:8" x14ac:dyDescent="0.2">
      <c r="A930" s="2">
        <v>18</v>
      </c>
      <c r="B930" s="3" t="s">
        <v>922</v>
      </c>
      <c r="C930" s="2">
        <v>768</v>
      </c>
      <c r="D930" s="4">
        <v>7.9</v>
      </c>
      <c r="E930" s="4">
        <v>7.4</v>
      </c>
      <c r="F930" s="4">
        <v>2.1</v>
      </c>
      <c r="G930" s="4">
        <v>17.399999999999999</v>
      </c>
      <c r="H930" s="5">
        <v>958.65</v>
      </c>
    </row>
    <row r="931" spans="1:8" x14ac:dyDescent="0.2">
      <c r="A931" s="6">
        <v>18</v>
      </c>
      <c r="B931" s="7" t="s">
        <v>923</v>
      </c>
      <c r="C931" s="6">
        <v>238</v>
      </c>
      <c r="D931" s="8">
        <v>7.9</v>
      </c>
      <c r="E931" s="8">
        <v>7.5</v>
      </c>
      <c r="F931" s="8">
        <v>1.4</v>
      </c>
      <c r="G931" s="8">
        <v>16.8</v>
      </c>
      <c r="H931" s="9">
        <v>925.1</v>
      </c>
    </row>
    <row r="932" spans="1:8" x14ac:dyDescent="0.2">
      <c r="A932" s="2">
        <v>18</v>
      </c>
      <c r="B932" s="3" t="s">
        <v>924</v>
      </c>
      <c r="C932" s="2">
        <v>3</v>
      </c>
      <c r="D932" s="4">
        <v>10</v>
      </c>
      <c r="E932" s="4">
        <v>10</v>
      </c>
      <c r="F932" s="4">
        <v>1</v>
      </c>
      <c r="G932" s="4">
        <v>21</v>
      </c>
      <c r="H932" s="5">
        <v>1155</v>
      </c>
    </row>
    <row r="933" spans="1:8" x14ac:dyDescent="0.2">
      <c r="A933" s="6">
        <v>18</v>
      </c>
      <c r="B933" s="7" t="s">
        <v>925</v>
      </c>
      <c r="C933" s="6">
        <v>454</v>
      </c>
      <c r="D933" s="8">
        <v>7.9</v>
      </c>
      <c r="E933" s="8">
        <v>7.7</v>
      </c>
      <c r="F933" s="8">
        <v>1.8</v>
      </c>
      <c r="G933" s="8">
        <v>17.399999999999999</v>
      </c>
      <c r="H933" s="9">
        <v>957</v>
      </c>
    </row>
    <row r="934" spans="1:8" x14ac:dyDescent="0.2">
      <c r="A934" s="2">
        <v>19</v>
      </c>
      <c r="B934" s="3" t="s">
        <v>926</v>
      </c>
      <c r="C934" s="2">
        <v>10</v>
      </c>
      <c r="D934" s="4">
        <v>8</v>
      </c>
      <c r="E934" s="4">
        <v>12.3</v>
      </c>
      <c r="F934" s="4">
        <v>2.4</v>
      </c>
      <c r="G934" s="4">
        <v>22.7</v>
      </c>
      <c r="H934" s="5">
        <v>1248.5</v>
      </c>
    </row>
    <row r="935" spans="1:8" x14ac:dyDescent="0.2">
      <c r="A935" s="6">
        <v>19</v>
      </c>
      <c r="B935" s="7" t="s">
        <v>927</v>
      </c>
      <c r="C935" s="6">
        <v>38</v>
      </c>
      <c r="D935" s="8">
        <v>8.1</v>
      </c>
      <c r="E935" s="8">
        <v>10.3</v>
      </c>
      <c r="F935" s="8">
        <v>1.9</v>
      </c>
      <c r="G935" s="8">
        <v>20.3</v>
      </c>
      <c r="H935" s="9">
        <v>1115.4000000000001</v>
      </c>
    </row>
    <row r="936" spans="1:8" x14ac:dyDescent="0.2">
      <c r="A936" s="2">
        <v>19</v>
      </c>
      <c r="B936" s="3" t="s">
        <v>928</v>
      </c>
      <c r="C936" s="2">
        <v>52</v>
      </c>
      <c r="D936" s="4">
        <v>8</v>
      </c>
      <c r="E936" s="4">
        <v>7.8</v>
      </c>
      <c r="F936" s="4">
        <v>0.5</v>
      </c>
      <c r="G936" s="4">
        <v>16.3</v>
      </c>
      <c r="H936" s="5">
        <v>894.85</v>
      </c>
    </row>
    <row r="937" spans="1:8" x14ac:dyDescent="0.2">
      <c r="A937" s="6">
        <v>19</v>
      </c>
      <c r="B937" s="7" t="s">
        <v>929</v>
      </c>
      <c r="C937" s="6">
        <v>1</v>
      </c>
      <c r="D937" s="8">
        <v>8</v>
      </c>
      <c r="E937" s="8">
        <v>13</v>
      </c>
      <c r="F937" s="8">
        <v>2</v>
      </c>
      <c r="G937" s="8">
        <v>23</v>
      </c>
      <c r="H937" s="9">
        <v>1265</v>
      </c>
    </row>
    <row r="938" spans="1:8" x14ac:dyDescent="0.2">
      <c r="A938" s="2">
        <v>19</v>
      </c>
      <c r="B938" s="3" t="s">
        <v>930</v>
      </c>
      <c r="C938" s="2">
        <v>1</v>
      </c>
      <c r="D938" s="4">
        <v>6</v>
      </c>
      <c r="E938" s="4">
        <v>5</v>
      </c>
      <c r="F938" s="4">
        <v>4</v>
      </c>
      <c r="G938" s="4">
        <v>15</v>
      </c>
      <c r="H938" s="5">
        <v>825</v>
      </c>
    </row>
    <row r="939" spans="1:8" x14ac:dyDescent="0.2">
      <c r="A939" s="6">
        <v>19</v>
      </c>
      <c r="B939" s="7" t="s">
        <v>931</v>
      </c>
      <c r="C939" s="6">
        <v>179</v>
      </c>
      <c r="D939" s="8">
        <v>6.1</v>
      </c>
      <c r="E939" s="8">
        <v>11.9</v>
      </c>
      <c r="F939" s="8">
        <v>0.8</v>
      </c>
      <c r="G939" s="8">
        <v>18.7</v>
      </c>
      <c r="H939" s="9">
        <v>1028.5</v>
      </c>
    </row>
    <row r="940" spans="1:8" x14ac:dyDescent="0.2">
      <c r="A940" s="2">
        <v>19</v>
      </c>
      <c r="B940" s="3" t="s">
        <v>932</v>
      </c>
      <c r="C940" s="2">
        <v>60</v>
      </c>
      <c r="D940" s="4">
        <v>5</v>
      </c>
      <c r="E940" s="4">
        <v>5.6</v>
      </c>
      <c r="F940" s="4">
        <v>1.6</v>
      </c>
      <c r="G940" s="4">
        <v>12.1</v>
      </c>
      <c r="H940" s="5">
        <v>666.05</v>
      </c>
    </row>
    <row r="941" spans="1:8" x14ac:dyDescent="0.2">
      <c r="A941" s="6">
        <v>19</v>
      </c>
      <c r="B941" s="7" t="s">
        <v>933</v>
      </c>
      <c r="C941" s="6">
        <v>556</v>
      </c>
      <c r="D941" s="8">
        <v>4.0999999999999996</v>
      </c>
      <c r="E941" s="8">
        <v>2.5</v>
      </c>
      <c r="F941" s="8">
        <v>0.6</v>
      </c>
      <c r="G941" s="8">
        <v>7.2</v>
      </c>
      <c r="H941" s="9">
        <v>395.45</v>
      </c>
    </row>
    <row r="942" spans="1:8" x14ac:dyDescent="0.2">
      <c r="A942" s="2">
        <v>19</v>
      </c>
      <c r="B942" s="3" t="s">
        <v>934</v>
      </c>
      <c r="C942" s="2">
        <v>11</v>
      </c>
      <c r="D942" s="4">
        <v>4.0999999999999996</v>
      </c>
      <c r="E942" s="4">
        <v>2.6</v>
      </c>
      <c r="F942" s="4">
        <v>0.8</v>
      </c>
      <c r="G942" s="4">
        <v>7.5</v>
      </c>
      <c r="H942" s="5">
        <v>414.15</v>
      </c>
    </row>
    <row r="943" spans="1:8" x14ac:dyDescent="0.2">
      <c r="A943" s="6">
        <v>19</v>
      </c>
      <c r="B943" s="7" t="s">
        <v>935</v>
      </c>
      <c r="C943" s="6">
        <v>33</v>
      </c>
      <c r="D943" s="8">
        <v>5.7</v>
      </c>
      <c r="E943" s="8">
        <v>4.4000000000000004</v>
      </c>
      <c r="F943" s="8">
        <v>1.2</v>
      </c>
      <c r="G943" s="8">
        <v>11.4</v>
      </c>
      <c r="H943" s="9">
        <v>624.25</v>
      </c>
    </row>
    <row r="944" spans="1:8" x14ac:dyDescent="0.2">
      <c r="A944" s="2">
        <v>19</v>
      </c>
      <c r="B944" s="3" t="s">
        <v>936</v>
      </c>
      <c r="C944" s="2">
        <v>110</v>
      </c>
      <c r="D944" s="4">
        <v>6</v>
      </c>
      <c r="E944" s="4">
        <v>4.0999999999999996</v>
      </c>
      <c r="F944" s="4">
        <v>1.1000000000000001</v>
      </c>
      <c r="G944" s="4">
        <v>11.2</v>
      </c>
      <c r="H944" s="5">
        <v>613.79999999999995</v>
      </c>
    </row>
    <row r="945" spans="1:8" x14ac:dyDescent="0.2">
      <c r="A945" s="6">
        <v>19</v>
      </c>
      <c r="B945" s="7" t="s">
        <v>937</v>
      </c>
      <c r="C945" s="6">
        <v>5</v>
      </c>
      <c r="D945" s="8">
        <v>5</v>
      </c>
      <c r="E945" s="8">
        <v>2.8</v>
      </c>
      <c r="F945" s="8">
        <v>1.8</v>
      </c>
      <c r="G945" s="8">
        <v>9.6</v>
      </c>
      <c r="H945" s="9">
        <v>528</v>
      </c>
    </row>
    <row r="946" spans="1:8" x14ac:dyDescent="0.2">
      <c r="A946" s="2">
        <v>19</v>
      </c>
      <c r="B946" s="3" t="s">
        <v>938</v>
      </c>
      <c r="C946" s="2">
        <v>64</v>
      </c>
      <c r="D946" s="4">
        <v>5.0999999999999996</v>
      </c>
      <c r="E946" s="4">
        <v>3.4</v>
      </c>
      <c r="F946" s="4">
        <v>0.3</v>
      </c>
      <c r="G946" s="4">
        <v>8.8000000000000007</v>
      </c>
      <c r="H946" s="5">
        <v>482.9</v>
      </c>
    </row>
    <row r="947" spans="1:8" x14ac:dyDescent="0.2">
      <c r="A947" s="6">
        <v>19</v>
      </c>
      <c r="B947" s="7" t="s">
        <v>939</v>
      </c>
      <c r="C947" s="6">
        <v>317</v>
      </c>
      <c r="D947" s="8">
        <v>4.5</v>
      </c>
      <c r="E947" s="8">
        <v>2.9</v>
      </c>
      <c r="F947" s="8">
        <v>1.4</v>
      </c>
      <c r="G947" s="8">
        <v>8.8000000000000007</v>
      </c>
      <c r="H947" s="9">
        <v>485.65</v>
      </c>
    </row>
    <row r="948" spans="1:8" x14ac:dyDescent="0.2">
      <c r="A948" s="2">
        <v>19</v>
      </c>
      <c r="B948" s="3" t="s">
        <v>940</v>
      </c>
      <c r="C948" s="2">
        <v>3</v>
      </c>
      <c r="D948" s="4">
        <v>4.7</v>
      </c>
      <c r="E948" s="4">
        <v>3</v>
      </c>
      <c r="F948" s="4">
        <v>2.2999999999999998</v>
      </c>
      <c r="G948" s="4">
        <v>10</v>
      </c>
      <c r="H948" s="5">
        <v>549.45000000000005</v>
      </c>
    </row>
    <row r="949" spans="1:8" x14ac:dyDescent="0.2">
      <c r="A949" s="6">
        <v>19</v>
      </c>
      <c r="B949" s="7" t="s">
        <v>941</v>
      </c>
      <c r="C949" s="6">
        <v>1106</v>
      </c>
      <c r="D949" s="8">
        <v>5.9</v>
      </c>
      <c r="E949" s="8">
        <v>4</v>
      </c>
      <c r="F949" s="8">
        <v>1.2</v>
      </c>
      <c r="G949" s="8">
        <v>11.1</v>
      </c>
      <c r="H949" s="9">
        <v>609.4</v>
      </c>
    </row>
    <row r="950" spans="1:8" x14ac:dyDescent="0.2">
      <c r="A950" s="2">
        <v>19</v>
      </c>
      <c r="B950" s="3" t="s">
        <v>942</v>
      </c>
      <c r="C950" s="2">
        <v>14</v>
      </c>
      <c r="D950" s="4">
        <v>4.8</v>
      </c>
      <c r="E950" s="4">
        <v>4.5999999999999996</v>
      </c>
      <c r="F950" s="4">
        <v>0.2</v>
      </c>
      <c r="G950" s="4">
        <v>9.6</v>
      </c>
      <c r="H950" s="5">
        <v>529.65</v>
      </c>
    </row>
    <row r="951" spans="1:8" x14ac:dyDescent="0.2">
      <c r="A951" s="6">
        <v>19</v>
      </c>
      <c r="B951" s="7" t="s">
        <v>943</v>
      </c>
      <c r="C951" s="6">
        <v>75</v>
      </c>
      <c r="D951" s="8">
        <v>4.7</v>
      </c>
      <c r="E951" s="8">
        <v>3.9</v>
      </c>
      <c r="F951" s="8">
        <v>0.7</v>
      </c>
      <c r="G951" s="8">
        <v>9.3000000000000007</v>
      </c>
      <c r="H951" s="9">
        <v>508.75</v>
      </c>
    </row>
    <row r="952" spans="1:8" x14ac:dyDescent="0.2">
      <c r="A952" s="2">
        <v>19</v>
      </c>
      <c r="B952" s="3" t="s">
        <v>944</v>
      </c>
      <c r="C952" s="2">
        <v>0</v>
      </c>
      <c r="D952" s="4">
        <v>0</v>
      </c>
      <c r="E952" s="4">
        <v>0</v>
      </c>
      <c r="F952" s="4">
        <v>0</v>
      </c>
      <c r="G952" s="4">
        <v>0</v>
      </c>
      <c r="H952" s="5">
        <v>0</v>
      </c>
    </row>
    <row r="953" spans="1:8" x14ac:dyDescent="0.2">
      <c r="A953" s="6">
        <v>19</v>
      </c>
      <c r="B953" s="7" t="s">
        <v>945</v>
      </c>
      <c r="C953" s="6">
        <v>43</v>
      </c>
      <c r="D953" s="8">
        <v>5.6</v>
      </c>
      <c r="E953" s="8">
        <v>6.3</v>
      </c>
      <c r="F953" s="8">
        <v>0.5</v>
      </c>
      <c r="G953" s="8">
        <v>12.3</v>
      </c>
      <c r="H953" s="9">
        <v>678.7</v>
      </c>
    </row>
    <row r="954" spans="1:8" x14ac:dyDescent="0.2">
      <c r="A954" s="2">
        <v>19</v>
      </c>
      <c r="B954" s="3" t="s">
        <v>946</v>
      </c>
      <c r="C954" s="2">
        <v>8</v>
      </c>
      <c r="D954" s="4">
        <v>3</v>
      </c>
      <c r="E954" s="4">
        <v>4.5999999999999996</v>
      </c>
      <c r="F954" s="4">
        <v>0.4</v>
      </c>
      <c r="G954" s="4">
        <v>8</v>
      </c>
      <c r="H954" s="5">
        <v>442.2</v>
      </c>
    </row>
    <row r="955" spans="1:8" x14ac:dyDescent="0.2">
      <c r="A955" s="6">
        <v>19</v>
      </c>
      <c r="B955" s="7" t="s">
        <v>947</v>
      </c>
      <c r="C955" s="6">
        <v>1</v>
      </c>
      <c r="D955" s="8">
        <v>5</v>
      </c>
      <c r="E955" s="8">
        <v>3</v>
      </c>
      <c r="F955" s="8">
        <v>0</v>
      </c>
      <c r="G955" s="8">
        <v>8</v>
      </c>
      <c r="H955" s="9">
        <v>440</v>
      </c>
    </row>
    <row r="956" spans="1:8" x14ac:dyDescent="0.2">
      <c r="A956" s="2">
        <v>19</v>
      </c>
      <c r="B956" s="3" t="s">
        <v>948</v>
      </c>
      <c r="C956" s="2">
        <v>557</v>
      </c>
      <c r="D956" s="4">
        <v>4.5999999999999996</v>
      </c>
      <c r="E956" s="4">
        <v>3.6</v>
      </c>
      <c r="F956" s="4">
        <v>0.6</v>
      </c>
      <c r="G956" s="4">
        <v>8.8000000000000007</v>
      </c>
      <c r="H956" s="5">
        <v>481.25</v>
      </c>
    </row>
    <row r="957" spans="1:8" x14ac:dyDescent="0.2">
      <c r="A957" s="6">
        <v>19</v>
      </c>
      <c r="B957" s="7" t="s">
        <v>949</v>
      </c>
      <c r="C957" s="6">
        <v>2</v>
      </c>
      <c r="D957" s="8">
        <v>5</v>
      </c>
      <c r="E957" s="8">
        <v>3.5</v>
      </c>
      <c r="F957" s="8">
        <v>0</v>
      </c>
      <c r="G957" s="8">
        <v>8.5</v>
      </c>
      <c r="H957" s="9">
        <v>467.5</v>
      </c>
    </row>
    <row r="958" spans="1:8" x14ac:dyDescent="0.2">
      <c r="A958" s="2">
        <v>19</v>
      </c>
      <c r="B958" s="3" t="s">
        <v>950</v>
      </c>
      <c r="C958" s="2">
        <v>8</v>
      </c>
      <c r="D958" s="4">
        <v>4</v>
      </c>
      <c r="E958" s="4">
        <v>4.3</v>
      </c>
      <c r="F958" s="4">
        <v>0.5</v>
      </c>
      <c r="G958" s="4">
        <v>8.8000000000000007</v>
      </c>
      <c r="H958" s="5">
        <v>481.25</v>
      </c>
    </row>
    <row r="959" spans="1:8" x14ac:dyDescent="0.2">
      <c r="A959" s="6">
        <v>19</v>
      </c>
      <c r="B959" s="7" t="s">
        <v>951</v>
      </c>
      <c r="C959" s="6">
        <v>0</v>
      </c>
      <c r="D959" s="8">
        <v>0</v>
      </c>
      <c r="E959" s="8">
        <v>0</v>
      </c>
      <c r="F959" s="8">
        <v>0</v>
      </c>
      <c r="G959" s="8">
        <v>0</v>
      </c>
      <c r="H959" s="9">
        <v>0</v>
      </c>
    </row>
    <row r="960" spans="1:8" x14ac:dyDescent="0.2">
      <c r="A960" s="2">
        <v>19</v>
      </c>
      <c r="B960" s="3" t="s">
        <v>952</v>
      </c>
      <c r="C960" s="2">
        <v>1</v>
      </c>
      <c r="D960" s="4">
        <v>9</v>
      </c>
      <c r="E960" s="4">
        <v>9</v>
      </c>
      <c r="F960" s="4">
        <v>1</v>
      </c>
      <c r="G960" s="4">
        <v>19</v>
      </c>
      <c r="H960" s="5">
        <v>1045</v>
      </c>
    </row>
    <row r="961" spans="1:8" x14ac:dyDescent="0.2">
      <c r="A961" s="6">
        <v>19</v>
      </c>
      <c r="B961" s="7" t="s">
        <v>953</v>
      </c>
      <c r="C961" s="6">
        <v>21</v>
      </c>
      <c r="D961" s="8">
        <v>4.8</v>
      </c>
      <c r="E961" s="8">
        <v>4.4000000000000004</v>
      </c>
      <c r="F961" s="8">
        <v>0.9</v>
      </c>
      <c r="G961" s="8">
        <v>10</v>
      </c>
      <c r="H961" s="9">
        <v>552.20000000000005</v>
      </c>
    </row>
    <row r="962" spans="1:8" x14ac:dyDescent="0.2">
      <c r="A962" s="2">
        <v>19</v>
      </c>
      <c r="B962" s="3" t="s">
        <v>954</v>
      </c>
      <c r="C962" s="2">
        <v>44</v>
      </c>
      <c r="D962" s="4">
        <v>4.7</v>
      </c>
      <c r="E962" s="4">
        <v>4.2</v>
      </c>
      <c r="F962" s="4">
        <v>0.7</v>
      </c>
      <c r="G962" s="4">
        <v>9.6</v>
      </c>
      <c r="H962" s="5">
        <v>525.25</v>
      </c>
    </row>
    <row r="963" spans="1:8" x14ac:dyDescent="0.2">
      <c r="A963" s="6">
        <v>19</v>
      </c>
      <c r="B963" s="7" t="s">
        <v>955</v>
      </c>
      <c r="C963" s="6">
        <v>23</v>
      </c>
      <c r="D963" s="8">
        <v>5.3</v>
      </c>
      <c r="E963" s="8">
        <v>6.7</v>
      </c>
      <c r="F963" s="8">
        <v>0.9</v>
      </c>
      <c r="G963" s="8">
        <v>13</v>
      </c>
      <c r="H963" s="9">
        <v>713.9</v>
      </c>
    </row>
    <row r="964" spans="1:8" x14ac:dyDescent="0.2">
      <c r="A964" s="2">
        <v>19</v>
      </c>
      <c r="B964" s="3" t="s">
        <v>956</v>
      </c>
      <c r="C964" s="2">
        <v>10</v>
      </c>
      <c r="D964" s="4">
        <v>4.3</v>
      </c>
      <c r="E964" s="4">
        <v>2.5</v>
      </c>
      <c r="F964" s="4">
        <v>1.4</v>
      </c>
      <c r="G964" s="4">
        <v>8.1999999999999993</v>
      </c>
      <c r="H964" s="5">
        <v>451</v>
      </c>
    </row>
    <row r="965" spans="1:8" x14ac:dyDescent="0.2">
      <c r="A965" s="6">
        <v>19</v>
      </c>
      <c r="B965" s="7" t="s">
        <v>957</v>
      </c>
      <c r="C965" s="6">
        <v>1</v>
      </c>
      <c r="D965" s="8">
        <v>0</v>
      </c>
      <c r="E965" s="8">
        <v>1</v>
      </c>
      <c r="F965" s="8">
        <v>0</v>
      </c>
      <c r="G965" s="8">
        <v>1</v>
      </c>
      <c r="H965" s="9">
        <v>55</v>
      </c>
    </row>
    <row r="966" spans="1:8" x14ac:dyDescent="0.2">
      <c r="A966" s="2">
        <v>19</v>
      </c>
      <c r="B966" s="3" t="s">
        <v>958</v>
      </c>
      <c r="C966" s="2">
        <v>11</v>
      </c>
      <c r="D966" s="4">
        <v>5.2</v>
      </c>
      <c r="E966" s="4">
        <v>5.6</v>
      </c>
      <c r="F966" s="4">
        <v>0.3</v>
      </c>
      <c r="G966" s="4">
        <v>11.1</v>
      </c>
      <c r="H966" s="5">
        <v>609.4</v>
      </c>
    </row>
    <row r="967" spans="1:8" x14ac:dyDescent="0.2">
      <c r="A967" s="6">
        <v>19</v>
      </c>
      <c r="B967" s="7" t="s">
        <v>959</v>
      </c>
      <c r="C967" s="6">
        <v>6</v>
      </c>
      <c r="D967" s="8">
        <v>4.3</v>
      </c>
      <c r="E967" s="8">
        <v>2.7</v>
      </c>
      <c r="F967" s="8">
        <v>0</v>
      </c>
      <c r="G967" s="8">
        <v>7</v>
      </c>
      <c r="H967" s="9">
        <v>385</v>
      </c>
    </row>
    <row r="968" spans="1:8" x14ac:dyDescent="0.2">
      <c r="A968" s="2">
        <v>19</v>
      </c>
      <c r="B968" s="3" t="s">
        <v>960</v>
      </c>
      <c r="C968" s="2">
        <v>63</v>
      </c>
      <c r="D968" s="4">
        <v>6</v>
      </c>
      <c r="E968" s="4">
        <v>6.3</v>
      </c>
      <c r="F968" s="4">
        <v>0.5</v>
      </c>
      <c r="G968" s="4">
        <v>12.8</v>
      </c>
      <c r="H968" s="5">
        <v>704.55</v>
      </c>
    </row>
    <row r="969" spans="1:8" x14ac:dyDescent="0.2">
      <c r="A969" s="6">
        <v>19</v>
      </c>
      <c r="B969" s="7" t="s">
        <v>961</v>
      </c>
      <c r="C969" s="6">
        <v>288</v>
      </c>
      <c r="D969" s="8">
        <v>4</v>
      </c>
      <c r="E969" s="8">
        <v>5.7</v>
      </c>
      <c r="F969" s="8">
        <v>0.9</v>
      </c>
      <c r="G969" s="8">
        <v>10.6</v>
      </c>
      <c r="H969" s="9">
        <v>581.35</v>
      </c>
    </row>
    <row r="970" spans="1:8" x14ac:dyDescent="0.2">
      <c r="A970" s="2">
        <v>19</v>
      </c>
      <c r="B970" s="3" t="s">
        <v>962</v>
      </c>
      <c r="C970" s="2">
        <v>26</v>
      </c>
      <c r="D970" s="4">
        <v>2.4</v>
      </c>
      <c r="E970" s="4">
        <v>2.1</v>
      </c>
      <c r="F970" s="4">
        <v>0</v>
      </c>
      <c r="G970" s="4">
        <v>4.5</v>
      </c>
      <c r="H970" s="5">
        <v>248.6</v>
      </c>
    </row>
    <row r="971" spans="1:8" x14ac:dyDescent="0.2">
      <c r="A971" s="6">
        <v>19</v>
      </c>
      <c r="B971" s="7" t="s">
        <v>963</v>
      </c>
      <c r="C971" s="6">
        <v>56</v>
      </c>
      <c r="D971" s="8">
        <v>4.7</v>
      </c>
      <c r="E971" s="8">
        <v>10.5</v>
      </c>
      <c r="F971" s="8">
        <v>0.2</v>
      </c>
      <c r="G971" s="8">
        <v>15.3</v>
      </c>
      <c r="H971" s="9">
        <v>843.7</v>
      </c>
    </row>
    <row r="972" spans="1:8" x14ac:dyDescent="0.2">
      <c r="A972" s="2">
        <v>19</v>
      </c>
      <c r="B972" s="3" t="s">
        <v>964</v>
      </c>
      <c r="C972" s="2">
        <v>14</v>
      </c>
      <c r="D972" s="4">
        <v>4</v>
      </c>
      <c r="E972" s="4">
        <v>1.4</v>
      </c>
      <c r="F972" s="4">
        <v>0.1</v>
      </c>
      <c r="G972" s="4">
        <v>5.5</v>
      </c>
      <c r="H972" s="5">
        <v>301.95</v>
      </c>
    </row>
    <row r="973" spans="1:8" x14ac:dyDescent="0.2">
      <c r="A973" s="6">
        <v>19</v>
      </c>
      <c r="B973" s="7" t="s">
        <v>965</v>
      </c>
      <c r="C973" s="6">
        <v>14</v>
      </c>
      <c r="D973" s="8">
        <v>4.8</v>
      </c>
      <c r="E973" s="8">
        <v>6</v>
      </c>
      <c r="F973" s="8">
        <v>0.6</v>
      </c>
      <c r="G973" s="8">
        <v>11.4</v>
      </c>
      <c r="H973" s="9">
        <v>624.25</v>
      </c>
    </row>
    <row r="974" spans="1:8" x14ac:dyDescent="0.2">
      <c r="A974" s="2">
        <v>19</v>
      </c>
      <c r="B974" s="3" t="s">
        <v>966</v>
      </c>
      <c r="C974" s="2">
        <v>515</v>
      </c>
      <c r="D974" s="4">
        <v>3.9</v>
      </c>
      <c r="E974" s="4">
        <v>4</v>
      </c>
      <c r="F974" s="4">
        <v>0.8</v>
      </c>
      <c r="G974" s="4">
        <v>8.6999999999999993</v>
      </c>
      <c r="H974" s="5">
        <v>477.95</v>
      </c>
    </row>
    <row r="975" spans="1:8" x14ac:dyDescent="0.2">
      <c r="A975" s="6">
        <v>19</v>
      </c>
      <c r="B975" s="7" t="s">
        <v>967</v>
      </c>
      <c r="C975" s="6">
        <v>68</v>
      </c>
      <c r="D975" s="8">
        <v>3.6</v>
      </c>
      <c r="E975" s="8">
        <v>3.7</v>
      </c>
      <c r="F975" s="8">
        <v>0.5</v>
      </c>
      <c r="G975" s="8">
        <v>7.8</v>
      </c>
      <c r="H975" s="9">
        <v>427.35</v>
      </c>
    </row>
    <row r="976" spans="1:8" x14ac:dyDescent="0.2">
      <c r="A976" s="2">
        <v>19</v>
      </c>
      <c r="B976" s="3" t="s">
        <v>968</v>
      </c>
      <c r="C976" s="2">
        <v>57</v>
      </c>
      <c r="D976" s="4">
        <v>3.2</v>
      </c>
      <c r="E976" s="4">
        <v>3.8</v>
      </c>
      <c r="F976" s="4">
        <v>0.6</v>
      </c>
      <c r="G976" s="4">
        <v>7.7</v>
      </c>
      <c r="H976" s="5">
        <v>421.3</v>
      </c>
    </row>
    <row r="977" spans="1:8" x14ac:dyDescent="0.2">
      <c r="A977" s="6">
        <v>19</v>
      </c>
      <c r="B977" s="7" t="s">
        <v>969</v>
      </c>
      <c r="C977" s="6">
        <v>1</v>
      </c>
      <c r="D977" s="8">
        <v>4</v>
      </c>
      <c r="E977" s="8">
        <v>5</v>
      </c>
      <c r="F977" s="8">
        <v>1</v>
      </c>
      <c r="G977" s="8">
        <v>10</v>
      </c>
      <c r="H977" s="9">
        <v>550</v>
      </c>
    </row>
    <row r="978" spans="1:8" x14ac:dyDescent="0.2">
      <c r="A978" s="2">
        <v>19</v>
      </c>
      <c r="B978" s="3" t="s">
        <v>970</v>
      </c>
      <c r="C978" s="2">
        <v>0</v>
      </c>
      <c r="D978" s="4">
        <v>0</v>
      </c>
      <c r="E978" s="4">
        <v>0</v>
      </c>
      <c r="F978" s="4">
        <v>0</v>
      </c>
      <c r="G978" s="4">
        <v>0</v>
      </c>
      <c r="H978" s="5">
        <v>0</v>
      </c>
    </row>
    <row r="979" spans="1:8" x14ac:dyDescent="0.2">
      <c r="A979" s="6">
        <v>19</v>
      </c>
      <c r="B979" s="7" t="s">
        <v>971</v>
      </c>
      <c r="C979" s="6">
        <v>27</v>
      </c>
      <c r="D979" s="8">
        <v>1.2</v>
      </c>
      <c r="E979" s="8">
        <v>0.6</v>
      </c>
      <c r="F979" s="8">
        <v>0.6</v>
      </c>
      <c r="G979" s="8">
        <v>2.5</v>
      </c>
      <c r="H979" s="9">
        <v>135.30000000000001</v>
      </c>
    </row>
    <row r="980" spans="1:8" x14ac:dyDescent="0.2">
      <c r="A980" s="2">
        <v>19</v>
      </c>
      <c r="B980" s="3" t="s">
        <v>972</v>
      </c>
      <c r="C980" s="2">
        <v>35</v>
      </c>
      <c r="D980" s="4">
        <v>2.2000000000000002</v>
      </c>
      <c r="E980" s="4">
        <v>1</v>
      </c>
      <c r="F980" s="4">
        <v>0.6</v>
      </c>
      <c r="G980" s="4">
        <v>3.8</v>
      </c>
      <c r="H980" s="5">
        <v>207.35</v>
      </c>
    </row>
    <row r="981" spans="1:8" x14ac:dyDescent="0.2">
      <c r="A981" s="6">
        <v>19</v>
      </c>
      <c r="B981" s="7" t="s">
        <v>973</v>
      </c>
      <c r="C981" s="6">
        <v>1</v>
      </c>
      <c r="D981" s="8">
        <v>0</v>
      </c>
      <c r="E981" s="8">
        <v>0</v>
      </c>
      <c r="F981" s="8">
        <v>0</v>
      </c>
      <c r="G981" s="8">
        <v>0</v>
      </c>
      <c r="H981" s="9">
        <v>0</v>
      </c>
    </row>
    <row r="982" spans="1:8" x14ac:dyDescent="0.2">
      <c r="A982" s="2">
        <v>19</v>
      </c>
      <c r="B982" s="3" t="s">
        <v>974</v>
      </c>
      <c r="C982" s="2">
        <v>0</v>
      </c>
      <c r="D982" s="4">
        <v>0</v>
      </c>
      <c r="E982" s="4">
        <v>0</v>
      </c>
      <c r="F982" s="4">
        <v>0</v>
      </c>
      <c r="G982" s="4">
        <v>0</v>
      </c>
      <c r="H982" s="5">
        <v>0</v>
      </c>
    </row>
  </sheetData>
  <autoFilter ref="A1:H982" xr:uid="{00000000-0009-0000-0000-000000000000}"/>
  <pageMargins left="0.75" right="0.75" top="1" bottom="1" header="0.5" footer="0.5"/>
  <pageSetup fitToHeight="0" orientation="landscape"/>
  <headerFooter>
    <oddFooter>&amp;CAnaesthesia Associates – Operation Listing&amp;RPage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651C5-1AA0-104F-B905-A04C6F9019B8}">
  <sheetPr>
    <tabColor theme="6"/>
  </sheetPr>
  <dimension ref="A1:H152"/>
  <sheetViews>
    <sheetView workbookViewId="0">
      <pane ySplit="4" topLeftCell="A5" activePane="bottomLeft" state="frozen"/>
      <selection activeCell="K58" sqref="K58"/>
      <selection pane="bottomLeft" activeCell="M47" sqref="M47"/>
    </sheetView>
  </sheetViews>
  <sheetFormatPr baseColWidth="10" defaultRowHeight="15" x14ac:dyDescent="0.2"/>
  <cols>
    <col min="1" max="1" width="6.6640625" customWidth="1"/>
    <col min="2" max="2" width="28.33203125" customWidth="1"/>
    <col min="3" max="3" width="20" customWidth="1"/>
    <col min="4" max="4" width="13.33203125" customWidth="1"/>
    <col min="5" max="5" width="70" customWidth="1"/>
    <col min="6" max="6" width="13.33203125" customWidth="1"/>
    <col min="7" max="7" width="12.5" customWidth="1"/>
    <col min="8" max="8" width="60" customWidth="1"/>
  </cols>
  <sheetData>
    <row r="1" spans="1:8" ht="19" x14ac:dyDescent="0.25">
      <c r="A1" s="58" t="s">
        <v>2141</v>
      </c>
    </row>
    <row r="2" spans="1:8" x14ac:dyDescent="0.2">
      <c r="A2" s="59" t="s">
        <v>2142</v>
      </c>
    </row>
    <row r="4" spans="1:8" x14ac:dyDescent="0.2">
      <c r="A4" s="16" t="s">
        <v>2143</v>
      </c>
      <c r="B4" s="16" t="s">
        <v>2144</v>
      </c>
      <c r="C4" s="16" t="s">
        <v>2145</v>
      </c>
      <c r="D4" s="16" t="s">
        <v>2146</v>
      </c>
      <c r="E4" s="16" t="s">
        <v>2147</v>
      </c>
      <c r="F4" s="16" t="s">
        <v>2148</v>
      </c>
      <c r="G4" s="16" t="s">
        <v>2149</v>
      </c>
      <c r="H4" s="16" t="s">
        <v>2150</v>
      </c>
    </row>
    <row r="5" spans="1:8" ht="16" x14ac:dyDescent="0.2">
      <c r="A5" s="63">
        <v>7</v>
      </c>
      <c r="B5" s="60" t="s">
        <v>2151</v>
      </c>
      <c r="C5" s="60"/>
      <c r="D5" s="60" t="s">
        <v>2152</v>
      </c>
      <c r="E5" s="61" t="s">
        <v>2153</v>
      </c>
      <c r="F5" s="64" t="s">
        <v>2154</v>
      </c>
      <c r="G5" s="60" t="s">
        <v>2155</v>
      </c>
      <c r="H5" s="18"/>
    </row>
    <row r="6" spans="1:8" ht="16" x14ac:dyDescent="0.2">
      <c r="A6" s="63">
        <v>7</v>
      </c>
      <c r="B6" s="60" t="s">
        <v>2156</v>
      </c>
      <c r="C6" s="60"/>
      <c r="D6" s="60" t="s">
        <v>2157</v>
      </c>
      <c r="E6" s="61" t="s">
        <v>2158</v>
      </c>
      <c r="F6" s="64" t="s">
        <v>2154</v>
      </c>
      <c r="G6" s="60" t="s">
        <v>2155</v>
      </c>
      <c r="H6" s="18"/>
    </row>
    <row r="7" spans="1:8" ht="32" x14ac:dyDescent="0.2">
      <c r="A7" s="63">
        <v>7</v>
      </c>
      <c r="B7" s="60" t="s">
        <v>2156</v>
      </c>
      <c r="C7" s="60"/>
      <c r="D7" s="60" t="s">
        <v>2159</v>
      </c>
      <c r="E7" s="61" t="s">
        <v>2160</v>
      </c>
      <c r="F7" s="64" t="s">
        <v>2161</v>
      </c>
      <c r="G7" s="60" t="s">
        <v>2155</v>
      </c>
      <c r="H7" s="18"/>
    </row>
    <row r="8" spans="1:8" ht="32" x14ac:dyDescent="0.2">
      <c r="A8" s="63">
        <v>7</v>
      </c>
      <c r="B8" s="60" t="s">
        <v>2156</v>
      </c>
      <c r="C8" s="60"/>
      <c r="D8" s="60" t="s">
        <v>2162</v>
      </c>
      <c r="E8" s="61" t="s">
        <v>2163</v>
      </c>
      <c r="F8" s="64" t="s">
        <v>2164</v>
      </c>
      <c r="G8" s="60" t="s">
        <v>2155</v>
      </c>
      <c r="H8" s="18"/>
    </row>
    <row r="9" spans="1:8" ht="32" x14ac:dyDescent="0.2">
      <c r="A9" s="63">
        <v>7</v>
      </c>
      <c r="B9" s="60" t="s">
        <v>2156</v>
      </c>
      <c r="C9" s="60"/>
      <c r="D9" s="60" t="s">
        <v>2165</v>
      </c>
      <c r="E9" s="61" t="s">
        <v>2166</v>
      </c>
      <c r="F9" s="64" t="s">
        <v>2167</v>
      </c>
      <c r="G9" s="60" t="s">
        <v>2155</v>
      </c>
      <c r="H9" s="18" t="s">
        <v>2168</v>
      </c>
    </row>
    <row r="10" spans="1:8" ht="16" x14ac:dyDescent="0.2">
      <c r="A10" s="63">
        <v>7</v>
      </c>
      <c r="B10" s="60" t="s">
        <v>2156</v>
      </c>
      <c r="C10" s="60" t="s">
        <v>2169</v>
      </c>
      <c r="D10" s="60" t="s">
        <v>2170</v>
      </c>
      <c r="E10" s="61" t="s">
        <v>2171</v>
      </c>
      <c r="F10" s="64" t="s">
        <v>2161</v>
      </c>
      <c r="G10" s="60" t="s">
        <v>2155</v>
      </c>
      <c r="H10" s="18"/>
    </row>
    <row r="11" spans="1:8" ht="16" x14ac:dyDescent="0.2">
      <c r="A11" s="63">
        <v>7</v>
      </c>
      <c r="B11" s="60" t="s">
        <v>2156</v>
      </c>
      <c r="C11" s="60" t="s">
        <v>2172</v>
      </c>
      <c r="D11" s="60" t="s">
        <v>2173</v>
      </c>
      <c r="E11" s="61" t="s">
        <v>2174</v>
      </c>
      <c r="F11" s="64" t="s">
        <v>2154</v>
      </c>
      <c r="G11" s="60" t="s">
        <v>2155</v>
      </c>
      <c r="H11" s="18"/>
    </row>
    <row r="12" spans="1:8" ht="16" x14ac:dyDescent="0.2">
      <c r="A12" s="63">
        <v>7</v>
      </c>
      <c r="B12" s="60" t="s">
        <v>2156</v>
      </c>
      <c r="C12" s="60" t="s">
        <v>2172</v>
      </c>
      <c r="D12" s="60" t="s">
        <v>2175</v>
      </c>
      <c r="E12" s="61" t="s">
        <v>2176</v>
      </c>
      <c r="F12" s="64" t="s">
        <v>2161</v>
      </c>
      <c r="G12" s="60" t="s">
        <v>2155</v>
      </c>
      <c r="H12" s="18"/>
    </row>
    <row r="13" spans="1:8" ht="16" x14ac:dyDescent="0.2">
      <c r="A13" s="63">
        <v>7</v>
      </c>
      <c r="B13" s="60" t="s">
        <v>2156</v>
      </c>
      <c r="C13" s="60" t="s">
        <v>2177</v>
      </c>
      <c r="D13" s="60"/>
      <c r="E13" s="61" t="s">
        <v>2178</v>
      </c>
      <c r="F13" s="64" t="s">
        <v>2179</v>
      </c>
      <c r="G13" s="60" t="s">
        <v>2180</v>
      </c>
      <c r="H13" s="18"/>
    </row>
    <row r="14" spans="1:8" ht="16" x14ac:dyDescent="0.2">
      <c r="A14" s="63">
        <v>7</v>
      </c>
      <c r="B14" s="60" t="s">
        <v>2156</v>
      </c>
      <c r="C14" s="60" t="s">
        <v>2177</v>
      </c>
      <c r="D14" s="60" t="s">
        <v>2181</v>
      </c>
      <c r="E14" s="61" t="s">
        <v>2182</v>
      </c>
      <c r="F14" s="64" t="s">
        <v>2183</v>
      </c>
      <c r="G14" s="60" t="s">
        <v>2180</v>
      </c>
      <c r="H14" s="18" t="s">
        <v>2184</v>
      </c>
    </row>
    <row r="15" spans="1:8" ht="32" x14ac:dyDescent="0.2">
      <c r="A15" s="63">
        <v>7</v>
      </c>
      <c r="B15" s="60" t="s">
        <v>2156</v>
      </c>
      <c r="C15" s="60" t="s">
        <v>2177</v>
      </c>
      <c r="D15" s="60" t="s">
        <v>2185</v>
      </c>
      <c r="E15" s="61" t="s">
        <v>2186</v>
      </c>
      <c r="F15" s="64" t="s">
        <v>2187</v>
      </c>
      <c r="G15" s="60" t="s">
        <v>2155</v>
      </c>
      <c r="H15" s="18" t="s">
        <v>2188</v>
      </c>
    </row>
    <row r="16" spans="1:8" ht="32" x14ac:dyDescent="0.2">
      <c r="A16" s="63">
        <v>7</v>
      </c>
      <c r="B16" s="60" t="s">
        <v>2156</v>
      </c>
      <c r="C16" s="60" t="s">
        <v>2177</v>
      </c>
      <c r="D16" s="60" t="s">
        <v>2189</v>
      </c>
      <c r="E16" s="61" t="s">
        <v>2190</v>
      </c>
      <c r="F16" s="64" t="s">
        <v>2191</v>
      </c>
      <c r="G16" s="60" t="s">
        <v>2155</v>
      </c>
      <c r="H16" s="18" t="s">
        <v>2192</v>
      </c>
    </row>
    <row r="17" spans="1:8" ht="16" x14ac:dyDescent="0.2">
      <c r="A17" s="63">
        <v>7</v>
      </c>
      <c r="B17" s="60" t="s">
        <v>2156</v>
      </c>
      <c r="C17" s="60" t="s">
        <v>2177</v>
      </c>
      <c r="D17" s="60" t="s">
        <v>2193</v>
      </c>
      <c r="E17" s="61" t="s">
        <v>2194</v>
      </c>
      <c r="F17" s="64" t="s">
        <v>2183</v>
      </c>
      <c r="G17" s="60" t="s">
        <v>2180</v>
      </c>
      <c r="H17" s="18" t="s">
        <v>2184</v>
      </c>
    </row>
    <row r="18" spans="1:8" ht="16" x14ac:dyDescent="0.2">
      <c r="A18" s="63">
        <v>7</v>
      </c>
      <c r="B18" s="60" t="s">
        <v>2156</v>
      </c>
      <c r="C18" s="60" t="s">
        <v>2177</v>
      </c>
      <c r="D18" s="60" t="s">
        <v>2195</v>
      </c>
      <c r="E18" s="61" t="s">
        <v>2196</v>
      </c>
      <c r="F18" s="64" t="s">
        <v>2191</v>
      </c>
      <c r="G18" s="60" t="s">
        <v>2155</v>
      </c>
      <c r="H18" s="18" t="s">
        <v>2192</v>
      </c>
    </row>
    <row r="19" spans="1:8" ht="16" x14ac:dyDescent="0.2">
      <c r="A19" s="63">
        <v>7</v>
      </c>
      <c r="B19" s="60" t="s">
        <v>2156</v>
      </c>
      <c r="C19" s="60" t="s">
        <v>2177</v>
      </c>
      <c r="D19" s="60" t="s">
        <v>2197</v>
      </c>
      <c r="E19" s="61" t="s">
        <v>2198</v>
      </c>
      <c r="F19" s="64" t="s">
        <v>2199</v>
      </c>
      <c r="G19" s="60" t="s">
        <v>2155</v>
      </c>
      <c r="H19" s="18" t="s">
        <v>2192</v>
      </c>
    </row>
    <row r="20" spans="1:8" ht="16" x14ac:dyDescent="0.2">
      <c r="A20" s="63">
        <v>7</v>
      </c>
      <c r="B20" s="60" t="s">
        <v>2156</v>
      </c>
      <c r="C20" s="60" t="s">
        <v>2177</v>
      </c>
      <c r="D20" s="60" t="s">
        <v>2200</v>
      </c>
      <c r="E20" s="61" t="s">
        <v>2201</v>
      </c>
      <c r="F20" s="64" t="s">
        <v>2183</v>
      </c>
      <c r="G20" s="60" t="s">
        <v>2180</v>
      </c>
      <c r="H20" s="18" t="s">
        <v>2184</v>
      </c>
    </row>
    <row r="21" spans="1:8" ht="16" x14ac:dyDescent="0.2">
      <c r="A21" s="63">
        <v>7</v>
      </c>
      <c r="B21" s="60" t="s">
        <v>2156</v>
      </c>
      <c r="C21" s="60" t="s">
        <v>2177</v>
      </c>
      <c r="D21" s="60" t="s">
        <v>2202</v>
      </c>
      <c r="E21" s="61" t="s">
        <v>2203</v>
      </c>
      <c r="F21" s="64" t="s">
        <v>2204</v>
      </c>
      <c r="G21" s="60" t="s">
        <v>2155</v>
      </c>
      <c r="H21" s="18" t="s">
        <v>2192</v>
      </c>
    </row>
    <row r="22" spans="1:8" ht="16" x14ac:dyDescent="0.2">
      <c r="A22" s="63">
        <v>7</v>
      </c>
      <c r="B22" s="60" t="s">
        <v>2156</v>
      </c>
      <c r="C22" s="60" t="s">
        <v>2177</v>
      </c>
      <c r="D22" s="60" t="s">
        <v>2205</v>
      </c>
      <c r="E22" s="61" t="s">
        <v>2206</v>
      </c>
      <c r="F22" s="64" t="s">
        <v>2207</v>
      </c>
      <c r="G22" s="60" t="s">
        <v>2155</v>
      </c>
      <c r="H22" s="18" t="s">
        <v>2192</v>
      </c>
    </row>
    <row r="23" spans="1:8" ht="16" x14ac:dyDescent="0.2">
      <c r="A23" s="63">
        <v>7</v>
      </c>
      <c r="B23" s="60" t="s">
        <v>2208</v>
      </c>
      <c r="C23" s="60"/>
      <c r="D23" s="60" t="s">
        <v>2209</v>
      </c>
      <c r="E23" s="61" t="s">
        <v>2210</v>
      </c>
      <c r="F23" s="64" t="s">
        <v>2154</v>
      </c>
      <c r="G23" s="60" t="s">
        <v>2155</v>
      </c>
      <c r="H23" s="18"/>
    </row>
    <row r="24" spans="1:8" ht="16" x14ac:dyDescent="0.2">
      <c r="A24" s="63">
        <v>7</v>
      </c>
      <c r="B24" s="60" t="s">
        <v>2208</v>
      </c>
      <c r="C24" s="60"/>
      <c r="D24" s="60" t="s">
        <v>2211</v>
      </c>
      <c r="E24" s="61" t="s">
        <v>2212</v>
      </c>
      <c r="F24" s="64" t="s">
        <v>2161</v>
      </c>
      <c r="G24" s="60" t="s">
        <v>2155</v>
      </c>
      <c r="H24" s="18"/>
    </row>
    <row r="25" spans="1:8" ht="32" x14ac:dyDescent="0.2">
      <c r="A25" s="63">
        <v>7</v>
      </c>
      <c r="B25" s="60" t="s">
        <v>2208</v>
      </c>
      <c r="C25" s="60"/>
      <c r="D25" s="60" t="s">
        <v>2213</v>
      </c>
      <c r="E25" s="61" t="s">
        <v>2214</v>
      </c>
      <c r="F25" s="64" t="s">
        <v>2164</v>
      </c>
      <c r="G25" s="60" t="s">
        <v>2155</v>
      </c>
      <c r="H25" s="18"/>
    </row>
    <row r="26" spans="1:8" ht="32" x14ac:dyDescent="0.2">
      <c r="A26" s="63">
        <v>7</v>
      </c>
      <c r="B26" s="60" t="s">
        <v>2208</v>
      </c>
      <c r="C26" s="60"/>
      <c r="D26" s="60" t="s">
        <v>2215</v>
      </c>
      <c r="E26" s="61" t="s">
        <v>2216</v>
      </c>
      <c r="F26" s="64" t="s">
        <v>2217</v>
      </c>
      <c r="G26" s="60" t="s">
        <v>2155</v>
      </c>
      <c r="H26" s="18" t="s">
        <v>2218</v>
      </c>
    </row>
    <row r="27" spans="1:8" ht="16" x14ac:dyDescent="0.2">
      <c r="A27" s="63">
        <v>8</v>
      </c>
      <c r="B27" s="60" t="s">
        <v>2219</v>
      </c>
      <c r="C27" s="60"/>
      <c r="D27" s="60" t="s">
        <v>2220</v>
      </c>
      <c r="E27" s="61" t="s">
        <v>2221</v>
      </c>
      <c r="F27" s="64" t="s">
        <v>2154</v>
      </c>
      <c r="G27" s="60" t="s">
        <v>2155</v>
      </c>
      <c r="H27" s="18" t="s">
        <v>2222</v>
      </c>
    </row>
    <row r="28" spans="1:8" ht="32" x14ac:dyDescent="0.2">
      <c r="A28" s="63">
        <v>8</v>
      </c>
      <c r="B28" s="60" t="s">
        <v>2219</v>
      </c>
      <c r="C28" s="60"/>
      <c r="D28" s="60" t="s">
        <v>2223</v>
      </c>
      <c r="E28" s="61" t="s">
        <v>2224</v>
      </c>
      <c r="F28" s="64" t="s">
        <v>2161</v>
      </c>
      <c r="G28" s="60" t="s">
        <v>2155</v>
      </c>
      <c r="H28" s="18" t="s">
        <v>2222</v>
      </c>
    </row>
    <row r="29" spans="1:8" ht="48" x14ac:dyDescent="0.2">
      <c r="A29" s="63">
        <v>8</v>
      </c>
      <c r="B29" s="60" t="s">
        <v>2219</v>
      </c>
      <c r="C29" s="60"/>
      <c r="D29" s="60" t="s">
        <v>2225</v>
      </c>
      <c r="E29" s="61" t="s">
        <v>2226</v>
      </c>
      <c r="F29" s="64" t="s">
        <v>2164</v>
      </c>
      <c r="G29" s="60" t="s">
        <v>2155</v>
      </c>
      <c r="H29" s="18" t="s">
        <v>2222</v>
      </c>
    </row>
    <row r="30" spans="1:8" ht="16" x14ac:dyDescent="0.2">
      <c r="A30" s="63">
        <v>8</v>
      </c>
      <c r="B30" s="60" t="s">
        <v>2219</v>
      </c>
      <c r="C30" s="60"/>
      <c r="D30" s="60" t="s">
        <v>2227</v>
      </c>
      <c r="E30" s="61" t="s">
        <v>2228</v>
      </c>
      <c r="F30" s="64" t="s">
        <v>2229</v>
      </c>
      <c r="G30" s="60" t="s">
        <v>2155</v>
      </c>
      <c r="H30" s="18" t="s">
        <v>2222</v>
      </c>
    </row>
    <row r="31" spans="1:8" ht="16" x14ac:dyDescent="0.2">
      <c r="A31" s="63">
        <v>8</v>
      </c>
      <c r="B31" s="60" t="s">
        <v>2219</v>
      </c>
      <c r="C31" s="60"/>
      <c r="D31" s="60"/>
      <c r="E31" s="61" t="s">
        <v>2230</v>
      </c>
      <c r="F31" s="64" t="s">
        <v>2231</v>
      </c>
      <c r="G31" s="60" t="s">
        <v>2180</v>
      </c>
      <c r="H31" s="18"/>
    </row>
    <row r="32" spans="1:8" ht="16" x14ac:dyDescent="0.2">
      <c r="A32" s="63">
        <v>8</v>
      </c>
      <c r="B32" s="60" t="s">
        <v>2232</v>
      </c>
      <c r="C32" s="60"/>
      <c r="D32" s="60" t="s">
        <v>2233</v>
      </c>
      <c r="E32" s="61" t="s">
        <v>2234</v>
      </c>
      <c r="F32" s="64" t="s">
        <v>2154</v>
      </c>
      <c r="G32" s="60" t="s">
        <v>2155</v>
      </c>
      <c r="H32" s="18" t="s">
        <v>2235</v>
      </c>
    </row>
    <row r="33" spans="1:8" ht="32" x14ac:dyDescent="0.2">
      <c r="A33" s="63">
        <v>8</v>
      </c>
      <c r="B33" s="60" t="s">
        <v>2232</v>
      </c>
      <c r="C33" s="60" t="s">
        <v>2236</v>
      </c>
      <c r="D33" s="60" t="s">
        <v>2237</v>
      </c>
      <c r="E33" s="61" t="s">
        <v>2238</v>
      </c>
      <c r="F33" s="64" t="s">
        <v>2154</v>
      </c>
      <c r="G33" s="60" t="s">
        <v>2155</v>
      </c>
      <c r="H33" s="18" t="s">
        <v>2239</v>
      </c>
    </row>
    <row r="34" spans="1:8" ht="32" x14ac:dyDescent="0.2">
      <c r="A34" s="63">
        <v>8</v>
      </c>
      <c r="B34" s="60" t="s">
        <v>2232</v>
      </c>
      <c r="C34" s="60" t="s">
        <v>2236</v>
      </c>
      <c r="D34" s="60" t="s">
        <v>2237</v>
      </c>
      <c r="E34" s="61" t="s">
        <v>2240</v>
      </c>
      <c r="F34" s="64" t="s">
        <v>2161</v>
      </c>
      <c r="G34" s="60" t="s">
        <v>2155</v>
      </c>
      <c r="H34" s="18" t="s">
        <v>2241</v>
      </c>
    </row>
    <row r="35" spans="1:8" ht="32" x14ac:dyDescent="0.2">
      <c r="A35" s="63">
        <v>8</v>
      </c>
      <c r="B35" s="60" t="s">
        <v>2232</v>
      </c>
      <c r="C35" s="60" t="s">
        <v>2236</v>
      </c>
      <c r="D35" s="60" t="s">
        <v>2242</v>
      </c>
      <c r="E35" s="61" t="s">
        <v>2243</v>
      </c>
      <c r="F35" s="64" t="s">
        <v>2164</v>
      </c>
      <c r="G35" s="60" t="s">
        <v>2155</v>
      </c>
      <c r="H35" s="18"/>
    </row>
    <row r="36" spans="1:8" ht="16" x14ac:dyDescent="0.2">
      <c r="A36" s="63">
        <v>8</v>
      </c>
      <c r="B36" s="60" t="s">
        <v>2232</v>
      </c>
      <c r="C36" s="60" t="s">
        <v>2236</v>
      </c>
      <c r="D36" s="60" t="s">
        <v>2244</v>
      </c>
      <c r="E36" s="61" t="s">
        <v>2245</v>
      </c>
      <c r="F36" s="64" t="s">
        <v>2229</v>
      </c>
      <c r="G36" s="60" t="s">
        <v>2155</v>
      </c>
      <c r="H36" s="18"/>
    </row>
    <row r="37" spans="1:8" ht="16" x14ac:dyDescent="0.2">
      <c r="A37" s="63">
        <v>8</v>
      </c>
      <c r="B37" s="60" t="s">
        <v>2232</v>
      </c>
      <c r="C37" s="60" t="s">
        <v>2246</v>
      </c>
      <c r="D37" s="60" t="s">
        <v>2247</v>
      </c>
      <c r="E37" s="61" t="s">
        <v>2248</v>
      </c>
      <c r="F37" s="64" t="s">
        <v>2164</v>
      </c>
      <c r="G37" s="60" t="s">
        <v>2155</v>
      </c>
      <c r="H37" s="18"/>
    </row>
    <row r="38" spans="1:8" ht="16" x14ac:dyDescent="0.2">
      <c r="A38" s="63">
        <v>8</v>
      </c>
      <c r="B38" s="60" t="s">
        <v>2232</v>
      </c>
      <c r="C38" s="60" t="s">
        <v>2246</v>
      </c>
      <c r="D38" s="60" t="s">
        <v>2249</v>
      </c>
      <c r="E38" s="61" t="s">
        <v>2250</v>
      </c>
      <c r="F38" s="64" t="s">
        <v>2229</v>
      </c>
      <c r="G38" s="60" t="s">
        <v>2155</v>
      </c>
      <c r="H38" s="18"/>
    </row>
    <row r="39" spans="1:8" ht="16" x14ac:dyDescent="0.2">
      <c r="A39" s="63">
        <v>8</v>
      </c>
      <c r="B39" s="60" t="s">
        <v>2232</v>
      </c>
      <c r="C39" s="60" t="s">
        <v>2246</v>
      </c>
      <c r="D39" s="60" t="s">
        <v>2251</v>
      </c>
      <c r="E39" s="61" t="s">
        <v>2252</v>
      </c>
      <c r="F39" s="64" t="s">
        <v>2253</v>
      </c>
      <c r="G39" s="60" t="s">
        <v>2155</v>
      </c>
      <c r="H39" s="18" t="s">
        <v>2254</v>
      </c>
    </row>
    <row r="40" spans="1:8" ht="16" x14ac:dyDescent="0.2">
      <c r="A40" s="63">
        <v>8</v>
      </c>
      <c r="B40" s="60" t="s">
        <v>2232</v>
      </c>
      <c r="C40" s="60" t="s">
        <v>2246</v>
      </c>
      <c r="D40" s="60" t="s">
        <v>2255</v>
      </c>
      <c r="E40" s="61" t="s">
        <v>2256</v>
      </c>
      <c r="F40" s="64" t="s">
        <v>2199</v>
      </c>
      <c r="G40" s="60" t="s">
        <v>2155</v>
      </c>
      <c r="H40" s="18"/>
    </row>
    <row r="41" spans="1:8" ht="32" x14ac:dyDescent="0.2">
      <c r="A41" s="63">
        <v>8</v>
      </c>
      <c r="B41" s="60" t="s">
        <v>2232</v>
      </c>
      <c r="C41" s="60" t="s">
        <v>2246</v>
      </c>
      <c r="D41" s="60" t="s">
        <v>2257</v>
      </c>
      <c r="E41" s="61" t="s">
        <v>2258</v>
      </c>
      <c r="F41" s="64" t="s">
        <v>2204</v>
      </c>
      <c r="G41" s="60" t="s">
        <v>2155</v>
      </c>
      <c r="H41" s="18"/>
    </row>
    <row r="42" spans="1:8" ht="16" x14ac:dyDescent="0.2">
      <c r="A42" s="63">
        <v>8</v>
      </c>
      <c r="B42" s="60" t="s">
        <v>2232</v>
      </c>
      <c r="C42" s="60" t="s">
        <v>2259</v>
      </c>
      <c r="D42" s="60" t="s">
        <v>2260</v>
      </c>
      <c r="E42" s="61" t="s">
        <v>2261</v>
      </c>
      <c r="F42" s="64" t="s">
        <v>2229</v>
      </c>
      <c r="G42" s="60" t="s">
        <v>2155</v>
      </c>
      <c r="H42" s="18"/>
    </row>
    <row r="43" spans="1:8" ht="16" x14ac:dyDescent="0.2">
      <c r="A43" s="63">
        <v>8</v>
      </c>
      <c r="B43" s="60" t="s">
        <v>2232</v>
      </c>
      <c r="C43" s="60" t="s">
        <v>2259</v>
      </c>
      <c r="D43" s="60" t="s">
        <v>2262</v>
      </c>
      <c r="E43" s="61" t="s">
        <v>2263</v>
      </c>
      <c r="F43" s="64" t="s">
        <v>2264</v>
      </c>
      <c r="G43" s="60" t="s">
        <v>2155</v>
      </c>
      <c r="H43" s="18"/>
    </row>
    <row r="44" spans="1:8" ht="16" x14ac:dyDescent="0.2">
      <c r="A44" s="63">
        <v>8</v>
      </c>
      <c r="B44" s="60" t="s">
        <v>2232</v>
      </c>
      <c r="C44" s="60" t="s">
        <v>2259</v>
      </c>
      <c r="D44" s="60" t="s">
        <v>2265</v>
      </c>
      <c r="E44" s="61" t="s">
        <v>2266</v>
      </c>
      <c r="F44" s="64" t="s">
        <v>2204</v>
      </c>
      <c r="G44" s="60" t="s">
        <v>2155</v>
      </c>
      <c r="H44" s="18"/>
    </row>
    <row r="45" spans="1:8" ht="16" x14ac:dyDescent="0.2">
      <c r="A45" s="63">
        <v>8</v>
      </c>
      <c r="B45" s="60" t="s">
        <v>2232</v>
      </c>
      <c r="C45" s="60" t="s">
        <v>2259</v>
      </c>
      <c r="D45" s="60" t="s">
        <v>2267</v>
      </c>
      <c r="E45" s="61" t="s">
        <v>2268</v>
      </c>
      <c r="F45" s="64" t="s">
        <v>2269</v>
      </c>
      <c r="G45" s="60" t="s">
        <v>2155</v>
      </c>
      <c r="H45" s="18"/>
    </row>
    <row r="46" spans="1:8" ht="16" x14ac:dyDescent="0.2">
      <c r="A46" s="63">
        <v>8</v>
      </c>
      <c r="B46" s="60" t="s">
        <v>2232</v>
      </c>
      <c r="C46" s="60" t="s">
        <v>2270</v>
      </c>
      <c r="D46" s="60" t="s">
        <v>2271</v>
      </c>
      <c r="E46" s="61" t="s">
        <v>2272</v>
      </c>
      <c r="F46" s="64" t="s">
        <v>2273</v>
      </c>
      <c r="G46" s="60" t="s">
        <v>2155</v>
      </c>
      <c r="H46" s="18"/>
    </row>
    <row r="47" spans="1:8" ht="16" x14ac:dyDescent="0.2">
      <c r="A47" s="63">
        <v>8</v>
      </c>
      <c r="B47" s="60" t="s">
        <v>2232</v>
      </c>
      <c r="C47" s="60" t="s">
        <v>2270</v>
      </c>
      <c r="D47" s="60" t="s">
        <v>2274</v>
      </c>
      <c r="E47" s="61" t="s">
        <v>2275</v>
      </c>
      <c r="F47" s="64" t="s">
        <v>2164</v>
      </c>
      <c r="G47" s="60" t="s">
        <v>2155</v>
      </c>
      <c r="H47" s="18" t="s">
        <v>2276</v>
      </c>
    </row>
    <row r="48" spans="1:8" ht="16" x14ac:dyDescent="0.2">
      <c r="A48" s="63">
        <v>9</v>
      </c>
      <c r="B48" s="60" t="s">
        <v>2277</v>
      </c>
      <c r="C48" s="60"/>
      <c r="D48" s="60"/>
      <c r="E48" s="61" t="s">
        <v>2278</v>
      </c>
      <c r="F48" s="64" t="s">
        <v>2183</v>
      </c>
      <c r="G48" s="60" t="s">
        <v>2180</v>
      </c>
      <c r="H48" s="18"/>
    </row>
    <row r="49" spans="1:8" ht="16" x14ac:dyDescent="0.2">
      <c r="A49" s="63">
        <v>9</v>
      </c>
      <c r="B49" s="60" t="s">
        <v>2277</v>
      </c>
      <c r="C49" s="60"/>
      <c r="D49" s="60" t="s">
        <v>2279</v>
      </c>
      <c r="E49" s="61" t="s">
        <v>2280</v>
      </c>
      <c r="F49" s="64" t="s">
        <v>2229</v>
      </c>
      <c r="G49" s="60" t="s">
        <v>2155</v>
      </c>
      <c r="H49" s="18" t="s">
        <v>2281</v>
      </c>
    </row>
    <row r="50" spans="1:8" ht="16" x14ac:dyDescent="0.2">
      <c r="A50" s="63">
        <v>9</v>
      </c>
      <c r="B50" s="60" t="s">
        <v>2277</v>
      </c>
      <c r="C50" s="60" t="s">
        <v>2282</v>
      </c>
      <c r="D50" s="60" t="s">
        <v>2283</v>
      </c>
      <c r="E50" s="61" t="s">
        <v>2284</v>
      </c>
      <c r="F50" s="64" t="s">
        <v>2229</v>
      </c>
      <c r="G50" s="60" t="s">
        <v>2155</v>
      </c>
      <c r="H50" s="18" t="s">
        <v>2281</v>
      </c>
    </row>
    <row r="51" spans="1:8" ht="16" x14ac:dyDescent="0.2">
      <c r="A51" s="63">
        <v>9</v>
      </c>
      <c r="B51" s="60" t="s">
        <v>2277</v>
      </c>
      <c r="C51" s="60" t="s">
        <v>2282</v>
      </c>
      <c r="D51" s="60" t="s">
        <v>2285</v>
      </c>
      <c r="E51" s="61" t="s">
        <v>2286</v>
      </c>
      <c r="F51" s="64" t="s">
        <v>2187</v>
      </c>
      <c r="G51" s="60" t="s">
        <v>2155</v>
      </c>
      <c r="H51" s="18" t="s">
        <v>2281</v>
      </c>
    </row>
    <row r="52" spans="1:8" ht="16" x14ac:dyDescent="0.2">
      <c r="A52" s="63">
        <v>9</v>
      </c>
      <c r="B52" s="60" t="s">
        <v>2277</v>
      </c>
      <c r="C52" s="60" t="s">
        <v>2282</v>
      </c>
      <c r="D52" s="60" t="s">
        <v>2287</v>
      </c>
      <c r="E52" s="61" t="s">
        <v>2288</v>
      </c>
      <c r="F52" s="64" t="s">
        <v>2191</v>
      </c>
      <c r="G52" s="60" t="s">
        <v>2155</v>
      </c>
      <c r="H52" s="18" t="s">
        <v>2281</v>
      </c>
    </row>
    <row r="53" spans="1:8" ht="16" x14ac:dyDescent="0.2">
      <c r="A53" s="63">
        <v>9</v>
      </c>
      <c r="B53" s="60" t="s">
        <v>2277</v>
      </c>
      <c r="C53" s="60" t="s">
        <v>2246</v>
      </c>
      <c r="D53" s="60" t="s">
        <v>2289</v>
      </c>
      <c r="E53" s="61" t="s">
        <v>2290</v>
      </c>
      <c r="F53" s="64" t="s">
        <v>2264</v>
      </c>
      <c r="G53" s="60" t="s">
        <v>2155</v>
      </c>
      <c r="H53" s="18" t="s">
        <v>2281</v>
      </c>
    </row>
    <row r="54" spans="1:8" ht="16" x14ac:dyDescent="0.2">
      <c r="A54" s="63">
        <v>9</v>
      </c>
      <c r="B54" s="60" t="s">
        <v>2277</v>
      </c>
      <c r="C54" s="60" t="s">
        <v>2246</v>
      </c>
      <c r="D54" s="60" t="s">
        <v>2291</v>
      </c>
      <c r="E54" s="61" t="s">
        <v>2292</v>
      </c>
      <c r="F54" s="64" t="s">
        <v>2204</v>
      </c>
      <c r="G54" s="60" t="s">
        <v>2155</v>
      </c>
      <c r="H54" s="18" t="s">
        <v>2281</v>
      </c>
    </row>
    <row r="55" spans="1:8" ht="16" x14ac:dyDescent="0.2">
      <c r="A55" s="63">
        <v>9</v>
      </c>
      <c r="B55" s="60" t="s">
        <v>2277</v>
      </c>
      <c r="C55" s="60" t="s">
        <v>2293</v>
      </c>
      <c r="D55" s="60" t="s">
        <v>2294</v>
      </c>
      <c r="E55" s="61" t="s">
        <v>2295</v>
      </c>
      <c r="F55" s="64" t="s">
        <v>2229</v>
      </c>
      <c r="G55" s="60" t="s">
        <v>2155</v>
      </c>
      <c r="H55" s="18" t="s">
        <v>2281</v>
      </c>
    </row>
    <row r="56" spans="1:8" ht="16" x14ac:dyDescent="0.2">
      <c r="A56" s="63">
        <v>9</v>
      </c>
      <c r="B56" s="60" t="s">
        <v>2277</v>
      </c>
      <c r="C56" s="60" t="s">
        <v>2293</v>
      </c>
      <c r="D56" s="60" t="s">
        <v>2296</v>
      </c>
      <c r="E56" s="61" t="s">
        <v>2297</v>
      </c>
      <c r="F56" s="64" t="s">
        <v>2229</v>
      </c>
      <c r="G56" s="60" t="s">
        <v>2155</v>
      </c>
      <c r="H56" s="18" t="s">
        <v>2281</v>
      </c>
    </row>
    <row r="57" spans="1:8" ht="16" x14ac:dyDescent="0.2">
      <c r="A57" s="63">
        <v>9</v>
      </c>
      <c r="B57" s="60" t="s">
        <v>2277</v>
      </c>
      <c r="C57" s="60" t="s">
        <v>2293</v>
      </c>
      <c r="D57" s="60" t="s">
        <v>2298</v>
      </c>
      <c r="E57" s="61" t="s">
        <v>2299</v>
      </c>
      <c r="F57" s="64" t="s">
        <v>2229</v>
      </c>
      <c r="G57" s="60" t="s">
        <v>2155</v>
      </c>
      <c r="H57" s="18" t="s">
        <v>2281</v>
      </c>
    </row>
    <row r="58" spans="1:8" ht="16" x14ac:dyDescent="0.2">
      <c r="A58" s="63">
        <v>9</v>
      </c>
      <c r="B58" s="60" t="s">
        <v>2277</v>
      </c>
      <c r="C58" s="60" t="s">
        <v>2293</v>
      </c>
      <c r="D58" s="60" t="s">
        <v>2300</v>
      </c>
      <c r="E58" s="61" t="s">
        <v>2301</v>
      </c>
      <c r="F58" s="64" t="s">
        <v>2187</v>
      </c>
      <c r="G58" s="60" t="s">
        <v>2155</v>
      </c>
      <c r="H58" s="18" t="s">
        <v>2281</v>
      </c>
    </row>
    <row r="59" spans="1:8" ht="16" x14ac:dyDescent="0.2">
      <c r="A59" s="63">
        <v>9</v>
      </c>
      <c r="B59" s="60" t="s">
        <v>2277</v>
      </c>
      <c r="C59" s="60" t="s">
        <v>2293</v>
      </c>
      <c r="D59" s="60" t="s">
        <v>2302</v>
      </c>
      <c r="E59" s="61" t="s">
        <v>2303</v>
      </c>
      <c r="F59" s="64" t="s">
        <v>2187</v>
      </c>
      <c r="G59" s="60" t="s">
        <v>2155</v>
      </c>
      <c r="H59" s="18" t="s">
        <v>2281</v>
      </c>
    </row>
    <row r="60" spans="1:8" ht="16" x14ac:dyDescent="0.2">
      <c r="A60" s="63">
        <v>9</v>
      </c>
      <c r="B60" s="60" t="s">
        <v>2277</v>
      </c>
      <c r="C60" s="60" t="s">
        <v>2293</v>
      </c>
      <c r="D60" s="60" t="s">
        <v>2304</v>
      </c>
      <c r="E60" s="61" t="s">
        <v>2305</v>
      </c>
      <c r="F60" s="64" t="s">
        <v>2191</v>
      </c>
      <c r="G60" s="60" t="s">
        <v>2155</v>
      </c>
      <c r="H60" s="18" t="s">
        <v>2281</v>
      </c>
    </row>
    <row r="61" spans="1:8" ht="16" x14ac:dyDescent="0.2">
      <c r="A61" s="63">
        <v>9</v>
      </c>
      <c r="B61" s="60" t="s">
        <v>2277</v>
      </c>
      <c r="C61" s="60" t="s">
        <v>2293</v>
      </c>
      <c r="D61" s="60" t="s">
        <v>2306</v>
      </c>
      <c r="E61" s="61" t="s">
        <v>2307</v>
      </c>
      <c r="F61" s="64" t="s">
        <v>2199</v>
      </c>
      <c r="G61" s="60" t="s">
        <v>2155</v>
      </c>
      <c r="H61" s="18" t="s">
        <v>2281</v>
      </c>
    </row>
    <row r="62" spans="1:8" ht="16" x14ac:dyDescent="0.2">
      <c r="A62" s="63">
        <v>9</v>
      </c>
      <c r="B62" s="60" t="s">
        <v>2277</v>
      </c>
      <c r="C62" s="60" t="s">
        <v>2293</v>
      </c>
      <c r="D62" s="60" t="s">
        <v>2308</v>
      </c>
      <c r="E62" s="61" t="s">
        <v>2309</v>
      </c>
      <c r="F62" s="64" t="s">
        <v>2310</v>
      </c>
      <c r="G62" s="60" t="s">
        <v>2155</v>
      </c>
      <c r="H62" s="18" t="s">
        <v>2281</v>
      </c>
    </row>
    <row r="63" spans="1:8" ht="16" x14ac:dyDescent="0.2">
      <c r="A63" s="63">
        <v>9</v>
      </c>
      <c r="B63" s="60" t="s">
        <v>2311</v>
      </c>
      <c r="C63" s="60"/>
      <c r="D63" s="60" t="s">
        <v>2312</v>
      </c>
      <c r="E63" s="61" t="s">
        <v>2313</v>
      </c>
      <c r="F63" s="64" t="s">
        <v>2154</v>
      </c>
      <c r="G63" s="60" t="s">
        <v>2155</v>
      </c>
      <c r="H63" s="18" t="s">
        <v>2314</v>
      </c>
    </row>
    <row r="64" spans="1:8" ht="32" x14ac:dyDescent="0.2">
      <c r="A64" s="63">
        <v>9</v>
      </c>
      <c r="B64" s="60" t="s">
        <v>2311</v>
      </c>
      <c r="C64" s="60"/>
      <c r="D64" s="60" t="s">
        <v>2315</v>
      </c>
      <c r="E64" s="61" t="s">
        <v>2316</v>
      </c>
      <c r="F64" s="64" t="s">
        <v>2161</v>
      </c>
      <c r="G64" s="60" t="s">
        <v>2155</v>
      </c>
      <c r="H64" s="18" t="s">
        <v>2317</v>
      </c>
    </row>
    <row r="65" spans="1:8" ht="32" x14ac:dyDescent="0.2">
      <c r="A65" s="63">
        <v>9</v>
      </c>
      <c r="B65" s="60" t="s">
        <v>2311</v>
      </c>
      <c r="C65" s="60"/>
      <c r="D65" s="60" t="s">
        <v>2318</v>
      </c>
      <c r="E65" s="61" t="s">
        <v>2319</v>
      </c>
      <c r="F65" s="64" t="s">
        <v>2164</v>
      </c>
      <c r="G65" s="60" t="s">
        <v>2155</v>
      </c>
      <c r="H65" s="18"/>
    </row>
    <row r="66" spans="1:8" ht="32" x14ac:dyDescent="0.2">
      <c r="A66" s="63">
        <v>9</v>
      </c>
      <c r="B66" s="60" t="s">
        <v>2311</v>
      </c>
      <c r="C66" s="60"/>
      <c r="D66" s="60" t="s">
        <v>2320</v>
      </c>
      <c r="E66" s="61" t="s">
        <v>2321</v>
      </c>
      <c r="F66" s="64" t="s">
        <v>2322</v>
      </c>
      <c r="G66" s="60" t="s">
        <v>2155</v>
      </c>
      <c r="H66" s="18" t="s">
        <v>2323</v>
      </c>
    </row>
    <row r="67" spans="1:8" ht="32" x14ac:dyDescent="0.2">
      <c r="A67" s="63">
        <v>9</v>
      </c>
      <c r="B67" s="60" t="s">
        <v>2311</v>
      </c>
      <c r="C67" s="60"/>
      <c r="D67" s="60" t="s">
        <v>2324</v>
      </c>
      <c r="E67" s="61" t="s">
        <v>2325</v>
      </c>
      <c r="F67" s="64" t="s">
        <v>2229</v>
      </c>
      <c r="G67" s="60" t="s">
        <v>2155</v>
      </c>
      <c r="H67" s="18"/>
    </row>
    <row r="68" spans="1:8" ht="16" x14ac:dyDescent="0.2">
      <c r="A68" s="63">
        <v>9</v>
      </c>
      <c r="B68" s="60" t="s">
        <v>2311</v>
      </c>
      <c r="C68" s="60"/>
      <c r="D68" s="60" t="s">
        <v>2326</v>
      </c>
      <c r="E68" s="61" t="s">
        <v>2327</v>
      </c>
      <c r="F68" s="64" t="s">
        <v>2328</v>
      </c>
      <c r="G68" s="60" t="s">
        <v>2155</v>
      </c>
      <c r="H68" s="18" t="s">
        <v>2329</v>
      </c>
    </row>
    <row r="69" spans="1:8" ht="32" x14ac:dyDescent="0.2">
      <c r="A69" s="63">
        <v>9</v>
      </c>
      <c r="B69" s="60" t="s">
        <v>2311</v>
      </c>
      <c r="C69" s="60" t="s">
        <v>2330</v>
      </c>
      <c r="D69" s="60" t="s">
        <v>2331</v>
      </c>
      <c r="E69" s="61" t="s">
        <v>2332</v>
      </c>
      <c r="F69" s="64" t="s">
        <v>2229</v>
      </c>
      <c r="G69" s="60" t="s">
        <v>2155</v>
      </c>
      <c r="H69" s="18"/>
    </row>
    <row r="70" spans="1:8" ht="16" x14ac:dyDescent="0.2">
      <c r="A70" s="63">
        <v>9</v>
      </c>
      <c r="B70" s="60" t="s">
        <v>2311</v>
      </c>
      <c r="C70" s="60" t="s">
        <v>2330</v>
      </c>
      <c r="D70" s="60" t="s">
        <v>2333</v>
      </c>
      <c r="E70" s="61" t="s">
        <v>2334</v>
      </c>
      <c r="F70" s="64" t="s">
        <v>2187</v>
      </c>
      <c r="G70" s="60" t="s">
        <v>2155</v>
      </c>
      <c r="H70" s="18"/>
    </row>
    <row r="71" spans="1:8" ht="16" x14ac:dyDescent="0.2">
      <c r="A71" s="63">
        <v>9</v>
      </c>
      <c r="B71" s="60" t="s">
        <v>2311</v>
      </c>
      <c r="C71" s="60" t="s">
        <v>2330</v>
      </c>
      <c r="D71" s="60" t="s">
        <v>2335</v>
      </c>
      <c r="E71" s="61" t="s">
        <v>2336</v>
      </c>
      <c r="F71" s="64" t="s">
        <v>2264</v>
      </c>
      <c r="G71" s="60" t="s">
        <v>2155</v>
      </c>
      <c r="H71" s="18"/>
    </row>
    <row r="72" spans="1:8" ht="16" x14ac:dyDescent="0.2">
      <c r="A72" s="63">
        <v>9</v>
      </c>
      <c r="B72" s="60" t="s">
        <v>2311</v>
      </c>
      <c r="C72" s="60" t="s">
        <v>2330</v>
      </c>
      <c r="D72" s="60" t="s">
        <v>2337</v>
      </c>
      <c r="E72" s="61" t="s">
        <v>2338</v>
      </c>
      <c r="F72" s="64" t="s">
        <v>2204</v>
      </c>
      <c r="G72" s="60" t="s">
        <v>2155</v>
      </c>
      <c r="H72" s="18"/>
    </row>
    <row r="73" spans="1:8" ht="16" x14ac:dyDescent="0.2">
      <c r="A73" s="63">
        <v>9</v>
      </c>
      <c r="B73" s="60" t="s">
        <v>2311</v>
      </c>
      <c r="C73" s="60" t="s">
        <v>2339</v>
      </c>
      <c r="D73" s="60" t="s">
        <v>2340</v>
      </c>
      <c r="E73" s="61" t="s">
        <v>2341</v>
      </c>
      <c r="F73" s="64" t="s">
        <v>2164</v>
      </c>
      <c r="G73" s="60" t="s">
        <v>2155</v>
      </c>
      <c r="H73" s="18"/>
    </row>
    <row r="74" spans="1:8" ht="32" x14ac:dyDescent="0.2">
      <c r="A74" s="63">
        <v>10</v>
      </c>
      <c r="B74" s="60" t="s">
        <v>2311</v>
      </c>
      <c r="C74" s="60" t="s">
        <v>2339</v>
      </c>
      <c r="D74" s="60" t="s">
        <v>2342</v>
      </c>
      <c r="E74" s="61" t="s">
        <v>2343</v>
      </c>
      <c r="F74" s="64" t="s">
        <v>2253</v>
      </c>
      <c r="G74" s="60" t="s">
        <v>2155</v>
      </c>
      <c r="H74" s="18" t="s">
        <v>2254</v>
      </c>
    </row>
    <row r="75" spans="1:8" ht="48" x14ac:dyDescent="0.2">
      <c r="A75" s="63">
        <v>10</v>
      </c>
      <c r="B75" s="60" t="s">
        <v>2311</v>
      </c>
      <c r="C75" s="60" t="s">
        <v>2339</v>
      </c>
      <c r="D75" s="60" t="s">
        <v>2344</v>
      </c>
      <c r="E75" s="61" t="s">
        <v>2345</v>
      </c>
      <c r="F75" s="64" t="s">
        <v>2328</v>
      </c>
      <c r="G75" s="60" t="s">
        <v>2155</v>
      </c>
      <c r="H75" s="18" t="s">
        <v>2329</v>
      </c>
    </row>
    <row r="76" spans="1:8" ht="48" x14ac:dyDescent="0.2">
      <c r="A76" s="63">
        <v>10</v>
      </c>
      <c r="B76" s="60" t="s">
        <v>2346</v>
      </c>
      <c r="C76" s="60"/>
      <c r="D76" s="60" t="s">
        <v>2347</v>
      </c>
      <c r="E76" s="61" t="s">
        <v>2348</v>
      </c>
      <c r="F76" s="64" t="s">
        <v>2154</v>
      </c>
      <c r="G76" s="60" t="s">
        <v>2155</v>
      </c>
      <c r="H76" s="18" t="s">
        <v>2349</v>
      </c>
    </row>
    <row r="77" spans="1:8" ht="48" x14ac:dyDescent="0.2">
      <c r="A77" s="63">
        <v>10</v>
      </c>
      <c r="B77" s="60" t="s">
        <v>2346</v>
      </c>
      <c r="C77" s="60"/>
      <c r="D77" s="60" t="s">
        <v>2350</v>
      </c>
      <c r="E77" s="61" t="s">
        <v>2351</v>
      </c>
      <c r="F77" s="64" t="s">
        <v>2161</v>
      </c>
      <c r="G77" s="60" t="s">
        <v>2155</v>
      </c>
      <c r="H77" s="18"/>
    </row>
    <row r="78" spans="1:8" ht="32" x14ac:dyDescent="0.2">
      <c r="A78" s="63">
        <v>10</v>
      </c>
      <c r="B78" s="60" t="s">
        <v>2346</v>
      </c>
      <c r="C78" s="60" t="s">
        <v>2352</v>
      </c>
      <c r="D78" s="60" t="s">
        <v>2353</v>
      </c>
      <c r="E78" s="61" t="s">
        <v>2354</v>
      </c>
      <c r="F78" s="64" t="s">
        <v>2154</v>
      </c>
      <c r="G78" s="60" t="s">
        <v>2155</v>
      </c>
      <c r="H78" s="18"/>
    </row>
    <row r="79" spans="1:8" ht="16" x14ac:dyDescent="0.2">
      <c r="A79" s="63">
        <v>10</v>
      </c>
      <c r="B79" s="60" t="s">
        <v>2346</v>
      </c>
      <c r="C79" s="60" t="s">
        <v>2352</v>
      </c>
      <c r="D79" s="60" t="s">
        <v>2355</v>
      </c>
      <c r="E79" s="61" t="s">
        <v>2356</v>
      </c>
      <c r="F79" s="64" t="s">
        <v>2164</v>
      </c>
      <c r="G79" s="60" t="s">
        <v>2155</v>
      </c>
      <c r="H79" s="18"/>
    </row>
    <row r="80" spans="1:8" ht="16" x14ac:dyDescent="0.2">
      <c r="A80" s="63">
        <v>10</v>
      </c>
      <c r="B80" s="60" t="s">
        <v>2346</v>
      </c>
      <c r="C80" s="60" t="s">
        <v>2352</v>
      </c>
      <c r="D80" s="60" t="s">
        <v>2357</v>
      </c>
      <c r="E80" s="61" t="s">
        <v>2358</v>
      </c>
      <c r="F80" s="64" t="s">
        <v>2229</v>
      </c>
      <c r="G80" s="60" t="s">
        <v>2155</v>
      </c>
      <c r="H80" s="18"/>
    </row>
    <row r="81" spans="1:8" ht="32" x14ac:dyDescent="0.2">
      <c r="A81" s="63">
        <v>10</v>
      </c>
      <c r="B81" s="60" t="s">
        <v>2346</v>
      </c>
      <c r="C81" s="60" t="s">
        <v>2352</v>
      </c>
      <c r="D81" s="60" t="s">
        <v>2359</v>
      </c>
      <c r="E81" s="61" t="s">
        <v>2360</v>
      </c>
      <c r="F81" s="64" t="s">
        <v>2187</v>
      </c>
      <c r="G81" s="60" t="s">
        <v>2155</v>
      </c>
      <c r="H81" s="18" t="s">
        <v>2361</v>
      </c>
    </row>
    <row r="82" spans="1:8" ht="16" x14ac:dyDescent="0.2">
      <c r="A82" s="63">
        <v>10</v>
      </c>
      <c r="B82" s="60" t="s">
        <v>2346</v>
      </c>
      <c r="C82" s="60" t="s">
        <v>2362</v>
      </c>
      <c r="D82" s="60" t="s">
        <v>2359</v>
      </c>
      <c r="E82" s="61" t="s">
        <v>2363</v>
      </c>
      <c r="F82" s="64" t="s">
        <v>2154</v>
      </c>
      <c r="G82" s="60" t="s">
        <v>2155</v>
      </c>
      <c r="H82" s="18" t="s">
        <v>2364</v>
      </c>
    </row>
    <row r="83" spans="1:8" ht="16" x14ac:dyDescent="0.2">
      <c r="A83" s="63">
        <v>10</v>
      </c>
      <c r="B83" s="60" t="s">
        <v>2346</v>
      </c>
      <c r="C83" s="60" t="s">
        <v>2362</v>
      </c>
      <c r="D83" s="60" t="s">
        <v>2365</v>
      </c>
      <c r="E83" s="61" t="s">
        <v>2366</v>
      </c>
      <c r="F83" s="64" t="s">
        <v>2161</v>
      </c>
      <c r="G83" s="60" t="s">
        <v>2155</v>
      </c>
      <c r="H83" s="18"/>
    </row>
    <row r="84" spans="1:8" ht="16" x14ac:dyDescent="0.2">
      <c r="A84" s="63">
        <v>10</v>
      </c>
      <c r="B84" s="60" t="s">
        <v>2346</v>
      </c>
      <c r="C84" s="60" t="s">
        <v>2362</v>
      </c>
      <c r="D84" s="60" t="s">
        <v>2367</v>
      </c>
      <c r="E84" s="61" t="s">
        <v>2368</v>
      </c>
      <c r="F84" s="64" t="s">
        <v>2164</v>
      </c>
      <c r="G84" s="60" t="s">
        <v>2155</v>
      </c>
      <c r="H84" s="18"/>
    </row>
    <row r="85" spans="1:8" ht="16" x14ac:dyDescent="0.2">
      <c r="A85" s="63">
        <v>10</v>
      </c>
      <c r="B85" s="60" t="s">
        <v>2369</v>
      </c>
      <c r="C85" s="60"/>
      <c r="D85" s="60" t="s">
        <v>2370</v>
      </c>
      <c r="E85" s="61" t="s">
        <v>2371</v>
      </c>
      <c r="F85" s="64" t="s">
        <v>2154</v>
      </c>
      <c r="G85" s="60" t="s">
        <v>2155</v>
      </c>
      <c r="H85" s="18"/>
    </row>
    <row r="86" spans="1:8" ht="16" x14ac:dyDescent="0.2">
      <c r="A86" s="63">
        <v>10</v>
      </c>
      <c r="B86" s="60" t="s">
        <v>2369</v>
      </c>
      <c r="C86" s="60"/>
      <c r="D86" s="60" t="s">
        <v>2372</v>
      </c>
      <c r="E86" s="61" t="s">
        <v>2373</v>
      </c>
      <c r="F86" s="64" t="s">
        <v>2191</v>
      </c>
      <c r="G86" s="60" t="s">
        <v>2155</v>
      </c>
      <c r="H86" s="18"/>
    </row>
    <row r="87" spans="1:8" ht="16" x14ac:dyDescent="0.2">
      <c r="A87" s="63">
        <v>10</v>
      </c>
      <c r="B87" s="60" t="s">
        <v>2374</v>
      </c>
      <c r="C87" s="60"/>
      <c r="D87" s="60" t="s">
        <v>2375</v>
      </c>
      <c r="E87" s="61" t="s">
        <v>2376</v>
      </c>
      <c r="F87" s="64" t="s">
        <v>2154</v>
      </c>
      <c r="G87" s="60" t="s">
        <v>2155</v>
      </c>
      <c r="H87" s="18"/>
    </row>
    <row r="88" spans="1:8" ht="32" x14ac:dyDescent="0.2">
      <c r="A88" s="63">
        <v>10</v>
      </c>
      <c r="B88" s="60" t="s">
        <v>2374</v>
      </c>
      <c r="C88" s="60"/>
      <c r="D88" s="60" t="s">
        <v>2377</v>
      </c>
      <c r="E88" s="61" t="s">
        <v>2378</v>
      </c>
      <c r="F88" s="64" t="s">
        <v>2164</v>
      </c>
      <c r="G88" s="60" t="s">
        <v>2155</v>
      </c>
      <c r="H88" s="18"/>
    </row>
    <row r="89" spans="1:8" ht="16" x14ac:dyDescent="0.2">
      <c r="A89" s="63">
        <v>10</v>
      </c>
      <c r="B89" s="60" t="s">
        <v>2374</v>
      </c>
      <c r="C89" s="60"/>
      <c r="D89" s="60" t="s">
        <v>2379</v>
      </c>
      <c r="E89" s="61" t="s">
        <v>2380</v>
      </c>
      <c r="F89" s="64" t="s">
        <v>2229</v>
      </c>
      <c r="G89" s="60" t="s">
        <v>2155</v>
      </c>
      <c r="H89" s="18"/>
    </row>
    <row r="90" spans="1:8" ht="32" x14ac:dyDescent="0.2">
      <c r="A90" s="63">
        <v>10</v>
      </c>
      <c r="B90" s="60" t="s">
        <v>2374</v>
      </c>
      <c r="C90" s="60"/>
      <c r="D90" s="60" t="s">
        <v>2381</v>
      </c>
      <c r="E90" s="61" t="s">
        <v>2382</v>
      </c>
      <c r="F90" s="64" t="s">
        <v>2187</v>
      </c>
      <c r="G90" s="60" t="s">
        <v>2155</v>
      </c>
      <c r="H90" s="18"/>
    </row>
    <row r="91" spans="1:8" ht="16" x14ac:dyDescent="0.2">
      <c r="A91" s="63">
        <v>10</v>
      </c>
      <c r="B91" s="60" t="s">
        <v>2374</v>
      </c>
      <c r="C91" s="60"/>
      <c r="D91" s="60" t="s">
        <v>2383</v>
      </c>
      <c r="E91" s="61" t="s">
        <v>2384</v>
      </c>
      <c r="F91" s="64" t="s">
        <v>2204</v>
      </c>
      <c r="G91" s="60" t="s">
        <v>2155</v>
      </c>
      <c r="H91" s="18"/>
    </row>
    <row r="92" spans="1:8" ht="16" x14ac:dyDescent="0.2">
      <c r="A92" s="63">
        <v>10</v>
      </c>
      <c r="B92" s="60" t="s">
        <v>2385</v>
      </c>
      <c r="C92" s="60"/>
      <c r="D92" s="60" t="s">
        <v>2386</v>
      </c>
      <c r="E92" s="61" t="s">
        <v>2387</v>
      </c>
      <c r="F92" s="64" t="s">
        <v>2154</v>
      </c>
      <c r="G92" s="60" t="s">
        <v>2155</v>
      </c>
      <c r="H92" s="18"/>
    </row>
    <row r="93" spans="1:8" ht="32" x14ac:dyDescent="0.2">
      <c r="A93" s="63">
        <v>10</v>
      </c>
      <c r="B93" s="60" t="s">
        <v>2385</v>
      </c>
      <c r="C93" s="60"/>
      <c r="D93" s="60" t="s">
        <v>2388</v>
      </c>
      <c r="E93" s="61" t="s">
        <v>2389</v>
      </c>
      <c r="F93" s="64" t="s">
        <v>2161</v>
      </c>
      <c r="G93" s="60" t="s">
        <v>2155</v>
      </c>
      <c r="H93" s="18"/>
    </row>
    <row r="94" spans="1:8" ht="32" x14ac:dyDescent="0.2">
      <c r="A94" s="63">
        <v>11</v>
      </c>
      <c r="B94" s="60" t="s">
        <v>2385</v>
      </c>
      <c r="C94" s="60"/>
      <c r="D94" s="60" t="s">
        <v>2390</v>
      </c>
      <c r="E94" s="61" t="s">
        <v>2391</v>
      </c>
      <c r="F94" s="64" t="s">
        <v>2164</v>
      </c>
      <c r="G94" s="60" t="s">
        <v>2155</v>
      </c>
      <c r="H94" s="18"/>
    </row>
    <row r="95" spans="1:8" ht="16" x14ac:dyDescent="0.2">
      <c r="A95" s="63">
        <v>11</v>
      </c>
      <c r="B95" s="60" t="s">
        <v>2385</v>
      </c>
      <c r="C95" s="60"/>
      <c r="D95" s="60" t="s">
        <v>2392</v>
      </c>
      <c r="E95" s="61" t="s">
        <v>2393</v>
      </c>
      <c r="F95" s="64" t="s">
        <v>2229</v>
      </c>
      <c r="G95" s="60" t="s">
        <v>2155</v>
      </c>
      <c r="H95" s="18"/>
    </row>
    <row r="96" spans="1:8" ht="32" x14ac:dyDescent="0.2">
      <c r="A96" s="63">
        <v>11</v>
      </c>
      <c r="B96" s="60" t="s">
        <v>2385</v>
      </c>
      <c r="C96" s="60"/>
      <c r="D96" s="60" t="s">
        <v>2394</v>
      </c>
      <c r="E96" s="61" t="s">
        <v>2395</v>
      </c>
      <c r="F96" s="64" t="s">
        <v>2187</v>
      </c>
      <c r="G96" s="60" t="s">
        <v>2155</v>
      </c>
      <c r="H96" s="18"/>
    </row>
    <row r="97" spans="1:8" ht="32" x14ac:dyDescent="0.2">
      <c r="A97" s="63">
        <v>11</v>
      </c>
      <c r="B97" s="60" t="s">
        <v>2385</v>
      </c>
      <c r="C97" s="60"/>
      <c r="D97" s="60" t="s">
        <v>2396</v>
      </c>
      <c r="E97" s="61" t="s">
        <v>2397</v>
      </c>
      <c r="F97" s="64" t="s">
        <v>2191</v>
      </c>
      <c r="G97" s="60" t="s">
        <v>2155</v>
      </c>
      <c r="H97" s="18"/>
    </row>
    <row r="98" spans="1:8" ht="32" x14ac:dyDescent="0.2">
      <c r="A98" s="63">
        <v>11</v>
      </c>
      <c r="B98" s="60" t="s">
        <v>2398</v>
      </c>
      <c r="C98" s="60" t="s">
        <v>2399</v>
      </c>
      <c r="D98" s="60" t="s">
        <v>2400</v>
      </c>
      <c r="E98" s="61" t="s">
        <v>2401</v>
      </c>
      <c r="F98" s="64" t="s">
        <v>2154</v>
      </c>
      <c r="G98" s="60" t="s">
        <v>2155</v>
      </c>
      <c r="H98" s="18"/>
    </row>
    <row r="99" spans="1:8" ht="16" x14ac:dyDescent="0.2">
      <c r="A99" s="63">
        <v>11</v>
      </c>
      <c r="B99" s="60" t="s">
        <v>2398</v>
      </c>
      <c r="C99" s="60" t="s">
        <v>2399</v>
      </c>
      <c r="D99" s="60" t="s">
        <v>2402</v>
      </c>
      <c r="E99" s="61" t="s">
        <v>2403</v>
      </c>
      <c r="F99" s="64" t="s">
        <v>2161</v>
      </c>
      <c r="G99" s="60" t="s">
        <v>2155</v>
      </c>
      <c r="H99" s="18"/>
    </row>
    <row r="100" spans="1:8" ht="16" x14ac:dyDescent="0.2">
      <c r="A100" s="63">
        <v>11</v>
      </c>
      <c r="B100" s="60" t="s">
        <v>2398</v>
      </c>
      <c r="C100" s="60" t="s">
        <v>2399</v>
      </c>
      <c r="D100" s="60" t="s">
        <v>2404</v>
      </c>
      <c r="E100" s="61" t="s">
        <v>2405</v>
      </c>
      <c r="F100" s="64" t="s">
        <v>2164</v>
      </c>
      <c r="G100" s="60" t="s">
        <v>2155</v>
      </c>
      <c r="H100" s="18"/>
    </row>
    <row r="101" spans="1:8" ht="16" x14ac:dyDescent="0.2">
      <c r="A101" s="63">
        <v>11</v>
      </c>
      <c r="B101" s="60" t="s">
        <v>2398</v>
      </c>
      <c r="C101" s="60" t="s">
        <v>2406</v>
      </c>
      <c r="D101" s="60" t="s">
        <v>2407</v>
      </c>
      <c r="E101" s="61" t="s">
        <v>2408</v>
      </c>
      <c r="F101" s="64" t="s">
        <v>2154</v>
      </c>
      <c r="G101" s="60" t="s">
        <v>2155</v>
      </c>
      <c r="H101" s="18"/>
    </row>
    <row r="102" spans="1:8" ht="16" x14ac:dyDescent="0.2">
      <c r="A102" s="63">
        <v>11</v>
      </c>
      <c r="B102" s="60" t="s">
        <v>2398</v>
      </c>
      <c r="C102" s="60" t="s">
        <v>2406</v>
      </c>
      <c r="D102" s="60" t="s">
        <v>2409</v>
      </c>
      <c r="E102" s="61" t="s">
        <v>2410</v>
      </c>
      <c r="F102" s="64" t="s">
        <v>2164</v>
      </c>
      <c r="G102" s="60" t="s">
        <v>2155</v>
      </c>
      <c r="H102" s="18"/>
    </row>
    <row r="103" spans="1:8" ht="16" x14ac:dyDescent="0.2">
      <c r="A103" s="63">
        <v>11</v>
      </c>
      <c r="B103" s="60" t="s">
        <v>2398</v>
      </c>
      <c r="C103" s="60" t="s">
        <v>2406</v>
      </c>
      <c r="D103" s="60" t="s">
        <v>2411</v>
      </c>
      <c r="E103" s="61" t="s">
        <v>2412</v>
      </c>
      <c r="F103" s="64" t="s">
        <v>2187</v>
      </c>
      <c r="G103" s="60" t="s">
        <v>2155</v>
      </c>
      <c r="H103" s="18"/>
    </row>
    <row r="104" spans="1:8" ht="16" x14ac:dyDescent="0.2">
      <c r="A104" s="63">
        <v>11</v>
      </c>
      <c r="B104" s="60" t="s">
        <v>2398</v>
      </c>
      <c r="C104" s="60" t="s">
        <v>2406</v>
      </c>
      <c r="D104" s="60" t="s">
        <v>2413</v>
      </c>
      <c r="E104" s="61" t="s">
        <v>2414</v>
      </c>
      <c r="F104" s="64" t="s">
        <v>2191</v>
      </c>
      <c r="G104" s="60" t="s">
        <v>2155</v>
      </c>
      <c r="H104" s="18"/>
    </row>
    <row r="105" spans="1:8" ht="16" x14ac:dyDescent="0.2">
      <c r="A105" s="63">
        <v>11</v>
      </c>
      <c r="B105" s="60" t="s">
        <v>2398</v>
      </c>
      <c r="C105" s="60" t="s">
        <v>2415</v>
      </c>
      <c r="D105" s="60" t="s">
        <v>2416</v>
      </c>
      <c r="E105" s="61" t="s">
        <v>2417</v>
      </c>
      <c r="F105" s="64" t="s">
        <v>2161</v>
      </c>
      <c r="G105" s="60" t="s">
        <v>2155</v>
      </c>
      <c r="H105" s="18"/>
    </row>
    <row r="106" spans="1:8" ht="16" x14ac:dyDescent="0.2">
      <c r="A106" s="63">
        <v>11</v>
      </c>
      <c r="B106" s="60" t="s">
        <v>2398</v>
      </c>
      <c r="C106" s="60" t="s">
        <v>2415</v>
      </c>
      <c r="D106" s="60" t="s">
        <v>2418</v>
      </c>
      <c r="E106" s="61" t="s">
        <v>2419</v>
      </c>
      <c r="F106" s="64" t="s">
        <v>2322</v>
      </c>
      <c r="G106" s="60" t="s">
        <v>2155</v>
      </c>
      <c r="H106" s="18" t="s">
        <v>2323</v>
      </c>
    </row>
    <row r="107" spans="1:8" ht="16" x14ac:dyDescent="0.2">
      <c r="A107" s="63">
        <v>11</v>
      </c>
      <c r="B107" s="60" t="s">
        <v>2398</v>
      </c>
      <c r="C107" s="60" t="s">
        <v>2415</v>
      </c>
      <c r="D107" s="60" t="s">
        <v>2420</v>
      </c>
      <c r="E107" s="61" t="s">
        <v>2421</v>
      </c>
      <c r="F107" s="64" t="s">
        <v>2187</v>
      </c>
      <c r="G107" s="60" t="s">
        <v>2155</v>
      </c>
      <c r="H107" s="18"/>
    </row>
    <row r="108" spans="1:8" ht="16" x14ac:dyDescent="0.2">
      <c r="A108" s="63">
        <v>11</v>
      </c>
      <c r="B108" s="60" t="s">
        <v>2398</v>
      </c>
      <c r="C108" s="60" t="s">
        <v>2422</v>
      </c>
      <c r="D108" s="60" t="s">
        <v>2423</v>
      </c>
      <c r="E108" s="61" t="s">
        <v>2424</v>
      </c>
      <c r="F108" s="64" t="s">
        <v>2154</v>
      </c>
      <c r="G108" s="60" t="s">
        <v>2155</v>
      </c>
      <c r="H108" s="18"/>
    </row>
    <row r="109" spans="1:8" ht="16" x14ac:dyDescent="0.2">
      <c r="A109" s="63">
        <v>11</v>
      </c>
      <c r="B109" s="60" t="s">
        <v>2398</v>
      </c>
      <c r="C109" s="60" t="s">
        <v>2422</v>
      </c>
      <c r="D109" s="60" t="s">
        <v>2425</v>
      </c>
      <c r="E109" s="61" t="s">
        <v>2426</v>
      </c>
      <c r="F109" s="64" t="s">
        <v>2164</v>
      </c>
      <c r="G109" s="60" t="s">
        <v>2155</v>
      </c>
      <c r="H109" s="18"/>
    </row>
    <row r="110" spans="1:8" ht="16" x14ac:dyDescent="0.2">
      <c r="A110" s="63">
        <v>11</v>
      </c>
      <c r="B110" s="60" t="s">
        <v>2398</v>
      </c>
      <c r="C110" s="60" t="s">
        <v>2422</v>
      </c>
      <c r="D110" s="60" t="s">
        <v>2427</v>
      </c>
      <c r="E110" s="61" t="s">
        <v>2428</v>
      </c>
      <c r="F110" s="64" t="s">
        <v>2429</v>
      </c>
      <c r="G110" s="60" t="s">
        <v>2155</v>
      </c>
      <c r="H110" s="18" t="s">
        <v>2430</v>
      </c>
    </row>
    <row r="111" spans="1:8" ht="32" x14ac:dyDescent="0.2">
      <c r="A111" s="63">
        <v>11</v>
      </c>
      <c r="B111" s="60" t="s">
        <v>2431</v>
      </c>
      <c r="C111" s="60" t="s">
        <v>2432</v>
      </c>
      <c r="D111" s="60" t="s">
        <v>2433</v>
      </c>
      <c r="E111" s="61" t="s">
        <v>2434</v>
      </c>
      <c r="F111" s="64" t="s">
        <v>2429</v>
      </c>
      <c r="G111" s="60" t="s">
        <v>2155</v>
      </c>
      <c r="H111" s="18" t="s">
        <v>2435</v>
      </c>
    </row>
    <row r="112" spans="1:8" ht="32" x14ac:dyDescent="0.2">
      <c r="A112" s="63">
        <v>11</v>
      </c>
      <c r="B112" s="60" t="s">
        <v>2431</v>
      </c>
      <c r="C112" s="60" t="s">
        <v>2432</v>
      </c>
      <c r="D112" s="60" t="s">
        <v>2436</v>
      </c>
      <c r="E112" s="61" t="s">
        <v>2437</v>
      </c>
      <c r="F112" s="64" t="s">
        <v>2438</v>
      </c>
      <c r="G112" s="60" t="s">
        <v>2155</v>
      </c>
      <c r="H112" s="18" t="s">
        <v>2435</v>
      </c>
    </row>
    <row r="113" spans="1:8" ht="32" x14ac:dyDescent="0.2">
      <c r="A113" s="63">
        <v>11</v>
      </c>
      <c r="B113" s="60" t="s">
        <v>2431</v>
      </c>
      <c r="C113" s="60" t="s">
        <v>2432</v>
      </c>
      <c r="D113" s="60" t="s">
        <v>2439</v>
      </c>
      <c r="E113" s="61" t="s">
        <v>2440</v>
      </c>
      <c r="F113" s="64" t="s">
        <v>2441</v>
      </c>
      <c r="G113" s="60" t="s">
        <v>2155</v>
      </c>
      <c r="H113" s="18" t="s">
        <v>2435</v>
      </c>
    </row>
    <row r="114" spans="1:8" ht="32" x14ac:dyDescent="0.2">
      <c r="A114" s="63">
        <v>11</v>
      </c>
      <c r="B114" s="60" t="s">
        <v>2431</v>
      </c>
      <c r="C114" s="60" t="s">
        <v>2442</v>
      </c>
      <c r="D114" s="60" t="s">
        <v>2443</v>
      </c>
      <c r="E114" s="61" t="s">
        <v>2444</v>
      </c>
      <c r="F114" s="64" t="s">
        <v>2429</v>
      </c>
      <c r="G114" s="60" t="s">
        <v>2155</v>
      </c>
      <c r="H114" s="18" t="s">
        <v>2445</v>
      </c>
    </row>
    <row r="115" spans="1:8" ht="32" x14ac:dyDescent="0.2">
      <c r="A115" s="63">
        <v>11</v>
      </c>
      <c r="B115" s="60" t="s">
        <v>2431</v>
      </c>
      <c r="C115" s="60" t="s">
        <v>2442</v>
      </c>
      <c r="D115" s="60" t="s">
        <v>2446</v>
      </c>
      <c r="E115" s="61" t="s">
        <v>2447</v>
      </c>
      <c r="F115" s="64" t="s">
        <v>2438</v>
      </c>
      <c r="G115" s="60" t="s">
        <v>2155</v>
      </c>
      <c r="H115" s="18" t="s">
        <v>2445</v>
      </c>
    </row>
    <row r="116" spans="1:8" ht="32" x14ac:dyDescent="0.2">
      <c r="A116" s="63">
        <v>11</v>
      </c>
      <c r="B116" s="60" t="s">
        <v>2431</v>
      </c>
      <c r="C116" s="60" t="s">
        <v>2442</v>
      </c>
      <c r="D116" s="60" t="s">
        <v>2448</v>
      </c>
      <c r="E116" s="61" t="s">
        <v>2449</v>
      </c>
      <c r="F116" s="64" t="s">
        <v>2441</v>
      </c>
      <c r="G116" s="60" t="s">
        <v>2155</v>
      </c>
      <c r="H116" s="18" t="s">
        <v>2445</v>
      </c>
    </row>
    <row r="117" spans="1:8" ht="32" x14ac:dyDescent="0.2">
      <c r="A117" s="63">
        <v>11</v>
      </c>
      <c r="B117" s="60" t="s">
        <v>2431</v>
      </c>
      <c r="C117" s="60" t="s">
        <v>2442</v>
      </c>
      <c r="D117" s="60"/>
      <c r="E117" s="61" t="s">
        <v>2450</v>
      </c>
      <c r="F117" s="64" t="s">
        <v>2183</v>
      </c>
      <c r="G117" s="60" t="s">
        <v>2180</v>
      </c>
      <c r="H117" s="18"/>
    </row>
    <row r="118" spans="1:8" ht="16" x14ac:dyDescent="0.2">
      <c r="A118" s="63">
        <v>12</v>
      </c>
      <c r="B118" s="60" t="s">
        <v>2451</v>
      </c>
      <c r="C118" s="60"/>
      <c r="D118" s="60" t="s">
        <v>2233</v>
      </c>
      <c r="E118" s="61" t="s">
        <v>2452</v>
      </c>
      <c r="F118" s="64" t="s">
        <v>2453</v>
      </c>
      <c r="G118" s="60" t="s">
        <v>4</v>
      </c>
      <c r="H118" s="18" t="s">
        <v>2454</v>
      </c>
    </row>
    <row r="119" spans="1:8" ht="16" x14ac:dyDescent="0.2">
      <c r="A119" s="63">
        <v>12</v>
      </c>
      <c r="B119" s="60" t="s">
        <v>2451</v>
      </c>
      <c r="C119" s="60"/>
      <c r="D119" s="60" t="s">
        <v>2237</v>
      </c>
      <c r="E119" s="61" t="s">
        <v>2455</v>
      </c>
      <c r="F119" s="64" t="s">
        <v>2453</v>
      </c>
      <c r="G119" s="60" t="s">
        <v>4</v>
      </c>
      <c r="H119" s="18" t="s">
        <v>2456</v>
      </c>
    </row>
    <row r="120" spans="1:8" ht="16" x14ac:dyDescent="0.2">
      <c r="A120" s="63">
        <v>12</v>
      </c>
      <c r="B120" s="60" t="s">
        <v>2457</v>
      </c>
      <c r="C120" s="60"/>
      <c r="D120" s="60" t="s">
        <v>2458</v>
      </c>
      <c r="E120" s="61" t="s">
        <v>2459</v>
      </c>
      <c r="F120" s="64" t="s">
        <v>2453</v>
      </c>
      <c r="G120" s="60" t="s">
        <v>2460</v>
      </c>
      <c r="H120" s="18"/>
    </row>
    <row r="121" spans="1:8" ht="16" x14ac:dyDescent="0.2">
      <c r="A121" s="63">
        <v>12</v>
      </c>
      <c r="B121" s="60" t="s">
        <v>2457</v>
      </c>
      <c r="C121" s="60"/>
      <c r="D121" s="60" t="s">
        <v>2461</v>
      </c>
      <c r="E121" s="61" t="s">
        <v>2462</v>
      </c>
      <c r="F121" s="64" t="s">
        <v>2273</v>
      </c>
      <c r="G121" s="60" t="s">
        <v>2460</v>
      </c>
      <c r="H121" s="18"/>
    </row>
    <row r="122" spans="1:8" ht="16" x14ac:dyDescent="0.2">
      <c r="A122" s="63">
        <v>12</v>
      </c>
      <c r="B122" s="60" t="s">
        <v>2457</v>
      </c>
      <c r="C122" s="60"/>
      <c r="D122" s="60" t="s">
        <v>2463</v>
      </c>
      <c r="E122" s="61" t="s">
        <v>2464</v>
      </c>
      <c r="F122" s="64" t="s">
        <v>2465</v>
      </c>
      <c r="G122" s="60" t="s">
        <v>2460</v>
      </c>
      <c r="H122" s="18" t="s">
        <v>2466</v>
      </c>
    </row>
    <row r="123" spans="1:8" ht="32" x14ac:dyDescent="0.2">
      <c r="A123" s="63">
        <v>12</v>
      </c>
      <c r="B123" s="60" t="s">
        <v>2457</v>
      </c>
      <c r="C123" s="60"/>
      <c r="D123" s="60" t="s">
        <v>2467</v>
      </c>
      <c r="E123" s="61" t="s">
        <v>2468</v>
      </c>
      <c r="F123" s="64" t="s">
        <v>2273</v>
      </c>
      <c r="G123" s="60" t="s">
        <v>2460</v>
      </c>
      <c r="H123" s="18"/>
    </row>
    <row r="124" spans="1:8" ht="16" x14ac:dyDescent="0.2">
      <c r="A124" s="63">
        <v>12</v>
      </c>
      <c r="B124" s="60" t="s">
        <v>2457</v>
      </c>
      <c r="C124" s="60"/>
      <c r="D124" s="60" t="s">
        <v>2469</v>
      </c>
      <c r="E124" s="61" t="s">
        <v>2470</v>
      </c>
      <c r="F124" s="64" t="s">
        <v>2471</v>
      </c>
      <c r="G124" s="60" t="s">
        <v>2460</v>
      </c>
      <c r="H124" s="18" t="s">
        <v>2472</v>
      </c>
    </row>
    <row r="125" spans="1:8" ht="16" x14ac:dyDescent="0.2">
      <c r="A125" s="63">
        <v>12</v>
      </c>
      <c r="B125" s="60" t="s">
        <v>2457</v>
      </c>
      <c r="C125" s="60"/>
      <c r="D125" s="60" t="s">
        <v>2312</v>
      </c>
      <c r="E125" s="61" t="s">
        <v>2473</v>
      </c>
      <c r="F125" s="64" t="s">
        <v>2453</v>
      </c>
      <c r="G125" s="60" t="s">
        <v>2460</v>
      </c>
      <c r="H125" s="18" t="s">
        <v>2474</v>
      </c>
    </row>
    <row r="126" spans="1:8" ht="16" x14ac:dyDescent="0.2">
      <c r="A126" s="63">
        <v>12</v>
      </c>
      <c r="B126" s="60" t="s">
        <v>2457</v>
      </c>
      <c r="C126" s="60"/>
      <c r="D126" s="60" t="s">
        <v>2315</v>
      </c>
      <c r="E126" s="61" t="s">
        <v>2475</v>
      </c>
      <c r="F126" s="64" t="s">
        <v>2273</v>
      </c>
      <c r="G126" s="60" t="s">
        <v>2460</v>
      </c>
      <c r="H126" s="18" t="s">
        <v>2476</v>
      </c>
    </row>
    <row r="127" spans="1:8" ht="16" x14ac:dyDescent="0.2">
      <c r="A127" s="63">
        <v>12</v>
      </c>
      <c r="B127" s="60" t="s">
        <v>2457</v>
      </c>
      <c r="C127" s="60"/>
      <c r="D127" s="60" t="s">
        <v>2477</v>
      </c>
      <c r="E127" s="61" t="s">
        <v>2478</v>
      </c>
      <c r="F127" s="64" t="s">
        <v>2479</v>
      </c>
      <c r="G127" s="60" t="s">
        <v>2460</v>
      </c>
      <c r="H127" s="18"/>
    </row>
    <row r="128" spans="1:8" ht="16" x14ac:dyDescent="0.2">
      <c r="A128" s="63">
        <v>12</v>
      </c>
      <c r="B128" s="60" t="s">
        <v>2457</v>
      </c>
      <c r="C128" s="60"/>
      <c r="D128" s="60" t="s">
        <v>2480</v>
      </c>
      <c r="E128" s="61" t="s">
        <v>2481</v>
      </c>
      <c r="F128" s="64" t="s">
        <v>2273</v>
      </c>
      <c r="G128" s="60" t="s">
        <v>2460</v>
      </c>
      <c r="H128" s="18"/>
    </row>
    <row r="129" spans="1:8" ht="16" x14ac:dyDescent="0.2">
      <c r="A129" s="63">
        <v>12</v>
      </c>
      <c r="B129" s="60" t="s">
        <v>2457</v>
      </c>
      <c r="C129" s="60"/>
      <c r="D129" s="60" t="s">
        <v>2482</v>
      </c>
      <c r="E129" s="61" t="s">
        <v>2483</v>
      </c>
      <c r="F129" s="64" t="s">
        <v>2154</v>
      </c>
      <c r="G129" s="60" t="s">
        <v>2460</v>
      </c>
      <c r="H129" s="18"/>
    </row>
    <row r="130" spans="1:8" ht="16" x14ac:dyDescent="0.2">
      <c r="A130" s="63">
        <v>12</v>
      </c>
      <c r="B130" s="60" t="s">
        <v>2457</v>
      </c>
      <c r="C130" s="60"/>
      <c r="D130" s="60" t="s">
        <v>2484</v>
      </c>
      <c r="E130" s="61" t="s">
        <v>2485</v>
      </c>
      <c r="F130" s="64" t="s">
        <v>2273</v>
      </c>
      <c r="G130" s="60" t="s">
        <v>2460</v>
      </c>
      <c r="H130" s="18"/>
    </row>
    <row r="131" spans="1:8" ht="16" x14ac:dyDescent="0.2">
      <c r="A131" s="63">
        <v>12</v>
      </c>
      <c r="B131" s="60" t="s">
        <v>2457</v>
      </c>
      <c r="C131" s="60"/>
      <c r="D131" s="60" t="s">
        <v>2486</v>
      </c>
      <c r="E131" s="61" t="s">
        <v>2487</v>
      </c>
      <c r="F131" s="64" t="s">
        <v>2479</v>
      </c>
      <c r="G131" s="60" t="s">
        <v>2460</v>
      </c>
      <c r="H131" s="18"/>
    </row>
    <row r="132" spans="1:8" ht="16" x14ac:dyDescent="0.2">
      <c r="A132" s="63">
        <v>12</v>
      </c>
      <c r="B132" s="60" t="s">
        <v>2457</v>
      </c>
      <c r="C132" s="60"/>
      <c r="D132" s="60" t="s">
        <v>2488</v>
      </c>
      <c r="E132" s="61" t="s">
        <v>2489</v>
      </c>
      <c r="F132" s="64" t="s">
        <v>2453</v>
      </c>
      <c r="G132" s="60" t="s">
        <v>2460</v>
      </c>
      <c r="H132" s="18"/>
    </row>
    <row r="133" spans="1:8" ht="16" x14ac:dyDescent="0.2">
      <c r="A133" s="63">
        <v>12</v>
      </c>
      <c r="B133" s="60" t="s">
        <v>2457</v>
      </c>
      <c r="C133" s="60"/>
      <c r="D133" s="60" t="s">
        <v>2490</v>
      </c>
      <c r="E133" s="61" t="s">
        <v>2491</v>
      </c>
      <c r="F133" s="64" t="s">
        <v>2273</v>
      </c>
      <c r="G133" s="60" t="s">
        <v>2460</v>
      </c>
      <c r="H133" s="18"/>
    </row>
    <row r="134" spans="1:8" ht="16" x14ac:dyDescent="0.2">
      <c r="A134" s="63">
        <v>12</v>
      </c>
      <c r="B134" s="60" t="s">
        <v>2457</v>
      </c>
      <c r="C134" s="60"/>
      <c r="D134" s="60" t="s">
        <v>2492</v>
      </c>
      <c r="E134" s="61" t="s">
        <v>2493</v>
      </c>
      <c r="F134" s="64" t="s">
        <v>2494</v>
      </c>
      <c r="G134" s="60" t="s">
        <v>2460</v>
      </c>
      <c r="H134" s="18"/>
    </row>
    <row r="135" spans="1:8" ht="16" x14ac:dyDescent="0.2">
      <c r="A135" s="63">
        <v>12</v>
      </c>
      <c r="B135" s="60" t="s">
        <v>2457</v>
      </c>
      <c r="C135" s="60"/>
      <c r="D135" s="60" t="s">
        <v>2495</v>
      </c>
      <c r="E135" s="61" t="s">
        <v>2496</v>
      </c>
      <c r="F135" s="64" t="s">
        <v>2273</v>
      </c>
      <c r="G135" s="60" t="s">
        <v>2460</v>
      </c>
      <c r="H135" s="18"/>
    </row>
    <row r="136" spans="1:8" ht="32" x14ac:dyDescent="0.2">
      <c r="A136" s="63">
        <v>12</v>
      </c>
      <c r="B136" s="60" t="s">
        <v>2457</v>
      </c>
      <c r="C136" s="60"/>
      <c r="D136" s="60" t="s">
        <v>2347</v>
      </c>
      <c r="E136" s="61" t="s">
        <v>2497</v>
      </c>
      <c r="F136" s="64" t="s">
        <v>2273</v>
      </c>
      <c r="G136" s="60" t="s">
        <v>2460</v>
      </c>
      <c r="H136" s="18" t="s">
        <v>2498</v>
      </c>
    </row>
    <row r="137" spans="1:8" ht="16" x14ac:dyDescent="0.2">
      <c r="A137" s="63">
        <v>13</v>
      </c>
      <c r="B137" s="60" t="s">
        <v>2457</v>
      </c>
      <c r="C137" s="60"/>
      <c r="D137" s="60" t="s">
        <v>2499</v>
      </c>
      <c r="E137" s="61" t="s">
        <v>2500</v>
      </c>
      <c r="F137" s="64" t="s">
        <v>2273</v>
      </c>
      <c r="G137" s="60" t="s">
        <v>2460</v>
      </c>
      <c r="H137" s="18"/>
    </row>
    <row r="138" spans="1:8" ht="32" x14ac:dyDescent="0.2">
      <c r="A138" s="63">
        <v>13</v>
      </c>
      <c r="B138" s="60" t="s">
        <v>2457</v>
      </c>
      <c r="C138" s="60"/>
      <c r="D138" s="60" t="s">
        <v>2501</v>
      </c>
      <c r="E138" s="61" t="s">
        <v>2502</v>
      </c>
      <c r="F138" s="64" t="s">
        <v>2164</v>
      </c>
      <c r="G138" s="60" t="s">
        <v>2460</v>
      </c>
      <c r="H138" s="18"/>
    </row>
    <row r="139" spans="1:8" ht="32" x14ac:dyDescent="0.2">
      <c r="A139" s="63">
        <v>13</v>
      </c>
      <c r="B139" s="60" t="s">
        <v>2457</v>
      </c>
      <c r="C139" s="60"/>
      <c r="D139" s="60" t="s">
        <v>2503</v>
      </c>
      <c r="E139" s="61" t="s">
        <v>2504</v>
      </c>
      <c r="F139" s="64" t="s">
        <v>2273</v>
      </c>
      <c r="G139" s="60" t="s">
        <v>2460</v>
      </c>
      <c r="H139" s="18"/>
    </row>
    <row r="140" spans="1:8" ht="16" x14ac:dyDescent="0.2">
      <c r="A140" s="63">
        <v>13</v>
      </c>
      <c r="B140" s="60" t="s">
        <v>2457</v>
      </c>
      <c r="C140" s="60"/>
      <c r="D140" s="60" t="s">
        <v>2505</v>
      </c>
      <c r="E140" s="61" t="s">
        <v>2506</v>
      </c>
      <c r="F140" s="64" t="s">
        <v>2507</v>
      </c>
      <c r="G140" s="60" t="s">
        <v>2460</v>
      </c>
      <c r="H140" s="18" t="s">
        <v>2508</v>
      </c>
    </row>
    <row r="141" spans="1:8" ht="32" x14ac:dyDescent="0.2">
      <c r="A141" s="63">
        <v>13</v>
      </c>
      <c r="B141" s="60" t="s">
        <v>2457</v>
      </c>
      <c r="C141" s="60"/>
      <c r="D141" s="60" t="s">
        <v>2509</v>
      </c>
      <c r="E141" s="61" t="s">
        <v>2510</v>
      </c>
      <c r="F141" s="64" t="s">
        <v>2154</v>
      </c>
      <c r="G141" s="60" t="s">
        <v>2460</v>
      </c>
      <c r="H141" s="18"/>
    </row>
    <row r="142" spans="1:8" ht="16" x14ac:dyDescent="0.2">
      <c r="A142" s="63">
        <v>13</v>
      </c>
      <c r="B142" s="60" t="s">
        <v>2457</v>
      </c>
      <c r="C142" s="60"/>
      <c r="D142" s="60" t="s">
        <v>2511</v>
      </c>
      <c r="E142" s="61" t="s">
        <v>2512</v>
      </c>
      <c r="F142" s="64" t="s">
        <v>2513</v>
      </c>
      <c r="G142" s="60" t="s">
        <v>2460</v>
      </c>
      <c r="H142" s="18" t="s">
        <v>2514</v>
      </c>
    </row>
    <row r="143" spans="1:8" ht="16" x14ac:dyDescent="0.2">
      <c r="A143" s="63">
        <v>13</v>
      </c>
      <c r="B143" s="60" t="s">
        <v>2457</v>
      </c>
      <c r="C143" s="60"/>
      <c r="D143" s="60" t="s">
        <v>2515</v>
      </c>
      <c r="E143" s="61" t="s">
        <v>2516</v>
      </c>
      <c r="F143" s="64" t="s">
        <v>2517</v>
      </c>
      <c r="G143" s="60" t="s">
        <v>2460</v>
      </c>
      <c r="H143" s="18" t="s">
        <v>2518</v>
      </c>
    </row>
    <row r="144" spans="1:8" ht="16" x14ac:dyDescent="0.2">
      <c r="A144" s="63">
        <v>13</v>
      </c>
      <c r="B144" s="60" t="s">
        <v>2457</v>
      </c>
      <c r="C144" s="60"/>
      <c r="D144" s="60" t="s">
        <v>2519</v>
      </c>
      <c r="E144" s="61" t="s">
        <v>2520</v>
      </c>
      <c r="F144" s="64" t="s">
        <v>2521</v>
      </c>
      <c r="G144" s="60" t="s">
        <v>2460</v>
      </c>
      <c r="H144" s="18" t="s">
        <v>2522</v>
      </c>
    </row>
    <row r="145" spans="1:8" ht="16" x14ac:dyDescent="0.2">
      <c r="A145" s="63">
        <v>13</v>
      </c>
      <c r="B145" s="60" t="s">
        <v>2457</v>
      </c>
      <c r="C145" s="60"/>
      <c r="D145" s="60" t="s">
        <v>2523</v>
      </c>
      <c r="E145" s="61" t="s">
        <v>2524</v>
      </c>
      <c r="F145" s="64" t="s">
        <v>2429</v>
      </c>
      <c r="G145" s="60" t="s">
        <v>2460</v>
      </c>
      <c r="H145" s="18" t="s">
        <v>2430</v>
      </c>
    </row>
    <row r="146" spans="1:8" ht="16" x14ac:dyDescent="0.2">
      <c r="A146" s="63">
        <v>13</v>
      </c>
      <c r="B146" s="60" t="s">
        <v>2457</v>
      </c>
      <c r="C146" s="60"/>
      <c r="D146" s="60" t="s">
        <v>2525</v>
      </c>
      <c r="E146" s="61" t="s">
        <v>2526</v>
      </c>
      <c r="F146" s="64" t="s">
        <v>2527</v>
      </c>
      <c r="G146" s="60" t="s">
        <v>2460</v>
      </c>
      <c r="H146" s="18" t="s">
        <v>2430</v>
      </c>
    </row>
    <row r="147" spans="1:8" ht="16" x14ac:dyDescent="0.2">
      <c r="A147" s="63">
        <v>13</v>
      </c>
      <c r="B147" s="60" t="s">
        <v>2457</v>
      </c>
      <c r="C147" s="60"/>
      <c r="D147" s="60" t="s">
        <v>2528</v>
      </c>
      <c r="E147" s="61" t="s">
        <v>2529</v>
      </c>
      <c r="F147" s="64" t="s">
        <v>2465</v>
      </c>
      <c r="G147" s="60" t="s">
        <v>2460</v>
      </c>
      <c r="H147" s="18" t="s">
        <v>2430</v>
      </c>
    </row>
    <row r="148" spans="1:8" ht="16" x14ac:dyDescent="0.2">
      <c r="A148" s="63">
        <v>13</v>
      </c>
      <c r="B148" s="60" t="s">
        <v>2457</v>
      </c>
      <c r="C148" s="60"/>
      <c r="D148" s="60" t="s">
        <v>2530</v>
      </c>
      <c r="E148" s="61" t="s">
        <v>2531</v>
      </c>
      <c r="F148" s="64" t="s">
        <v>2453</v>
      </c>
      <c r="G148" s="60" t="s">
        <v>2460</v>
      </c>
      <c r="H148" s="18"/>
    </row>
    <row r="149" spans="1:8" ht="16" x14ac:dyDescent="0.2">
      <c r="A149" s="63">
        <v>13</v>
      </c>
      <c r="B149" s="60" t="s">
        <v>2457</v>
      </c>
      <c r="C149" s="60"/>
      <c r="D149" s="60" t="s">
        <v>2532</v>
      </c>
      <c r="E149" s="61" t="s">
        <v>2533</v>
      </c>
      <c r="F149" s="64" t="s">
        <v>2453</v>
      </c>
      <c r="G149" s="60" t="s">
        <v>2460</v>
      </c>
      <c r="H149" s="18" t="s">
        <v>2534</v>
      </c>
    </row>
    <row r="150" spans="1:8" ht="32" x14ac:dyDescent="0.2">
      <c r="A150" s="63">
        <v>14</v>
      </c>
      <c r="B150" s="60" t="s">
        <v>2535</v>
      </c>
      <c r="C150" s="60" t="s">
        <v>2536</v>
      </c>
      <c r="D150" s="60" t="s">
        <v>2537</v>
      </c>
      <c r="E150" s="61" t="s">
        <v>2538</v>
      </c>
      <c r="F150" s="64" t="s">
        <v>2183</v>
      </c>
      <c r="G150" s="60" t="s">
        <v>2539</v>
      </c>
      <c r="H150" s="18" t="s">
        <v>2540</v>
      </c>
    </row>
    <row r="151" spans="1:8" ht="32" x14ac:dyDescent="0.2">
      <c r="A151" s="63">
        <v>14</v>
      </c>
      <c r="B151" s="60" t="s">
        <v>2535</v>
      </c>
      <c r="C151" s="60" t="s">
        <v>2536</v>
      </c>
      <c r="D151" s="60" t="s">
        <v>2541</v>
      </c>
      <c r="E151" s="61" t="s">
        <v>2542</v>
      </c>
      <c r="F151" s="64" t="s">
        <v>2183</v>
      </c>
      <c r="G151" s="60" t="s">
        <v>2539</v>
      </c>
      <c r="H151" s="18" t="s">
        <v>2540</v>
      </c>
    </row>
    <row r="152" spans="1:8" ht="32" x14ac:dyDescent="0.2">
      <c r="A152" s="63">
        <v>14</v>
      </c>
      <c r="B152" s="60" t="s">
        <v>2535</v>
      </c>
      <c r="C152" s="60" t="s">
        <v>2536</v>
      </c>
      <c r="D152" s="60" t="s">
        <v>2543</v>
      </c>
      <c r="E152" s="61" t="s">
        <v>2544</v>
      </c>
      <c r="F152" s="64" t="s">
        <v>2183</v>
      </c>
      <c r="G152" s="60" t="s">
        <v>2539</v>
      </c>
      <c r="H152" s="18" t="s">
        <v>2540</v>
      </c>
    </row>
  </sheetData>
  <conditionalFormatting sqref="D5:D152">
    <cfRule type="expression" dxfId="0" priority="1">
      <formula>AND($D5&lt;&gt;"",COUNTIF($D$5:$D$152,$D5)&gt;1)</formula>
    </cfRule>
  </conditionalFormatting>
  <pageMargins left="0.7" right="0.7" top="0.75" bottom="0.75" header="0.3" footer="0.3"/>
  <legacyDrawing r:id="rId1"/>
  <tableParts count="1">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8E24C-A8DF-0A43-B2C2-341366049100}">
  <sheetPr>
    <tabColor theme="6"/>
  </sheetPr>
  <dimension ref="A1:H25"/>
  <sheetViews>
    <sheetView workbookViewId="0">
      <pane ySplit="4" topLeftCell="A5" activePane="bottomLeft" state="frozen"/>
      <selection activeCell="K58" sqref="K58"/>
      <selection pane="bottomLeft" activeCell="K58" sqref="K58"/>
    </sheetView>
  </sheetViews>
  <sheetFormatPr baseColWidth="10" defaultRowHeight="15" x14ac:dyDescent="0.2"/>
  <cols>
    <col min="1" max="1" width="7.1640625" customWidth="1"/>
    <col min="2" max="2" width="31.6640625" customWidth="1"/>
    <col min="3" max="3" width="16.5" customWidth="1"/>
    <col min="4" max="4" width="55" customWidth="1"/>
    <col min="5" max="5" width="22.33203125" customWidth="1"/>
    <col min="6" max="6" width="22.1640625" customWidth="1"/>
    <col min="7" max="7" width="10.83203125" customWidth="1"/>
    <col min="8" max="8" width="63.33203125" customWidth="1"/>
  </cols>
  <sheetData>
    <row r="1" spans="1:8" ht="19" x14ac:dyDescent="0.25">
      <c r="A1" s="58" t="s">
        <v>4360</v>
      </c>
    </row>
    <row r="2" spans="1:8" x14ac:dyDescent="0.2">
      <c r="A2" s="59" t="s">
        <v>4361</v>
      </c>
    </row>
    <row r="4" spans="1:8" x14ac:dyDescent="0.2">
      <c r="A4" s="88" t="s">
        <v>2143</v>
      </c>
      <c r="B4" s="88" t="s">
        <v>4031</v>
      </c>
      <c r="C4" s="88" t="s">
        <v>2146</v>
      </c>
      <c r="D4" s="88" t="s">
        <v>2147</v>
      </c>
      <c r="E4" s="88" t="s">
        <v>4362</v>
      </c>
      <c r="F4" s="88" t="s">
        <v>4363</v>
      </c>
      <c r="G4" s="88" t="s">
        <v>2149</v>
      </c>
      <c r="H4" s="88" t="s">
        <v>2150</v>
      </c>
    </row>
    <row r="5" spans="1:8" ht="32" x14ac:dyDescent="0.2">
      <c r="A5" s="82">
        <v>1</v>
      </c>
      <c r="B5" s="82" t="s">
        <v>4034</v>
      </c>
      <c r="C5" s="83"/>
      <c r="D5" s="85" t="s">
        <v>4364</v>
      </c>
      <c r="E5" s="84"/>
      <c r="F5" s="84"/>
      <c r="G5" s="82" t="s">
        <v>2180</v>
      </c>
      <c r="H5" s="86" t="s">
        <v>4365</v>
      </c>
    </row>
    <row r="6" spans="1:8" ht="16" x14ac:dyDescent="0.2">
      <c r="A6" s="82">
        <v>1</v>
      </c>
      <c r="B6" s="82" t="s">
        <v>4034</v>
      </c>
      <c r="C6" s="83"/>
      <c r="D6" s="85" t="s">
        <v>4366</v>
      </c>
      <c r="E6" s="84"/>
      <c r="F6" s="84"/>
      <c r="G6" s="82" t="s">
        <v>4036</v>
      </c>
      <c r="H6" s="86"/>
    </row>
    <row r="7" spans="1:8" ht="16" x14ac:dyDescent="0.2">
      <c r="A7" s="82">
        <v>1</v>
      </c>
      <c r="B7" s="82" t="s">
        <v>4034</v>
      </c>
      <c r="C7" s="83"/>
      <c r="D7" s="85" t="s">
        <v>4367</v>
      </c>
      <c r="E7" s="84"/>
      <c r="F7" s="84"/>
      <c r="G7" s="82" t="s">
        <v>4036</v>
      </c>
      <c r="H7" s="86"/>
    </row>
    <row r="8" spans="1:8" ht="16" x14ac:dyDescent="0.2">
      <c r="A8" s="82">
        <v>1</v>
      </c>
      <c r="B8" s="82" t="s">
        <v>4034</v>
      </c>
      <c r="C8" s="83"/>
      <c r="D8" s="85" t="s">
        <v>4368</v>
      </c>
      <c r="E8" s="84"/>
      <c r="F8" s="84"/>
      <c r="G8" s="82" t="s">
        <v>2180</v>
      </c>
      <c r="H8" s="86" t="s">
        <v>4369</v>
      </c>
    </row>
    <row r="9" spans="1:8" ht="16" x14ac:dyDescent="0.2">
      <c r="A9" s="82">
        <v>1</v>
      </c>
      <c r="B9" s="82" t="s">
        <v>4370</v>
      </c>
      <c r="C9" s="83"/>
      <c r="D9" s="85" t="s">
        <v>4370</v>
      </c>
      <c r="E9" s="84"/>
      <c r="F9" s="84"/>
      <c r="G9" s="82" t="s">
        <v>4036</v>
      </c>
      <c r="H9" s="86" t="s">
        <v>4371</v>
      </c>
    </row>
    <row r="10" spans="1:8" ht="16" x14ac:dyDescent="0.2">
      <c r="A10" s="82">
        <v>1</v>
      </c>
      <c r="B10" s="82" t="s">
        <v>4370</v>
      </c>
      <c r="C10" s="83"/>
      <c r="D10" s="85" t="s">
        <v>4372</v>
      </c>
      <c r="E10" s="84">
        <v>357.39</v>
      </c>
      <c r="F10" s="84">
        <v>411</v>
      </c>
      <c r="G10" s="82" t="s">
        <v>4044</v>
      </c>
      <c r="H10" s="86"/>
    </row>
    <row r="11" spans="1:8" ht="16" x14ac:dyDescent="0.2">
      <c r="A11" s="82">
        <v>1</v>
      </c>
      <c r="B11" s="82" t="s">
        <v>4370</v>
      </c>
      <c r="C11" s="83"/>
      <c r="D11" s="85" t="s">
        <v>4373</v>
      </c>
      <c r="E11" s="84">
        <v>100</v>
      </c>
      <c r="F11" s="84">
        <v>115</v>
      </c>
      <c r="G11" s="82" t="s">
        <v>4044</v>
      </c>
      <c r="H11" s="86" t="s">
        <v>4374</v>
      </c>
    </row>
    <row r="12" spans="1:8" ht="16" x14ac:dyDescent="0.2">
      <c r="A12" s="82">
        <v>1</v>
      </c>
      <c r="B12" s="82" t="s">
        <v>4370</v>
      </c>
      <c r="C12" s="83"/>
      <c r="D12" s="85" t="s">
        <v>4375</v>
      </c>
      <c r="E12" s="84">
        <v>334.78</v>
      </c>
      <c r="F12" s="84">
        <v>385</v>
      </c>
      <c r="G12" s="82" t="s">
        <v>4044</v>
      </c>
      <c r="H12" s="87" t="s">
        <v>4376</v>
      </c>
    </row>
    <row r="13" spans="1:8" ht="16" x14ac:dyDescent="0.2">
      <c r="A13" s="82">
        <v>1</v>
      </c>
      <c r="B13" s="82" t="s">
        <v>4377</v>
      </c>
      <c r="C13" s="83"/>
      <c r="D13" s="85" t="s">
        <v>4377</v>
      </c>
      <c r="E13" s="84"/>
      <c r="F13" s="84"/>
      <c r="G13" s="82" t="s">
        <v>4036</v>
      </c>
      <c r="H13" s="86" t="s">
        <v>4371</v>
      </c>
    </row>
    <row r="14" spans="1:8" ht="16" x14ac:dyDescent="0.2">
      <c r="A14" s="82">
        <v>1</v>
      </c>
      <c r="B14" s="82" t="s">
        <v>4377</v>
      </c>
      <c r="C14" s="83"/>
      <c r="D14" s="85" t="s">
        <v>4378</v>
      </c>
      <c r="E14" s="84">
        <v>739.13</v>
      </c>
      <c r="F14" s="84">
        <v>850</v>
      </c>
      <c r="G14" s="82" t="s">
        <v>4044</v>
      </c>
      <c r="H14" s="86"/>
    </row>
    <row r="15" spans="1:8" ht="16" x14ac:dyDescent="0.2">
      <c r="A15" s="82">
        <v>1</v>
      </c>
      <c r="B15" s="82" t="s">
        <v>4377</v>
      </c>
      <c r="C15" s="83"/>
      <c r="D15" s="85" t="s">
        <v>4379</v>
      </c>
      <c r="E15" s="84">
        <v>834.78</v>
      </c>
      <c r="F15" s="84">
        <v>960</v>
      </c>
      <c r="G15" s="82" t="s">
        <v>4044</v>
      </c>
      <c r="H15" s="86"/>
    </row>
    <row r="16" spans="1:8" ht="16" x14ac:dyDescent="0.2">
      <c r="A16" s="82">
        <v>1</v>
      </c>
      <c r="B16" s="82" t="s">
        <v>4377</v>
      </c>
      <c r="C16" s="83"/>
      <c r="D16" s="85" t="s">
        <v>4380</v>
      </c>
      <c r="E16" s="84">
        <v>865.22</v>
      </c>
      <c r="F16" s="84">
        <v>995</v>
      </c>
      <c r="G16" s="82" t="s">
        <v>4044</v>
      </c>
      <c r="H16" s="86" t="s">
        <v>4381</v>
      </c>
    </row>
    <row r="17" spans="1:8" ht="32" x14ac:dyDescent="0.2">
      <c r="A17" s="82">
        <v>1</v>
      </c>
      <c r="B17" s="82" t="s">
        <v>4377</v>
      </c>
      <c r="C17" s="83"/>
      <c r="D17" s="85" t="s">
        <v>4382</v>
      </c>
      <c r="E17" s="84">
        <v>86.96</v>
      </c>
      <c r="F17" s="84">
        <v>100</v>
      </c>
      <c r="G17" s="82" t="s">
        <v>4044</v>
      </c>
      <c r="H17" s="86" t="s">
        <v>4383</v>
      </c>
    </row>
    <row r="18" spans="1:8" ht="16" x14ac:dyDescent="0.2">
      <c r="A18" s="82">
        <v>1</v>
      </c>
      <c r="B18" s="82" t="s">
        <v>4377</v>
      </c>
      <c r="C18" s="83"/>
      <c r="D18" s="85" t="s">
        <v>4384</v>
      </c>
      <c r="E18" s="84">
        <v>334.78</v>
      </c>
      <c r="F18" s="84">
        <v>385</v>
      </c>
      <c r="G18" s="82" t="s">
        <v>4044</v>
      </c>
      <c r="H18" s="86"/>
    </row>
    <row r="19" spans="1:8" ht="16" x14ac:dyDescent="0.2">
      <c r="A19" s="82">
        <v>1</v>
      </c>
      <c r="B19" s="82" t="s">
        <v>4385</v>
      </c>
      <c r="C19" s="83"/>
      <c r="D19" s="85" t="s">
        <v>4385</v>
      </c>
      <c r="E19" s="84"/>
      <c r="F19" s="84"/>
      <c r="G19" s="82" t="s">
        <v>4036</v>
      </c>
      <c r="H19" s="86" t="s">
        <v>4371</v>
      </c>
    </row>
    <row r="20" spans="1:8" ht="16" x14ac:dyDescent="0.2">
      <c r="A20" s="82">
        <v>1</v>
      </c>
      <c r="B20" s="82" t="s">
        <v>4385</v>
      </c>
      <c r="C20" s="83"/>
      <c r="D20" s="85" t="s">
        <v>4386</v>
      </c>
      <c r="E20" s="84">
        <v>338</v>
      </c>
      <c r="F20" s="84">
        <v>388.7</v>
      </c>
      <c r="G20" s="82" t="s">
        <v>4044</v>
      </c>
      <c r="H20" s="86"/>
    </row>
    <row r="21" spans="1:8" ht="32" x14ac:dyDescent="0.2">
      <c r="A21" s="82">
        <v>1</v>
      </c>
      <c r="B21" s="82" t="s">
        <v>4385</v>
      </c>
      <c r="C21" s="83"/>
      <c r="D21" s="85" t="s">
        <v>4387</v>
      </c>
      <c r="E21" s="84">
        <v>572</v>
      </c>
      <c r="F21" s="84">
        <v>657.8</v>
      </c>
      <c r="G21" s="82" t="s">
        <v>4044</v>
      </c>
      <c r="H21" s="86" t="s">
        <v>4388</v>
      </c>
    </row>
    <row r="22" spans="1:8" ht="32" x14ac:dyDescent="0.2">
      <c r="A22" s="82">
        <v>1</v>
      </c>
      <c r="B22" s="82" t="s">
        <v>4385</v>
      </c>
      <c r="C22" s="83"/>
      <c r="D22" s="85" t="s">
        <v>4389</v>
      </c>
      <c r="E22" s="84">
        <v>728</v>
      </c>
      <c r="F22" s="84">
        <v>837.2</v>
      </c>
      <c r="G22" s="82" t="s">
        <v>4044</v>
      </c>
      <c r="H22" s="86" t="s">
        <v>4390</v>
      </c>
    </row>
    <row r="23" spans="1:8" ht="16" x14ac:dyDescent="0.2">
      <c r="A23" s="82">
        <v>1</v>
      </c>
      <c r="B23" s="82" t="s">
        <v>4391</v>
      </c>
      <c r="C23" s="83"/>
      <c r="D23" s="85" t="s">
        <v>4391</v>
      </c>
      <c r="E23" s="84"/>
      <c r="F23" s="84"/>
      <c r="G23" s="82" t="s">
        <v>4036</v>
      </c>
      <c r="H23" s="86" t="s">
        <v>4371</v>
      </c>
    </row>
    <row r="24" spans="1:8" ht="16" x14ac:dyDescent="0.2">
      <c r="A24" s="82">
        <v>1</v>
      </c>
      <c r="B24" s="82" t="s">
        <v>4391</v>
      </c>
      <c r="C24" s="83" t="s">
        <v>4392</v>
      </c>
      <c r="D24" s="85" t="s">
        <v>4393</v>
      </c>
      <c r="E24" s="84">
        <v>450</v>
      </c>
      <c r="F24" s="84">
        <v>517.5</v>
      </c>
      <c r="G24" s="82" t="s">
        <v>4044</v>
      </c>
      <c r="H24" s="86" t="s">
        <v>4394</v>
      </c>
    </row>
    <row r="25" spans="1:8" ht="16" x14ac:dyDescent="0.2">
      <c r="A25" s="89">
        <v>1</v>
      </c>
      <c r="B25" s="89" t="s">
        <v>4391</v>
      </c>
      <c r="C25" s="90"/>
      <c r="D25" s="91" t="s">
        <v>4395</v>
      </c>
      <c r="E25" s="92"/>
      <c r="F25" s="92"/>
      <c r="G25" s="89" t="s">
        <v>2180</v>
      </c>
      <c r="H25" s="93" t="s">
        <v>4396</v>
      </c>
    </row>
  </sheetData>
  <pageMargins left="0.7" right="0.7" top="0.75" bottom="0.75" header="0.3" footer="0.3"/>
  <legacyDrawing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A07B9-E1A1-994E-B736-B67F6DD8904E}">
  <sheetPr>
    <tabColor theme="6"/>
  </sheetPr>
  <dimension ref="A1:H17"/>
  <sheetViews>
    <sheetView workbookViewId="0">
      <pane ySplit="4" topLeftCell="A5" activePane="bottomLeft" state="frozen"/>
      <selection activeCell="K58" sqref="K58"/>
      <selection pane="bottomLeft" activeCell="K58" sqref="K58"/>
    </sheetView>
  </sheetViews>
  <sheetFormatPr baseColWidth="10" defaultRowHeight="15" x14ac:dyDescent="0.2"/>
  <cols>
    <col min="1" max="1" width="7.1640625" customWidth="1"/>
    <col min="2" max="2" width="25" customWidth="1"/>
    <col min="3" max="3" width="16.5" customWidth="1"/>
    <col min="4" max="4" width="70" customWidth="1"/>
    <col min="5" max="6" width="15.33203125" customWidth="1"/>
    <col min="7" max="7" width="12.5" customWidth="1"/>
    <col min="8" max="8" width="43.33203125" customWidth="1"/>
  </cols>
  <sheetData>
    <row r="1" spans="1:8" ht="19" x14ac:dyDescent="0.25">
      <c r="A1" s="58" t="s">
        <v>4301</v>
      </c>
    </row>
    <row r="2" spans="1:8" x14ac:dyDescent="0.2">
      <c r="A2" s="59" t="s">
        <v>4302</v>
      </c>
    </row>
    <row r="4" spans="1:8" x14ac:dyDescent="0.2">
      <c r="A4" t="s">
        <v>2143</v>
      </c>
      <c r="B4" t="s">
        <v>4031</v>
      </c>
      <c r="C4" t="s">
        <v>2146</v>
      </c>
      <c r="D4" t="s">
        <v>2147</v>
      </c>
      <c r="E4" t="s">
        <v>4032</v>
      </c>
      <c r="F4" t="s">
        <v>4033</v>
      </c>
      <c r="G4" t="s">
        <v>2149</v>
      </c>
      <c r="H4" t="s">
        <v>2150</v>
      </c>
    </row>
    <row r="5" spans="1:8" ht="16" x14ac:dyDescent="0.2">
      <c r="A5" s="60">
        <v>1</v>
      </c>
      <c r="B5" s="61" t="s">
        <v>4034</v>
      </c>
      <c r="C5" s="62" t="s">
        <v>2183</v>
      </c>
      <c r="D5" s="61" t="s">
        <v>4130</v>
      </c>
      <c r="E5" s="80"/>
      <c r="F5" s="60"/>
      <c r="G5" s="60" t="s">
        <v>4036</v>
      </c>
      <c r="H5" s="42"/>
    </row>
    <row r="6" spans="1:8" ht="16" x14ac:dyDescent="0.2">
      <c r="A6" s="60">
        <v>1</v>
      </c>
      <c r="B6" s="61" t="s">
        <v>4034</v>
      </c>
      <c r="C6" s="62" t="s">
        <v>2183</v>
      </c>
      <c r="D6" s="61" t="s">
        <v>4303</v>
      </c>
      <c r="E6" s="80"/>
      <c r="F6" s="60"/>
      <c r="G6" s="60" t="s">
        <v>4036</v>
      </c>
      <c r="H6" s="42"/>
    </row>
    <row r="7" spans="1:8" ht="16" x14ac:dyDescent="0.2">
      <c r="A7" s="60">
        <v>1</v>
      </c>
      <c r="B7" s="61" t="s">
        <v>4034</v>
      </c>
      <c r="C7" s="62" t="s">
        <v>2183</v>
      </c>
      <c r="D7" s="61" t="s">
        <v>4132</v>
      </c>
      <c r="E7" s="80"/>
      <c r="F7" s="60"/>
      <c r="G7" s="60" t="s">
        <v>4036</v>
      </c>
      <c r="H7" s="42"/>
    </row>
    <row r="8" spans="1:8" ht="16" x14ac:dyDescent="0.2">
      <c r="A8" s="60">
        <v>1</v>
      </c>
      <c r="B8" s="61" t="s">
        <v>4034</v>
      </c>
      <c r="C8" s="62" t="s">
        <v>2183</v>
      </c>
      <c r="D8" s="61" t="s">
        <v>4304</v>
      </c>
      <c r="E8" s="80"/>
      <c r="F8" s="60"/>
      <c r="G8" s="60" t="s">
        <v>2180</v>
      </c>
      <c r="H8" s="42"/>
    </row>
    <row r="9" spans="1:8" ht="16" x14ac:dyDescent="0.2">
      <c r="A9" s="60">
        <v>1</v>
      </c>
      <c r="B9" s="61" t="s">
        <v>4034</v>
      </c>
      <c r="C9" s="62" t="s">
        <v>2183</v>
      </c>
      <c r="D9" s="61" t="s">
        <v>4134</v>
      </c>
      <c r="E9" s="80"/>
      <c r="F9" s="60"/>
      <c r="G9" s="60" t="s">
        <v>2180</v>
      </c>
      <c r="H9" s="42"/>
    </row>
    <row r="10" spans="1:8" ht="32" x14ac:dyDescent="0.2">
      <c r="A10" s="60">
        <v>1</v>
      </c>
      <c r="B10" s="61" t="s">
        <v>4137</v>
      </c>
      <c r="C10" s="62" t="s">
        <v>4305</v>
      </c>
      <c r="D10" s="61" t="s">
        <v>4306</v>
      </c>
      <c r="E10" s="80">
        <v>950</v>
      </c>
      <c r="F10" s="60" t="s">
        <v>4043</v>
      </c>
      <c r="G10" s="60" t="s">
        <v>4044</v>
      </c>
      <c r="H10" s="42" t="s">
        <v>4140</v>
      </c>
    </row>
    <row r="11" spans="1:8" ht="32" x14ac:dyDescent="0.2">
      <c r="A11" s="60">
        <v>1</v>
      </c>
      <c r="B11" s="61" t="s">
        <v>4137</v>
      </c>
      <c r="C11" s="62" t="s">
        <v>4307</v>
      </c>
      <c r="D11" s="61" t="s">
        <v>4308</v>
      </c>
      <c r="E11" s="80">
        <v>545</v>
      </c>
      <c r="F11" s="60" t="s">
        <v>4043</v>
      </c>
      <c r="G11" s="60" t="s">
        <v>4044</v>
      </c>
      <c r="H11" s="42" t="s">
        <v>4309</v>
      </c>
    </row>
    <row r="12" spans="1:8" ht="32" x14ac:dyDescent="0.2">
      <c r="A12" s="60">
        <v>1</v>
      </c>
      <c r="B12" s="61" t="s">
        <v>4137</v>
      </c>
      <c r="C12" s="62" t="s">
        <v>4310</v>
      </c>
      <c r="D12" s="61" t="s">
        <v>4311</v>
      </c>
      <c r="E12" s="80">
        <v>950</v>
      </c>
      <c r="F12" s="60" t="s">
        <v>4043</v>
      </c>
      <c r="G12" s="60" t="s">
        <v>4044</v>
      </c>
      <c r="H12" s="42" t="s">
        <v>4140</v>
      </c>
    </row>
    <row r="13" spans="1:8" ht="32" x14ac:dyDescent="0.2">
      <c r="A13" s="60">
        <v>1</v>
      </c>
      <c r="B13" s="61" t="s">
        <v>4137</v>
      </c>
      <c r="C13" s="62" t="s">
        <v>4312</v>
      </c>
      <c r="D13" s="61" t="s">
        <v>4313</v>
      </c>
      <c r="E13" s="80">
        <v>545</v>
      </c>
      <c r="F13" s="60" t="s">
        <v>4043</v>
      </c>
      <c r="G13" s="60" t="s">
        <v>4044</v>
      </c>
      <c r="H13" s="42" t="s">
        <v>4309</v>
      </c>
    </row>
    <row r="14" spans="1:8" ht="32" x14ac:dyDescent="0.2">
      <c r="A14" s="60">
        <v>1</v>
      </c>
      <c r="B14" s="61" t="s">
        <v>4137</v>
      </c>
      <c r="C14" s="62" t="s">
        <v>4314</v>
      </c>
      <c r="D14" s="61" t="s">
        <v>4315</v>
      </c>
      <c r="E14" s="80">
        <v>510</v>
      </c>
      <c r="F14" s="60" t="s">
        <v>4043</v>
      </c>
      <c r="G14" s="60" t="s">
        <v>4044</v>
      </c>
      <c r="H14" s="42" t="s">
        <v>4140</v>
      </c>
    </row>
    <row r="15" spans="1:8" ht="32" x14ac:dyDescent="0.2">
      <c r="A15" s="60">
        <v>1</v>
      </c>
      <c r="B15" s="61" t="s">
        <v>4137</v>
      </c>
      <c r="C15" s="62" t="s">
        <v>4316</v>
      </c>
      <c r="D15" s="61" t="s">
        <v>4317</v>
      </c>
      <c r="E15" s="80">
        <v>460</v>
      </c>
      <c r="F15" s="60" t="s">
        <v>4043</v>
      </c>
      <c r="G15" s="60" t="s">
        <v>4044</v>
      </c>
      <c r="H15" s="42" t="s">
        <v>4318</v>
      </c>
    </row>
    <row r="16" spans="1:8" ht="48" x14ac:dyDescent="0.2">
      <c r="A16" s="60">
        <v>1</v>
      </c>
      <c r="B16" s="61" t="s">
        <v>4137</v>
      </c>
      <c r="C16" s="62" t="s">
        <v>4319</v>
      </c>
      <c r="D16" s="61" t="s">
        <v>4320</v>
      </c>
      <c r="E16" s="80">
        <v>910</v>
      </c>
      <c r="F16" s="60" t="s">
        <v>4043</v>
      </c>
      <c r="G16" s="60" t="s">
        <v>4044</v>
      </c>
      <c r="H16" s="42" t="s">
        <v>4321</v>
      </c>
    </row>
    <row r="17" spans="1:8" ht="48" x14ac:dyDescent="0.2">
      <c r="A17" s="60">
        <v>1</v>
      </c>
      <c r="B17" s="61" t="s">
        <v>4137</v>
      </c>
      <c r="C17" s="62" t="s">
        <v>4322</v>
      </c>
      <c r="D17" s="61" t="s">
        <v>4323</v>
      </c>
      <c r="E17" s="80">
        <v>505</v>
      </c>
      <c r="F17" s="60" t="s">
        <v>4043</v>
      </c>
      <c r="G17" s="60" t="s">
        <v>4044</v>
      </c>
      <c r="H17" s="42" t="s">
        <v>4324</v>
      </c>
    </row>
  </sheetData>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1DB4E-DFAF-194C-B29F-3A708ECA7C12}">
  <sheetPr>
    <tabColor theme="6"/>
  </sheetPr>
  <dimension ref="A1:H26"/>
  <sheetViews>
    <sheetView workbookViewId="0">
      <pane ySplit="4" topLeftCell="A5" activePane="bottomLeft" state="frozen"/>
      <selection activeCell="K58" sqref="K58"/>
      <selection pane="bottomLeft" activeCell="K58" sqref="K58"/>
    </sheetView>
  </sheetViews>
  <sheetFormatPr baseColWidth="10" defaultRowHeight="15" x14ac:dyDescent="0.2"/>
  <cols>
    <col min="1" max="1" width="6.6640625" customWidth="1"/>
    <col min="2" max="2" width="25" customWidth="1"/>
    <col min="3" max="3" width="11.6640625" customWidth="1"/>
    <col min="4" max="4" width="70" customWidth="1"/>
    <col min="5" max="7" width="12.5" customWidth="1"/>
    <col min="8" max="8" width="43.33203125" customWidth="1"/>
  </cols>
  <sheetData>
    <row r="1" spans="1:8" ht="19" x14ac:dyDescent="0.25">
      <c r="A1" s="58" t="s">
        <v>4029</v>
      </c>
    </row>
    <row r="2" spans="1:8" x14ac:dyDescent="0.2">
      <c r="A2" s="59" t="s">
        <v>4030</v>
      </c>
    </row>
    <row r="4" spans="1:8" x14ac:dyDescent="0.2">
      <c r="A4" t="s">
        <v>2143</v>
      </c>
      <c r="B4" t="s">
        <v>4031</v>
      </c>
      <c r="C4" t="s">
        <v>2146</v>
      </c>
      <c r="D4" t="s">
        <v>2147</v>
      </c>
      <c r="E4" t="s">
        <v>4032</v>
      </c>
      <c r="F4" t="s">
        <v>4033</v>
      </c>
      <c r="G4" t="s">
        <v>2149</v>
      </c>
      <c r="H4" t="s">
        <v>2150</v>
      </c>
    </row>
    <row r="5" spans="1:8" ht="32" x14ac:dyDescent="0.2">
      <c r="A5" s="60">
        <v>1</v>
      </c>
      <c r="B5" s="61" t="s">
        <v>4034</v>
      </c>
      <c r="C5" s="60"/>
      <c r="D5" s="61" t="s">
        <v>4035</v>
      </c>
      <c r="E5" s="76"/>
      <c r="F5" s="60"/>
      <c r="G5" s="60" t="s">
        <v>4036</v>
      </c>
      <c r="H5" s="42"/>
    </row>
    <row r="6" spans="1:8" ht="32" x14ac:dyDescent="0.2">
      <c r="A6" s="60">
        <v>1</v>
      </c>
      <c r="B6" s="61" t="s">
        <v>4037</v>
      </c>
      <c r="C6" s="60"/>
      <c r="D6" s="61" t="s">
        <v>4038</v>
      </c>
      <c r="E6" s="76"/>
      <c r="F6" s="60"/>
      <c r="G6" s="60" t="s">
        <v>2180</v>
      </c>
      <c r="H6" s="42"/>
    </row>
    <row r="7" spans="1:8" ht="48" x14ac:dyDescent="0.2">
      <c r="A7" s="60">
        <v>1</v>
      </c>
      <c r="B7" s="61" t="s">
        <v>4037</v>
      </c>
      <c r="C7" s="60"/>
      <c r="D7" s="61" t="s">
        <v>4039</v>
      </c>
      <c r="E7" s="76"/>
      <c r="F7" s="60"/>
      <c r="G7" s="60" t="s">
        <v>2180</v>
      </c>
      <c r="H7" s="42"/>
    </row>
    <row r="8" spans="1:8" ht="64" x14ac:dyDescent="0.2">
      <c r="A8" s="60">
        <v>1</v>
      </c>
      <c r="B8" s="61" t="s">
        <v>4037</v>
      </c>
      <c r="C8" s="60"/>
      <c r="D8" s="61" t="s">
        <v>4040</v>
      </c>
      <c r="E8" s="76"/>
      <c r="F8" s="60"/>
      <c r="G8" s="60" t="s">
        <v>2180</v>
      </c>
      <c r="H8" s="42"/>
    </row>
    <row r="9" spans="1:8" ht="32" x14ac:dyDescent="0.2">
      <c r="A9" s="60">
        <v>1</v>
      </c>
      <c r="B9" s="61" t="s">
        <v>4041</v>
      </c>
      <c r="C9" s="60"/>
      <c r="D9" s="61" t="s">
        <v>4042</v>
      </c>
      <c r="E9" s="76">
        <v>2415</v>
      </c>
      <c r="F9" s="60" t="s">
        <v>4043</v>
      </c>
      <c r="G9" s="60" t="s">
        <v>4044</v>
      </c>
      <c r="H9" s="42"/>
    </row>
    <row r="10" spans="1:8" ht="32" x14ac:dyDescent="0.2">
      <c r="A10" s="60">
        <v>1</v>
      </c>
      <c r="B10" s="61" t="s">
        <v>4041</v>
      </c>
      <c r="C10" s="60"/>
      <c r="D10" s="61" t="s">
        <v>4045</v>
      </c>
      <c r="E10" s="76">
        <v>3220</v>
      </c>
      <c r="F10" s="60" t="s">
        <v>4043</v>
      </c>
      <c r="G10" s="60" t="s">
        <v>4044</v>
      </c>
      <c r="H10" s="42"/>
    </row>
    <row r="11" spans="1:8" ht="32" x14ac:dyDescent="0.2">
      <c r="A11" s="60">
        <v>1</v>
      </c>
      <c r="B11" s="61" t="s">
        <v>4041</v>
      </c>
      <c r="C11" s="60"/>
      <c r="D11" s="61" t="s">
        <v>4046</v>
      </c>
      <c r="E11" s="76">
        <v>2370</v>
      </c>
      <c r="F11" s="60" t="s">
        <v>4043</v>
      </c>
      <c r="G11" s="60" t="s">
        <v>4044</v>
      </c>
      <c r="H11" s="42"/>
    </row>
    <row r="12" spans="1:8" ht="32" x14ac:dyDescent="0.2">
      <c r="A12" s="60">
        <v>1</v>
      </c>
      <c r="B12" s="61" t="s">
        <v>4041</v>
      </c>
      <c r="C12" s="60"/>
      <c r="D12" s="61" t="s">
        <v>4047</v>
      </c>
      <c r="E12" s="76">
        <v>3105</v>
      </c>
      <c r="F12" s="60" t="s">
        <v>4043</v>
      </c>
      <c r="G12" s="60" t="s">
        <v>4044</v>
      </c>
      <c r="H12" s="42"/>
    </row>
    <row r="13" spans="1:8" ht="32" x14ac:dyDescent="0.2">
      <c r="A13" s="60">
        <v>1</v>
      </c>
      <c r="B13" s="61" t="s">
        <v>4041</v>
      </c>
      <c r="C13" s="60"/>
      <c r="D13" s="61" t="s">
        <v>4048</v>
      </c>
      <c r="E13" s="76">
        <v>2415</v>
      </c>
      <c r="F13" s="60" t="s">
        <v>4043</v>
      </c>
      <c r="G13" s="60" t="s">
        <v>4044</v>
      </c>
      <c r="H13" s="42"/>
    </row>
    <row r="14" spans="1:8" ht="32" x14ac:dyDescent="0.2">
      <c r="A14" s="60">
        <v>1</v>
      </c>
      <c r="B14" s="61" t="s">
        <v>4041</v>
      </c>
      <c r="C14" s="60"/>
      <c r="D14" s="61" t="s">
        <v>630</v>
      </c>
      <c r="E14" s="76">
        <v>2070</v>
      </c>
      <c r="F14" s="60" t="s">
        <v>4043</v>
      </c>
      <c r="G14" s="60" t="s">
        <v>4044</v>
      </c>
      <c r="H14" s="42"/>
    </row>
    <row r="15" spans="1:8" ht="32" x14ac:dyDescent="0.2">
      <c r="A15" s="60">
        <v>1</v>
      </c>
      <c r="B15" s="61" t="s">
        <v>4041</v>
      </c>
      <c r="C15" s="60"/>
      <c r="D15" s="61" t="s">
        <v>4049</v>
      </c>
      <c r="E15" s="76">
        <v>3105</v>
      </c>
      <c r="F15" s="60" t="s">
        <v>4043</v>
      </c>
      <c r="G15" s="60" t="s">
        <v>4044</v>
      </c>
      <c r="H15" s="42"/>
    </row>
    <row r="16" spans="1:8" ht="32" x14ac:dyDescent="0.2">
      <c r="A16" s="60">
        <v>1</v>
      </c>
      <c r="B16" s="61" t="s">
        <v>4041</v>
      </c>
      <c r="C16" s="60"/>
      <c r="D16" s="61" t="s">
        <v>4050</v>
      </c>
      <c r="E16" s="76">
        <v>1725</v>
      </c>
      <c r="F16" s="60" t="s">
        <v>4043</v>
      </c>
      <c r="G16" s="60" t="s">
        <v>4044</v>
      </c>
      <c r="H16" s="42"/>
    </row>
    <row r="17" spans="1:8" ht="32" x14ac:dyDescent="0.2">
      <c r="A17" s="60">
        <v>1</v>
      </c>
      <c r="B17" s="61" t="s">
        <v>4041</v>
      </c>
      <c r="C17" s="60"/>
      <c r="D17" s="61" t="s">
        <v>4051</v>
      </c>
      <c r="E17" s="76">
        <v>3795</v>
      </c>
      <c r="F17" s="60" t="s">
        <v>4043</v>
      </c>
      <c r="G17" s="60" t="s">
        <v>4044</v>
      </c>
      <c r="H17" s="42" t="s">
        <v>4052</v>
      </c>
    </row>
    <row r="18" spans="1:8" ht="32" x14ac:dyDescent="0.2">
      <c r="A18" s="60">
        <v>1</v>
      </c>
      <c r="B18" s="61" t="s">
        <v>4041</v>
      </c>
      <c r="C18" s="60"/>
      <c r="D18" s="61" t="s">
        <v>4053</v>
      </c>
      <c r="E18" s="76">
        <v>4830</v>
      </c>
      <c r="F18" s="60" t="s">
        <v>4043</v>
      </c>
      <c r="G18" s="60" t="s">
        <v>4044</v>
      </c>
      <c r="H18" s="42" t="s">
        <v>4054</v>
      </c>
    </row>
    <row r="19" spans="1:8" ht="32" x14ac:dyDescent="0.2">
      <c r="A19" s="60">
        <v>1</v>
      </c>
      <c r="B19" s="61" t="s">
        <v>4041</v>
      </c>
      <c r="C19" s="60"/>
      <c r="D19" s="61" t="s">
        <v>4055</v>
      </c>
      <c r="E19" s="76">
        <v>1495</v>
      </c>
      <c r="F19" s="60" t="s">
        <v>4043</v>
      </c>
      <c r="G19" s="60" t="s">
        <v>4044</v>
      </c>
      <c r="H19" s="42"/>
    </row>
    <row r="20" spans="1:8" ht="32" x14ac:dyDescent="0.2">
      <c r="A20" s="60">
        <v>1</v>
      </c>
      <c r="B20" s="61" t="s">
        <v>4041</v>
      </c>
      <c r="C20" s="60"/>
      <c r="D20" s="61" t="s">
        <v>4056</v>
      </c>
      <c r="E20" s="76">
        <v>1725</v>
      </c>
      <c r="F20" s="60" t="s">
        <v>4043</v>
      </c>
      <c r="G20" s="60" t="s">
        <v>4044</v>
      </c>
      <c r="H20" s="42"/>
    </row>
    <row r="21" spans="1:8" ht="32" x14ac:dyDescent="0.2">
      <c r="A21" s="60">
        <v>1</v>
      </c>
      <c r="B21" s="61" t="s">
        <v>4041</v>
      </c>
      <c r="C21" s="60"/>
      <c r="D21" s="61" t="s">
        <v>4057</v>
      </c>
      <c r="E21" s="76">
        <v>3565</v>
      </c>
      <c r="F21" s="60" t="s">
        <v>4043</v>
      </c>
      <c r="G21" s="60" t="s">
        <v>4044</v>
      </c>
      <c r="H21" s="42"/>
    </row>
    <row r="22" spans="1:8" ht="32" x14ac:dyDescent="0.2">
      <c r="A22" s="60">
        <v>1</v>
      </c>
      <c r="B22" s="61" t="s">
        <v>4041</v>
      </c>
      <c r="C22" s="60"/>
      <c r="D22" s="61" t="s">
        <v>4058</v>
      </c>
      <c r="E22" s="76">
        <v>3910</v>
      </c>
      <c r="F22" s="60" t="s">
        <v>4043</v>
      </c>
      <c r="G22" s="60" t="s">
        <v>4044</v>
      </c>
      <c r="H22" s="42" t="s">
        <v>4059</v>
      </c>
    </row>
    <row r="23" spans="1:8" ht="32" x14ac:dyDescent="0.2">
      <c r="A23" s="60">
        <v>1</v>
      </c>
      <c r="B23" s="61" t="s">
        <v>4041</v>
      </c>
      <c r="C23" s="60"/>
      <c r="D23" s="61" t="s">
        <v>4060</v>
      </c>
      <c r="E23" s="76">
        <v>4255</v>
      </c>
      <c r="F23" s="60" t="s">
        <v>4043</v>
      </c>
      <c r="G23" s="60" t="s">
        <v>4044</v>
      </c>
      <c r="H23" s="42" t="s">
        <v>4061</v>
      </c>
    </row>
    <row r="24" spans="1:8" ht="32" x14ac:dyDescent="0.2">
      <c r="A24" s="60">
        <v>1</v>
      </c>
      <c r="B24" s="61" t="s">
        <v>4041</v>
      </c>
      <c r="C24" s="60"/>
      <c r="D24" s="61" t="s">
        <v>4062</v>
      </c>
      <c r="E24" s="76">
        <v>345</v>
      </c>
      <c r="F24" s="60" t="s">
        <v>4043</v>
      </c>
      <c r="G24" s="60" t="s">
        <v>4044</v>
      </c>
      <c r="H24" s="42" t="s">
        <v>4063</v>
      </c>
    </row>
    <row r="25" spans="1:8" ht="16" x14ac:dyDescent="0.2">
      <c r="A25" s="60">
        <v>1</v>
      </c>
      <c r="B25" s="61" t="s">
        <v>4064</v>
      </c>
      <c r="C25" s="60"/>
      <c r="D25" s="61" t="s">
        <v>4065</v>
      </c>
      <c r="E25" s="76"/>
      <c r="F25" s="60"/>
      <c r="G25" s="60" t="s">
        <v>2180</v>
      </c>
      <c r="H25" s="42" t="s">
        <v>4066</v>
      </c>
    </row>
    <row r="26" spans="1:8" ht="32" x14ac:dyDescent="0.2">
      <c r="A26" s="60">
        <v>1</v>
      </c>
      <c r="B26" s="61" t="s">
        <v>4064</v>
      </c>
      <c r="C26" s="60"/>
      <c r="D26" s="61" t="s">
        <v>4067</v>
      </c>
      <c r="E26" s="76"/>
      <c r="F26" s="60"/>
      <c r="G26" s="60" t="s">
        <v>2180</v>
      </c>
      <c r="H26" s="42" t="s">
        <v>4068</v>
      </c>
    </row>
  </sheetData>
  <pageMargins left="0.7" right="0.7" top="0.75" bottom="0.75" header="0.3" footer="0.3"/>
  <legacyDrawing r:id="rId1"/>
  <tableParts count="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E7C77-8E55-E142-A074-0E61864794A0}">
  <sheetPr>
    <tabColor theme="6"/>
  </sheetPr>
  <dimension ref="A1:H17"/>
  <sheetViews>
    <sheetView workbookViewId="0">
      <pane ySplit="4" topLeftCell="A5" activePane="bottomLeft" state="frozen"/>
      <selection activeCell="K58" sqref="K58"/>
      <selection pane="bottomLeft" activeCell="K58" sqref="K58"/>
    </sheetView>
  </sheetViews>
  <sheetFormatPr baseColWidth="10" defaultRowHeight="15" x14ac:dyDescent="0.2"/>
  <cols>
    <col min="1" max="1" width="6.6640625" customWidth="1"/>
    <col min="2" max="2" width="25" customWidth="1"/>
    <col min="3" max="3" width="11.6640625" customWidth="1"/>
    <col min="4" max="4" width="70" customWidth="1"/>
    <col min="5" max="7" width="12.5" customWidth="1"/>
    <col min="8" max="8" width="43.33203125" customWidth="1"/>
  </cols>
  <sheetData>
    <row r="1" spans="1:8" ht="19" x14ac:dyDescent="0.25">
      <c r="A1" s="58" t="s">
        <v>4155</v>
      </c>
    </row>
    <row r="2" spans="1:8" x14ac:dyDescent="0.2">
      <c r="A2" s="59" t="s">
        <v>4156</v>
      </c>
    </row>
    <row r="4" spans="1:8" x14ac:dyDescent="0.2">
      <c r="A4" t="s">
        <v>2143</v>
      </c>
      <c r="B4" t="s">
        <v>4031</v>
      </c>
      <c r="C4" t="s">
        <v>2146</v>
      </c>
      <c r="D4" t="s">
        <v>2147</v>
      </c>
      <c r="E4" t="s">
        <v>4032</v>
      </c>
      <c r="F4" t="s">
        <v>4033</v>
      </c>
      <c r="G4" t="s">
        <v>2149</v>
      </c>
      <c r="H4" t="s">
        <v>2150</v>
      </c>
    </row>
    <row r="5" spans="1:8" ht="16" x14ac:dyDescent="0.2">
      <c r="A5" s="60">
        <v>1</v>
      </c>
      <c r="B5" s="61" t="s">
        <v>4034</v>
      </c>
      <c r="C5" s="62" t="s">
        <v>2183</v>
      </c>
      <c r="D5" s="61" t="s">
        <v>4130</v>
      </c>
      <c r="E5" s="76"/>
      <c r="F5" s="60"/>
      <c r="G5" s="60" t="s">
        <v>4036</v>
      </c>
      <c r="H5" s="42"/>
    </row>
    <row r="6" spans="1:8" ht="16" x14ac:dyDescent="0.2">
      <c r="A6" s="60">
        <v>1</v>
      </c>
      <c r="B6" s="61" t="s">
        <v>4034</v>
      </c>
      <c r="C6" s="62" t="s">
        <v>2183</v>
      </c>
      <c r="D6" s="61" t="s">
        <v>4131</v>
      </c>
      <c r="E6" s="76"/>
      <c r="F6" s="60"/>
      <c r="G6" s="60" t="s">
        <v>4036</v>
      </c>
      <c r="H6" s="42"/>
    </row>
    <row r="7" spans="1:8" ht="16" x14ac:dyDescent="0.2">
      <c r="A7" s="60">
        <v>1</v>
      </c>
      <c r="B7" s="61" t="s">
        <v>4034</v>
      </c>
      <c r="C7" s="62" t="s">
        <v>2183</v>
      </c>
      <c r="D7" s="61" t="s">
        <v>4132</v>
      </c>
      <c r="E7" s="76"/>
      <c r="F7" s="60"/>
      <c r="G7" s="60" t="s">
        <v>4036</v>
      </c>
      <c r="H7" s="42"/>
    </row>
    <row r="8" spans="1:8" ht="16" x14ac:dyDescent="0.2">
      <c r="A8" s="60">
        <v>1</v>
      </c>
      <c r="B8" s="61" t="s">
        <v>4034</v>
      </c>
      <c r="C8" s="62" t="s">
        <v>2183</v>
      </c>
      <c r="D8" s="61" t="s">
        <v>4133</v>
      </c>
      <c r="E8" s="76"/>
      <c r="F8" s="60"/>
      <c r="G8" s="60" t="s">
        <v>2180</v>
      </c>
      <c r="H8" s="42"/>
    </row>
    <row r="9" spans="1:8" ht="16" x14ac:dyDescent="0.2">
      <c r="A9" s="60">
        <v>1</v>
      </c>
      <c r="B9" s="61" t="s">
        <v>4034</v>
      </c>
      <c r="C9" s="62" t="s">
        <v>2183</v>
      </c>
      <c r="D9" s="61" t="s">
        <v>4134</v>
      </c>
      <c r="E9" s="76"/>
      <c r="F9" s="60"/>
      <c r="G9" s="60" t="s">
        <v>2180</v>
      </c>
      <c r="H9" s="42"/>
    </row>
    <row r="10" spans="1:8" ht="32" x14ac:dyDescent="0.2">
      <c r="A10" s="60">
        <v>1</v>
      </c>
      <c r="B10" s="61" t="s">
        <v>4034</v>
      </c>
      <c r="C10" s="62" t="s">
        <v>2183</v>
      </c>
      <c r="D10" s="61" t="s">
        <v>4135</v>
      </c>
      <c r="E10" s="76"/>
      <c r="F10" s="60"/>
      <c r="G10" s="60" t="s">
        <v>2180</v>
      </c>
      <c r="H10" s="42" t="s">
        <v>4136</v>
      </c>
    </row>
    <row r="11" spans="1:8" ht="32" x14ac:dyDescent="0.2">
      <c r="A11" s="60">
        <v>1</v>
      </c>
      <c r="B11" s="61" t="s">
        <v>4137</v>
      </c>
      <c r="C11" s="62" t="s">
        <v>4138</v>
      </c>
      <c r="D11" s="61" t="s">
        <v>4139</v>
      </c>
      <c r="E11" s="76">
        <v>1035</v>
      </c>
      <c r="F11" s="60" t="s">
        <v>4043</v>
      </c>
      <c r="G11" s="60" t="s">
        <v>4044</v>
      </c>
      <c r="H11" s="42" t="s">
        <v>4140</v>
      </c>
    </row>
    <row r="12" spans="1:8" ht="32" x14ac:dyDescent="0.2">
      <c r="A12" s="60">
        <v>1</v>
      </c>
      <c r="B12" s="61" t="s">
        <v>4137</v>
      </c>
      <c r="C12" s="62" t="s">
        <v>4141</v>
      </c>
      <c r="D12" s="61" t="s">
        <v>4142</v>
      </c>
      <c r="E12" s="76">
        <v>1265</v>
      </c>
      <c r="F12" s="60" t="s">
        <v>4043</v>
      </c>
      <c r="G12" s="60" t="s">
        <v>4044</v>
      </c>
      <c r="H12" s="42" t="s">
        <v>4140</v>
      </c>
    </row>
    <row r="13" spans="1:8" ht="32" x14ac:dyDescent="0.2">
      <c r="A13" s="60">
        <v>1</v>
      </c>
      <c r="B13" s="61" t="s">
        <v>4137</v>
      </c>
      <c r="C13" s="62" t="s">
        <v>4143</v>
      </c>
      <c r="D13" s="61" t="s">
        <v>4144</v>
      </c>
      <c r="E13" s="76">
        <v>1035</v>
      </c>
      <c r="F13" s="60" t="s">
        <v>4043</v>
      </c>
      <c r="G13" s="60" t="s">
        <v>4044</v>
      </c>
      <c r="H13" s="42" t="s">
        <v>4145</v>
      </c>
    </row>
    <row r="14" spans="1:8" ht="32" x14ac:dyDescent="0.2">
      <c r="A14" s="60">
        <v>1</v>
      </c>
      <c r="B14" s="61" t="s">
        <v>4137</v>
      </c>
      <c r="C14" s="62" t="s">
        <v>4146</v>
      </c>
      <c r="D14" s="61" t="s">
        <v>4147</v>
      </c>
      <c r="E14" s="76">
        <v>1265</v>
      </c>
      <c r="F14" s="60" t="s">
        <v>4043</v>
      </c>
      <c r="G14" s="60" t="s">
        <v>4044</v>
      </c>
      <c r="H14" s="42" t="s">
        <v>4145</v>
      </c>
    </row>
    <row r="15" spans="1:8" ht="32" x14ac:dyDescent="0.2">
      <c r="A15" s="60">
        <v>1</v>
      </c>
      <c r="B15" s="61" t="s">
        <v>4137</v>
      </c>
      <c r="C15" s="62" t="s">
        <v>4148</v>
      </c>
      <c r="D15" s="61" t="s">
        <v>4149</v>
      </c>
      <c r="E15" s="76">
        <v>1035</v>
      </c>
      <c r="F15" s="60" t="s">
        <v>4043</v>
      </c>
      <c r="G15" s="60" t="s">
        <v>4044</v>
      </c>
      <c r="H15" s="42" t="s">
        <v>4140</v>
      </c>
    </row>
    <row r="16" spans="1:8" ht="32" x14ac:dyDescent="0.2">
      <c r="A16" s="60">
        <v>1</v>
      </c>
      <c r="B16" s="61" t="s">
        <v>4137</v>
      </c>
      <c r="C16" s="62" t="s">
        <v>4150</v>
      </c>
      <c r="D16" s="61" t="s">
        <v>4151</v>
      </c>
      <c r="E16" s="76">
        <v>1265</v>
      </c>
      <c r="F16" s="60" t="s">
        <v>4043</v>
      </c>
      <c r="G16" s="60" t="s">
        <v>4044</v>
      </c>
      <c r="H16" s="42" t="s">
        <v>4140</v>
      </c>
    </row>
    <row r="17" spans="1:8" ht="32" x14ac:dyDescent="0.2">
      <c r="A17" s="60">
        <v>1</v>
      </c>
      <c r="B17" s="61" t="s">
        <v>4137</v>
      </c>
      <c r="C17" s="62" t="s">
        <v>4152</v>
      </c>
      <c r="D17" s="61" t="s">
        <v>4153</v>
      </c>
      <c r="E17" s="76">
        <v>370</v>
      </c>
      <c r="F17" s="60" t="s">
        <v>4043</v>
      </c>
      <c r="G17" s="60" t="s">
        <v>4044</v>
      </c>
      <c r="H17" s="42" t="s">
        <v>4154</v>
      </c>
    </row>
  </sheetData>
  <pageMargins left="0.7" right="0.7" top="0.75" bottom="0.75" header="0.3" footer="0.3"/>
  <legacyDrawing r:id="rId1"/>
  <tableParts count="1">
    <tablePart r:id="rId2"/>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9B287-0C54-8341-BD3A-02257B9C6494}">
  <sheetPr>
    <tabColor theme="6"/>
  </sheetPr>
  <dimension ref="A1:H16"/>
  <sheetViews>
    <sheetView workbookViewId="0">
      <pane ySplit="4" topLeftCell="A5" activePane="bottomLeft" state="frozen"/>
      <selection activeCell="K58" sqref="K58"/>
      <selection pane="bottomLeft" activeCell="K58" sqref="K58"/>
    </sheetView>
  </sheetViews>
  <sheetFormatPr baseColWidth="10" defaultRowHeight="15" x14ac:dyDescent="0.2"/>
  <cols>
    <col min="1" max="1" width="6.6640625" customWidth="1"/>
    <col min="2" max="2" width="25" customWidth="1"/>
    <col min="3" max="3" width="11.6640625" customWidth="1"/>
    <col min="4" max="4" width="70" customWidth="1"/>
    <col min="5" max="7" width="12.5" customWidth="1"/>
    <col min="8" max="8" width="43.33203125" customWidth="1"/>
  </cols>
  <sheetData>
    <row r="1" spans="1:8" ht="19" x14ac:dyDescent="0.25">
      <c r="A1" s="58" t="s">
        <v>4220</v>
      </c>
    </row>
    <row r="2" spans="1:8" x14ac:dyDescent="0.2">
      <c r="A2" s="59" t="s">
        <v>4221</v>
      </c>
    </row>
    <row r="4" spans="1:8" x14ac:dyDescent="0.2">
      <c r="A4" t="s">
        <v>2143</v>
      </c>
      <c r="B4" t="s">
        <v>4031</v>
      </c>
      <c r="C4" t="s">
        <v>2146</v>
      </c>
      <c r="D4" t="s">
        <v>2147</v>
      </c>
      <c r="E4" t="s">
        <v>4032</v>
      </c>
      <c r="F4" t="s">
        <v>4033</v>
      </c>
      <c r="G4" t="s">
        <v>2149</v>
      </c>
      <c r="H4" t="s">
        <v>2150</v>
      </c>
    </row>
    <row r="5" spans="1:8" ht="16" x14ac:dyDescent="0.2">
      <c r="A5" s="60">
        <v>1</v>
      </c>
      <c r="B5" s="61" t="s">
        <v>4034</v>
      </c>
      <c r="C5" s="62" t="s">
        <v>2183</v>
      </c>
      <c r="D5" s="61" t="s">
        <v>4130</v>
      </c>
      <c r="E5" s="76"/>
      <c r="F5" s="60"/>
      <c r="G5" s="60" t="s">
        <v>4036</v>
      </c>
      <c r="H5" s="42"/>
    </row>
    <row r="6" spans="1:8" ht="16" x14ac:dyDescent="0.2">
      <c r="A6" s="60">
        <v>1</v>
      </c>
      <c r="B6" s="61" t="s">
        <v>4034</v>
      </c>
      <c r="C6" s="62" t="s">
        <v>2183</v>
      </c>
      <c r="D6" s="61" t="s">
        <v>4204</v>
      </c>
      <c r="E6" s="76"/>
      <c r="F6" s="60"/>
      <c r="G6" s="60" t="s">
        <v>4036</v>
      </c>
      <c r="H6" s="42"/>
    </row>
    <row r="7" spans="1:8" ht="16" x14ac:dyDescent="0.2">
      <c r="A7" s="60">
        <v>1</v>
      </c>
      <c r="B7" s="61" t="s">
        <v>4034</v>
      </c>
      <c r="C7" s="62" t="s">
        <v>2183</v>
      </c>
      <c r="D7" s="61" t="s">
        <v>4132</v>
      </c>
      <c r="E7" s="76"/>
      <c r="F7" s="60"/>
      <c r="G7" s="60" t="s">
        <v>4036</v>
      </c>
      <c r="H7" s="42"/>
    </row>
    <row r="8" spans="1:8" ht="16" x14ac:dyDescent="0.2">
      <c r="A8" s="60">
        <v>1</v>
      </c>
      <c r="B8" s="61" t="s">
        <v>4034</v>
      </c>
      <c r="C8" s="62" t="s">
        <v>2183</v>
      </c>
      <c r="D8" s="61" t="s">
        <v>4133</v>
      </c>
      <c r="E8" s="76"/>
      <c r="F8" s="60"/>
      <c r="G8" s="60" t="s">
        <v>2180</v>
      </c>
      <c r="H8" s="42"/>
    </row>
    <row r="9" spans="1:8" ht="16" x14ac:dyDescent="0.2">
      <c r="A9" s="60">
        <v>1</v>
      </c>
      <c r="B9" s="61" t="s">
        <v>4034</v>
      </c>
      <c r="C9" s="62" t="s">
        <v>2183</v>
      </c>
      <c r="D9" s="61" t="s">
        <v>4134</v>
      </c>
      <c r="E9" s="76"/>
      <c r="F9" s="60"/>
      <c r="G9" s="60" t="s">
        <v>2180</v>
      </c>
      <c r="H9" s="42"/>
    </row>
    <row r="10" spans="1:8" ht="32" x14ac:dyDescent="0.2">
      <c r="A10" s="60">
        <v>1</v>
      </c>
      <c r="B10" s="61" t="s">
        <v>4034</v>
      </c>
      <c r="C10" s="62" t="s">
        <v>2183</v>
      </c>
      <c r="D10" s="61" t="s">
        <v>4135</v>
      </c>
      <c r="E10" s="76"/>
      <c r="F10" s="60"/>
      <c r="G10" s="60" t="s">
        <v>2180</v>
      </c>
      <c r="H10" s="42" t="s">
        <v>4136</v>
      </c>
    </row>
    <row r="11" spans="1:8" ht="32" x14ac:dyDescent="0.2">
      <c r="A11" s="60">
        <v>1</v>
      </c>
      <c r="B11" s="61" t="s">
        <v>4137</v>
      </c>
      <c r="C11" s="62" t="s">
        <v>4205</v>
      </c>
      <c r="D11" s="61" t="s">
        <v>4206</v>
      </c>
      <c r="E11" s="76">
        <v>1035</v>
      </c>
      <c r="F11" s="60" t="s">
        <v>4043</v>
      </c>
      <c r="G11" s="60" t="s">
        <v>4044</v>
      </c>
      <c r="H11" s="42" t="s">
        <v>4207</v>
      </c>
    </row>
    <row r="12" spans="1:8" ht="32" x14ac:dyDescent="0.2">
      <c r="A12" s="60">
        <v>1</v>
      </c>
      <c r="B12" s="61" t="s">
        <v>4137</v>
      </c>
      <c r="C12" s="62" t="s">
        <v>4208</v>
      </c>
      <c r="D12" s="61" t="s">
        <v>4209</v>
      </c>
      <c r="E12" s="76">
        <v>1035</v>
      </c>
      <c r="F12" s="60" t="s">
        <v>4043</v>
      </c>
      <c r="G12" s="60" t="s">
        <v>4044</v>
      </c>
      <c r="H12" s="42" t="s">
        <v>4207</v>
      </c>
    </row>
    <row r="13" spans="1:8" ht="32" x14ac:dyDescent="0.2">
      <c r="A13" s="60">
        <v>1</v>
      </c>
      <c r="B13" s="61" t="s">
        <v>4137</v>
      </c>
      <c r="C13" s="62" t="s">
        <v>4210</v>
      </c>
      <c r="D13" s="61" t="s">
        <v>4211</v>
      </c>
      <c r="E13" s="76">
        <v>1035</v>
      </c>
      <c r="F13" s="60" t="s">
        <v>4043</v>
      </c>
      <c r="G13" s="60" t="s">
        <v>4044</v>
      </c>
      <c r="H13" s="42" t="s">
        <v>4207</v>
      </c>
    </row>
    <row r="14" spans="1:8" ht="32" x14ac:dyDescent="0.2">
      <c r="A14" s="60">
        <v>1</v>
      </c>
      <c r="B14" s="61" t="s">
        <v>4137</v>
      </c>
      <c r="C14" s="62" t="s">
        <v>4212</v>
      </c>
      <c r="D14" s="61" t="s">
        <v>4213</v>
      </c>
      <c r="E14" s="76">
        <v>1150</v>
      </c>
      <c r="F14" s="60" t="s">
        <v>4043</v>
      </c>
      <c r="G14" s="60" t="s">
        <v>4044</v>
      </c>
      <c r="H14" s="42" t="s">
        <v>4207</v>
      </c>
    </row>
    <row r="15" spans="1:8" ht="32" x14ac:dyDescent="0.2">
      <c r="A15" s="60">
        <v>1</v>
      </c>
      <c r="B15" s="61" t="s">
        <v>4137</v>
      </c>
      <c r="C15" s="62" t="s">
        <v>4214</v>
      </c>
      <c r="D15" s="61" t="s">
        <v>4215</v>
      </c>
      <c r="E15" s="76">
        <v>1265</v>
      </c>
      <c r="F15" s="60" t="s">
        <v>4043</v>
      </c>
      <c r="G15" s="60" t="s">
        <v>4044</v>
      </c>
      <c r="H15" s="42" t="s">
        <v>4216</v>
      </c>
    </row>
    <row r="16" spans="1:8" ht="32" x14ac:dyDescent="0.2">
      <c r="A16" s="60">
        <v>1</v>
      </c>
      <c r="B16" s="61" t="s">
        <v>4137</v>
      </c>
      <c r="C16" s="62" t="s">
        <v>4217</v>
      </c>
      <c r="D16" s="61" t="s">
        <v>4218</v>
      </c>
      <c r="E16" s="76">
        <v>1035</v>
      </c>
      <c r="F16" s="60" t="s">
        <v>4043</v>
      </c>
      <c r="G16" s="60" t="s">
        <v>4044</v>
      </c>
      <c r="H16" s="42" t="s">
        <v>4219</v>
      </c>
    </row>
  </sheetData>
  <pageMargins left="0.7" right="0.7" top="0.75" bottom="0.75" header="0.3" footer="0.3"/>
  <legacyDrawing r:id="rId1"/>
  <tableParts count="1">
    <tablePart r:id="rId2"/>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E6119-B1EB-B04C-B6B5-9C5648D90AC4}">
  <sheetPr>
    <tabColor theme="6"/>
  </sheetPr>
  <dimension ref="A1:H17"/>
  <sheetViews>
    <sheetView workbookViewId="0">
      <pane ySplit="4" topLeftCell="A5" activePane="bottomLeft" state="frozen"/>
      <selection activeCell="A174" sqref="A174"/>
      <selection pane="bottomLeft" activeCell="K58" sqref="K58"/>
    </sheetView>
  </sheetViews>
  <sheetFormatPr baseColWidth="10" defaultRowHeight="15" x14ac:dyDescent="0.2"/>
  <cols>
    <col min="1" max="1" width="6.6640625" customWidth="1"/>
    <col min="2" max="2" width="25" customWidth="1"/>
    <col min="3" max="3" width="11.6640625" customWidth="1"/>
    <col min="4" max="4" width="70" customWidth="1"/>
    <col min="5" max="7" width="12.5" customWidth="1"/>
    <col min="8" max="8" width="43.33203125" customWidth="1"/>
  </cols>
  <sheetData>
    <row r="1" spans="1:8" ht="19" x14ac:dyDescent="0.25">
      <c r="A1" s="58" t="s">
        <v>4250</v>
      </c>
    </row>
    <row r="2" spans="1:8" x14ac:dyDescent="0.2">
      <c r="A2" s="59" t="s">
        <v>4251</v>
      </c>
    </row>
    <row r="4" spans="1:8" x14ac:dyDescent="0.2">
      <c r="A4" t="s">
        <v>2143</v>
      </c>
      <c r="B4" t="s">
        <v>4031</v>
      </c>
      <c r="C4" t="s">
        <v>2146</v>
      </c>
      <c r="D4" t="s">
        <v>2147</v>
      </c>
      <c r="E4" t="s">
        <v>4032</v>
      </c>
      <c r="F4" t="s">
        <v>4033</v>
      </c>
      <c r="G4" t="s">
        <v>2149</v>
      </c>
      <c r="H4" t="s">
        <v>2150</v>
      </c>
    </row>
    <row r="5" spans="1:8" ht="16" x14ac:dyDescent="0.2">
      <c r="A5" s="60">
        <v>1</v>
      </c>
      <c r="B5" s="61" t="s">
        <v>4034</v>
      </c>
      <c r="C5" s="62" t="s">
        <v>2183</v>
      </c>
      <c r="D5" s="61" t="s">
        <v>4130</v>
      </c>
      <c r="E5" s="76"/>
      <c r="F5" s="60"/>
      <c r="G5" s="60" t="s">
        <v>4036</v>
      </c>
      <c r="H5" s="42"/>
    </row>
    <row r="6" spans="1:8" ht="16" x14ac:dyDescent="0.2">
      <c r="A6" s="60">
        <v>1</v>
      </c>
      <c r="B6" s="61" t="s">
        <v>4034</v>
      </c>
      <c r="C6" s="62" t="s">
        <v>2183</v>
      </c>
      <c r="D6" s="61" t="s">
        <v>4252</v>
      </c>
      <c r="E6" s="76"/>
      <c r="F6" s="60"/>
      <c r="G6" s="60" t="s">
        <v>4036</v>
      </c>
      <c r="H6" s="42"/>
    </row>
    <row r="7" spans="1:8" ht="16" x14ac:dyDescent="0.2">
      <c r="A7" s="60">
        <v>1</v>
      </c>
      <c r="B7" s="61" t="s">
        <v>4034</v>
      </c>
      <c r="C7" s="62" t="s">
        <v>2183</v>
      </c>
      <c r="D7" s="61" t="s">
        <v>4132</v>
      </c>
      <c r="E7" s="76"/>
      <c r="F7" s="60"/>
      <c r="G7" s="60" t="s">
        <v>4036</v>
      </c>
      <c r="H7" s="42"/>
    </row>
    <row r="8" spans="1:8" ht="16" x14ac:dyDescent="0.2">
      <c r="A8" s="60">
        <v>1</v>
      </c>
      <c r="B8" s="61" t="s">
        <v>4034</v>
      </c>
      <c r="C8" s="62" t="s">
        <v>2183</v>
      </c>
      <c r="D8" s="61" t="s">
        <v>4133</v>
      </c>
      <c r="E8" s="76"/>
      <c r="F8" s="60"/>
      <c r="G8" s="60" t="s">
        <v>2180</v>
      </c>
      <c r="H8" s="42"/>
    </row>
    <row r="9" spans="1:8" ht="16" x14ac:dyDescent="0.2">
      <c r="A9" s="60">
        <v>1</v>
      </c>
      <c r="B9" s="61" t="s">
        <v>4034</v>
      </c>
      <c r="C9" s="62" t="s">
        <v>2183</v>
      </c>
      <c r="D9" s="61" t="s">
        <v>4134</v>
      </c>
      <c r="E9" s="76"/>
      <c r="F9" s="60"/>
      <c r="G9" s="60" t="s">
        <v>2180</v>
      </c>
      <c r="H9" s="42"/>
    </row>
    <row r="10" spans="1:8" ht="32" x14ac:dyDescent="0.2">
      <c r="A10" s="60">
        <v>1</v>
      </c>
      <c r="B10" s="61" t="s">
        <v>4034</v>
      </c>
      <c r="C10" s="62" t="s">
        <v>2183</v>
      </c>
      <c r="D10" s="61" t="s">
        <v>4135</v>
      </c>
      <c r="E10" s="76"/>
      <c r="F10" s="60"/>
      <c r="G10" s="60" t="s">
        <v>2180</v>
      </c>
      <c r="H10" s="42" t="s">
        <v>4136</v>
      </c>
    </row>
    <row r="11" spans="1:8" ht="32" x14ac:dyDescent="0.2">
      <c r="A11" s="60">
        <v>1</v>
      </c>
      <c r="B11" s="61" t="s">
        <v>4137</v>
      </c>
      <c r="C11" s="62" t="s">
        <v>4253</v>
      </c>
      <c r="D11" s="61" t="s">
        <v>4254</v>
      </c>
      <c r="E11" s="76">
        <v>910</v>
      </c>
      <c r="F11" s="60" t="s">
        <v>4043</v>
      </c>
      <c r="G11" s="60" t="s">
        <v>4044</v>
      </c>
      <c r="H11" s="42" t="s">
        <v>4140</v>
      </c>
    </row>
    <row r="12" spans="1:8" ht="32" x14ac:dyDescent="0.2">
      <c r="A12" s="60">
        <v>1</v>
      </c>
      <c r="B12" s="61" t="s">
        <v>4137</v>
      </c>
      <c r="C12" s="62" t="s">
        <v>4255</v>
      </c>
      <c r="D12" s="61" t="s">
        <v>4256</v>
      </c>
      <c r="E12" s="76">
        <v>1030</v>
      </c>
      <c r="F12" s="60" t="s">
        <v>4043</v>
      </c>
      <c r="G12" s="60" t="s">
        <v>4044</v>
      </c>
      <c r="H12" s="42" t="s">
        <v>4257</v>
      </c>
    </row>
    <row r="13" spans="1:8" ht="32" x14ac:dyDescent="0.2">
      <c r="A13" s="60">
        <v>1</v>
      </c>
      <c r="B13" s="61" t="s">
        <v>4137</v>
      </c>
      <c r="C13" s="62" t="s">
        <v>4258</v>
      </c>
      <c r="D13" s="61" t="s">
        <v>4259</v>
      </c>
      <c r="E13" s="76">
        <v>1030</v>
      </c>
      <c r="F13" s="60" t="s">
        <v>4043</v>
      </c>
      <c r="G13" s="60" t="s">
        <v>4044</v>
      </c>
      <c r="H13" s="42" t="s">
        <v>4140</v>
      </c>
    </row>
    <row r="14" spans="1:8" ht="32" x14ac:dyDescent="0.2">
      <c r="A14" s="60">
        <v>1</v>
      </c>
      <c r="B14" s="61" t="s">
        <v>4137</v>
      </c>
      <c r="C14" s="62" t="s">
        <v>4260</v>
      </c>
      <c r="D14" s="61" t="s">
        <v>4261</v>
      </c>
      <c r="E14" s="76">
        <v>1250</v>
      </c>
      <c r="F14" s="60" t="s">
        <v>4043</v>
      </c>
      <c r="G14" s="60" t="s">
        <v>4044</v>
      </c>
      <c r="H14" s="42" t="s">
        <v>4140</v>
      </c>
    </row>
    <row r="15" spans="1:8" ht="32" x14ac:dyDescent="0.2">
      <c r="A15" s="60">
        <v>1</v>
      </c>
      <c r="B15" s="61" t="s">
        <v>4137</v>
      </c>
      <c r="C15" s="62" t="s">
        <v>4262</v>
      </c>
      <c r="D15" s="61" t="s">
        <v>4263</v>
      </c>
      <c r="E15" s="76">
        <v>1030</v>
      </c>
      <c r="F15" s="60" t="s">
        <v>4043</v>
      </c>
      <c r="G15" s="60" t="s">
        <v>4044</v>
      </c>
      <c r="H15" s="42" t="s">
        <v>4264</v>
      </c>
    </row>
    <row r="16" spans="1:8" ht="32" x14ac:dyDescent="0.2">
      <c r="A16" s="60">
        <v>1</v>
      </c>
      <c r="B16" s="61" t="s">
        <v>4137</v>
      </c>
      <c r="C16" s="62" t="s">
        <v>4265</v>
      </c>
      <c r="D16" s="61" t="s">
        <v>4266</v>
      </c>
      <c r="E16" s="76">
        <v>1325</v>
      </c>
      <c r="F16" s="60" t="s">
        <v>4043</v>
      </c>
      <c r="G16" s="60" t="s">
        <v>4044</v>
      </c>
      <c r="H16" s="42" t="s">
        <v>4140</v>
      </c>
    </row>
    <row r="17" spans="1:8" ht="32" x14ac:dyDescent="0.2">
      <c r="A17" s="60">
        <v>1</v>
      </c>
      <c r="B17" s="61" t="s">
        <v>4137</v>
      </c>
      <c r="C17" s="62" t="s">
        <v>4152</v>
      </c>
      <c r="D17" s="61" t="s">
        <v>4153</v>
      </c>
      <c r="E17" s="76">
        <v>370</v>
      </c>
      <c r="F17" s="60" t="s">
        <v>4043</v>
      </c>
      <c r="G17" s="60" t="s">
        <v>4044</v>
      </c>
      <c r="H17" s="42" t="s">
        <v>4267</v>
      </c>
    </row>
  </sheetData>
  <pageMargins left="0.7" right="0.7" top="0.75" bottom="0.75" header="0.3" footer="0.3"/>
  <legacyDrawing r:id="rId1"/>
  <tableParts count="1">
    <tablePart r:id="rId2"/>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5194F-882F-4543-95BA-711D215562EA}">
  <dimension ref="A1:H70"/>
  <sheetViews>
    <sheetView workbookViewId="0">
      <pane ySplit="4" topLeftCell="A5" activePane="bottomLeft" state="frozen"/>
      <selection pane="bottomLeft"/>
    </sheetView>
  </sheetViews>
  <sheetFormatPr baseColWidth="10" defaultRowHeight="15" x14ac:dyDescent="0.2"/>
  <cols>
    <col min="1" max="1" width="12.83203125" customWidth="1"/>
    <col min="2" max="2" width="14.33203125" bestFit="1" customWidth="1"/>
    <col min="3" max="3" width="16.6640625" bestFit="1" customWidth="1"/>
    <col min="4" max="4" width="53.5" bestFit="1" customWidth="1"/>
    <col min="5" max="5" width="33" customWidth="1"/>
    <col min="6" max="6" width="27" bestFit="1" customWidth="1"/>
    <col min="7" max="7" width="12.1640625" bestFit="1" customWidth="1"/>
    <col min="8" max="8" width="64.33203125" bestFit="1" customWidth="1"/>
  </cols>
  <sheetData>
    <row r="1" spans="1:8" ht="19" x14ac:dyDescent="0.25">
      <c r="A1" s="58" t="s">
        <v>4594</v>
      </c>
    </row>
    <row r="2" spans="1:8" x14ac:dyDescent="0.2">
      <c r="A2" s="59" t="s">
        <v>4595</v>
      </c>
    </row>
    <row r="4" spans="1:8" x14ac:dyDescent="0.2">
      <c r="A4" s="88" t="s">
        <v>4596</v>
      </c>
      <c r="B4" s="88" t="s">
        <v>4031</v>
      </c>
      <c r="C4" s="88" t="s">
        <v>2146</v>
      </c>
      <c r="D4" s="88" t="s">
        <v>2147</v>
      </c>
      <c r="E4" s="88" t="s">
        <v>4597</v>
      </c>
      <c r="F4" s="88" t="s">
        <v>4598</v>
      </c>
      <c r="G4" s="88" t="s">
        <v>2149</v>
      </c>
      <c r="H4" s="88" t="s">
        <v>2150</v>
      </c>
    </row>
    <row r="5" spans="1:8" ht="16" x14ac:dyDescent="0.2">
      <c r="A5" s="82">
        <v>3</v>
      </c>
      <c r="B5" s="82" t="s">
        <v>4034</v>
      </c>
      <c r="C5" s="83"/>
      <c r="D5" s="85" t="s">
        <v>4599</v>
      </c>
      <c r="E5" s="84"/>
      <c r="F5" s="84"/>
      <c r="G5" s="82" t="s">
        <v>4036</v>
      </c>
      <c r="H5" s="86" t="s">
        <v>4600</v>
      </c>
    </row>
    <row r="6" spans="1:8" ht="48" x14ac:dyDescent="0.2">
      <c r="A6" s="82">
        <v>5</v>
      </c>
      <c r="B6" s="82" t="s">
        <v>4034</v>
      </c>
      <c r="C6" s="83"/>
      <c r="D6" s="85" t="s">
        <v>4464</v>
      </c>
      <c r="E6" s="84" t="s">
        <v>4601</v>
      </c>
      <c r="F6" s="84" t="s">
        <v>4602</v>
      </c>
      <c r="G6" s="82" t="s">
        <v>2180</v>
      </c>
      <c r="H6" s="86" t="s">
        <v>4603</v>
      </c>
    </row>
    <row r="7" spans="1:8" ht="16" x14ac:dyDescent="0.2">
      <c r="A7" s="82">
        <v>7</v>
      </c>
      <c r="B7" s="82" t="s">
        <v>4034</v>
      </c>
      <c r="C7" s="83" t="s">
        <v>4467</v>
      </c>
      <c r="D7" s="85" t="s">
        <v>2442</v>
      </c>
      <c r="E7" s="84" t="s">
        <v>4604</v>
      </c>
      <c r="F7" s="84" t="s">
        <v>4604</v>
      </c>
      <c r="G7" s="82" t="s">
        <v>4036</v>
      </c>
      <c r="H7" s="86" t="s">
        <v>4605</v>
      </c>
    </row>
    <row r="8" spans="1:8" ht="16" x14ac:dyDescent="0.2">
      <c r="A8" s="82">
        <v>8</v>
      </c>
      <c r="B8" s="82" t="s">
        <v>4599</v>
      </c>
      <c r="C8" s="83" t="s">
        <v>4606</v>
      </c>
      <c r="D8" s="85" t="s">
        <v>4470</v>
      </c>
      <c r="E8" s="84">
        <v>420</v>
      </c>
      <c r="F8" s="84">
        <v>420</v>
      </c>
      <c r="G8" s="82" t="s">
        <v>4044</v>
      </c>
      <c r="H8" s="86" t="s">
        <v>4607</v>
      </c>
    </row>
    <row r="9" spans="1:8" ht="16" x14ac:dyDescent="0.2">
      <c r="A9" s="82">
        <v>9</v>
      </c>
      <c r="B9" s="82" t="s">
        <v>4599</v>
      </c>
      <c r="C9" s="83" t="s">
        <v>4471</v>
      </c>
      <c r="D9" s="85" t="s">
        <v>4472</v>
      </c>
      <c r="E9" s="84">
        <v>900</v>
      </c>
      <c r="F9" s="84">
        <v>900</v>
      </c>
      <c r="G9" s="82" t="s">
        <v>4044</v>
      </c>
      <c r="H9" s="86"/>
    </row>
    <row r="10" spans="1:8" ht="16" x14ac:dyDescent="0.2">
      <c r="A10" s="82">
        <v>10</v>
      </c>
      <c r="B10" s="82" t="s">
        <v>4599</v>
      </c>
      <c r="C10" s="83" t="s">
        <v>4473</v>
      </c>
      <c r="D10" s="85" t="s">
        <v>4474</v>
      </c>
      <c r="E10" s="84">
        <v>900</v>
      </c>
      <c r="F10" s="84">
        <v>900</v>
      </c>
      <c r="G10" s="82" t="s">
        <v>4044</v>
      </c>
      <c r="H10" s="86"/>
    </row>
    <row r="11" spans="1:8" ht="16" x14ac:dyDescent="0.2">
      <c r="A11" s="82">
        <v>11</v>
      </c>
      <c r="B11" s="82" t="s">
        <v>4599</v>
      </c>
      <c r="C11" s="83" t="s">
        <v>4475</v>
      </c>
      <c r="D11" s="85" t="s">
        <v>4476</v>
      </c>
      <c r="E11" s="84">
        <v>600</v>
      </c>
      <c r="F11" s="84">
        <v>600</v>
      </c>
      <c r="G11" s="82" t="s">
        <v>4044</v>
      </c>
      <c r="H11" s="86"/>
    </row>
    <row r="12" spans="1:8" ht="16" x14ac:dyDescent="0.2">
      <c r="A12" s="82">
        <v>12</v>
      </c>
      <c r="B12" s="82" t="s">
        <v>4599</v>
      </c>
      <c r="C12" s="83" t="s">
        <v>4477</v>
      </c>
      <c r="D12" s="85" t="s">
        <v>4478</v>
      </c>
      <c r="E12" s="84">
        <v>600</v>
      </c>
      <c r="F12" s="84">
        <v>600</v>
      </c>
      <c r="G12" s="82" t="s">
        <v>4044</v>
      </c>
      <c r="H12" s="86"/>
    </row>
    <row r="13" spans="1:8" ht="16" x14ac:dyDescent="0.2">
      <c r="A13" s="82">
        <v>13</v>
      </c>
      <c r="B13" s="82" t="s">
        <v>4599</v>
      </c>
      <c r="C13" s="83" t="s">
        <v>4479</v>
      </c>
      <c r="D13" s="85" t="s">
        <v>4480</v>
      </c>
      <c r="E13" s="84">
        <v>700</v>
      </c>
      <c r="F13" s="84">
        <v>700</v>
      </c>
      <c r="G13" s="82" t="s">
        <v>4044</v>
      </c>
      <c r="H13" s="86"/>
    </row>
    <row r="14" spans="1:8" ht="16" x14ac:dyDescent="0.2">
      <c r="A14" s="82">
        <v>14</v>
      </c>
      <c r="B14" s="82" t="s">
        <v>4599</v>
      </c>
      <c r="C14" s="83" t="s">
        <v>4481</v>
      </c>
      <c r="D14" s="85" t="s">
        <v>4482</v>
      </c>
      <c r="E14" s="84">
        <v>700</v>
      </c>
      <c r="F14" s="84">
        <v>700</v>
      </c>
      <c r="G14" s="82" t="s">
        <v>4044</v>
      </c>
      <c r="H14" s="86"/>
    </row>
    <row r="15" spans="1:8" ht="16" x14ac:dyDescent="0.2">
      <c r="A15" s="82">
        <v>15</v>
      </c>
      <c r="B15" s="82" t="s">
        <v>4599</v>
      </c>
      <c r="C15" s="83" t="s">
        <v>4483</v>
      </c>
      <c r="D15" s="85" t="s">
        <v>4608</v>
      </c>
      <c r="E15" s="84">
        <v>950</v>
      </c>
      <c r="F15" s="84">
        <v>1000</v>
      </c>
      <c r="G15" s="82" t="s">
        <v>4044</v>
      </c>
      <c r="H15" s="86" t="s">
        <v>4609</v>
      </c>
    </row>
    <row r="16" spans="1:8" ht="16" x14ac:dyDescent="0.2">
      <c r="A16" s="82">
        <v>16</v>
      </c>
      <c r="B16" s="82" t="s">
        <v>4599</v>
      </c>
      <c r="C16" s="83" t="s">
        <v>4485</v>
      </c>
      <c r="D16" s="85" t="s">
        <v>4486</v>
      </c>
      <c r="E16" s="84">
        <v>500</v>
      </c>
      <c r="F16" s="84">
        <v>500</v>
      </c>
      <c r="G16" s="82" t="s">
        <v>4044</v>
      </c>
      <c r="H16" s="86"/>
    </row>
    <row r="17" spans="1:8" ht="16" x14ac:dyDescent="0.2">
      <c r="A17" s="82">
        <v>17</v>
      </c>
      <c r="B17" s="82" t="s">
        <v>4599</v>
      </c>
      <c r="C17" s="83" t="s">
        <v>4487</v>
      </c>
      <c r="D17" s="85" t="s">
        <v>4488</v>
      </c>
      <c r="E17" s="84">
        <v>900</v>
      </c>
      <c r="F17" s="84">
        <v>900</v>
      </c>
      <c r="G17" s="82" t="s">
        <v>4044</v>
      </c>
      <c r="H17" s="86" t="s">
        <v>4610</v>
      </c>
    </row>
    <row r="18" spans="1:8" ht="16" x14ac:dyDescent="0.2">
      <c r="A18" s="82">
        <v>18</v>
      </c>
      <c r="B18" s="82" t="s">
        <v>4599</v>
      </c>
      <c r="C18" s="83" t="s">
        <v>4489</v>
      </c>
      <c r="D18" s="85" t="s">
        <v>4490</v>
      </c>
      <c r="E18" s="84">
        <v>800</v>
      </c>
      <c r="F18" s="84">
        <v>800</v>
      </c>
      <c r="G18" s="82" t="s">
        <v>4044</v>
      </c>
      <c r="H18" s="86"/>
    </row>
    <row r="19" spans="1:8" ht="16" x14ac:dyDescent="0.2">
      <c r="A19" s="82">
        <v>19</v>
      </c>
      <c r="B19" s="82" t="s">
        <v>4599</v>
      </c>
      <c r="C19" s="83" t="s">
        <v>4491</v>
      </c>
      <c r="D19" s="85" t="s">
        <v>4492</v>
      </c>
      <c r="E19" s="84">
        <v>700</v>
      </c>
      <c r="F19" s="84">
        <v>700</v>
      </c>
      <c r="G19" s="82" t="s">
        <v>4044</v>
      </c>
      <c r="H19" s="86"/>
    </row>
    <row r="20" spans="1:8" ht="16" x14ac:dyDescent="0.2">
      <c r="A20" s="82">
        <v>20</v>
      </c>
      <c r="B20" s="82" t="s">
        <v>4599</v>
      </c>
      <c r="C20" s="83" t="s">
        <v>4493</v>
      </c>
      <c r="D20" s="85" t="s">
        <v>4494</v>
      </c>
      <c r="E20" s="84">
        <v>800</v>
      </c>
      <c r="F20" s="84">
        <v>800</v>
      </c>
      <c r="G20" s="82" t="s">
        <v>4044</v>
      </c>
      <c r="H20" s="86"/>
    </row>
    <row r="21" spans="1:8" ht="16" x14ac:dyDescent="0.2">
      <c r="A21" s="82">
        <v>21</v>
      </c>
      <c r="B21" s="82" t="s">
        <v>4599</v>
      </c>
      <c r="C21" s="83" t="s">
        <v>4495</v>
      </c>
      <c r="D21" s="85" t="s">
        <v>4496</v>
      </c>
      <c r="E21" s="84">
        <v>700</v>
      </c>
      <c r="F21" s="84">
        <v>700</v>
      </c>
      <c r="G21" s="82" t="s">
        <v>4044</v>
      </c>
      <c r="H21" s="86"/>
    </row>
    <row r="22" spans="1:8" ht="16" x14ac:dyDescent="0.2">
      <c r="A22" s="82">
        <v>22</v>
      </c>
      <c r="B22" s="82" t="s">
        <v>4599</v>
      </c>
      <c r="C22" s="83" t="s">
        <v>4497</v>
      </c>
      <c r="D22" s="85" t="s">
        <v>4498</v>
      </c>
      <c r="E22" s="84">
        <v>800</v>
      </c>
      <c r="F22" s="84">
        <v>800</v>
      </c>
      <c r="G22" s="82" t="s">
        <v>4044</v>
      </c>
      <c r="H22" s="86"/>
    </row>
    <row r="23" spans="1:8" ht="16" x14ac:dyDescent="0.2">
      <c r="A23" s="82">
        <v>23</v>
      </c>
      <c r="B23" s="82" t="s">
        <v>4599</v>
      </c>
      <c r="C23" s="83" t="s">
        <v>4499</v>
      </c>
      <c r="D23" s="85" t="s">
        <v>4500</v>
      </c>
      <c r="E23" s="84">
        <v>800</v>
      </c>
      <c r="F23" s="84">
        <v>800</v>
      </c>
      <c r="G23" s="82" t="s">
        <v>4044</v>
      </c>
      <c r="H23" s="86"/>
    </row>
    <row r="24" spans="1:8" ht="16" x14ac:dyDescent="0.2">
      <c r="A24" s="82">
        <v>24</v>
      </c>
      <c r="B24" s="82" t="s">
        <v>4599</v>
      </c>
      <c r="C24" s="83" t="s">
        <v>4501</v>
      </c>
      <c r="D24" s="85" t="s">
        <v>4502</v>
      </c>
      <c r="E24" s="84">
        <v>750</v>
      </c>
      <c r="F24" s="84">
        <v>800</v>
      </c>
      <c r="G24" s="82" t="s">
        <v>4044</v>
      </c>
      <c r="H24" s="86" t="s">
        <v>4611</v>
      </c>
    </row>
    <row r="25" spans="1:8" ht="16" x14ac:dyDescent="0.2">
      <c r="A25" s="82">
        <v>25</v>
      </c>
      <c r="B25" s="82" t="s">
        <v>4599</v>
      </c>
      <c r="C25" s="83" t="s">
        <v>4503</v>
      </c>
      <c r="D25" s="85" t="s">
        <v>4504</v>
      </c>
      <c r="E25" s="84">
        <v>800</v>
      </c>
      <c r="F25" s="84">
        <v>800</v>
      </c>
      <c r="G25" s="82" t="s">
        <v>4044</v>
      </c>
      <c r="H25" s="86"/>
    </row>
    <row r="26" spans="1:8" ht="16" x14ac:dyDescent="0.2">
      <c r="A26" s="82">
        <v>26</v>
      </c>
      <c r="B26" s="82" t="s">
        <v>4599</v>
      </c>
      <c r="C26" s="83" t="s">
        <v>4505</v>
      </c>
      <c r="D26" s="85" t="s">
        <v>4506</v>
      </c>
      <c r="E26" s="84">
        <v>800</v>
      </c>
      <c r="F26" s="84">
        <v>800</v>
      </c>
      <c r="G26" s="82" t="s">
        <v>4044</v>
      </c>
      <c r="H26" s="86"/>
    </row>
    <row r="27" spans="1:8" ht="16" x14ac:dyDescent="0.2">
      <c r="A27" s="82">
        <v>27</v>
      </c>
      <c r="B27" s="82" t="s">
        <v>4599</v>
      </c>
      <c r="C27" s="83" t="s">
        <v>4507</v>
      </c>
      <c r="D27" s="85" t="s">
        <v>4508</v>
      </c>
      <c r="E27" s="84">
        <v>500</v>
      </c>
      <c r="F27" s="84">
        <v>500</v>
      </c>
      <c r="G27" s="82" t="s">
        <v>4044</v>
      </c>
      <c r="H27" s="86"/>
    </row>
    <row r="28" spans="1:8" ht="16" x14ac:dyDescent="0.2">
      <c r="A28" s="82">
        <v>28</v>
      </c>
      <c r="B28" s="82" t="s">
        <v>4599</v>
      </c>
      <c r="C28" s="83" t="s">
        <v>4509</v>
      </c>
      <c r="D28" s="85" t="s">
        <v>4510</v>
      </c>
      <c r="E28" s="84">
        <v>800</v>
      </c>
      <c r="F28" s="84">
        <v>800</v>
      </c>
      <c r="G28" s="82" t="s">
        <v>4044</v>
      </c>
      <c r="H28" s="86" t="s">
        <v>4612</v>
      </c>
    </row>
    <row r="29" spans="1:8" ht="16" x14ac:dyDescent="0.2">
      <c r="A29" s="82">
        <v>29</v>
      </c>
      <c r="B29" s="82" t="s">
        <v>4599</v>
      </c>
      <c r="C29" s="83" t="s">
        <v>4511</v>
      </c>
      <c r="D29" s="85" t="s">
        <v>4512</v>
      </c>
      <c r="E29" s="84">
        <v>800</v>
      </c>
      <c r="F29" s="84">
        <v>800</v>
      </c>
      <c r="G29" s="82" t="s">
        <v>4044</v>
      </c>
      <c r="H29" s="86" t="s">
        <v>4613</v>
      </c>
    </row>
    <row r="30" spans="1:8" ht="16" x14ac:dyDescent="0.2">
      <c r="A30" s="82">
        <v>30</v>
      </c>
      <c r="B30" s="82" t="s">
        <v>4599</v>
      </c>
      <c r="C30" s="83" t="s">
        <v>4513</v>
      </c>
      <c r="D30" s="85" t="s">
        <v>4514</v>
      </c>
      <c r="E30" s="84">
        <v>700</v>
      </c>
      <c r="F30" s="84">
        <v>700</v>
      </c>
      <c r="G30" s="82" t="s">
        <v>4044</v>
      </c>
      <c r="H30" s="86"/>
    </row>
    <row r="31" spans="1:8" ht="16" x14ac:dyDescent="0.2">
      <c r="A31" s="82">
        <v>31</v>
      </c>
      <c r="B31" s="82" t="s">
        <v>4599</v>
      </c>
      <c r="C31" s="83" t="s">
        <v>4515</v>
      </c>
      <c r="D31" s="85" t="s">
        <v>4516</v>
      </c>
      <c r="E31" s="84">
        <v>800</v>
      </c>
      <c r="F31" s="84">
        <v>800</v>
      </c>
      <c r="G31" s="82" t="s">
        <v>4044</v>
      </c>
      <c r="H31" s="86"/>
    </row>
    <row r="32" spans="1:8" ht="16" x14ac:dyDescent="0.2">
      <c r="A32" s="82">
        <v>32</v>
      </c>
      <c r="B32" s="82" t="s">
        <v>4599</v>
      </c>
      <c r="C32" s="83" t="s">
        <v>4517</v>
      </c>
      <c r="D32" s="85" t="s">
        <v>4518</v>
      </c>
      <c r="E32" s="84">
        <v>750</v>
      </c>
      <c r="F32" s="84">
        <v>800</v>
      </c>
      <c r="G32" s="82" t="s">
        <v>4044</v>
      </c>
      <c r="H32" s="86" t="s">
        <v>4611</v>
      </c>
    </row>
    <row r="33" spans="1:8" ht="16" x14ac:dyDescent="0.2">
      <c r="A33" s="82">
        <v>33</v>
      </c>
      <c r="B33" s="82" t="s">
        <v>4599</v>
      </c>
      <c r="C33" s="83" t="s">
        <v>4519</v>
      </c>
      <c r="D33" s="85" t="s">
        <v>4520</v>
      </c>
      <c r="E33" s="84">
        <v>800</v>
      </c>
      <c r="F33" s="84">
        <v>800</v>
      </c>
      <c r="G33" s="82" t="s">
        <v>4044</v>
      </c>
      <c r="H33" s="86"/>
    </row>
    <row r="34" spans="1:8" ht="16" x14ac:dyDescent="0.2">
      <c r="A34" s="82">
        <v>34</v>
      </c>
      <c r="B34" s="82" t="s">
        <v>4599</v>
      </c>
      <c r="C34" s="83" t="s">
        <v>4521</v>
      </c>
      <c r="D34" s="85" t="s">
        <v>4522</v>
      </c>
      <c r="E34" s="84">
        <v>750</v>
      </c>
      <c r="F34" s="84">
        <v>800</v>
      </c>
      <c r="G34" s="82" t="s">
        <v>4044</v>
      </c>
      <c r="H34" s="86" t="s">
        <v>4611</v>
      </c>
    </row>
    <row r="35" spans="1:8" ht="16" x14ac:dyDescent="0.2">
      <c r="A35" s="82">
        <v>35</v>
      </c>
      <c r="B35" s="82" t="s">
        <v>4599</v>
      </c>
      <c r="C35" s="83" t="s">
        <v>4523</v>
      </c>
      <c r="D35" s="85" t="s">
        <v>4524</v>
      </c>
      <c r="E35" s="84">
        <v>750</v>
      </c>
      <c r="F35" s="84">
        <v>800</v>
      </c>
      <c r="G35" s="82" t="s">
        <v>4044</v>
      </c>
      <c r="H35" s="86" t="s">
        <v>4611</v>
      </c>
    </row>
    <row r="36" spans="1:8" ht="16" x14ac:dyDescent="0.2">
      <c r="A36" s="82">
        <v>36</v>
      </c>
      <c r="B36" s="82" t="s">
        <v>4599</v>
      </c>
      <c r="C36" s="83" t="s">
        <v>4525</v>
      </c>
      <c r="D36" s="85" t="s">
        <v>4526</v>
      </c>
      <c r="E36" s="84">
        <v>480</v>
      </c>
      <c r="F36" s="84">
        <v>500</v>
      </c>
      <c r="G36" s="82" t="s">
        <v>4044</v>
      </c>
      <c r="H36" s="86" t="s">
        <v>4611</v>
      </c>
    </row>
    <row r="37" spans="1:8" ht="16" x14ac:dyDescent="0.2">
      <c r="A37" s="82">
        <v>37</v>
      </c>
      <c r="B37" s="82" t="s">
        <v>4599</v>
      </c>
      <c r="C37" s="83" t="s">
        <v>4527</v>
      </c>
      <c r="D37" s="85" t="s">
        <v>4528</v>
      </c>
      <c r="E37" s="84">
        <v>600</v>
      </c>
      <c r="F37" s="84">
        <v>600</v>
      </c>
      <c r="G37" s="82" t="s">
        <v>4044</v>
      </c>
      <c r="H37" s="86"/>
    </row>
    <row r="38" spans="1:8" ht="16" x14ac:dyDescent="0.2">
      <c r="A38" s="82">
        <v>38</v>
      </c>
      <c r="B38" s="82" t="s">
        <v>4599</v>
      </c>
      <c r="C38" s="83" t="s">
        <v>4529</v>
      </c>
      <c r="D38" s="85" t="s">
        <v>4530</v>
      </c>
      <c r="E38" s="84">
        <v>600</v>
      </c>
      <c r="F38" s="84">
        <v>700</v>
      </c>
      <c r="G38" s="82" t="s">
        <v>4044</v>
      </c>
      <c r="H38" s="86" t="s">
        <v>4611</v>
      </c>
    </row>
    <row r="39" spans="1:8" ht="16" x14ac:dyDescent="0.2">
      <c r="A39" s="82">
        <v>39</v>
      </c>
      <c r="B39" s="82" t="s">
        <v>4599</v>
      </c>
      <c r="C39" s="83" t="s">
        <v>4531</v>
      </c>
      <c r="D39" s="85" t="s">
        <v>4532</v>
      </c>
      <c r="E39" s="84">
        <v>950</v>
      </c>
      <c r="F39" s="84">
        <v>1000</v>
      </c>
      <c r="G39" s="82" t="s">
        <v>4044</v>
      </c>
      <c r="H39" s="86" t="s">
        <v>4611</v>
      </c>
    </row>
    <row r="40" spans="1:8" ht="16" x14ac:dyDescent="0.2">
      <c r="A40" s="82">
        <v>40</v>
      </c>
      <c r="B40" s="82" t="s">
        <v>4599</v>
      </c>
      <c r="C40" s="83" t="s">
        <v>4533</v>
      </c>
      <c r="D40" s="85" t="s">
        <v>4534</v>
      </c>
      <c r="E40" s="84">
        <v>1000</v>
      </c>
      <c r="F40" s="84">
        <v>1000</v>
      </c>
      <c r="G40" s="82" t="s">
        <v>4044</v>
      </c>
      <c r="H40" s="86"/>
    </row>
    <row r="41" spans="1:8" ht="16" x14ac:dyDescent="0.2">
      <c r="A41" s="82">
        <v>41</v>
      </c>
      <c r="B41" s="82" t="s">
        <v>4599</v>
      </c>
      <c r="C41" s="83" t="s">
        <v>4535</v>
      </c>
      <c r="D41" s="85" t="s">
        <v>4536</v>
      </c>
      <c r="E41" s="84">
        <v>750</v>
      </c>
      <c r="F41" s="84">
        <v>800</v>
      </c>
      <c r="G41" s="82" t="s">
        <v>4044</v>
      </c>
      <c r="H41" s="86" t="s">
        <v>4611</v>
      </c>
    </row>
    <row r="42" spans="1:8" ht="16" x14ac:dyDescent="0.2">
      <c r="A42" s="82">
        <v>42</v>
      </c>
      <c r="B42" s="82" t="s">
        <v>4599</v>
      </c>
      <c r="C42" s="83" t="s">
        <v>4537</v>
      </c>
      <c r="D42" s="85" t="s">
        <v>4538</v>
      </c>
      <c r="E42" s="84">
        <v>800</v>
      </c>
      <c r="F42" s="84">
        <v>800</v>
      </c>
      <c r="G42" s="82" t="s">
        <v>4044</v>
      </c>
      <c r="H42" s="86"/>
    </row>
    <row r="43" spans="1:8" ht="16" x14ac:dyDescent="0.2">
      <c r="A43" s="82">
        <v>43</v>
      </c>
      <c r="B43" s="82" t="s">
        <v>4599</v>
      </c>
      <c r="C43" s="83" t="s">
        <v>4539</v>
      </c>
      <c r="D43" s="85" t="s">
        <v>4540</v>
      </c>
      <c r="E43" s="84">
        <v>750</v>
      </c>
      <c r="F43" s="84">
        <v>800</v>
      </c>
      <c r="G43" s="82" t="s">
        <v>4044</v>
      </c>
      <c r="H43" s="86" t="s">
        <v>4611</v>
      </c>
    </row>
    <row r="44" spans="1:8" ht="16" x14ac:dyDescent="0.2">
      <c r="A44" s="82">
        <v>44</v>
      </c>
      <c r="B44" s="82" t="s">
        <v>4599</v>
      </c>
      <c r="C44" s="83" t="s">
        <v>4541</v>
      </c>
      <c r="D44" s="85" t="s">
        <v>4542</v>
      </c>
      <c r="E44" s="84">
        <v>480</v>
      </c>
      <c r="F44" s="84">
        <v>500</v>
      </c>
      <c r="G44" s="82" t="s">
        <v>4044</v>
      </c>
      <c r="H44" s="86" t="s">
        <v>4611</v>
      </c>
    </row>
    <row r="45" spans="1:8" ht="16" x14ac:dyDescent="0.2">
      <c r="A45" s="82">
        <v>45</v>
      </c>
      <c r="B45" s="82" t="s">
        <v>4599</v>
      </c>
      <c r="C45" s="83" t="s">
        <v>4543</v>
      </c>
      <c r="D45" s="85" t="s">
        <v>4544</v>
      </c>
      <c r="E45" s="84">
        <v>480</v>
      </c>
      <c r="F45" s="84">
        <v>500</v>
      </c>
      <c r="G45" s="82" t="s">
        <v>4044</v>
      </c>
      <c r="H45" s="86" t="s">
        <v>4611</v>
      </c>
    </row>
    <row r="46" spans="1:8" ht="32" x14ac:dyDescent="0.2">
      <c r="A46" s="82">
        <v>46</v>
      </c>
      <c r="B46" s="82" t="s">
        <v>4599</v>
      </c>
      <c r="C46" s="83" t="s">
        <v>4545</v>
      </c>
      <c r="D46" s="85" t="s">
        <v>4546</v>
      </c>
      <c r="E46" s="84">
        <v>800</v>
      </c>
      <c r="F46" s="84">
        <v>800</v>
      </c>
      <c r="G46" s="82" t="s">
        <v>4044</v>
      </c>
      <c r="H46" s="86"/>
    </row>
    <row r="47" spans="1:8" ht="32" x14ac:dyDescent="0.2">
      <c r="A47" s="82">
        <v>47</v>
      </c>
      <c r="B47" s="82" t="s">
        <v>4599</v>
      </c>
      <c r="C47" s="83" t="s">
        <v>4547</v>
      </c>
      <c r="D47" s="85" t="s">
        <v>4548</v>
      </c>
      <c r="E47" s="84">
        <v>900</v>
      </c>
      <c r="F47" s="84">
        <v>900</v>
      </c>
      <c r="G47" s="82" t="s">
        <v>4044</v>
      </c>
      <c r="H47" s="86"/>
    </row>
    <row r="48" spans="1:8" ht="16" x14ac:dyDescent="0.2">
      <c r="A48" s="82">
        <v>48</v>
      </c>
      <c r="B48" s="82" t="s">
        <v>4599</v>
      </c>
      <c r="C48" s="83" t="s">
        <v>4549</v>
      </c>
      <c r="D48" s="85" t="s">
        <v>4550</v>
      </c>
      <c r="E48" s="84">
        <v>800</v>
      </c>
      <c r="F48" s="84">
        <v>800</v>
      </c>
      <c r="G48" s="82" t="s">
        <v>4044</v>
      </c>
      <c r="H48" s="86"/>
    </row>
    <row r="49" spans="1:8" ht="16" x14ac:dyDescent="0.2">
      <c r="A49" s="82">
        <v>49</v>
      </c>
      <c r="B49" s="82" t="s">
        <v>4599</v>
      </c>
      <c r="C49" s="83" t="s">
        <v>4551</v>
      </c>
      <c r="D49" s="85" t="s">
        <v>4552</v>
      </c>
      <c r="E49" s="84">
        <v>700</v>
      </c>
      <c r="F49" s="84">
        <v>700</v>
      </c>
      <c r="G49" s="82" t="s">
        <v>4044</v>
      </c>
      <c r="H49" s="86"/>
    </row>
    <row r="50" spans="1:8" ht="16" x14ac:dyDescent="0.2">
      <c r="A50" s="82">
        <v>50</v>
      </c>
      <c r="B50" s="82" t="s">
        <v>4599</v>
      </c>
      <c r="C50" s="83" t="s">
        <v>4553</v>
      </c>
      <c r="D50" s="85" t="s">
        <v>4554</v>
      </c>
      <c r="E50" s="84">
        <v>500</v>
      </c>
      <c r="F50" s="84">
        <v>500</v>
      </c>
      <c r="G50" s="82" t="s">
        <v>4044</v>
      </c>
      <c r="H50" s="86"/>
    </row>
    <row r="51" spans="1:8" ht="16" x14ac:dyDescent="0.2">
      <c r="A51" s="82">
        <v>51</v>
      </c>
      <c r="B51" s="82" t="s">
        <v>4599</v>
      </c>
      <c r="C51" s="83" t="s">
        <v>4555</v>
      </c>
      <c r="D51" s="85" t="s">
        <v>4556</v>
      </c>
      <c r="E51" s="84">
        <v>700</v>
      </c>
      <c r="F51" s="84">
        <v>700</v>
      </c>
      <c r="G51" s="82" t="s">
        <v>4044</v>
      </c>
      <c r="H51" s="86"/>
    </row>
    <row r="52" spans="1:8" ht="16" x14ac:dyDescent="0.2">
      <c r="A52" s="82">
        <v>52</v>
      </c>
      <c r="B52" s="82" t="s">
        <v>4599</v>
      </c>
      <c r="C52" s="83" t="s">
        <v>4557</v>
      </c>
      <c r="D52" s="85" t="s">
        <v>4558</v>
      </c>
      <c r="E52" s="84">
        <v>900</v>
      </c>
      <c r="F52" s="84">
        <v>900</v>
      </c>
      <c r="G52" s="82" t="s">
        <v>4044</v>
      </c>
      <c r="H52" s="86"/>
    </row>
    <row r="53" spans="1:8" ht="16" x14ac:dyDescent="0.2">
      <c r="A53" s="82">
        <v>53</v>
      </c>
      <c r="B53" s="82" t="s">
        <v>4599</v>
      </c>
      <c r="C53" s="83" t="s">
        <v>4559</v>
      </c>
      <c r="D53" s="85" t="s">
        <v>4560</v>
      </c>
      <c r="E53" s="84">
        <v>750</v>
      </c>
      <c r="F53" s="84">
        <v>800</v>
      </c>
      <c r="G53" s="82" t="s">
        <v>4044</v>
      </c>
      <c r="H53" s="86" t="s">
        <v>4611</v>
      </c>
    </row>
    <row r="54" spans="1:8" ht="16" x14ac:dyDescent="0.2">
      <c r="A54" s="82">
        <v>54</v>
      </c>
      <c r="B54" s="82" t="s">
        <v>4599</v>
      </c>
      <c r="C54" s="83" t="s">
        <v>4561</v>
      </c>
      <c r="D54" s="85" t="s">
        <v>4562</v>
      </c>
      <c r="E54" s="84">
        <v>750</v>
      </c>
      <c r="F54" s="84">
        <v>800</v>
      </c>
      <c r="G54" s="82" t="s">
        <v>4044</v>
      </c>
      <c r="H54" s="86" t="s">
        <v>4611</v>
      </c>
    </row>
    <row r="55" spans="1:8" ht="16" x14ac:dyDescent="0.2">
      <c r="A55" s="82">
        <v>55</v>
      </c>
      <c r="B55" s="82" t="s">
        <v>4599</v>
      </c>
      <c r="C55" s="83" t="s">
        <v>4563</v>
      </c>
      <c r="D55" s="85" t="s">
        <v>4564</v>
      </c>
      <c r="E55" s="84">
        <v>750</v>
      </c>
      <c r="F55" s="84">
        <v>800</v>
      </c>
      <c r="G55" s="82" t="s">
        <v>4044</v>
      </c>
      <c r="H55" s="86" t="s">
        <v>4611</v>
      </c>
    </row>
    <row r="56" spans="1:8" ht="16" x14ac:dyDescent="0.2">
      <c r="A56" s="82">
        <v>56</v>
      </c>
      <c r="B56" s="82" t="s">
        <v>4599</v>
      </c>
      <c r="C56" s="83" t="s">
        <v>4565</v>
      </c>
      <c r="D56" s="85" t="s">
        <v>4566</v>
      </c>
      <c r="E56" s="84">
        <v>850</v>
      </c>
      <c r="F56" s="84">
        <v>900</v>
      </c>
      <c r="G56" s="82" t="s">
        <v>4044</v>
      </c>
      <c r="H56" s="86" t="s">
        <v>4611</v>
      </c>
    </row>
    <row r="57" spans="1:8" ht="16" x14ac:dyDescent="0.2">
      <c r="A57" s="82">
        <v>57</v>
      </c>
      <c r="B57" s="82" t="s">
        <v>4599</v>
      </c>
      <c r="C57" s="83" t="s">
        <v>4567</v>
      </c>
      <c r="D57" s="85" t="s">
        <v>4568</v>
      </c>
      <c r="E57" s="84">
        <v>900</v>
      </c>
      <c r="F57" s="84">
        <v>950</v>
      </c>
      <c r="G57" s="82" t="s">
        <v>4044</v>
      </c>
      <c r="H57" s="86" t="s">
        <v>4611</v>
      </c>
    </row>
    <row r="58" spans="1:8" ht="16" x14ac:dyDescent="0.2">
      <c r="A58" s="82">
        <v>58</v>
      </c>
      <c r="B58" s="82" t="s">
        <v>4599</v>
      </c>
      <c r="C58" s="83" t="s">
        <v>4569</v>
      </c>
      <c r="D58" s="85" t="s">
        <v>4570</v>
      </c>
      <c r="E58" s="84">
        <v>950</v>
      </c>
      <c r="F58" s="84">
        <v>1000</v>
      </c>
      <c r="G58" s="82" t="s">
        <v>4044</v>
      </c>
      <c r="H58" s="86" t="s">
        <v>4611</v>
      </c>
    </row>
    <row r="59" spans="1:8" ht="16" x14ac:dyDescent="0.2">
      <c r="A59" s="82">
        <v>59</v>
      </c>
      <c r="B59" s="82" t="s">
        <v>4599</v>
      </c>
      <c r="C59" s="83" t="s">
        <v>4571</v>
      </c>
      <c r="D59" s="85" t="s">
        <v>4572</v>
      </c>
      <c r="E59" s="84">
        <v>500</v>
      </c>
      <c r="F59" s="84">
        <v>500</v>
      </c>
      <c r="G59" s="82" t="s">
        <v>4044</v>
      </c>
      <c r="H59" s="86"/>
    </row>
    <row r="60" spans="1:8" ht="16" x14ac:dyDescent="0.2">
      <c r="A60" s="82">
        <v>60</v>
      </c>
      <c r="B60" s="82" t="s">
        <v>4599</v>
      </c>
      <c r="C60" s="83" t="s">
        <v>4573</v>
      </c>
      <c r="D60" s="85" t="s">
        <v>4574</v>
      </c>
      <c r="E60" s="84">
        <v>500</v>
      </c>
      <c r="F60" s="84">
        <v>500</v>
      </c>
      <c r="G60" s="82" t="s">
        <v>4044</v>
      </c>
      <c r="H60" s="86"/>
    </row>
    <row r="61" spans="1:8" ht="16" x14ac:dyDescent="0.2">
      <c r="A61" s="82">
        <v>61</v>
      </c>
      <c r="B61" s="82" t="s">
        <v>4599</v>
      </c>
      <c r="C61" s="83" t="s">
        <v>4575</v>
      </c>
      <c r="D61" s="85" t="s">
        <v>4576</v>
      </c>
      <c r="E61" s="84">
        <v>800</v>
      </c>
      <c r="F61" s="84">
        <v>800</v>
      </c>
      <c r="G61" s="82" t="s">
        <v>4044</v>
      </c>
      <c r="H61" s="86"/>
    </row>
    <row r="62" spans="1:8" ht="16" x14ac:dyDescent="0.2">
      <c r="A62" s="82">
        <v>62</v>
      </c>
      <c r="B62" s="82" t="s">
        <v>4599</v>
      </c>
      <c r="C62" s="83" t="s">
        <v>4577</v>
      </c>
      <c r="D62" s="85" t="s">
        <v>4578</v>
      </c>
      <c r="E62" s="84">
        <v>800</v>
      </c>
      <c r="F62" s="84">
        <v>800</v>
      </c>
      <c r="G62" s="82" t="s">
        <v>4044</v>
      </c>
      <c r="H62" s="86"/>
    </row>
    <row r="63" spans="1:8" ht="16" x14ac:dyDescent="0.2">
      <c r="A63" s="82">
        <v>63</v>
      </c>
      <c r="B63" s="82" t="s">
        <v>4599</v>
      </c>
      <c r="C63" s="83" t="s">
        <v>4579</v>
      </c>
      <c r="D63" s="85" t="s">
        <v>4580</v>
      </c>
      <c r="E63" s="84">
        <v>800</v>
      </c>
      <c r="F63" s="84">
        <v>800</v>
      </c>
      <c r="G63" s="82" t="s">
        <v>4044</v>
      </c>
      <c r="H63" s="86"/>
    </row>
    <row r="64" spans="1:8" ht="16" x14ac:dyDescent="0.2">
      <c r="A64" s="82">
        <v>64</v>
      </c>
      <c r="B64" s="82" t="s">
        <v>4599</v>
      </c>
      <c r="C64" s="83" t="s">
        <v>4581</v>
      </c>
      <c r="D64" s="85" t="s">
        <v>4582</v>
      </c>
      <c r="E64" s="84">
        <v>800</v>
      </c>
      <c r="F64" s="84">
        <v>800</v>
      </c>
      <c r="G64" s="82" t="s">
        <v>4044</v>
      </c>
      <c r="H64" s="86"/>
    </row>
    <row r="65" spans="1:8" ht="32" x14ac:dyDescent="0.2">
      <c r="A65" s="82">
        <v>65</v>
      </c>
      <c r="B65" s="82" t="s">
        <v>4599</v>
      </c>
      <c r="C65" s="83" t="s">
        <v>4563</v>
      </c>
      <c r="D65" s="85" t="s">
        <v>4564</v>
      </c>
      <c r="E65" s="84">
        <v>750</v>
      </c>
      <c r="F65" s="84">
        <v>800</v>
      </c>
      <c r="G65" s="82" t="s">
        <v>4614</v>
      </c>
      <c r="H65" s="86" t="s">
        <v>4615</v>
      </c>
    </row>
    <row r="66" spans="1:8" ht="32" x14ac:dyDescent="0.2">
      <c r="A66" s="82">
        <v>66</v>
      </c>
      <c r="B66" s="82" t="s">
        <v>4599</v>
      </c>
      <c r="C66" s="83" t="s">
        <v>4565</v>
      </c>
      <c r="D66" s="85" t="s">
        <v>4566</v>
      </c>
      <c r="E66" s="84">
        <v>850</v>
      </c>
      <c r="F66" s="84">
        <v>900</v>
      </c>
      <c r="G66" s="82" t="s">
        <v>4614</v>
      </c>
      <c r="H66" s="86" t="s">
        <v>4616</v>
      </c>
    </row>
    <row r="67" spans="1:8" ht="32" x14ac:dyDescent="0.2">
      <c r="A67" s="82">
        <v>67</v>
      </c>
      <c r="B67" s="82" t="s">
        <v>4599</v>
      </c>
      <c r="C67" s="83" t="s">
        <v>4567</v>
      </c>
      <c r="D67" s="85" t="s">
        <v>4568</v>
      </c>
      <c r="E67" s="84">
        <v>900</v>
      </c>
      <c r="F67" s="84">
        <v>950</v>
      </c>
      <c r="G67" s="82" t="s">
        <v>4614</v>
      </c>
      <c r="H67" s="86" t="s">
        <v>4617</v>
      </c>
    </row>
    <row r="68" spans="1:8" ht="32" x14ac:dyDescent="0.2">
      <c r="A68" s="82">
        <v>68</v>
      </c>
      <c r="B68" s="82" t="s">
        <v>4599</v>
      </c>
      <c r="C68" s="83" t="s">
        <v>4569</v>
      </c>
      <c r="D68" s="85" t="s">
        <v>4570</v>
      </c>
      <c r="E68" s="84">
        <v>950</v>
      </c>
      <c r="F68" s="84">
        <v>1000</v>
      </c>
      <c r="G68" s="82" t="s">
        <v>4614</v>
      </c>
      <c r="H68" s="86" t="s">
        <v>4618</v>
      </c>
    </row>
    <row r="69" spans="1:8" ht="32" x14ac:dyDescent="0.2">
      <c r="A69" s="82">
        <v>69</v>
      </c>
      <c r="B69" s="82" t="s">
        <v>4599</v>
      </c>
      <c r="C69" s="83" t="s">
        <v>4583</v>
      </c>
      <c r="D69" s="85" t="s">
        <v>4619</v>
      </c>
      <c r="E69" s="84">
        <v>900</v>
      </c>
      <c r="F69" s="84">
        <v>900</v>
      </c>
      <c r="G69" s="82" t="s">
        <v>4044</v>
      </c>
      <c r="H69" s="86" t="s">
        <v>4620</v>
      </c>
    </row>
    <row r="70" spans="1:8" ht="32" x14ac:dyDescent="0.2">
      <c r="A70" s="82">
        <v>70</v>
      </c>
      <c r="B70" s="82" t="s">
        <v>4599</v>
      </c>
      <c r="C70" s="83" t="s">
        <v>4585</v>
      </c>
      <c r="D70" s="85" t="s">
        <v>4621</v>
      </c>
      <c r="E70" s="84">
        <v>1000</v>
      </c>
      <c r="F70" s="84">
        <v>1000</v>
      </c>
      <c r="G70" s="82" t="s">
        <v>4044</v>
      </c>
      <c r="H70" s="86" t="s">
        <v>4620</v>
      </c>
    </row>
  </sheetData>
  <pageMargins left="0.7" right="0.7" top="0.75" bottom="0.75" header="0.3" footer="0.3"/>
  <legacy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A6FCA-8E52-4448-946A-A61ED392A96D}">
  <dimension ref="A1:Q70"/>
  <sheetViews>
    <sheetView workbookViewId="0">
      <selection activeCell="G14" sqref="G14"/>
    </sheetView>
  </sheetViews>
  <sheetFormatPr baseColWidth="10" defaultColWidth="8.83203125" defaultRowHeight="15" x14ac:dyDescent="0.2"/>
  <cols>
    <col min="1" max="1" width="20.5" customWidth="1"/>
    <col min="3" max="3" width="117.83203125" customWidth="1"/>
    <col min="4" max="4" width="15.5" bestFit="1" customWidth="1"/>
    <col min="5" max="5" width="2.83203125" customWidth="1"/>
    <col min="6" max="6" width="12.83203125" bestFit="1" customWidth="1"/>
  </cols>
  <sheetData>
    <row r="1" spans="1:6" ht="16" x14ac:dyDescent="0.2">
      <c r="A1" s="94"/>
      <c r="B1" s="95"/>
      <c r="C1" s="96"/>
      <c r="D1" s="96"/>
      <c r="E1" s="96"/>
      <c r="F1" s="94"/>
    </row>
    <row r="2" spans="1:6" ht="16" x14ac:dyDescent="0.2">
      <c r="A2" s="94"/>
      <c r="B2" s="95"/>
      <c r="C2" s="96"/>
      <c r="D2" s="97"/>
      <c r="E2" s="97"/>
      <c r="F2" s="94"/>
    </row>
    <row r="3" spans="1:6" ht="16" x14ac:dyDescent="0.2">
      <c r="A3" s="98" t="s">
        <v>4463</v>
      </c>
      <c r="B3" s="98"/>
      <c r="C3" s="98"/>
      <c r="D3" s="98"/>
      <c r="E3" s="98"/>
      <c r="F3" s="98"/>
    </row>
    <row r="4" spans="1:6" ht="17" thickBot="1" x14ac:dyDescent="0.25">
      <c r="A4" s="94"/>
      <c r="B4" s="94"/>
      <c r="C4" s="94"/>
      <c r="D4" s="94"/>
      <c r="E4" s="99"/>
      <c r="F4" s="94"/>
    </row>
    <row r="5" spans="1:6" ht="17" thickBot="1" x14ac:dyDescent="0.25">
      <c r="A5" s="100"/>
      <c r="B5" s="100"/>
      <c r="C5" s="100" t="s">
        <v>4464</v>
      </c>
      <c r="D5" s="100" t="s">
        <v>4465</v>
      </c>
      <c r="E5" s="101"/>
      <c r="F5" s="102" t="s">
        <v>4466</v>
      </c>
    </row>
    <row r="6" spans="1:6" ht="16" x14ac:dyDescent="0.2">
      <c r="A6" s="94"/>
      <c r="B6" s="94"/>
      <c r="C6" s="94"/>
      <c r="D6" s="94"/>
      <c r="E6" s="99"/>
      <c r="F6" s="94"/>
    </row>
    <row r="7" spans="1:6" ht="17" x14ac:dyDescent="0.2">
      <c r="A7" s="103" t="s">
        <v>4467</v>
      </c>
      <c r="B7" s="104" t="s">
        <v>2442</v>
      </c>
      <c r="C7" s="105"/>
      <c r="D7" s="106" t="s">
        <v>4468</v>
      </c>
      <c r="E7" s="107"/>
      <c r="F7" s="106" t="s">
        <v>4468</v>
      </c>
    </row>
    <row r="8" spans="1:6" ht="16" x14ac:dyDescent="0.2">
      <c r="A8" s="108" t="s">
        <v>4469</v>
      </c>
      <c r="B8" s="109" t="s">
        <v>4470</v>
      </c>
      <c r="C8" s="109"/>
      <c r="D8" s="110">
        <v>420</v>
      </c>
      <c r="E8" s="111"/>
      <c r="F8" s="112">
        <v>420</v>
      </c>
    </row>
    <row r="9" spans="1:6" ht="16" x14ac:dyDescent="0.2">
      <c r="A9" s="108" t="s">
        <v>4471</v>
      </c>
      <c r="B9" s="109" t="s">
        <v>4472</v>
      </c>
      <c r="C9" s="109"/>
      <c r="D9" s="113">
        <v>900</v>
      </c>
      <c r="E9" s="111"/>
      <c r="F9" s="114">
        <v>900</v>
      </c>
    </row>
    <row r="10" spans="1:6" ht="16" x14ac:dyDescent="0.2">
      <c r="A10" s="108" t="s">
        <v>4473</v>
      </c>
      <c r="B10" s="115" t="s">
        <v>4474</v>
      </c>
      <c r="C10" s="115"/>
      <c r="D10" s="113">
        <v>900</v>
      </c>
      <c r="E10" s="111"/>
      <c r="F10" s="112">
        <v>900</v>
      </c>
    </row>
    <row r="11" spans="1:6" ht="16" x14ac:dyDescent="0.2">
      <c r="A11" s="108" t="s">
        <v>4475</v>
      </c>
      <c r="B11" s="115" t="s">
        <v>4476</v>
      </c>
      <c r="C11" s="115"/>
      <c r="D11" s="113">
        <v>600</v>
      </c>
      <c r="E11" s="111"/>
      <c r="F11" s="114">
        <v>600</v>
      </c>
    </row>
    <row r="12" spans="1:6" ht="16" x14ac:dyDescent="0.2">
      <c r="A12" s="108" t="s">
        <v>4477</v>
      </c>
      <c r="B12" s="115" t="s">
        <v>4478</v>
      </c>
      <c r="C12" s="115"/>
      <c r="D12" s="113">
        <v>600</v>
      </c>
      <c r="E12" s="111"/>
      <c r="F12" s="114">
        <v>600</v>
      </c>
    </row>
    <row r="13" spans="1:6" ht="16" x14ac:dyDescent="0.2">
      <c r="A13" s="108" t="s">
        <v>4479</v>
      </c>
      <c r="B13" s="115" t="s">
        <v>4480</v>
      </c>
      <c r="C13" s="115"/>
      <c r="D13" s="113">
        <v>700</v>
      </c>
      <c r="E13" s="111"/>
      <c r="F13" s="114">
        <v>700</v>
      </c>
    </row>
    <row r="14" spans="1:6" ht="16" x14ac:dyDescent="0.2">
      <c r="A14" s="108" t="s">
        <v>4481</v>
      </c>
      <c r="B14" s="116" t="s">
        <v>4482</v>
      </c>
      <c r="C14" s="117"/>
      <c r="D14" s="113">
        <v>700</v>
      </c>
      <c r="E14" s="111"/>
      <c r="F14" s="114">
        <v>700</v>
      </c>
    </row>
    <row r="15" spans="1:6" ht="16" x14ac:dyDescent="0.2">
      <c r="A15" s="108" t="s">
        <v>4483</v>
      </c>
      <c r="B15" s="115" t="s">
        <v>4484</v>
      </c>
      <c r="C15" s="117"/>
      <c r="D15" s="113">
        <v>950</v>
      </c>
      <c r="E15" s="111"/>
      <c r="F15" s="112">
        <v>1000</v>
      </c>
    </row>
    <row r="16" spans="1:6" ht="16" x14ac:dyDescent="0.2">
      <c r="A16" s="108" t="s">
        <v>4485</v>
      </c>
      <c r="B16" s="109" t="s">
        <v>4486</v>
      </c>
      <c r="C16" s="109"/>
      <c r="D16" s="110">
        <v>500</v>
      </c>
      <c r="E16" s="111"/>
      <c r="F16" s="114">
        <v>500</v>
      </c>
    </row>
    <row r="17" spans="1:17" ht="16" x14ac:dyDescent="0.2">
      <c r="A17" s="108" t="s">
        <v>4487</v>
      </c>
      <c r="B17" s="109" t="s">
        <v>4488</v>
      </c>
      <c r="C17" s="109"/>
      <c r="D17" s="110">
        <v>900</v>
      </c>
      <c r="E17" s="111"/>
      <c r="F17" s="114">
        <v>900</v>
      </c>
    </row>
    <row r="18" spans="1:17" ht="16" x14ac:dyDescent="0.2">
      <c r="A18" s="108" t="s">
        <v>4489</v>
      </c>
      <c r="B18" s="118" t="s">
        <v>4490</v>
      </c>
      <c r="C18" s="118"/>
      <c r="D18" s="110">
        <v>800</v>
      </c>
      <c r="E18" s="111"/>
      <c r="F18" s="114">
        <v>800</v>
      </c>
    </row>
    <row r="19" spans="1:17" ht="16" x14ac:dyDescent="0.2">
      <c r="A19" s="108" t="s">
        <v>4491</v>
      </c>
      <c r="B19" s="109" t="s">
        <v>4492</v>
      </c>
      <c r="C19" s="109"/>
      <c r="D19" s="110">
        <v>700</v>
      </c>
      <c r="E19" s="111"/>
      <c r="F19" s="114">
        <v>700</v>
      </c>
    </row>
    <row r="20" spans="1:17" ht="16" x14ac:dyDescent="0.2">
      <c r="A20" s="108" t="s">
        <v>4493</v>
      </c>
      <c r="B20" s="109" t="s">
        <v>4494</v>
      </c>
      <c r="C20" s="109"/>
      <c r="D20" s="110">
        <v>800</v>
      </c>
      <c r="E20" s="111"/>
      <c r="F20" s="114">
        <v>800</v>
      </c>
    </row>
    <row r="21" spans="1:17" ht="16" x14ac:dyDescent="0.2">
      <c r="A21" s="108" t="s">
        <v>4495</v>
      </c>
      <c r="B21" s="108" t="s">
        <v>4496</v>
      </c>
      <c r="C21" s="108"/>
      <c r="D21" s="110">
        <v>700</v>
      </c>
      <c r="E21" s="111"/>
      <c r="F21" s="114">
        <v>700</v>
      </c>
    </row>
    <row r="22" spans="1:17" ht="16" x14ac:dyDescent="0.2">
      <c r="A22" s="108" t="s">
        <v>4497</v>
      </c>
      <c r="B22" s="109" t="s">
        <v>4498</v>
      </c>
      <c r="C22" s="109"/>
      <c r="D22" s="113">
        <v>800</v>
      </c>
      <c r="E22" s="111"/>
      <c r="F22" s="114">
        <v>800</v>
      </c>
      <c r="Q22" s="119"/>
    </row>
    <row r="23" spans="1:17" ht="16" x14ac:dyDescent="0.2">
      <c r="A23" s="108" t="s">
        <v>4499</v>
      </c>
      <c r="B23" s="109" t="s">
        <v>4500</v>
      </c>
      <c r="C23" s="109"/>
      <c r="D23" s="113">
        <v>800</v>
      </c>
      <c r="E23" s="111"/>
      <c r="F23" s="114">
        <v>800</v>
      </c>
    </row>
    <row r="24" spans="1:17" ht="16" x14ac:dyDescent="0.2">
      <c r="A24" s="108" t="s">
        <v>4501</v>
      </c>
      <c r="B24" s="120" t="s">
        <v>4502</v>
      </c>
      <c r="C24" s="120"/>
      <c r="D24" s="113">
        <v>750</v>
      </c>
      <c r="E24" s="111"/>
      <c r="F24" s="112">
        <v>800</v>
      </c>
    </row>
    <row r="25" spans="1:17" ht="16" x14ac:dyDescent="0.2">
      <c r="A25" s="108" t="s">
        <v>4503</v>
      </c>
      <c r="B25" s="118" t="s">
        <v>4504</v>
      </c>
      <c r="C25" s="118"/>
      <c r="D25" s="113">
        <v>800</v>
      </c>
      <c r="E25" s="111"/>
      <c r="F25" s="114">
        <v>800</v>
      </c>
    </row>
    <row r="26" spans="1:17" ht="16" x14ac:dyDescent="0.2">
      <c r="A26" s="108" t="s">
        <v>4505</v>
      </c>
      <c r="B26" s="120" t="s">
        <v>4506</v>
      </c>
      <c r="C26" s="120"/>
      <c r="D26" s="113">
        <v>800</v>
      </c>
      <c r="E26" s="111"/>
      <c r="F26" s="114">
        <v>800</v>
      </c>
    </row>
    <row r="27" spans="1:17" ht="16" x14ac:dyDescent="0.2">
      <c r="A27" s="108" t="s">
        <v>4507</v>
      </c>
      <c r="B27" s="109" t="s">
        <v>4508</v>
      </c>
      <c r="C27" s="109"/>
      <c r="D27" s="113">
        <v>500</v>
      </c>
      <c r="E27" s="111"/>
      <c r="F27" s="114">
        <v>500</v>
      </c>
    </row>
    <row r="28" spans="1:17" ht="16" x14ac:dyDescent="0.2">
      <c r="A28" s="108" t="s">
        <v>4509</v>
      </c>
      <c r="B28" s="109" t="s">
        <v>4510</v>
      </c>
      <c r="C28" s="121"/>
      <c r="D28" s="113">
        <v>800</v>
      </c>
      <c r="E28" s="111"/>
      <c r="F28" s="114">
        <v>800</v>
      </c>
    </row>
    <row r="29" spans="1:17" ht="16" x14ac:dyDescent="0.2">
      <c r="A29" s="108" t="s">
        <v>4511</v>
      </c>
      <c r="B29" s="109" t="s">
        <v>4512</v>
      </c>
      <c r="C29" s="109"/>
      <c r="D29" s="113">
        <v>800</v>
      </c>
      <c r="E29" s="111"/>
      <c r="F29" s="112">
        <v>800</v>
      </c>
    </row>
    <row r="30" spans="1:17" ht="16" x14ac:dyDescent="0.2">
      <c r="A30" s="108" t="s">
        <v>4513</v>
      </c>
      <c r="B30" s="120" t="s">
        <v>4514</v>
      </c>
      <c r="C30" s="120"/>
      <c r="D30" s="113">
        <v>700</v>
      </c>
      <c r="E30" s="111"/>
      <c r="F30" s="112">
        <v>700</v>
      </c>
    </row>
    <row r="31" spans="1:17" ht="16" x14ac:dyDescent="0.2">
      <c r="A31" s="108" t="s">
        <v>4515</v>
      </c>
      <c r="B31" s="109" t="s">
        <v>4516</v>
      </c>
      <c r="C31" s="109"/>
      <c r="D31" s="113">
        <v>800</v>
      </c>
      <c r="E31" s="111"/>
      <c r="F31" s="112">
        <v>800</v>
      </c>
    </row>
    <row r="32" spans="1:17" ht="16" x14ac:dyDescent="0.2">
      <c r="A32" s="108" t="s">
        <v>4517</v>
      </c>
      <c r="B32" s="109" t="s">
        <v>4518</v>
      </c>
      <c r="C32" s="109"/>
      <c r="D32" s="113">
        <v>750</v>
      </c>
      <c r="E32" s="111"/>
      <c r="F32" s="112">
        <v>800</v>
      </c>
    </row>
    <row r="33" spans="1:6" ht="16" x14ac:dyDescent="0.2">
      <c r="A33" s="108" t="s">
        <v>4519</v>
      </c>
      <c r="B33" s="109" t="s">
        <v>4520</v>
      </c>
      <c r="C33" s="109"/>
      <c r="D33" s="113">
        <v>800</v>
      </c>
      <c r="E33" s="111"/>
      <c r="F33" s="112">
        <v>800</v>
      </c>
    </row>
    <row r="34" spans="1:6" ht="16" x14ac:dyDescent="0.2">
      <c r="A34" s="108" t="s">
        <v>4521</v>
      </c>
      <c r="B34" s="109" t="s">
        <v>4522</v>
      </c>
      <c r="C34" s="109"/>
      <c r="D34" s="113">
        <v>750</v>
      </c>
      <c r="E34" s="111"/>
      <c r="F34" s="112">
        <v>800</v>
      </c>
    </row>
    <row r="35" spans="1:6" ht="16" x14ac:dyDescent="0.2">
      <c r="A35" s="108" t="s">
        <v>4523</v>
      </c>
      <c r="B35" s="109" t="s">
        <v>4524</v>
      </c>
      <c r="C35" s="109"/>
      <c r="D35" s="113">
        <v>750</v>
      </c>
      <c r="E35" s="111"/>
      <c r="F35" s="114">
        <v>800</v>
      </c>
    </row>
    <row r="36" spans="1:6" ht="16" x14ac:dyDescent="0.2">
      <c r="A36" s="108" t="s">
        <v>4525</v>
      </c>
      <c r="B36" s="109" t="s">
        <v>4526</v>
      </c>
      <c r="C36" s="109"/>
      <c r="D36" s="113">
        <v>480</v>
      </c>
      <c r="E36" s="111"/>
      <c r="F36" s="114">
        <v>500</v>
      </c>
    </row>
    <row r="37" spans="1:6" ht="16" x14ac:dyDescent="0.2">
      <c r="A37" s="108" t="s">
        <v>4527</v>
      </c>
      <c r="B37" s="109" t="s">
        <v>4528</v>
      </c>
      <c r="C37" s="109"/>
      <c r="D37" s="113">
        <v>600</v>
      </c>
      <c r="E37" s="111"/>
      <c r="F37" s="114">
        <v>600</v>
      </c>
    </row>
    <row r="38" spans="1:6" ht="16" x14ac:dyDescent="0.2">
      <c r="A38" s="108" t="s">
        <v>4529</v>
      </c>
      <c r="B38" s="109" t="s">
        <v>4530</v>
      </c>
      <c r="C38" s="109"/>
      <c r="D38" s="113">
        <v>600</v>
      </c>
      <c r="E38" s="111"/>
      <c r="F38" s="114">
        <v>700</v>
      </c>
    </row>
    <row r="39" spans="1:6" ht="16" x14ac:dyDescent="0.2">
      <c r="A39" s="108" t="s">
        <v>4531</v>
      </c>
      <c r="B39" s="109" t="s">
        <v>4532</v>
      </c>
      <c r="C39" s="109"/>
      <c r="D39" s="113">
        <v>950</v>
      </c>
      <c r="E39" s="111"/>
      <c r="F39" s="114">
        <v>1000</v>
      </c>
    </row>
    <row r="40" spans="1:6" ht="16" x14ac:dyDescent="0.2">
      <c r="A40" s="108" t="s">
        <v>4533</v>
      </c>
      <c r="B40" s="122" t="s">
        <v>4534</v>
      </c>
      <c r="C40" s="122"/>
      <c r="D40" s="113">
        <v>1000</v>
      </c>
      <c r="E40" s="111"/>
      <c r="F40" s="114">
        <v>1000</v>
      </c>
    </row>
    <row r="41" spans="1:6" ht="16" x14ac:dyDescent="0.2">
      <c r="A41" s="108" t="s">
        <v>4535</v>
      </c>
      <c r="B41" s="110" t="s">
        <v>4536</v>
      </c>
      <c r="C41" s="110"/>
      <c r="D41" s="113">
        <v>750</v>
      </c>
      <c r="E41" s="111"/>
      <c r="F41" s="114">
        <v>800</v>
      </c>
    </row>
    <row r="42" spans="1:6" ht="16" x14ac:dyDescent="0.2">
      <c r="A42" s="108" t="s">
        <v>4537</v>
      </c>
      <c r="B42" s="109" t="s">
        <v>4538</v>
      </c>
      <c r="C42" s="109"/>
      <c r="D42" s="113">
        <v>800</v>
      </c>
      <c r="E42" s="111"/>
      <c r="F42" s="114">
        <v>800</v>
      </c>
    </row>
    <row r="43" spans="1:6" ht="16" x14ac:dyDescent="0.2">
      <c r="A43" s="108" t="s">
        <v>4539</v>
      </c>
      <c r="B43" s="109" t="s">
        <v>4540</v>
      </c>
      <c r="C43" s="109"/>
      <c r="D43" s="113">
        <v>750</v>
      </c>
      <c r="E43" s="111"/>
      <c r="F43" s="114">
        <v>800</v>
      </c>
    </row>
    <row r="44" spans="1:6" ht="16" x14ac:dyDescent="0.2">
      <c r="A44" s="108" t="s">
        <v>4541</v>
      </c>
      <c r="B44" s="109" t="s">
        <v>4542</v>
      </c>
      <c r="C44" s="109"/>
      <c r="D44" s="113">
        <v>480</v>
      </c>
      <c r="E44" s="111"/>
      <c r="F44" s="114">
        <v>500</v>
      </c>
    </row>
    <row r="45" spans="1:6" ht="16" x14ac:dyDescent="0.2">
      <c r="A45" s="108" t="s">
        <v>4543</v>
      </c>
      <c r="B45" s="109" t="s">
        <v>4544</v>
      </c>
      <c r="C45" s="109"/>
      <c r="D45" s="113">
        <v>480</v>
      </c>
      <c r="E45" s="111"/>
      <c r="F45" s="114">
        <v>500</v>
      </c>
    </row>
    <row r="46" spans="1:6" ht="16" x14ac:dyDescent="0.2">
      <c r="A46" s="108" t="s">
        <v>4545</v>
      </c>
      <c r="B46" s="109" t="s">
        <v>4546</v>
      </c>
      <c r="C46" s="109"/>
      <c r="D46" s="113">
        <v>800</v>
      </c>
      <c r="E46" s="111"/>
      <c r="F46" s="114">
        <v>800</v>
      </c>
    </row>
    <row r="47" spans="1:6" ht="16" x14ac:dyDescent="0.2">
      <c r="A47" s="108" t="s">
        <v>4547</v>
      </c>
      <c r="B47" s="109" t="s">
        <v>4548</v>
      </c>
      <c r="C47" s="109"/>
      <c r="D47" s="113">
        <v>900</v>
      </c>
      <c r="E47" s="111"/>
      <c r="F47" s="114">
        <v>900</v>
      </c>
    </row>
    <row r="48" spans="1:6" ht="16" x14ac:dyDescent="0.2">
      <c r="A48" s="108" t="s">
        <v>4549</v>
      </c>
      <c r="B48" s="109" t="s">
        <v>4550</v>
      </c>
      <c r="C48" s="109"/>
      <c r="D48" s="113">
        <v>800</v>
      </c>
      <c r="E48" s="111"/>
      <c r="F48" s="114">
        <v>800</v>
      </c>
    </row>
    <row r="49" spans="1:6" ht="16" x14ac:dyDescent="0.2">
      <c r="A49" s="108" t="s">
        <v>4551</v>
      </c>
      <c r="B49" s="109" t="s">
        <v>4552</v>
      </c>
      <c r="C49" s="109"/>
      <c r="D49" s="113">
        <v>700</v>
      </c>
      <c r="E49" s="111"/>
      <c r="F49" s="114">
        <v>700</v>
      </c>
    </row>
    <row r="50" spans="1:6" ht="16" x14ac:dyDescent="0.2">
      <c r="A50" s="108" t="s">
        <v>4553</v>
      </c>
      <c r="B50" s="109" t="s">
        <v>4554</v>
      </c>
      <c r="C50" s="123"/>
      <c r="D50" s="113">
        <v>500</v>
      </c>
      <c r="E50" s="111"/>
      <c r="F50" s="114">
        <v>500</v>
      </c>
    </row>
    <row r="51" spans="1:6" ht="16" x14ac:dyDescent="0.2">
      <c r="A51" s="108" t="s">
        <v>4555</v>
      </c>
      <c r="B51" s="109" t="s">
        <v>4556</v>
      </c>
      <c r="C51" s="109"/>
      <c r="D51" s="113">
        <v>700</v>
      </c>
      <c r="E51" s="111"/>
      <c r="F51" s="114">
        <v>700</v>
      </c>
    </row>
    <row r="52" spans="1:6" ht="16" x14ac:dyDescent="0.2">
      <c r="A52" s="108" t="s">
        <v>4557</v>
      </c>
      <c r="B52" s="109" t="s">
        <v>4558</v>
      </c>
      <c r="C52" s="109"/>
      <c r="D52" s="113">
        <v>900</v>
      </c>
      <c r="E52" s="111"/>
      <c r="F52" s="114">
        <v>900</v>
      </c>
    </row>
    <row r="53" spans="1:6" ht="16" x14ac:dyDescent="0.2">
      <c r="A53" s="108" t="s">
        <v>4559</v>
      </c>
      <c r="B53" s="120" t="s">
        <v>4560</v>
      </c>
      <c r="C53" s="120"/>
      <c r="D53" s="113">
        <v>750</v>
      </c>
      <c r="E53" s="111"/>
      <c r="F53" s="114">
        <v>800</v>
      </c>
    </row>
    <row r="54" spans="1:6" ht="16" x14ac:dyDescent="0.2">
      <c r="A54" s="108" t="s">
        <v>4561</v>
      </c>
      <c r="B54" s="109" t="s">
        <v>4562</v>
      </c>
      <c r="C54" s="109"/>
      <c r="D54" s="113">
        <v>750</v>
      </c>
      <c r="E54" s="111"/>
      <c r="F54" s="114">
        <v>800</v>
      </c>
    </row>
    <row r="55" spans="1:6" ht="16" x14ac:dyDescent="0.2">
      <c r="A55" s="108" t="s">
        <v>4563</v>
      </c>
      <c r="B55" s="109" t="s">
        <v>4564</v>
      </c>
      <c r="C55" s="109"/>
      <c r="D55" s="113">
        <v>750</v>
      </c>
      <c r="E55" s="111"/>
      <c r="F55" s="114">
        <v>800</v>
      </c>
    </row>
    <row r="56" spans="1:6" ht="16" x14ac:dyDescent="0.2">
      <c r="A56" s="108" t="s">
        <v>4565</v>
      </c>
      <c r="B56" s="109" t="s">
        <v>4566</v>
      </c>
      <c r="C56" s="109"/>
      <c r="D56" s="113">
        <v>850</v>
      </c>
      <c r="E56" s="111"/>
      <c r="F56" s="114">
        <v>900</v>
      </c>
    </row>
    <row r="57" spans="1:6" ht="16" x14ac:dyDescent="0.2">
      <c r="A57" s="108" t="s">
        <v>4567</v>
      </c>
      <c r="B57" s="109" t="s">
        <v>4568</v>
      </c>
      <c r="C57" s="109"/>
      <c r="D57" s="113">
        <v>900</v>
      </c>
      <c r="E57" s="111"/>
      <c r="F57" s="114">
        <v>950</v>
      </c>
    </row>
    <row r="58" spans="1:6" ht="16" x14ac:dyDescent="0.2">
      <c r="A58" s="108" t="s">
        <v>4569</v>
      </c>
      <c r="B58" s="109" t="s">
        <v>4570</v>
      </c>
      <c r="C58" s="109"/>
      <c r="D58" s="113">
        <v>950</v>
      </c>
      <c r="E58" s="111"/>
      <c r="F58" s="114">
        <v>1000</v>
      </c>
    </row>
    <row r="59" spans="1:6" ht="16" x14ac:dyDescent="0.2">
      <c r="A59" s="108" t="s">
        <v>4571</v>
      </c>
      <c r="B59" s="118" t="s">
        <v>4572</v>
      </c>
      <c r="C59" s="118"/>
      <c r="D59" s="113">
        <v>500</v>
      </c>
      <c r="E59" s="111"/>
      <c r="F59" s="114">
        <v>500</v>
      </c>
    </row>
    <row r="60" spans="1:6" ht="16" x14ac:dyDescent="0.2">
      <c r="A60" s="108" t="s">
        <v>4573</v>
      </c>
      <c r="B60" s="118" t="s">
        <v>4574</v>
      </c>
      <c r="C60" s="118"/>
      <c r="D60" s="113">
        <v>500</v>
      </c>
      <c r="E60" s="111"/>
      <c r="F60" s="114">
        <v>500</v>
      </c>
    </row>
    <row r="61" spans="1:6" ht="16" x14ac:dyDescent="0.2">
      <c r="A61" s="108" t="s">
        <v>4575</v>
      </c>
      <c r="B61" s="109" t="s">
        <v>4576</v>
      </c>
      <c r="C61" s="109"/>
      <c r="D61" s="113">
        <v>800</v>
      </c>
      <c r="E61" s="111"/>
      <c r="F61" s="112">
        <v>800</v>
      </c>
    </row>
    <row r="62" spans="1:6" ht="16" x14ac:dyDescent="0.2">
      <c r="A62" s="108" t="s">
        <v>4577</v>
      </c>
      <c r="B62" s="109" t="s">
        <v>4578</v>
      </c>
      <c r="C62" s="109"/>
      <c r="D62" s="113">
        <v>800</v>
      </c>
      <c r="E62" s="111"/>
      <c r="F62" s="114">
        <v>800</v>
      </c>
    </row>
    <row r="63" spans="1:6" ht="16" x14ac:dyDescent="0.2">
      <c r="A63" s="108" t="s">
        <v>4579</v>
      </c>
      <c r="B63" s="109" t="s">
        <v>4580</v>
      </c>
      <c r="C63" s="109"/>
      <c r="D63" s="113">
        <v>800</v>
      </c>
      <c r="E63" s="111"/>
      <c r="F63" s="114">
        <v>800</v>
      </c>
    </row>
    <row r="64" spans="1:6" ht="16" x14ac:dyDescent="0.2">
      <c r="A64" s="108" t="s">
        <v>4581</v>
      </c>
      <c r="B64" s="109" t="s">
        <v>4582</v>
      </c>
      <c r="C64" s="109"/>
      <c r="D64" s="113">
        <v>800</v>
      </c>
      <c r="E64" s="111"/>
      <c r="F64" s="114">
        <v>800</v>
      </c>
    </row>
    <row r="65" spans="1:6" ht="16" x14ac:dyDescent="0.2">
      <c r="A65" s="108" t="s">
        <v>4563</v>
      </c>
      <c r="B65" s="109" t="s">
        <v>4564</v>
      </c>
      <c r="C65" s="109"/>
      <c r="D65" s="113">
        <v>750</v>
      </c>
      <c r="E65" s="111"/>
      <c r="F65" s="114">
        <v>800</v>
      </c>
    </row>
    <row r="66" spans="1:6" ht="16" x14ac:dyDescent="0.2">
      <c r="A66" s="108" t="s">
        <v>4565</v>
      </c>
      <c r="B66" s="109" t="s">
        <v>4566</v>
      </c>
      <c r="C66" s="109"/>
      <c r="D66" s="113">
        <v>850</v>
      </c>
      <c r="E66" s="111"/>
      <c r="F66" s="114">
        <v>900</v>
      </c>
    </row>
    <row r="67" spans="1:6" ht="16" x14ac:dyDescent="0.2">
      <c r="A67" s="108" t="s">
        <v>4567</v>
      </c>
      <c r="B67" s="109" t="s">
        <v>4568</v>
      </c>
      <c r="C67" s="109"/>
      <c r="D67" s="113">
        <v>900</v>
      </c>
      <c r="E67" s="111"/>
      <c r="F67" s="114">
        <v>950</v>
      </c>
    </row>
    <row r="68" spans="1:6" ht="16" x14ac:dyDescent="0.2">
      <c r="A68" s="108" t="s">
        <v>4569</v>
      </c>
      <c r="B68" s="109" t="s">
        <v>4570</v>
      </c>
      <c r="C68" s="109"/>
      <c r="D68" s="113">
        <v>950</v>
      </c>
      <c r="E68" s="111"/>
      <c r="F68" s="114">
        <v>1000</v>
      </c>
    </row>
    <row r="69" spans="1:6" ht="16" x14ac:dyDescent="0.2">
      <c r="A69" s="108" t="s">
        <v>4583</v>
      </c>
      <c r="B69" s="109" t="s">
        <v>4584</v>
      </c>
      <c r="C69" s="109"/>
      <c r="D69" s="124">
        <v>900</v>
      </c>
      <c r="E69" s="111"/>
      <c r="F69" s="114">
        <v>900</v>
      </c>
    </row>
    <row r="70" spans="1:6" ht="16" x14ac:dyDescent="0.2">
      <c r="A70" s="108" t="s">
        <v>4585</v>
      </c>
      <c r="B70" s="109" t="s">
        <v>4586</v>
      </c>
      <c r="C70" s="109"/>
      <c r="D70" s="124">
        <v>1000</v>
      </c>
      <c r="E70" s="111"/>
      <c r="F70" s="114">
        <v>1000</v>
      </c>
    </row>
  </sheetData>
  <mergeCells count="3">
    <mergeCell ref="A3:F3"/>
    <mergeCell ref="B7:C7"/>
    <mergeCell ref="B40:C40"/>
  </mergeCells>
  <pageMargins left="0.7" right="0.7" top="0.75" bottom="0.75" header="0.3" footer="0.3"/>
  <pageSetup paperSize="9" orientation="portrait" horizontalDpi="0" verticalDpi="0"/>
</worksheet>
</file>

<file path=docMetadata/LabelInfo.xml><?xml version="1.0" encoding="utf-8"?>
<clbl:labelList xmlns:clbl="http://schemas.microsoft.com/office/2020/mipLabelMetadata">
  <clbl:label id="{f380cbde-ab2d-487c-9300-9c05637360d5}" enabled="1" method="Privileged" siteId="{5265a077-601f-4313-b5e9-946c239ec81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16</vt:i4>
      </vt:variant>
      <vt:variant>
        <vt:lpstr>Named Ranges</vt:lpstr>
      </vt:variant>
      <vt:variant>
        <vt:i4>2</vt:i4>
      </vt:variant>
    </vt:vector>
  </HeadingPairs>
  <TitlesOfParts>
    <vt:vector size="18" baseType="lpstr">
      <vt:lpstr>Info</vt:lpstr>
      <vt:lpstr>Open Questions</vt:lpstr>
      <vt:lpstr>Master Fee List</vt:lpstr>
      <vt:lpstr>Master Fee View</vt:lpstr>
      <vt:lpstr>Contracts</vt:lpstr>
      <vt:lpstr>RVG Codes</vt:lpstr>
      <vt:lpstr>SRC-00 Solusions+ Ops List</vt:lpstr>
      <vt:lpstr>SRC-01 NZSA RVG</vt:lpstr>
      <vt:lpstr>SRC-02 CESL</vt:lpstr>
      <vt:lpstr>SRC-03 SXAP MIGS</vt:lpstr>
      <vt:lpstr>SRC-04 Merivale PS</vt:lpstr>
      <vt:lpstr>SRC-05 SXAP Ectropion</vt:lpstr>
      <vt:lpstr>SRC-06 SXAP Pterygium</vt:lpstr>
      <vt:lpstr>SRC-07 SXAP Ptosis Bleph</vt:lpstr>
      <vt:lpstr>SRC-08 CES HNZ</vt:lpstr>
      <vt:lpstr>HNZ CES ANAES FEES </vt:lpstr>
      <vt:lpstr>GST_Rate</vt:lpstr>
      <vt:lpstr>'SRC-00 Solusions+ Ops List'!Print_Titles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Anaesthesia Associates Operation Listing</dc:title>
  <dc:subject>Extracted operation listing data from scanned report</dc:subject>
  <dc:creator>OpenAI</dc:creator>
  <cp:lastModifiedBy>Donald Fraser</cp:lastModifiedBy>
  <dcterms:created xsi:type="dcterms:W3CDTF">2026-09-27T20:01:26Z</dcterms:created>
  <dcterms:modified xsi:type="dcterms:W3CDTF">2026-09-28T01:44:20Z</dcterms:modified>
</cp:coreProperties>
</file>